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Q - Seeding" sheetId="1" r:id="rId5"/>
    <sheet state="visible" name="CQ -Bracket" sheetId="2" r:id="rId6"/>
    <sheet state="visible" name="CQ - Schedule" sheetId="3" r:id="rId7"/>
    <sheet state="visible" name="Group Stage - Seeding" sheetId="4" r:id="rId8"/>
    <sheet state="visible" name="Group Stage - Schedule" sheetId="5" r:id="rId9"/>
    <sheet state="visible" name="Playoff - Seeding" sheetId="6" r:id="rId10"/>
    <sheet state="visible" name="Playoff - Bracket" sheetId="7" r:id="rId11"/>
    <sheet state="visible" name="Playoff - Schedule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TNC</t>
      </text>
    </comment>
    <comment authorId="0" ref="C4">
      <text>
        <t xml:space="preserve">brazylijski luz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maps (total) - Swiss</t>
      </text>
    </comment>
    <comment authorId="0" ref="G2">
      <text>
        <t xml:space="preserve">Match Admin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maps (total)</t>
      </text>
    </comment>
    <comment authorId="0" ref="G2">
      <text>
        <t xml:space="preserve">Match Admin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maps (total) - Swiss</t>
      </text>
    </comment>
    <comment authorId="0" ref="H2">
      <text>
        <t xml:space="preserve">Match Admin</t>
      </text>
    </comment>
  </commentList>
</comments>
</file>

<file path=xl/sharedStrings.xml><?xml version="1.0" encoding="utf-8"?>
<sst xmlns="http://schemas.openxmlformats.org/spreadsheetml/2006/main" count="230" uniqueCount="78">
  <si>
    <t>Seed</t>
  </si>
  <si>
    <t>Group A</t>
  </si>
  <si>
    <t>Group B</t>
  </si>
  <si>
    <t>Group C</t>
  </si>
  <si>
    <t>Group D</t>
  </si>
  <si>
    <t>Honvéd</t>
  </si>
  <si>
    <t>Inner Circle Academy</t>
  </si>
  <si>
    <t>los kogutos</t>
  </si>
  <si>
    <t>G2 Ares</t>
  </si>
  <si>
    <t>Mai Tai</t>
  </si>
  <si>
    <t>MANA</t>
  </si>
  <si>
    <t>SAW</t>
  </si>
  <si>
    <t>Entropy</t>
  </si>
  <si>
    <t>megoshort</t>
  </si>
  <si>
    <t>DONSTU</t>
  </si>
  <si>
    <t>Vexar</t>
  </si>
  <si>
    <t>Misa</t>
  </si>
  <si>
    <t>Julie&amp;Cie</t>
  </si>
  <si>
    <t>BIG Academy</t>
  </si>
  <si>
    <t>ROUNDS</t>
  </si>
  <si>
    <t>Lilmix</t>
  </si>
  <si>
    <t>Round 1</t>
  </si>
  <si>
    <t>Advancement Match</t>
  </si>
  <si>
    <t>Last chance Match</t>
  </si>
  <si>
    <t>R 1.1 - Bo3</t>
  </si>
  <si>
    <t>Adv Match - Bo3</t>
  </si>
  <si>
    <t>R 1.2 - Bo3</t>
  </si>
  <si>
    <t>Last Chance - Bo3</t>
  </si>
  <si>
    <t>Elimination Match</t>
  </si>
  <si>
    <t>Elim Match - Bo3</t>
  </si>
  <si>
    <t>Group A &amp; B</t>
  </si>
  <si>
    <t>Team A</t>
  </si>
  <si>
    <t>Score (Bo3)</t>
  </si>
  <si>
    <t>Team B</t>
  </si>
  <si>
    <t>Date</t>
  </si>
  <si>
    <t>Time (CEST)</t>
  </si>
  <si>
    <t>MA</t>
  </si>
  <si>
    <t>D</t>
  </si>
  <si>
    <t>in</t>
  </si>
  <si>
    <t>Group C &amp; D</t>
  </si>
  <si>
    <t>Play-In</t>
  </si>
  <si>
    <t>Name</t>
  </si>
  <si>
    <t>Group Stage Swiss</t>
  </si>
  <si>
    <t>ROUND 2</t>
  </si>
  <si>
    <t>ROUND 3</t>
  </si>
  <si>
    <t>ROUND 4</t>
  </si>
  <si>
    <t>ROUND 5</t>
  </si>
  <si>
    <t>Round of 16</t>
  </si>
  <si>
    <t>Quarter Finals</t>
  </si>
  <si>
    <t>Semi Finals</t>
  </si>
  <si>
    <t>Final</t>
  </si>
  <si>
    <t>R16 1.1</t>
  </si>
  <si>
    <t>QF 2.1</t>
  </si>
  <si>
    <t>R16 1.2</t>
  </si>
  <si>
    <t>SF 3.1</t>
  </si>
  <si>
    <t>R16 1.3</t>
  </si>
  <si>
    <t>QF 2.2</t>
  </si>
  <si>
    <t>R16 1.4</t>
  </si>
  <si>
    <t>R16 1.5</t>
  </si>
  <si>
    <t>QF 2.3</t>
  </si>
  <si>
    <t>R16 1.6</t>
  </si>
  <si>
    <t>SF 3.2</t>
  </si>
  <si>
    <t>R16 1.7</t>
  </si>
  <si>
    <t>QF 2.4</t>
  </si>
  <si>
    <t>R16 1.8</t>
  </si>
  <si>
    <t>Playoffs</t>
  </si>
  <si>
    <t>Round</t>
  </si>
  <si>
    <t>10:00</t>
  </si>
  <si>
    <t>Opening Round (BO3)</t>
  </si>
  <si>
    <t>E</t>
  </si>
  <si>
    <t>13:00</t>
  </si>
  <si>
    <t>16:00</t>
  </si>
  <si>
    <t>19:00</t>
  </si>
  <si>
    <t>Quarter-Final (BO3)</t>
  </si>
  <si>
    <t>Quarter-Final  (BO3)</t>
  </si>
  <si>
    <t>Semi-Final (BO3)</t>
  </si>
  <si>
    <t>Grand Final (BO3)</t>
  </si>
  <si>
    <t>1h pause after Semi #2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</si>
</sst>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-m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/>
    <font>
      <color theme="1"/>
      <name val="Arial"/>
      <scheme val="minor"/>
    </font>
    <font>
      <b/>
      <sz val="11.0"/>
      <color theme="1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</font>
    <font>
      <sz val="8.0"/>
      <color theme="1"/>
      <name val="Arial"/>
    </font>
    <font>
      <color theme="1"/>
      <name val="Arial"/>
    </font>
    <font>
      <b/>
      <color rgb="FF000000"/>
      <name val="Arial"/>
    </font>
    <font>
      <sz val="7.0"/>
      <color theme="1"/>
      <name val="Arial"/>
    </font>
    <font>
      <b/>
      <color theme="1"/>
      <name val="Arial"/>
    </font>
    <font>
      <b/>
      <sz val="7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3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double">
        <color rgb="FF000000"/>
      </top>
    </border>
    <border>
      <right style="double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double">
        <color rgb="FF000000"/>
      </top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3" fontId="2" numFmtId="0" xfId="0" applyAlignment="1" applyBorder="1" applyFill="1" applyFont="1">
      <alignment horizontal="center" readingOrder="0"/>
    </xf>
    <xf borderId="4" fillId="4" fontId="2" numFmtId="0" xfId="0" applyAlignment="1" applyBorder="1" applyFill="1" applyFont="1">
      <alignment horizontal="center" readingOrder="0"/>
    </xf>
    <xf borderId="5" fillId="3" fontId="2" numFmtId="0" xfId="0" applyAlignment="1" applyBorder="1" applyFont="1">
      <alignment horizontal="center" readingOrder="0"/>
    </xf>
    <xf borderId="6" fillId="4" fontId="2" numFmtId="0" xfId="0" applyAlignment="1" applyBorder="1" applyFont="1">
      <alignment horizontal="center" readingOrder="0"/>
    </xf>
    <xf borderId="7" fillId="5" fontId="1" numFmtId="0" xfId="0" applyAlignment="1" applyBorder="1" applyFill="1" applyFont="1">
      <alignment horizontal="center" readingOrder="0"/>
    </xf>
    <xf borderId="7" fillId="0" fontId="3" numFmtId="0" xfId="0" applyBorder="1" applyFont="1"/>
    <xf borderId="8" fillId="0" fontId="4" numFmtId="0" xfId="0" applyBorder="1" applyFont="1"/>
    <xf borderId="7" fillId="6" fontId="1" numFmtId="0" xfId="0" applyAlignment="1" applyBorder="1" applyFill="1" applyFont="1">
      <alignment horizontal="center" readingOrder="0"/>
    </xf>
    <xf borderId="9" fillId="2" fontId="5" numFmtId="0" xfId="0" applyAlignment="1" applyBorder="1" applyFont="1">
      <alignment horizontal="center" readingOrder="0"/>
    </xf>
    <xf borderId="10" fillId="0" fontId="3" numFmtId="0" xfId="0" applyBorder="1" applyFont="1"/>
    <xf borderId="11" fillId="0" fontId="3" numFmtId="0" xfId="0" applyBorder="1" applyFont="1"/>
    <xf borderId="0" fillId="0" fontId="6" numFmtId="0" xfId="0" applyAlignment="1" applyFont="1">
      <alignment horizontal="center" readingOrder="0"/>
    </xf>
    <xf borderId="0" fillId="7" fontId="7" numFmtId="0" xfId="0" applyAlignment="1" applyFill="1" applyFont="1">
      <alignment horizontal="center" readingOrder="0" vertical="bottom"/>
    </xf>
    <xf borderId="0" fillId="8" fontId="8" numFmtId="0" xfId="0" applyAlignment="1" applyFill="1" applyFont="1">
      <alignment horizontal="center" vertical="bottom"/>
    </xf>
    <xf borderId="0" fillId="4" fontId="9" numFmtId="0" xfId="0" applyAlignment="1" applyFont="1">
      <alignment horizontal="center" readingOrder="0" vertical="bottom"/>
    </xf>
    <xf borderId="12" fillId="0" fontId="4" numFmtId="0" xfId="0" applyBorder="1" applyFont="1"/>
    <xf borderId="13" fillId="0" fontId="4" numFmtId="0" xfId="0" applyBorder="1" applyFont="1"/>
    <xf borderId="0" fillId="7" fontId="8" numFmtId="0" xfId="0" applyAlignment="1" applyFont="1">
      <alignment horizontal="center" readingOrder="0" vertical="bottom"/>
    </xf>
    <xf borderId="14" fillId="0" fontId="4" numFmtId="0" xfId="0" applyBorder="1" applyFont="1"/>
    <xf borderId="0" fillId="8" fontId="8" numFmtId="0" xfId="0" applyAlignment="1" applyFont="1">
      <alignment horizontal="center" readingOrder="0" vertical="bottom"/>
    </xf>
    <xf borderId="15" fillId="0" fontId="4" numFmtId="0" xfId="0" applyBorder="1" applyFont="1"/>
    <xf borderId="0" fillId="0" fontId="4" numFmtId="0" xfId="0" applyFont="1"/>
    <xf borderId="7" fillId="0" fontId="4" numFmtId="0" xfId="0" applyBorder="1" applyFont="1"/>
    <xf borderId="7" fillId="9" fontId="1" numFmtId="0" xfId="0" applyAlignment="1" applyBorder="1" applyFill="1" applyFont="1">
      <alignment horizontal="center" readingOrder="0"/>
    </xf>
    <xf borderId="16" fillId="0" fontId="4" numFmtId="0" xfId="0" applyBorder="1" applyFont="1"/>
    <xf borderId="7" fillId="10" fontId="1" numFmtId="0" xfId="0" applyAlignment="1" applyBorder="1" applyFill="1" applyFont="1">
      <alignment horizontal="center" readingOrder="0"/>
    </xf>
    <xf borderId="17" fillId="0" fontId="4" numFmtId="0" xfId="0" applyBorder="1" applyFont="1"/>
    <xf borderId="18" fillId="0" fontId="4" numFmtId="0" xfId="0" applyBorder="1" applyFont="1"/>
    <xf borderId="19" fillId="2" fontId="10" numFmtId="0" xfId="0" applyAlignment="1" applyBorder="1" applyFont="1">
      <alignment horizontal="center" readingOrder="0" vertical="bottom"/>
    </xf>
    <xf borderId="20" fillId="0" fontId="3" numFmtId="0" xfId="0" applyBorder="1" applyFont="1"/>
    <xf borderId="21" fillId="0" fontId="3" numFmtId="0" xfId="0" applyBorder="1" applyFont="1"/>
    <xf borderId="0" fillId="0" fontId="11" numFmtId="0" xfId="0" applyAlignment="1" applyFont="1">
      <alignment horizontal="center" vertical="bottom"/>
    </xf>
    <xf borderId="22" fillId="0" fontId="12" numFmtId="0" xfId="0" applyAlignment="1" applyBorder="1" applyFont="1">
      <alignment horizontal="center" vertical="bottom"/>
    </xf>
    <xf borderId="23" fillId="0" fontId="12" numFmtId="49" xfId="0" applyAlignment="1" applyBorder="1" applyFont="1" applyNumberFormat="1">
      <alignment horizontal="center" readingOrder="0" vertical="bottom"/>
    </xf>
    <xf borderId="23" fillId="0" fontId="12" numFmtId="0" xfId="0" applyAlignment="1" applyBorder="1" applyFont="1">
      <alignment horizontal="center" vertical="bottom"/>
    </xf>
    <xf borderId="23" fillId="0" fontId="12" numFmtId="0" xfId="0" applyAlignment="1" applyBorder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9" numFmtId="0" xfId="0" applyAlignment="1" applyFont="1">
      <alignment horizontal="center" readingOrder="0" vertical="bottom"/>
    </xf>
    <xf borderId="0" fillId="0" fontId="9" numFmtId="49" xfId="0" applyAlignment="1" applyFont="1" applyNumberFormat="1">
      <alignment horizontal="center" vertical="bottom"/>
    </xf>
    <xf borderId="0" fillId="0" fontId="9" numFmtId="164" xfId="0" applyAlignment="1" applyFont="1" applyNumberFormat="1">
      <alignment horizontal="center" readingOrder="0" vertical="center"/>
    </xf>
    <xf borderId="24" fillId="0" fontId="9" numFmtId="20" xfId="0" applyAlignment="1" applyBorder="1" applyFont="1" applyNumberFormat="1">
      <alignment horizontal="center" readingOrder="0" vertical="bottom"/>
    </xf>
    <xf borderId="0" fillId="0" fontId="11" numFmtId="0" xfId="0" applyAlignment="1" applyFont="1">
      <alignment horizontal="center" readingOrder="0" vertical="bottom"/>
    </xf>
    <xf borderId="12" fillId="0" fontId="9" numFmtId="0" xfId="0" applyAlignment="1" applyBorder="1" applyFont="1">
      <alignment horizontal="center" readingOrder="0" vertical="bottom"/>
    </xf>
    <xf borderId="12" fillId="0" fontId="9" numFmtId="49" xfId="0" applyAlignment="1" applyBorder="1" applyFont="1" applyNumberFormat="1">
      <alignment horizontal="center" vertical="bottom"/>
    </xf>
    <xf borderId="12" fillId="0" fontId="3" numFmtId="0" xfId="0" applyBorder="1" applyFont="1"/>
    <xf borderId="23" fillId="0" fontId="9" numFmtId="20" xfId="0" applyAlignment="1" applyBorder="1" applyFont="1" applyNumberFormat="1">
      <alignment horizontal="center" readingOrder="0" vertical="bottom"/>
    </xf>
    <xf borderId="0" fillId="0" fontId="9" numFmtId="0" xfId="0" applyAlignment="1" applyFont="1">
      <alignment horizontal="center" vertical="bottom"/>
    </xf>
    <xf borderId="12" fillId="0" fontId="9" numFmtId="0" xfId="0" applyAlignment="1" applyBorder="1" applyFont="1">
      <alignment horizontal="center" vertical="bottom"/>
    </xf>
    <xf borderId="9" fillId="2" fontId="12" numFmtId="0" xfId="0" applyAlignment="1" applyBorder="1" applyFont="1">
      <alignment horizontal="center" readingOrder="0" vertical="bottom"/>
    </xf>
    <xf borderId="0" fillId="0" fontId="9" numFmtId="20" xfId="0" applyAlignment="1" applyFont="1" applyNumberFormat="1">
      <alignment horizontal="center" readingOrder="0" vertical="bottom"/>
    </xf>
    <xf borderId="25" fillId="3" fontId="2" numFmtId="0" xfId="0" applyAlignment="1" applyBorder="1" applyFont="1">
      <alignment horizontal="center" readingOrder="0"/>
    </xf>
    <xf borderId="26" fillId="3" fontId="2" numFmtId="0" xfId="0" applyAlignment="1" applyBorder="1" applyFont="1">
      <alignment horizontal="center" readingOrder="0"/>
    </xf>
    <xf borderId="19" fillId="2" fontId="12" numFmtId="0" xfId="0" applyAlignment="1" applyBorder="1" applyFont="1">
      <alignment horizontal="center" readingOrder="0" vertical="bottom"/>
    </xf>
    <xf borderId="0" fillId="0" fontId="9" numFmtId="0" xfId="0" applyAlignment="1" applyFont="1">
      <alignment vertical="bottom"/>
    </xf>
    <xf borderId="0" fillId="0" fontId="9" numFmtId="49" xfId="0" applyAlignment="1" applyFont="1" applyNumberFormat="1">
      <alignment vertical="bottom"/>
    </xf>
    <xf borderId="12" fillId="0" fontId="9" numFmtId="0" xfId="0" applyAlignment="1" applyBorder="1" applyFont="1">
      <alignment vertical="bottom"/>
    </xf>
    <xf borderId="12" fillId="0" fontId="9" numFmtId="49" xfId="0" applyAlignment="1" applyBorder="1" applyFont="1" applyNumberFormat="1">
      <alignment vertical="bottom"/>
    </xf>
    <xf borderId="9" fillId="2" fontId="12" numFmtId="0" xfId="0" applyAlignment="1" applyBorder="1" applyFont="1">
      <alignment horizontal="center" vertical="bottom"/>
    </xf>
    <xf borderId="27" fillId="0" fontId="9" numFmtId="0" xfId="0" applyAlignment="1" applyBorder="1" applyFont="1">
      <alignment vertical="bottom"/>
    </xf>
    <xf borderId="28" fillId="0" fontId="9" numFmtId="0" xfId="0" applyAlignment="1" applyBorder="1" applyFont="1">
      <alignment vertical="bottom"/>
    </xf>
    <xf borderId="12" fillId="0" fontId="11" numFmtId="0" xfId="0" applyAlignment="1" applyBorder="1" applyFont="1">
      <alignment horizontal="center" vertical="bottom"/>
    </xf>
    <xf borderId="0" fillId="0" fontId="4" numFmtId="0" xfId="0" applyAlignment="1" applyFont="1">
      <alignment horizontal="center"/>
    </xf>
    <xf borderId="0" fillId="0" fontId="9" numFmtId="0" xfId="0" applyAlignment="1" applyFont="1">
      <alignment vertical="bottom"/>
    </xf>
    <xf borderId="23" fillId="0" fontId="12" numFmtId="0" xfId="0" applyAlignment="1" applyBorder="1" applyFont="1">
      <alignment horizontal="center" readingOrder="0" vertical="bottom"/>
    </xf>
    <xf borderId="29" fillId="0" fontId="12" numFmtId="0" xfId="0" applyAlignment="1" applyBorder="1" applyFont="1">
      <alignment horizontal="center" vertical="bottom"/>
    </xf>
    <xf borderId="0" fillId="0" fontId="9" numFmtId="165" xfId="0" applyAlignment="1" applyFont="1" applyNumberFormat="1">
      <alignment horizontal="center"/>
    </xf>
    <xf borderId="0" fillId="0" fontId="9" numFmtId="20" xfId="0" applyAlignment="1" applyFont="1" applyNumberFormat="1">
      <alignment horizontal="center" vertical="bottom"/>
    </xf>
    <xf borderId="30" fillId="0" fontId="9" numFmtId="0" xfId="0" applyAlignment="1" applyBorder="1" applyFont="1">
      <alignment horizontal="center" vertical="bottom"/>
    </xf>
    <xf borderId="0" fillId="0" fontId="9" numFmtId="0" xfId="0" applyAlignment="1" applyFont="1">
      <alignment horizontal="center"/>
    </xf>
    <xf borderId="12" fillId="0" fontId="9" numFmtId="165" xfId="0" applyAlignment="1" applyBorder="1" applyFont="1" applyNumberFormat="1">
      <alignment horizontal="center"/>
    </xf>
    <xf borderId="12" fillId="0" fontId="9" numFmtId="20" xfId="0" applyAlignment="1" applyBorder="1" applyFont="1" applyNumberFormat="1">
      <alignment horizontal="center" vertical="bottom"/>
    </xf>
    <xf borderId="29" fillId="0" fontId="9" numFmtId="0" xfId="0" applyAlignment="1" applyBorder="1" applyFont="1">
      <alignment horizontal="center" vertical="bottom"/>
    </xf>
    <xf borderId="15" fillId="0" fontId="9" numFmtId="0" xfId="0" applyAlignment="1" applyBorder="1" applyFont="1">
      <alignment horizontal="center" vertical="bottom"/>
    </xf>
    <xf borderId="15" fillId="0" fontId="9" numFmtId="165" xfId="0" applyAlignment="1" applyBorder="1" applyFont="1" applyNumberFormat="1">
      <alignment horizontal="center"/>
    </xf>
    <xf borderId="15" fillId="0" fontId="9" numFmtId="20" xfId="0" applyAlignment="1" applyBorder="1" applyFont="1" applyNumberFormat="1">
      <alignment horizontal="center" vertical="bottom"/>
    </xf>
    <xf borderId="31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horizontal="center"/>
    </xf>
    <xf borderId="29" fillId="0" fontId="9" numFmtId="0" xfId="0" applyAlignment="1" applyBorder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center"/>
    </xf>
    <xf borderId="30" fillId="0" fontId="9" numFmtId="0" xfId="0" applyAlignment="1" applyBorder="1" applyFont="1">
      <alignment horizontal="center" readingOrder="0" vertical="bottom"/>
    </xf>
    <xf borderId="32" fillId="0" fontId="9" numFmtId="0" xfId="0" applyAlignment="1" applyBorder="1" applyFont="1">
      <alignment horizontal="center"/>
    </xf>
    <xf borderId="32" fillId="0" fontId="9" numFmtId="20" xfId="0" applyAlignment="1" applyBorder="1" applyFont="1" applyNumberFormat="1">
      <alignment horizontal="center" readingOrder="0" vertical="bottom"/>
    </xf>
    <xf borderId="33" fillId="0" fontId="12" numFmtId="0" xfId="0" applyAlignment="1" applyBorder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5B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5.5"/>
    <col customWidth="1" min="3" max="6" width="27.75"/>
    <col customWidth="1" min="7" max="7" width="4.25"/>
  </cols>
  <sheetData>
    <row r="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>
      <c r="B3" s="3">
        <v>1.0</v>
      </c>
      <c r="C3" s="4" t="s">
        <v>5</v>
      </c>
      <c r="D3" s="4" t="s">
        <v>6</v>
      </c>
      <c r="E3" s="4" t="s">
        <v>7</v>
      </c>
      <c r="F3" s="4" t="s">
        <v>8</v>
      </c>
    </row>
    <row r="4">
      <c r="B4" s="5">
        <v>2.0</v>
      </c>
      <c r="C4" s="6" t="s">
        <v>9</v>
      </c>
      <c r="D4" s="6" t="s">
        <v>10</v>
      </c>
      <c r="E4" s="6" t="s">
        <v>11</v>
      </c>
      <c r="F4" s="6" t="s">
        <v>12</v>
      </c>
    </row>
    <row r="5">
      <c r="B5" s="5">
        <v>3.0</v>
      </c>
      <c r="C5" s="4" t="s">
        <v>13</v>
      </c>
      <c r="D5" s="4" t="s">
        <v>14</v>
      </c>
      <c r="E5" s="4" t="s">
        <v>15</v>
      </c>
      <c r="F5" s="4" t="s">
        <v>16</v>
      </c>
    </row>
    <row r="6">
      <c r="B6" s="5">
        <v>4.0</v>
      </c>
      <c r="C6" s="4" t="s">
        <v>17</v>
      </c>
      <c r="D6" s="4" t="s">
        <v>18</v>
      </c>
      <c r="E6" s="4" t="s">
        <v>19</v>
      </c>
      <c r="F6" s="4" t="s">
        <v>20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5B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4.5"/>
    <col customWidth="1" min="3" max="3" width="10.5"/>
    <col customWidth="1" min="4" max="7" width="4.5"/>
    <col customWidth="1" min="8" max="8" width="10.5"/>
    <col customWidth="1" min="9" max="12" width="4.5"/>
    <col customWidth="1" min="13" max="13" width="13.63"/>
    <col customWidth="1" min="14" max="17" width="4.5"/>
    <col customWidth="1" min="18" max="18" width="10.5"/>
    <col customWidth="1" min="19" max="22" width="4.5"/>
    <col customWidth="1" min="23" max="23" width="10.25"/>
    <col customWidth="1" min="24" max="27" width="4.5"/>
    <col customWidth="1" min="28" max="28" width="13.63"/>
    <col customWidth="1" min="29" max="30" width="4.5"/>
  </cols>
  <sheetData>
    <row r="1">
      <c r="G1" s="7" t="s">
        <v>1</v>
      </c>
      <c r="H1" s="8"/>
      <c r="I1" s="8"/>
      <c r="O1" s="9"/>
      <c r="V1" s="10" t="s">
        <v>2</v>
      </c>
      <c r="W1" s="8"/>
      <c r="X1" s="8"/>
      <c r="AD1" s="9"/>
    </row>
    <row r="2">
      <c r="B2" s="11" t="s">
        <v>21</v>
      </c>
      <c r="C2" s="12"/>
      <c r="D2" s="13"/>
      <c r="G2" s="11" t="s">
        <v>22</v>
      </c>
      <c r="H2" s="12"/>
      <c r="I2" s="13"/>
      <c r="L2" s="11" t="s">
        <v>23</v>
      </c>
      <c r="M2" s="12"/>
      <c r="N2" s="13"/>
      <c r="O2" s="9"/>
      <c r="Q2" s="11" t="s">
        <v>21</v>
      </c>
      <c r="R2" s="12"/>
      <c r="S2" s="13"/>
      <c r="V2" s="11" t="s">
        <v>22</v>
      </c>
      <c r="W2" s="12"/>
      <c r="X2" s="13"/>
      <c r="AA2" s="11" t="s">
        <v>23</v>
      </c>
      <c r="AB2" s="12"/>
      <c r="AC2" s="13"/>
      <c r="AD2" s="9"/>
    </row>
    <row r="3">
      <c r="O3" s="9"/>
      <c r="AD3" s="9"/>
    </row>
    <row r="4">
      <c r="B4" s="14" t="s">
        <v>24</v>
      </c>
      <c r="O4" s="9"/>
      <c r="Q4" s="14" t="s">
        <v>24</v>
      </c>
      <c r="AD4" s="9"/>
    </row>
    <row r="5">
      <c r="B5" s="15">
        <v>1.0</v>
      </c>
      <c r="C5" s="16" t="str">
        <f>'CQ - Seeding'!C3</f>
        <v>Honvéd</v>
      </c>
      <c r="D5" s="17"/>
      <c r="E5" s="18"/>
      <c r="O5" s="9"/>
      <c r="Q5" s="15">
        <v>1.0</v>
      </c>
      <c r="R5" s="16" t="str">
        <f>'CQ - Seeding'!D3</f>
        <v>Inner Circle Academy</v>
      </c>
      <c r="S5" s="17"/>
      <c r="T5" s="18"/>
      <c r="AD5" s="9"/>
    </row>
    <row r="6">
      <c r="B6" s="15">
        <v>4.0</v>
      </c>
      <c r="C6" s="16" t="str">
        <f>'CQ - Seeding'!C6</f>
        <v>Julie&amp;Cie</v>
      </c>
      <c r="D6" s="17"/>
      <c r="F6" s="19"/>
      <c r="G6" s="14" t="s">
        <v>25</v>
      </c>
      <c r="O6" s="9"/>
      <c r="Q6" s="15">
        <v>4.0</v>
      </c>
      <c r="R6" s="16" t="str">
        <f>'CQ - Seeding'!D6</f>
        <v>BIG Academy</v>
      </c>
      <c r="S6" s="17"/>
      <c r="U6" s="19"/>
      <c r="V6" s="14" t="s">
        <v>25</v>
      </c>
      <c r="AD6" s="9"/>
    </row>
    <row r="7">
      <c r="F7" s="19"/>
      <c r="G7" s="20"/>
      <c r="H7" s="16" t="str">
        <f>IF(D5&gt;D6,C5,IF(D6&gt;D5,C6,"Winner of R 1.1"))</f>
        <v>Winner of R 1.1</v>
      </c>
      <c r="I7" s="17"/>
      <c r="J7" s="18"/>
      <c r="O7" s="9"/>
      <c r="U7" s="19"/>
      <c r="V7" s="20"/>
      <c r="W7" s="16" t="str">
        <f>IF(S5&gt;S6,R5,IF(S6&gt;S5,R6,"Winner of R 1.1"))</f>
        <v>Winner of R 1.1</v>
      </c>
      <c r="X7" s="17"/>
      <c r="Y7" s="18"/>
      <c r="AD7" s="9"/>
    </row>
    <row r="8">
      <c r="B8" s="14" t="s">
        <v>26</v>
      </c>
      <c r="F8" s="21"/>
      <c r="G8" s="20"/>
      <c r="H8" s="22" t="str">
        <f>IF(D9&gt;D10,C9,IF(D10&gt;D9,C10,"Winner of R 1.2"))</f>
        <v>Winner of R 1.2</v>
      </c>
      <c r="I8" s="17"/>
      <c r="K8" s="19"/>
      <c r="O8" s="9"/>
      <c r="Q8" s="14" t="s">
        <v>26</v>
      </c>
      <c r="U8" s="21"/>
      <c r="V8" s="20"/>
      <c r="W8" s="22" t="str">
        <f>IF(S9&gt;S10,R9,IF(S10&gt;S9,R10,"Winner of R 1.2"))</f>
        <v>Winner of R 1.2</v>
      </c>
      <c r="X8" s="17"/>
      <c r="Z8" s="19"/>
      <c r="AD8" s="9"/>
    </row>
    <row r="9">
      <c r="B9" s="15">
        <v>2.0</v>
      </c>
      <c r="C9" s="16" t="str">
        <f>'CQ - Seeding'!C4</f>
        <v>Mai Tai</v>
      </c>
      <c r="D9" s="17"/>
      <c r="F9" s="19"/>
      <c r="K9" s="19"/>
      <c r="O9" s="9"/>
      <c r="Q9" s="15">
        <v>2.0</v>
      </c>
      <c r="R9" s="16" t="str">
        <f>'CQ - Seeding'!D4</f>
        <v>MANA</v>
      </c>
      <c r="S9" s="17"/>
      <c r="U9" s="19"/>
      <c r="Z9" s="19"/>
      <c r="AD9" s="9"/>
    </row>
    <row r="10">
      <c r="B10" s="15">
        <v>3.0</v>
      </c>
      <c r="C10" s="16" t="str">
        <f>'CQ - Seeding'!C5</f>
        <v>megoshort</v>
      </c>
      <c r="D10" s="17"/>
      <c r="E10" s="23"/>
      <c r="K10" s="19"/>
      <c r="O10" s="9"/>
      <c r="Q10" s="15">
        <v>3.0</v>
      </c>
      <c r="R10" s="16" t="str">
        <f>'CQ - Seeding'!D5</f>
        <v>DONSTU</v>
      </c>
      <c r="S10" s="17"/>
      <c r="T10" s="23"/>
      <c r="Z10" s="19"/>
      <c r="AD10" s="9"/>
    </row>
    <row r="11">
      <c r="K11" s="19"/>
      <c r="L11" s="14" t="s">
        <v>27</v>
      </c>
      <c r="O11" s="9"/>
      <c r="Z11" s="19"/>
      <c r="AA11" s="14" t="s">
        <v>27</v>
      </c>
      <c r="AD11" s="9"/>
    </row>
    <row r="12">
      <c r="K12" s="19"/>
      <c r="L12" s="20"/>
      <c r="M12" s="22" t="str">
        <f>IF(I7&gt;I8,H8,IF(I8&gt;I7,H7,"Loser of Adv Match"))</f>
        <v>Loser of Adv Match</v>
      </c>
      <c r="N12" s="17"/>
      <c r="O12" s="9"/>
      <c r="Z12" s="19"/>
      <c r="AA12" s="20"/>
      <c r="AB12" s="22" t="str">
        <f>IF(X7&gt;X8,W8,IF(X8&gt;X7,W7,"Loser of Adv Match"))</f>
        <v>Loser of Adv Match</v>
      </c>
      <c r="AC12" s="17"/>
      <c r="AD12" s="9"/>
    </row>
    <row r="13">
      <c r="K13" s="21"/>
      <c r="L13" s="20"/>
      <c r="M13" s="22" t="str">
        <f>IF(I17&gt;I18,H17,IF(I18&gt;I17,H18,"Winner of Elim Match"))</f>
        <v>Winner of Elim Match</v>
      </c>
      <c r="N13" s="17"/>
      <c r="O13" s="9"/>
      <c r="Z13" s="21"/>
      <c r="AA13" s="20"/>
      <c r="AB13" s="22" t="str">
        <f>IF(X17&gt;X18,W17,IF(X18&gt;X17,W18,"Winner of Elim Match"))</f>
        <v>Winner of Elim Match</v>
      </c>
      <c r="AC13" s="17"/>
      <c r="AD13" s="9"/>
    </row>
    <row r="14">
      <c r="B14" s="24"/>
      <c r="C14" s="24"/>
      <c r="D14" s="24"/>
      <c r="G14" s="11" t="s">
        <v>28</v>
      </c>
      <c r="H14" s="12"/>
      <c r="I14" s="13"/>
      <c r="K14" s="19"/>
      <c r="L14" s="24"/>
      <c r="M14" s="24"/>
      <c r="N14" s="24"/>
      <c r="O14" s="9"/>
      <c r="Q14" s="24"/>
      <c r="R14" s="24"/>
      <c r="S14" s="24"/>
      <c r="V14" s="11" t="s">
        <v>28</v>
      </c>
      <c r="W14" s="12"/>
      <c r="X14" s="13"/>
      <c r="Z14" s="19"/>
      <c r="AA14" s="24"/>
      <c r="AB14" s="24"/>
      <c r="AC14" s="24"/>
      <c r="AD14" s="9"/>
    </row>
    <row r="15">
      <c r="K15" s="19"/>
      <c r="O15" s="9"/>
      <c r="Z15" s="19"/>
      <c r="AD15" s="9"/>
    </row>
    <row r="16">
      <c r="B16" s="24"/>
      <c r="C16" s="24"/>
      <c r="D16" s="24"/>
      <c r="G16" s="14" t="s">
        <v>29</v>
      </c>
      <c r="K16" s="19"/>
      <c r="O16" s="9"/>
      <c r="Q16" s="24"/>
      <c r="R16" s="24"/>
      <c r="S16" s="24"/>
      <c r="V16" s="14" t="s">
        <v>29</v>
      </c>
      <c r="Z16" s="19"/>
      <c r="AD16" s="9"/>
    </row>
    <row r="17">
      <c r="B17" s="24"/>
      <c r="C17" s="24"/>
      <c r="D17" s="24"/>
      <c r="G17" s="20"/>
      <c r="H17" s="22" t="str">
        <f>IF(D5&gt;D6,C6,IF(D6&gt;D5,C5,"Loser of R 1.1"))</f>
        <v>Loser of R 1.1</v>
      </c>
      <c r="I17" s="17"/>
      <c r="J17" s="18"/>
      <c r="K17" s="19"/>
      <c r="O17" s="9"/>
      <c r="Q17" s="24"/>
      <c r="R17" s="24"/>
      <c r="S17" s="24"/>
      <c r="V17" s="20"/>
      <c r="W17" s="22" t="str">
        <f>IF(S5&gt;S6,R6,IF(S6&gt;S5,R5,"Loser of R 1.1"))</f>
        <v>Loser of R 1.1</v>
      </c>
      <c r="X17" s="17"/>
      <c r="Y17" s="18"/>
      <c r="Z17" s="19"/>
      <c r="AD17" s="9"/>
    </row>
    <row r="18">
      <c r="B18" s="24"/>
      <c r="C18" s="24"/>
      <c r="D18" s="24"/>
      <c r="G18" s="20"/>
      <c r="H18" s="22" t="str">
        <f>IF(D9&gt;D10,C10,IF(D10&gt;D9,C9,"Loser of R 1.2"))</f>
        <v>Loser of R 1.2</v>
      </c>
      <c r="I18" s="17"/>
      <c r="O18" s="9"/>
      <c r="Q18" s="24"/>
      <c r="R18" s="24"/>
      <c r="S18" s="24"/>
      <c r="V18" s="20"/>
      <c r="W18" s="22" t="str">
        <f>IF(S9&gt;S10,R10,IF(S10&gt;S9,R9,"Loser of R 1.2"))</f>
        <v>Loser of R 1.2</v>
      </c>
      <c r="X18" s="17"/>
      <c r="AD18" s="9"/>
    </row>
    <row r="19">
      <c r="O19" s="9"/>
      <c r="AD19" s="9"/>
    </row>
    <row r="20">
      <c r="O20" s="9"/>
      <c r="AD20" s="9"/>
    </row>
    <row r="21">
      <c r="A21" s="25"/>
      <c r="B21" s="25"/>
      <c r="C21" s="25"/>
      <c r="D21" s="25"/>
      <c r="E21" s="25"/>
      <c r="F21" s="25"/>
      <c r="G21" s="26" t="s">
        <v>3</v>
      </c>
      <c r="H21" s="8"/>
      <c r="I21" s="8"/>
      <c r="J21" s="25"/>
      <c r="K21" s="25"/>
      <c r="L21" s="25"/>
      <c r="M21" s="25"/>
      <c r="N21" s="25"/>
      <c r="O21" s="27"/>
      <c r="P21" s="25"/>
      <c r="Q21" s="25"/>
      <c r="R21" s="25"/>
      <c r="S21" s="25"/>
      <c r="T21" s="25"/>
      <c r="U21" s="25"/>
      <c r="V21" s="28" t="s">
        <v>4</v>
      </c>
      <c r="W21" s="8"/>
      <c r="X21" s="8"/>
      <c r="Y21" s="25"/>
      <c r="Z21" s="25"/>
      <c r="AA21" s="25"/>
      <c r="AB21" s="25"/>
      <c r="AC21" s="25"/>
      <c r="AD21" s="27"/>
    </row>
    <row r="22">
      <c r="O22" s="9"/>
      <c r="AD22" s="9"/>
    </row>
    <row r="23">
      <c r="B23" s="11" t="s">
        <v>21</v>
      </c>
      <c r="C23" s="12"/>
      <c r="D23" s="13"/>
      <c r="G23" s="11" t="s">
        <v>22</v>
      </c>
      <c r="H23" s="12"/>
      <c r="I23" s="13"/>
      <c r="L23" s="11" t="s">
        <v>23</v>
      </c>
      <c r="M23" s="12"/>
      <c r="N23" s="13"/>
      <c r="O23" s="9"/>
      <c r="Q23" s="11" t="s">
        <v>21</v>
      </c>
      <c r="R23" s="12"/>
      <c r="S23" s="13"/>
      <c r="V23" s="11" t="s">
        <v>22</v>
      </c>
      <c r="W23" s="12"/>
      <c r="X23" s="13"/>
      <c r="AA23" s="11" t="s">
        <v>23</v>
      </c>
      <c r="AB23" s="12"/>
      <c r="AC23" s="13"/>
      <c r="AD23" s="9"/>
    </row>
    <row r="24">
      <c r="O24" s="9"/>
      <c r="AD24" s="9"/>
    </row>
    <row r="25">
      <c r="B25" s="14" t="s">
        <v>24</v>
      </c>
      <c r="O25" s="9"/>
      <c r="Q25" s="14" t="s">
        <v>24</v>
      </c>
      <c r="AD25" s="9"/>
    </row>
    <row r="26">
      <c r="B26" s="15">
        <v>1.0</v>
      </c>
      <c r="C26" s="16" t="str">
        <f>'CQ - Seeding'!E3</f>
        <v>los kogutos</v>
      </c>
      <c r="D26" s="17"/>
      <c r="E26" s="18"/>
      <c r="O26" s="9"/>
      <c r="Q26" s="15">
        <v>1.0</v>
      </c>
      <c r="R26" s="16" t="str">
        <f>'CQ - Seeding'!F3</f>
        <v>G2 Ares</v>
      </c>
      <c r="S26" s="17"/>
      <c r="T26" s="18"/>
      <c r="AD26" s="9"/>
    </row>
    <row r="27">
      <c r="B27" s="15">
        <v>4.0</v>
      </c>
      <c r="C27" s="16" t="str">
        <f>'CQ - Seeding'!E6</f>
        <v>ROUNDS</v>
      </c>
      <c r="D27" s="17"/>
      <c r="F27" s="19"/>
      <c r="G27" s="14" t="s">
        <v>25</v>
      </c>
      <c r="O27" s="9"/>
      <c r="Q27" s="15">
        <v>4.0</v>
      </c>
      <c r="R27" s="16" t="str">
        <f>'CQ - Seeding'!F6</f>
        <v>Lilmix</v>
      </c>
      <c r="S27" s="17"/>
      <c r="U27" s="19"/>
      <c r="V27" s="14" t="s">
        <v>25</v>
      </c>
      <c r="AD27" s="9"/>
    </row>
    <row r="28">
      <c r="F28" s="19"/>
      <c r="G28" s="20"/>
      <c r="H28" s="16" t="str">
        <f>IF(D26&gt;D27,C26,IF(D27&gt;D26,C27,"Winner of R 1.1"))</f>
        <v>Winner of R 1.1</v>
      </c>
      <c r="I28" s="17"/>
      <c r="J28" s="18"/>
      <c r="O28" s="9"/>
      <c r="U28" s="19"/>
      <c r="V28" s="20"/>
      <c r="W28" s="16" t="str">
        <f>IF(S26&gt;S27,R26,IF(S27&gt;S26,R27,"Winner of R 1.1"))</f>
        <v>Winner of R 1.1</v>
      </c>
      <c r="X28" s="17"/>
      <c r="Y28" s="18"/>
      <c r="AD28" s="9"/>
    </row>
    <row r="29">
      <c r="B29" s="14" t="s">
        <v>26</v>
      </c>
      <c r="F29" s="21"/>
      <c r="G29" s="20"/>
      <c r="H29" s="22" t="str">
        <f>IF(D30&gt;D31,C30,IF(D31&gt;D30,C31,"Winner of R 1.2"))</f>
        <v>Winner of R 1.2</v>
      </c>
      <c r="I29" s="17"/>
      <c r="K29" s="19"/>
      <c r="O29" s="9"/>
      <c r="Q29" s="14" t="s">
        <v>26</v>
      </c>
      <c r="U29" s="21"/>
      <c r="V29" s="20"/>
      <c r="W29" s="22" t="str">
        <f>IF(S30&gt;S31,R30,IF(S31&gt;S30,R31,"Winner of R 1.2"))</f>
        <v>Winner of R 1.2</v>
      </c>
      <c r="X29" s="17"/>
      <c r="Z29" s="19"/>
      <c r="AD29" s="9"/>
    </row>
    <row r="30">
      <c r="B30" s="15">
        <v>2.0</v>
      </c>
      <c r="C30" s="16" t="str">
        <f>'CQ - Seeding'!E4</f>
        <v>SAW</v>
      </c>
      <c r="D30" s="17"/>
      <c r="F30" s="19"/>
      <c r="K30" s="19"/>
      <c r="O30" s="9"/>
      <c r="Q30" s="15">
        <v>2.0</v>
      </c>
      <c r="R30" s="16" t="str">
        <f>'CQ - Seeding'!F4</f>
        <v>Entropy</v>
      </c>
      <c r="S30" s="17"/>
      <c r="U30" s="19"/>
      <c r="Z30" s="19"/>
      <c r="AD30" s="9"/>
    </row>
    <row r="31">
      <c r="B31" s="15">
        <v>3.0</v>
      </c>
      <c r="C31" s="16" t="str">
        <f>'CQ - Seeding'!E5</f>
        <v>Vexar</v>
      </c>
      <c r="D31" s="17"/>
      <c r="E31" s="23"/>
      <c r="K31" s="19"/>
      <c r="O31" s="9"/>
      <c r="Q31" s="15">
        <v>3.0</v>
      </c>
      <c r="R31" s="16" t="str">
        <f>'CQ - Seeding'!F5</f>
        <v>Misa</v>
      </c>
      <c r="S31" s="17"/>
      <c r="T31" s="23"/>
      <c r="Z31" s="19"/>
      <c r="AD31" s="9"/>
    </row>
    <row r="32">
      <c r="K32" s="19"/>
      <c r="L32" s="14" t="s">
        <v>27</v>
      </c>
      <c r="O32" s="9"/>
      <c r="Z32" s="19"/>
      <c r="AA32" s="14" t="s">
        <v>27</v>
      </c>
      <c r="AD32" s="9"/>
    </row>
    <row r="33">
      <c r="K33" s="19"/>
      <c r="L33" s="20"/>
      <c r="M33" s="22" t="str">
        <f>IF(I28&gt;I29,H29,IF(I29&gt;I28,H28,"Loser of Adv Match"))</f>
        <v>Loser of Adv Match</v>
      </c>
      <c r="N33" s="17"/>
      <c r="O33" s="9"/>
      <c r="Z33" s="19"/>
      <c r="AA33" s="20"/>
      <c r="AB33" s="22" t="str">
        <f>IF(X28&gt;X29,W29,IF(X29&gt;X28,W28,"Loser of Adv Match"))</f>
        <v>Loser of Adv Match</v>
      </c>
      <c r="AC33" s="17"/>
      <c r="AD33" s="9"/>
    </row>
    <row r="34">
      <c r="K34" s="21"/>
      <c r="L34" s="20"/>
      <c r="M34" s="22" t="str">
        <f>IF(I38&gt;I39,H38,IF(I39&gt;I38,H39,"Winner of Elim Match"))</f>
        <v>Winner of Elim Match</v>
      </c>
      <c r="N34" s="17"/>
      <c r="O34" s="9"/>
      <c r="Z34" s="21"/>
      <c r="AA34" s="20"/>
      <c r="AB34" s="22" t="str">
        <f>IF(X38&gt;X39,W38,IF(X39&gt;X38,W39,"Winner of Elim Match"))</f>
        <v>Winner of Elim Match</v>
      </c>
      <c r="AC34" s="17"/>
      <c r="AD34" s="9"/>
    </row>
    <row r="35">
      <c r="B35" s="24"/>
      <c r="C35" s="24"/>
      <c r="D35" s="24"/>
      <c r="G35" s="11" t="s">
        <v>28</v>
      </c>
      <c r="H35" s="12"/>
      <c r="I35" s="13"/>
      <c r="K35" s="19"/>
      <c r="L35" s="24"/>
      <c r="M35" s="24"/>
      <c r="N35" s="24"/>
      <c r="O35" s="9"/>
      <c r="Q35" s="24"/>
      <c r="R35" s="24"/>
      <c r="S35" s="24"/>
      <c r="V35" s="11" t="s">
        <v>28</v>
      </c>
      <c r="W35" s="12"/>
      <c r="X35" s="13"/>
      <c r="Z35" s="19"/>
      <c r="AA35" s="24"/>
      <c r="AB35" s="24"/>
      <c r="AC35" s="24"/>
      <c r="AD35" s="9"/>
    </row>
    <row r="36">
      <c r="K36" s="19"/>
      <c r="O36" s="9"/>
      <c r="Z36" s="19"/>
      <c r="AD36" s="9"/>
    </row>
    <row r="37">
      <c r="B37" s="24"/>
      <c r="C37" s="24"/>
      <c r="D37" s="24"/>
      <c r="G37" s="14" t="s">
        <v>29</v>
      </c>
      <c r="K37" s="19"/>
      <c r="O37" s="9"/>
      <c r="Q37" s="24"/>
      <c r="R37" s="24"/>
      <c r="S37" s="24"/>
      <c r="V37" s="14" t="s">
        <v>29</v>
      </c>
      <c r="Z37" s="19"/>
      <c r="AD37" s="9"/>
    </row>
    <row r="38">
      <c r="B38" s="24"/>
      <c r="C38" s="24"/>
      <c r="D38" s="24"/>
      <c r="G38" s="20"/>
      <c r="H38" s="22" t="str">
        <f>IF(D26&gt;D27,C27,IF(D27&gt;D26,C26,"Loser of R 1.1"))</f>
        <v>Loser of R 1.1</v>
      </c>
      <c r="I38" s="17"/>
      <c r="J38" s="18"/>
      <c r="K38" s="19"/>
      <c r="O38" s="9"/>
      <c r="Q38" s="24"/>
      <c r="R38" s="24"/>
      <c r="S38" s="24"/>
      <c r="V38" s="20"/>
      <c r="W38" s="22" t="str">
        <f>IF(S26&gt;S27,R27,IF(S27&gt;S26,R26,"Loser of R 1.1"))</f>
        <v>Loser of R 1.1</v>
      </c>
      <c r="X38" s="17"/>
      <c r="Y38" s="18"/>
      <c r="Z38" s="19"/>
      <c r="AD38" s="9"/>
    </row>
    <row r="39">
      <c r="B39" s="24"/>
      <c r="C39" s="24"/>
      <c r="D39" s="24"/>
      <c r="G39" s="20"/>
      <c r="H39" s="22" t="str">
        <f>IF(D30&gt;D31,C31,IF(D31&gt;D30,C30,"Loser of R 1.2"))</f>
        <v>Loser of R 1.2</v>
      </c>
      <c r="I39" s="17"/>
      <c r="O39" s="9"/>
      <c r="Q39" s="24"/>
      <c r="R39" s="24"/>
      <c r="S39" s="24"/>
      <c r="V39" s="20"/>
      <c r="W39" s="22" t="str">
        <f>IF(S30&gt;S31,R31,IF(S31&gt;S30,R30,"Loser of R 1.2"))</f>
        <v>Loser of R 1.2</v>
      </c>
      <c r="X39" s="17"/>
      <c r="AD39" s="9"/>
    </row>
    <row r="40">
      <c r="O40" s="9"/>
      <c r="AD40" s="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30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30"/>
    </row>
  </sheetData>
  <mergeCells count="40">
    <mergeCell ref="G1:I1"/>
    <mergeCell ref="V1:X1"/>
    <mergeCell ref="G2:I2"/>
    <mergeCell ref="L2:N2"/>
    <mergeCell ref="Q2:S2"/>
    <mergeCell ref="V2:X2"/>
    <mergeCell ref="AA2:AC2"/>
    <mergeCell ref="B2:D2"/>
    <mergeCell ref="B4:D4"/>
    <mergeCell ref="Q4:S4"/>
    <mergeCell ref="G6:I6"/>
    <mergeCell ref="V6:X6"/>
    <mergeCell ref="B8:D8"/>
    <mergeCell ref="Q8:S8"/>
    <mergeCell ref="L11:N11"/>
    <mergeCell ref="AA11:AC11"/>
    <mergeCell ref="G14:I14"/>
    <mergeCell ref="V14:X14"/>
    <mergeCell ref="G16:I16"/>
    <mergeCell ref="V16:X16"/>
    <mergeCell ref="V21:X21"/>
    <mergeCell ref="Q23:S23"/>
    <mergeCell ref="Q25:S25"/>
    <mergeCell ref="V23:X23"/>
    <mergeCell ref="V27:X27"/>
    <mergeCell ref="B29:D29"/>
    <mergeCell ref="Q29:S29"/>
    <mergeCell ref="L32:N32"/>
    <mergeCell ref="AA32:AC32"/>
    <mergeCell ref="G35:I35"/>
    <mergeCell ref="V35:X35"/>
    <mergeCell ref="G37:I37"/>
    <mergeCell ref="V37:X37"/>
    <mergeCell ref="G21:I21"/>
    <mergeCell ref="B23:D23"/>
    <mergeCell ref="G23:I23"/>
    <mergeCell ref="L23:N23"/>
    <mergeCell ref="AA23:AC23"/>
    <mergeCell ref="B25:D25"/>
    <mergeCell ref="G27:I27"/>
  </mergeCells>
  <conditionalFormatting sqref="D5 S5 I7 X7 D9 S9 N12 AC12 I17 X17 D26 S26 I28 X28 D30 S30 N33 AC33 I38 X38">
    <cfRule type="cellIs" dxfId="0" priority="1" operator="greaterThan">
      <formula>D6</formula>
    </cfRule>
  </conditionalFormatting>
  <conditionalFormatting sqref="D5 S5 I7 X7 D9 S9 N12 AC12 I17 X17 D26 S26 I28 X28 D30 S30 N33 AC33 I38 X38">
    <cfRule type="cellIs" dxfId="1" priority="2" operator="lessThan">
      <formula>D6</formula>
    </cfRule>
  </conditionalFormatting>
  <conditionalFormatting sqref="D6 S6 I8 X8 D10 S10 N13 AC13 I18 X18 D27 S27 I29 X29 D31 S31 N34 AC34 I39 X39">
    <cfRule type="cellIs" dxfId="0" priority="3" operator="greaterThan">
      <formula>D5</formula>
    </cfRule>
  </conditionalFormatting>
  <conditionalFormatting sqref="D6 S6 I8 X8 D10 S10 N13 AC13 I18 X18 D27 S27 I29 X29 D31 S31 N34 AC34 I39 X39">
    <cfRule type="cellIs" dxfId="1" priority="4" operator="lessThan">
      <formula>D5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5BC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10.38"/>
    <col customWidth="1" min="3" max="3" width="17.75"/>
    <col customWidth="1" min="4" max="4" width="9.38"/>
    <col customWidth="1" min="5" max="5" width="10.88"/>
    <col customWidth="1" min="6" max="7" width="2.0"/>
  </cols>
  <sheetData>
    <row r="1">
      <c r="A1" s="31" t="s">
        <v>30</v>
      </c>
      <c r="B1" s="32"/>
      <c r="C1" s="32"/>
      <c r="D1" s="32"/>
      <c r="E1" s="33"/>
      <c r="F1" s="34"/>
      <c r="G1" s="34"/>
    </row>
    <row r="2">
      <c r="A2" s="35" t="s">
        <v>31</v>
      </c>
      <c r="B2" s="36" t="s">
        <v>32</v>
      </c>
      <c r="C2" s="37" t="s">
        <v>33</v>
      </c>
      <c r="D2" s="37" t="s">
        <v>34</v>
      </c>
      <c r="E2" s="38" t="s">
        <v>35</v>
      </c>
      <c r="F2" s="39">
        <f>SUM(F3:F28)</f>
        <v>0</v>
      </c>
      <c r="G2" s="39" t="s">
        <v>36</v>
      </c>
    </row>
    <row r="3">
      <c r="A3" s="40" t="s">
        <v>6</v>
      </c>
      <c r="B3" s="41"/>
      <c r="C3" s="40" t="s">
        <v>18</v>
      </c>
      <c r="D3" s="42">
        <v>46216.0</v>
      </c>
      <c r="E3" s="43">
        <v>0.4166666666666667</v>
      </c>
      <c r="F3" s="34"/>
      <c r="G3" s="44" t="s">
        <v>37</v>
      </c>
    </row>
    <row r="4">
      <c r="A4" s="40" t="s">
        <v>5</v>
      </c>
      <c r="B4" s="41"/>
      <c r="C4" s="40" t="s">
        <v>17</v>
      </c>
      <c r="E4" s="43">
        <v>0.5416666666666666</v>
      </c>
      <c r="F4" s="34"/>
      <c r="G4" s="44" t="s">
        <v>37</v>
      </c>
    </row>
    <row r="5">
      <c r="A5" s="40" t="s">
        <v>9</v>
      </c>
      <c r="B5" s="41"/>
      <c r="C5" s="40" t="s">
        <v>13</v>
      </c>
      <c r="E5" s="43">
        <v>0.6666666666666666</v>
      </c>
      <c r="F5" s="34"/>
      <c r="G5" s="44" t="s">
        <v>38</v>
      </c>
    </row>
    <row r="6">
      <c r="A6" s="45" t="s">
        <v>10</v>
      </c>
      <c r="B6" s="46"/>
      <c r="C6" s="45" t="s">
        <v>14</v>
      </c>
      <c r="D6" s="47"/>
      <c r="E6" s="48">
        <v>0.7916666666666666</v>
      </c>
      <c r="F6" s="34"/>
      <c r="G6" s="44" t="s">
        <v>38</v>
      </c>
    </row>
    <row r="7">
      <c r="A7" s="40"/>
      <c r="B7" s="41"/>
      <c r="C7" s="40"/>
      <c r="D7" s="42">
        <v>46217.0</v>
      </c>
      <c r="E7" s="43">
        <v>0.4166666666666667</v>
      </c>
      <c r="F7" s="34"/>
      <c r="G7" s="44" t="s">
        <v>38</v>
      </c>
    </row>
    <row r="8">
      <c r="A8" s="49"/>
      <c r="B8" s="41"/>
      <c r="C8" s="49"/>
      <c r="E8" s="43">
        <v>0.5416666666666666</v>
      </c>
      <c r="F8" s="34"/>
      <c r="G8" s="44" t="s">
        <v>38</v>
      </c>
    </row>
    <row r="9">
      <c r="A9" s="49"/>
      <c r="B9" s="41"/>
      <c r="C9" s="49"/>
      <c r="E9" s="43">
        <v>0.6666666666666666</v>
      </c>
      <c r="F9" s="34"/>
      <c r="G9" s="44" t="s">
        <v>37</v>
      </c>
    </row>
    <row r="10">
      <c r="A10" s="50"/>
      <c r="B10" s="46"/>
      <c r="C10" s="50"/>
      <c r="D10" s="47"/>
      <c r="E10" s="48">
        <v>0.7916666666666666</v>
      </c>
      <c r="F10" s="34"/>
      <c r="G10" s="44" t="s">
        <v>37</v>
      </c>
    </row>
    <row r="11">
      <c r="A11" s="49"/>
      <c r="B11" s="41"/>
      <c r="C11" s="49"/>
      <c r="D11" s="42">
        <v>46218.0</v>
      </c>
      <c r="E11" s="43">
        <v>0.4166666666666667</v>
      </c>
      <c r="F11" s="34"/>
      <c r="G11" s="44" t="s">
        <v>38</v>
      </c>
    </row>
    <row r="12">
      <c r="A12" s="49"/>
      <c r="B12" s="41"/>
      <c r="C12" s="49"/>
      <c r="D12" s="47"/>
      <c r="E12" s="43">
        <v>0.5416666666666666</v>
      </c>
      <c r="F12" s="34"/>
      <c r="G12" s="44" t="s">
        <v>38</v>
      </c>
    </row>
    <row r="13">
      <c r="A13" s="51" t="s">
        <v>39</v>
      </c>
      <c r="B13" s="12"/>
      <c r="C13" s="12"/>
      <c r="D13" s="12"/>
      <c r="E13" s="13"/>
      <c r="F13" s="34"/>
      <c r="G13" s="34"/>
    </row>
    <row r="14">
      <c r="A14" s="40" t="s">
        <v>12</v>
      </c>
      <c r="B14" s="41"/>
      <c r="C14" s="40" t="s">
        <v>16</v>
      </c>
      <c r="D14" s="42">
        <v>46219.0</v>
      </c>
      <c r="E14" s="43">
        <v>0.4166666666666667</v>
      </c>
      <c r="F14" s="34"/>
      <c r="G14" s="44" t="s">
        <v>37</v>
      </c>
    </row>
    <row r="15">
      <c r="A15" s="40" t="s">
        <v>8</v>
      </c>
      <c r="B15" s="41"/>
      <c r="C15" s="40" t="s">
        <v>20</v>
      </c>
      <c r="E15" s="43">
        <v>0.5416666666666666</v>
      </c>
      <c r="F15" s="34"/>
      <c r="G15" s="44" t="s">
        <v>37</v>
      </c>
    </row>
    <row r="16">
      <c r="A16" s="40" t="s">
        <v>11</v>
      </c>
      <c r="B16" s="41"/>
      <c r="C16" s="40" t="s">
        <v>15</v>
      </c>
      <c r="E16" s="43">
        <v>0.6666666666666666</v>
      </c>
      <c r="F16" s="34"/>
      <c r="G16" s="44" t="s">
        <v>38</v>
      </c>
    </row>
    <row r="17">
      <c r="A17" s="45" t="s">
        <v>7</v>
      </c>
      <c r="B17" s="46"/>
      <c r="C17" s="45" t="s">
        <v>19</v>
      </c>
      <c r="D17" s="47"/>
      <c r="E17" s="48">
        <v>0.7916666666666666</v>
      </c>
      <c r="F17" s="34"/>
      <c r="G17" s="44" t="s">
        <v>38</v>
      </c>
    </row>
    <row r="18">
      <c r="A18" s="40"/>
      <c r="B18" s="41"/>
      <c r="C18" s="40"/>
      <c r="D18" s="42">
        <v>46220.0</v>
      </c>
      <c r="E18" s="43">
        <v>0.4166666666666667</v>
      </c>
      <c r="F18" s="34"/>
      <c r="G18" s="44" t="s">
        <v>38</v>
      </c>
    </row>
    <row r="19">
      <c r="A19" s="49"/>
      <c r="B19" s="41"/>
      <c r="C19" s="49"/>
      <c r="E19" s="43">
        <v>0.5416666666666666</v>
      </c>
      <c r="F19" s="34"/>
      <c r="G19" s="44" t="s">
        <v>38</v>
      </c>
    </row>
    <row r="20">
      <c r="A20" s="49"/>
      <c r="B20" s="41"/>
      <c r="C20" s="49"/>
      <c r="E20" s="43">
        <v>0.6666666666666666</v>
      </c>
      <c r="F20" s="34"/>
      <c r="G20" s="44" t="s">
        <v>37</v>
      </c>
    </row>
    <row r="21">
      <c r="A21" s="50"/>
      <c r="B21" s="46"/>
      <c r="C21" s="50"/>
      <c r="D21" s="47"/>
      <c r="E21" s="48">
        <v>0.7916666666666666</v>
      </c>
      <c r="F21" s="34"/>
      <c r="G21" s="44" t="s">
        <v>37</v>
      </c>
    </row>
    <row r="22">
      <c r="A22" s="49"/>
      <c r="B22" s="41"/>
      <c r="C22" s="49"/>
      <c r="D22" s="42">
        <v>46221.0</v>
      </c>
      <c r="E22" s="43">
        <v>0.4166666666666667</v>
      </c>
      <c r="F22" s="34"/>
      <c r="G22" s="44" t="s">
        <v>38</v>
      </c>
    </row>
    <row r="23">
      <c r="A23" s="49"/>
      <c r="B23" s="41"/>
      <c r="C23" s="49"/>
      <c r="D23" s="47"/>
      <c r="E23" s="43">
        <v>0.5416666666666666</v>
      </c>
      <c r="F23" s="34"/>
      <c r="G23" s="44" t="s">
        <v>38</v>
      </c>
    </row>
    <row r="24">
      <c r="A24" s="51" t="s">
        <v>40</v>
      </c>
      <c r="B24" s="12"/>
      <c r="C24" s="12"/>
      <c r="D24" s="12"/>
      <c r="E24" s="13"/>
      <c r="F24" s="34"/>
      <c r="G24" s="34"/>
    </row>
    <row r="25">
      <c r="A25" s="49"/>
      <c r="B25" s="41"/>
      <c r="C25" s="49"/>
      <c r="D25" s="42">
        <v>46222.0</v>
      </c>
      <c r="E25" s="52">
        <v>0.4166666666666667</v>
      </c>
      <c r="F25" s="34"/>
      <c r="G25" s="44" t="s">
        <v>37</v>
      </c>
    </row>
    <row r="26">
      <c r="A26" s="49"/>
      <c r="B26" s="41"/>
      <c r="C26" s="49"/>
      <c r="E26" s="52">
        <v>0.5416666666666666</v>
      </c>
      <c r="F26" s="34"/>
      <c r="G26" s="44" t="s">
        <v>37</v>
      </c>
    </row>
    <row r="27">
      <c r="A27" s="49"/>
      <c r="B27" s="41"/>
      <c r="C27" s="49"/>
      <c r="E27" s="52">
        <v>0.6666666666666666</v>
      </c>
      <c r="F27" s="34"/>
      <c r="G27" s="44" t="s">
        <v>38</v>
      </c>
    </row>
    <row r="28">
      <c r="A28" s="49"/>
      <c r="B28" s="41"/>
      <c r="C28" s="49"/>
      <c r="D28" s="47"/>
      <c r="E28" s="52">
        <v>0.7916666666666666</v>
      </c>
      <c r="F28" s="34"/>
      <c r="G28" s="44" t="s">
        <v>38</v>
      </c>
    </row>
  </sheetData>
  <mergeCells count="10">
    <mergeCell ref="D22:D23"/>
    <mergeCell ref="A24:E24"/>
    <mergeCell ref="D25:D28"/>
    <mergeCell ref="A1:E1"/>
    <mergeCell ref="D3:D6"/>
    <mergeCell ref="D7:D10"/>
    <mergeCell ref="D11:D12"/>
    <mergeCell ref="A13:E13"/>
    <mergeCell ref="D14:D17"/>
    <mergeCell ref="D18:D21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E3C7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5.5"/>
    <col customWidth="1" min="3" max="3" width="27.75"/>
    <col customWidth="1" min="4" max="4" width="4.25"/>
  </cols>
  <sheetData>
    <row r="2">
      <c r="B2" s="1" t="s">
        <v>0</v>
      </c>
      <c r="C2" s="2" t="s">
        <v>41</v>
      </c>
    </row>
    <row r="3">
      <c r="B3" s="3">
        <v>1.0</v>
      </c>
      <c r="C3" s="4"/>
    </row>
    <row r="4">
      <c r="B4" s="5">
        <v>2.0</v>
      </c>
      <c r="C4" s="6"/>
    </row>
    <row r="5">
      <c r="B5" s="5">
        <v>3.0</v>
      </c>
      <c r="C5" s="6"/>
    </row>
    <row r="6">
      <c r="B6" s="5">
        <v>4.0</v>
      </c>
      <c r="C6" s="6"/>
    </row>
    <row r="7">
      <c r="B7" s="5">
        <v>5.0</v>
      </c>
      <c r="C7" s="6"/>
    </row>
    <row r="8">
      <c r="B8" s="5">
        <v>6.0</v>
      </c>
      <c r="C8" s="6"/>
    </row>
    <row r="9">
      <c r="B9" s="5">
        <v>7.0</v>
      </c>
      <c r="C9" s="6"/>
    </row>
    <row r="10">
      <c r="B10" s="53">
        <v>8.0</v>
      </c>
      <c r="C10" s="6"/>
    </row>
    <row r="11">
      <c r="B11" s="5">
        <v>9.0</v>
      </c>
      <c r="C11" s="6"/>
    </row>
    <row r="12">
      <c r="B12" s="3">
        <v>10.0</v>
      </c>
      <c r="C12" s="6"/>
    </row>
    <row r="13">
      <c r="B13" s="5">
        <v>11.0</v>
      </c>
      <c r="C13" s="6"/>
    </row>
    <row r="14">
      <c r="B14" s="5">
        <v>12.0</v>
      </c>
      <c r="C14" s="6"/>
    </row>
    <row r="15">
      <c r="B15" s="5">
        <v>13.0</v>
      </c>
      <c r="C15" s="6"/>
    </row>
    <row r="16">
      <c r="B16" s="5">
        <v>14.0</v>
      </c>
      <c r="C16" s="6"/>
    </row>
    <row r="17">
      <c r="B17" s="5">
        <v>15.0</v>
      </c>
      <c r="C17" s="6"/>
    </row>
    <row r="18">
      <c r="B18" s="54">
        <v>16.0</v>
      </c>
      <c r="C18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E3C76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10.38"/>
    <col customWidth="1" min="3" max="3" width="17.75"/>
    <col customWidth="1" min="4" max="4" width="9.38"/>
    <col customWidth="1" min="5" max="5" width="10.88"/>
    <col customWidth="1" min="6" max="7" width="2.0"/>
  </cols>
  <sheetData>
    <row r="1">
      <c r="A1" s="55" t="s">
        <v>42</v>
      </c>
      <c r="B1" s="32"/>
      <c r="C1" s="32"/>
      <c r="D1" s="32"/>
      <c r="E1" s="33"/>
      <c r="F1" s="34"/>
      <c r="G1" s="34"/>
    </row>
    <row r="2">
      <c r="A2" s="35" t="s">
        <v>31</v>
      </c>
      <c r="B2" s="36" t="s">
        <v>32</v>
      </c>
      <c r="C2" s="37" t="s">
        <v>33</v>
      </c>
      <c r="D2" s="37" t="s">
        <v>34</v>
      </c>
      <c r="E2" s="38" t="s">
        <v>35</v>
      </c>
      <c r="F2" s="39">
        <f>SUM(F3:F39)</f>
        <v>0</v>
      </c>
      <c r="G2" s="39" t="s">
        <v>36</v>
      </c>
    </row>
    <row r="3">
      <c r="A3" s="56"/>
      <c r="B3" s="57"/>
      <c r="C3" s="56"/>
      <c r="D3" s="42">
        <v>46226.0</v>
      </c>
      <c r="E3" s="43">
        <v>0.4166666666666667</v>
      </c>
      <c r="F3" s="34"/>
      <c r="G3" s="44" t="s">
        <v>38</v>
      </c>
    </row>
    <row r="4">
      <c r="A4" s="56"/>
      <c r="B4" s="57"/>
      <c r="C4" s="56"/>
      <c r="E4" s="43">
        <v>0.5416666666666666</v>
      </c>
      <c r="F4" s="34"/>
      <c r="G4" s="44" t="s">
        <v>38</v>
      </c>
    </row>
    <row r="5">
      <c r="A5" s="56"/>
      <c r="B5" s="57"/>
      <c r="C5" s="56"/>
      <c r="E5" s="43">
        <v>0.6666666666666666</v>
      </c>
      <c r="F5" s="34"/>
      <c r="G5" s="44" t="s">
        <v>37</v>
      </c>
    </row>
    <row r="6">
      <c r="A6" s="58"/>
      <c r="B6" s="59"/>
      <c r="C6" s="58"/>
      <c r="D6" s="47"/>
      <c r="E6" s="48">
        <v>0.7916666666666666</v>
      </c>
      <c r="F6" s="34"/>
      <c r="G6" s="44" t="s">
        <v>37</v>
      </c>
    </row>
    <row r="7">
      <c r="A7" s="56"/>
      <c r="B7" s="57"/>
      <c r="C7" s="56"/>
      <c r="D7" s="42">
        <v>46227.0</v>
      </c>
      <c r="E7" s="43">
        <v>0.4166666666666667</v>
      </c>
      <c r="F7" s="34"/>
      <c r="G7" s="44" t="s">
        <v>37</v>
      </c>
    </row>
    <row r="8">
      <c r="A8" s="56"/>
      <c r="B8" s="57"/>
      <c r="C8" s="56"/>
      <c r="E8" s="43">
        <v>0.5416666666666666</v>
      </c>
      <c r="F8" s="34"/>
      <c r="G8" s="44" t="s">
        <v>37</v>
      </c>
    </row>
    <row r="9">
      <c r="A9" s="56"/>
      <c r="B9" s="57"/>
      <c r="C9" s="56"/>
      <c r="E9" s="43">
        <v>0.6666666666666666</v>
      </c>
      <c r="F9" s="34"/>
      <c r="G9" s="44" t="s">
        <v>38</v>
      </c>
    </row>
    <row r="10">
      <c r="A10" s="56"/>
      <c r="B10" s="57"/>
      <c r="C10" s="56"/>
      <c r="D10" s="47"/>
      <c r="E10" s="43">
        <v>0.7916666666666666</v>
      </c>
      <c r="F10" s="34"/>
      <c r="G10" s="44" t="s">
        <v>38</v>
      </c>
    </row>
    <row r="11">
      <c r="A11" s="60" t="s">
        <v>43</v>
      </c>
      <c r="B11" s="12"/>
      <c r="C11" s="12"/>
      <c r="D11" s="12"/>
      <c r="E11" s="13"/>
      <c r="F11" s="34"/>
      <c r="G11" s="34"/>
    </row>
    <row r="12">
      <c r="A12" s="56"/>
      <c r="B12" s="57"/>
      <c r="C12" s="56"/>
      <c r="D12" s="42">
        <v>46228.0</v>
      </c>
      <c r="E12" s="43">
        <v>0.4166666666666667</v>
      </c>
      <c r="F12" s="34"/>
      <c r="G12" s="44" t="s">
        <v>38</v>
      </c>
    </row>
    <row r="13">
      <c r="A13" s="56"/>
      <c r="B13" s="57"/>
      <c r="C13" s="56"/>
      <c r="E13" s="43">
        <v>0.5416666666666666</v>
      </c>
      <c r="F13" s="34"/>
      <c r="G13" s="44" t="s">
        <v>38</v>
      </c>
    </row>
    <row r="14">
      <c r="A14" s="56"/>
      <c r="B14" s="57"/>
      <c r="C14" s="56"/>
      <c r="E14" s="43">
        <v>0.6666666666666666</v>
      </c>
      <c r="F14" s="34"/>
      <c r="G14" s="44" t="s">
        <v>37</v>
      </c>
    </row>
    <row r="15">
      <c r="A15" s="58"/>
      <c r="B15" s="59"/>
      <c r="C15" s="58"/>
      <c r="D15" s="47"/>
      <c r="E15" s="48">
        <v>0.7916666666666666</v>
      </c>
      <c r="F15" s="34"/>
      <c r="G15" s="44" t="s">
        <v>37</v>
      </c>
    </row>
    <row r="16">
      <c r="A16" s="56"/>
      <c r="B16" s="57"/>
      <c r="C16" s="56"/>
      <c r="D16" s="42">
        <v>46229.0</v>
      </c>
      <c r="E16" s="43">
        <v>0.4166666666666667</v>
      </c>
      <c r="F16" s="34"/>
      <c r="G16" s="44" t="s">
        <v>37</v>
      </c>
    </row>
    <row r="17">
      <c r="A17" s="56"/>
      <c r="B17" s="57"/>
      <c r="C17" s="56"/>
      <c r="E17" s="43">
        <v>0.5416666666666666</v>
      </c>
      <c r="F17" s="34"/>
      <c r="G17" s="44" t="s">
        <v>37</v>
      </c>
    </row>
    <row r="18">
      <c r="A18" s="56"/>
      <c r="B18" s="57"/>
      <c r="C18" s="56"/>
      <c r="E18" s="43">
        <v>0.6666666666666666</v>
      </c>
      <c r="F18" s="34"/>
      <c r="G18" s="44" t="s">
        <v>38</v>
      </c>
    </row>
    <row r="19">
      <c r="A19" s="56"/>
      <c r="B19" s="57"/>
      <c r="C19" s="56"/>
      <c r="D19" s="47"/>
      <c r="E19" s="43">
        <v>0.7916666666666666</v>
      </c>
      <c r="F19" s="34"/>
      <c r="G19" s="44" t="s">
        <v>38</v>
      </c>
    </row>
    <row r="20">
      <c r="A20" s="60" t="s">
        <v>44</v>
      </c>
      <c r="B20" s="12"/>
      <c r="C20" s="12"/>
      <c r="D20" s="12"/>
      <c r="E20" s="13"/>
      <c r="F20" s="34"/>
      <c r="G20" s="34"/>
    </row>
    <row r="21">
      <c r="A21" s="61"/>
      <c r="B21" s="57"/>
      <c r="C21" s="56"/>
      <c r="D21" s="42">
        <v>46230.0</v>
      </c>
      <c r="E21" s="43">
        <v>0.4166666666666667</v>
      </c>
      <c r="F21" s="34"/>
      <c r="G21" s="44" t="s">
        <v>38</v>
      </c>
    </row>
    <row r="22">
      <c r="A22" s="61"/>
      <c r="B22" s="57"/>
      <c r="C22" s="56"/>
      <c r="E22" s="43">
        <v>0.5416666666666666</v>
      </c>
      <c r="F22" s="34"/>
      <c r="G22" s="44" t="s">
        <v>38</v>
      </c>
    </row>
    <row r="23">
      <c r="A23" s="61"/>
      <c r="B23" s="57"/>
      <c r="C23" s="56"/>
      <c r="E23" s="43">
        <v>0.6666666666666666</v>
      </c>
      <c r="F23" s="34"/>
      <c r="G23" s="44" t="s">
        <v>37</v>
      </c>
    </row>
    <row r="24">
      <c r="A24" s="62"/>
      <c r="B24" s="59"/>
      <c r="C24" s="58"/>
      <c r="D24" s="47"/>
      <c r="E24" s="48">
        <v>0.7916666666666666</v>
      </c>
      <c r="F24" s="34"/>
      <c r="G24" s="44" t="s">
        <v>37</v>
      </c>
    </row>
    <row r="25">
      <c r="A25" s="61"/>
      <c r="B25" s="57"/>
      <c r="C25" s="56"/>
      <c r="D25" s="42">
        <v>46231.0</v>
      </c>
      <c r="E25" s="43">
        <v>0.4166666666666667</v>
      </c>
      <c r="F25" s="34"/>
      <c r="G25" s="44" t="s">
        <v>37</v>
      </c>
    </row>
    <row r="26">
      <c r="A26" s="61"/>
      <c r="B26" s="57"/>
      <c r="C26" s="56"/>
      <c r="E26" s="43">
        <v>0.5416666666666666</v>
      </c>
      <c r="F26" s="34"/>
      <c r="G26" s="44" t="s">
        <v>37</v>
      </c>
    </row>
    <row r="27">
      <c r="A27" s="61"/>
      <c r="B27" s="57"/>
      <c r="C27" s="56"/>
      <c r="E27" s="43">
        <v>0.6666666666666666</v>
      </c>
      <c r="F27" s="34"/>
      <c r="G27" s="44" t="s">
        <v>38</v>
      </c>
    </row>
    <row r="28">
      <c r="A28" s="61"/>
      <c r="B28" s="57"/>
      <c r="C28" s="56"/>
      <c r="D28" s="47"/>
      <c r="E28" s="43">
        <v>0.7916666666666666</v>
      </c>
      <c r="F28" s="34"/>
      <c r="G28" s="44" t="s">
        <v>38</v>
      </c>
    </row>
    <row r="29">
      <c r="A29" s="60" t="s">
        <v>45</v>
      </c>
      <c r="B29" s="12"/>
      <c r="C29" s="12"/>
      <c r="D29" s="12"/>
      <c r="E29" s="13"/>
      <c r="F29" s="34"/>
      <c r="G29" s="34"/>
    </row>
    <row r="30">
      <c r="A30" s="56"/>
      <c r="B30" s="57"/>
      <c r="C30" s="56"/>
      <c r="D30" s="42">
        <v>46232.0</v>
      </c>
      <c r="E30" s="43">
        <v>0.4166666666666667</v>
      </c>
      <c r="F30" s="34"/>
      <c r="G30" s="44" t="s">
        <v>37</v>
      </c>
    </row>
    <row r="31">
      <c r="A31" s="56"/>
      <c r="B31" s="57"/>
      <c r="C31" s="56"/>
      <c r="E31" s="43">
        <v>0.5416666666666666</v>
      </c>
      <c r="F31" s="34"/>
      <c r="G31" s="44" t="s">
        <v>37</v>
      </c>
    </row>
    <row r="32">
      <c r="A32" s="58"/>
      <c r="B32" s="59"/>
      <c r="C32" s="58"/>
      <c r="D32" s="47"/>
      <c r="E32" s="48">
        <v>0.6666666666666666</v>
      </c>
      <c r="F32" s="34"/>
      <c r="G32" s="44" t="s">
        <v>37</v>
      </c>
    </row>
    <row r="33">
      <c r="A33" s="56"/>
      <c r="B33" s="57"/>
      <c r="C33" s="56"/>
      <c r="D33" s="42">
        <v>46233.0</v>
      </c>
      <c r="E33" s="43">
        <v>0.4166666666666667</v>
      </c>
      <c r="F33" s="34"/>
      <c r="G33" s="44" t="s">
        <v>38</v>
      </c>
    </row>
    <row r="34">
      <c r="A34" s="56"/>
      <c r="B34" s="57"/>
      <c r="C34" s="56"/>
      <c r="E34" s="43">
        <v>0.5416666666666666</v>
      </c>
      <c r="F34" s="34"/>
      <c r="G34" s="44" t="s">
        <v>38</v>
      </c>
    </row>
    <row r="35">
      <c r="A35" s="56"/>
      <c r="B35" s="57"/>
      <c r="C35" s="56"/>
      <c r="D35" s="47"/>
      <c r="E35" s="43">
        <v>0.6666666666666666</v>
      </c>
      <c r="F35" s="34"/>
      <c r="G35" s="44" t="s">
        <v>38</v>
      </c>
    </row>
    <row r="36">
      <c r="A36" s="60" t="s">
        <v>46</v>
      </c>
      <c r="B36" s="12"/>
      <c r="C36" s="12"/>
      <c r="D36" s="12"/>
      <c r="E36" s="13"/>
      <c r="F36" s="34"/>
      <c r="G36" s="34"/>
    </row>
    <row r="37">
      <c r="A37" s="56"/>
      <c r="B37" s="57"/>
      <c r="C37" s="56"/>
      <c r="D37" s="42">
        <v>46234.0</v>
      </c>
      <c r="E37" s="43">
        <v>0.4166666666666667</v>
      </c>
      <c r="F37" s="34"/>
      <c r="G37" s="44" t="s">
        <v>37</v>
      </c>
    </row>
    <row r="38">
      <c r="A38" s="56"/>
      <c r="B38" s="57"/>
      <c r="C38" s="56"/>
      <c r="E38" s="43">
        <v>0.5416666666666666</v>
      </c>
      <c r="F38" s="34"/>
      <c r="G38" s="44" t="s">
        <v>37</v>
      </c>
    </row>
    <row r="39">
      <c r="A39" s="58"/>
      <c r="B39" s="59"/>
      <c r="C39" s="58"/>
      <c r="D39" s="47"/>
      <c r="E39" s="48">
        <v>0.6666666666666666</v>
      </c>
      <c r="F39" s="63"/>
      <c r="G39" s="44" t="s">
        <v>37</v>
      </c>
    </row>
  </sheetData>
  <mergeCells count="14">
    <mergeCell ref="D21:D24"/>
    <mergeCell ref="D25:D28"/>
    <mergeCell ref="A29:E29"/>
    <mergeCell ref="D30:D32"/>
    <mergeCell ref="D33:D35"/>
    <mergeCell ref="A36:E36"/>
    <mergeCell ref="D37:D39"/>
    <mergeCell ref="A1:E1"/>
    <mergeCell ref="D3:D6"/>
    <mergeCell ref="D7:D10"/>
    <mergeCell ref="A11:E11"/>
    <mergeCell ref="D12:D15"/>
    <mergeCell ref="D16:D19"/>
    <mergeCell ref="A20:E20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151A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5.5"/>
    <col customWidth="1" min="3" max="3" width="27.75"/>
    <col customWidth="1" min="4" max="4" width="4.25"/>
  </cols>
  <sheetData>
    <row r="2">
      <c r="B2" s="1" t="s">
        <v>0</v>
      </c>
      <c r="C2" s="2" t="s">
        <v>41</v>
      </c>
    </row>
    <row r="3">
      <c r="B3" s="3">
        <v>1.0</v>
      </c>
      <c r="C3" s="4"/>
    </row>
    <row r="4">
      <c r="B4" s="5">
        <v>2.0</v>
      </c>
      <c r="C4" s="4"/>
    </row>
    <row r="5">
      <c r="B5" s="5">
        <v>3.0</v>
      </c>
      <c r="C5" s="4"/>
    </row>
    <row r="6">
      <c r="B6" s="5">
        <v>4.0</v>
      </c>
      <c r="C6" s="4"/>
    </row>
    <row r="7">
      <c r="B7" s="5">
        <v>5.0</v>
      </c>
      <c r="C7" s="4"/>
    </row>
    <row r="8">
      <c r="B8" s="5">
        <v>6.0</v>
      </c>
      <c r="C8" s="4"/>
    </row>
    <row r="9">
      <c r="B9" s="5">
        <v>7.0</v>
      </c>
      <c r="C9" s="4"/>
    </row>
    <row r="10">
      <c r="B10" s="53">
        <v>8.0</v>
      </c>
      <c r="C10" s="4"/>
    </row>
    <row r="11">
      <c r="B11" s="5">
        <v>9.0</v>
      </c>
      <c r="C11" s="4"/>
    </row>
    <row r="12">
      <c r="B12" s="3">
        <v>10.0</v>
      </c>
      <c r="C12" s="4"/>
    </row>
    <row r="13">
      <c r="B13" s="5">
        <v>11.0</v>
      </c>
      <c r="C13" s="4"/>
    </row>
    <row r="14">
      <c r="B14" s="5">
        <v>12.0</v>
      </c>
      <c r="C14" s="4"/>
    </row>
    <row r="15">
      <c r="B15" s="5">
        <v>13.0</v>
      </c>
      <c r="C15" s="4"/>
    </row>
    <row r="16">
      <c r="B16" s="5">
        <v>14.0</v>
      </c>
      <c r="C16" s="4"/>
    </row>
    <row r="17">
      <c r="B17" s="5">
        <v>15.0</v>
      </c>
      <c r="C17" s="4"/>
    </row>
    <row r="18">
      <c r="B18" s="54">
        <v>16.0</v>
      </c>
      <c r="C18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151A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4.5"/>
    <col customWidth="1" min="3" max="3" width="21.25"/>
    <col customWidth="1" min="4" max="7" width="4.5"/>
    <col customWidth="1" min="8" max="8" width="21.25"/>
    <col customWidth="1" min="9" max="12" width="4.5"/>
    <col customWidth="1" min="13" max="13" width="21.25"/>
    <col customWidth="1" min="14" max="17" width="4.5"/>
    <col customWidth="1" min="18" max="18" width="21.25"/>
    <col customWidth="1" min="19" max="20" width="4.5"/>
  </cols>
  <sheetData>
    <row r="2">
      <c r="B2" s="11" t="s">
        <v>47</v>
      </c>
      <c r="C2" s="12"/>
      <c r="D2" s="13"/>
      <c r="G2" s="11" t="s">
        <v>48</v>
      </c>
      <c r="H2" s="12"/>
      <c r="I2" s="13"/>
      <c r="L2" s="11" t="s">
        <v>49</v>
      </c>
      <c r="M2" s="12"/>
      <c r="N2" s="13"/>
      <c r="Q2" s="11" t="s">
        <v>50</v>
      </c>
      <c r="R2" s="12"/>
      <c r="S2" s="13"/>
    </row>
    <row r="4">
      <c r="B4" s="14" t="s">
        <v>51</v>
      </c>
    </row>
    <row r="5">
      <c r="B5" s="15">
        <v>1.0</v>
      </c>
      <c r="C5" s="16" t="str">
        <f>'Playoff - Seeding'!C3</f>
        <v/>
      </c>
      <c r="D5" s="17"/>
      <c r="E5" s="18"/>
    </row>
    <row r="6">
      <c r="B6" s="15">
        <v>16.0</v>
      </c>
      <c r="C6" s="16" t="str">
        <f>'Playoff - Seeding'!C18</f>
        <v/>
      </c>
      <c r="D6" s="17"/>
      <c r="F6" s="19"/>
      <c r="G6" s="14" t="s">
        <v>52</v>
      </c>
    </row>
    <row r="7">
      <c r="F7" s="19"/>
      <c r="G7" s="20"/>
      <c r="H7" s="22" t="str">
        <f>IF(D5&gt;D6,C5,IF(D6&gt;D5,C6,"Winner of R16 1.1"))</f>
        <v>Winner of R16 1.1</v>
      </c>
      <c r="I7" s="17"/>
      <c r="J7" s="18"/>
    </row>
    <row r="8">
      <c r="B8" s="14" t="s">
        <v>53</v>
      </c>
      <c r="F8" s="21"/>
      <c r="G8" s="20"/>
      <c r="H8" s="22" t="str">
        <f>IF(D9&gt;D10,C9,IF(D10&gt;D9,C10,"Winner of R16 1.2"))</f>
        <v>Winner of R16 1.2</v>
      </c>
      <c r="I8" s="17"/>
      <c r="K8" s="19"/>
    </row>
    <row r="9">
      <c r="B9" s="15">
        <v>8.0</v>
      </c>
      <c r="C9" s="16" t="str">
        <f>'Playoff - Seeding'!C10</f>
        <v/>
      </c>
      <c r="D9" s="17"/>
      <c r="F9" s="19"/>
      <c r="K9" s="19"/>
    </row>
    <row r="10">
      <c r="B10" s="15">
        <v>9.0</v>
      </c>
      <c r="C10" s="16" t="str">
        <f>'Playoff - Seeding'!C11</f>
        <v/>
      </c>
      <c r="D10" s="17"/>
      <c r="E10" s="23"/>
      <c r="K10" s="19"/>
      <c r="L10" s="14" t="s">
        <v>54</v>
      </c>
      <c r="Q10" s="24"/>
      <c r="R10" s="24"/>
      <c r="S10" s="24"/>
    </row>
    <row r="11">
      <c r="K11" s="19"/>
      <c r="L11" s="20"/>
      <c r="M11" s="22" t="str">
        <f>IF(I7&gt;I8,H7,IF(I8&gt;I7,H8,"Winner of QF 2.1"))</f>
        <v>Winner of QF 2.1</v>
      </c>
      <c r="N11" s="17"/>
      <c r="Q11" s="24"/>
      <c r="S11" s="24"/>
    </row>
    <row r="12">
      <c r="B12" s="14" t="s">
        <v>55</v>
      </c>
      <c r="K12" s="21"/>
      <c r="L12" s="20"/>
      <c r="M12" s="22" t="str">
        <f>IF(I15&gt;I16,H15,IF(I16&gt;I15,H16,"Winner of QF 2.2"))</f>
        <v>Winner of QF 2.2</v>
      </c>
      <c r="N12" s="17"/>
      <c r="O12" s="23"/>
      <c r="P12" s="19"/>
      <c r="Q12" s="24"/>
      <c r="S12" s="24"/>
    </row>
    <row r="13">
      <c r="B13" s="15">
        <v>4.0</v>
      </c>
      <c r="C13" s="16" t="str">
        <f>'Playoff - Seeding'!C6</f>
        <v/>
      </c>
      <c r="D13" s="17"/>
      <c r="E13" s="18"/>
      <c r="K13" s="19"/>
      <c r="P13" s="19"/>
    </row>
    <row r="14">
      <c r="B14" s="15">
        <v>13.0</v>
      </c>
      <c r="C14" s="16" t="str">
        <f>'Playoff - Seeding'!C15</f>
        <v/>
      </c>
      <c r="D14" s="17"/>
      <c r="F14" s="19"/>
      <c r="G14" s="14" t="s">
        <v>56</v>
      </c>
      <c r="K14" s="19"/>
      <c r="L14" s="24"/>
      <c r="M14" s="24"/>
      <c r="N14" s="24"/>
      <c r="P14" s="19"/>
      <c r="Q14" s="24"/>
      <c r="R14" s="24"/>
      <c r="S14" s="24"/>
    </row>
    <row r="15">
      <c r="F15" s="19"/>
      <c r="G15" s="20"/>
      <c r="H15" s="22" t="str">
        <f>IF(D13&gt;D14,C13,IF(D14&gt;D13,C14,"Winner of R16 1.3"))</f>
        <v>Winner of R16 1.3</v>
      </c>
      <c r="I15" s="17"/>
      <c r="K15" s="19"/>
      <c r="L15" s="24"/>
      <c r="N15" s="24"/>
      <c r="P15" s="19"/>
      <c r="Q15" s="24"/>
      <c r="S15" s="24"/>
    </row>
    <row r="16">
      <c r="B16" s="14" t="s">
        <v>57</v>
      </c>
      <c r="F16" s="21"/>
      <c r="G16" s="20"/>
      <c r="H16" s="22" t="str">
        <f>IF(D17&gt;D18,C17,IF(D18&gt;D17,C18,"Winner of R16 1.4"))</f>
        <v>Winner of R16 1.4</v>
      </c>
      <c r="I16" s="17"/>
      <c r="J16" s="23"/>
      <c r="L16" s="24"/>
      <c r="N16" s="24"/>
      <c r="P16" s="19"/>
      <c r="Q16" s="24"/>
      <c r="S16" s="24"/>
    </row>
    <row r="17">
      <c r="B17" s="15">
        <v>5.0</v>
      </c>
      <c r="C17" s="16" t="str">
        <f>'Playoff - Seeding'!C7</f>
        <v/>
      </c>
      <c r="D17" s="17"/>
      <c r="F17" s="19"/>
      <c r="P17" s="19"/>
    </row>
    <row r="18">
      <c r="B18" s="15">
        <v>12.0</v>
      </c>
      <c r="C18" s="16" t="str">
        <f>'Playoff - Seeding'!C14</f>
        <v/>
      </c>
      <c r="D18" s="17"/>
      <c r="E18" s="23"/>
      <c r="P18" s="19"/>
      <c r="Q18" s="14" t="s">
        <v>50</v>
      </c>
    </row>
    <row r="19">
      <c r="B19" s="24"/>
      <c r="D19" s="24"/>
      <c r="P19" s="19"/>
      <c r="Q19" s="20"/>
      <c r="R19" s="22" t="str">
        <f>IF(N11&gt;N12,M11,IF(N12&gt;N11,M12,"Winner of SF 3.1"))</f>
        <v>Winner of SF 3.1</v>
      </c>
      <c r="S19" s="17"/>
    </row>
    <row r="20">
      <c r="B20" s="14" t="s">
        <v>58</v>
      </c>
      <c r="P20" s="21"/>
      <c r="Q20" s="20"/>
      <c r="R20" s="22" t="str">
        <f>IF(N27&gt;N28,M27,IF(N28&gt;N27,M28,"Winner of SF 3.2"))</f>
        <v>Winner of SF 3.2</v>
      </c>
      <c r="S20" s="17"/>
    </row>
    <row r="21">
      <c r="B21" s="15">
        <v>2.0</v>
      </c>
      <c r="C21" s="16" t="str">
        <f>'Playoff - Seeding'!C4</f>
        <v/>
      </c>
      <c r="D21" s="17"/>
      <c r="E21" s="18"/>
      <c r="P21" s="19"/>
      <c r="Q21" s="24"/>
      <c r="S21" s="24"/>
    </row>
    <row r="22">
      <c r="B22" s="15">
        <v>15.0</v>
      </c>
      <c r="C22" s="16" t="str">
        <f>'Playoff - Seeding'!C17</f>
        <v/>
      </c>
      <c r="D22" s="17"/>
      <c r="F22" s="19"/>
      <c r="G22" s="14" t="s">
        <v>59</v>
      </c>
      <c r="P22" s="19"/>
    </row>
    <row r="23">
      <c r="F23" s="19"/>
      <c r="G23" s="20"/>
      <c r="H23" s="22" t="str">
        <f>IF(D21&gt;D22,C21,IF(D22&gt;D21,C22,"Winner of R16 1.5"))</f>
        <v>Winner of R16 1.5</v>
      </c>
      <c r="I23" s="17"/>
      <c r="J23" s="18"/>
      <c r="P23" s="19"/>
    </row>
    <row r="24">
      <c r="B24" s="14" t="s">
        <v>60</v>
      </c>
      <c r="F24" s="21"/>
      <c r="G24" s="20"/>
      <c r="H24" s="22" t="str">
        <f>IF(D25&gt;D26,C25,IF(D26&gt;D25,C26,"Winner of R16 1.6"))</f>
        <v>Winner of R16 1.6</v>
      </c>
      <c r="I24" s="17"/>
      <c r="K24" s="19"/>
      <c r="P24" s="19"/>
    </row>
    <row r="25">
      <c r="B25" s="15">
        <v>7.0</v>
      </c>
      <c r="C25" s="16" t="str">
        <f>'Playoff - Seeding'!C9</f>
        <v/>
      </c>
      <c r="D25" s="17"/>
      <c r="F25" s="19"/>
      <c r="K25" s="19"/>
      <c r="P25" s="19"/>
    </row>
    <row r="26">
      <c r="B26" s="15">
        <v>10.0</v>
      </c>
      <c r="C26" s="16" t="str">
        <f>'Playoff - Seeding'!C12</f>
        <v/>
      </c>
      <c r="D26" s="17"/>
      <c r="E26" s="23"/>
      <c r="K26" s="19"/>
      <c r="L26" s="14" t="s">
        <v>61</v>
      </c>
      <c r="P26" s="19"/>
    </row>
    <row r="27">
      <c r="K27" s="19"/>
      <c r="L27" s="20"/>
      <c r="M27" s="22" t="str">
        <f>IF(I23&gt;I24,H23,IF(I24&gt;I23,H24,"Winner of QF 2.3"))</f>
        <v>Winner of QF 2.3</v>
      </c>
      <c r="N27" s="17"/>
      <c r="P27" s="19"/>
    </row>
    <row r="28">
      <c r="B28" s="14" t="s">
        <v>62</v>
      </c>
      <c r="K28" s="21"/>
      <c r="L28" s="20"/>
      <c r="M28" s="22" t="str">
        <f>IF(I31&gt;I32,H31,IF(I32&gt;I31,H32,"Winner of QF 2.4"))</f>
        <v>Winner of QF 2.4</v>
      </c>
      <c r="N28" s="17"/>
      <c r="O28" s="23"/>
    </row>
    <row r="29">
      <c r="B29" s="15">
        <v>3.0</v>
      </c>
      <c r="C29" s="16" t="str">
        <f>'Playoff - Seeding'!C5</f>
        <v/>
      </c>
      <c r="D29" s="17"/>
      <c r="E29" s="18"/>
      <c r="K29" s="19"/>
    </row>
    <row r="30">
      <c r="B30" s="15">
        <v>14.0</v>
      </c>
      <c r="C30" s="16" t="str">
        <f>'Playoff - Seeding'!C16</f>
        <v/>
      </c>
      <c r="D30" s="17"/>
      <c r="F30" s="19"/>
      <c r="G30" s="14" t="s">
        <v>63</v>
      </c>
      <c r="K30" s="19"/>
      <c r="L30" s="24"/>
      <c r="M30" s="24"/>
      <c r="N30" s="24"/>
    </row>
    <row r="31">
      <c r="F31" s="19"/>
      <c r="G31" s="20"/>
      <c r="H31" s="22" t="str">
        <f>IF(D29&gt;D30,C29,IF(D30&gt;D29,C30,"Winner of R16 1.7"))</f>
        <v>Winner of R16 1.7</v>
      </c>
      <c r="I31" s="17"/>
      <c r="K31" s="19"/>
      <c r="L31" s="24"/>
      <c r="N31" s="24"/>
    </row>
    <row r="32">
      <c r="B32" s="14" t="s">
        <v>64</v>
      </c>
      <c r="F32" s="21"/>
      <c r="G32" s="20"/>
      <c r="H32" s="22" t="str">
        <f>IF(D33&gt;D34,C33,IF(D34&gt;D33,C34,"Winner of R16 1.8"))</f>
        <v>Winner of R16 1.8</v>
      </c>
      <c r="I32" s="17"/>
      <c r="J32" s="23"/>
      <c r="L32" s="24"/>
      <c r="N32" s="24"/>
    </row>
    <row r="33">
      <c r="B33" s="15">
        <v>6.0</v>
      </c>
      <c r="C33" s="16" t="str">
        <f>'Playoff - Seeding'!C8</f>
        <v/>
      </c>
      <c r="D33" s="17"/>
      <c r="F33" s="19"/>
    </row>
    <row r="34">
      <c r="B34" s="15">
        <v>11.0</v>
      </c>
      <c r="C34" s="16" t="str">
        <f>'Playoff - Seeding'!C13</f>
        <v/>
      </c>
      <c r="D34" s="17"/>
      <c r="E34" s="23"/>
    </row>
  </sheetData>
  <mergeCells count="19">
    <mergeCell ref="B2:D2"/>
    <mergeCell ref="G2:I2"/>
    <mergeCell ref="L2:N2"/>
    <mergeCell ref="Q2:S2"/>
    <mergeCell ref="B4:D4"/>
    <mergeCell ref="G6:I6"/>
    <mergeCell ref="L10:N10"/>
    <mergeCell ref="B24:D24"/>
    <mergeCell ref="L26:N26"/>
    <mergeCell ref="B28:D28"/>
    <mergeCell ref="G30:I30"/>
    <mergeCell ref="B32:D32"/>
    <mergeCell ref="B8:D8"/>
    <mergeCell ref="B12:D12"/>
    <mergeCell ref="G14:I14"/>
    <mergeCell ref="B16:D16"/>
    <mergeCell ref="Q18:S18"/>
    <mergeCell ref="B20:D20"/>
    <mergeCell ref="G22:I22"/>
  </mergeCells>
  <conditionalFormatting sqref="D5 I7 D9 N11 D13 I15 D17 S19:S20 D21 I23 D25 N27 D29 I31 D33">
    <cfRule type="cellIs" dxfId="0" priority="1" operator="greaterThan">
      <formula>D6</formula>
    </cfRule>
  </conditionalFormatting>
  <conditionalFormatting sqref="D5 I7 D9 N11 D13 I15 D17 S19:S20 D21 I23 D25 N27 D29 I31 D33">
    <cfRule type="cellIs" dxfId="1" priority="2" operator="lessThan">
      <formula>D6</formula>
    </cfRule>
  </conditionalFormatting>
  <conditionalFormatting sqref="D6 I8 D10 N12 D14 I16 D18 S20 D22 I24 D26 N28 D30 I32 D34">
    <cfRule type="cellIs" dxfId="0" priority="3" operator="greaterThan">
      <formula>D5</formula>
    </cfRule>
  </conditionalFormatting>
  <conditionalFormatting sqref="D6 I8 D10 N12 D14 I16 D18 S20 D22 I24 D26 N28 D30 I32 D34">
    <cfRule type="cellIs" dxfId="1" priority="4" operator="lessThan">
      <formula>D5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151A0"/>
    <outlinePr summaryBelow="0" summaryRight="0"/>
  </sheetPr>
  <sheetViews>
    <sheetView workbookViewId="0"/>
  </sheetViews>
  <sheetFormatPr customHeight="1" defaultColWidth="12.63" defaultRowHeight="15.75"/>
  <cols>
    <col customWidth="1" min="1" max="3" width="20.0"/>
    <col customWidth="1" min="4" max="5" width="10.5"/>
    <col customWidth="1" min="6" max="6" width="18.13"/>
    <col customWidth="1" min="7" max="8" width="1.88"/>
    <col customWidth="1" min="10" max="10" width="15.25"/>
    <col customWidth="1" min="11" max="11" width="33.25"/>
    <col customWidth="1" min="12" max="12" width="5.38"/>
    <col customWidth="1" min="16" max="16" width="5.38"/>
  </cols>
  <sheetData>
    <row r="1">
      <c r="A1" s="55" t="s">
        <v>65</v>
      </c>
      <c r="B1" s="32"/>
      <c r="C1" s="32"/>
      <c r="D1" s="32"/>
      <c r="E1" s="32"/>
      <c r="F1" s="33"/>
      <c r="G1" s="34"/>
      <c r="H1" s="34"/>
      <c r="K1" s="64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>
      <c r="A2" s="35" t="s">
        <v>31</v>
      </c>
      <c r="B2" s="66" t="s">
        <v>32</v>
      </c>
      <c r="C2" s="37" t="s">
        <v>33</v>
      </c>
      <c r="D2" s="37" t="s">
        <v>34</v>
      </c>
      <c r="E2" s="38" t="s">
        <v>35</v>
      </c>
      <c r="F2" s="67" t="s">
        <v>66</v>
      </c>
      <c r="G2" s="39">
        <f>SUM(G3:G17)</f>
        <v>0</v>
      </c>
      <c r="H2" s="39" t="s">
        <v>36</v>
      </c>
      <c r="K2" s="64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>
      <c r="A3" s="49"/>
      <c r="B3" s="68"/>
      <c r="C3" s="49"/>
      <c r="D3" s="42">
        <v>46237.0</v>
      </c>
      <c r="E3" s="69" t="s">
        <v>67</v>
      </c>
      <c r="F3" s="70" t="s">
        <v>68</v>
      </c>
      <c r="G3" s="34"/>
      <c r="H3" s="44" t="s">
        <v>69</v>
      </c>
      <c r="K3" s="64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</row>
    <row r="4">
      <c r="A4" s="49"/>
      <c r="B4" s="71"/>
      <c r="C4" s="49"/>
      <c r="E4" s="69" t="s">
        <v>70</v>
      </c>
      <c r="F4" s="70" t="s">
        <v>68</v>
      </c>
      <c r="G4" s="34"/>
      <c r="H4" s="44" t="s">
        <v>69</v>
      </c>
      <c r="K4" s="64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</row>
    <row r="5">
      <c r="A5" s="49"/>
      <c r="B5" s="68"/>
      <c r="C5" s="49"/>
      <c r="E5" s="69" t="s">
        <v>71</v>
      </c>
      <c r="F5" s="70" t="s">
        <v>68</v>
      </c>
      <c r="G5" s="34"/>
      <c r="H5" s="44" t="s">
        <v>38</v>
      </c>
      <c r="K5" s="64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</row>
    <row r="6">
      <c r="A6" s="50"/>
      <c r="B6" s="72"/>
      <c r="C6" s="50"/>
      <c r="D6" s="47"/>
      <c r="E6" s="73" t="s">
        <v>72</v>
      </c>
      <c r="F6" s="74" t="s">
        <v>68</v>
      </c>
      <c r="G6" s="34"/>
      <c r="H6" s="44" t="s">
        <v>38</v>
      </c>
      <c r="K6" s="64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</row>
    <row r="7">
      <c r="A7" s="49"/>
      <c r="B7" s="68"/>
      <c r="C7" s="49"/>
      <c r="D7" s="42">
        <v>46238.0</v>
      </c>
      <c r="E7" s="69" t="s">
        <v>67</v>
      </c>
      <c r="F7" s="70" t="s">
        <v>68</v>
      </c>
      <c r="G7" s="34"/>
      <c r="H7" s="44" t="s">
        <v>38</v>
      </c>
      <c r="K7" s="64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</row>
    <row r="8">
      <c r="A8" s="49"/>
      <c r="B8" s="71"/>
      <c r="C8" s="49"/>
      <c r="E8" s="69" t="s">
        <v>70</v>
      </c>
      <c r="F8" s="70" t="s">
        <v>68</v>
      </c>
      <c r="G8" s="34"/>
      <c r="H8" s="44" t="s">
        <v>38</v>
      </c>
      <c r="K8" s="64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</row>
    <row r="9">
      <c r="A9" s="49"/>
      <c r="B9" s="68"/>
      <c r="C9" s="49"/>
      <c r="E9" s="69" t="s">
        <v>71</v>
      </c>
      <c r="F9" s="70" t="s">
        <v>68</v>
      </c>
      <c r="G9" s="34"/>
      <c r="H9" s="44" t="s">
        <v>38</v>
      </c>
      <c r="K9" s="64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</row>
    <row r="10">
      <c r="A10" s="50"/>
      <c r="B10" s="72"/>
      <c r="C10" s="50"/>
      <c r="D10" s="47"/>
      <c r="E10" s="69" t="s">
        <v>72</v>
      </c>
      <c r="F10" s="70" t="s">
        <v>68</v>
      </c>
      <c r="G10" s="34"/>
      <c r="H10" s="44" t="s">
        <v>38</v>
      </c>
      <c r="K10" s="64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</row>
    <row r="11">
      <c r="A11" s="75"/>
      <c r="B11" s="76"/>
      <c r="C11" s="75"/>
      <c r="D11" s="42">
        <v>46239.0</v>
      </c>
      <c r="E11" s="77" t="s">
        <v>67</v>
      </c>
      <c r="F11" s="78" t="s">
        <v>73</v>
      </c>
      <c r="G11" s="34"/>
      <c r="H11" s="44" t="s">
        <v>69</v>
      </c>
      <c r="K11" s="64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</row>
    <row r="12">
      <c r="A12" s="49"/>
      <c r="B12" s="68"/>
      <c r="C12" s="49"/>
      <c r="E12" s="69" t="s">
        <v>70</v>
      </c>
      <c r="F12" s="70" t="s">
        <v>73</v>
      </c>
      <c r="G12" s="34"/>
      <c r="H12" s="44" t="s">
        <v>69</v>
      </c>
      <c r="K12" s="64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</row>
    <row r="13">
      <c r="A13" s="49"/>
      <c r="B13" s="68"/>
      <c r="C13" s="49"/>
      <c r="E13" s="69" t="s">
        <v>71</v>
      </c>
      <c r="F13" s="70" t="s">
        <v>73</v>
      </c>
      <c r="G13" s="34"/>
      <c r="H13" s="44" t="s">
        <v>38</v>
      </c>
      <c r="K13" s="64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</row>
    <row r="14">
      <c r="A14" s="79"/>
      <c r="B14" s="80"/>
      <c r="C14" s="79"/>
      <c r="D14" s="47"/>
      <c r="E14" s="79" t="s">
        <v>72</v>
      </c>
      <c r="F14" s="81" t="s">
        <v>74</v>
      </c>
      <c r="G14" s="34"/>
      <c r="H14" s="44" t="s">
        <v>38</v>
      </c>
      <c r="I14" s="65"/>
      <c r="J14" s="65"/>
      <c r="K14" s="82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</row>
    <row r="15">
      <c r="A15" s="83"/>
      <c r="B15" s="68"/>
      <c r="C15" s="83"/>
      <c r="D15" s="42">
        <v>46240.0</v>
      </c>
      <c r="E15" s="82" t="s">
        <v>67</v>
      </c>
      <c r="F15" s="84" t="s">
        <v>75</v>
      </c>
      <c r="G15" s="34"/>
      <c r="H15" s="44" t="s">
        <v>69</v>
      </c>
      <c r="I15" s="65"/>
      <c r="J15" s="65"/>
      <c r="K15" s="82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</row>
    <row r="16">
      <c r="A16" s="83"/>
      <c r="B16" s="83"/>
      <c r="C16" s="83"/>
      <c r="E16" s="82" t="s">
        <v>70</v>
      </c>
      <c r="F16" s="84" t="s">
        <v>75</v>
      </c>
      <c r="G16" s="34"/>
      <c r="H16" s="44" t="s">
        <v>69</v>
      </c>
      <c r="I16" s="65"/>
      <c r="J16" s="65"/>
      <c r="K16" s="82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</row>
    <row r="17">
      <c r="A17" s="85"/>
      <c r="B17" s="85"/>
      <c r="C17" s="85"/>
      <c r="D17" s="47"/>
      <c r="E17" s="86">
        <v>0.6666666666666666</v>
      </c>
      <c r="F17" s="87" t="s">
        <v>76</v>
      </c>
      <c r="G17" s="34"/>
      <c r="H17" s="44" t="s">
        <v>69</v>
      </c>
      <c r="I17" s="65"/>
      <c r="J17" s="65"/>
      <c r="K17" s="82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</row>
    <row r="18">
      <c r="A18" s="65"/>
      <c r="B18" s="82"/>
      <c r="C18" s="65"/>
      <c r="D18" s="65"/>
      <c r="E18" s="65"/>
      <c r="F18" s="88" t="s">
        <v>77</v>
      </c>
      <c r="G18" s="34"/>
      <c r="H18" s="34"/>
      <c r="I18" s="65"/>
      <c r="J18" s="65"/>
      <c r="K18" s="82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</row>
    <row r="19">
      <c r="A19" s="65"/>
      <c r="B19" s="82"/>
      <c r="C19" s="65"/>
      <c r="D19" s="65"/>
      <c r="E19" s="65"/>
      <c r="F19" s="65"/>
      <c r="G19" s="34"/>
      <c r="H19" s="34"/>
      <c r="I19" s="65"/>
      <c r="J19" s="65"/>
      <c r="K19" s="82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</row>
  </sheetData>
  <mergeCells count="5">
    <mergeCell ref="A1:F1"/>
    <mergeCell ref="D3:D6"/>
    <mergeCell ref="D7:D10"/>
    <mergeCell ref="D11:D14"/>
    <mergeCell ref="D15:D17"/>
  </mergeCells>
  <drawing r:id="rId2"/>
  <legacyDrawing r:id="rId3"/>
</worksheet>
</file>