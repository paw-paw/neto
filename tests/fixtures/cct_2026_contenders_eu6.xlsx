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5"/>
    <sheet state="visible" name="Bracket" sheetId="2" r:id="rId6"/>
    <sheet state="visible" name="Schedule" sheetId="3" r:id="rId7"/>
    <sheet state="hidden" name="Data" sheetId="4" r:id="rId8"/>
  </sheets>
  <definedNames/>
  <calcPr/>
</workbook>
</file>

<file path=xl/sharedStrings.xml><?xml version="1.0" encoding="utf-8"?>
<sst xmlns="http://schemas.openxmlformats.org/spreadsheetml/2006/main" count="428" uniqueCount="111">
  <si>
    <t>📝 Tournament Info</t>
  </si>
  <si>
    <t>💰 Prize Pool Distribution</t>
  </si>
  <si>
    <t>📋 Participants</t>
  </si>
  <si>
    <t>Event Name</t>
  </si>
  <si>
    <t>➡️</t>
  </si>
  <si>
    <t>CCT 2026 Contenders Europe 6</t>
  </si>
  <si>
    <t>Place</t>
  </si>
  <si>
    <t>Total</t>
  </si>
  <si>
    <t>Extra</t>
  </si>
  <si>
    <t>Team</t>
  </si>
  <si>
    <t>Main Event</t>
  </si>
  <si>
    <t>Open Qualifier Slot</t>
  </si>
  <si>
    <t>Basement Bobs</t>
  </si>
  <si>
    <t>Tournament Organizer</t>
  </si>
  <si>
    <t>CCT</t>
  </si>
  <si>
    <t>1st</t>
  </si>
  <si>
    <t>1x Slot on CCT 2026 Challengers Europe 5</t>
  </si>
  <si>
    <t>Banda Chuya</t>
  </si>
  <si>
    <t>Location</t>
  </si>
  <si>
    <t>Online, Europe</t>
  </si>
  <si>
    <t>2nd</t>
  </si>
  <si>
    <t>TrafficPills</t>
  </si>
  <si>
    <t>Prize pool</t>
  </si>
  <si>
    <t>3rd</t>
  </si>
  <si>
    <t>Jumbo Team</t>
  </si>
  <si>
    <t>Invite Date</t>
  </si>
  <si>
    <t>&gt;</t>
  </si>
  <si>
    <t>PURE</t>
  </si>
  <si>
    <t>Seed VRS</t>
  </si>
  <si>
    <t>MAYBE</t>
  </si>
  <si>
    <t>Valve Status</t>
  </si>
  <si>
    <t>Tier 2</t>
  </si>
  <si>
    <t>🔀</t>
  </si>
  <si>
    <t>Ranked</t>
  </si>
  <si>
    <t>📺 Tournament Socials</t>
  </si>
  <si>
    <t>Gatorian</t>
  </si>
  <si>
    <t>Rulebook</t>
  </si>
  <si>
    <t>[Public] CCT Season 3 - Official Rulebook - CCTS3.pdf</t>
  </si>
  <si>
    <t>Stream A</t>
  </si>
  <si>
    <t>kick.com/CCT_CS3</t>
  </si>
  <si>
    <t>Tricksters</t>
  </si>
  <si>
    <t>Announcement Link &amp; Date</t>
  </si>
  <si>
    <t>🗓️</t>
  </si>
  <si>
    <t>Stream B</t>
  </si>
  <si>
    <t>kick.com/CCT_CS4</t>
  </si>
  <si>
    <t>Next Up</t>
  </si>
  <si>
    <t>Additional Info Link &amp; Date</t>
  </si>
  <si>
    <t>X Account</t>
  </si>
  <si>
    <t>x.com/CCT_CS</t>
  </si>
  <si>
    <t>BAKS Esports</t>
  </si>
  <si>
    <t>Discord</t>
  </si>
  <si>
    <t>Contact 📩</t>
  </si>
  <si>
    <t>support@cct.gg</t>
  </si>
  <si>
    <t>Arch</t>
  </si>
  <si>
    <t>Format &gt; Main Event</t>
  </si>
  <si>
    <t>Double Elim, 16 Teams</t>
  </si>
  <si>
    <t>Diamant Esports</t>
  </si>
  <si>
    <t>Number of teams</t>
  </si>
  <si>
    <t>Main Event
- 16 Teams &gt; 8 Open Qualifier #1 + 8 Open Qualifier #2</t>
  </si>
  <si>
    <t>Al Ahli Esports</t>
  </si>
  <si>
    <t>The Boys</t>
  </si>
  <si>
    <t>LPH Gaming</t>
  </si>
  <si>
    <t>mellren</t>
  </si>
  <si>
    <t>Main Event - Double Elimination</t>
  </si>
  <si>
    <t>FFL</t>
  </si>
  <si>
    <t>Winners Bracket - Ro16</t>
  </si>
  <si>
    <t>FFW</t>
  </si>
  <si>
    <t>Winners Bracket - Quarter-Final</t>
  </si>
  <si>
    <t>Winners Bracket - Semi-Final</t>
  </si>
  <si>
    <t>Winners Bracket - Final</t>
  </si>
  <si>
    <t>Champion</t>
  </si>
  <si>
    <t>Grand Final</t>
  </si>
  <si>
    <t>Losers Bracket - R1</t>
  </si>
  <si>
    <t>Losers Bracket - R2</t>
  </si>
  <si>
    <t>Losers Bracket - R4</t>
  </si>
  <si>
    <t>Losers Bracket - Final</t>
  </si>
  <si>
    <t>Losers Bracket - R3</t>
  </si>
  <si>
    <t>Losers Bracket - Semi-Final</t>
  </si>
  <si>
    <t>Best Of</t>
  </si>
  <si>
    <t>Match</t>
  </si>
  <si>
    <t xml:space="preserve">Date </t>
  </si>
  <si>
    <t>Start Time</t>
  </si>
  <si>
    <t>Stream</t>
  </si>
  <si>
    <t>Team A</t>
  </si>
  <si>
    <t>Score</t>
  </si>
  <si>
    <t>Team B</t>
  </si>
  <si>
    <t>Map 1
Score</t>
  </si>
  <si>
    <t>Map 2
Score</t>
  </si>
  <si>
    <t>Map 3
Score</t>
  </si>
  <si>
    <t>Notes</t>
  </si>
  <si>
    <t>Bo3</t>
  </si>
  <si>
    <t>17:30 CEST</t>
  </si>
  <si>
    <t>A</t>
  </si>
  <si>
    <t>B</t>
  </si>
  <si>
    <t>20:15 CEST</t>
  </si>
  <si>
    <t>Maybe forfeits 1st map due to a player having tech issues</t>
  </si>
  <si>
    <t>Basement bobs forgeits 1st and 2nd map due to tech issues</t>
  </si>
  <si>
    <t>Tricksters forfeits 2nd map due to a power outage</t>
  </si>
  <si>
    <t>20:40 CEST</t>
  </si>
  <si>
    <t>20:30 CEST</t>
  </si>
  <si>
    <t>FFL.</t>
  </si>
  <si>
    <t>Invite</t>
  </si>
  <si>
    <t>Stage</t>
  </si>
  <si>
    <t>Europe VRS</t>
  </si>
  <si>
    <t>Bo1</t>
  </si>
  <si>
    <t>Global VRS</t>
  </si>
  <si>
    <t>South America VRS</t>
  </si>
  <si>
    <t>Bo5</t>
  </si>
  <si>
    <t>North America VRS</t>
  </si>
  <si>
    <t>Oceania VRS</t>
  </si>
  <si>
    <t>Wildcard Slot</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</si>
</sst>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
    <numFmt numFmtId="165" formatCode="&quot;$&quot;#,##0"/>
    <numFmt numFmtId="166" formatCode="ddd, dd mmm yyyy"/>
    <numFmt numFmtId="167" formatCode="mmmm&quot; &quot;yyyy&quot; VRS&quot;"/>
    <numFmt numFmtId="168" formatCode="0 &quot;/ 8 Teams&quot;"/>
    <numFmt numFmtId="169" formatCode="mmmm yyyy"/>
    <numFmt numFmtId="170" formatCode="d mmmm yyyy"/>
    <numFmt numFmtId="171" formatCode="&quot;$&quot;#,##0.00"/>
    <numFmt numFmtId="172" formatCode="&quot; &quot;ddd&quot;, &quot;d&quot; &quot;mmm&quot; &quot;yyyy"/>
  </numFmts>
  <fonts count="26">
    <font>
      <sz val="10.0"/>
      <color rgb="FF000000"/>
      <name val="Arial"/>
      <scheme val="minor"/>
    </font>
    <font>
      <b/>
      <sz val="10.0"/>
      <color theme="1"/>
      <name val="Inter"/>
    </font>
    <font>
      <b/>
      <sz val="12.0"/>
      <color theme="1"/>
      <name val="Inter"/>
    </font>
    <font/>
    <font>
      <b/>
      <sz val="10.0"/>
      <color rgb="FF000000"/>
      <name val="Inter"/>
    </font>
    <font>
      <sz val="10.0"/>
      <color rgb="FF000000"/>
      <name val="Inter"/>
    </font>
    <font>
      <b/>
      <color theme="1"/>
      <name val="Inter"/>
    </font>
    <font>
      <b/>
      <i/>
      <sz val="8.0"/>
      <color theme="1"/>
      <name val="Inter"/>
    </font>
    <font>
      <i/>
      <sz val="8.0"/>
      <color theme="1"/>
      <name val="Inter"/>
    </font>
    <font>
      <sz val="8.0"/>
      <color rgb="FF000000"/>
      <name val="Inter"/>
    </font>
    <font>
      <sz val="10.0"/>
      <color theme="1"/>
      <name val="Inter"/>
    </font>
    <font>
      <sz val="8.0"/>
      <color theme="1"/>
      <name val="Inter"/>
    </font>
    <font>
      <sz val="6.0"/>
      <color theme="1"/>
      <name val="Inter"/>
    </font>
    <font>
      <color theme="1"/>
      <name val="Arial"/>
    </font>
    <font>
      <b/>
      <i/>
      <sz val="8.0"/>
      <color rgb="FF000000"/>
      <name val="Inter"/>
    </font>
    <font>
      <u/>
      <sz val="10.0"/>
      <color theme="1"/>
      <name val="Inter"/>
    </font>
    <font>
      <b/>
      <sz val="8.0"/>
      <color theme="1"/>
      <name val="Inter"/>
    </font>
    <font>
      <b/>
      <u/>
      <sz val="8.0"/>
      <color rgb="FF0000FF"/>
      <name val="Inter"/>
    </font>
    <font>
      <b/>
      <u/>
      <sz val="8.0"/>
      <color rgb="FF0000FF"/>
      <name val="Inter"/>
    </font>
    <font>
      <b/>
      <u/>
      <sz val="8.0"/>
      <color rgb="FF0000FF"/>
      <name val="Inter"/>
    </font>
    <font>
      <sz val="9.0"/>
      <color theme="1"/>
      <name val="Inter"/>
    </font>
    <font>
      <b/>
      <sz val="9.0"/>
      <color theme="1"/>
      <name val="Inter"/>
    </font>
    <font>
      <b/>
      <color rgb="FF000000"/>
      <name val="Inter"/>
    </font>
    <font>
      <color rgb="FF000000"/>
      <name val="Inter"/>
    </font>
    <font>
      <sz val="9.0"/>
      <color rgb="FF000000"/>
      <name val="Inter"/>
    </font>
    <font>
      <color theme="1"/>
      <name val="Inter"/>
    </font>
  </fonts>
  <fills count="14">
    <fill>
      <patternFill patternType="none"/>
    </fill>
    <fill>
      <patternFill patternType="lightGray"/>
    </fill>
    <fill>
      <patternFill patternType="solid">
        <fgColor rgb="FFD5A6BD"/>
        <bgColor rgb="FFD5A6BD"/>
      </patternFill>
    </fill>
    <fill>
      <patternFill patternType="solid">
        <fgColor rgb="FF9FC5E8"/>
        <bgColor rgb="FF9FC5E8"/>
      </patternFill>
    </fill>
    <fill>
      <patternFill patternType="solid">
        <fgColor rgb="FFFFFFFF"/>
        <bgColor rgb="FFFFFFFF"/>
      </patternFill>
    </fill>
    <fill>
      <patternFill patternType="solid">
        <fgColor rgb="FFC9DAF8"/>
        <bgColor rgb="FFC9DAF8"/>
      </patternFill>
    </fill>
    <fill>
      <patternFill patternType="solid">
        <fgColor rgb="FFD9D9D9"/>
        <bgColor rgb="FFD9D9D9"/>
      </patternFill>
    </fill>
    <fill>
      <patternFill patternType="solid">
        <fgColor rgb="FF4A86E8"/>
        <bgColor rgb="FF4A86E8"/>
      </patternFill>
    </fill>
    <fill>
      <patternFill patternType="solid">
        <fgColor rgb="FFFFE599"/>
        <bgColor rgb="FFFFE599"/>
      </patternFill>
    </fill>
    <fill>
      <patternFill patternType="solid">
        <fgColor rgb="FFB6D7A8"/>
        <bgColor rgb="FFB6D7A8"/>
      </patternFill>
    </fill>
    <fill>
      <patternFill patternType="solid">
        <fgColor rgb="FFFBECEC"/>
        <bgColor rgb="FFFBECEC"/>
      </patternFill>
    </fill>
    <fill>
      <patternFill patternType="solid">
        <fgColor rgb="FFFFF2CC"/>
        <bgColor rgb="FFFFF2CC"/>
      </patternFill>
    </fill>
    <fill>
      <patternFill patternType="solid">
        <fgColor rgb="FFFCE5CD"/>
        <bgColor rgb="FFFCE5CD"/>
      </patternFill>
    </fill>
    <fill>
      <patternFill patternType="solid">
        <fgColor rgb="FF000000"/>
        <bgColor rgb="FF000000"/>
      </patternFill>
    </fill>
  </fills>
  <borders count="32">
    <border/>
    <border>
      <left style="medium">
        <color rgb="FF000000"/>
      </left>
      <top style="medium">
        <color rgb="FF000000"/>
      </top>
      <bottom style="thin">
        <color rgb="FFCCCCCC"/>
      </bottom>
    </border>
    <border>
      <top style="medium">
        <color rgb="FF000000"/>
      </top>
      <bottom style="thin">
        <color rgb="FFCCCCCC"/>
      </bottom>
    </border>
    <border>
      <right style="medium">
        <color rgb="FF000000"/>
      </right>
      <top style="medium">
        <color rgb="FF000000"/>
      </top>
      <bottom style="thin">
        <color rgb="FFCCCCCC"/>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thick">
        <color rgb="FF000000"/>
      </bottom>
    </border>
    <border>
      <top style="medium">
        <color rgb="FF000000"/>
      </top>
      <bottom style="thick">
        <color rgb="FF000000"/>
      </bottom>
    </border>
    <border>
      <right style="medium">
        <color rgb="FF000000"/>
      </right>
      <top style="medium">
        <color rgb="FF000000"/>
      </top>
      <bottom style="thick">
        <color rgb="FF000000"/>
      </bottom>
    </border>
    <border>
      <left style="medium">
        <color rgb="FF000000"/>
      </left>
      <bottom style="thin">
        <color rgb="FFCCCCCC"/>
      </bottom>
    </border>
    <border>
      <bottom style="thin">
        <color rgb="FFCCCCCC"/>
      </bottom>
    </border>
    <border>
      <right style="medium">
        <color rgb="FF000000"/>
      </right>
      <bottom style="thin">
        <color rgb="FFCCCCC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top style="thin">
        <color rgb="FFCCCCCC"/>
      </top>
      <bottom style="thin">
        <color rgb="FFCCCCCC"/>
      </bottom>
    </border>
    <border>
      <bottom style="dotted">
        <color rgb="FF000000"/>
      </bottom>
    </border>
    <border>
      <right style="medium">
        <color rgb="FF000000"/>
      </right>
      <bottom style="dotted">
        <color rgb="FF000000"/>
      </bottom>
    </border>
    <border>
      <left style="medium">
        <color rgb="FF000000"/>
      </left>
      <top style="thin">
        <color rgb="FFCCCCCC"/>
      </top>
    </border>
    <border>
      <left style="medium">
        <color rgb="FF000000"/>
      </left>
      <top style="dotted">
        <color rgb="FF000000"/>
      </top>
      <bottom style="dotted">
        <color rgb="FF000000"/>
      </bottom>
    </border>
    <border>
      <bottom style="medium">
        <color rgb="FF000000"/>
      </bottom>
    </border>
    <border>
      <right style="medium">
        <color rgb="FF000000"/>
      </right>
      <bottom style="medium">
        <color rgb="FF000000"/>
      </bottom>
    </border>
    <border>
      <top style="thin">
        <color rgb="FFCCCCCC"/>
      </top>
      <bottom style="thin">
        <color rgb="FFCCCCCC"/>
      </bottom>
    </border>
    <border>
      <right style="medium">
        <color rgb="FF000000"/>
      </right>
      <top style="thin">
        <color rgb="FFCCCCCC"/>
      </top>
      <bottom style="thin">
        <color rgb="FFCCCCCC"/>
      </bottom>
    </border>
    <border>
      <left style="medium">
        <color rgb="FF000000"/>
      </left>
      <bottom style="medium">
        <color rgb="FF000000"/>
      </bottom>
    </border>
    <border>
      <top style="thin">
        <color rgb="FFCCCCCC"/>
      </top>
      <bottom style="medium">
        <color rgb="FF000000"/>
      </bottom>
    </border>
    <border>
      <right style="medium">
        <color rgb="FF000000"/>
      </right>
      <top style="thin">
        <color rgb="FFCCCCCC"/>
      </top>
      <bottom style="medium">
        <color rgb="FF000000"/>
      </bottom>
    </border>
    <border>
      <top style="thin">
        <color rgb="FFCCCCCC"/>
      </top>
    </border>
    <border>
      <right style="medium">
        <color rgb="FF000000"/>
      </right>
      <top style="thin">
        <color rgb="FFCCCCCC"/>
      </top>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left" readingOrder="0" vertical="center"/>
    </xf>
    <xf borderId="1"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0" fillId="0" fontId="1" numFmtId="0" xfId="0" applyAlignment="1" applyFont="1">
      <alignment horizontal="center" readingOrder="0" shrinkToFit="0" vertical="center" wrapText="1"/>
    </xf>
    <xf borderId="4" fillId="0" fontId="2" numFmtId="0" xfId="0" applyAlignment="1" applyBorder="1" applyFont="1">
      <alignment horizontal="center" readingOrder="0" vertical="center"/>
    </xf>
    <xf borderId="5" fillId="0" fontId="3" numFmtId="0" xfId="0" applyBorder="1" applyFont="1"/>
    <xf borderId="6" fillId="0" fontId="3" numFmtId="0" xfId="0" applyBorder="1" applyFont="1"/>
    <xf borderId="7" fillId="0" fontId="2" numFmtId="0" xfId="0" applyAlignment="1" applyBorder="1" applyFont="1">
      <alignment horizontal="center" readingOrder="0" vertical="center"/>
    </xf>
    <xf borderId="8" fillId="0" fontId="3" numFmtId="0" xfId="0" applyBorder="1" applyFont="1"/>
    <xf borderId="9" fillId="0" fontId="3" numFmtId="0" xfId="0" applyBorder="1" applyFont="1"/>
    <xf borderId="10" fillId="0" fontId="1" numFmtId="0" xfId="0" applyAlignment="1" applyBorder="1" applyFont="1">
      <alignment horizontal="left" readingOrder="0" vertical="center"/>
    </xf>
    <xf borderId="11" fillId="0" fontId="4" numFmtId="0" xfId="0" applyAlignment="1" applyBorder="1" applyFont="1">
      <alignment horizontal="left" readingOrder="0" vertical="center"/>
    </xf>
    <xf borderId="11" fillId="0" fontId="5" numFmtId="0" xfId="0" applyAlignment="1" applyBorder="1" applyFont="1">
      <alignment horizontal="left" readingOrder="0" vertical="center"/>
    </xf>
    <xf borderId="11" fillId="0" fontId="3" numFmtId="0" xfId="0" applyBorder="1" applyFont="1"/>
    <xf borderId="12" fillId="0" fontId="3" numFmtId="0" xfId="0" applyBorder="1" applyFont="1"/>
    <xf borderId="13" fillId="2" fontId="1" numFmtId="0" xfId="0" applyAlignment="1" applyBorder="1" applyFill="1" applyFont="1">
      <alignment horizontal="center" readingOrder="0" vertical="center"/>
    </xf>
    <xf borderId="14" fillId="2" fontId="1" numFmtId="0" xfId="0" applyAlignment="1" applyBorder="1" applyFont="1">
      <alignment horizontal="center" readingOrder="0" vertical="center"/>
    </xf>
    <xf borderId="14" fillId="2" fontId="6" numFmtId="0" xfId="0" applyAlignment="1" applyBorder="1" applyFont="1">
      <alignment horizontal="center"/>
    </xf>
    <xf borderId="15" fillId="2" fontId="1" numFmtId="0" xfId="0" applyAlignment="1" applyBorder="1" applyFont="1">
      <alignment horizontal="center" readingOrder="0" vertical="center"/>
    </xf>
    <xf borderId="16" fillId="3" fontId="7" numFmtId="0" xfId="0" applyAlignment="1" applyBorder="1" applyFill="1" applyFont="1">
      <alignment horizontal="center" readingOrder="0"/>
    </xf>
    <xf borderId="0" fillId="3" fontId="7" numFmtId="0" xfId="0" applyAlignment="1" applyFont="1">
      <alignment horizontal="center" readingOrder="0" vertical="center"/>
    </xf>
    <xf borderId="0" fillId="0" fontId="8" numFmtId="0" xfId="0" applyAlignment="1" applyFont="1">
      <alignment horizontal="left" readingOrder="0" vertical="center"/>
    </xf>
    <xf borderId="17" fillId="4" fontId="9" numFmtId="0" xfId="0" applyAlignment="1" applyBorder="1" applyFill="1" applyFont="1">
      <alignment horizontal="left" readingOrder="0" vertical="center"/>
    </xf>
    <xf borderId="18" fillId="0" fontId="1" numFmtId="0" xfId="0" applyAlignment="1" applyBorder="1" applyFont="1">
      <alignment horizontal="left" readingOrder="0" vertical="center"/>
    </xf>
    <xf borderId="11" fillId="0" fontId="10" numFmtId="0" xfId="0" applyAlignment="1" applyBorder="1" applyFont="1">
      <alignment horizontal="left" readingOrder="0" vertical="center"/>
    </xf>
    <xf borderId="16" fillId="4" fontId="11" numFmtId="0" xfId="0" applyAlignment="1" applyBorder="1" applyFont="1">
      <alignment horizontal="center" readingOrder="0" vertical="center"/>
    </xf>
    <xf borderId="19" fillId="4" fontId="11" numFmtId="164" xfId="0" applyAlignment="1" applyBorder="1" applyFont="1" applyNumberFormat="1">
      <alignment horizontal="center" readingOrder="0" vertical="center"/>
    </xf>
    <xf borderId="19" fillId="4" fontId="12" numFmtId="164" xfId="0" applyAlignment="1" applyBorder="1" applyFont="1" applyNumberFormat="1">
      <alignment horizontal="center" readingOrder="0" shrinkToFit="0" wrapText="1"/>
    </xf>
    <xf borderId="20" fillId="4" fontId="11" numFmtId="0" xfId="0" applyAlignment="1" applyBorder="1" applyFont="1">
      <alignment horizontal="left" readingOrder="0" vertical="center"/>
    </xf>
    <xf borderId="21" fillId="0" fontId="1" numFmtId="0" xfId="0" applyAlignment="1" applyBorder="1" applyFont="1">
      <alignment horizontal="left" readingOrder="0" vertical="center"/>
    </xf>
    <xf borderId="22" fillId="4" fontId="11" numFmtId="0" xfId="0" applyAlignment="1" applyBorder="1" applyFont="1">
      <alignment horizontal="center" readingOrder="0" vertical="center"/>
    </xf>
    <xf borderId="11" fillId="0" fontId="10" numFmtId="165" xfId="0" applyAlignment="1" applyBorder="1" applyFont="1" applyNumberFormat="1">
      <alignment horizontal="left" readingOrder="0" vertical="center"/>
    </xf>
    <xf borderId="23" fillId="4" fontId="11" numFmtId="164" xfId="0" applyAlignment="1" applyBorder="1" applyFont="1" applyNumberFormat="1">
      <alignment horizontal="center" readingOrder="0" vertical="center"/>
    </xf>
    <xf borderId="23" fillId="4" fontId="13" numFmtId="164" xfId="0" applyBorder="1" applyFont="1" applyNumberFormat="1"/>
    <xf borderId="24" fillId="4" fontId="11" numFmtId="0" xfId="0" applyAlignment="1" applyBorder="1" applyFont="1">
      <alignment horizontal="left" readingOrder="0" vertical="center"/>
    </xf>
    <xf borderId="11" fillId="0" fontId="10" numFmtId="166" xfId="0" applyAlignment="1" applyBorder="1" applyFont="1" applyNumberFormat="1">
      <alignment horizontal="left" readingOrder="0" vertical="center"/>
    </xf>
    <xf borderId="12" fillId="0" fontId="10" numFmtId="167" xfId="0" applyAlignment="1" applyBorder="1" applyFont="1" applyNumberFormat="1">
      <alignment horizontal="left" readingOrder="0" vertical="center"/>
    </xf>
    <xf borderId="23" fillId="2" fontId="1" numFmtId="164" xfId="0" applyAlignment="1" applyBorder="1" applyFont="1" applyNumberFormat="1">
      <alignment horizontal="center" readingOrder="0" vertical="center"/>
    </xf>
    <xf borderId="23" fillId="2" fontId="13" numFmtId="164" xfId="0" applyBorder="1" applyFont="1" applyNumberFormat="1"/>
    <xf borderId="24" fillId="2" fontId="1" numFmtId="168" xfId="0" applyAlignment="1" applyBorder="1" applyFont="1" applyNumberFormat="1">
      <alignment horizontal="center" readingOrder="0" vertical="center"/>
    </xf>
    <xf borderId="0" fillId="3" fontId="14" numFmtId="0" xfId="0" applyAlignment="1" applyFont="1">
      <alignment horizontal="center" readingOrder="0" vertical="center"/>
    </xf>
    <xf borderId="11" fillId="0" fontId="10" numFmtId="169" xfId="0" applyAlignment="1" applyBorder="1" applyFont="1" applyNumberFormat="1">
      <alignment horizontal="left" readingOrder="0" vertical="center"/>
    </xf>
    <xf borderId="11" fillId="0" fontId="10" numFmtId="0" xfId="0" applyAlignment="1" applyBorder="1" applyFont="1">
      <alignment horizontal="left" readingOrder="0" vertical="center"/>
    </xf>
    <xf borderId="12" fillId="0" fontId="10" numFmtId="0" xfId="0" applyAlignment="1" applyBorder="1" applyFont="1">
      <alignment horizontal="left" readingOrder="0" vertical="center"/>
    </xf>
    <xf borderId="11" fillId="0" fontId="15" numFmtId="0" xfId="0" applyAlignment="1" applyBorder="1" applyFont="1">
      <alignment horizontal="left" readingOrder="0" vertical="center"/>
    </xf>
    <xf borderId="18" fillId="0" fontId="16" numFmtId="0" xfId="0" applyAlignment="1" applyBorder="1" applyFont="1">
      <alignment horizontal="left" readingOrder="0" vertical="center"/>
    </xf>
    <xf borderId="25" fillId="0" fontId="17" numFmtId="164" xfId="0" applyAlignment="1" applyBorder="1" applyFont="1" applyNumberFormat="1">
      <alignment readingOrder="0" vertical="center"/>
    </xf>
    <xf borderId="25" fillId="0" fontId="3" numFmtId="0" xfId="0" applyBorder="1" applyFont="1"/>
    <xf borderId="26" fillId="0" fontId="3" numFmtId="0" xfId="0" applyBorder="1" applyFont="1"/>
    <xf borderId="12" fillId="0" fontId="10" numFmtId="170" xfId="0" applyAlignment="1" applyBorder="1" applyFont="1" applyNumberFormat="1">
      <alignment horizontal="left" readingOrder="0" vertical="center"/>
    </xf>
    <xf borderId="25" fillId="0" fontId="18" numFmtId="164" xfId="0" applyAlignment="1" applyBorder="1" applyFont="1" applyNumberFormat="1">
      <alignment horizontal="left" readingOrder="0" vertical="center"/>
    </xf>
    <xf borderId="11" fillId="0" fontId="10" numFmtId="171" xfId="0" applyAlignment="1" applyBorder="1" applyFont="1" applyNumberFormat="1">
      <alignment horizontal="left" readingOrder="0" vertical="center"/>
    </xf>
    <xf borderId="27" fillId="0" fontId="16" numFmtId="0" xfId="0" applyAlignment="1" applyBorder="1" applyFont="1">
      <alignment horizontal="left" readingOrder="0" vertical="center"/>
    </xf>
    <xf borderId="28" fillId="0" fontId="19" numFmtId="164" xfId="0" applyAlignment="1" applyBorder="1" applyFont="1" applyNumberFormat="1">
      <alignment horizontal="left" readingOrder="0" vertical="center"/>
    </xf>
    <xf borderId="28" fillId="0" fontId="3" numFmtId="0" xfId="0" applyBorder="1" applyFont="1"/>
    <xf borderId="29" fillId="0" fontId="3" numFmtId="0" xfId="0" applyBorder="1" applyFont="1"/>
    <xf borderId="30" fillId="0" fontId="1" numFmtId="0" xfId="0" applyAlignment="1" applyBorder="1" applyFont="1">
      <alignment horizontal="left" readingOrder="0" vertical="center"/>
    </xf>
    <xf borderId="30" fillId="0" fontId="10" numFmtId="0" xfId="0" applyAlignment="1" applyBorder="1" applyFont="1">
      <alignment horizontal="left" readingOrder="0" shrinkToFit="0" vertical="center" wrapText="1"/>
    </xf>
    <xf borderId="30" fillId="0" fontId="3" numFmtId="0" xfId="0" applyBorder="1" applyFont="1"/>
    <xf borderId="31" fillId="0" fontId="3" numFmtId="0" xfId="0" applyBorder="1" applyFont="1"/>
    <xf borderId="16" fillId="0" fontId="3" numFmtId="0" xfId="0" applyBorder="1" applyFont="1"/>
    <xf borderId="17" fillId="0" fontId="3" numFmtId="0" xfId="0" applyBorder="1" applyFont="1"/>
    <xf borderId="27" fillId="0" fontId="3" numFmtId="0" xfId="0" applyBorder="1" applyFont="1"/>
    <xf borderId="23" fillId="0" fontId="3" numFmtId="0" xfId="0" applyBorder="1" applyFont="1"/>
    <xf borderId="24" fillId="0" fontId="3" numFmtId="0" xfId="0" applyBorder="1" applyFont="1"/>
    <xf borderId="27" fillId="3" fontId="7" numFmtId="0" xfId="0" applyAlignment="1" applyBorder="1" applyFont="1">
      <alignment horizontal="center" readingOrder="0"/>
    </xf>
    <xf borderId="23" fillId="3" fontId="14" numFmtId="0" xfId="0" applyAlignment="1" applyBorder="1" applyFont="1">
      <alignment horizontal="center" readingOrder="0" vertical="center"/>
    </xf>
    <xf borderId="23" fillId="0" fontId="8" numFmtId="0" xfId="0" applyAlignment="1" applyBorder="1" applyFont="1">
      <alignment horizontal="left" readingOrder="0" vertical="center"/>
    </xf>
    <xf borderId="24" fillId="4" fontId="9" numFmtId="0" xfId="0" applyAlignment="1" applyBorder="1" applyFont="1">
      <alignment horizontal="left" readingOrder="0" vertical="center"/>
    </xf>
    <xf borderId="0" fillId="0" fontId="10" numFmtId="0" xfId="0" applyAlignment="1" applyFont="1">
      <alignment vertical="center"/>
    </xf>
    <xf borderId="0" fillId="3" fontId="1" numFmtId="0" xfId="0" applyAlignment="1" applyFont="1">
      <alignment horizontal="center" readingOrder="0" vertical="center"/>
    </xf>
    <xf borderId="0" fillId="0" fontId="20" numFmtId="0" xfId="0" applyAlignment="1" applyFont="1">
      <alignment horizontal="center" readingOrder="0" vertical="center"/>
    </xf>
    <xf borderId="0" fillId="0" fontId="20" numFmtId="0" xfId="0" applyAlignment="1" applyFont="1">
      <alignment horizontal="center" vertical="center"/>
    </xf>
    <xf borderId="0" fillId="0" fontId="13" numFmtId="0" xfId="0" applyFont="1"/>
    <xf borderId="0" fillId="0" fontId="13" numFmtId="0" xfId="0" applyFont="1"/>
    <xf borderId="0" fillId="5" fontId="11" numFmtId="0" xfId="0" applyAlignment="1" applyFill="1" applyFont="1">
      <alignment horizontal="center" readingOrder="0" vertical="center"/>
    </xf>
    <xf borderId="0" fillId="6" fontId="20" numFmtId="0" xfId="0" applyAlignment="1" applyFill="1" applyFont="1">
      <alignment horizontal="center" readingOrder="0" vertical="center"/>
    </xf>
    <xf borderId="0" fillId="7" fontId="20" numFmtId="0" xfId="0" applyAlignment="1" applyFill="1" applyFont="1">
      <alignment horizontal="center" vertical="center"/>
    </xf>
    <xf borderId="0" fillId="0" fontId="11" numFmtId="0" xfId="0" applyAlignment="1" applyFont="1">
      <alignment horizontal="center" readingOrder="0" vertical="center"/>
    </xf>
    <xf borderId="0" fillId="0" fontId="13" numFmtId="0" xfId="0" applyAlignment="1" applyFont="1">
      <alignment readingOrder="0"/>
    </xf>
    <xf borderId="0" fillId="8" fontId="21" numFmtId="0" xfId="0" applyAlignment="1" applyFill="1" applyFont="1">
      <alignment horizontal="center" vertical="center"/>
    </xf>
    <xf borderId="0" fillId="9" fontId="16" numFmtId="0" xfId="0" applyAlignment="1" applyFill="1" applyFont="1">
      <alignment horizontal="center" readingOrder="0" vertical="center"/>
    </xf>
    <xf borderId="23" fillId="0" fontId="20" numFmtId="0" xfId="0" applyAlignment="1" applyBorder="1" applyFont="1">
      <alignment horizontal="center" vertical="center"/>
    </xf>
    <xf borderId="0" fillId="0" fontId="20" numFmtId="0" xfId="0" applyAlignment="1" applyFont="1">
      <alignment horizontal="center"/>
    </xf>
    <xf borderId="0" fillId="0" fontId="20" numFmtId="0" xfId="0" applyAlignment="1" applyFont="1">
      <alignment horizontal="center"/>
    </xf>
    <xf borderId="5" fillId="0" fontId="22" numFmtId="0" xfId="0" applyAlignment="1" applyBorder="1" applyFont="1">
      <alignment horizontal="center" readingOrder="0" shrinkToFit="0" vertical="center" wrapText="1"/>
    </xf>
    <xf borderId="5" fillId="0" fontId="6" numFmtId="0" xfId="0" applyAlignment="1" applyBorder="1" applyFont="1">
      <alignment horizontal="center" shrinkToFit="0" vertical="center" wrapText="1"/>
    </xf>
    <xf borderId="5" fillId="10" fontId="22" numFmtId="0" xfId="0" applyAlignment="1" applyBorder="1" applyFill="1" applyFont="1">
      <alignment horizontal="center" readingOrder="0" shrinkToFit="0" vertical="center" wrapText="1"/>
    </xf>
    <xf borderId="5" fillId="8" fontId="22" numFmtId="0" xfId="0" applyAlignment="1" applyBorder="1" applyFont="1">
      <alignment horizontal="center" readingOrder="0" shrinkToFit="0" vertical="center" wrapText="1"/>
    </xf>
    <xf borderId="5" fillId="8" fontId="22" numFmtId="0" xfId="0" applyAlignment="1" applyBorder="1" applyFont="1">
      <alignment horizontal="center" shrinkToFit="0" vertical="center" wrapText="1"/>
    </xf>
    <xf borderId="5" fillId="0" fontId="23" numFmtId="0" xfId="0" applyAlignment="1" applyBorder="1" applyFont="1">
      <alignment horizontal="center" readingOrder="0" shrinkToFit="0" vertical="center" wrapText="1"/>
    </xf>
    <xf borderId="5" fillId="11" fontId="24" numFmtId="0" xfId="0" applyAlignment="1" applyBorder="1" applyFill="1" applyFont="1">
      <alignment horizontal="center" readingOrder="0" shrinkToFit="0" vertical="center" wrapText="1"/>
    </xf>
    <xf borderId="5" fillId="0" fontId="24" numFmtId="0" xfId="0" applyAlignment="1" applyBorder="1" applyFont="1">
      <alignment horizontal="center" readingOrder="0" shrinkToFit="0" vertical="center" wrapText="1"/>
    </xf>
    <xf borderId="5" fillId="12" fontId="24" numFmtId="0" xfId="0" applyAlignment="1" applyBorder="1" applyFill="1" applyFont="1">
      <alignment horizontal="center" readingOrder="0" shrinkToFit="0" vertical="center" wrapText="1"/>
    </xf>
    <xf borderId="0" fillId="13" fontId="25" numFmtId="0" xfId="0" applyAlignment="1" applyFill="1" applyFont="1">
      <alignment shrinkToFit="0" vertical="center" wrapText="1"/>
    </xf>
    <xf borderId="5" fillId="0" fontId="11" numFmtId="0" xfId="0" applyAlignment="1" applyBorder="1" applyFont="1">
      <alignment horizontal="center" readingOrder="0" shrinkToFit="0" vertical="center" wrapText="1"/>
    </xf>
    <xf borderId="5" fillId="0" fontId="11" numFmtId="0" xfId="0" applyAlignment="1" applyBorder="1" applyFont="1">
      <alignment horizontal="left" readingOrder="0" shrinkToFit="0" vertical="center" wrapText="1"/>
    </xf>
    <xf borderId="5" fillId="0" fontId="9" numFmtId="172" xfId="0" applyAlignment="1" applyBorder="1" applyFont="1" applyNumberFormat="1">
      <alignment horizontal="center" readingOrder="0" shrinkToFit="0" vertical="center" wrapText="1"/>
    </xf>
    <xf borderId="5" fillId="0" fontId="11" numFmtId="0" xfId="0" applyAlignment="1" applyBorder="1" applyFont="1">
      <alignment horizontal="center" shrinkToFit="0" vertical="center" wrapText="1"/>
    </xf>
    <xf borderId="5" fillId="4" fontId="11" numFmtId="0" xfId="0" applyAlignment="1" applyBorder="1" applyFont="1">
      <alignment horizontal="center" readingOrder="0" vertical="center"/>
    </xf>
    <xf borderId="5" fillId="4" fontId="11" numFmtId="0" xfId="0" applyAlignment="1" applyBorder="1" applyFont="1">
      <alignment horizontal="center" vertical="center"/>
    </xf>
    <xf borderId="5" fillId="4" fontId="11" numFmtId="0" xfId="0" applyAlignment="1" applyBorder="1" applyFont="1">
      <alignment horizontal="center" vertical="center"/>
    </xf>
    <xf borderId="0" fillId="13" fontId="11" numFmtId="0" xfId="0" applyAlignment="1" applyFont="1">
      <alignment shrinkToFit="0" vertical="center" wrapText="1"/>
    </xf>
    <xf borderId="0" fillId="0" fontId="11" numFmtId="0" xfId="0" applyAlignment="1" applyFont="1">
      <alignment horizontal="center" readingOrder="0" shrinkToFit="0" vertical="center" wrapText="1"/>
    </xf>
    <xf borderId="0" fillId="0" fontId="11" numFmtId="0" xfId="0" applyAlignment="1" applyFont="1">
      <alignment horizontal="left" readingOrder="0" shrinkToFit="0" vertical="center" wrapText="1"/>
    </xf>
    <xf borderId="0" fillId="0" fontId="11" numFmtId="0" xfId="0" applyAlignment="1" applyFont="1">
      <alignment horizontal="center" shrinkToFit="0" vertical="center" wrapText="1"/>
    </xf>
    <xf borderId="0" fillId="4" fontId="11" numFmtId="0" xfId="0" applyAlignment="1" applyFont="1">
      <alignment horizontal="center" readingOrder="0" vertical="center"/>
    </xf>
    <xf borderId="0" fillId="4" fontId="11" numFmtId="0" xfId="0" applyAlignment="1" applyFont="1">
      <alignment horizontal="center" vertical="center"/>
    </xf>
    <xf borderId="23" fillId="0" fontId="11" numFmtId="0" xfId="0" applyAlignment="1" applyBorder="1" applyFont="1">
      <alignment horizontal="center" readingOrder="0" shrinkToFit="0" vertical="center" wrapText="1"/>
    </xf>
    <xf borderId="23" fillId="0" fontId="11" numFmtId="0" xfId="0" applyAlignment="1" applyBorder="1" applyFont="1">
      <alignment horizontal="left" readingOrder="0" shrinkToFit="0" vertical="center" wrapText="1"/>
    </xf>
    <xf borderId="23" fillId="0" fontId="11" numFmtId="0" xfId="0" applyAlignment="1" applyBorder="1" applyFont="1">
      <alignment horizontal="center" shrinkToFit="0" vertical="center" wrapText="1"/>
    </xf>
    <xf borderId="23" fillId="4" fontId="11" numFmtId="0" xfId="0" applyAlignment="1" applyBorder="1" applyFont="1">
      <alignment horizontal="center" readingOrder="0" vertical="center"/>
    </xf>
    <xf borderId="23" fillId="4" fontId="11" numFmtId="0" xfId="0" applyAlignment="1" applyBorder="1" applyFont="1">
      <alignment horizontal="center" vertical="center"/>
    </xf>
    <xf borderId="0" fillId="4" fontId="11" numFmtId="0" xfId="0" applyAlignment="1" applyFont="1">
      <alignment horizontal="center" vertical="center"/>
    </xf>
    <xf borderId="23" fillId="4" fontId="11" numFmtId="0" xfId="0" applyAlignment="1" applyBorder="1" applyFont="1">
      <alignment horizontal="center" vertical="center"/>
    </xf>
    <xf borderId="0" fillId="0" fontId="6" numFmtId="0" xfId="0" applyAlignment="1" applyFont="1">
      <alignment horizontal="left" readingOrder="0"/>
    </xf>
    <xf borderId="0" fillId="0" fontId="6" numFmtId="0" xfId="0" applyAlignment="1" applyFont="1">
      <alignment readingOrder="0"/>
    </xf>
    <xf borderId="0" fillId="0" fontId="25" numFmtId="0" xfId="0" applyAlignment="1" applyFont="1">
      <alignment readingOrder="0" vertical="bottom"/>
    </xf>
    <xf borderId="0" fillId="0" fontId="25" numFmtId="0" xfId="0" applyAlignment="1" applyFont="1">
      <alignment horizontal="left" readingOrder="0"/>
    </xf>
  </cellXfs>
  <cellStyles count="1">
    <cellStyle xfId="0" name="Normal" builtinId="0"/>
  </cellStyles>
  <dxfs count="11">
    <dxf>
      <font>
        <color rgb="FF999999"/>
      </font>
      <fill>
        <patternFill patternType="none"/>
      </fill>
      <border/>
    </dxf>
    <dxf>
      <font>
        <b/>
        <color rgb="FF000000"/>
      </font>
      <fill>
        <patternFill patternType="solid">
          <fgColor rgb="FFB6D7A8"/>
          <bgColor rgb="FFB6D7A8"/>
        </patternFill>
      </fill>
      <border/>
    </dxf>
    <dxf>
      <font>
        <b/>
        <color rgb="FF000000"/>
      </font>
      <fill>
        <patternFill patternType="solid">
          <fgColor rgb="FFEA9999"/>
          <bgColor rgb="FFEA9999"/>
        </patternFill>
      </fill>
      <border/>
    </dxf>
    <dxf>
      <font>
        <b/>
        <color rgb="FF000000"/>
      </font>
      <fill>
        <patternFill patternType="none"/>
      </fill>
      <border/>
    </dxf>
    <dxf>
      <font/>
      <fill>
        <patternFill patternType="solid">
          <fgColor rgb="FF00FF00"/>
          <bgColor rgb="FF00FF00"/>
        </patternFill>
      </fill>
      <border/>
    </dxf>
    <dxf>
      <font>
        <b/>
        <color rgb="FFFF0000"/>
      </font>
      <fill>
        <patternFill patternType="solid">
          <fgColor rgb="FFFFFFFF"/>
          <bgColor rgb="FFFFFFFF"/>
        </patternFill>
      </fill>
      <border/>
    </dxf>
    <dxf>
      <font>
        <b/>
        <color rgb="FF00FF00"/>
      </font>
      <fill>
        <patternFill patternType="solid">
          <fgColor rgb="FFFFFFFF"/>
          <bgColor rgb="FFFFFFFF"/>
        </patternFill>
      </fill>
      <border/>
    </dxf>
    <dxf>
      <font>
        <b/>
        <color rgb="FFB6D7A8"/>
      </font>
      <fill>
        <patternFill patternType="solid">
          <fgColor rgb="FFFFFFFF"/>
          <bgColor rgb="FFFFFFFF"/>
        </patternFill>
      </fill>
      <border/>
    </dxf>
    <dxf>
      <font>
        <b/>
        <color rgb="FF980000"/>
      </font>
      <fill>
        <patternFill patternType="solid">
          <fgColor rgb="FFFFFFFF"/>
          <bgColor rgb="FFFFFFFF"/>
        </patternFill>
      </fill>
      <border/>
    </dxf>
    <dxf>
      <font>
        <b/>
        <color rgb="FF000000"/>
      </font>
      <fill>
        <patternFill patternType="solid">
          <fgColor rgb="FFFFFFFF"/>
          <bgColor rgb="FFFFFFFF"/>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wjc4U7bnwICaWGCoGTtlafeACh060Vy/view" TargetMode="External"/><Relationship Id="rId2" Type="http://schemas.openxmlformats.org/officeDocument/2006/relationships/hyperlink" Target="http://kick.com/CCT_CS3" TargetMode="External"/><Relationship Id="rId3" Type="http://schemas.openxmlformats.org/officeDocument/2006/relationships/hyperlink" Target="http://kick.com/CCT_CS4" TargetMode="External"/><Relationship Id="rId4" Type="http://schemas.openxmlformats.org/officeDocument/2006/relationships/hyperlink" Target="http://x.com/CCT_CS" TargetMode="External"/><Relationship Id="rId5" Type="http://schemas.openxmlformats.org/officeDocument/2006/relationships/hyperlink" Target="mailto:support@cct.g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cols>
    <col customWidth="1" min="1" max="1" width="2.25"/>
    <col customWidth="1" min="2" max="2" width="25.5"/>
    <col customWidth="1" min="3" max="3" width="3.0"/>
    <col customWidth="1" min="4" max="4" width="10.38"/>
    <col customWidth="1" min="5" max="5" width="2.5"/>
    <col customWidth="1" min="6" max="6" width="18.0"/>
    <col customWidth="1" min="7" max="7" width="2.25"/>
    <col customWidth="1" min="8" max="8" width="8.13"/>
    <col customWidth="1" min="9" max="10" width="11.63"/>
    <col customWidth="1" min="11" max="11" width="1.75"/>
    <col customWidth="1" min="12" max="12" width="11.63"/>
    <col customWidth="1" min="13" max="13" width="2.25"/>
    <col customWidth="1" min="14" max="14" width="11.63"/>
    <col customWidth="1" min="15" max="15" width="2.75"/>
    <col customWidth="1" min="16" max="16" width="14.0"/>
    <col customWidth="1" min="17" max="17" width="15.0"/>
    <col customWidth="1" min="18" max="18" width="2.25"/>
  </cols>
  <sheetData>
    <row r="1" ht="9.75" customHeight="1">
      <c r="A1" s="1"/>
      <c r="B1" s="2"/>
      <c r="C1" s="2"/>
      <c r="D1" s="2"/>
      <c r="E1" s="2"/>
      <c r="F1" s="2"/>
      <c r="G1" s="1"/>
      <c r="H1" s="1"/>
      <c r="I1" s="1"/>
      <c r="J1" s="1"/>
      <c r="K1" s="1"/>
      <c r="L1" s="1"/>
      <c r="M1" s="1"/>
      <c r="N1" s="1"/>
      <c r="O1" s="1"/>
      <c r="P1" s="1"/>
      <c r="Q1" s="1"/>
      <c r="R1" s="1"/>
    </row>
    <row r="2" ht="18.75" customHeight="1">
      <c r="A2" s="1"/>
      <c r="B2" s="3" t="s">
        <v>0</v>
      </c>
      <c r="C2" s="4"/>
      <c r="D2" s="4"/>
      <c r="E2" s="4"/>
      <c r="F2" s="5"/>
      <c r="G2" s="6"/>
      <c r="H2" s="7" t="s">
        <v>1</v>
      </c>
      <c r="I2" s="8"/>
      <c r="J2" s="8"/>
      <c r="K2" s="8"/>
      <c r="L2" s="9"/>
      <c r="M2" s="6"/>
      <c r="N2" s="10" t="s">
        <v>2</v>
      </c>
      <c r="O2" s="11"/>
      <c r="P2" s="11"/>
      <c r="Q2" s="12"/>
      <c r="R2" s="1"/>
    </row>
    <row r="3" ht="18.75" customHeight="1">
      <c r="A3" s="1"/>
      <c r="B3" s="13" t="s">
        <v>3</v>
      </c>
      <c r="C3" s="14" t="s">
        <v>4</v>
      </c>
      <c r="D3" s="15" t="s">
        <v>5</v>
      </c>
      <c r="E3" s="16"/>
      <c r="F3" s="17"/>
      <c r="G3" s="6"/>
      <c r="H3" s="18" t="s">
        <v>6</v>
      </c>
      <c r="I3" s="19" t="s">
        <v>7</v>
      </c>
      <c r="J3" s="20" t="s">
        <v>8</v>
      </c>
      <c r="K3" s="19"/>
      <c r="L3" s="21" t="s">
        <v>9</v>
      </c>
      <c r="M3" s="6"/>
      <c r="N3" s="22" t="s">
        <v>10</v>
      </c>
      <c r="O3" s="23">
        <v>1.0</v>
      </c>
      <c r="P3" s="24" t="s">
        <v>11</v>
      </c>
      <c r="Q3" s="25" t="s">
        <v>12</v>
      </c>
      <c r="R3" s="1"/>
    </row>
    <row r="4" ht="18.75" customHeight="1">
      <c r="A4" s="1"/>
      <c r="B4" s="26" t="s">
        <v>13</v>
      </c>
      <c r="C4" s="14" t="s">
        <v>4</v>
      </c>
      <c r="D4" s="27" t="s">
        <v>14</v>
      </c>
      <c r="E4" s="16"/>
      <c r="F4" s="17"/>
      <c r="G4" s="6"/>
      <c r="H4" s="28" t="s">
        <v>15</v>
      </c>
      <c r="I4" s="29">
        <v>1250.0</v>
      </c>
      <c r="J4" s="30" t="s">
        <v>16</v>
      </c>
      <c r="K4" s="29"/>
      <c r="L4" s="31" t="str">
        <f>Bracket!W28</f>
        <v/>
      </c>
      <c r="M4" s="6"/>
      <c r="N4" s="22" t="s">
        <v>10</v>
      </c>
      <c r="O4" s="23">
        <v>2.0</v>
      </c>
      <c r="P4" s="24" t="s">
        <v>11</v>
      </c>
      <c r="Q4" s="25" t="s">
        <v>17</v>
      </c>
      <c r="R4" s="1"/>
    </row>
    <row r="5" ht="18.75" customHeight="1">
      <c r="A5" s="1"/>
      <c r="B5" s="32" t="s">
        <v>18</v>
      </c>
      <c r="C5" s="14" t="s">
        <v>4</v>
      </c>
      <c r="D5" s="27" t="s">
        <v>19</v>
      </c>
      <c r="E5" s="16"/>
      <c r="F5" s="17"/>
      <c r="G5" s="6"/>
      <c r="H5" s="33" t="s">
        <v>20</v>
      </c>
      <c r="I5" s="29">
        <v>750.0</v>
      </c>
      <c r="J5" s="30" t="s">
        <v>16</v>
      </c>
      <c r="K5" s="29"/>
      <c r="L5" s="31" t="str">
        <f>IFS(OR(Bracket!U42=2, Bracket!U42="FFW"),Bracket!T18,OR(Bracket!U18=2, Bracket!U18="FFW"),Bracket!T42,TRUE,"")
</f>
        <v/>
      </c>
      <c r="M5" s="6"/>
      <c r="N5" s="22" t="s">
        <v>10</v>
      </c>
      <c r="O5" s="23">
        <v>3.0</v>
      </c>
      <c r="P5" s="24" t="s">
        <v>11</v>
      </c>
      <c r="Q5" s="25" t="s">
        <v>21</v>
      </c>
      <c r="R5" s="1"/>
    </row>
    <row r="6" ht="18.75" customHeight="1">
      <c r="A6" s="1"/>
      <c r="B6" s="26" t="s">
        <v>22</v>
      </c>
      <c r="C6" s="14" t="s">
        <v>4</v>
      </c>
      <c r="D6" s="34">
        <f>I7</f>
        <v>2500</v>
      </c>
      <c r="E6" s="16"/>
      <c r="F6" s="17"/>
      <c r="G6" s="6"/>
      <c r="H6" s="28" t="s">
        <v>23</v>
      </c>
      <c r="I6" s="35">
        <v>500.0</v>
      </c>
      <c r="J6" s="36"/>
      <c r="K6" s="35"/>
      <c r="L6" s="37" t="str">
        <f>IFS(OR(Bracket!R36=2, Bracket!R36="FFW"),Bracket!Q48,OR(Bracket!R48=2, Bracket!R48="FFW"),Bracket!Q36,TRUE,"")
</f>
        <v/>
      </c>
      <c r="M6" s="6"/>
      <c r="N6" s="22" t="s">
        <v>10</v>
      </c>
      <c r="O6" s="23">
        <v>4.0</v>
      </c>
      <c r="P6" s="24" t="s">
        <v>11</v>
      </c>
      <c r="Q6" s="25" t="s">
        <v>24</v>
      </c>
      <c r="R6" s="1"/>
    </row>
    <row r="7" ht="18.75" customHeight="1">
      <c r="A7" s="1"/>
      <c r="B7" s="26" t="s">
        <v>25</v>
      </c>
      <c r="C7" s="14" t="s">
        <v>4</v>
      </c>
      <c r="D7" s="38">
        <v>46175.0</v>
      </c>
      <c r="E7" s="27" t="s">
        <v>26</v>
      </c>
      <c r="F7" s="39">
        <f>D7</f>
        <v>46175</v>
      </c>
      <c r="G7" s="6"/>
      <c r="H7" s="18" t="s">
        <v>7</v>
      </c>
      <c r="I7" s="40">
        <f>SUM(I4:I6)</f>
        <v>2500</v>
      </c>
      <c r="J7" s="41"/>
      <c r="K7" s="40"/>
      <c r="L7" s="42"/>
      <c r="M7" s="6"/>
      <c r="N7" s="22" t="s">
        <v>10</v>
      </c>
      <c r="O7" s="43">
        <v>5.0</v>
      </c>
      <c r="P7" s="24" t="s">
        <v>11</v>
      </c>
      <c r="Q7" s="25" t="s">
        <v>27</v>
      </c>
      <c r="R7" s="1"/>
    </row>
    <row r="8" ht="18.75" customHeight="1">
      <c r="A8" s="1"/>
      <c r="B8" s="26" t="s">
        <v>28</v>
      </c>
      <c r="C8" s="14" t="s">
        <v>4</v>
      </c>
      <c r="D8" s="44">
        <f>F7</f>
        <v>46175</v>
      </c>
      <c r="E8" s="16"/>
      <c r="F8" s="17"/>
      <c r="G8" s="6"/>
      <c r="H8" s="6"/>
      <c r="I8" s="6"/>
      <c r="J8" s="6"/>
      <c r="K8" s="6"/>
      <c r="L8" s="6"/>
      <c r="M8" s="6"/>
      <c r="N8" s="22" t="s">
        <v>10</v>
      </c>
      <c r="O8" s="43">
        <v>6.0</v>
      </c>
      <c r="P8" s="24" t="s">
        <v>11</v>
      </c>
      <c r="Q8" s="25" t="s">
        <v>29</v>
      </c>
      <c r="R8" s="1"/>
    </row>
    <row r="9" ht="18.75" customHeight="1">
      <c r="A9" s="1"/>
      <c r="B9" s="26" t="s">
        <v>30</v>
      </c>
      <c r="C9" s="14" t="s">
        <v>4</v>
      </c>
      <c r="D9" s="45" t="s">
        <v>31</v>
      </c>
      <c r="E9" s="27" t="s">
        <v>32</v>
      </c>
      <c r="F9" s="46" t="s">
        <v>33</v>
      </c>
      <c r="G9" s="6"/>
      <c r="H9" s="7" t="s">
        <v>34</v>
      </c>
      <c r="I9" s="8"/>
      <c r="J9" s="8"/>
      <c r="K9" s="8"/>
      <c r="L9" s="9"/>
      <c r="M9" s="6"/>
      <c r="N9" s="22" t="s">
        <v>10</v>
      </c>
      <c r="O9" s="43">
        <v>7.0</v>
      </c>
      <c r="P9" s="24" t="s">
        <v>11</v>
      </c>
      <c r="Q9" s="25" t="s">
        <v>35</v>
      </c>
      <c r="R9" s="1"/>
    </row>
    <row r="10" ht="18.75" customHeight="1">
      <c r="A10" s="1"/>
      <c r="B10" s="26" t="s">
        <v>36</v>
      </c>
      <c r="C10" s="14" t="s">
        <v>4</v>
      </c>
      <c r="D10" s="47" t="s">
        <v>37</v>
      </c>
      <c r="E10" s="16"/>
      <c r="F10" s="17"/>
      <c r="G10" s="6"/>
      <c r="H10" s="48" t="s">
        <v>38</v>
      </c>
      <c r="I10" s="49" t="s">
        <v>39</v>
      </c>
      <c r="J10" s="50"/>
      <c r="K10" s="50"/>
      <c r="L10" s="51"/>
      <c r="M10" s="6"/>
      <c r="N10" s="22" t="s">
        <v>10</v>
      </c>
      <c r="O10" s="43">
        <v>8.0</v>
      </c>
      <c r="P10" s="24" t="s">
        <v>11</v>
      </c>
      <c r="Q10" s="25" t="s">
        <v>40</v>
      </c>
      <c r="R10" s="1"/>
    </row>
    <row r="11" ht="18.75" customHeight="1">
      <c r="A11" s="1"/>
      <c r="B11" s="26" t="s">
        <v>41</v>
      </c>
      <c r="C11" s="14" t="s">
        <v>4</v>
      </c>
      <c r="D11" s="45"/>
      <c r="E11" s="45" t="s">
        <v>42</v>
      </c>
      <c r="F11" s="52"/>
      <c r="G11" s="6"/>
      <c r="H11" s="48" t="s">
        <v>43</v>
      </c>
      <c r="I11" s="49" t="s">
        <v>44</v>
      </c>
      <c r="J11" s="50"/>
      <c r="K11" s="50"/>
      <c r="L11" s="51"/>
      <c r="M11" s="6"/>
      <c r="N11" s="22" t="s">
        <v>10</v>
      </c>
      <c r="O11" s="43">
        <v>9.0</v>
      </c>
      <c r="P11" s="24" t="s">
        <v>11</v>
      </c>
      <c r="Q11" s="25" t="s">
        <v>45</v>
      </c>
      <c r="R11" s="6"/>
    </row>
    <row r="12" ht="18.75" customHeight="1">
      <c r="A12" s="1"/>
      <c r="B12" s="26" t="s">
        <v>46</v>
      </c>
      <c r="C12" s="14" t="s">
        <v>4</v>
      </c>
      <c r="D12" s="45"/>
      <c r="E12" s="45" t="s">
        <v>42</v>
      </c>
      <c r="F12" s="52"/>
      <c r="G12" s="1"/>
      <c r="H12" s="48" t="s">
        <v>47</v>
      </c>
      <c r="I12" s="53" t="s">
        <v>48</v>
      </c>
      <c r="J12" s="50"/>
      <c r="K12" s="50"/>
      <c r="L12" s="51"/>
      <c r="M12" s="6"/>
      <c r="N12" s="22" t="s">
        <v>10</v>
      </c>
      <c r="O12" s="43">
        <v>10.0</v>
      </c>
      <c r="P12" s="24" t="s">
        <v>11</v>
      </c>
      <c r="Q12" s="25" t="s">
        <v>49</v>
      </c>
      <c r="R12" s="6"/>
    </row>
    <row r="13" ht="18.75" customHeight="1">
      <c r="A13" s="1"/>
      <c r="B13" s="26" t="s">
        <v>50</v>
      </c>
      <c r="C13" s="14" t="s">
        <v>4</v>
      </c>
      <c r="D13" s="54"/>
      <c r="E13" s="16"/>
      <c r="F13" s="17"/>
      <c r="G13" s="2"/>
      <c r="H13" s="55" t="s">
        <v>51</v>
      </c>
      <c r="I13" s="56" t="s">
        <v>52</v>
      </c>
      <c r="J13" s="57"/>
      <c r="K13" s="57"/>
      <c r="L13" s="58"/>
      <c r="M13" s="6"/>
      <c r="N13" s="22" t="s">
        <v>10</v>
      </c>
      <c r="O13" s="43">
        <v>11.0</v>
      </c>
      <c r="P13" s="24" t="s">
        <v>11</v>
      </c>
      <c r="Q13" s="25" t="s">
        <v>53</v>
      </c>
      <c r="R13" s="6"/>
    </row>
    <row r="14" ht="18.75" customHeight="1">
      <c r="A14" s="1"/>
      <c r="B14" s="26" t="s">
        <v>54</v>
      </c>
      <c r="C14" s="14" t="s">
        <v>4</v>
      </c>
      <c r="D14" s="27" t="s">
        <v>55</v>
      </c>
      <c r="E14" s="16"/>
      <c r="F14" s="17"/>
      <c r="G14" s="2"/>
      <c r="H14" s="6"/>
      <c r="I14" s="6"/>
      <c r="J14" s="6"/>
      <c r="K14" s="6"/>
      <c r="L14" s="6"/>
      <c r="M14" s="6"/>
      <c r="N14" s="22" t="s">
        <v>10</v>
      </c>
      <c r="O14" s="43">
        <v>12.0</v>
      </c>
      <c r="P14" s="24" t="s">
        <v>11</v>
      </c>
      <c r="Q14" s="25" t="s">
        <v>56</v>
      </c>
      <c r="R14" s="6"/>
    </row>
    <row r="15" ht="18.75" customHeight="1">
      <c r="A15" s="1"/>
      <c r="B15" s="32" t="s">
        <v>57</v>
      </c>
      <c r="C15" s="59" t="s">
        <v>4</v>
      </c>
      <c r="D15" s="60" t="s">
        <v>58</v>
      </c>
      <c r="E15" s="61"/>
      <c r="F15" s="62"/>
      <c r="G15" s="2"/>
      <c r="H15" s="6"/>
      <c r="I15" s="6"/>
      <c r="J15" s="6"/>
      <c r="K15" s="6"/>
      <c r="L15" s="6"/>
      <c r="M15" s="6"/>
      <c r="N15" s="22" t="s">
        <v>10</v>
      </c>
      <c r="O15" s="43">
        <v>13.0</v>
      </c>
      <c r="P15" s="24" t="s">
        <v>11</v>
      </c>
      <c r="Q15" s="25" t="s">
        <v>59</v>
      </c>
      <c r="R15" s="6"/>
    </row>
    <row r="16" ht="18.75" customHeight="1">
      <c r="A16" s="1"/>
      <c r="B16" s="63"/>
      <c r="F16" s="64"/>
      <c r="G16" s="2"/>
      <c r="H16" s="6"/>
      <c r="I16" s="6"/>
      <c r="J16" s="6"/>
      <c r="K16" s="6"/>
      <c r="L16" s="6"/>
      <c r="M16" s="6"/>
      <c r="N16" s="22" t="s">
        <v>10</v>
      </c>
      <c r="O16" s="43">
        <v>14.0</v>
      </c>
      <c r="P16" s="24" t="s">
        <v>11</v>
      </c>
      <c r="Q16" s="25" t="s">
        <v>60</v>
      </c>
      <c r="R16" s="6"/>
    </row>
    <row r="17" ht="18.75" customHeight="1">
      <c r="A17" s="1"/>
      <c r="B17" s="63"/>
      <c r="F17" s="64"/>
      <c r="G17" s="2"/>
      <c r="H17" s="6"/>
      <c r="I17" s="6"/>
      <c r="J17" s="6"/>
      <c r="K17" s="6"/>
      <c r="L17" s="6"/>
      <c r="M17" s="6"/>
      <c r="N17" s="22" t="s">
        <v>10</v>
      </c>
      <c r="O17" s="43">
        <v>15.0</v>
      </c>
      <c r="P17" s="24" t="s">
        <v>11</v>
      </c>
      <c r="Q17" s="25" t="s">
        <v>61</v>
      </c>
      <c r="R17" s="6"/>
    </row>
    <row r="18" ht="18.75" customHeight="1">
      <c r="A18" s="1"/>
      <c r="B18" s="65"/>
      <c r="C18" s="66"/>
      <c r="D18" s="66"/>
      <c r="E18" s="66"/>
      <c r="F18" s="67"/>
      <c r="G18" s="2"/>
      <c r="H18" s="6"/>
      <c r="I18" s="6"/>
      <c r="J18" s="6"/>
      <c r="K18" s="6"/>
      <c r="L18" s="6"/>
      <c r="M18" s="6"/>
      <c r="N18" s="68" t="s">
        <v>10</v>
      </c>
      <c r="O18" s="69">
        <v>16.0</v>
      </c>
      <c r="P18" s="70" t="s">
        <v>11</v>
      </c>
      <c r="Q18" s="71" t="s">
        <v>62</v>
      </c>
      <c r="R18" s="6"/>
    </row>
    <row r="19" ht="18.75" customHeight="1">
      <c r="A19" s="6"/>
      <c r="B19" s="6"/>
      <c r="C19" s="6"/>
      <c r="D19" s="6"/>
      <c r="E19" s="6"/>
      <c r="F19" s="6"/>
      <c r="G19" s="6"/>
      <c r="H19" s="6"/>
      <c r="I19" s="6"/>
      <c r="J19" s="6"/>
      <c r="K19" s="6"/>
      <c r="L19" s="6"/>
      <c r="M19" s="6"/>
      <c r="N19" s="6"/>
      <c r="O19" s="6"/>
      <c r="P19" s="6"/>
      <c r="Q19" s="6"/>
      <c r="R19" s="6"/>
    </row>
    <row r="20" ht="18.75" customHeight="1">
      <c r="A20" s="6"/>
      <c r="B20" s="6"/>
      <c r="C20" s="6"/>
      <c r="D20" s="6"/>
      <c r="E20" s="6"/>
      <c r="F20" s="6"/>
      <c r="G20" s="6"/>
      <c r="H20" s="6"/>
      <c r="I20" s="2"/>
      <c r="J20" s="2"/>
      <c r="K20" s="2"/>
      <c r="L20" s="2"/>
      <c r="M20" s="6"/>
      <c r="N20" s="6"/>
      <c r="O20" s="6"/>
      <c r="P20" s="6"/>
      <c r="Q20" s="6"/>
      <c r="R20" s="6"/>
    </row>
    <row r="21" ht="9.75" customHeight="1">
      <c r="A21" s="1"/>
      <c r="B21" s="1"/>
      <c r="C21" s="1"/>
      <c r="D21" s="1"/>
      <c r="E21" s="1"/>
      <c r="F21" s="1"/>
      <c r="G21" s="1"/>
      <c r="H21" s="1"/>
      <c r="I21" s="1"/>
      <c r="J21" s="1"/>
      <c r="K21" s="1"/>
      <c r="L21" s="1"/>
      <c r="M21" s="1"/>
      <c r="N21" s="1"/>
      <c r="O21" s="1"/>
      <c r="P21" s="1"/>
      <c r="Q21" s="1"/>
      <c r="R21" s="1"/>
    </row>
  </sheetData>
  <mergeCells count="19">
    <mergeCell ref="B2:F2"/>
    <mergeCell ref="H2:L2"/>
    <mergeCell ref="N2:Q2"/>
    <mergeCell ref="D3:F3"/>
    <mergeCell ref="D4:F4"/>
    <mergeCell ref="D5:F5"/>
    <mergeCell ref="D6:F6"/>
    <mergeCell ref="D13:F13"/>
    <mergeCell ref="D14:F14"/>
    <mergeCell ref="B15:B18"/>
    <mergeCell ref="C15:C18"/>
    <mergeCell ref="D15:F18"/>
    <mergeCell ref="D8:F8"/>
    <mergeCell ref="H9:L9"/>
    <mergeCell ref="D10:F10"/>
    <mergeCell ref="I10:L10"/>
    <mergeCell ref="I11:L11"/>
    <mergeCell ref="I12:L12"/>
    <mergeCell ref="I13:L13"/>
  </mergeCells>
  <dataValidations>
    <dataValidation type="list" allowBlank="1" showDropDown="1" showErrorMessage="1" sqref="D9">
      <formula1>"Tier 1,Tier 2,---"</formula1>
    </dataValidation>
    <dataValidation type="list" allowBlank="1" showDropDown="1" showErrorMessage="1" sqref="I10:I11">
      <formula1>"kick.com/CCT_CS,kick.com/CCT_CS2,kick.com/CCT_CS3,kick.com/CCT_CS4,kick.com/CCT-CS5,kick.com/CCT-CS6,kick.com/CCT_CS7,kick.com/CCT_CS8,kick.com/CCT_Dota"</formula1>
    </dataValidation>
    <dataValidation type="list" allowBlank="1" showDropDown="1" showErrorMessage="1" sqref="N3:N18">
      <formula1>Data!$B$2:$B$4</formula1>
    </dataValidation>
    <dataValidation type="list" allowBlank="1" showDropDown="1" showErrorMessage="1" sqref="F9">
      <formula1>"Ranked,Unranked,Wildcard"</formula1>
    </dataValidation>
    <dataValidation type="list" allowBlank="1" showDropDown="1" showErrorMessage="1" sqref="I12">
      <formula1>"x.com/CCT_CS,x.com/CCT_Contenders,x.com/CCT_Dota"</formula1>
    </dataValidation>
    <dataValidation type="list" allowBlank="1" showDropDown="1" showErrorMessage="1" sqref="P3:P18">
      <formula1>Data!$A$2:$A$8</formula1>
    </dataValidation>
  </dataValidations>
  <hyperlinks>
    <hyperlink r:id="rId1" ref="D10"/>
    <hyperlink r:id="rId2" ref="I10"/>
    <hyperlink r:id="rId3" ref="I11"/>
    <hyperlink r:id="rId4" ref="I12"/>
    <hyperlink r:id="rId5" ref="I1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3.13"/>
    <col customWidth="1" min="3" max="3" width="3.63"/>
    <col customWidth="1" min="4" max="4" width="0.75"/>
    <col customWidth="1" min="5" max="5" width="13.13"/>
    <col customWidth="1" min="6" max="6" width="3.63"/>
    <col customWidth="1" min="7" max="7" width="0.75"/>
    <col customWidth="1" min="8" max="8" width="13.13"/>
    <col customWidth="1" min="9" max="9" width="3.63"/>
    <col customWidth="1" min="10" max="10" width="0.75"/>
    <col customWidth="1" min="11" max="11" width="16.25"/>
    <col customWidth="1" min="12" max="12" width="3.63"/>
    <col customWidth="1" min="13" max="13" width="0.75"/>
    <col customWidth="1" min="14" max="14" width="16.25"/>
    <col customWidth="1" min="15" max="15" width="3.63"/>
    <col customWidth="1" min="16" max="16" width="0.75"/>
    <col customWidth="1" min="17" max="17" width="16.25"/>
    <col customWidth="1" min="18" max="18" width="3.63"/>
    <col customWidth="1" min="19" max="19" width="0.75"/>
    <col customWidth="1" min="20" max="20" width="16.25"/>
    <col customWidth="1" min="21" max="21" width="3.63"/>
    <col customWidth="1" min="22" max="22" width="0.75"/>
    <col customWidth="1" min="23" max="24" width="13.13"/>
    <col customWidth="1" min="25" max="25" width="1.25"/>
  </cols>
  <sheetData>
    <row r="1">
      <c r="A1" s="72"/>
      <c r="B1" s="73" t="s">
        <v>63</v>
      </c>
      <c r="Y1" s="72"/>
    </row>
    <row r="2" ht="12.0" customHeight="1">
      <c r="A2" s="74"/>
      <c r="B2" s="75"/>
      <c r="C2" s="75"/>
      <c r="D2" s="75"/>
      <c r="E2" s="75"/>
      <c r="F2" s="75"/>
      <c r="G2" s="75"/>
      <c r="H2" s="75"/>
      <c r="I2" s="75"/>
      <c r="J2" s="75"/>
      <c r="K2" s="75"/>
      <c r="L2" s="75"/>
      <c r="M2" s="75"/>
      <c r="N2" s="75"/>
      <c r="O2" s="75"/>
      <c r="P2" s="75"/>
      <c r="Q2" s="75"/>
      <c r="R2" s="75"/>
      <c r="S2" s="75"/>
      <c r="T2" s="76"/>
      <c r="U2" s="75"/>
      <c r="V2" s="75"/>
      <c r="W2" s="76"/>
      <c r="X2" s="76"/>
      <c r="Y2" s="77"/>
    </row>
    <row r="3" ht="12.0" customHeight="1">
      <c r="A3" s="75"/>
      <c r="B3" s="75"/>
      <c r="C3" s="75"/>
      <c r="D3" s="75"/>
      <c r="E3" s="75"/>
      <c r="F3" s="74"/>
      <c r="G3" s="75"/>
      <c r="H3" s="78" t="s">
        <v>12</v>
      </c>
      <c r="I3" s="79" t="s">
        <v>64</v>
      </c>
      <c r="J3" s="80"/>
      <c r="K3" s="75"/>
      <c r="L3" s="75"/>
      <c r="M3" s="75"/>
      <c r="N3" s="75"/>
      <c r="O3" s="75"/>
      <c r="P3" s="75"/>
      <c r="Q3" s="75"/>
      <c r="R3" s="75"/>
      <c r="S3" s="75"/>
      <c r="T3" s="76"/>
      <c r="U3" s="75"/>
      <c r="V3" s="75"/>
      <c r="W3" s="76"/>
      <c r="X3" s="76"/>
      <c r="Y3" s="76"/>
    </row>
    <row r="4" ht="12.0" customHeight="1">
      <c r="A4" s="75"/>
      <c r="B4" s="75"/>
      <c r="C4" s="75"/>
      <c r="D4" s="75"/>
      <c r="E4" s="75"/>
      <c r="F4" s="75"/>
      <c r="G4" s="75"/>
      <c r="H4" s="81" t="s">
        <v>65</v>
      </c>
      <c r="I4" s="75"/>
      <c r="J4" s="80"/>
      <c r="K4" s="78" t="s">
        <v>62</v>
      </c>
      <c r="L4" s="79">
        <v>2.0</v>
      </c>
      <c r="M4" s="80"/>
      <c r="N4" s="75"/>
      <c r="O4" s="75"/>
      <c r="P4" s="75"/>
      <c r="Q4" s="75"/>
      <c r="R4" s="75"/>
      <c r="S4" s="75"/>
      <c r="T4" s="76"/>
      <c r="U4" s="75"/>
      <c r="V4" s="75"/>
      <c r="W4" s="76"/>
      <c r="X4" s="76"/>
      <c r="Y4" s="76"/>
    </row>
    <row r="5" ht="12.0" customHeight="1">
      <c r="A5" s="74"/>
      <c r="B5" s="75"/>
      <c r="C5" s="75"/>
      <c r="D5" s="75"/>
      <c r="E5" s="75"/>
      <c r="F5" s="74"/>
      <c r="G5" s="75"/>
      <c r="H5" s="78" t="s">
        <v>62</v>
      </c>
      <c r="I5" s="79" t="s">
        <v>66</v>
      </c>
      <c r="J5" s="80"/>
      <c r="K5" s="74"/>
      <c r="L5" s="74"/>
      <c r="M5" s="80"/>
      <c r="N5" s="75"/>
      <c r="O5" s="74"/>
      <c r="P5" s="75"/>
      <c r="Q5" s="75"/>
      <c r="R5" s="75"/>
      <c r="S5" s="75"/>
      <c r="T5" s="76"/>
      <c r="U5" s="75"/>
      <c r="V5" s="75"/>
      <c r="W5" s="76"/>
      <c r="X5" s="76"/>
      <c r="Y5" s="77"/>
    </row>
    <row r="6" ht="12.0" customHeight="1">
      <c r="A6" s="74"/>
      <c r="B6" s="75"/>
      <c r="C6" s="75"/>
      <c r="D6" s="75"/>
      <c r="E6" s="75"/>
      <c r="F6" s="75"/>
      <c r="G6" s="75"/>
      <c r="H6" s="75"/>
      <c r="I6" s="75"/>
      <c r="J6" s="75"/>
      <c r="K6" s="81" t="s">
        <v>67</v>
      </c>
      <c r="L6" s="75"/>
      <c r="M6" s="80"/>
      <c r="N6" s="78" t="s">
        <v>62</v>
      </c>
      <c r="O6" s="79">
        <v>2.0</v>
      </c>
      <c r="P6" s="80"/>
      <c r="Q6" s="75"/>
      <c r="R6" s="75"/>
      <c r="S6" s="75"/>
      <c r="T6" s="76"/>
      <c r="U6" s="75"/>
      <c r="V6" s="75"/>
      <c r="W6" s="76"/>
      <c r="X6" s="76"/>
      <c r="Y6" s="77"/>
    </row>
    <row r="7" ht="12.0" customHeight="1">
      <c r="A7" s="74"/>
      <c r="B7" s="75"/>
      <c r="C7" s="75"/>
      <c r="D7" s="75"/>
      <c r="E7" s="75"/>
      <c r="F7" s="74"/>
      <c r="G7" s="75"/>
      <c r="H7" s="78" t="s">
        <v>40</v>
      </c>
      <c r="I7" s="79">
        <v>1.0</v>
      </c>
      <c r="J7" s="80"/>
      <c r="K7" s="74"/>
      <c r="L7" s="74"/>
      <c r="M7" s="80"/>
      <c r="N7" s="75"/>
      <c r="O7" s="75"/>
      <c r="P7" s="80"/>
      <c r="Q7" s="75"/>
      <c r="R7" s="75"/>
      <c r="S7" s="75"/>
      <c r="T7" s="76"/>
      <c r="U7" s="76"/>
      <c r="V7" s="76"/>
      <c r="W7" s="76"/>
      <c r="X7" s="76"/>
      <c r="Y7" s="76"/>
    </row>
    <row r="8" ht="12.0" customHeight="1">
      <c r="A8" s="74"/>
      <c r="B8" s="75"/>
      <c r="C8" s="75"/>
      <c r="D8" s="75"/>
      <c r="E8" s="75"/>
      <c r="F8" s="75"/>
      <c r="G8" s="75"/>
      <c r="H8" s="81" t="s">
        <v>65</v>
      </c>
      <c r="I8" s="75"/>
      <c r="J8" s="80"/>
      <c r="K8" s="78" t="s">
        <v>45</v>
      </c>
      <c r="L8" s="79">
        <v>1.0</v>
      </c>
      <c r="M8" s="80"/>
      <c r="N8" s="75"/>
      <c r="O8" s="75"/>
      <c r="P8" s="80"/>
      <c r="Q8" s="75"/>
      <c r="R8" s="75"/>
      <c r="S8" s="75"/>
      <c r="T8" s="76"/>
      <c r="U8" s="76"/>
      <c r="V8" s="76"/>
      <c r="W8" s="76"/>
      <c r="X8" s="76"/>
      <c r="Y8" s="76"/>
    </row>
    <row r="9" ht="12.0" customHeight="1">
      <c r="A9" s="74"/>
      <c r="B9" s="75"/>
      <c r="C9" s="75"/>
      <c r="D9" s="75"/>
      <c r="E9" s="75"/>
      <c r="F9" s="74"/>
      <c r="G9" s="75"/>
      <c r="H9" s="78" t="s">
        <v>45</v>
      </c>
      <c r="I9" s="79">
        <v>2.0</v>
      </c>
      <c r="J9" s="80"/>
      <c r="K9" s="75"/>
      <c r="L9" s="75"/>
      <c r="M9" s="75"/>
      <c r="N9" s="75"/>
      <c r="O9" s="75"/>
      <c r="P9" s="80"/>
      <c r="Q9" s="75"/>
      <c r="R9" s="75"/>
      <c r="S9" s="75"/>
      <c r="T9" s="76"/>
      <c r="U9" s="76"/>
      <c r="V9" s="76"/>
      <c r="W9" s="76"/>
      <c r="X9" s="76"/>
      <c r="Y9" s="76"/>
    </row>
    <row r="10" ht="12.0" customHeight="1">
      <c r="A10" s="74"/>
      <c r="B10" s="75"/>
      <c r="C10" s="75"/>
      <c r="D10" s="75"/>
      <c r="E10" s="75"/>
      <c r="F10" s="75"/>
      <c r="G10" s="75"/>
      <c r="H10" s="75"/>
      <c r="I10" s="75"/>
      <c r="J10" s="75"/>
      <c r="K10" s="75"/>
      <c r="L10" s="75"/>
      <c r="M10" s="75"/>
      <c r="N10" s="81" t="s">
        <v>68</v>
      </c>
      <c r="O10" s="75"/>
      <c r="P10" s="80"/>
      <c r="Q10" s="78" t="s">
        <v>62</v>
      </c>
      <c r="R10" s="79"/>
      <c r="S10" s="80"/>
      <c r="T10" s="76"/>
      <c r="U10" s="76"/>
      <c r="V10" s="76"/>
      <c r="W10" s="76"/>
      <c r="X10" s="76"/>
      <c r="Y10" s="76"/>
    </row>
    <row r="11" ht="12.0" customHeight="1">
      <c r="A11" s="74"/>
      <c r="B11" s="75"/>
      <c r="C11" s="75"/>
      <c r="D11" s="75"/>
      <c r="E11" s="75"/>
      <c r="F11" s="74"/>
      <c r="G11" s="75"/>
      <c r="H11" s="78" t="s">
        <v>24</v>
      </c>
      <c r="I11" s="79">
        <v>0.0</v>
      </c>
      <c r="J11" s="80"/>
      <c r="K11" s="75"/>
      <c r="L11" s="75"/>
      <c r="M11" s="75"/>
      <c r="N11" s="75"/>
      <c r="O11" s="75"/>
      <c r="P11" s="80"/>
      <c r="Q11" s="75"/>
      <c r="R11" s="75"/>
      <c r="S11" s="80"/>
      <c r="T11" s="76"/>
      <c r="U11" s="76"/>
      <c r="V11" s="76"/>
      <c r="W11" s="76"/>
      <c r="X11" s="76"/>
      <c r="Y11" s="76"/>
    </row>
    <row r="12" ht="12.0" customHeight="1">
      <c r="A12" s="74"/>
      <c r="B12" s="75"/>
      <c r="C12" s="75"/>
      <c r="D12" s="75"/>
      <c r="E12" s="75"/>
      <c r="F12" s="74"/>
      <c r="G12" s="75"/>
      <c r="H12" s="81" t="s">
        <v>65</v>
      </c>
      <c r="I12" s="75"/>
      <c r="J12" s="80"/>
      <c r="K12" s="78" t="s">
        <v>59</v>
      </c>
      <c r="L12" s="79">
        <v>1.0</v>
      </c>
      <c r="M12" s="80"/>
      <c r="N12" s="75"/>
      <c r="O12" s="75"/>
      <c r="P12" s="80"/>
      <c r="Q12" s="75"/>
      <c r="R12" s="75"/>
      <c r="S12" s="80"/>
      <c r="T12" s="76"/>
      <c r="U12" s="76"/>
      <c r="V12" s="76"/>
      <c r="W12" s="76"/>
      <c r="X12" s="76"/>
      <c r="Y12" s="76"/>
    </row>
    <row r="13" ht="12.0" customHeight="1">
      <c r="A13" s="74"/>
      <c r="B13" s="75"/>
      <c r="C13" s="75"/>
      <c r="D13" s="75"/>
      <c r="E13" s="75"/>
      <c r="F13" s="74"/>
      <c r="G13" s="75"/>
      <c r="H13" s="78" t="s">
        <v>59</v>
      </c>
      <c r="I13" s="79">
        <v>2.0</v>
      </c>
      <c r="J13" s="80"/>
      <c r="K13" s="74"/>
      <c r="L13" s="74"/>
      <c r="M13" s="80"/>
      <c r="N13" s="75"/>
      <c r="O13" s="75"/>
      <c r="P13" s="80"/>
      <c r="Q13" s="75"/>
      <c r="R13" s="75"/>
      <c r="S13" s="80"/>
      <c r="T13" s="76"/>
      <c r="U13" s="76"/>
      <c r="V13" s="76"/>
      <c r="W13" s="76"/>
      <c r="X13" s="76"/>
      <c r="Y13" s="76"/>
    </row>
    <row r="14" ht="12.0" customHeight="1">
      <c r="A14" s="74"/>
      <c r="B14" s="75"/>
      <c r="C14" s="75"/>
      <c r="D14" s="75"/>
      <c r="E14" s="75"/>
      <c r="F14" s="75"/>
      <c r="G14" s="75"/>
      <c r="H14" s="75"/>
      <c r="I14" s="75"/>
      <c r="J14" s="75"/>
      <c r="K14" s="81" t="s">
        <v>67</v>
      </c>
      <c r="L14" s="75"/>
      <c r="M14" s="80"/>
      <c r="N14" s="78" t="s">
        <v>27</v>
      </c>
      <c r="O14" s="79">
        <v>1.0</v>
      </c>
      <c r="P14" s="80"/>
      <c r="Q14" s="75"/>
      <c r="R14" s="75"/>
      <c r="S14" s="80"/>
      <c r="T14" s="76"/>
      <c r="U14" s="76"/>
      <c r="V14" s="76"/>
      <c r="W14" s="76"/>
      <c r="X14" s="76"/>
      <c r="Y14" s="76"/>
    </row>
    <row r="15" ht="12.0" customHeight="1">
      <c r="A15" s="74"/>
      <c r="B15" s="75"/>
      <c r="C15" s="75"/>
      <c r="D15" s="75"/>
      <c r="E15" s="75"/>
      <c r="F15" s="74"/>
      <c r="G15" s="75"/>
      <c r="H15" s="78" t="s">
        <v>27</v>
      </c>
      <c r="I15" s="79">
        <v>2.0</v>
      </c>
      <c r="J15" s="80"/>
      <c r="K15" s="74"/>
      <c r="L15" s="74"/>
      <c r="M15" s="80"/>
      <c r="N15" s="75"/>
      <c r="O15" s="75"/>
      <c r="P15" s="75"/>
      <c r="Q15" s="75"/>
      <c r="R15" s="75"/>
      <c r="S15" s="80"/>
      <c r="T15" s="76"/>
      <c r="U15" s="76"/>
      <c r="V15" s="76"/>
      <c r="W15" s="76"/>
      <c r="X15" s="76"/>
      <c r="Y15" s="76"/>
    </row>
    <row r="16" ht="12.0" customHeight="1">
      <c r="A16" s="74"/>
      <c r="B16" s="75"/>
      <c r="C16" s="75"/>
      <c r="D16" s="75"/>
      <c r="E16" s="75"/>
      <c r="F16" s="75"/>
      <c r="G16" s="75"/>
      <c r="H16" s="81" t="s">
        <v>65</v>
      </c>
      <c r="I16" s="75"/>
      <c r="J16" s="80"/>
      <c r="K16" s="78" t="s">
        <v>27</v>
      </c>
      <c r="L16" s="79">
        <v>2.0</v>
      </c>
      <c r="M16" s="80"/>
      <c r="N16" s="75"/>
      <c r="O16" s="75"/>
      <c r="P16" s="75"/>
      <c r="Q16" s="75"/>
      <c r="R16" s="75"/>
      <c r="S16" s="80"/>
      <c r="T16" s="76"/>
      <c r="U16" s="76"/>
      <c r="V16" s="76"/>
      <c r="W16" s="76"/>
      <c r="X16" s="76"/>
      <c r="Y16" s="76"/>
    </row>
    <row r="17" ht="12.0" customHeight="1">
      <c r="A17" s="74"/>
      <c r="B17" s="75"/>
      <c r="C17" s="75"/>
      <c r="D17" s="75"/>
      <c r="E17" s="75"/>
      <c r="F17" s="74"/>
      <c r="G17" s="75"/>
      <c r="H17" s="78" t="s">
        <v>56</v>
      </c>
      <c r="I17" s="79">
        <v>1.0</v>
      </c>
      <c r="J17" s="80"/>
      <c r="K17" s="75"/>
      <c r="L17" s="75"/>
      <c r="M17" s="75"/>
      <c r="N17" s="75"/>
      <c r="O17" s="75"/>
      <c r="P17" s="75"/>
      <c r="Q17" s="75"/>
      <c r="R17" s="75"/>
      <c r="S17" s="80"/>
      <c r="T17" s="76"/>
      <c r="U17" s="76"/>
      <c r="V17" s="76"/>
      <c r="W17" s="76"/>
      <c r="X17" s="76"/>
      <c r="Y17" s="76"/>
    </row>
    <row r="18" ht="12.0" customHeight="1">
      <c r="A18" s="74"/>
      <c r="B18" s="75"/>
      <c r="C18" s="75"/>
      <c r="D18" s="75"/>
      <c r="E18" s="75"/>
      <c r="F18" s="75"/>
      <c r="G18" s="75"/>
      <c r="H18" s="75"/>
      <c r="I18" s="75"/>
      <c r="J18" s="75"/>
      <c r="K18" s="75"/>
      <c r="L18" s="75"/>
      <c r="M18" s="75"/>
      <c r="N18" s="75"/>
      <c r="O18" s="75"/>
      <c r="P18" s="75"/>
      <c r="Q18" s="81" t="s">
        <v>69</v>
      </c>
      <c r="R18" s="75"/>
      <c r="S18" s="80"/>
      <c r="T18" s="78"/>
      <c r="U18" s="79"/>
      <c r="V18" s="80"/>
      <c r="W18" s="76"/>
      <c r="X18" s="76"/>
      <c r="Y18" s="76"/>
    </row>
    <row r="19" ht="12.0" customHeight="1">
      <c r="A19" s="74"/>
      <c r="B19" s="75"/>
      <c r="C19" s="75"/>
      <c r="D19" s="75"/>
      <c r="E19" s="75"/>
      <c r="F19" s="74"/>
      <c r="G19" s="75"/>
      <c r="H19" s="78" t="s">
        <v>17</v>
      </c>
      <c r="I19" s="79">
        <v>0.0</v>
      </c>
      <c r="J19" s="80"/>
      <c r="K19" s="75"/>
      <c r="L19" s="75"/>
      <c r="M19" s="75"/>
      <c r="N19" s="75"/>
      <c r="O19" s="75"/>
      <c r="P19" s="75"/>
      <c r="Q19" s="75"/>
      <c r="R19" s="75"/>
      <c r="S19" s="80"/>
      <c r="T19" s="82"/>
      <c r="U19" s="76"/>
      <c r="V19" s="80"/>
      <c r="W19" s="76"/>
      <c r="X19" s="76"/>
      <c r="Y19" s="76"/>
    </row>
    <row r="20" ht="12.0" customHeight="1">
      <c r="A20" s="74"/>
      <c r="B20" s="75"/>
      <c r="C20" s="75"/>
      <c r="D20" s="75"/>
      <c r="E20" s="75"/>
      <c r="F20" s="75"/>
      <c r="G20" s="75"/>
      <c r="H20" s="81" t="s">
        <v>65</v>
      </c>
      <c r="I20" s="75"/>
      <c r="J20" s="80"/>
      <c r="K20" s="78" t="s">
        <v>61</v>
      </c>
      <c r="L20" s="79">
        <v>2.0</v>
      </c>
      <c r="M20" s="80"/>
      <c r="N20" s="75"/>
      <c r="O20" s="75"/>
      <c r="P20" s="75"/>
      <c r="Q20" s="75"/>
      <c r="R20" s="75"/>
      <c r="S20" s="80"/>
      <c r="T20" s="82"/>
      <c r="U20" s="76"/>
      <c r="V20" s="80"/>
      <c r="W20" s="76"/>
      <c r="X20" s="76"/>
      <c r="Y20" s="76"/>
    </row>
    <row r="21" ht="12.0" customHeight="1">
      <c r="A21" s="74"/>
      <c r="B21" s="75"/>
      <c r="C21" s="75"/>
      <c r="D21" s="75"/>
      <c r="E21" s="75"/>
      <c r="F21" s="74"/>
      <c r="G21" s="75"/>
      <c r="H21" s="78" t="s">
        <v>61</v>
      </c>
      <c r="I21" s="79">
        <v>2.0</v>
      </c>
      <c r="J21" s="80"/>
      <c r="K21" s="74"/>
      <c r="L21" s="74"/>
      <c r="M21" s="80"/>
      <c r="N21" s="75"/>
      <c r="O21" s="75"/>
      <c r="P21" s="75"/>
      <c r="Q21" s="75"/>
      <c r="R21" s="75"/>
      <c r="S21" s="80"/>
      <c r="T21" s="82"/>
      <c r="U21" s="76"/>
      <c r="V21" s="80"/>
      <c r="W21" s="76"/>
      <c r="X21" s="76"/>
      <c r="Y21" s="76"/>
    </row>
    <row r="22" ht="12.0" customHeight="1">
      <c r="A22" s="74"/>
      <c r="B22" s="75"/>
      <c r="C22" s="75"/>
      <c r="D22" s="75"/>
      <c r="E22" s="75"/>
      <c r="F22" s="75"/>
      <c r="G22" s="75"/>
      <c r="H22" s="75"/>
      <c r="I22" s="75"/>
      <c r="J22" s="75"/>
      <c r="K22" s="81" t="s">
        <v>67</v>
      </c>
      <c r="L22" s="75"/>
      <c r="M22" s="80"/>
      <c r="N22" s="78" t="s">
        <v>61</v>
      </c>
      <c r="O22" s="79">
        <v>2.0</v>
      </c>
      <c r="P22" s="80"/>
      <c r="Q22" s="75"/>
      <c r="R22" s="75"/>
      <c r="S22" s="80"/>
      <c r="T22" s="82"/>
      <c r="U22" s="76"/>
      <c r="V22" s="80"/>
      <c r="W22" s="76"/>
      <c r="X22" s="76"/>
      <c r="Y22" s="76"/>
    </row>
    <row r="23" ht="12.0" customHeight="1">
      <c r="A23" s="74"/>
      <c r="B23" s="75"/>
      <c r="C23" s="75"/>
      <c r="D23" s="75"/>
      <c r="E23" s="75"/>
      <c r="F23" s="74"/>
      <c r="G23" s="75"/>
      <c r="H23" s="78" t="s">
        <v>35</v>
      </c>
      <c r="I23" s="79">
        <v>0.0</v>
      </c>
      <c r="J23" s="80"/>
      <c r="K23" s="74"/>
      <c r="L23" s="74"/>
      <c r="M23" s="80"/>
      <c r="N23" s="75"/>
      <c r="O23" s="75"/>
      <c r="P23" s="80"/>
      <c r="Q23" s="75"/>
      <c r="R23" s="75"/>
      <c r="S23" s="80"/>
      <c r="T23" s="82"/>
      <c r="U23" s="76"/>
      <c r="V23" s="80"/>
      <c r="W23" s="76"/>
      <c r="X23" s="76"/>
      <c r="Y23" s="76"/>
    </row>
    <row r="24" ht="12.0" customHeight="1">
      <c r="A24" s="74"/>
      <c r="B24" s="75"/>
      <c r="C24" s="75"/>
      <c r="D24" s="75"/>
      <c r="E24" s="75"/>
      <c r="F24" s="75"/>
      <c r="G24" s="75"/>
      <c r="H24" s="81" t="s">
        <v>65</v>
      </c>
      <c r="I24" s="75"/>
      <c r="J24" s="80"/>
      <c r="K24" s="78" t="s">
        <v>49</v>
      </c>
      <c r="L24" s="79">
        <v>1.0</v>
      </c>
      <c r="M24" s="80"/>
      <c r="N24" s="75"/>
      <c r="O24" s="75"/>
      <c r="P24" s="80"/>
      <c r="Q24" s="75"/>
      <c r="R24" s="75"/>
      <c r="S24" s="80"/>
      <c r="T24" s="82"/>
      <c r="U24" s="76"/>
      <c r="V24" s="80"/>
      <c r="W24" s="76"/>
      <c r="X24" s="76"/>
      <c r="Y24" s="76"/>
    </row>
    <row r="25" ht="12.0" customHeight="1">
      <c r="A25" s="74"/>
      <c r="B25" s="75"/>
      <c r="C25" s="75"/>
      <c r="D25" s="75"/>
      <c r="E25" s="75"/>
      <c r="F25" s="74"/>
      <c r="G25" s="75"/>
      <c r="H25" s="78" t="s">
        <v>49</v>
      </c>
      <c r="I25" s="79">
        <v>2.0</v>
      </c>
      <c r="J25" s="80"/>
      <c r="K25" s="75"/>
      <c r="L25" s="75"/>
      <c r="M25" s="75"/>
      <c r="N25" s="75"/>
      <c r="O25" s="75"/>
      <c r="P25" s="80"/>
      <c r="Q25" s="75"/>
      <c r="R25" s="75"/>
      <c r="S25" s="80"/>
      <c r="T25" s="82"/>
      <c r="U25" s="76"/>
      <c r="V25" s="80"/>
      <c r="W25" s="76"/>
      <c r="X25" s="76"/>
      <c r="Y25" s="76"/>
    </row>
    <row r="26" ht="12.0" customHeight="1">
      <c r="A26" s="74"/>
      <c r="B26" s="75"/>
      <c r="C26" s="75"/>
      <c r="D26" s="75"/>
      <c r="E26" s="75"/>
      <c r="F26" s="75"/>
      <c r="G26" s="75"/>
      <c r="H26" s="75"/>
      <c r="I26" s="75"/>
      <c r="J26" s="75"/>
      <c r="K26" s="75"/>
      <c r="L26" s="75"/>
      <c r="M26" s="75"/>
      <c r="N26" s="81" t="s">
        <v>68</v>
      </c>
      <c r="O26" s="75"/>
      <c r="P26" s="80"/>
      <c r="Q26" s="78" t="s">
        <v>61</v>
      </c>
      <c r="R26" s="79"/>
      <c r="S26" s="80"/>
      <c r="T26" s="82"/>
      <c r="U26" s="76"/>
      <c r="V26" s="80"/>
      <c r="W26" s="76"/>
      <c r="X26" s="76"/>
      <c r="Y26" s="76"/>
    </row>
    <row r="27" ht="12.0" customHeight="1">
      <c r="A27" s="74"/>
      <c r="B27" s="75"/>
      <c r="C27" s="75"/>
      <c r="D27" s="75"/>
      <c r="E27" s="75"/>
      <c r="F27" s="74"/>
      <c r="G27" s="75"/>
      <c r="H27" s="78" t="s">
        <v>21</v>
      </c>
      <c r="I27" s="79">
        <v>1.0</v>
      </c>
      <c r="J27" s="80"/>
      <c r="K27" s="75"/>
      <c r="L27" s="75"/>
      <c r="M27" s="75"/>
      <c r="N27" s="75"/>
      <c r="O27" s="75"/>
      <c r="P27" s="80"/>
      <c r="Q27" s="75"/>
      <c r="R27" s="75"/>
      <c r="S27" s="75"/>
      <c r="T27" s="82"/>
      <c r="U27" s="76"/>
      <c r="V27" s="80"/>
      <c r="W27" s="83" t="s">
        <v>70</v>
      </c>
      <c r="X27" s="76"/>
      <c r="Y27" s="76"/>
    </row>
    <row r="28" ht="12.0" customHeight="1">
      <c r="A28" s="74"/>
      <c r="B28" s="75"/>
      <c r="C28" s="75"/>
      <c r="D28" s="75"/>
      <c r="E28" s="75"/>
      <c r="F28" s="75"/>
      <c r="G28" s="75"/>
      <c r="H28" s="81" t="s">
        <v>65</v>
      </c>
      <c r="I28" s="75"/>
      <c r="J28" s="80"/>
      <c r="K28" s="78" t="s">
        <v>60</v>
      </c>
      <c r="L28" s="79">
        <v>2.0</v>
      </c>
      <c r="M28" s="80"/>
      <c r="N28" s="75"/>
      <c r="O28" s="75"/>
      <c r="P28" s="80"/>
      <c r="Q28" s="75"/>
      <c r="R28" s="75"/>
      <c r="S28" s="75"/>
      <c r="T28" s="81"/>
      <c r="U28" s="76"/>
      <c r="V28" s="80"/>
      <c r="W28" s="84"/>
      <c r="X28" s="76"/>
      <c r="Y28" s="76"/>
    </row>
    <row r="29" ht="12.0" customHeight="1">
      <c r="A29" s="74"/>
      <c r="B29" s="75"/>
      <c r="C29" s="75"/>
      <c r="D29" s="75"/>
      <c r="E29" s="75"/>
      <c r="F29" s="74"/>
      <c r="G29" s="75"/>
      <c r="H29" s="78" t="s">
        <v>60</v>
      </c>
      <c r="I29" s="79">
        <v>2.0</v>
      </c>
      <c r="J29" s="80"/>
      <c r="K29" s="74"/>
      <c r="L29" s="74"/>
      <c r="M29" s="80"/>
      <c r="N29" s="75"/>
      <c r="O29" s="75"/>
      <c r="P29" s="80"/>
      <c r="Q29" s="75"/>
      <c r="R29" s="75"/>
      <c r="S29" s="75"/>
      <c r="T29" s="82"/>
      <c r="U29" s="76"/>
      <c r="V29" s="80"/>
      <c r="W29" s="76"/>
      <c r="X29" s="76"/>
      <c r="Y29" s="76"/>
    </row>
    <row r="30" ht="12.0" customHeight="1">
      <c r="A30" s="74"/>
      <c r="B30" s="75"/>
      <c r="C30" s="75"/>
      <c r="D30" s="75"/>
      <c r="E30" s="75"/>
      <c r="F30" s="75"/>
      <c r="G30" s="75"/>
      <c r="H30" s="75"/>
      <c r="I30" s="75"/>
      <c r="J30" s="75"/>
      <c r="K30" s="81" t="s">
        <v>67</v>
      </c>
      <c r="L30" s="75"/>
      <c r="M30" s="80"/>
      <c r="N30" s="78" t="s">
        <v>60</v>
      </c>
      <c r="O30" s="79">
        <v>0.0</v>
      </c>
      <c r="P30" s="80"/>
      <c r="Q30" s="75"/>
      <c r="R30" s="75"/>
      <c r="S30" s="75"/>
      <c r="T30" s="81" t="s">
        <v>71</v>
      </c>
      <c r="U30" s="76"/>
      <c r="V30" s="80"/>
      <c r="W30" s="76"/>
      <c r="X30" s="76"/>
      <c r="Y30" s="76"/>
    </row>
    <row r="31" ht="12.0" customHeight="1">
      <c r="A31" s="74"/>
      <c r="B31" s="75"/>
      <c r="C31" s="75"/>
      <c r="D31" s="75"/>
      <c r="E31" s="75"/>
      <c r="F31" s="74"/>
      <c r="G31" s="75"/>
      <c r="H31" s="78" t="s">
        <v>29</v>
      </c>
      <c r="I31" s="79">
        <v>2.0</v>
      </c>
      <c r="J31" s="80"/>
      <c r="K31" s="74"/>
      <c r="L31" s="74"/>
      <c r="M31" s="80"/>
      <c r="N31" s="75"/>
      <c r="O31" s="75"/>
      <c r="P31" s="75"/>
      <c r="Q31" s="75"/>
      <c r="R31" s="75"/>
      <c r="S31" s="75"/>
      <c r="T31" s="82"/>
      <c r="U31" s="76"/>
      <c r="V31" s="80"/>
      <c r="W31" s="76"/>
      <c r="X31" s="76"/>
      <c r="Y31" s="76"/>
    </row>
    <row r="32" ht="12.0" customHeight="1">
      <c r="A32" s="74"/>
      <c r="B32" s="75"/>
      <c r="C32" s="75"/>
      <c r="D32" s="75"/>
      <c r="E32" s="75"/>
      <c r="F32" s="75"/>
      <c r="G32" s="75"/>
      <c r="H32" s="81" t="s">
        <v>65</v>
      </c>
      <c r="I32" s="75"/>
      <c r="J32" s="80"/>
      <c r="K32" s="78" t="s">
        <v>29</v>
      </c>
      <c r="L32" s="79">
        <v>0.0</v>
      </c>
      <c r="M32" s="80"/>
      <c r="N32" s="75"/>
      <c r="O32" s="75"/>
      <c r="P32" s="75"/>
      <c r="Q32" s="75"/>
      <c r="R32" s="75"/>
      <c r="S32" s="75"/>
      <c r="T32" s="82"/>
      <c r="U32" s="76"/>
      <c r="V32" s="80"/>
      <c r="W32" s="76"/>
      <c r="X32" s="76"/>
      <c r="Y32" s="76"/>
    </row>
    <row r="33" ht="12.0" customHeight="1">
      <c r="A33" s="74"/>
      <c r="B33" s="75"/>
      <c r="C33" s="75"/>
      <c r="D33" s="75"/>
      <c r="E33" s="75"/>
      <c r="F33" s="74"/>
      <c r="G33" s="75"/>
      <c r="H33" s="78" t="s">
        <v>53</v>
      </c>
      <c r="I33" s="79">
        <v>1.0</v>
      </c>
      <c r="J33" s="80"/>
      <c r="K33" s="82"/>
      <c r="L33" s="82"/>
      <c r="M33" s="82"/>
      <c r="N33" s="82"/>
      <c r="O33" s="82"/>
      <c r="P33" s="82"/>
      <c r="Q33" s="82"/>
      <c r="R33" s="82"/>
      <c r="S33" s="82"/>
      <c r="T33" s="82"/>
      <c r="U33" s="76"/>
      <c r="V33" s="80"/>
      <c r="W33" s="76"/>
      <c r="X33" s="76"/>
      <c r="Y33" s="76"/>
    </row>
    <row r="34" ht="12.0" customHeight="1">
      <c r="A34" s="75"/>
      <c r="B34" s="85"/>
      <c r="C34" s="85"/>
      <c r="D34" s="85"/>
      <c r="E34" s="85"/>
      <c r="F34" s="85"/>
      <c r="G34" s="85"/>
      <c r="H34" s="85"/>
      <c r="I34" s="85"/>
      <c r="J34" s="85"/>
      <c r="K34" s="85"/>
      <c r="L34" s="85"/>
      <c r="M34" s="85"/>
      <c r="N34" s="85"/>
      <c r="O34" s="85"/>
      <c r="P34" s="85"/>
      <c r="Q34" s="85"/>
      <c r="R34" s="85"/>
      <c r="S34" s="85"/>
      <c r="T34" s="82"/>
      <c r="U34" s="76"/>
      <c r="V34" s="80"/>
      <c r="W34" s="76"/>
      <c r="X34" s="76"/>
      <c r="Y34" s="76"/>
    </row>
    <row r="35" ht="12.0" customHeight="1">
      <c r="A35" s="75"/>
      <c r="B35" s="75"/>
      <c r="C35" s="75"/>
      <c r="D35" s="75"/>
      <c r="E35" s="75"/>
      <c r="F35" s="75"/>
      <c r="G35" s="75"/>
      <c r="H35" s="75"/>
      <c r="I35" s="75"/>
      <c r="J35" s="75"/>
      <c r="K35" s="75"/>
      <c r="L35" s="75"/>
      <c r="M35" s="75"/>
      <c r="N35" s="75"/>
      <c r="O35" s="75"/>
      <c r="P35" s="75"/>
      <c r="Q35" s="75"/>
      <c r="R35" s="75"/>
      <c r="S35" s="75"/>
      <c r="T35" s="82"/>
      <c r="U35" s="75"/>
      <c r="V35" s="80"/>
      <c r="W35" s="75"/>
      <c r="X35" s="76"/>
      <c r="Y35" s="76"/>
    </row>
    <row r="36" ht="12.0" customHeight="1">
      <c r="A36" s="75"/>
      <c r="B36" s="75"/>
      <c r="C36" s="75"/>
      <c r="D36" s="75"/>
      <c r="E36" s="75"/>
      <c r="F36" s="75"/>
      <c r="G36" s="75"/>
      <c r="H36" s="75"/>
      <c r="I36" s="75"/>
      <c r="J36" s="75"/>
      <c r="K36" s="78" t="s">
        <v>27</v>
      </c>
      <c r="L36" s="79">
        <v>0.0</v>
      </c>
      <c r="M36" s="80"/>
      <c r="N36" s="75"/>
      <c r="O36" s="75"/>
      <c r="P36" s="75"/>
      <c r="Q36" s="78"/>
      <c r="R36" s="79"/>
      <c r="S36" s="80"/>
      <c r="T36" s="82"/>
      <c r="U36" s="75"/>
      <c r="V36" s="80"/>
      <c r="W36" s="75"/>
      <c r="X36" s="76"/>
      <c r="Y36" s="76"/>
    </row>
    <row r="37" ht="12.0" customHeight="1">
      <c r="A37" s="75"/>
      <c r="B37" s="78" t="s">
        <v>12</v>
      </c>
      <c r="C37" s="79">
        <v>1.0</v>
      </c>
      <c r="D37" s="80"/>
      <c r="E37" s="75"/>
      <c r="F37" s="75"/>
      <c r="G37" s="75"/>
      <c r="H37" s="75"/>
      <c r="I37" s="75"/>
      <c r="J37" s="75"/>
      <c r="K37" s="74"/>
      <c r="L37" s="75"/>
      <c r="M37" s="80"/>
      <c r="N37" s="75"/>
      <c r="O37" s="75"/>
      <c r="P37" s="75"/>
      <c r="Q37" s="86"/>
      <c r="R37" s="75"/>
      <c r="S37" s="80"/>
      <c r="T37" s="82"/>
      <c r="U37" s="75"/>
      <c r="V37" s="80"/>
      <c r="W37" s="75"/>
      <c r="X37" s="76"/>
      <c r="Y37" s="76"/>
    </row>
    <row r="38" ht="12.0" customHeight="1">
      <c r="A38" s="75"/>
      <c r="B38" s="81" t="s">
        <v>72</v>
      </c>
      <c r="C38" s="75"/>
      <c r="D38" s="80"/>
      <c r="E38" s="78" t="s">
        <v>40</v>
      </c>
      <c r="F38" s="79">
        <v>2.0</v>
      </c>
      <c r="G38" s="80"/>
      <c r="H38" s="75"/>
      <c r="I38" s="75"/>
      <c r="J38" s="75"/>
      <c r="K38" s="74"/>
      <c r="L38" s="75"/>
      <c r="M38" s="80"/>
      <c r="N38" s="75"/>
      <c r="O38" s="75"/>
      <c r="P38" s="75"/>
      <c r="Q38" s="86"/>
      <c r="R38" s="75"/>
      <c r="S38" s="80"/>
      <c r="T38" s="82"/>
      <c r="U38" s="75"/>
      <c r="V38" s="80"/>
      <c r="W38" s="75"/>
      <c r="X38" s="76"/>
      <c r="Y38" s="76"/>
    </row>
    <row r="39" ht="12.0" customHeight="1">
      <c r="A39" s="75"/>
      <c r="B39" s="78" t="s">
        <v>40</v>
      </c>
      <c r="C39" s="79">
        <v>2.0</v>
      </c>
      <c r="D39" s="80"/>
      <c r="E39" s="74"/>
      <c r="F39" s="74"/>
      <c r="G39" s="80"/>
      <c r="H39" s="75"/>
      <c r="I39" s="75"/>
      <c r="J39" s="75"/>
      <c r="K39" s="74"/>
      <c r="L39" s="75"/>
      <c r="M39" s="80"/>
      <c r="N39" s="75"/>
      <c r="O39" s="75"/>
      <c r="P39" s="75"/>
      <c r="Q39" s="86"/>
      <c r="R39" s="75"/>
      <c r="S39" s="80"/>
      <c r="T39" s="82"/>
      <c r="U39" s="75"/>
      <c r="V39" s="80"/>
      <c r="W39" s="75"/>
      <c r="X39" s="76"/>
      <c r="Y39" s="76"/>
    </row>
    <row r="40" ht="12.0" customHeight="1">
      <c r="A40" s="75"/>
      <c r="B40" s="75"/>
      <c r="C40" s="75"/>
      <c r="D40" s="75"/>
      <c r="E40" s="81" t="s">
        <v>73</v>
      </c>
      <c r="F40" s="75"/>
      <c r="G40" s="80"/>
      <c r="H40" s="78" t="s">
        <v>40</v>
      </c>
      <c r="I40" s="79">
        <v>2.0</v>
      </c>
      <c r="J40" s="80"/>
      <c r="K40" s="81" t="s">
        <v>74</v>
      </c>
      <c r="L40" s="75"/>
      <c r="M40" s="80"/>
      <c r="N40" s="78" t="s">
        <v>40</v>
      </c>
      <c r="O40" s="79"/>
      <c r="P40" s="80"/>
      <c r="Q40" s="86"/>
      <c r="R40" s="75"/>
      <c r="S40" s="80"/>
      <c r="T40" s="74"/>
      <c r="U40" s="75"/>
      <c r="V40" s="80"/>
      <c r="W40" s="75"/>
      <c r="X40" s="76"/>
      <c r="Y40" s="76"/>
    </row>
    <row r="41" ht="12.0" customHeight="1">
      <c r="A41" s="75"/>
      <c r="B41" s="75"/>
      <c r="C41" s="75"/>
      <c r="D41" s="75"/>
      <c r="E41" s="74"/>
      <c r="F41" s="74"/>
      <c r="G41" s="80"/>
      <c r="H41" s="74"/>
      <c r="I41" s="75"/>
      <c r="J41" s="80"/>
      <c r="K41" s="74"/>
      <c r="L41" s="75"/>
      <c r="M41" s="80"/>
      <c r="N41" s="74"/>
      <c r="O41" s="75"/>
      <c r="P41" s="80"/>
      <c r="Q41" s="87"/>
      <c r="R41" s="75"/>
      <c r="S41" s="80"/>
      <c r="T41" s="74"/>
      <c r="U41" s="75"/>
      <c r="V41" s="80"/>
      <c r="W41" s="75"/>
      <c r="X41" s="76"/>
      <c r="Y41" s="76"/>
    </row>
    <row r="42" ht="12.0" customHeight="1">
      <c r="A42" s="75"/>
      <c r="B42" s="75"/>
      <c r="C42" s="75"/>
      <c r="D42" s="75"/>
      <c r="E42" s="78" t="s">
        <v>29</v>
      </c>
      <c r="F42" s="79">
        <v>1.0</v>
      </c>
      <c r="G42" s="80"/>
      <c r="H42" s="74"/>
      <c r="I42" s="75"/>
      <c r="J42" s="80"/>
      <c r="K42" s="74"/>
      <c r="L42" s="75"/>
      <c r="M42" s="80"/>
      <c r="N42" s="74"/>
      <c r="O42" s="75"/>
      <c r="P42" s="80"/>
      <c r="Q42" s="81" t="s">
        <v>75</v>
      </c>
      <c r="R42" s="75"/>
      <c r="S42" s="80"/>
      <c r="T42" s="78"/>
      <c r="U42" s="79"/>
      <c r="V42" s="80"/>
      <c r="W42" s="75"/>
      <c r="X42" s="76"/>
      <c r="Y42" s="76"/>
    </row>
    <row r="43" ht="12.0" customHeight="1">
      <c r="A43" s="75"/>
      <c r="B43" s="75"/>
      <c r="C43" s="75"/>
      <c r="D43" s="75"/>
      <c r="E43" s="75"/>
      <c r="F43" s="75"/>
      <c r="G43" s="75"/>
      <c r="H43" s="74"/>
      <c r="I43" s="75"/>
      <c r="J43" s="80"/>
      <c r="K43" s="74"/>
      <c r="L43" s="75"/>
      <c r="M43" s="80"/>
      <c r="N43" s="74"/>
      <c r="O43" s="75"/>
      <c r="P43" s="80"/>
      <c r="Q43" s="74"/>
      <c r="R43" s="75"/>
      <c r="S43" s="80"/>
      <c r="T43" s="75"/>
      <c r="U43" s="75"/>
      <c r="V43" s="75"/>
      <c r="W43" s="75"/>
      <c r="X43" s="76"/>
      <c r="Y43" s="76"/>
    </row>
    <row r="44" ht="12.0" customHeight="1">
      <c r="A44" s="75"/>
      <c r="B44" s="75"/>
      <c r="C44" s="75"/>
      <c r="D44" s="75"/>
      <c r="E44" s="75"/>
      <c r="F44" s="75"/>
      <c r="G44" s="75"/>
      <c r="H44" s="81" t="s">
        <v>76</v>
      </c>
      <c r="I44" s="75"/>
      <c r="J44" s="80"/>
      <c r="K44" s="78" t="s">
        <v>40</v>
      </c>
      <c r="L44" s="79">
        <v>2.0</v>
      </c>
      <c r="M44" s="80"/>
      <c r="N44" s="74"/>
      <c r="O44" s="75"/>
      <c r="P44" s="80"/>
      <c r="Q44" s="74"/>
      <c r="R44" s="75"/>
      <c r="S44" s="80"/>
      <c r="T44" s="75"/>
      <c r="U44" s="75"/>
      <c r="V44" s="75"/>
      <c r="W44" s="75"/>
      <c r="X44" s="76"/>
      <c r="Y44" s="76"/>
    </row>
    <row r="45" ht="12.0" customHeight="1">
      <c r="A45" s="75"/>
      <c r="B45" s="78" t="s">
        <v>24</v>
      </c>
      <c r="C45" s="79">
        <v>2.0</v>
      </c>
      <c r="D45" s="80"/>
      <c r="E45" s="75"/>
      <c r="F45" s="75"/>
      <c r="G45" s="75"/>
      <c r="H45" s="74"/>
      <c r="I45" s="75"/>
      <c r="J45" s="80"/>
      <c r="K45" s="75"/>
      <c r="L45" s="75"/>
      <c r="M45" s="75"/>
      <c r="N45" s="74"/>
      <c r="O45" s="75"/>
      <c r="P45" s="80"/>
      <c r="Q45" s="74"/>
      <c r="R45" s="75"/>
      <c r="S45" s="80"/>
      <c r="T45" s="75"/>
      <c r="U45" s="75"/>
      <c r="V45" s="75"/>
      <c r="W45" s="75"/>
      <c r="X45" s="76"/>
      <c r="Y45" s="76"/>
    </row>
    <row r="46" ht="12.0" customHeight="1">
      <c r="A46" s="75"/>
      <c r="B46" s="81" t="s">
        <v>72</v>
      </c>
      <c r="C46" s="75"/>
      <c r="D46" s="80"/>
      <c r="E46" s="78" t="s">
        <v>24</v>
      </c>
      <c r="F46" s="79">
        <v>0.0</v>
      </c>
      <c r="G46" s="80"/>
      <c r="H46" s="74"/>
      <c r="I46" s="75"/>
      <c r="J46" s="80"/>
      <c r="K46" s="75"/>
      <c r="L46" s="75"/>
      <c r="M46" s="75"/>
      <c r="N46" s="74"/>
      <c r="O46" s="75"/>
      <c r="P46" s="80"/>
      <c r="Q46" s="74"/>
      <c r="R46" s="75"/>
      <c r="S46" s="80"/>
      <c r="T46" s="75"/>
      <c r="U46" s="75"/>
      <c r="V46" s="75"/>
      <c r="W46" s="75"/>
      <c r="X46" s="76"/>
      <c r="Y46" s="76"/>
    </row>
    <row r="47" ht="12.0" customHeight="1">
      <c r="A47" s="75"/>
      <c r="B47" s="78" t="s">
        <v>56</v>
      </c>
      <c r="C47" s="79">
        <v>1.0</v>
      </c>
      <c r="D47" s="80"/>
      <c r="E47" s="74"/>
      <c r="F47" s="74"/>
      <c r="G47" s="80"/>
      <c r="H47" s="74"/>
      <c r="I47" s="75"/>
      <c r="J47" s="80"/>
      <c r="K47" s="75"/>
      <c r="L47" s="75"/>
      <c r="M47" s="75"/>
      <c r="N47" s="74"/>
      <c r="O47" s="75"/>
      <c r="P47" s="80"/>
      <c r="Q47" s="74"/>
      <c r="R47" s="75"/>
      <c r="S47" s="80"/>
      <c r="T47" s="75"/>
      <c r="U47" s="75"/>
      <c r="V47" s="75"/>
      <c r="W47" s="75"/>
      <c r="X47" s="76"/>
      <c r="Y47" s="76"/>
    </row>
    <row r="48" ht="12.0" customHeight="1">
      <c r="A48" s="75"/>
      <c r="B48" s="75"/>
      <c r="C48" s="75"/>
      <c r="D48" s="75"/>
      <c r="E48" s="81" t="s">
        <v>73</v>
      </c>
      <c r="F48" s="75"/>
      <c r="G48" s="80"/>
      <c r="H48" s="78" t="s">
        <v>49</v>
      </c>
      <c r="I48" s="79">
        <v>1.0</v>
      </c>
      <c r="J48" s="80"/>
      <c r="K48" s="75"/>
      <c r="L48" s="75"/>
      <c r="M48" s="75"/>
      <c r="N48" s="81" t="s">
        <v>77</v>
      </c>
      <c r="O48" s="75"/>
      <c r="P48" s="80"/>
      <c r="Q48" s="78"/>
      <c r="R48" s="79"/>
      <c r="S48" s="80"/>
      <c r="T48" s="75"/>
      <c r="U48" s="75"/>
      <c r="V48" s="75"/>
      <c r="W48" s="75"/>
      <c r="X48" s="76"/>
      <c r="Y48" s="76"/>
    </row>
    <row r="49" ht="12.0" customHeight="1">
      <c r="A49" s="75"/>
      <c r="B49" s="75"/>
      <c r="C49" s="75"/>
      <c r="D49" s="75"/>
      <c r="E49" s="74"/>
      <c r="F49" s="74"/>
      <c r="G49" s="80"/>
      <c r="H49" s="75"/>
      <c r="I49" s="75"/>
      <c r="J49" s="75"/>
      <c r="K49" s="75"/>
      <c r="L49" s="75"/>
      <c r="M49" s="75"/>
      <c r="N49" s="74"/>
      <c r="O49" s="75"/>
      <c r="P49" s="80"/>
      <c r="Q49" s="75"/>
      <c r="R49" s="75"/>
      <c r="S49" s="75"/>
      <c r="T49" s="75"/>
      <c r="U49" s="75"/>
      <c r="V49" s="75"/>
      <c r="W49" s="75"/>
      <c r="X49" s="76"/>
      <c r="Y49" s="76"/>
    </row>
    <row r="50" ht="12.0" customHeight="1">
      <c r="A50" s="75"/>
      <c r="B50" s="75"/>
      <c r="C50" s="75"/>
      <c r="D50" s="75"/>
      <c r="E50" s="78" t="s">
        <v>49</v>
      </c>
      <c r="F50" s="79">
        <v>2.0</v>
      </c>
      <c r="G50" s="80"/>
      <c r="H50" s="75"/>
      <c r="I50" s="75"/>
      <c r="J50" s="75"/>
      <c r="K50" s="75"/>
      <c r="L50" s="75"/>
      <c r="M50" s="75"/>
      <c r="N50" s="74"/>
      <c r="O50" s="75"/>
      <c r="P50" s="80"/>
      <c r="Q50" s="75"/>
      <c r="R50" s="75"/>
      <c r="S50" s="75"/>
      <c r="T50" s="75"/>
      <c r="U50" s="75"/>
      <c r="V50" s="75"/>
      <c r="W50" s="75"/>
      <c r="X50" s="76"/>
      <c r="Y50" s="76"/>
    </row>
    <row r="51" ht="12.0" customHeight="1">
      <c r="A51" s="75"/>
      <c r="B51" s="75"/>
      <c r="C51" s="75"/>
      <c r="D51" s="75"/>
      <c r="E51" s="75"/>
      <c r="F51" s="75"/>
      <c r="G51" s="75"/>
      <c r="H51" s="75"/>
      <c r="I51" s="75"/>
      <c r="J51" s="75"/>
      <c r="K51" s="75"/>
      <c r="L51" s="75"/>
      <c r="M51" s="75"/>
      <c r="N51" s="74"/>
      <c r="O51" s="75"/>
      <c r="P51" s="80"/>
      <c r="Q51" s="75"/>
      <c r="R51" s="75"/>
      <c r="S51" s="75"/>
      <c r="T51" s="75"/>
      <c r="U51" s="75"/>
      <c r="V51" s="75"/>
      <c r="W51" s="75"/>
      <c r="X51" s="76"/>
      <c r="Y51" s="76"/>
    </row>
    <row r="52" ht="12.0" customHeight="1">
      <c r="A52" s="75"/>
      <c r="B52" s="75"/>
      <c r="C52" s="75"/>
      <c r="D52" s="75"/>
      <c r="E52" s="75"/>
      <c r="F52" s="75"/>
      <c r="G52" s="75"/>
      <c r="H52" s="75"/>
      <c r="I52" s="75"/>
      <c r="J52" s="75"/>
      <c r="K52" s="78" t="s">
        <v>60</v>
      </c>
      <c r="L52" s="79">
        <v>2.0</v>
      </c>
      <c r="M52" s="80"/>
      <c r="N52" s="74"/>
      <c r="O52" s="75"/>
      <c r="P52" s="80"/>
      <c r="Q52" s="75"/>
      <c r="R52" s="75"/>
      <c r="S52" s="75"/>
      <c r="T52" s="75"/>
      <c r="U52" s="75"/>
      <c r="V52" s="75"/>
      <c r="W52" s="75"/>
      <c r="X52" s="76"/>
      <c r="Y52" s="76"/>
    </row>
    <row r="53" ht="12.0" customHeight="1">
      <c r="A53" s="75"/>
      <c r="B53" s="78" t="s">
        <v>17</v>
      </c>
      <c r="C53" s="79">
        <v>2.0</v>
      </c>
      <c r="D53" s="80"/>
      <c r="E53" s="75"/>
      <c r="F53" s="75"/>
      <c r="G53" s="75"/>
      <c r="H53" s="75"/>
      <c r="I53" s="75"/>
      <c r="J53" s="75"/>
      <c r="K53" s="74"/>
      <c r="L53" s="75"/>
      <c r="M53" s="80"/>
      <c r="N53" s="74"/>
      <c r="O53" s="75"/>
      <c r="P53" s="80"/>
      <c r="Q53" s="75"/>
      <c r="R53" s="75"/>
      <c r="S53" s="75"/>
      <c r="T53" s="75"/>
      <c r="U53" s="75"/>
      <c r="V53" s="75"/>
      <c r="W53" s="75"/>
      <c r="X53" s="76"/>
      <c r="Y53" s="76"/>
    </row>
    <row r="54" ht="12.0" customHeight="1">
      <c r="A54" s="75"/>
      <c r="B54" s="81" t="s">
        <v>72</v>
      </c>
      <c r="C54" s="75"/>
      <c r="D54" s="80"/>
      <c r="E54" s="78" t="s">
        <v>17</v>
      </c>
      <c r="F54" s="79">
        <v>2.0</v>
      </c>
      <c r="G54" s="80"/>
      <c r="H54" s="75"/>
      <c r="I54" s="75"/>
      <c r="J54" s="75"/>
      <c r="K54" s="74"/>
      <c r="L54" s="75"/>
      <c r="M54" s="80"/>
      <c r="N54" s="74"/>
      <c r="O54" s="75"/>
      <c r="P54" s="80"/>
      <c r="Q54" s="75"/>
      <c r="R54" s="75"/>
      <c r="S54" s="75"/>
      <c r="T54" s="75"/>
      <c r="U54" s="75"/>
      <c r="V54" s="75"/>
      <c r="W54" s="75"/>
      <c r="X54" s="76"/>
      <c r="Y54" s="76"/>
    </row>
    <row r="55" ht="12.0" customHeight="1">
      <c r="A55" s="75"/>
      <c r="B55" s="78" t="s">
        <v>35</v>
      </c>
      <c r="C55" s="79">
        <v>1.0</v>
      </c>
      <c r="D55" s="80"/>
      <c r="E55" s="74"/>
      <c r="F55" s="74"/>
      <c r="G55" s="80"/>
      <c r="H55" s="75"/>
      <c r="I55" s="75"/>
      <c r="J55" s="75"/>
      <c r="K55" s="74"/>
      <c r="L55" s="75"/>
      <c r="M55" s="80"/>
      <c r="N55" s="74"/>
      <c r="O55" s="75"/>
      <c r="P55" s="80"/>
      <c r="Q55" s="75"/>
      <c r="R55" s="75"/>
      <c r="S55" s="75"/>
      <c r="T55" s="75"/>
      <c r="U55" s="75"/>
      <c r="V55" s="75"/>
      <c r="W55" s="75"/>
      <c r="X55" s="76"/>
      <c r="Y55" s="76"/>
    </row>
    <row r="56" ht="12.0" customHeight="1">
      <c r="A56" s="75"/>
      <c r="B56" s="75"/>
      <c r="C56" s="75"/>
      <c r="D56" s="75"/>
      <c r="E56" s="81" t="s">
        <v>73</v>
      </c>
      <c r="F56" s="75"/>
      <c r="G56" s="80"/>
      <c r="H56" s="78" t="s">
        <v>17</v>
      </c>
      <c r="I56" s="79">
        <v>2.0</v>
      </c>
      <c r="J56" s="80"/>
      <c r="K56" s="81" t="s">
        <v>74</v>
      </c>
      <c r="L56" s="75"/>
      <c r="M56" s="80"/>
      <c r="N56" s="78" t="s">
        <v>60</v>
      </c>
      <c r="O56" s="79"/>
      <c r="P56" s="80"/>
      <c r="Q56" s="75"/>
      <c r="R56" s="75"/>
      <c r="S56" s="75"/>
      <c r="T56" s="75"/>
      <c r="U56" s="75"/>
      <c r="V56" s="75"/>
      <c r="W56" s="75"/>
      <c r="X56" s="76"/>
      <c r="Y56" s="76"/>
    </row>
    <row r="57" ht="12.0" customHeight="1">
      <c r="A57" s="75"/>
      <c r="B57" s="75"/>
      <c r="C57" s="75"/>
      <c r="D57" s="75"/>
      <c r="E57" s="74"/>
      <c r="F57" s="74"/>
      <c r="G57" s="80"/>
      <c r="H57" s="74"/>
      <c r="I57" s="75"/>
      <c r="J57" s="80"/>
      <c r="K57" s="74"/>
      <c r="L57" s="75"/>
      <c r="M57" s="80"/>
      <c r="N57" s="75"/>
      <c r="O57" s="75"/>
      <c r="P57" s="75"/>
      <c r="Q57" s="75"/>
      <c r="R57" s="75"/>
      <c r="S57" s="75"/>
      <c r="T57" s="75"/>
      <c r="U57" s="75"/>
      <c r="V57" s="75"/>
      <c r="W57" s="75"/>
      <c r="X57" s="76"/>
      <c r="Y57" s="76"/>
    </row>
    <row r="58" ht="12.0" customHeight="1">
      <c r="A58" s="75"/>
      <c r="B58" s="75"/>
      <c r="C58" s="75"/>
      <c r="D58" s="75"/>
      <c r="E58" s="78" t="s">
        <v>59</v>
      </c>
      <c r="F58" s="79">
        <v>1.0</v>
      </c>
      <c r="G58" s="80"/>
      <c r="H58" s="74"/>
      <c r="I58" s="75"/>
      <c r="J58" s="80"/>
      <c r="K58" s="74"/>
      <c r="L58" s="75"/>
      <c r="M58" s="80"/>
      <c r="N58" s="75"/>
      <c r="O58" s="75"/>
      <c r="P58" s="75"/>
      <c r="Q58" s="75"/>
      <c r="R58" s="75"/>
      <c r="S58" s="75"/>
      <c r="T58" s="75"/>
      <c r="U58" s="75"/>
      <c r="V58" s="75"/>
      <c r="W58" s="75"/>
      <c r="X58" s="76"/>
      <c r="Y58" s="76"/>
    </row>
    <row r="59" ht="12.0" customHeight="1">
      <c r="A59" s="75"/>
      <c r="B59" s="75"/>
      <c r="C59" s="75"/>
      <c r="D59" s="75"/>
      <c r="E59" s="75"/>
      <c r="F59" s="75"/>
      <c r="G59" s="75"/>
      <c r="H59" s="74"/>
      <c r="I59" s="75"/>
      <c r="J59" s="80"/>
      <c r="K59" s="74"/>
      <c r="L59" s="75"/>
      <c r="M59" s="80"/>
      <c r="N59" s="75"/>
      <c r="O59" s="75"/>
      <c r="P59" s="75"/>
      <c r="Q59" s="75"/>
      <c r="R59" s="75"/>
      <c r="S59" s="75"/>
      <c r="T59" s="75"/>
      <c r="U59" s="75"/>
      <c r="V59" s="75"/>
      <c r="W59" s="75"/>
      <c r="X59" s="76"/>
      <c r="Y59" s="76"/>
    </row>
    <row r="60" ht="12.0" customHeight="1">
      <c r="A60" s="75"/>
      <c r="B60" s="75"/>
      <c r="C60" s="75"/>
      <c r="D60" s="75"/>
      <c r="E60" s="75"/>
      <c r="F60" s="75"/>
      <c r="G60" s="75"/>
      <c r="H60" s="81" t="s">
        <v>76</v>
      </c>
      <c r="I60" s="75"/>
      <c r="J60" s="80"/>
      <c r="K60" s="78" t="s">
        <v>17</v>
      </c>
      <c r="L60" s="79">
        <v>1.0</v>
      </c>
      <c r="M60" s="80"/>
      <c r="N60" s="75"/>
      <c r="O60" s="75"/>
      <c r="P60" s="75"/>
      <c r="Q60" s="75"/>
      <c r="R60" s="75"/>
      <c r="S60" s="75"/>
      <c r="T60" s="75"/>
      <c r="U60" s="75"/>
      <c r="V60" s="75"/>
      <c r="W60" s="75"/>
      <c r="X60" s="76"/>
      <c r="Y60" s="76"/>
    </row>
    <row r="61" ht="12.0" customHeight="1">
      <c r="A61" s="75"/>
      <c r="B61" s="78" t="s">
        <v>21</v>
      </c>
      <c r="C61" s="79">
        <v>0.0</v>
      </c>
      <c r="D61" s="80"/>
      <c r="E61" s="75"/>
      <c r="F61" s="75"/>
      <c r="G61" s="75"/>
      <c r="H61" s="74"/>
      <c r="I61" s="75"/>
      <c r="J61" s="80"/>
      <c r="K61" s="75"/>
      <c r="L61" s="75"/>
      <c r="M61" s="75"/>
      <c r="N61" s="75"/>
      <c r="O61" s="75"/>
      <c r="P61" s="75"/>
      <c r="Q61" s="75"/>
      <c r="R61" s="75"/>
      <c r="S61" s="75"/>
      <c r="T61" s="75"/>
      <c r="U61" s="75"/>
      <c r="V61" s="75"/>
      <c r="W61" s="75"/>
      <c r="X61" s="76"/>
      <c r="Y61" s="76"/>
    </row>
    <row r="62" ht="12.0" customHeight="1">
      <c r="A62" s="75"/>
      <c r="B62" s="81" t="s">
        <v>72</v>
      </c>
      <c r="C62" s="75"/>
      <c r="D62" s="80"/>
      <c r="E62" s="78" t="s">
        <v>53</v>
      </c>
      <c r="F62" s="79">
        <v>2.0</v>
      </c>
      <c r="G62" s="80"/>
      <c r="H62" s="74"/>
      <c r="I62" s="75"/>
      <c r="J62" s="80"/>
      <c r="K62" s="75"/>
      <c r="L62" s="75"/>
      <c r="M62" s="75"/>
      <c r="N62" s="75"/>
      <c r="O62" s="75"/>
      <c r="P62" s="75"/>
      <c r="Q62" s="75"/>
      <c r="R62" s="75"/>
      <c r="S62" s="75"/>
      <c r="T62" s="75"/>
      <c r="U62" s="75"/>
      <c r="V62" s="75"/>
      <c r="W62" s="75"/>
      <c r="X62" s="76"/>
      <c r="Y62" s="76"/>
    </row>
    <row r="63" ht="12.0" customHeight="1">
      <c r="A63" s="75"/>
      <c r="B63" s="78" t="s">
        <v>53</v>
      </c>
      <c r="C63" s="79">
        <v>2.0</v>
      </c>
      <c r="D63" s="80"/>
      <c r="E63" s="74"/>
      <c r="F63" s="74"/>
      <c r="G63" s="80"/>
      <c r="H63" s="74"/>
      <c r="I63" s="75"/>
      <c r="J63" s="80"/>
      <c r="K63" s="75"/>
      <c r="L63" s="75"/>
      <c r="M63" s="75"/>
      <c r="N63" s="75"/>
      <c r="O63" s="75"/>
      <c r="P63" s="75"/>
      <c r="Q63" s="75"/>
      <c r="R63" s="75"/>
      <c r="S63" s="75"/>
      <c r="T63" s="75"/>
      <c r="U63" s="75"/>
      <c r="V63" s="75"/>
      <c r="W63" s="75"/>
      <c r="X63" s="76"/>
      <c r="Y63" s="76"/>
    </row>
    <row r="64" ht="12.0" customHeight="1">
      <c r="A64" s="75"/>
      <c r="B64" s="75"/>
      <c r="C64" s="75"/>
      <c r="D64" s="75"/>
      <c r="E64" s="81" t="s">
        <v>73</v>
      </c>
      <c r="F64" s="75"/>
      <c r="G64" s="80"/>
      <c r="H64" s="78" t="s">
        <v>53</v>
      </c>
      <c r="I64" s="79">
        <v>0.0</v>
      </c>
      <c r="J64" s="80"/>
      <c r="K64" s="75"/>
      <c r="L64" s="75"/>
      <c r="M64" s="75"/>
      <c r="N64" s="75"/>
      <c r="O64" s="75"/>
      <c r="P64" s="75"/>
      <c r="Q64" s="75"/>
      <c r="R64" s="75"/>
      <c r="S64" s="75"/>
      <c r="T64" s="75"/>
      <c r="U64" s="75"/>
      <c r="V64" s="75"/>
      <c r="W64" s="75"/>
      <c r="X64" s="76"/>
      <c r="Y64" s="76"/>
    </row>
    <row r="65" ht="12.0" customHeight="1">
      <c r="A65" s="75"/>
      <c r="B65" s="75"/>
      <c r="C65" s="75"/>
      <c r="D65" s="75"/>
      <c r="E65" s="74"/>
      <c r="F65" s="74"/>
      <c r="G65" s="80"/>
      <c r="H65" s="75"/>
      <c r="I65" s="75"/>
      <c r="J65" s="75"/>
      <c r="K65" s="75"/>
      <c r="L65" s="75"/>
      <c r="M65" s="75"/>
      <c r="N65" s="75"/>
      <c r="O65" s="75"/>
      <c r="P65" s="75"/>
      <c r="Q65" s="75"/>
      <c r="R65" s="75"/>
      <c r="S65" s="75"/>
      <c r="T65" s="75"/>
      <c r="U65" s="75"/>
      <c r="V65" s="75"/>
      <c r="W65" s="75"/>
      <c r="X65" s="76"/>
      <c r="Y65" s="76"/>
    </row>
    <row r="66" ht="12.0" customHeight="1">
      <c r="A66" s="75"/>
      <c r="B66" s="75"/>
      <c r="C66" s="75"/>
      <c r="D66" s="75"/>
      <c r="E66" s="78" t="s">
        <v>45</v>
      </c>
      <c r="F66" s="79">
        <v>0.0</v>
      </c>
      <c r="G66" s="80"/>
      <c r="H66" s="75"/>
      <c r="I66" s="75"/>
      <c r="J66" s="75"/>
      <c r="K66" s="75"/>
      <c r="L66" s="75"/>
      <c r="M66" s="75"/>
      <c r="N66" s="75"/>
      <c r="O66" s="75"/>
      <c r="P66" s="75"/>
      <c r="Q66" s="75"/>
      <c r="R66" s="75"/>
      <c r="S66" s="75"/>
      <c r="T66" s="75"/>
      <c r="U66" s="75"/>
      <c r="V66" s="75"/>
      <c r="W66" s="75"/>
      <c r="X66" s="76"/>
      <c r="Y66" s="76"/>
    </row>
    <row r="67" ht="12.0" customHeight="1">
      <c r="A67" s="75"/>
      <c r="B67" s="75"/>
      <c r="C67" s="75"/>
      <c r="D67" s="75"/>
      <c r="E67" s="75"/>
      <c r="F67" s="75"/>
      <c r="G67" s="75"/>
      <c r="H67" s="75"/>
      <c r="I67" s="75"/>
      <c r="J67" s="75"/>
      <c r="K67" s="74"/>
      <c r="L67" s="74"/>
      <c r="M67" s="74"/>
      <c r="N67" s="74"/>
      <c r="O67" s="74"/>
      <c r="P67" s="74"/>
      <c r="Q67" s="74"/>
      <c r="R67" s="74"/>
      <c r="S67" s="74"/>
      <c r="T67" s="77"/>
      <c r="U67" s="74"/>
      <c r="V67" s="74"/>
      <c r="W67" s="77"/>
      <c r="X67" s="77"/>
      <c r="Y67" s="77"/>
    </row>
  </sheetData>
  <mergeCells count="1">
    <mergeCell ref="B1:X1"/>
  </mergeCells>
  <conditionalFormatting sqref="H3 K4 H5 N6 H7 K8 H9 Q10 H11 K12 H13 N14 H15 K16 H17 T18 H19 K20 H21 N22 H23 K24 H25 Q26 H27 K28 H29 N30 H31 K32 H33 K36 Q36 B37 E38 B39 H40 N40 E42 T42 K44 B45 E46 B47 H48 Q48 E50 K52 B53 E54 B55 H56 N56 E58 K60 B61 E62 B63 H64 E66">
    <cfRule type="expression" dxfId="0" priority="1">
      <formula>AND(I3=0, I3&lt;&gt;"")</formula>
    </cfRule>
  </conditionalFormatting>
  <conditionalFormatting sqref="I3 L4 I5 O6 I7 L8 I9 R10 I11 L12 I13 O14 I15 L16 I17 U18 I19 L20 I21 O22 I23 L24 I25 R26 I27 L28 I29 O30 I31 L32 I33 L36 R36 C37 F38 C39 I40 O40 F42 U42 L44 C45 F46 C47 I48 R48 F50 L52 C53 F54 C55 I56 O56 F58 L60 C61 F62 C63 I64 F66">
    <cfRule type="cellIs" dxfId="1" priority="2" operator="equal">
      <formula>2</formula>
    </cfRule>
  </conditionalFormatting>
  <conditionalFormatting sqref="I3 L4 I5 O6 I7 L8 I9 R10 I11 L12 I13 O14 I15 L16 I17 U18 I19 L20 I21 O22 I23 L24 I25 R26 I27 L28 I29 O30 I31 L32 I33 L36 R36 C37 F38 C39 I40 O40 F42 U42 L44 C45 F46 C47 I48 R48 F50 L52 C53 F54 C55 I56 O56 F58 L60 C61 F62 C63 I64 F66">
    <cfRule type="cellIs" dxfId="1" priority="3" operator="equal">
      <formula>"FFW"</formula>
    </cfRule>
  </conditionalFormatting>
  <conditionalFormatting sqref="I3 L4 I5 O6 I7 L8 I9 R10 I11 L12 I13 O14 I15 L16 I17 U18 I19 L20 I21 O22 I23 L24 I25 R26 I27 L28 I29 O30 I31 L32 I33 L36 R36 C37 F38 C39 I40 O40 F42 U42 L44 C45 F46 C47 I48 R48 F50 L52 C53 F54 C55 I56 O56 F58 L60 C61 F62 C63 I64 F66">
    <cfRule type="cellIs" dxfId="2" priority="4" operator="equal">
      <formula>"FFL"</formula>
    </cfRule>
  </conditionalFormatting>
  <conditionalFormatting sqref="T18">
    <cfRule type="expression" dxfId="3" priority="5">
      <formula>(U18=3)</formula>
    </cfRule>
  </conditionalFormatting>
  <conditionalFormatting sqref="H3 K4 H5 N6 H7 K8 H9 Q10 H11 K12 H13 N14 H15 K16 H17 H19 K20 H21 N22 H23 K24 H25 Q26 H27 K28 H29 N30 H31 K32 H33 K36 Q36 B37 E38 B39 H40 N40 E42 T42 K44 B45 E46 B47 H48 Q48 E50 K52 B53 E54 B55 H56 N56 E58 K60 B61 E62 B63 H64 E66">
    <cfRule type="expression" dxfId="3" priority="6">
      <formula>(I3=2)</formula>
    </cfRule>
  </conditionalFormatting>
  <conditionalFormatting sqref="T18">
    <cfRule type="expression" dxfId="0" priority="7">
      <formula>(U18=2)</formula>
    </cfRule>
  </conditionalFormatting>
  <conditionalFormatting sqref="H3 K4 H5 N6 H7 K8 H9 Q10 H11 K12 H13 N14 H15 K16 H17 T18 H19 K20 H21 N22 H23 K24 H25 Q26 H27 K28 H29 N30 H31 K32 H33 K36 Q36 B37 E38 B39 H40 N40 E42 T42 K44 B45 E46 B47 H48 Q48 E50 K52 B53 E54 B55 H56 N56 E58 K60 B61 E62 B63 H64 E66">
    <cfRule type="expression" dxfId="3" priority="8">
      <formula>(I3="FFW")</formula>
    </cfRule>
  </conditionalFormatting>
  <conditionalFormatting sqref="H3 K4 H5 N6 H7 K8 H9 Q10 H11 K12 H13 N14 H15 K16 H17 T18 H19 K20 H21 N22 H23 K24 H25 Q26 H27 K28 H29 N30 H31 K32 H33 K36 Q36 B37 E38 B39 H40 N40 E42 T42 K44 B45 E46 B47 H48 Q48 E50 K52 B53 E54 B55 H56 N56 E58 K60 B61 E62 B63 H64 E66">
    <cfRule type="expression" dxfId="0" priority="9">
      <formula>(I3=1)</formula>
    </cfRule>
  </conditionalFormatting>
  <conditionalFormatting sqref="H3 K4 H5 N6 H7 K8 H9 Q10 H11 K12 H13 N14 H15 K16 H17 T18 H19 K20 H21 N22 H23 K24 H25 Q26 H27 K28 H29 N30 H31 K32 H33 K36 Q36 B37 E38 B39 H40 N40 E42 T42 K44 B45 E46 B47 H48 Q48 E50 K52 B53 E54 B55 H56 N56 E58 K60 B61 E62 B63 H64 E66">
    <cfRule type="expression" dxfId="0" priority="10">
      <formula>(I3="FFL")</formula>
    </cfRule>
  </conditionalFormatting>
  <conditionalFormatting sqref="I3 L4 I5 O6 I7 L8 I9 R10 I11 L12 I13 O14 I15 L16 I17 U18 I19 L20 I21 O22 I23 L24 I25 R26 I27 L28 I29 O30 I31 L32 I33 L36 R36 C37 F38 C39 I40 O40 F42 U42 L44 C45 F46 C47 I48 R48 F50 L52 C53 F54 C55 I56 O56 F58 L60 C61 F62 C63 I64 F66">
    <cfRule type="cellIs" dxfId="2" priority="11" operator="lessThan">
      <formula>2</formula>
    </cfRule>
  </conditionalFormatting>
  <dataValidations>
    <dataValidation type="list" allowBlank="1" showDropDown="1" showErrorMessage="1" sqref="H4 K6 H8 N10 H12 K14 H16 Q18 H20 K22 H24 N26 H28 T28 K30 T30 H32 B38 E40 K40 Q42 H44 B46 E48 N48 B54 E56 K56 H60 B62 E64">
      <formula1>Data!$C$2:$C$13</formula1>
    </dataValidation>
    <dataValidation type="list" allowBlank="1" showDropDown="1" showErrorMessage="1" sqref="I3 L4 I5 O6 I7 L8 I9 R10 I11 L12 I13 O14 I15 L16 I17 U18 I19 L20 I21 O22 I23 L24 I25 R26 I27 L28 I29 O30 I31 L32 I33 L36 R36 C37 F38 C39 I40 O40 F42 U42 L44 C45 F46 C47 I48 R48 F50 L52 C53 F54 C55 I56 O56 F58 L60 C61 F62 C63 I64 F66">
      <formula1>"0,1,2,3,FFW,FFL"</formula1>
    </dataValidation>
    <dataValidation type="list" allowBlank="1" showDropDown="1" sqref="K5:L5 K7:L7 K13:L13 K15:L15 K21:L21 K23:L23 K29:L29 K31:L31 E39:F39 E41:F41 E47:F47 E49:F49 E55:F55 E57:F57 E63:F63 E65:F65 K67:Y67">
      <formula1>Data!$E$2:$E$13</formula1>
    </dataValidation>
    <dataValidation type="list" allowBlank="1" showDropDown="1" showErrorMessage="1" sqref="H3 K4 H5 N6 H7 K8 H9 Q10 H11 K12 H13 N14 H15 K16 H17 T18 H19 K20 H21 N22 H23 K24 H25 Q26 H27 K28 W28 H29 N30 H31 K32 H33 K36 Q36 B37 E38 B39 H40 N40 E42 T42 K44 B45 E46 B47 H48 Q48 E50 K52 B53 E54 B55 H56 N56 E58 K60 B61 E62 B63 H64 E66">
      <formula1>General!$Q$3:$Q$18</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7.0"/>
    <col customWidth="1" min="2" max="2" width="22.88"/>
    <col customWidth="1" min="3" max="3" width="16.5"/>
    <col customWidth="1" min="4" max="5" width="10.38"/>
    <col customWidth="1" min="6" max="6" width="18.38"/>
    <col customWidth="1" min="7" max="7" width="4.0"/>
    <col customWidth="1" min="8" max="8" width="0.88"/>
    <col customWidth="1" min="9" max="9" width="4.0"/>
    <col customWidth="1" min="10" max="10" width="18.38"/>
    <col customWidth="1" min="11" max="11" width="0.88"/>
    <col customWidth="1" min="12" max="13" width="3.88"/>
    <col customWidth="1" min="14" max="14" width="0.88"/>
    <col customWidth="1" min="15" max="16" width="3.88"/>
    <col customWidth="1" min="17" max="17" width="0.88"/>
    <col customWidth="1" min="18" max="19" width="3.88"/>
    <col customWidth="1" min="20" max="20" width="0.88"/>
    <col customWidth="1" min="21" max="21" width="63.0"/>
    <col customWidth="1" min="22" max="22" width="3.88"/>
  </cols>
  <sheetData>
    <row r="1" ht="24.75" customHeight="1">
      <c r="A1" s="88" t="s">
        <v>78</v>
      </c>
      <c r="B1" s="88" t="s">
        <v>79</v>
      </c>
      <c r="C1" s="89" t="s">
        <v>80</v>
      </c>
      <c r="D1" s="90" t="s">
        <v>81</v>
      </c>
      <c r="E1" s="90" t="s">
        <v>82</v>
      </c>
      <c r="F1" s="91" t="s">
        <v>83</v>
      </c>
      <c r="G1" s="92" t="s">
        <v>84</v>
      </c>
      <c r="H1" s="8"/>
      <c r="I1" s="8"/>
      <c r="J1" s="92" t="s">
        <v>85</v>
      </c>
      <c r="K1" s="93"/>
      <c r="L1" s="94" t="s">
        <v>86</v>
      </c>
      <c r="M1" s="8"/>
      <c r="N1" s="95"/>
      <c r="O1" s="94" t="s">
        <v>87</v>
      </c>
      <c r="P1" s="8"/>
      <c r="Q1" s="95"/>
      <c r="R1" s="94" t="s">
        <v>88</v>
      </c>
      <c r="S1" s="8"/>
      <c r="T1" s="93"/>
      <c r="U1" s="96" t="s">
        <v>89</v>
      </c>
      <c r="V1" s="97"/>
    </row>
    <row r="2">
      <c r="A2" s="98" t="s">
        <v>90</v>
      </c>
      <c r="B2" s="99" t="s">
        <v>65</v>
      </c>
      <c r="C2" s="100">
        <v>46207.0</v>
      </c>
      <c r="D2" s="98" t="s">
        <v>91</v>
      </c>
      <c r="E2" s="98" t="s">
        <v>92</v>
      </c>
      <c r="F2" s="98" t="s">
        <v>24</v>
      </c>
      <c r="G2" s="98">
        <v>0.0</v>
      </c>
      <c r="H2" s="101"/>
      <c r="I2" s="98">
        <v>2.0</v>
      </c>
      <c r="J2" s="98" t="s">
        <v>59</v>
      </c>
      <c r="K2" s="101"/>
      <c r="L2" s="102">
        <v>7.0</v>
      </c>
      <c r="M2" s="102">
        <v>13.0</v>
      </c>
      <c r="N2" s="103"/>
      <c r="O2" s="102">
        <v>10.0</v>
      </c>
      <c r="P2" s="102">
        <v>13.0</v>
      </c>
      <c r="Q2" s="104"/>
      <c r="R2" s="104"/>
      <c r="S2" s="104"/>
      <c r="T2" s="101"/>
      <c r="U2" s="98"/>
      <c r="V2" s="105"/>
    </row>
    <row r="3">
      <c r="A3" s="106" t="s">
        <v>90</v>
      </c>
      <c r="B3" s="107" t="s">
        <v>65</v>
      </c>
      <c r="D3" s="106" t="s">
        <v>91</v>
      </c>
      <c r="E3" s="106" t="s">
        <v>93</v>
      </c>
      <c r="F3" s="106" t="s">
        <v>27</v>
      </c>
      <c r="G3" s="106">
        <v>2.0</v>
      </c>
      <c r="H3" s="108"/>
      <c r="I3" s="106">
        <v>1.0</v>
      </c>
      <c r="J3" s="106" t="s">
        <v>56</v>
      </c>
      <c r="K3" s="108"/>
      <c r="L3" s="109">
        <v>13.0</v>
      </c>
      <c r="M3" s="109">
        <v>10.0</v>
      </c>
      <c r="N3" s="110"/>
      <c r="O3" s="109">
        <v>5.0</v>
      </c>
      <c r="P3" s="109">
        <v>13.0</v>
      </c>
      <c r="Q3" s="110"/>
      <c r="R3" s="109">
        <v>13.0</v>
      </c>
      <c r="S3" s="109">
        <v>4.0</v>
      </c>
      <c r="T3" s="108"/>
      <c r="U3" s="106"/>
      <c r="V3" s="105"/>
    </row>
    <row r="4">
      <c r="A4" s="106" t="s">
        <v>90</v>
      </c>
      <c r="B4" s="107" t="s">
        <v>65</v>
      </c>
      <c r="D4" s="106" t="s">
        <v>94</v>
      </c>
      <c r="E4" s="106" t="s">
        <v>92</v>
      </c>
      <c r="F4" s="106" t="s">
        <v>29</v>
      </c>
      <c r="G4" s="106">
        <v>2.0</v>
      </c>
      <c r="H4" s="108"/>
      <c r="I4" s="106">
        <v>0.0</v>
      </c>
      <c r="J4" s="106" t="s">
        <v>53</v>
      </c>
      <c r="K4" s="108"/>
      <c r="L4" s="109" t="s">
        <v>64</v>
      </c>
      <c r="M4" s="109" t="s">
        <v>66</v>
      </c>
      <c r="N4" s="110"/>
      <c r="O4" s="109">
        <v>16.0</v>
      </c>
      <c r="P4" s="109">
        <v>13.0</v>
      </c>
      <c r="Q4" s="110"/>
      <c r="R4" s="109">
        <v>13.0</v>
      </c>
      <c r="S4" s="109">
        <v>8.0</v>
      </c>
      <c r="T4" s="108"/>
      <c r="U4" s="106" t="s">
        <v>95</v>
      </c>
      <c r="V4" s="105"/>
    </row>
    <row r="5">
      <c r="A5" s="111" t="s">
        <v>90</v>
      </c>
      <c r="B5" s="112" t="s">
        <v>65</v>
      </c>
      <c r="C5" s="66"/>
      <c r="D5" s="111" t="s">
        <v>94</v>
      </c>
      <c r="E5" s="111" t="s">
        <v>93</v>
      </c>
      <c r="F5" s="111" t="s">
        <v>40</v>
      </c>
      <c r="G5" s="111">
        <v>1.0</v>
      </c>
      <c r="H5" s="113"/>
      <c r="I5" s="111">
        <v>2.0</v>
      </c>
      <c r="J5" s="111" t="s">
        <v>45</v>
      </c>
      <c r="K5" s="113"/>
      <c r="L5" s="114">
        <v>7.0</v>
      </c>
      <c r="M5" s="114">
        <v>13.0</v>
      </c>
      <c r="N5" s="115"/>
      <c r="O5" s="114">
        <v>13.0</v>
      </c>
      <c r="P5" s="114">
        <v>1.0</v>
      </c>
      <c r="Q5" s="115"/>
      <c r="R5" s="114">
        <v>17.0</v>
      </c>
      <c r="S5" s="114">
        <v>19.0</v>
      </c>
      <c r="T5" s="113"/>
      <c r="U5" s="111"/>
      <c r="V5" s="105"/>
    </row>
    <row r="6">
      <c r="A6" s="98" t="s">
        <v>90</v>
      </c>
      <c r="B6" s="99" t="s">
        <v>65</v>
      </c>
      <c r="C6" s="100">
        <f>C2+1
</f>
        <v>46208</v>
      </c>
      <c r="D6" s="98" t="s">
        <v>91</v>
      </c>
      <c r="E6" s="98" t="s">
        <v>92</v>
      </c>
      <c r="F6" s="98" t="s">
        <v>12</v>
      </c>
      <c r="G6" s="98" t="s">
        <v>64</v>
      </c>
      <c r="H6" s="101"/>
      <c r="I6" s="98" t="s">
        <v>66</v>
      </c>
      <c r="J6" s="98" t="s">
        <v>62</v>
      </c>
      <c r="K6" s="101"/>
      <c r="L6" s="102" t="s">
        <v>64</v>
      </c>
      <c r="M6" s="102" t="s">
        <v>66</v>
      </c>
      <c r="N6" s="103"/>
      <c r="O6" s="102" t="s">
        <v>64</v>
      </c>
      <c r="P6" s="102" t="s">
        <v>66</v>
      </c>
      <c r="Q6" s="104"/>
      <c r="R6" s="104"/>
      <c r="S6" s="104"/>
      <c r="T6" s="101"/>
      <c r="U6" s="98" t="s">
        <v>96</v>
      </c>
      <c r="V6" s="105"/>
    </row>
    <row r="7">
      <c r="A7" s="106" t="s">
        <v>90</v>
      </c>
      <c r="B7" s="107" t="s">
        <v>65</v>
      </c>
      <c r="D7" s="106" t="s">
        <v>91</v>
      </c>
      <c r="E7" s="106" t="s">
        <v>93</v>
      </c>
      <c r="F7" s="106" t="s">
        <v>35</v>
      </c>
      <c r="G7" s="106">
        <v>0.0</v>
      </c>
      <c r="H7" s="108"/>
      <c r="I7" s="106">
        <v>2.0</v>
      </c>
      <c r="J7" s="106" t="s">
        <v>49</v>
      </c>
      <c r="K7" s="108"/>
      <c r="L7" s="109">
        <v>5.0</v>
      </c>
      <c r="M7" s="109">
        <v>13.0</v>
      </c>
      <c r="N7" s="110"/>
      <c r="O7" s="109">
        <v>14.0</v>
      </c>
      <c r="P7" s="109">
        <v>16.0</v>
      </c>
      <c r="Q7" s="110"/>
      <c r="R7" s="116"/>
      <c r="S7" s="116"/>
      <c r="T7" s="108"/>
      <c r="U7" s="106"/>
      <c r="V7" s="105"/>
    </row>
    <row r="8">
      <c r="A8" s="106" t="s">
        <v>90</v>
      </c>
      <c r="B8" s="107" t="s">
        <v>65</v>
      </c>
      <c r="D8" s="106" t="s">
        <v>94</v>
      </c>
      <c r="E8" s="106" t="s">
        <v>92</v>
      </c>
      <c r="F8" s="106" t="s">
        <v>17</v>
      </c>
      <c r="G8" s="106">
        <v>0.0</v>
      </c>
      <c r="H8" s="108"/>
      <c r="I8" s="106">
        <v>2.0</v>
      </c>
      <c r="J8" s="106" t="s">
        <v>61</v>
      </c>
      <c r="K8" s="108"/>
      <c r="L8" s="109">
        <v>14.0</v>
      </c>
      <c r="M8" s="109">
        <v>16.0</v>
      </c>
      <c r="N8" s="110"/>
      <c r="O8" s="109">
        <v>4.0</v>
      </c>
      <c r="P8" s="109">
        <v>13.0</v>
      </c>
      <c r="Q8" s="110"/>
      <c r="R8" s="116"/>
      <c r="S8" s="116"/>
      <c r="T8" s="108"/>
      <c r="U8" s="106"/>
      <c r="V8" s="105"/>
    </row>
    <row r="9">
      <c r="A9" s="111" t="s">
        <v>90</v>
      </c>
      <c r="B9" s="112" t="s">
        <v>65</v>
      </c>
      <c r="C9" s="66"/>
      <c r="D9" s="111" t="s">
        <v>94</v>
      </c>
      <c r="E9" s="111" t="s">
        <v>93</v>
      </c>
      <c r="F9" s="111" t="s">
        <v>21</v>
      </c>
      <c r="G9" s="111">
        <v>1.0</v>
      </c>
      <c r="H9" s="113"/>
      <c r="I9" s="111">
        <v>2.0</v>
      </c>
      <c r="J9" s="111" t="s">
        <v>60</v>
      </c>
      <c r="K9" s="113"/>
      <c r="L9" s="114">
        <v>16.0</v>
      </c>
      <c r="M9" s="114">
        <v>14.0</v>
      </c>
      <c r="N9" s="115"/>
      <c r="O9" s="114">
        <v>14.0</v>
      </c>
      <c r="P9" s="114">
        <v>16.0</v>
      </c>
      <c r="Q9" s="115"/>
      <c r="R9" s="114">
        <v>11.0</v>
      </c>
      <c r="S9" s="114">
        <v>13.0</v>
      </c>
      <c r="T9" s="113"/>
      <c r="U9" s="111"/>
      <c r="V9" s="105"/>
    </row>
    <row r="10">
      <c r="A10" s="98" t="s">
        <v>90</v>
      </c>
      <c r="B10" s="99" t="s">
        <v>72</v>
      </c>
      <c r="C10" s="100">
        <f>C6+1
</f>
        <v>46209</v>
      </c>
      <c r="D10" s="98" t="s">
        <v>91</v>
      </c>
      <c r="E10" s="98" t="s">
        <v>92</v>
      </c>
      <c r="F10" s="98" t="s">
        <v>12</v>
      </c>
      <c r="G10" s="98">
        <v>1.0</v>
      </c>
      <c r="H10" s="101"/>
      <c r="I10" s="98">
        <v>2.0</v>
      </c>
      <c r="J10" s="98" t="s">
        <v>40</v>
      </c>
      <c r="K10" s="101"/>
      <c r="L10" s="102">
        <v>9.0</v>
      </c>
      <c r="M10" s="102">
        <v>13.0</v>
      </c>
      <c r="N10" s="103"/>
      <c r="O10" s="102" t="s">
        <v>66</v>
      </c>
      <c r="P10" s="102" t="s">
        <v>64</v>
      </c>
      <c r="Q10" s="104"/>
      <c r="R10" s="102">
        <v>11.0</v>
      </c>
      <c r="S10" s="102">
        <v>13.0</v>
      </c>
      <c r="T10" s="101"/>
      <c r="U10" s="98" t="s">
        <v>97</v>
      </c>
      <c r="V10" s="105"/>
    </row>
    <row r="11">
      <c r="A11" s="106" t="s">
        <v>90</v>
      </c>
      <c r="B11" s="107" t="s">
        <v>72</v>
      </c>
      <c r="D11" s="106" t="s">
        <v>91</v>
      </c>
      <c r="E11" s="106" t="s">
        <v>93</v>
      </c>
      <c r="F11" s="106" t="s">
        <v>24</v>
      </c>
      <c r="G11" s="106">
        <v>2.0</v>
      </c>
      <c r="H11" s="108"/>
      <c r="I11" s="106">
        <v>1.0</v>
      </c>
      <c r="J11" s="106" t="s">
        <v>56</v>
      </c>
      <c r="K11" s="108"/>
      <c r="L11" s="109">
        <v>13.0</v>
      </c>
      <c r="M11" s="109">
        <v>7.0</v>
      </c>
      <c r="N11" s="110"/>
      <c r="O11" s="109">
        <v>11.0</v>
      </c>
      <c r="P11" s="109">
        <v>13.0</v>
      </c>
      <c r="Q11" s="110"/>
      <c r="R11" s="109">
        <v>13.0</v>
      </c>
      <c r="S11" s="109">
        <v>9.0</v>
      </c>
      <c r="T11" s="108"/>
      <c r="U11" s="106"/>
      <c r="V11" s="105"/>
    </row>
    <row r="12">
      <c r="A12" s="106" t="s">
        <v>90</v>
      </c>
      <c r="B12" s="107" t="s">
        <v>67</v>
      </c>
      <c r="D12" s="106" t="s">
        <v>94</v>
      </c>
      <c r="E12" s="106" t="s">
        <v>92</v>
      </c>
      <c r="F12" s="106" t="s">
        <v>62</v>
      </c>
      <c r="G12" s="106">
        <v>2.0</v>
      </c>
      <c r="H12" s="108"/>
      <c r="I12" s="106">
        <v>1.0</v>
      </c>
      <c r="J12" s="106" t="s">
        <v>45</v>
      </c>
      <c r="K12" s="108"/>
      <c r="L12" s="109">
        <v>19.0</v>
      </c>
      <c r="M12" s="109">
        <v>22.0</v>
      </c>
      <c r="N12" s="110"/>
      <c r="O12" s="109">
        <v>13.0</v>
      </c>
      <c r="P12" s="109">
        <v>8.0</v>
      </c>
      <c r="Q12" s="110"/>
      <c r="R12" s="109">
        <v>13.0</v>
      </c>
      <c r="S12" s="109">
        <v>6.0</v>
      </c>
      <c r="T12" s="108"/>
      <c r="U12" s="106"/>
      <c r="V12" s="105"/>
    </row>
    <row r="13">
      <c r="A13" s="106" t="s">
        <v>90</v>
      </c>
      <c r="B13" s="112" t="s">
        <v>67</v>
      </c>
      <c r="C13" s="66"/>
      <c r="D13" s="111" t="s">
        <v>94</v>
      </c>
      <c r="E13" s="111" t="s">
        <v>93</v>
      </c>
      <c r="F13" s="111" t="s">
        <v>61</v>
      </c>
      <c r="G13" s="111">
        <v>2.0</v>
      </c>
      <c r="H13" s="113"/>
      <c r="I13" s="111">
        <v>1.0</v>
      </c>
      <c r="J13" s="111" t="s">
        <v>49</v>
      </c>
      <c r="K13" s="113"/>
      <c r="L13" s="114">
        <v>13.0</v>
      </c>
      <c r="M13" s="114">
        <v>9.0</v>
      </c>
      <c r="N13" s="115"/>
      <c r="O13" s="114">
        <v>11.0</v>
      </c>
      <c r="P13" s="114">
        <v>13.0</v>
      </c>
      <c r="Q13" s="115"/>
      <c r="R13" s="114">
        <v>13.0</v>
      </c>
      <c r="S13" s="114">
        <v>5.0</v>
      </c>
      <c r="T13" s="113"/>
      <c r="U13" s="111"/>
      <c r="V13" s="105"/>
    </row>
    <row r="14">
      <c r="A14" s="98" t="s">
        <v>90</v>
      </c>
      <c r="B14" s="99" t="s">
        <v>72</v>
      </c>
      <c r="C14" s="100">
        <f>C10+1
</f>
        <v>46210</v>
      </c>
      <c r="D14" s="98" t="s">
        <v>91</v>
      </c>
      <c r="E14" s="98" t="s">
        <v>92</v>
      </c>
      <c r="F14" s="98" t="s">
        <v>17</v>
      </c>
      <c r="G14" s="98">
        <v>2.0</v>
      </c>
      <c r="H14" s="101"/>
      <c r="I14" s="98">
        <v>1.0</v>
      </c>
      <c r="J14" s="98" t="s">
        <v>35</v>
      </c>
      <c r="K14" s="101"/>
      <c r="L14" s="102">
        <v>14.0</v>
      </c>
      <c r="M14" s="102">
        <v>16.0</v>
      </c>
      <c r="N14" s="103"/>
      <c r="O14" s="102">
        <v>16.0</v>
      </c>
      <c r="P14" s="102">
        <v>13.0</v>
      </c>
      <c r="Q14" s="104"/>
      <c r="R14" s="102">
        <v>13.0</v>
      </c>
      <c r="S14" s="102">
        <v>5.0</v>
      </c>
      <c r="T14" s="101"/>
      <c r="U14" s="98"/>
      <c r="V14" s="105"/>
    </row>
    <row r="15">
      <c r="A15" s="106" t="s">
        <v>90</v>
      </c>
      <c r="B15" s="107" t="s">
        <v>72</v>
      </c>
      <c r="D15" s="106" t="s">
        <v>91</v>
      </c>
      <c r="E15" s="106" t="s">
        <v>93</v>
      </c>
      <c r="F15" s="106" t="s">
        <v>21</v>
      </c>
      <c r="G15" s="106">
        <v>0.0</v>
      </c>
      <c r="H15" s="108"/>
      <c r="I15" s="106">
        <v>2.0</v>
      </c>
      <c r="J15" s="106" t="s">
        <v>53</v>
      </c>
      <c r="K15" s="108"/>
      <c r="L15" s="109">
        <v>11.0</v>
      </c>
      <c r="M15" s="109">
        <v>13.0</v>
      </c>
      <c r="N15" s="110"/>
      <c r="O15" s="109">
        <v>10.0</v>
      </c>
      <c r="P15" s="109">
        <v>13.0</v>
      </c>
      <c r="Q15" s="110"/>
      <c r="R15" s="116"/>
      <c r="S15" s="116"/>
      <c r="T15" s="108"/>
      <c r="U15" s="106"/>
      <c r="V15" s="105"/>
    </row>
    <row r="16">
      <c r="A16" s="106" t="s">
        <v>90</v>
      </c>
      <c r="B16" s="107" t="s">
        <v>67</v>
      </c>
      <c r="D16" s="106" t="s">
        <v>98</v>
      </c>
      <c r="E16" s="106" t="s">
        <v>92</v>
      </c>
      <c r="F16" s="106" t="s">
        <v>59</v>
      </c>
      <c r="G16" s="106">
        <v>1.0</v>
      </c>
      <c r="H16" s="108"/>
      <c r="I16" s="106">
        <v>2.0</v>
      </c>
      <c r="J16" s="106" t="s">
        <v>27</v>
      </c>
      <c r="K16" s="108"/>
      <c r="L16" s="109">
        <v>8.0</v>
      </c>
      <c r="M16" s="109">
        <v>13.0</v>
      </c>
      <c r="N16" s="110"/>
      <c r="O16" s="109">
        <v>13.0</v>
      </c>
      <c r="P16" s="109">
        <v>9.0</v>
      </c>
      <c r="Q16" s="110"/>
      <c r="R16" s="109">
        <v>5.0</v>
      </c>
      <c r="S16" s="109">
        <v>13.0</v>
      </c>
      <c r="T16" s="108"/>
      <c r="U16" s="106"/>
      <c r="V16" s="105"/>
    </row>
    <row r="17">
      <c r="A17" s="111" t="s">
        <v>90</v>
      </c>
      <c r="B17" s="112" t="s">
        <v>67</v>
      </c>
      <c r="C17" s="66"/>
      <c r="D17" s="111" t="s">
        <v>94</v>
      </c>
      <c r="E17" s="111" t="s">
        <v>93</v>
      </c>
      <c r="F17" s="111" t="s">
        <v>60</v>
      </c>
      <c r="G17" s="111">
        <v>2.0</v>
      </c>
      <c r="H17" s="113"/>
      <c r="I17" s="111">
        <v>0.0</v>
      </c>
      <c r="J17" s="111" t="s">
        <v>29</v>
      </c>
      <c r="K17" s="113"/>
      <c r="L17" s="114">
        <v>13.0</v>
      </c>
      <c r="M17" s="114">
        <v>9.0</v>
      </c>
      <c r="N17" s="115"/>
      <c r="O17" s="114">
        <v>13.0</v>
      </c>
      <c r="P17" s="114">
        <v>7.0</v>
      </c>
      <c r="Q17" s="115"/>
      <c r="R17" s="117"/>
      <c r="S17" s="117"/>
      <c r="T17" s="113"/>
      <c r="U17" s="111"/>
      <c r="V17" s="105"/>
    </row>
    <row r="18">
      <c r="A18" s="98" t="s">
        <v>90</v>
      </c>
      <c r="B18" s="99" t="s">
        <v>73</v>
      </c>
      <c r="C18" s="100">
        <f>C14+1
</f>
        <v>46211</v>
      </c>
      <c r="D18" s="98" t="s">
        <v>91</v>
      </c>
      <c r="E18" s="98" t="s">
        <v>92</v>
      </c>
      <c r="F18" s="98" t="s">
        <v>53</v>
      </c>
      <c r="G18" s="98">
        <v>2.0</v>
      </c>
      <c r="H18" s="101"/>
      <c r="I18" s="98">
        <v>0.0</v>
      </c>
      <c r="J18" s="98" t="s">
        <v>45</v>
      </c>
      <c r="K18" s="101"/>
      <c r="L18" s="102">
        <v>13.0</v>
      </c>
      <c r="M18" s="102">
        <v>11.0</v>
      </c>
      <c r="N18" s="103"/>
      <c r="O18" s="102">
        <v>13.0</v>
      </c>
      <c r="P18" s="102">
        <v>9.0</v>
      </c>
      <c r="Q18" s="104"/>
      <c r="R18" s="104"/>
      <c r="S18" s="104"/>
      <c r="T18" s="101"/>
      <c r="U18" s="98"/>
      <c r="V18" s="105"/>
    </row>
    <row r="19">
      <c r="A19" s="106" t="s">
        <v>90</v>
      </c>
      <c r="B19" s="107" t="s">
        <v>73</v>
      </c>
      <c r="D19" s="106" t="s">
        <v>91</v>
      </c>
      <c r="E19" s="106" t="s">
        <v>93</v>
      </c>
      <c r="F19" s="106" t="s">
        <v>24</v>
      </c>
      <c r="G19" s="106">
        <v>0.0</v>
      </c>
      <c r="H19" s="108"/>
      <c r="I19" s="106">
        <v>2.0</v>
      </c>
      <c r="J19" s="106" t="s">
        <v>49</v>
      </c>
      <c r="K19" s="108"/>
      <c r="L19" s="109">
        <v>9.0</v>
      </c>
      <c r="M19" s="109">
        <v>13.0</v>
      </c>
      <c r="N19" s="110"/>
      <c r="O19" s="109">
        <v>7.0</v>
      </c>
      <c r="P19" s="109">
        <v>13.0</v>
      </c>
      <c r="Q19" s="110"/>
      <c r="R19" s="116"/>
      <c r="S19" s="116"/>
      <c r="T19" s="108"/>
      <c r="U19" s="106"/>
      <c r="V19" s="105"/>
    </row>
    <row r="20">
      <c r="A20" s="106" t="s">
        <v>90</v>
      </c>
      <c r="B20" s="107" t="s">
        <v>73</v>
      </c>
      <c r="D20" s="106" t="s">
        <v>94</v>
      </c>
      <c r="E20" s="106" t="s">
        <v>92</v>
      </c>
      <c r="F20" s="106" t="s">
        <v>17</v>
      </c>
      <c r="G20" s="106">
        <v>2.0</v>
      </c>
      <c r="H20" s="108"/>
      <c r="I20" s="106">
        <v>1.0</v>
      </c>
      <c r="J20" s="106" t="s">
        <v>59</v>
      </c>
      <c r="K20" s="108"/>
      <c r="L20" s="109">
        <v>13.0</v>
      </c>
      <c r="M20" s="109">
        <v>6.0</v>
      </c>
      <c r="N20" s="110"/>
      <c r="O20" s="109">
        <v>8.0</v>
      </c>
      <c r="P20" s="109">
        <v>13.0</v>
      </c>
      <c r="Q20" s="110"/>
      <c r="R20" s="109">
        <v>16.0</v>
      </c>
      <c r="S20" s="109">
        <v>13.0</v>
      </c>
      <c r="T20" s="108"/>
      <c r="U20" s="106"/>
      <c r="V20" s="105"/>
    </row>
    <row r="21">
      <c r="A21" s="111" t="s">
        <v>90</v>
      </c>
      <c r="B21" s="112" t="s">
        <v>73</v>
      </c>
      <c r="C21" s="66"/>
      <c r="D21" s="111" t="s">
        <v>94</v>
      </c>
      <c r="E21" s="111" t="s">
        <v>93</v>
      </c>
      <c r="F21" s="111" t="s">
        <v>40</v>
      </c>
      <c r="G21" s="111">
        <v>2.0</v>
      </c>
      <c r="H21" s="113"/>
      <c r="I21" s="111">
        <v>1.0</v>
      </c>
      <c r="J21" s="111" t="s">
        <v>29</v>
      </c>
      <c r="K21" s="113"/>
      <c r="L21" s="114">
        <v>15.0</v>
      </c>
      <c r="M21" s="114">
        <v>19.0</v>
      </c>
      <c r="N21" s="115"/>
      <c r="O21" s="114">
        <v>13.0</v>
      </c>
      <c r="P21" s="114">
        <v>10.0</v>
      </c>
      <c r="Q21" s="115"/>
      <c r="R21" s="114">
        <v>13.0</v>
      </c>
      <c r="S21" s="114">
        <v>7.0</v>
      </c>
      <c r="T21" s="113"/>
      <c r="U21" s="111"/>
      <c r="V21" s="105"/>
    </row>
    <row r="22">
      <c r="A22" s="98" t="s">
        <v>90</v>
      </c>
      <c r="B22" s="99" t="s">
        <v>76</v>
      </c>
      <c r="C22" s="100">
        <f>C18+1
</f>
        <v>46212</v>
      </c>
      <c r="D22" s="98" t="s">
        <v>91</v>
      </c>
      <c r="E22" s="98" t="s">
        <v>92</v>
      </c>
      <c r="F22" s="98" t="s">
        <v>40</v>
      </c>
      <c r="G22" s="98">
        <v>2.0</v>
      </c>
      <c r="H22" s="101"/>
      <c r="I22" s="98">
        <v>1.0</v>
      </c>
      <c r="J22" s="98" t="s">
        <v>49</v>
      </c>
      <c r="K22" s="101"/>
      <c r="L22" s="102">
        <v>13.0</v>
      </c>
      <c r="M22" s="102">
        <v>7.0</v>
      </c>
      <c r="N22" s="103"/>
      <c r="O22" s="102">
        <v>6.0</v>
      </c>
      <c r="P22" s="102">
        <v>13.0</v>
      </c>
      <c r="Q22" s="104"/>
      <c r="R22" s="102">
        <v>13.0</v>
      </c>
      <c r="S22" s="102">
        <v>8.0</v>
      </c>
      <c r="T22" s="101"/>
      <c r="U22" s="98"/>
      <c r="V22" s="105"/>
    </row>
    <row r="23">
      <c r="A23" s="106" t="s">
        <v>90</v>
      </c>
      <c r="B23" s="107" t="s">
        <v>76</v>
      </c>
      <c r="D23" s="106" t="s">
        <v>91</v>
      </c>
      <c r="E23" s="106" t="s">
        <v>93</v>
      </c>
      <c r="F23" s="106" t="s">
        <v>17</v>
      </c>
      <c r="G23" s="106">
        <v>2.0</v>
      </c>
      <c r="H23" s="108"/>
      <c r="I23" s="106">
        <v>0.0</v>
      </c>
      <c r="J23" s="106" t="s">
        <v>53</v>
      </c>
      <c r="K23" s="108"/>
      <c r="L23" s="109">
        <v>13.0</v>
      </c>
      <c r="M23" s="109">
        <v>11.0</v>
      </c>
      <c r="N23" s="110"/>
      <c r="O23" s="109">
        <v>13.0</v>
      </c>
      <c r="P23" s="109">
        <v>11.0</v>
      </c>
      <c r="Q23" s="110"/>
      <c r="R23" s="116"/>
      <c r="S23" s="116"/>
      <c r="T23" s="108"/>
      <c r="U23" s="106"/>
      <c r="V23" s="105"/>
    </row>
    <row r="24">
      <c r="A24" s="106" t="s">
        <v>90</v>
      </c>
      <c r="B24" s="107" t="s">
        <v>68</v>
      </c>
      <c r="D24" s="106" t="s">
        <v>99</v>
      </c>
      <c r="E24" s="106" t="s">
        <v>92</v>
      </c>
      <c r="F24" s="106" t="s">
        <v>62</v>
      </c>
      <c r="G24" s="106">
        <v>2.0</v>
      </c>
      <c r="H24" s="108"/>
      <c r="I24" s="106">
        <v>1.0</v>
      </c>
      <c r="J24" s="106" t="s">
        <v>27</v>
      </c>
      <c r="K24" s="108"/>
      <c r="L24" s="109">
        <v>13.0</v>
      </c>
      <c r="M24" s="109">
        <v>8.0</v>
      </c>
      <c r="N24" s="110"/>
      <c r="O24" s="109">
        <v>10.0</v>
      </c>
      <c r="P24" s="109">
        <v>13.0</v>
      </c>
      <c r="Q24" s="110"/>
      <c r="R24" s="109">
        <v>13.0</v>
      </c>
      <c r="S24" s="109">
        <v>5.0</v>
      </c>
      <c r="T24" s="108"/>
      <c r="U24" s="106"/>
      <c r="V24" s="105"/>
    </row>
    <row r="25">
      <c r="A25" s="106" t="s">
        <v>90</v>
      </c>
      <c r="B25" s="112" t="s">
        <v>68</v>
      </c>
      <c r="C25" s="66"/>
      <c r="D25" s="111" t="s">
        <v>94</v>
      </c>
      <c r="E25" s="111" t="s">
        <v>93</v>
      </c>
      <c r="F25" s="111" t="s">
        <v>61</v>
      </c>
      <c r="G25" s="111">
        <v>2.0</v>
      </c>
      <c r="H25" s="113"/>
      <c r="I25" s="111">
        <v>0.0</v>
      </c>
      <c r="J25" s="111" t="s">
        <v>60</v>
      </c>
      <c r="K25" s="113"/>
      <c r="L25" s="114">
        <v>16.0</v>
      </c>
      <c r="M25" s="114">
        <v>14.0</v>
      </c>
      <c r="N25" s="115"/>
      <c r="O25" s="114">
        <v>13.0</v>
      </c>
      <c r="P25" s="114">
        <v>11.0</v>
      </c>
      <c r="Q25" s="115"/>
      <c r="R25" s="117"/>
      <c r="S25" s="117"/>
      <c r="T25" s="113"/>
      <c r="U25" s="111"/>
      <c r="V25" s="105"/>
    </row>
    <row r="26">
      <c r="A26" s="98" t="s">
        <v>90</v>
      </c>
      <c r="B26" s="99" t="s">
        <v>74</v>
      </c>
      <c r="C26" s="100">
        <f>C22+1
</f>
        <v>46213</v>
      </c>
      <c r="D26" s="98" t="s">
        <v>91</v>
      </c>
      <c r="E26" s="98" t="s">
        <v>92</v>
      </c>
      <c r="F26" s="98" t="s">
        <v>27</v>
      </c>
      <c r="G26" s="98">
        <v>0.0</v>
      </c>
      <c r="H26" s="101"/>
      <c r="I26" s="98">
        <v>2.0</v>
      </c>
      <c r="J26" s="98" t="s">
        <v>40</v>
      </c>
      <c r="K26" s="101"/>
      <c r="L26" s="102">
        <v>14.0</v>
      </c>
      <c r="M26" s="102">
        <v>16.0</v>
      </c>
      <c r="N26" s="103"/>
      <c r="O26" s="102">
        <v>7.0</v>
      </c>
      <c r="P26" s="102">
        <v>13.0</v>
      </c>
      <c r="Q26" s="104"/>
      <c r="R26" s="104"/>
      <c r="S26" s="104"/>
      <c r="T26" s="101"/>
      <c r="U26" s="98"/>
      <c r="V26" s="105"/>
    </row>
    <row r="27">
      <c r="A27" s="111" t="s">
        <v>90</v>
      </c>
      <c r="B27" s="112" t="s">
        <v>74</v>
      </c>
      <c r="C27" s="66"/>
      <c r="D27" s="111" t="s">
        <v>94</v>
      </c>
      <c r="E27" s="111" t="s">
        <v>92</v>
      </c>
      <c r="F27" s="111" t="s">
        <v>60</v>
      </c>
      <c r="G27" s="111">
        <v>2.0</v>
      </c>
      <c r="H27" s="113"/>
      <c r="I27" s="111">
        <v>1.0</v>
      </c>
      <c r="J27" s="111" t="s">
        <v>17</v>
      </c>
      <c r="K27" s="113"/>
      <c r="L27" s="114">
        <v>13.0</v>
      </c>
      <c r="M27" s="114">
        <v>10.0</v>
      </c>
      <c r="N27" s="115"/>
      <c r="O27" s="114" t="s">
        <v>100</v>
      </c>
      <c r="P27" s="114" t="s">
        <v>66</v>
      </c>
      <c r="Q27" s="115"/>
      <c r="R27" s="114">
        <v>13.0</v>
      </c>
      <c r="S27" s="114">
        <v>5.0</v>
      </c>
      <c r="T27" s="113"/>
      <c r="U27" s="111"/>
      <c r="V27" s="105"/>
    </row>
    <row r="28">
      <c r="A28" s="98" t="s">
        <v>90</v>
      </c>
      <c r="B28" s="99" t="s">
        <v>69</v>
      </c>
      <c r="C28" s="100">
        <f>C26+1
</f>
        <v>46214</v>
      </c>
      <c r="D28" s="98" t="s">
        <v>91</v>
      </c>
      <c r="E28" s="98" t="s">
        <v>92</v>
      </c>
      <c r="F28" s="98" t="s">
        <v>62</v>
      </c>
      <c r="G28" s="98"/>
      <c r="H28" s="101"/>
      <c r="I28" s="98"/>
      <c r="J28" s="98" t="s">
        <v>61</v>
      </c>
      <c r="K28" s="101"/>
      <c r="L28" s="104"/>
      <c r="M28" s="104"/>
      <c r="N28" s="103"/>
      <c r="O28" s="104"/>
      <c r="P28" s="104"/>
      <c r="Q28" s="104"/>
      <c r="R28" s="104"/>
      <c r="S28" s="104"/>
      <c r="T28" s="101"/>
      <c r="U28" s="98"/>
      <c r="V28" s="105"/>
    </row>
    <row r="29">
      <c r="A29" s="111" t="s">
        <v>90</v>
      </c>
      <c r="B29" s="112" t="s">
        <v>77</v>
      </c>
      <c r="C29" s="66"/>
      <c r="D29" s="111" t="s">
        <v>94</v>
      </c>
      <c r="E29" s="111" t="s">
        <v>92</v>
      </c>
      <c r="F29" s="111" t="s">
        <v>40</v>
      </c>
      <c r="G29" s="111"/>
      <c r="H29" s="113"/>
      <c r="I29" s="111"/>
      <c r="J29" s="111" t="s">
        <v>60</v>
      </c>
      <c r="K29" s="113"/>
      <c r="L29" s="117"/>
      <c r="M29" s="117"/>
      <c r="N29" s="115"/>
      <c r="O29" s="117"/>
      <c r="P29" s="117"/>
      <c r="Q29" s="115"/>
      <c r="R29" s="117"/>
      <c r="S29" s="117"/>
      <c r="T29" s="113"/>
      <c r="U29" s="111"/>
      <c r="V29" s="105"/>
    </row>
    <row r="30">
      <c r="A30" s="98" t="s">
        <v>90</v>
      </c>
      <c r="B30" s="99" t="s">
        <v>75</v>
      </c>
      <c r="C30" s="100">
        <f>C28+1
</f>
        <v>46215</v>
      </c>
      <c r="D30" s="98" t="s">
        <v>91</v>
      </c>
      <c r="E30" s="98" t="s">
        <v>92</v>
      </c>
      <c r="F30" s="98"/>
      <c r="G30" s="98"/>
      <c r="H30" s="101"/>
      <c r="I30" s="98"/>
      <c r="J30" s="98"/>
      <c r="K30" s="101"/>
      <c r="L30" s="104"/>
      <c r="M30" s="104"/>
      <c r="N30" s="103"/>
      <c r="O30" s="104"/>
      <c r="P30" s="104"/>
      <c r="Q30" s="104"/>
      <c r="R30" s="104"/>
      <c r="S30" s="104"/>
      <c r="T30" s="101"/>
      <c r="U30" s="98"/>
      <c r="V30" s="105"/>
    </row>
    <row r="31">
      <c r="A31" s="106" t="s">
        <v>90</v>
      </c>
      <c r="B31" s="112" t="s">
        <v>71</v>
      </c>
      <c r="C31" s="66"/>
      <c r="D31" s="111" t="s">
        <v>94</v>
      </c>
      <c r="E31" s="111" t="s">
        <v>92</v>
      </c>
      <c r="F31" s="111"/>
      <c r="G31" s="111"/>
      <c r="H31" s="113"/>
      <c r="I31" s="111"/>
      <c r="J31" s="111"/>
      <c r="K31" s="113"/>
      <c r="L31" s="117"/>
      <c r="M31" s="117"/>
      <c r="N31" s="115"/>
      <c r="O31" s="117"/>
      <c r="P31" s="117"/>
      <c r="Q31" s="115"/>
      <c r="R31" s="117"/>
      <c r="S31" s="117"/>
      <c r="T31" s="113"/>
      <c r="U31" s="111"/>
      <c r="V31" s="105"/>
    </row>
  </sheetData>
  <mergeCells count="13">
    <mergeCell ref="C14:C17"/>
    <mergeCell ref="C18:C21"/>
    <mergeCell ref="C22:C25"/>
    <mergeCell ref="C26:C27"/>
    <mergeCell ref="C28:C29"/>
    <mergeCell ref="C30:C31"/>
    <mergeCell ref="G1:I1"/>
    <mergeCell ref="L1:M1"/>
    <mergeCell ref="O1:P1"/>
    <mergeCell ref="R1:S1"/>
    <mergeCell ref="C2:C5"/>
    <mergeCell ref="C6:C9"/>
    <mergeCell ref="C10:C13"/>
  </mergeCells>
  <conditionalFormatting sqref="F2:F31">
    <cfRule type="cellIs" dxfId="4" priority="1" stopIfTrue="1" operator="equal">
      <formula>3</formula>
    </cfRule>
  </conditionalFormatting>
  <conditionalFormatting sqref="I2:I31">
    <cfRule type="expression" dxfId="5" priority="2">
      <formula>($G2=3)</formula>
    </cfRule>
  </conditionalFormatting>
  <conditionalFormatting sqref="G2:G31 I2:I31">
    <cfRule type="cellIs" dxfId="6" priority="3" operator="equal">
      <formula>3</formula>
    </cfRule>
  </conditionalFormatting>
  <conditionalFormatting sqref="I2:I31">
    <cfRule type="expression" dxfId="5" priority="4">
      <formula>($G2=3)</formula>
    </cfRule>
  </conditionalFormatting>
  <conditionalFormatting sqref="I2:I31">
    <cfRule type="expression" dxfId="5" priority="5">
      <formula>($G2=2)</formula>
    </cfRule>
  </conditionalFormatting>
  <conditionalFormatting sqref="G2:G31">
    <cfRule type="expression" dxfId="5" priority="6">
      <formula>($I2=3)</formula>
    </cfRule>
  </conditionalFormatting>
  <conditionalFormatting sqref="G2:G31">
    <cfRule type="expression" dxfId="5" priority="7">
      <formula>($I2=2)</formula>
    </cfRule>
  </conditionalFormatting>
  <conditionalFormatting sqref="G2:G31 I2:I31">
    <cfRule type="cellIs" dxfId="6" priority="8" operator="equal">
      <formula>2</formula>
    </cfRule>
  </conditionalFormatting>
  <conditionalFormatting sqref="G2:G31 I2:I31">
    <cfRule type="cellIs" dxfId="7" priority="9" operator="equal">
      <formula>"FFW"</formula>
    </cfRule>
  </conditionalFormatting>
  <conditionalFormatting sqref="G2:G31 I2:I31">
    <cfRule type="cellIs" dxfId="8" priority="10" operator="equal">
      <formula>"FFL"</formula>
    </cfRule>
  </conditionalFormatting>
  <conditionalFormatting sqref="F2:F31">
    <cfRule type="expression" dxfId="9" priority="11">
      <formula>AND($G2=2,$I2&lt;3)</formula>
    </cfRule>
  </conditionalFormatting>
  <conditionalFormatting sqref="J2:J31">
    <cfRule type="expression" dxfId="9" priority="12">
      <formula>AND($I2=2, $G2&lt;3)</formula>
    </cfRule>
  </conditionalFormatting>
  <conditionalFormatting sqref="F2:F31">
    <cfRule type="expression" dxfId="9" priority="13">
      <formula>($G2="FFW")</formula>
    </cfRule>
  </conditionalFormatting>
  <conditionalFormatting sqref="J2:J31">
    <cfRule type="expression" dxfId="9" priority="14">
      <formula>($I2="FFW")</formula>
    </cfRule>
  </conditionalFormatting>
  <conditionalFormatting sqref="L2:M31 O2:P31 R2:S31">
    <cfRule type="containsBlanks" dxfId="10" priority="15">
      <formula>LEN(TRIM(L2))=0</formula>
    </cfRule>
  </conditionalFormatting>
  <conditionalFormatting sqref="F2:F31">
    <cfRule type="expression" dxfId="9" priority="16">
      <formula>AND($G2=3,$I2&lt;3)</formula>
    </cfRule>
  </conditionalFormatting>
  <conditionalFormatting sqref="J2:J31">
    <cfRule type="expression" dxfId="9" priority="17">
      <formula>AND($I2=3, $G2&lt;3)</formula>
    </cfRule>
  </conditionalFormatting>
  <dataValidations>
    <dataValidation type="list" allowBlank="1" showDropDown="1" showErrorMessage="1" sqref="B2:B31">
      <formula1>Data!$C$2:$C$13</formula1>
    </dataValidation>
    <dataValidation type="list" allowBlank="1" showDropDown="1" showErrorMessage="1" sqref="A2:A31">
      <formula1>Data!$D$2:$D$4</formula1>
    </dataValidation>
    <dataValidation type="list" allowBlank="1" showDropDown="1" showErrorMessage="1" sqref="G2:G31 I2:I31">
      <formula1>"0,1,2,3,FFW,FFL"</formula1>
    </dataValidation>
    <dataValidation type="list" allowBlank="1" sqref="F2:F31 J2:J31">
      <formula1>General!$Q$3:$Q$18</formula1>
    </dataValidation>
    <dataValidation type="custom" allowBlank="1" showDropDown="1" sqref="C2 C6 C10 C14 C18 C22 C26 C28 C30">
      <formula1>OR(NOT(ISERROR(DATEVALUE(C2))), AND(ISNUMBER(C2), LEFT(CELL("format", C2))="D"))</formula1>
    </dataValidation>
  </dataValidations>
  <printOptions gridLines="1" horizontalCentered="1"/>
  <pageMargins bottom="0.75" footer="0.0" header="0.0" left="0.7" right="0.7" top="0.75"/>
  <pageSetup fitToWidth="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2" width="21.38"/>
    <col customWidth="1" min="3" max="3" width="30.13"/>
    <col customWidth="1" min="4" max="4" width="14.63"/>
  </cols>
  <sheetData>
    <row r="1">
      <c r="A1" s="118" t="s">
        <v>101</v>
      </c>
      <c r="B1" s="118" t="s">
        <v>102</v>
      </c>
      <c r="C1" s="118" t="s">
        <v>79</v>
      </c>
      <c r="D1" s="119" t="s">
        <v>78</v>
      </c>
    </row>
    <row r="2">
      <c r="A2" s="120" t="s">
        <v>103</v>
      </c>
      <c r="B2" s="120" t="s">
        <v>10</v>
      </c>
      <c r="C2" s="120" t="s">
        <v>65</v>
      </c>
      <c r="D2" s="121" t="s">
        <v>104</v>
      </c>
    </row>
    <row r="3">
      <c r="A3" s="120" t="s">
        <v>105</v>
      </c>
      <c r="B3" s="120"/>
      <c r="C3" s="120" t="s">
        <v>67</v>
      </c>
      <c r="D3" s="121" t="s">
        <v>90</v>
      </c>
    </row>
    <row r="4">
      <c r="A4" s="120" t="s">
        <v>106</v>
      </c>
      <c r="B4" s="120"/>
      <c r="C4" s="120" t="s">
        <v>68</v>
      </c>
      <c r="D4" s="121" t="s">
        <v>107</v>
      </c>
    </row>
    <row r="5">
      <c r="A5" s="120" t="s">
        <v>108</v>
      </c>
      <c r="B5" s="120"/>
      <c r="C5" s="120" t="s">
        <v>69</v>
      </c>
      <c r="D5" s="121"/>
    </row>
    <row r="6">
      <c r="A6" s="120" t="s">
        <v>109</v>
      </c>
      <c r="B6" s="120"/>
      <c r="C6" s="120" t="s">
        <v>72</v>
      </c>
      <c r="D6" s="121"/>
    </row>
    <row r="7">
      <c r="A7" s="120" t="s">
        <v>110</v>
      </c>
      <c r="B7" s="120"/>
      <c r="C7" s="120" t="s">
        <v>73</v>
      </c>
      <c r="D7" s="121"/>
    </row>
    <row r="8">
      <c r="A8" s="120" t="s">
        <v>11</v>
      </c>
      <c r="B8" s="120"/>
      <c r="C8" s="120" t="s">
        <v>76</v>
      </c>
      <c r="D8" s="121"/>
    </row>
    <row r="9">
      <c r="A9" s="120"/>
      <c r="B9" s="120"/>
      <c r="C9" s="120" t="s">
        <v>74</v>
      </c>
      <c r="D9" s="121"/>
    </row>
    <row r="10">
      <c r="A10" s="120"/>
      <c r="B10" s="120"/>
      <c r="C10" s="120" t="s">
        <v>73</v>
      </c>
      <c r="D10" s="121"/>
    </row>
    <row r="11">
      <c r="A11" s="120"/>
      <c r="B11" s="120"/>
      <c r="C11" s="120" t="s">
        <v>77</v>
      </c>
      <c r="D11" s="121"/>
    </row>
    <row r="12">
      <c r="A12" s="120"/>
      <c r="B12" s="120"/>
      <c r="C12" s="120" t="s">
        <v>75</v>
      </c>
      <c r="D12" s="121"/>
    </row>
    <row r="13">
      <c r="A13" s="120"/>
      <c r="B13" s="120"/>
      <c r="C13" s="120" t="s">
        <v>71</v>
      </c>
      <c r="D13" s="121"/>
    </row>
  </sheetData>
  <drawing r:id="rId1"/>
</worksheet>
</file>