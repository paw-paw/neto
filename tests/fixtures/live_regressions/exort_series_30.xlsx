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edule" sheetId="1" r:id="rId5"/>
    <sheet state="visible" name="Contender Stage" sheetId="2" r:id="rId6"/>
    <sheet state="visible" name="Main Event" sheetId="3" r:id="rId7"/>
    <sheet state="visible" name="Contender Results" sheetId="4" r:id="rId8"/>
    <sheet state="visible" name="Swiss Results" sheetId="5" r:id="rId9"/>
    <sheet state="hidden" name="Contender Schedule" sheetId="6" r:id="rId10"/>
    <sheet state="visible" name="Roster Info" sheetId="7" r:id="rId11"/>
    <sheet state="visible" name="Rosters" sheetId="8" r:id="rId12"/>
    <sheet state="visible" name="Resources" sheetId="9" r:id="rId13"/>
    <sheet state="hidden" name="Team Entry" sheetId="10" r:id="rId14"/>
    <sheet state="hidden" name="Choose matchups (Contender)" sheetId="11" r:id="rId15"/>
    <sheet state="hidden" name="Choose matchups (Main)" sheetId="12" r:id="rId16"/>
    <sheet state="hidden" name="reseeding" sheetId="13" r:id="rId17"/>
    <sheet state="hidden" name="qualreseeding" sheetId="14" r:id="rId18"/>
    <sheet state="hidden" name="matchups" sheetId="15" r:id="rId19"/>
    <sheet state="hidden" name="qualmatchups" sheetId="16" r:id="rId20"/>
    <sheet state="hidden" name="data" sheetId="17" r:id="rId21"/>
    <sheet state="hidden" name="qualdata" sheetId="18" r:id="rId22"/>
  </sheets>
  <definedNames>
    <definedName name="gamedata">data!$P$2:$BL$17</definedName>
    <definedName localSheetId="17" name="qualteams">qualdata!$N$2:$N$17</definedName>
    <definedName localSheetId="17" name="swissdata">qualdata!$P$2:$BR$17</definedName>
    <definedName localSheetId="17" name="qualgamedata">qualdata!$P$2:$BL$17</definedName>
    <definedName localSheetId="17" name="qualheader">qualdata!$P$1:$BR$1</definedName>
    <definedName name="teams">data!$N$2:$N$17</definedName>
    <definedName name="swissdata">data!$P$2:$BR$17</definedName>
    <definedName name="header">data!$P$1:$BR$1</definedName>
  </definedNames>
  <calcPr/>
</workbook>
</file>

<file path=xl/sharedStrings.xml><?xml version="1.0" encoding="utf-8"?>
<sst xmlns="http://schemas.openxmlformats.org/spreadsheetml/2006/main" count="4190" uniqueCount="476">
  <si>
    <t>Date</t>
  </si>
  <si>
    <t>Time
CEST</t>
  </si>
  <si>
    <t>Team 1</t>
  </si>
  <si>
    <t>Score</t>
  </si>
  <si>
    <t>Team 2</t>
  </si>
  <si>
    <t>Format</t>
  </si>
  <si>
    <t>Round</t>
  </si>
  <si>
    <t>Caster</t>
  </si>
  <si>
    <t>DEMO</t>
  </si>
  <si>
    <t>Contenders Swiss Stage</t>
  </si>
  <si>
    <t>Schedule has not yet been finalized and is not publicly available. Once it is created and officially approved, each participating team will receive a notification.</t>
  </si>
  <si>
    <t>Bo3</t>
  </si>
  <si>
    <t xml:space="preserve">Contender Round 1 </t>
  </si>
  <si>
    <t>TBA</t>
  </si>
  <si>
    <t>Link</t>
  </si>
  <si>
    <t>22.o7</t>
  </si>
  <si>
    <t>Contender Round 2 High</t>
  </si>
  <si>
    <t>Contender Round 2 Low</t>
  </si>
  <si>
    <t>Contender Round 3 High</t>
  </si>
  <si>
    <t>Contender Round 3 mid</t>
  </si>
  <si>
    <r>
      <rPr>
        <rFont val="Bebas Neue"/>
        <color theme="1"/>
        <sz val="14.0"/>
      </rPr>
      <t>Contender Round 3 low (</t>
    </r>
    <r>
      <rPr>
        <rFont val="Bebas Neue"/>
        <color rgb="FF666666"/>
        <sz val="14.0"/>
      </rPr>
      <t>elimination</t>
    </r>
    <r>
      <rPr>
        <rFont val="Bebas Neue"/>
        <color theme="1"/>
        <sz val="14.0"/>
      </rPr>
      <t>)</t>
    </r>
  </si>
  <si>
    <r>
      <rPr>
        <rFont val="Bebas Neue"/>
        <color theme="1"/>
        <sz val="14.0"/>
      </rPr>
      <t>Contender Round 3 low (</t>
    </r>
    <r>
      <rPr>
        <rFont val="Bebas Neue"/>
        <color rgb="FF666666"/>
        <sz val="14.0"/>
      </rPr>
      <t>elimination</t>
    </r>
    <r>
      <rPr>
        <rFont val="Bebas Neue"/>
        <color theme="1"/>
        <sz val="14.0"/>
      </rPr>
      <t>)</t>
    </r>
  </si>
  <si>
    <t>Contender Round 4 High</t>
  </si>
  <si>
    <r>
      <rPr>
        <rFont val="Bebas Neue"/>
        <color theme="1"/>
        <sz val="14.0"/>
      </rPr>
      <t>Contender Round 4 low (</t>
    </r>
    <r>
      <rPr>
        <rFont val="Bebas Neue"/>
        <color rgb="FF666666"/>
        <sz val="14.0"/>
      </rPr>
      <t>elimination</t>
    </r>
    <r>
      <rPr>
        <rFont val="Bebas Neue"/>
        <color theme="1"/>
        <sz val="14.0"/>
      </rPr>
      <t>)</t>
    </r>
  </si>
  <si>
    <r>
      <rPr>
        <rFont val="Bebas Neue"/>
        <color theme="1"/>
        <sz val="14.0"/>
      </rPr>
      <t>Contender Round 4 low (</t>
    </r>
    <r>
      <rPr>
        <rFont val="Bebas Neue"/>
        <color rgb="FF666666"/>
        <sz val="14.0"/>
      </rPr>
      <t>elimination</t>
    </r>
    <r>
      <rPr>
        <rFont val="Bebas Neue"/>
        <color theme="1"/>
        <sz val="14.0"/>
      </rPr>
      <t>)</t>
    </r>
  </si>
  <si>
    <r>
      <rPr>
        <rFont val="Bebas Neue"/>
        <color theme="1"/>
        <sz val="14.0"/>
      </rPr>
      <t>Contender Round 4 low (</t>
    </r>
    <r>
      <rPr>
        <rFont val="Bebas Neue"/>
        <color rgb="FF666666"/>
        <sz val="14.0"/>
      </rPr>
      <t>elimination</t>
    </r>
    <r>
      <rPr>
        <rFont val="Bebas Neue"/>
        <color theme="1"/>
        <sz val="14.0"/>
      </rPr>
      <t>)</t>
    </r>
  </si>
  <si>
    <r>
      <rPr>
        <rFont val="Bebas Neue"/>
        <color theme="1"/>
        <sz val="14.0"/>
      </rPr>
      <t>Contender Round 5 (</t>
    </r>
    <r>
      <rPr>
        <rFont val="Bebas Neue"/>
        <color rgb="FF666666"/>
        <sz val="14.0"/>
      </rPr>
      <t>elimination</t>
    </r>
    <r>
      <rPr>
        <rFont val="Bebas Neue"/>
        <color theme="1"/>
        <sz val="14.0"/>
      </rPr>
      <t>)</t>
    </r>
  </si>
  <si>
    <r>
      <rPr>
        <rFont val="Bebas Neue"/>
        <color theme="1"/>
        <sz val="14.0"/>
      </rPr>
      <t>Contender Round 5 (</t>
    </r>
    <r>
      <rPr>
        <rFont val="Bebas Neue"/>
        <color rgb="FF666666"/>
        <sz val="14.0"/>
      </rPr>
      <t>elimination</t>
    </r>
    <r>
      <rPr>
        <rFont val="Bebas Neue"/>
        <color theme="1"/>
        <sz val="14.0"/>
      </rPr>
      <t>)</t>
    </r>
  </si>
  <si>
    <r>
      <rPr>
        <rFont val="Bebas Neue"/>
        <color theme="1"/>
        <sz val="14.0"/>
      </rPr>
      <t>Contender Round 5 (</t>
    </r>
    <r>
      <rPr>
        <rFont val="Bebas Neue"/>
        <color rgb="FF666666"/>
        <sz val="14.0"/>
      </rPr>
      <t>elimination</t>
    </r>
    <r>
      <rPr>
        <rFont val="Bebas Neue"/>
        <color theme="1"/>
        <sz val="14.0"/>
      </rPr>
      <t>)</t>
    </r>
  </si>
  <si>
    <t>Main Swiss Stage</t>
  </si>
  <si>
    <t>Swiss Round 1</t>
  </si>
  <si>
    <t>Round 2 High</t>
  </si>
  <si>
    <t>Round 2 Low</t>
  </si>
  <si>
    <t>Round 3 High</t>
  </si>
  <si>
    <t>Round 3 mid</t>
  </si>
  <si>
    <r>
      <rPr>
        <rFont val="Bebas Neue"/>
        <color theme="1"/>
        <sz val="14.0"/>
      </rPr>
      <t>Round 3 low (</t>
    </r>
    <r>
      <rPr>
        <rFont val="Bebas Neue"/>
        <color rgb="FF666666"/>
        <sz val="14.0"/>
      </rPr>
      <t>elimination</t>
    </r>
    <r>
      <rPr>
        <rFont val="Bebas Neue"/>
        <color theme="1"/>
        <sz val="14.0"/>
      </rPr>
      <t>)</t>
    </r>
  </si>
  <si>
    <r>
      <rPr>
        <rFont val="Bebas Neue"/>
        <color theme="1"/>
        <sz val="14.0"/>
      </rPr>
      <t>Round 3 low (</t>
    </r>
    <r>
      <rPr>
        <rFont val="Bebas Neue"/>
        <color rgb="FF666666"/>
        <sz val="14.0"/>
      </rPr>
      <t>elimination</t>
    </r>
    <r>
      <rPr>
        <rFont val="Bebas Neue"/>
        <color theme="1"/>
        <sz val="14.0"/>
      </rPr>
      <t>)</t>
    </r>
  </si>
  <si>
    <t>Round 4 High</t>
  </si>
  <si>
    <r>
      <rPr>
        <rFont val="Bebas Neue"/>
        <color theme="1"/>
        <sz val="14.0"/>
      </rPr>
      <t>Round 4 low (</t>
    </r>
    <r>
      <rPr>
        <rFont val="Bebas Neue"/>
        <color rgb="FF666666"/>
        <sz val="14.0"/>
      </rPr>
      <t>elimination</t>
    </r>
    <r>
      <rPr>
        <rFont val="Bebas Neue"/>
        <color theme="1"/>
        <sz val="14.0"/>
      </rPr>
      <t>)</t>
    </r>
  </si>
  <si>
    <r>
      <rPr>
        <rFont val="Bebas Neue"/>
        <color theme="1"/>
        <sz val="14.0"/>
      </rPr>
      <t>Round 4 low (</t>
    </r>
    <r>
      <rPr>
        <rFont val="Bebas Neue"/>
        <color rgb="FF666666"/>
        <sz val="14.0"/>
      </rPr>
      <t>elimination</t>
    </r>
    <r>
      <rPr>
        <rFont val="Bebas Neue"/>
        <color theme="1"/>
        <sz val="14.0"/>
      </rPr>
      <t>)</t>
    </r>
  </si>
  <si>
    <r>
      <rPr>
        <rFont val="Bebas Neue"/>
        <color theme="1"/>
        <sz val="14.0"/>
      </rPr>
      <t>Round 4 low (</t>
    </r>
    <r>
      <rPr>
        <rFont val="Bebas Neue"/>
        <color rgb="FF666666"/>
        <sz val="14.0"/>
      </rPr>
      <t>elimination</t>
    </r>
    <r>
      <rPr>
        <rFont val="Bebas Neue"/>
        <color theme="1"/>
        <sz val="14.0"/>
      </rPr>
      <t>)</t>
    </r>
  </si>
  <si>
    <r>
      <rPr>
        <rFont val="Bebas Neue"/>
        <color theme="1"/>
        <sz val="14.0"/>
      </rPr>
      <t>Round 5 (</t>
    </r>
    <r>
      <rPr>
        <rFont val="Bebas Neue"/>
        <color rgb="FF666666"/>
        <sz val="14.0"/>
      </rPr>
      <t>elimination</t>
    </r>
    <r>
      <rPr>
        <rFont val="Bebas Neue"/>
        <color theme="1"/>
        <sz val="14.0"/>
      </rPr>
      <t>)</t>
    </r>
  </si>
  <si>
    <r>
      <rPr>
        <rFont val="Bebas Neue"/>
        <color theme="1"/>
        <sz val="14.0"/>
      </rPr>
      <t>Round 5 (</t>
    </r>
    <r>
      <rPr>
        <rFont val="Bebas Neue"/>
        <color rgb="FF666666"/>
        <sz val="14.0"/>
      </rPr>
      <t>elimination</t>
    </r>
    <r>
      <rPr>
        <rFont val="Bebas Neue"/>
        <color theme="1"/>
        <sz val="14.0"/>
      </rPr>
      <t>)</t>
    </r>
  </si>
  <si>
    <r>
      <rPr>
        <rFont val="Bebas Neue"/>
        <color theme="1"/>
        <sz val="14.0"/>
      </rPr>
      <t>Round 5 (</t>
    </r>
    <r>
      <rPr>
        <rFont val="Bebas Neue"/>
        <color rgb="FF666666"/>
        <sz val="14.0"/>
      </rPr>
      <t>elimination</t>
    </r>
    <r>
      <rPr>
        <rFont val="Bebas Neue"/>
        <color theme="1"/>
        <sz val="14.0"/>
      </rPr>
      <t>)</t>
    </r>
  </si>
  <si>
    <t>Playoffs</t>
  </si>
  <si>
    <r>
      <rPr>
        <rFont val="Bebas Neue"/>
        <color theme="1"/>
        <sz val="14.0"/>
      </rPr>
      <t>Round 1 (</t>
    </r>
    <r>
      <rPr>
        <rFont val="Bebas Neue"/>
        <color rgb="FF666666"/>
        <sz val="14.0"/>
      </rPr>
      <t>elimination</t>
    </r>
    <r>
      <rPr>
        <rFont val="Bebas Neue"/>
        <color theme="1"/>
        <sz val="14.0"/>
      </rPr>
      <t>)</t>
    </r>
  </si>
  <si>
    <r>
      <rPr>
        <rFont val="Bebas Neue"/>
        <color theme="1"/>
        <sz val="14.0"/>
      </rPr>
      <t>Round 1 (</t>
    </r>
    <r>
      <rPr>
        <rFont val="Bebas Neue"/>
        <color rgb="FF666666"/>
        <sz val="14.0"/>
      </rPr>
      <t>elimination</t>
    </r>
    <r>
      <rPr>
        <rFont val="Bebas Neue"/>
        <color theme="1"/>
        <sz val="14.0"/>
      </rPr>
      <t>)</t>
    </r>
  </si>
  <si>
    <r>
      <rPr>
        <rFont val="Bebas Neue"/>
        <color theme="1"/>
        <sz val="14.0"/>
      </rPr>
      <t>Round 1 (</t>
    </r>
    <r>
      <rPr>
        <rFont val="Bebas Neue"/>
        <color rgb="FF666666"/>
        <sz val="14.0"/>
      </rPr>
      <t>elimination</t>
    </r>
    <r>
      <rPr>
        <rFont val="Bebas Neue"/>
        <color theme="1"/>
        <sz val="14.0"/>
      </rPr>
      <t>)</t>
    </r>
  </si>
  <si>
    <r>
      <rPr>
        <rFont val="Bebas Neue"/>
        <color theme="1"/>
        <sz val="14.0"/>
      </rPr>
      <t>Round 1 (</t>
    </r>
    <r>
      <rPr>
        <rFont val="Bebas Neue"/>
        <color rgb="FF666666"/>
        <sz val="14.0"/>
      </rPr>
      <t>elimination</t>
    </r>
    <r>
      <rPr>
        <rFont val="Bebas Neue"/>
        <color theme="1"/>
        <sz val="14.0"/>
      </rPr>
      <t>)</t>
    </r>
  </si>
  <si>
    <r>
      <rPr>
        <rFont val="Bebas Neue"/>
        <color theme="1"/>
        <sz val="14.0"/>
      </rPr>
      <t>Quarterfinals (</t>
    </r>
    <r>
      <rPr>
        <rFont val="Bebas Neue"/>
        <color rgb="FF666666"/>
        <sz val="14.0"/>
      </rPr>
      <t>elimination</t>
    </r>
    <r>
      <rPr>
        <rFont val="Bebas Neue"/>
        <color theme="1"/>
        <sz val="14.0"/>
      </rPr>
      <t>)</t>
    </r>
  </si>
  <si>
    <r>
      <rPr>
        <rFont val="Bebas Neue"/>
        <color theme="1"/>
        <sz val="14.0"/>
      </rPr>
      <t>Quarterfinals (</t>
    </r>
    <r>
      <rPr>
        <rFont val="Bebas Neue"/>
        <color rgb="FF666666"/>
        <sz val="14.0"/>
      </rPr>
      <t>elimination</t>
    </r>
    <r>
      <rPr>
        <rFont val="Bebas Neue"/>
        <color theme="1"/>
        <sz val="14.0"/>
      </rPr>
      <t>)</t>
    </r>
  </si>
  <si>
    <r>
      <rPr>
        <rFont val="Bebas Neue"/>
        <color theme="1"/>
        <sz val="14.0"/>
      </rPr>
      <t>Quarterfinals (</t>
    </r>
    <r>
      <rPr>
        <rFont val="Bebas Neue"/>
        <color rgb="FF666666"/>
        <sz val="14.0"/>
      </rPr>
      <t>elimination</t>
    </r>
    <r>
      <rPr>
        <rFont val="Bebas Neue"/>
        <color theme="1"/>
        <sz val="14.0"/>
      </rPr>
      <t>)</t>
    </r>
  </si>
  <si>
    <r>
      <rPr>
        <rFont val="Bebas Neue"/>
        <color theme="1"/>
        <sz val="14.0"/>
      </rPr>
      <t>Quarterfinals (</t>
    </r>
    <r>
      <rPr>
        <rFont val="Bebas Neue"/>
        <color rgb="FF666666"/>
        <sz val="14.0"/>
      </rPr>
      <t>elimination</t>
    </r>
    <r>
      <rPr>
        <rFont val="Bebas Neue"/>
        <color theme="1"/>
        <sz val="14.0"/>
      </rPr>
      <t>)</t>
    </r>
  </si>
  <si>
    <r>
      <rPr>
        <rFont val="Bebas Neue"/>
        <color theme="1"/>
        <sz val="14.0"/>
      </rPr>
      <t>Semifinals (</t>
    </r>
    <r>
      <rPr>
        <rFont val="Bebas Neue"/>
        <color rgb="FF666666"/>
        <sz val="14.0"/>
      </rPr>
      <t>elimination</t>
    </r>
    <r>
      <rPr>
        <rFont val="Bebas Neue"/>
        <color theme="1"/>
        <sz val="14.0"/>
      </rPr>
      <t>)</t>
    </r>
  </si>
  <si>
    <r>
      <rPr>
        <rFont val="Bebas Neue"/>
        <color theme="1"/>
        <sz val="14.0"/>
      </rPr>
      <t>Semifinals (</t>
    </r>
    <r>
      <rPr>
        <rFont val="Bebas Neue"/>
        <color rgb="FF666666"/>
        <sz val="14.0"/>
      </rPr>
      <t>elimination</t>
    </r>
    <r>
      <rPr>
        <rFont val="Bebas Neue"/>
        <color theme="1"/>
        <sz val="14.0"/>
      </rPr>
      <t>)</t>
    </r>
  </si>
  <si>
    <t>Grand Final</t>
  </si>
  <si>
    <t>Round 1 Matches</t>
  </si>
  <si>
    <t>R1</t>
  </si>
  <si>
    <t>R2</t>
  </si>
  <si>
    <t>R3</t>
  </si>
  <si>
    <t>Round 2 High Matches</t>
  </si>
  <si>
    <t>Round 2 Lo Matches</t>
  </si>
  <si>
    <t>Round 3 High Matches</t>
  </si>
  <si>
    <t>Round 3 Mid Matches</t>
  </si>
  <si>
    <t>Round 3 Low Matches</t>
  </si>
  <si>
    <t>Round 4 High Matches</t>
  </si>
  <si>
    <t>Round 4 Low Matches</t>
  </si>
  <si>
    <t>Round 5 Matches</t>
  </si>
  <si>
    <t>Place</t>
  </si>
  <si>
    <t>USD</t>
  </si>
  <si>
    <t>Participant</t>
  </si>
  <si>
    <t>1st</t>
  </si>
  <si>
    <t>2nd</t>
  </si>
  <si>
    <t>3rd-4th</t>
  </si>
  <si>
    <r>
      <rPr>
        <rFont val="Helvetica Neue"/>
        <color rgb="FFFFFFFF"/>
        <sz val="11.0"/>
      </rPr>
      <t>Round 1 (</t>
    </r>
    <r>
      <rPr>
        <rFont val="Helvetica Neue"/>
        <color rgb="FFCCCCCC"/>
        <sz val="11.0"/>
      </rPr>
      <t>Bo3</t>
    </r>
    <r>
      <rPr>
        <rFont val="Helvetica Neue"/>
        <color rgb="FFFFFFFF"/>
        <sz val="11.0"/>
      </rPr>
      <t>)</t>
    </r>
  </si>
  <si>
    <r>
      <rPr>
        <rFont val="Helvetica Neue"/>
        <color rgb="FFFFFFFF"/>
        <sz val="11.0"/>
      </rPr>
      <t>Quarterfinals (</t>
    </r>
    <r>
      <rPr>
        <rFont val="Helvetica Neue"/>
        <color rgb="FFCCCCCC"/>
        <sz val="11.0"/>
      </rPr>
      <t>Bo3</t>
    </r>
    <r>
      <rPr>
        <rFont val="Helvetica Neue"/>
        <color rgb="FFFFFFFF"/>
        <sz val="11.0"/>
      </rPr>
      <t>)</t>
    </r>
  </si>
  <si>
    <r>
      <rPr>
        <rFont val="Helvetica Neue"/>
        <color rgb="FFFFFFFF"/>
        <sz val="11.0"/>
      </rPr>
      <t>Semifinals (</t>
    </r>
    <r>
      <rPr>
        <rFont val="Helvetica Neue"/>
        <color rgb="FFCCCCCC"/>
        <sz val="11.0"/>
      </rPr>
      <t>Bo3)</t>
    </r>
  </si>
  <si>
    <r>
      <rPr>
        <rFont val="Helvetica Neue"/>
        <color rgb="FFFFFFFF"/>
        <sz val="11.0"/>
      </rPr>
      <t>Grand Final (</t>
    </r>
    <r>
      <rPr>
        <rFont val="Helvetica Neue"/>
        <color rgb="FFCCCCCC"/>
        <sz val="11.0"/>
      </rPr>
      <t>Bo3</t>
    </r>
    <r>
      <rPr>
        <rFont val="Helvetica Neue"/>
        <color rgb="FFFFFFFF"/>
        <sz val="11.0"/>
      </rPr>
      <t>)</t>
    </r>
  </si>
  <si>
    <t>CHAMPION</t>
  </si>
  <si>
    <t>5th-8th</t>
  </si>
  <si>
    <t>-</t>
  </si>
  <si>
    <t>9th-12th</t>
  </si>
  <si>
    <t>13th-15th</t>
  </si>
  <si>
    <t>16th-18th</t>
  </si>
  <si>
    <t>19th-20th</t>
  </si>
  <si>
    <t>21st - 23rd</t>
  </si>
  <si>
    <t>24th-26th</t>
  </si>
  <si>
    <t>27th-28th</t>
  </si>
  <si>
    <t>#</t>
  </si>
  <si>
    <t>Matches</t>
  </si>
  <si>
    <t>Games</t>
  </si>
  <si>
    <t>Rounds</t>
  </si>
  <si>
    <t>RD</t>
  </si>
  <si>
    <t>Round 1</t>
  </si>
  <si>
    <t>Round 2</t>
  </si>
  <si>
    <t>Round 3</t>
  </si>
  <si>
    <t>Round 4</t>
  </si>
  <si>
    <t>Round 5</t>
  </si>
  <si>
    <t>Time
CET</t>
  </si>
  <si>
    <t>Time
EET</t>
  </si>
  <si>
    <t>TBD</t>
  </si>
  <si>
    <r>
      <rPr>
        <rFont val="Bebas Neue"/>
        <color theme="1"/>
        <sz val="14.0"/>
      </rPr>
      <t>Round 3 low (</t>
    </r>
    <r>
      <rPr>
        <rFont val="Bebas Neue"/>
        <color rgb="FF666666"/>
        <sz val="14.0"/>
      </rPr>
      <t>elimination</t>
    </r>
    <r>
      <rPr>
        <rFont val="Bebas Neue"/>
        <color theme="1"/>
        <sz val="14.0"/>
      </rPr>
      <t>)</t>
    </r>
  </si>
  <si>
    <r>
      <rPr>
        <rFont val="Bebas Neue"/>
        <color theme="1"/>
        <sz val="14.0"/>
      </rPr>
      <t>Round 3 low (</t>
    </r>
    <r>
      <rPr>
        <rFont val="Bebas Neue"/>
        <color rgb="FF666666"/>
        <sz val="14.0"/>
      </rPr>
      <t>elimination</t>
    </r>
    <r>
      <rPr>
        <rFont val="Bebas Neue"/>
        <color theme="1"/>
        <sz val="14.0"/>
      </rPr>
      <t>)</t>
    </r>
  </si>
  <si>
    <r>
      <rPr>
        <rFont val="Bebas Neue"/>
        <color theme="1"/>
        <sz val="14.0"/>
      </rPr>
      <t>Round 4 low (</t>
    </r>
    <r>
      <rPr>
        <rFont val="Bebas Neue"/>
        <color rgb="FF666666"/>
        <sz val="14.0"/>
      </rPr>
      <t>elimination</t>
    </r>
    <r>
      <rPr>
        <rFont val="Bebas Neue"/>
        <color theme="1"/>
        <sz val="14.0"/>
      </rPr>
      <t>)</t>
    </r>
  </si>
  <si>
    <r>
      <rPr>
        <rFont val="Bebas Neue"/>
        <color theme="1"/>
        <sz val="14.0"/>
      </rPr>
      <t>Round 4 low (</t>
    </r>
    <r>
      <rPr>
        <rFont val="Bebas Neue"/>
        <color rgb="FF666666"/>
        <sz val="14.0"/>
      </rPr>
      <t>elimination</t>
    </r>
    <r>
      <rPr>
        <rFont val="Bebas Neue"/>
        <color theme="1"/>
        <sz val="14.0"/>
      </rPr>
      <t>)</t>
    </r>
  </si>
  <si>
    <r>
      <rPr>
        <rFont val="Bebas Neue"/>
        <color theme="1"/>
        <sz val="14.0"/>
      </rPr>
      <t>Round 4 low (</t>
    </r>
    <r>
      <rPr>
        <rFont val="Bebas Neue"/>
        <color rgb="FF666666"/>
        <sz val="14.0"/>
      </rPr>
      <t>elimination</t>
    </r>
    <r>
      <rPr>
        <rFont val="Bebas Neue"/>
        <color theme="1"/>
        <sz val="14.0"/>
      </rPr>
      <t>)</t>
    </r>
  </si>
  <si>
    <r>
      <rPr>
        <rFont val="Bebas Neue"/>
        <color theme="1"/>
        <sz val="14.0"/>
      </rPr>
      <t>Round 5 (</t>
    </r>
    <r>
      <rPr>
        <rFont val="Bebas Neue"/>
        <color rgb="FF666666"/>
        <sz val="14.0"/>
      </rPr>
      <t>elimination</t>
    </r>
    <r>
      <rPr>
        <rFont val="Bebas Neue"/>
        <color theme="1"/>
        <sz val="14.0"/>
      </rPr>
      <t>)</t>
    </r>
  </si>
  <si>
    <r>
      <rPr>
        <rFont val="Bebas Neue"/>
        <color theme="1"/>
        <sz val="14.0"/>
      </rPr>
      <t>Round 5 (</t>
    </r>
    <r>
      <rPr>
        <rFont val="Bebas Neue"/>
        <color rgb="FF666666"/>
        <sz val="14.0"/>
      </rPr>
      <t>elimination</t>
    </r>
    <r>
      <rPr>
        <rFont val="Bebas Neue"/>
        <color theme="1"/>
        <sz val="14.0"/>
      </rPr>
      <t>)</t>
    </r>
  </si>
  <si>
    <r>
      <rPr>
        <rFont val="Bebas Neue"/>
        <color theme="1"/>
        <sz val="14.0"/>
      </rPr>
      <t>Round 5 (</t>
    </r>
    <r>
      <rPr>
        <rFont val="Bebas Neue"/>
        <color rgb="FF666666"/>
        <sz val="14.0"/>
      </rPr>
      <t>elimination</t>
    </r>
    <r>
      <rPr>
        <rFont val="Bebas Neue"/>
        <color theme="1"/>
        <sz val="14.0"/>
      </rPr>
      <t>)</t>
    </r>
  </si>
  <si>
    <t>Player 1</t>
  </si>
  <si>
    <t>Full name</t>
  </si>
  <si>
    <t>Nationality</t>
  </si>
  <si>
    <t>Steam</t>
  </si>
  <si>
    <t>HLTV</t>
  </si>
  <si>
    <t>FaceIt</t>
  </si>
  <si>
    <t>Player 2</t>
  </si>
  <si>
    <t>Andorra</t>
  </si>
  <si>
    <t>United Arab Emirates</t>
  </si>
  <si>
    <t>Afghanistan</t>
  </si>
  <si>
    <t>Antigua and Barbuda</t>
  </si>
  <si>
    <t>Albania</t>
  </si>
  <si>
    <t>Player 3</t>
  </si>
  <si>
    <t>Armenia</t>
  </si>
  <si>
    <t>Angola</t>
  </si>
  <si>
    <t>Antarctica</t>
  </si>
  <si>
    <t>Argentina</t>
  </si>
  <si>
    <t>American Samoa</t>
  </si>
  <si>
    <t>Player 4</t>
  </si>
  <si>
    <t>Austria</t>
  </si>
  <si>
    <t>Australia</t>
  </si>
  <si>
    <t>Aland Islands</t>
  </si>
  <si>
    <t>Azerbaijan</t>
  </si>
  <si>
    <t>Bosnia and Herzegovina</t>
  </si>
  <si>
    <t>Player 5</t>
  </si>
  <si>
    <t>Barbados</t>
  </si>
  <si>
    <t>Bangladesh</t>
  </si>
  <si>
    <t>Belgium</t>
  </si>
  <si>
    <t>Burkina Faso</t>
  </si>
  <si>
    <t>Bulgaria</t>
  </si>
  <si>
    <t>Player 6 (Substitute)</t>
  </si>
  <si>
    <t>Bahrain</t>
  </si>
  <si>
    <t>Burundi</t>
  </si>
  <si>
    <t>Benin</t>
  </si>
  <si>
    <t>Bolivia</t>
  </si>
  <si>
    <t>Brazil</t>
  </si>
  <si>
    <t>Coach</t>
  </si>
  <si>
    <t>Bahamas</t>
  </si>
  <si>
    <t>Buthan</t>
  </si>
  <si>
    <t>Botwsana</t>
  </si>
  <si>
    <t>Belarus</t>
  </si>
  <si>
    <t>Canada</t>
  </si>
  <si>
    <t>Democratic Republic of the Congo</t>
  </si>
  <si>
    <t>Central African Republic</t>
  </si>
  <si>
    <t>Republic of the Congo</t>
  </si>
  <si>
    <t>Switzerland</t>
  </si>
  <si>
    <t>Ivory Coast</t>
  </si>
  <si>
    <t>Chile</t>
  </si>
  <si>
    <t>Cameroon</t>
  </si>
  <si>
    <t>China</t>
  </si>
  <si>
    <t>Colombia</t>
  </si>
  <si>
    <t>Costa Rica</t>
  </si>
  <si>
    <t>Cuba</t>
  </si>
  <si>
    <t>Cyprus</t>
  </si>
  <si>
    <t>Czech Republic</t>
  </si>
  <si>
    <t>Germany</t>
  </si>
  <si>
    <t>Djibouti</t>
  </si>
  <si>
    <t>Denmark</t>
  </si>
  <si>
    <t>Dominican Republic</t>
  </si>
  <si>
    <t>Algeria</t>
  </si>
  <si>
    <t>Ecuador</t>
  </si>
  <si>
    <t>Estonia</t>
  </si>
  <si>
    <t>Egypt</t>
  </si>
  <si>
    <t>Western Sahara</t>
  </si>
  <si>
    <t>Eritrea</t>
  </si>
  <si>
    <t>Canary Islands</t>
  </si>
  <si>
    <t>Catalonia</t>
  </si>
  <si>
    <t>Galicia</t>
  </si>
  <si>
    <t>Basque Country</t>
  </si>
  <si>
    <t>Spain</t>
  </si>
  <si>
    <t>Ethiopia</t>
  </si>
  <si>
    <t>Europe</t>
  </si>
  <si>
    <t>Finland</t>
  </si>
  <si>
    <t>Fiji</t>
  </si>
  <si>
    <t>Federated States of Micronesia</t>
  </si>
  <si>
    <t>Faroe Islands</t>
  </si>
  <si>
    <t>France</t>
  </si>
  <si>
    <t>Gabon</t>
  </si>
  <si>
    <t>England</t>
  </si>
  <si>
    <t>Scotland</t>
  </si>
  <si>
    <t>United Kingdom</t>
  </si>
  <si>
    <t>Wales</t>
  </si>
  <si>
    <t>Georgia</t>
  </si>
  <si>
    <t>Ghana</t>
  </si>
  <si>
    <t>Gibraltar</t>
  </si>
  <si>
    <t>Greenland</t>
  </si>
  <si>
    <t>Gambia</t>
  </si>
  <si>
    <t>Guinea</t>
  </si>
  <si>
    <t>Equatorial Guinea</t>
  </si>
  <si>
    <t>Greece</t>
  </si>
  <si>
    <t>Guatemala</t>
  </si>
  <si>
    <t>Guinea Bissau</t>
  </si>
  <si>
    <t>Guyana</t>
  </si>
  <si>
    <t>Hong Kong</t>
  </si>
  <si>
    <t>Honduras</t>
  </si>
  <si>
    <t>Croatia</t>
  </si>
  <si>
    <t>Haiti</t>
  </si>
  <si>
    <t>Hungary</t>
  </si>
  <si>
    <t>Indonesia</t>
  </si>
  <si>
    <t>Ireland</t>
  </si>
  <si>
    <t>Israel</t>
  </si>
  <si>
    <t>India</t>
  </si>
  <si>
    <t>Iraq</t>
  </si>
  <si>
    <t>Iran</t>
  </si>
  <si>
    <t>Iceland</t>
  </si>
  <si>
    <t>Italy</t>
  </si>
  <si>
    <t>Jamaica</t>
  </si>
  <si>
    <t>Jordan</t>
  </si>
  <si>
    <t>Japan</t>
  </si>
  <si>
    <t>Kenya</t>
  </si>
  <si>
    <t>Kyrgyzstan</t>
  </si>
  <si>
    <t>Cambodia</t>
  </si>
  <si>
    <t>Kiribati</t>
  </si>
  <si>
    <t>North Korea</t>
  </si>
  <si>
    <t>South Korea</t>
  </si>
  <si>
    <t>Kuwait</t>
  </si>
  <si>
    <t>Kazakhstan</t>
  </si>
  <si>
    <t>Laos</t>
  </si>
  <si>
    <t>Lebanon</t>
  </si>
  <si>
    <t>Liechtenstein</t>
  </si>
  <si>
    <t>Sri Lanka</t>
  </si>
  <si>
    <t>Liberia</t>
  </si>
  <si>
    <t>Lesotho</t>
  </si>
  <si>
    <t>Lithuania</t>
  </si>
  <si>
    <t>Luxembourg</t>
  </si>
  <si>
    <t>Latvia</t>
  </si>
  <si>
    <t>Libya</t>
  </si>
  <si>
    <t>Morocco</t>
  </si>
  <si>
    <t>Monaco</t>
  </si>
  <si>
    <t>Moldova</t>
  </si>
  <si>
    <t>Montenegro</t>
  </si>
  <si>
    <t>Madagascar</t>
  </si>
  <si>
    <t>North Macedonia</t>
  </si>
  <si>
    <t>Mali</t>
  </si>
  <si>
    <t>Myanmar</t>
  </si>
  <si>
    <t>Mongolia</t>
  </si>
  <si>
    <t>Martinique</t>
  </si>
  <si>
    <t>Mauritania</t>
  </si>
  <si>
    <t>Malta</t>
  </si>
  <si>
    <t>Mauritius</t>
  </si>
  <si>
    <t>Maldives</t>
  </si>
  <si>
    <t>Mexico</t>
  </si>
  <si>
    <t>Malaysia</t>
  </si>
  <si>
    <t>Mozambique</t>
  </si>
  <si>
    <t>Namibia</t>
  </si>
  <si>
    <t>Niger</t>
  </si>
  <si>
    <t>Norfolk-Island</t>
  </si>
  <si>
    <t>Nigeria</t>
  </si>
  <si>
    <t>Nicaragua</t>
  </si>
  <si>
    <t>Netherlands</t>
  </si>
  <si>
    <t>Norway</t>
  </si>
  <si>
    <t>Nepal</t>
  </si>
  <si>
    <t>New Zealand</t>
  </si>
  <si>
    <t>Oman</t>
  </si>
  <si>
    <t>Panama</t>
  </si>
  <si>
    <t>Peru</t>
  </si>
  <si>
    <t>Papua New Guinea</t>
  </si>
  <si>
    <t>Philippines</t>
  </si>
  <si>
    <t>Pakistan</t>
  </si>
  <si>
    <t>Poland</t>
  </si>
  <si>
    <t>Puerto Rico</t>
  </si>
  <si>
    <t>State of Palestine</t>
  </si>
  <si>
    <t>Portugal</t>
  </si>
  <si>
    <t>Palau</t>
  </si>
  <si>
    <t>Paraguay</t>
  </si>
  <si>
    <t>Qatar</t>
  </si>
  <si>
    <t>Romania</t>
  </si>
  <si>
    <t>Serbia</t>
  </si>
  <si>
    <t>Russia</t>
  </si>
  <si>
    <t>Rwanda</t>
  </si>
  <si>
    <t>Saudi Arabia</t>
  </si>
  <si>
    <t>Seychelles</t>
  </si>
  <si>
    <t>Sudan</t>
  </si>
  <si>
    <t>Sweden</t>
  </si>
  <si>
    <t>Singapore</t>
  </si>
  <si>
    <t>Slovenia</t>
  </si>
  <si>
    <t>Slovakia</t>
  </si>
  <si>
    <t>Sierra Leone</t>
  </si>
  <si>
    <t>San Marino</t>
  </si>
  <si>
    <t>Senegal</t>
  </si>
  <si>
    <t>Somalia</t>
  </si>
  <si>
    <t>Suriname</t>
  </si>
  <si>
    <t>South Sudan</t>
  </si>
  <si>
    <t>El Salvador</t>
  </si>
  <si>
    <t>Syria</t>
  </si>
  <si>
    <t>Chad</t>
  </si>
  <si>
    <t>Togo</t>
  </si>
  <si>
    <t>Thailand</t>
  </si>
  <si>
    <t>Tajikistan</t>
  </si>
  <si>
    <t>East Timor</t>
  </si>
  <si>
    <t>Tunisia</t>
  </si>
  <si>
    <t/>
  </si>
  <si>
    <t>Tonga</t>
  </si>
  <si>
    <t>Turkey</t>
  </si>
  <si>
    <t>Trinidad and Tobago</t>
  </si>
  <si>
    <t>Taiwan</t>
  </si>
  <si>
    <t>Tanzania</t>
  </si>
  <si>
    <t>Ukraine</t>
  </si>
  <si>
    <t>Uganda</t>
  </si>
  <si>
    <t>United States of America</t>
  </si>
  <si>
    <t>Uruguay</t>
  </si>
  <si>
    <t>Uzbekistan</t>
  </si>
  <si>
    <t>Holy See</t>
  </si>
  <si>
    <t>Venezuela</t>
  </si>
  <si>
    <t>Vietnam</t>
  </si>
  <si>
    <t>Samoa</t>
  </si>
  <si>
    <t>Yemen</t>
  </si>
  <si>
    <t>South-Africa</t>
  </si>
  <si>
    <t>Zambia</t>
  </si>
  <si>
    <t>Zimbabwe</t>
  </si>
  <si>
    <t>Player 6 (Sub)</t>
  </si>
  <si>
    <t>Exort Series #</t>
  </si>
  <si>
    <t>Demos</t>
  </si>
  <si>
    <t>Rules</t>
  </si>
  <si>
    <t>Map Veto rules</t>
  </si>
  <si>
    <t>Camera Setup</t>
  </si>
  <si>
    <t>Media</t>
  </si>
  <si>
    <t>Team</t>
  </si>
  <si>
    <t>Logo</t>
  </si>
  <si>
    <t>Seed</t>
  </si>
  <si>
    <t>Team 1 (Group 1)</t>
  </si>
  <si>
    <t>Group 1</t>
  </si>
  <si>
    <t>Team 2 (Group 1)</t>
  </si>
  <si>
    <t>Team 3 (Group 1)</t>
  </si>
  <si>
    <t>Team 4 (Group 1)</t>
  </si>
  <si>
    <t>Team 5 (Group 1)</t>
  </si>
  <si>
    <t>Team 6 (Group 1)</t>
  </si>
  <si>
    <t>Team 7 (Group 1)</t>
  </si>
  <si>
    <t>Team 8 (Group 1)</t>
  </si>
  <si>
    <t>Team 9 (Group 1)</t>
  </si>
  <si>
    <t>Team 10 (Group 1)</t>
  </si>
  <si>
    <t>Team 11 (Group 1)</t>
  </si>
  <si>
    <t>Team 12 (Group 1)</t>
  </si>
  <si>
    <t>Team 13 (Group 1)</t>
  </si>
  <si>
    <t>Team 14 (Group 1)</t>
  </si>
  <si>
    <t>Team 15 (Group 1)</t>
  </si>
  <si>
    <t>Team 16 (Group 1)</t>
  </si>
  <si>
    <t>Team 1 (Group 2)</t>
  </si>
  <si>
    <t>Group 2</t>
  </si>
  <si>
    <t>Team 2 (Group 2)</t>
  </si>
  <si>
    <t>Team 3 (Group 2)</t>
  </si>
  <si>
    <t>Team 4 (Group 2)</t>
  </si>
  <si>
    <t>Team 5 (Group 2)</t>
  </si>
  <si>
    <t>Team 6 (Group 2)</t>
  </si>
  <si>
    <t>Team 7 (Group 2)</t>
  </si>
  <si>
    <t>Team 8 (Group 2)</t>
  </si>
  <si>
    <t>Team 1 (Playoff)</t>
  </si>
  <si>
    <t>Playoff</t>
  </si>
  <si>
    <t>Team 2 (Playoff)</t>
  </si>
  <si>
    <t>Team 3 (Playoff)</t>
  </si>
  <si>
    <t>Team 4 (Playoff)</t>
  </si>
  <si>
    <t>Swiss calculated matchups</t>
  </si>
  <si>
    <t>Edit Matchups</t>
  </si>
  <si>
    <t>Confirmed Matchups</t>
  </si>
  <si>
    <t>Round 2 (High: 1-0)</t>
  </si>
  <si>
    <t>Round 2 (Low: 0-1)</t>
  </si>
  <si>
    <t>Round 3 (High: 2-0)</t>
  </si>
  <si>
    <t>Round 3 (Mid: 1-1)</t>
  </si>
  <si>
    <t>Round 3 (Low: 0-2)</t>
  </si>
  <si>
    <t>Round 4 (High: 2-1)</t>
  </si>
  <si>
    <t>Round 4 (Low: 1-2)</t>
  </si>
  <si>
    <t>Round 5 (2-2)</t>
  </si>
  <si>
    <t>r1op</t>
  </si>
  <si>
    <t>r1gw</t>
  </si>
  <si>
    <t>r1gl</t>
  </si>
  <si>
    <t>r1Ser</t>
  </si>
  <si>
    <t>r1gd</t>
  </si>
  <si>
    <t>ar1gd</t>
  </si>
  <si>
    <t>ar1rD</t>
  </si>
  <si>
    <t>round 2 high matches</t>
  </si>
  <si>
    <t>round 2 low matches</t>
  </si>
  <si>
    <t>Seeding High Matches</t>
  </si>
  <si>
    <t>r2op</t>
  </si>
  <si>
    <t>Seeding Low Matches</t>
  </si>
  <si>
    <t>r2Ser</t>
  </si>
  <si>
    <t>r2gd</t>
  </si>
  <si>
    <t>ar2gd</t>
  </si>
  <si>
    <t>ar2SerW</t>
  </si>
  <si>
    <t>ar2rD</t>
  </si>
  <si>
    <t>r3 high</t>
  </si>
  <si>
    <t>New Op</t>
  </si>
  <si>
    <t>r3 lo</t>
  </si>
  <si>
    <t>Round 3 lo Matches</t>
  </si>
  <si>
    <t>r3 mid</t>
  </si>
  <si>
    <t>Round 3 mid Matches</t>
  </si>
  <si>
    <t>New Ref</t>
  </si>
  <si>
    <t>&lt;- Swiss for round 3 mid</t>
  </si>
  <si>
    <t>R1 Op</t>
  </si>
  <si>
    <t>R1 Op New Ref</t>
  </si>
  <si>
    <t>r3Ser</t>
  </si>
  <si>
    <t>r3gd</t>
  </si>
  <si>
    <t>ar3gd</t>
  </si>
  <si>
    <t>ar3SerW</t>
  </si>
  <si>
    <t>ar3RD</t>
  </si>
  <si>
    <t>r4 high</t>
  </si>
  <si>
    <t>r4 lo</t>
  </si>
  <si>
    <t>r1 op new ref</t>
  </si>
  <si>
    <t>r2 op new ref</t>
  </si>
  <si>
    <t>&lt;- Round 4 High swiss</t>
  </si>
  <si>
    <t>Round 4 lo</t>
  </si>
  <si>
    <t>&lt;- Round 4 lo swiss</t>
  </si>
  <si>
    <t>r3op</t>
  </si>
  <si>
    <t>r4Ser</t>
  </si>
  <si>
    <t>r4gd</t>
  </si>
  <si>
    <t>ar4gd</t>
  </si>
  <si>
    <t>ar4SerW</t>
  </si>
  <si>
    <t>ar4RD</t>
  </si>
  <si>
    <t>r5</t>
  </si>
  <si>
    <t>r3 op new ref</t>
  </si>
  <si>
    <t>&lt;- Round 5 swiss</t>
  </si>
  <si>
    <t>Most Optimal</t>
  </si>
  <si>
    <t># of rematches</t>
  </si>
  <si>
    <t>mw</t>
  </si>
  <si>
    <t>ml</t>
  </si>
  <si>
    <t>rw</t>
  </si>
  <si>
    <t>rl</t>
  </si>
  <si>
    <t>rd</t>
  </si>
  <si>
    <t>r1</t>
  </si>
  <si>
    <t>r2</t>
  </si>
  <si>
    <t>r3</t>
  </si>
  <si>
    <t>r4</t>
  </si>
  <si>
    <t>qf</t>
  </si>
  <si>
    <t>sf</t>
  </si>
  <si>
    <t>gf</t>
  </si>
  <si>
    <t>Record</t>
  </si>
  <si>
    <t>SerW</t>
  </si>
  <si>
    <t>SerL</t>
  </si>
  <si>
    <t>SerD</t>
  </si>
  <si>
    <t>Gw</t>
  </si>
  <si>
    <t>Gl</t>
  </si>
  <si>
    <t>GD</t>
  </si>
  <si>
    <t>Rw</t>
  </si>
  <si>
    <t>Rl</t>
  </si>
  <si>
    <t>Rd</t>
  </si>
  <si>
    <t>ar1SerD</t>
  </si>
  <si>
    <t>r1rw</t>
  </si>
  <si>
    <t>r1rl</t>
  </si>
  <si>
    <t>r1rD</t>
  </si>
  <si>
    <t>r2gw</t>
  </si>
  <si>
    <t>r2gl</t>
  </si>
  <si>
    <t>r2rw</t>
  </si>
  <si>
    <t>r2rl</t>
  </si>
  <si>
    <t>r2rD</t>
  </si>
  <si>
    <t>r3gw</t>
  </si>
  <si>
    <t>r3gl</t>
  </si>
  <si>
    <t>r3rw</t>
  </si>
  <si>
    <t>r3rl</t>
  </si>
  <si>
    <t>r3rD</t>
  </si>
  <si>
    <t>ar3rD</t>
  </si>
  <si>
    <t>r4op</t>
  </si>
  <si>
    <t>r4gw</t>
  </si>
  <si>
    <t>r4gl</t>
  </si>
  <si>
    <t>r4rw</t>
  </si>
  <si>
    <t>r4rl</t>
  </si>
  <si>
    <t>r4rD</t>
  </si>
  <si>
    <t>ar4rD</t>
  </si>
  <si>
    <t>r5op</t>
  </si>
  <si>
    <t>r5gw</t>
  </si>
  <si>
    <t>r5gl</t>
  </si>
  <si>
    <t>r5Ser</t>
  </si>
  <si>
    <t>r5gd</t>
  </si>
  <si>
    <t>ar5gd</t>
  </si>
  <si>
    <t>ar5SerW</t>
  </si>
  <si>
    <t>r5rw</t>
  </si>
  <si>
    <t>r5rl</t>
  </si>
  <si>
    <t>r5rD</t>
  </si>
  <si>
    <t>ar5rD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</si>
</sst>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44">
    <font>
      <sz val="10.0"/>
      <color rgb="FF000000"/>
      <name val="Arial"/>
      <scheme val="minor"/>
    </font>
    <font>
      <sz val="14.0"/>
      <color theme="1"/>
      <name val="Bebas Neue"/>
    </font>
    <font>
      <sz val="11.0"/>
      <color theme="1"/>
      <name val="Bebas Neue"/>
    </font>
    <font>
      <sz val="13.0"/>
      <color theme="1"/>
      <name val="Bebas Neue"/>
    </font>
    <font>
      <sz val="12.0"/>
      <color theme="1"/>
      <name val="Bebas Neue"/>
    </font>
    <font>
      <sz val="15.0"/>
      <color theme="1"/>
      <name val="Bebas Neue"/>
    </font>
    <font>
      <color theme="1"/>
      <name val="Arial"/>
      <scheme val="minor"/>
    </font>
    <font>
      <sz val="25.0"/>
      <color theme="1"/>
      <name val="Bebas Neue"/>
    </font>
    <font/>
    <font>
      <b/>
      <color theme="1"/>
      <name val="Arial"/>
    </font>
    <font>
      <u/>
      <color rgb="FF0000FF"/>
      <name val="Helvetica Neue"/>
    </font>
    <font>
      <color theme="1"/>
      <name val="Arial"/>
    </font>
    <font>
      <color theme="1"/>
      <name val="Helvetica Neue"/>
    </font>
    <font>
      <color rgb="FF3D3F47"/>
      <name val="Helvetica Neue"/>
    </font>
    <font>
      <sz val="12.0"/>
      <color rgb="FFFFFFFF"/>
      <name val="Helvetica Neue"/>
    </font>
    <font>
      <i/>
      <sz val="8.0"/>
      <color theme="1"/>
      <name val="Helvetica Neue"/>
    </font>
    <font>
      <i/>
      <sz val="9.0"/>
      <color theme="1"/>
      <name val="Helvetica Neue"/>
    </font>
    <font>
      <color rgb="FF000000"/>
      <name val="Helvetica Neue"/>
    </font>
    <font>
      <color rgb="FF6AA84F"/>
      <name val="Helvetica Neue"/>
    </font>
    <font>
      <color rgb="FFCC0000"/>
      <name val="Helvetica Neue"/>
    </font>
    <font>
      <color rgb="FF000000"/>
      <name val="Arial"/>
    </font>
    <font>
      <sz val="11.0"/>
      <color rgb="FFFFFFFF"/>
      <name val="Helvetica Neue"/>
    </font>
    <font>
      <sz val="12.0"/>
      <color rgb="FFFFFFFF"/>
      <name val="Bebas Neue"/>
    </font>
    <font>
      <sz val="13.0"/>
      <color rgb="FFFFFFFF"/>
      <name val="Bebas Neue"/>
    </font>
    <font>
      <sz val="11.0"/>
      <color theme="1"/>
      <name val="Helvetica Neue"/>
    </font>
    <font>
      <sz val="13.0"/>
      <color rgb="FF000000"/>
      <name val="Bebas Neue"/>
    </font>
    <font>
      <sz val="21.0"/>
      <color theme="1"/>
      <name val="Bebas Neue"/>
    </font>
    <font>
      <sz val="14.0"/>
      <color rgb="FFFFFFFF"/>
      <name val="Bebas Neue"/>
    </font>
    <font>
      <color theme="1"/>
      <name val="Bebas Neue"/>
    </font>
    <font>
      <sz val="17.0"/>
      <color theme="1"/>
      <name val="Bebas Neue"/>
    </font>
    <font>
      <sz val="18.0"/>
      <color theme="1"/>
      <name val="Bebas Neue"/>
    </font>
    <font>
      <i/>
      <sz val="14.0"/>
      <color theme="1"/>
      <name val="Bebas Neue"/>
    </font>
    <font>
      <sz val="10.0"/>
      <color theme="1"/>
      <name val="Bebas Neue"/>
    </font>
    <font>
      <i/>
      <color theme="1"/>
      <name val="Arial"/>
    </font>
    <font>
      <sz val="1.0"/>
      <color rgb="FF3D3F47"/>
      <name val="Arial"/>
      <scheme val="minor"/>
    </font>
    <font>
      <sz val="33.0"/>
      <color theme="1"/>
      <name val="Bebas Neue"/>
    </font>
    <font>
      <i/>
      <color theme="1"/>
      <name val="Helvetica Neue"/>
    </font>
    <font>
      <sz val="28.0"/>
      <color rgb="FFFFFFFF"/>
      <name val="Bebas Neue"/>
    </font>
    <font>
      <sz val="20.0"/>
      <color rgb="FFFFFFFF"/>
      <name val="Bebas Neue"/>
    </font>
    <font>
      <u/>
      <sz val="15.0"/>
      <color rgb="FF0000FF"/>
      <name val="Helvetica Neue"/>
    </font>
    <font>
      <u/>
      <sz val="15.0"/>
      <color rgb="FF1155CC"/>
      <name val="Helvetica Neue"/>
    </font>
    <font>
      <color rgb="FFFFFFFF"/>
      <name val="Arial"/>
      <scheme val="minor"/>
    </font>
    <font>
      <b/>
      <color theme="1"/>
      <name val="Helvetica Neue"/>
    </font>
    <font>
      <sz val="12.0"/>
      <color theme="1"/>
      <name val="&quot;gg sans&quot;"/>
    </font>
  </fonts>
  <fills count="24">
    <fill>
      <patternFill patternType="none"/>
    </fill>
    <fill>
      <patternFill patternType="lightGray"/>
    </fill>
    <fill>
      <patternFill patternType="solid">
        <fgColor rgb="FFC9DAF8"/>
        <bgColor rgb="FFC9DAF8"/>
      </patternFill>
    </fill>
    <fill>
      <patternFill patternType="solid">
        <fgColor rgb="FFFFE599"/>
        <bgColor rgb="FFFFE599"/>
      </patternFill>
    </fill>
    <fill>
      <patternFill patternType="solid">
        <fgColor rgb="FFF4CCCC"/>
        <bgColor rgb="FFF4CCCC"/>
      </patternFill>
    </fill>
    <fill>
      <patternFill patternType="solid">
        <fgColor rgb="FFD7DCDF"/>
        <bgColor rgb="FFD7DCDF"/>
      </patternFill>
    </fill>
    <fill>
      <patternFill patternType="solid">
        <fgColor rgb="FF3D3F47"/>
        <bgColor rgb="FF3D3F47"/>
      </patternFill>
    </fill>
    <fill>
      <patternFill patternType="solid">
        <fgColor rgb="FF282828"/>
        <bgColor rgb="FF282828"/>
      </patternFill>
    </fill>
    <fill>
      <patternFill patternType="solid">
        <fgColor rgb="FFD9D9D9"/>
        <bgColor rgb="FFD9D9D9"/>
      </patternFill>
    </fill>
    <fill>
      <patternFill patternType="solid">
        <fgColor rgb="FFF3F3F3"/>
        <bgColor rgb="FFF3F3F3"/>
      </patternFill>
    </fill>
    <fill>
      <patternFill patternType="solid">
        <fgColor rgb="FFCCCCCC"/>
        <bgColor rgb="FFCCCCCC"/>
      </patternFill>
    </fill>
    <fill>
      <patternFill patternType="solid">
        <fgColor rgb="FFEFEFEF"/>
        <bgColor rgb="FFEFEFEF"/>
      </patternFill>
    </fill>
    <fill>
      <patternFill patternType="solid">
        <fgColor rgb="FF999999"/>
        <bgColor rgb="FF999999"/>
      </patternFill>
    </fill>
    <fill>
      <patternFill patternType="solid">
        <fgColor rgb="FF646464"/>
        <bgColor rgb="FF646464"/>
      </patternFill>
    </fill>
    <fill>
      <patternFill patternType="solid">
        <fgColor rgb="FF666666"/>
        <bgColor rgb="FF666666"/>
      </patternFill>
    </fill>
    <fill>
      <patternFill patternType="solid">
        <fgColor rgb="FFB7B7B7"/>
        <bgColor rgb="FFB7B7B7"/>
      </patternFill>
    </fill>
    <fill>
      <patternFill patternType="solid">
        <fgColor rgb="FF121212"/>
        <bgColor rgb="FF121212"/>
      </patternFill>
    </fill>
    <fill>
      <patternFill patternType="solid">
        <fgColor rgb="FFD9EAD3"/>
        <bgColor rgb="FFD9EAD3"/>
      </patternFill>
    </fill>
    <fill>
      <patternFill patternType="solid">
        <fgColor rgb="FFEA9999"/>
        <bgColor rgb="FFEA9999"/>
      </patternFill>
    </fill>
    <fill>
      <patternFill patternType="solid">
        <fgColor rgb="FFFFFF00"/>
        <bgColor rgb="FFFFFF00"/>
      </patternFill>
    </fill>
    <fill>
      <patternFill patternType="solid">
        <fgColor rgb="FFFCE5CD"/>
        <bgColor rgb="FFFCE5CD"/>
      </patternFill>
    </fill>
    <fill>
      <patternFill patternType="solid">
        <fgColor rgb="FF00FFFF"/>
        <bgColor rgb="FF00FFFF"/>
      </patternFill>
    </fill>
    <fill>
      <patternFill patternType="solid">
        <fgColor rgb="FFD9D2E9"/>
        <bgColor rgb="FFD9D2E9"/>
      </patternFill>
    </fill>
    <fill>
      <patternFill patternType="solid">
        <fgColor rgb="FF00FF00"/>
        <bgColor rgb="FF00FF00"/>
      </patternFill>
    </fill>
  </fills>
  <borders count="6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999999"/>
      </left>
      <top style="thin">
        <color rgb="FF999999"/>
      </top>
    </border>
    <border>
      <top style="thin">
        <color rgb="FF999999"/>
      </top>
    </border>
    <border>
      <right style="thin">
        <color rgb="FF999999"/>
      </right>
      <top style="thin">
        <color rgb="FF999999"/>
      </top>
    </border>
    <border>
      <left style="thin">
        <color rgb="FFFFFFFF"/>
      </left>
      <top style="thin">
        <color rgb="FFFFFFFF"/>
      </top>
    </border>
    <border>
      <top style="thin">
        <color rgb="FFFFFFFF"/>
      </top>
    </border>
    <border>
      <right style="thin">
        <color rgb="FFFFFFFF"/>
      </right>
      <top style="thin">
        <color rgb="FFFFFFFF"/>
      </top>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ck">
        <color rgb="FFFFFFFF"/>
      </left>
      <top style="thick">
        <color rgb="FFFFFFFF"/>
      </top>
    </border>
    <border>
      <top style="thick">
        <color rgb="FFFFFFFF"/>
      </top>
    </border>
    <border>
      <right style="thick">
        <color rgb="FFFFFFFF"/>
      </right>
      <top style="thick">
        <color rgb="FFFFFFFF"/>
      </top>
    </border>
    <border>
      <left style="thick">
        <color rgb="FFFFFFFF"/>
      </left>
    </border>
    <border>
      <right style="thick">
        <color rgb="FFFFFFFF"/>
      </right>
    </border>
    <border>
      <left style="thick">
        <color rgb="FFFFFFFF"/>
      </left>
      <bottom style="thick">
        <color rgb="FF000000"/>
      </bottom>
    </border>
    <border>
      <bottom style="thick">
        <color rgb="FF000000"/>
      </bottom>
    </border>
    <border>
      <right style="thin">
        <color rgb="FF000000"/>
      </right>
      <bottom style="thick">
        <color rgb="FF000000"/>
      </bottom>
    </border>
    <border>
      <left style="thin">
        <color rgb="FF000000"/>
      </left>
      <bottom style="thick">
        <color rgb="FF000000"/>
      </bottom>
    </border>
    <border>
      <right style="thick">
        <color rgb="FFFFFFFF"/>
      </right>
      <bottom style="thick">
        <color rgb="FF000000"/>
      </bottom>
    </border>
    <border>
      <left style="thick">
        <color rgb="FFFFFFFF"/>
      </left>
      <bottom style="thin">
        <color rgb="FF000000"/>
      </bottom>
    </border>
    <border>
      <right style="thick">
        <color rgb="FFFFFFFF"/>
      </right>
      <bottom style="thin">
        <color rgb="FF000000"/>
      </bottom>
    </border>
    <border>
      <left style="thick">
        <color rgb="FFFFFFFF"/>
      </left>
      <top style="thin">
        <color rgb="FF000000"/>
      </top>
    </border>
    <border>
      <right style="thick">
        <color rgb="FFFFFFFF"/>
      </right>
      <top style="thin">
        <color rgb="FF000000"/>
      </top>
    </border>
    <border>
      <left style="thick">
        <color rgb="FFFFFFFF"/>
      </left>
      <bottom style="thick">
        <color rgb="FFFFFFFF"/>
      </bottom>
    </border>
    <border>
      <bottom style="thick">
        <color rgb="FFFFFFFF"/>
      </bottom>
    </border>
    <border>
      <right style="thin">
        <color rgb="FF000000"/>
      </right>
      <bottom style="thick">
        <color rgb="FFFFFFFF"/>
      </bottom>
    </border>
    <border>
      <left style="thin">
        <color rgb="FF000000"/>
      </left>
      <bottom style="thick">
        <color rgb="FFFFFFFF"/>
      </bottom>
    </border>
    <border>
      <right style="thick">
        <color rgb="FFFFFFFF"/>
      </right>
      <bottom style="thick">
        <color rgb="FFFFFFFF"/>
      </bottom>
    </border>
    <border>
      <left style="medium">
        <color rgb="FFFFFFFF"/>
      </left>
      <top style="medium">
        <color rgb="FFFFFFFF"/>
      </top>
    </border>
    <border>
      <top style="medium">
        <color rgb="FFFFFFFF"/>
      </top>
    </border>
    <border>
      <right style="medium">
        <color rgb="FFFFFFFF"/>
      </right>
      <top style="medium">
        <color rgb="FFFFFFFF"/>
      </top>
    </border>
    <border>
      <left style="medium">
        <color rgb="FFFFFFFF"/>
      </left>
    </border>
    <border>
      <right style="medium">
        <color rgb="FFFFFFFF"/>
      </right>
    </border>
    <border>
      <left style="medium">
        <color rgb="FFFFFFFF"/>
      </left>
      <bottom style="medium">
        <color rgb="FFFFFFFF"/>
      </bottom>
    </border>
    <border>
      <bottom style="medium">
        <color rgb="FFFFFFFF"/>
      </bottom>
    </border>
    <border>
      <right style="medium">
        <color rgb="FFFFFFFF"/>
      </right>
      <bottom style="medium">
        <color rgb="FFFFFFFF"/>
      </bottom>
    </border>
    <border>
      <top style="medium">
        <color rgb="FFD7DCDF"/>
      </top>
    </border>
    <border>
      <bottom style="thin">
        <color rgb="FF121212"/>
      </bottom>
    </border>
    <border>
      <bottom style="medium">
        <color rgb="FFCCCCCC"/>
      </bottom>
    </border>
    <border>
      <top style="medium">
        <color rgb="FFCCCCCC"/>
      </top>
    </border>
    <border>
      <right style="medium">
        <color rgb="FFCCCCCC"/>
      </right>
      <top style="medium">
        <color rgb="FFCCCCCC"/>
      </top>
    </border>
    <border>
      <right style="medium">
        <color rgb="FFCCCCCC"/>
      </right>
    </border>
    <border>
      <left style="thick">
        <color rgb="FFFFFFFF"/>
      </left>
      <bottom style="medium">
        <color rgb="FF3D3F47"/>
      </bottom>
    </border>
    <border>
      <bottom style="medium">
        <color rgb="FF3D3F47"/>
      </bottom>
    </border>
    <border>
      <right style="thick">
        <color rgb="FFFFFFFF"/>
      </right>
      <bottom style="medium">
        <color rgb="FF3D3F47"/>
      </bottom>
    </border>
    <border>
      <left style="thick">
        <color rgb="FFFFFFFF"/>
      </left>
      <bottom style="dotted">
        <color rgb="FFB7B7B7"/>
      </bottom>
    </border>
    <border>
      <bottom style="dotted">
        <color rgb="FFB7B7B7"/>
      </bottom>
    </border>
    <border>
      <right style="thick">
        <color rgb="FFFFFFFF"/>
      </right>
      <bottom style="dotted">
        <color rgb="FFB7B7B7"/>
      </bottom>
    </border>
    <border>
      <bottom style="dotted">
        <color rgb="FF666666"/>
      </bottom>
    </border>
    <border>
      <right style="thick">
        <color rgb="FFFFFFFF"/>
      </right>
      <bottom style="dotted">
        <color rgb="FF666666"/>
      </bottom>
    </border>
    <border>
      <left style="medium">
        <color rgb="FFD7DCDF"/>
      </left>
      <right style="medium">
        <color rgb="FFD7DCDF"/>
      </right>
      <top style="medium">
        <color rgb="FFD7DCDF"/>
      </top>
      <bottom style="medium">
        <color rgb="FFD7DCDF"/>
      </bottom>
    </border>
  </borders>
  <cellStyleXfs count="1">
    <xf borderId="0" fillId="0" fontId="0" numFmtId="0" applyAlignment="1" applyFont="1"/>
  </cellStyleXfs>
  <cellXfs count="27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horizontal="center" readingOrder="0" vertical="center"/>
    </xf>
    <xf borderId="0" fillId="2" fontId="3" numFmtId="0" xfId="0" applyAlignment="1" applyFont="1">
      <alignment horizontal="center" readingOrder="0" vertical="center"/>
    </xf>
    <xf borderId="0" fillId="2" fontId="4" numFmtId="0" xfId="0" applyAlignment="1" applyFont="1">
      <alignment horizontal="center" readingOrder="0" vertical="center"/>
    </xf>
    <xf borderId="0" fillId="2" fontId="5" numFmtId="0" xfId="0" applyAlignment="1" applyFont="1">
      <alignment horizontal="center" readingOrder="0" vertical="center"/>
    </xf>
    <xf borderId="0" fillId="0" fontId="6" numFmtId="0" xfId="0" applyAlignment="1" applyFont="1">
      <alignment horizontal="center" vertical="center"/>
    </xf>
    <xf borderId="1" fillId="3" fontId="7" numFmtId="0" xfId="0" applyAlignment="1" applyBorder="1" applyFill="1" applyFont="1">
      <alignment horizontal="center" readingOrder="0" vertical="center"/>
    </xf>
    <xf borderId="2" fillId="0" fontId="8" numFmtId="0" xfId="0" applyBorder="1" applyFont="1"/>
    <xf borderId="3" fillId="0" fontId="8" numFmtId="0" xfId="0" applyBorder="1" applyFont="1"/>
    <xf borderId="4" fillId="0" fontId="8" numFmtId="0" xfId="0" applyBorder="1" applyFont="1"/>
    <xf borderId="5" fillId="0" fontId="8" numFmtId="0" xfId="0" applyBorder="1" applyFont="1"/>
    <xf borderId="6" fillId="0" fontId="8" numFmtId="0" xfId="0" applyBorder="1" applyFont="1"/>
    <xf borderId="7" fillId="0" fontId="8" numFmtId="0" xfId="0" applyBorder="1" applyFont="1"/>
    <xf borderId="8" fillId="0" fontId="8" numFmtId="0" xfId="0" applyBorder="1" applyFont="1"/>
    <xf borderId="1" fillId="4" fontId="9" numFmtId="0" xfId="0" applyAlignment="1" applyBorder="1" applyFill="1" applyFont="1">
      <alignment horizontal="center" vertical="center"/>
    </xf>
    <xf borderId="9" fillId="5" fontId="4" numFmtId="0" xfId="0" applyAlignment="1" applyBorder="1" applyFill="1" applyFont="1">
      <alignment horizontal="center" readingOrder="0" vertical="center"/>
    </xf>
    <xf borderId="10" fillId="0" fontId="8" numFmtId="0" xfId="0" applyBorder="1" applyFont="1"/>
    <xf borderId="11" fillId="0" fontId="8" numFmtId="0" xfId="0" applyBorder="1" applyFont="1"/>
    <xf borderId="0" fillId="0" fontId="4" numFmtId="0" xfId="0" applyAlignment="1" applyFont="1">
      <alignment horizontal="center" vertical="center"/>
    </xf>
    <xf borderId="9" fillId="5" fontId="4" numFmtId="20" xfId="0" applyAlignment="1" applyBorder="1" applyFont="1" applyNumberFormat="1">
      <alignment horizontal="center" vertical="center"/>
    </xf>
    <xf borderId="12" fillId="0" fontId="6" numFmtId="0" xfId="0" applyAlignment="1" applyBorder="1" applyFont="1">
      <alignment horizontal="center" vertical="center"/>
    </xf>
    <xf borderId="13" fillId="0" fontId="8" numFmtId="0" xfId="0" applyBorder="1" applyFont="1"/>
    <xf borderId="13" fillId="0" fontId="1" numFmtId="0" xfId="0" applyAlignment="1" applyBorder="1" applyFont="1">
      <alignment horizontal="center" vertical="center"/>
    </xf>
    <xf borderId="1" fillId="0" fontId="1" numFmtId="0" xfId="0" applyAlignment="1" applyBorder="1" applyFont="1">
      <alignment horizontal="center" vertical="center"/>
    </xf>
    <xf borderId="13" fillId="0" fontId="6" numFmtId="0" xfId="0" applyAlignment="1" applyBorder="1" applyFont="1">
      <alignment horizontal="center" vertical="center"/>
    </xf>
    <xf borderId="14" fillId="0" fontId="8" numFmtId="0" xfId="0" applyBorder="1" applyFont="1"/>
    <xf borderId="9" fillId="5" fontId="1" numFmtId="0" xfId="0" applyAlignment="1" applyBorder="1" applyFont="1">
      <alignment horizontal="center" readingOrder="0" vertical="center"/>
    </xf>
    <xf borderId="9" fillId="5" fontId="5" numFmtId="0" xfId="0" applyAlignment="1" applyBorder="1" applyFont="1">
      <alignment horizontal="center" readingOrder="0"/>
    </xf>
    <xf borderId="9" fillId="5" fontId="10" numFmtId="0" xfId="0" applyAlignment="1" applyBorder="1" applyFont="1">
      <alignment horizontal="center" readingOrder="0" vertical="center"/>
    </xf>
    <xf borderId="15" fillId="0" fontId="8" numFmtId="0" xfId="0" applyBorder="1" applyFont="1"/>
    <xf borderId="16" fillId="0" fontId="8" numFmtId="0" xfId="0" applyBorder="1" applyFont="1"/>
    <xf borderId="17" fillId="0" fontId="8" numFmtId="0" xfId="0" applyBorder="1" applyFont="1"/>
    <xf borderId="18" fillId="0" fontId="8" numFmtId="0" xfId="0" applyBorder="1" applyFont="1"/>
    <xf borderId="19" fillId="0" fontId="8" numFmtId="0" xfId="0" applyBorder="1" applyFont="1"/>
    <xf borderId="20" fillId="0" fontId="8" numFmtId="0" xfId="0" applyBorder="1" applyFont="1"/>
    <xf borderId="0" fillId="0" fontId="11" numFmtId="0" xfId="0" applyAlignment="1" applyFont="1">
      <alignment horizontal="center" vertical="center"/>
    </xf>
    <xf borderId="0" fillId="0" fontId="11" numFmtId="0" xfId="0" applyAlignment="1" applyFont="1">
      <alignment vertical="bottom"/>
    </xf>
    <xf borderId="9" fillId="5" fontId="5" numFmtId="0" xfId="0" applyAlignment="1" applyBorder="1" applyFont="1">
      <alignment horizontal="center" vertical="bottom"/>
    </xf>
    <xf borderId="21" fillId="0" fontId="6" numFmtId="0" xfId="0" applyAlignment="1" applyBorder="1" applyFont="1">
      <alignment horizontal="center" vertical="center"/>
    </xf>
    <xf borderId="22" fillId="0" fontId="1" numFmtId="0" xfId="0" applyAlignment="1" applyBorder="1" applyFont="1">
      <alignment horizontal="center" vertical="center"/>
    </xf>
    <xf borderId="0" fillId="0" fontId="1" numFmtId="0" xfId="0" applyAlignment="1" applyFont="1">
      <alignment horizontal="center" vertical="center"/>
    </xf>
    <xf borderId="23" fillId="0" fontId="6" numFmtId="0" xfId="0" applyAlignment="1" applyBorder="1" applyFont="1">
      <alignment horizontal="center" vertical="center"/>
    </xf>
    <xf borderId="0" fillId="0" fontId="1" numFmtId="0" xfId="0" applyAlignment="1" applyFont="1">
      <alignment horizontal="center" readingOrder="0" vertical="center"/>
    </xf>
    <xf borderId="0" fillId="0" fontId="11" numFmtId="0" xfId="0" applyFont="1"/>
    <xf borderId="0" fillId="0" fontId="12" numFmtId="0" xfId="0" applyAlignment="1" applyFont="1">
      <alignment horizontal="center" readingOrder="0" vertical="center"/>
    </xf>
    <xf borderId="0" fillId="0" fontId="6" numFmtId="0" xfId="0" applyAlignment="1" applyFont="1">
      <alignment vertical="center"/>
    </xf>
    <xf borderId="0" fillId="0" fontId="6" numFmtId="0" xfId="0" applyAlignment="1" applyFont="1">
      <alignment readingOrder="0"/>
    </xf>
    <xf borderId="0" fillId="0" fontId="6" numFmtId="0" xfId="0" applyFont="1"/>
    <xf borderId="0" fillId="0" fontId="4" numFmtId="0" xfId="0" applyAlignment="1" applyFont="1">
      <alignment horizontal="center" readingOrder="0" vertical="center"/>
    </xf>
    <xf borderId="0" fillId="0" fontId="11" numFmtId="20" xfId="0" applyAlignment="1" applyFont="1" applyNumberFormat="1">
      <alignment vertical="center"/>
    </xf>
    <xf borderId="0" fillId="0" fontId="5" numFmtId="0" xfId="0" applyAlignment="1" applyFont="1">
      <alignment horizontal="center" readingOrder="0"/>
    </xf>
    <xf borderId="0" fillId="0" fontId="12" numFmtId="0" xfId="0" applyAlignment="1" applyFont="1">
      <alignment horizontal="center" readingOrder="0" vertical="center"/>
    </xf>
    <xf borderId="0" fillId="0" fontId="11" numFmtId="0" xfId="0" applyAlignment="1" applyFont="1">
      <alignment vertical="center"/>
    </xf>
    <xf borderId="0" fillId="6" fontId="12" numFmtId="0" xfId="0" applyAlignment="1" applyFill="1" applyFont="1">
      <alignment vertical="center"/>
    </xf>
    <xf borderId="0" fillId="6" fontId="12" numFmtId="0" xfId="0" applyAlignment="1" applyFont="1">
      <alignment readingOrder="0" vertical="center"/>
    </xf>
    <xf borderId="0" fillId="6" fontId="13" numFmtId="0" xfId="0" applyAlignment="1" applyFont="1">
      <alignment vertical="center"/>
    </xf>
    <xf borderId="24" fillId="7" fontId="14" numFmtId="0" xfId="0" applyAlignment="1" applyBorder="1" applyFill="1" applyFont="1">
      <alignment horizontal="center" readingOrder="0" vertical="center"/>
    </xf>
    <xf borderId="25" fillId="0" fontId="8" numFmtId="0" xfId="0" applyBorder="1" applyFont="1"/>
    <xf borderId="26" fillId="0" fontId="8" numFmtId="0" xfId="0" applyBorder="1" applyFont="1"/>
    <xf borderId="27" fillId="0" fontId="8" numFmtId="0" xfId="0" applyBorder="1" applyFont="1"/>
    <xf borderId="28" fillId="0" fontId="8" numFmtId="0" xfId="0" applyBorder="1" applyFont="1"/>
    <xf borderId="27" fillId="8" fontId="12" numFmtId="0" xfId="0" applyAlignment="1" applyBorder="1" applyFill="1" applyFont="1">
      <alignment horizontal="center" readingOrder="0" vertical="center"/>
    </xf>
    <xf borderId="0" fillId="8" fontId="12" numFmtId="0" xfId="0" applyAlignment="1" applyFont="1">
      <alignment horizontal="center" readingOrder="0" vertical="center"/>
    </xf>
    <xf borderId="27" fillId="6" fontId="12" numFmtId="0" xfId="0" applyAlignment="1" applyBorder="1" applyFont="1">
      <alignment vertical="center"/>
    </xf>
    <xf borderId="0" fillId="9" fontId="15" numFmtId="0" xfId="0" applyAlignment="1" applyFill="1" applyFont="1">
      <alignment horizontal="center" readingOrder="0" vertical="center"/>
    </xf>
    <xf borderId="4" fillId="9" fontId="15" numFmtId="0" xfId="0" applyAlignment="1" applyBorder="1" applyFont="1">
      <alignment horizontal="center" readingOrder="0" vertical="center"/>
    </xf>
    <xf borderId="0" fillId="10" fontId="12" numFmtId="0" xfId="0" applyAlignment="1" applyFill="1" applyFont="1">
      <alignment horizontal="center" readingOrder="0" vertical="center"/>
    </xf>
    <xf borderId="0" fillId="6" fontId="6" numFmtId="0" xfId="0" applyAlignment="1" applyFont="1">
      <alignment vertical="center"/>
    </xf>
    <xf borderId="28" fillId="6" fontId="12" numFmtId="0" xfId="0" applyAlignment="1" applyBorder="1" applyFont="1">
      <alignment vertical="center"/>
    </xf>
    <xf borderId="29" fillId="0" fontId="8" numFmtId="0" xfId="0" applyBorder="1" applyFont="1"/>
    <xf borderId="30" fillId="0" fontId="8" numFmtId="0" xfId="0" applyBorder="1" applyFont="1"/>
    <xf borderId="31" fillId="0" fontId="8" numFmtId="0" xfId="0" applyBorder="1" applyFont="1"/>
    <xf borderId="32" fillId="0" fontId="8" numFmtId="0" xfId="0" applyBorder="1" applyFont="1"/>
    <xf borderId="30" fillId="6" fontId="12" numFmtId="0" xfId="0" applyAlignment="1" applyBorder="1" applyFont="1">
      <alignment vertical="center"/>
    </xf>
    <xf borderId="30" fillId="6" fontId="6" numFmtId="0" xfId="0" applyAlignment="1" applyBorder="1" applyFont="1">
      <alignment vertical="center"/>
    </xf>
    <xf borderId="33" fillId="6" fontId="12" numFmtId="0" xfId="0" applyAlignment="1" applyBorder="1" applyFont="1">
      <alignment vertical="center"/>
    </xf>
    <xf borderId="0" fillId="6" fontId="13" numFmtId="0" xfId="0" applyAlignment="1" applyFont="1">
      <alignment readingOrder="0" vertical="center"/>
    </xf>
    <xf borderId="27" fillId="11" fontId="12" numFmtId="0" xfId="0" applyAlignment="1" applyBorder="1" applyFill="1" applyFont="1">
      <alignment vertical="center"/>
    </xf>
    <xf borderId="0" fillId="11" fontId="5" numFmtId="0" xfId="0" applyAlignment="1" applyFont="1">
      <alignment vertical="center"/>
    </xf>
    <xf borderId="4" fillId="10" fontId="12" numFmtId="0" xfId="0" applyAlignment="1" applyBorder="1" applyFont="1">
      <alignment horizontal="center" readingOrder="0" vertical="center"/>
    </xf>
    <xf borderId="0" fillId="11" fontId="5" numFmtId="0" xfId="0" applyAlignment="1" applyFont="1">
      <alignment horizontal="right" vertical="center"/>
    </xf>
    <xf borderId="0" fillId="11" fontId="12" numFmtId="0" xfId="0" applyAlignment="1" applyFont="1">
      <alignment horizontal="center" vertical="center"/>
    </xf>
    <xf borderId="0" fillId="11" fontId="12" numFmtId="0" xfId="0" applyAlignment="1" applyFont="1">
      <alignment horizontal="center" readingOrder="0" vertical="center"/>
    </xf>
    <xf borderId="4" fillId="11" fontId="12" numFmtId="0" xfId="0" applyAlignment="1" applyBorder="1" applyFont="1">
      <alignment horizontal="center" readingOrder="0" vertical="center"/>
    </xf>
    <xf borderId="0" fillId="11" fontId="16" numFmtId="0" xfId="0" applyAlignment="1" applyFont="1">
      <alignment horizontal="center" vertical="center"/>
    </xf>
    <xf borderId="4" fillId="11" fontId="16" numFmtId="0" xfId="0" applyAlignment="1" applyBorder="1" applyFont="1">
      <alignment horizontal="center" vertical="center"/>
    </xf>
    <xf borderId="4" fillId="11" fontId="17" numFmtId="0" xfId="0" applyAlignment="1" applyBorder="1" applyFont="1">
      <alignment horizontal="center" readingOrder="0" vertical="center"/>
    </xf>
    <xf borderId="34" fillId="0" fontId="8" numFmtId="0" xfId="0" applyBorder="1" applyFont="1"/>
    <xf borderId="7" fillId="6" fontId="12" numFmtId="0" xfId="0" applyAlignment="1" applyBorder="1" applyFont="1">
      <alignment vertical="center"/>
    </xf>
    <xf borderId="7" fillId="6" fontId="6" numFmtId="0" xfId="0" applyAlignment="1" applyBorder="1" applyFont="1">
      <alignment vertical="center"/>
    </xf>
    <xf borderId="35" fillId="6" fontId="12" numFmtId="0" xfId="0" applyAlignment="1" applyBorder="1" applyFont="1">
      <alignment vertical="center"/>
    </xf>
    <xf borderId="36" fillId="11" fontId="12" numFmtId="0" xfId="0" applyAlignment="1" applyBorder="1" applyFont="1">
      <alignment horizontal="center" vertical="center"/>
    </xf>
    <xf borderId="2" fillId="11" fontId="5" numFmtId="0" xfId="0" applyAlignment="1" applyBorder="1" applyFont="1">
      <alignment vertical="center"/>
    </xf>
    <xf borderId="2" fillId="10" fontId="12" numFmtId="0" xfId="0" applyAlignment="1" applyBorder="1" applyFont="1">
      <alignment horizontal="center" readingOrder="0" vertical="center"/>
    </xf>
    <xf borderId="1" fillId="10" fontId="12" numFmtId="0" xfId="0" applyAlignment="1" applyBorder="1" applyFont="1">
      <alignment horizontal="center" readingOrder="0" vertical="center"/>
    </xf>
    <xf borderId="2" fillId="11" fontId="5" numFmtId="0" xfId="0" applyAlignment="1" applyBorder="1" applyFont="1">
      <alignment horizontal="right" vertical="center"/>
    </xf>
    <xf borderId="2" fillId="11" fontId="12" numFmtId="0" xfId="0" applyAlignment="1" applyBorder="1" applyFont="1">
      <alignment horizontal="center" vertical="center"/>
    </xf>
    <xf borderId="37" fillId="0" fontId="8" numFmtId="0" xfId="0" applyBorder="1" applyFont="1"/>
    <xf borderId="0" fillId="11" fontId="17" numFmtId="0" xfId="0" applyAlignment="1" applyFont="1">
      <alignment horizontal="center" readingOrder="0" vertical="center"/>
    </xf>
    <xf borderId="27" fillId="11" fontId="12" numFmtId="0" xfId="0" applyAlignment="1" applyBorder="1" applyFont="1">
      <alignment horizontal="center" vertical="center"/>
    </xf>
    <xf borderId="38" fillId="0" fontId="8" numFmtId="0" xfId="0" applyBorder="1" applyFont="1"/>
    <xf borderId="39" fillId="0" fontId="8" numFmtId="0" xfId="0" applyBorder="1" applyFont="1"/>
    <xf borderId="40" fillId="0" fontId="8" numFmtId="0" xfId="0" applyBorder="1" applyFont="1"/>
    <xf borderId="41" fillId="0" fontId="8" numFmtId="0" xfId="0" applyBorder="1" applyFont="1"/>
    <xf borderId="39" fillId="6" fontId="12" numFmtId="0" xfId="0" applyAlignment="1" applyBorder="1" applyFont="1">
      <alignment vertical="center"/>
    </xf>
    <xf borderId="39" fillId="6" fontId="6" numFmtId="0" xfId="0" applyAlignment="1" applyBorder="1" applyFont="1">
      <alignment vertical="center"/>
    </xf>
    <xf borderId="42" fillId="6" fontId="12" numFmtId="0" xfId="0" applyAlignment="1" applyBorder="1" applyFont="1">
      <alignment vertical="center"/>
    </xf>
    <xf borderId="0" fillId="6" fontId="11" numFmtId="0" xfId="0" applyAlignment="1" applyFont="1">
      <alignment vertical="center"/>
    </xf>
    <xf borderId="24" fillId="7" fontId="14" numFmtId="0" xfId="0" applyAlignment="1" applyBorder="1" applyFont="1">
      <alignment horizontal="center" vertical="center"/>
    </xf>
    <xf borderId="27" fillId="8" fontId="12" numFmtId="0" xfId="0" applyAlignment="1" applyBorder="1" applyFont="1">
      <alignment horizontal="center" vertical="center"/>
    </xf>
    <xf borderId="0" fillId="8" fontId="12" numFmtId="0" xfId="0" applyAlignment="1" applyFont="1">
      <alignment horizontal="center" vertical="center"/>
    </xf>
    <xf borderId="27" fillId="6" fontId="11" numFmtId="0" xfId="0" applyAlignment="1" applyBorder="1" applyFont="1">
      <alignment vertical="center"/>
    </xf>
    <xf borderId="0" fillId="9" fontId="15" numFmtId="0" xfId="0" applyAlignment="1" applyFont="1">
      <alignment horizontal="center" vertical="center"/>
    </xf>
    <xf borderId="4" fillId="9" fontId="15" numFmtId="0" xfId="0" applyAlignment="1" applyBorder="1" applyFont="1">
      <alignment horizontal="center" vertical="center"/>
    </xf>
    <xf borderId="0" fillId="10" fontId="12" numFmtId="0" xfId="0" applyAlignment="1" applyFont="1">
      <alignment horizontal="center" vertical="center"/>
    </xf>
    <xf borderId="28" fillId="6" fontId="11" numFmtId="0" xfId="0" applyAlignment="1" applyBorder="1" applyFont="1">
      <alignment vertical="center"/>
    </xf>
    <xf borderId="30" fillId="6" fontId="11" numFmtId="0" xfId="0" applyAlignment="1" applyBorder="1" applyFont="1">
      <alignment vertical="center"/>
    </xf>
    <xf borderId="33" fillId="6" fontId="11" numFmtId="0" xfId="0" applyAlignment="1" applyBorder="1" applyFont="1">
      <alignment vertical="center"/>
    </xf>
    <xf borderId="0" fillId="6" fontId="13" numFmtId="0" xfId="0" applyAlignment="1" applyFont="1">
      <alignment horizontal="right" vertical="center"/>
    </xf>
    <xf borderId="27" fillId="11" fontId="11" numFmtId="0" xfId="0" applyAlignment="1" applyBorder="1" applyFont="1">
      <alignment vertical="center"/>
    </xf>
    <xf borderId="0" fillId="11" fontId="11" numFmtId="0" xfId="0" applyAlignment="1" applyFont="1">
      <alignment vertical="center"/>
    </xf>
    <xf borderId="0" fillId="11" fontId="18" numFmtId="0" xfId="0" applyAlignment="1" applyFont="1">
      <alignment horizontal="center" readingOrder="0" vertical="center"/>
    </xf>
    <xf borderId="4" fillId="11" fontId="19" numFmtId="0" xfId="0" applyAlignment="1" applyBorder="1" applyFont="1">
      <alignment horizontal="center" readingOrder="0" vertical="center"/>
    </xf>
    <xf borderId="4" fillId="11" fontId="19" numFmtId="0" xfId="0" applyAlignment="1" applyBorder="1" applyFont="1">
      <alignment horizontal="center" vertical="center"/>
    </xf>
    <xf borderId="0" fillId="11" fontId="18" numFmtId="0" xfId="0" applyAlignment="1" applyFont="1">
      <alignment horizontal="center" vertical="center"/>
    </xf>
    <xf borderId="4" fillId="11" fontId="18" numFmtId="0" xfId="0" applyAlignment="1" applyBorder="1" applyFont="1">
      <alignment horizontal="center" readingOrder="0" vertical="center"/>
    </xf>
    <xf borderId="4" fillId="11" fontId="19" numFmtId="0" xfId="0" applyAlignment="1" applyBorder="1" applyFont="1">
      <alignment horizontal="center" readingOrder="0" vertical="center"/>
    </xf>
    <xf borderId="7" fillId="6" fontId="11" numFmtId="0" xfId="0" applyAlignment="1" applyBorder="1" applyFont="1">
      <alignment vertical="center"/>
    </xf>
    <xf borderId="35" fillId="6" fontId="11" numFmtId="0" xfId="0" applyAlignment="1" applyBorder="1" applyFont="1">
      <alignment vertical="center"/>
    </xf>
    <xf borderId="36" fillId="11" fontId="11" numFmtId="0" xfId="0" applyAlignment="1" applyBorder="1" applyFont="1">
      <alignment vertical="center"/>
    </xf>
    <xf borderId="2" fillId="11" fontId="11" numFmtId="0" xfId="0" applyAlignment="1" applyBorder="1" applyFont="1">
      <alignment vertical="center"/>
    </xf>
    <xf borderId="4" fillId="11" fontId="18" numFmtId="0" xfId="0" applyAlignment="1" applyBorder="1" applyFont="1">
      <alignment horizontal="center" vertical="center"/>
    </xf>
    <xf borderId="0" fillId="11" fontId="19" numFmtId="0" xfId="0" applyAlignment="1" applyFont="1">
      <alignment horizontal="center" vertical="center"/>
    </xf>
    <xf borderId="0" fillId="11" fontId="19" numFmtId="0" xfId="0" applyAlignment="1" applyFont="1">
      <alignment horizontal="center" readingOrder="0" vertical="center"/>
    </xf>
    <xf borderId="0" fillId="11" fontId="18" numFmtId="0" xfId="0" applyAlignment="1" applyFont="1">
      <alignment horizontal="center" readingOrder="0" vertical="center"/>
    </xf>
    <xf borderId="4" fillId="11" fontId="11" numFmtId="0" xfId="0" applyAlignment="1" applyBorder="1" applyFont="1">
      <alignment vertical="center"/>
    </xf>
    <xf borderId="39" fillId="6" fontId="11" numFmtId="0" xfId="0" applyAlignment="1" applyBorder="1" applyFont="1">
      <alignment vertical="center"/>
    </xf>
    <xf borderId="42" fillId="6" fontId="11" numFmtId="0" xfId="0" applyAlignment="1" applyBorder="1" applyFont="1">
      <alignment vertical="center"/>
    </xf>
    <xf borderId="4" fillId="11" fontId="18" numFmtId="0" xfId="0" applyAlignment="1" applyBorder="1" applyFont="1">
      <alignment horizontal="center" readingOrder="0" vertical="center"/>
    </xf>
    <xf borderId="4" fillId="11" fontId="20" numFmtId="0" xfId="0" applyAlignment="1" applyBorder="1" applyFont="1">
      <alignment readingOrder="0" vertical="center"/>
    </xf>
    <xf borderId="0" fillId="11" fontId="11" numFmtId="0" xfId="0" applyAlignment="1" applyFont="1">
      <alignment readingOrder="0" vertical="center"/>
    </xf>
    <xf borderId="0" fillId="6" fontId="21" numFmtId="0" xfId="0" applyAlignment="1" applyFont="1">
      <alignment horizontal="center" readingOrder="0" vertical="center"/>
    </xf>
    <xf borderId="43" fillId="7" fontId="21" numFmtId="0" xfId="0" applyAlignment="1" applyBorder="1" applyFont="1">
      <alignment horizontal="center" readingOrder="0" vertical="center"/>
    </xf>
    <xf borderId="44" fillId="0" fontId="8" numFmtId="0" xfId="0" applyBorder="1" applyFont="1"/>
    <xf borderId="45" fillId="0" fontId="8" numFmtId="0" xfId="0" applyBorder="1" applyFont="1"/>
    <xf borderId="0" fillId="6" fontId="11" numFmtId="0" xfId="0" applyAlignment="1" applyFont="1">
      <alignment vertical="bottom"/>
    </xf>
    <xf borderId="46" fillId="0" fontId="8" numFmtId="0" xfId="0" applyBorder="1" applyFont="1"/>
    <xf borderId="47" fillId="0" fontId="8" numFmtId="0" xfId="0" applyBorder="1" applyFont="1"/>
    <xf borderId="48" fillId="0" fontId="8" numFmtId="0" xfId="0" applyBorder="1" applyFont="1"/>
    <xf borderId="49" fillId="0" fontId="8" numFmtId="0" xfId="0" applyBorder="1" applyFont="1"/>
    <xf borderId="50" fillId="0" fontId="8" numFmtId="0" xfId="0" applyBorder="1" applyFont="1"/>
    <xf borderId="0" fillId="6" fontId="6" numFmtId="0" xfId="0" applyFont="1"/>
    <xf borderId="0" fillId="12" fontId="11" numFmtId="0" xfId="0" applyAlignment="1" applyFill="1" applyFont="1">
      <alignment horizontal="center" vertical="center"/>
    </xf>
    <xf borderId="0" fillId="12" fontId="22" numFmtId="0" xfId="0" applyAlignment="1" applyFont="1">
      <alignment horizontal="center" vertical="center"/>
    </xf>
    <xf borderId="0" fillId="12" fontId="23" numFmtId="164" xfId="0" applyAlignment="1" applyFont="1" applyNumberFormat="1">
      <alignment horizontal="center" readingOrder="0" vertical="center"/>
    </xf>
    <xf borderId="0" fillId="11" fontId="3" numFmtId="0" xfId="0" applyAlignment="1" applyFont="1">
      <alignment vertical="center"/>
    </xf>
    <xf borderId="51" fillId="6" fontId="12" numFmtId="0" xfId="0" applyAlignment="1" applyBorder="1" applyFont="1">
      <alignment vertical="center"/>
    </xf>
    <xf borderId="52" fillId="0" fontId="8" numFmtId="0" xfId="0" applyBorder="1" applyFont="1"/>
    <xf borderId="0" fillId="13" fontId="11" numFmtId="0" xfId="0" applyAlignment="1" applyFill="1" applyFont="1">
      <alignment horizontal="center" vertical="center"/>
    </xf>
    <xf borderId="0" fillId="13" fontId="22" numFmtId="0" xfId="0" applyAlignment="1" applyFont="1">
      <alignment horizontal="center" vertical="center"/>
    </xf>
    <xf borderId="0" fillId="13" fontId="23" numFmtId="164" xfId="0" applyAlignment="1" applyFont="1" applyNumberFormat="1">
      <alignment horizontal="center" readingOrder="0" vertical="center"/>
    </xf>
    <xf borderId="0" fillId="12" fontId="11" numFmtId="0" xfId="0" applyAlignment="1" applyFont="1">
      <alignment vertical="bottom"/>
    </xf>
    <xf borderId="24" fillId="7" fontId="21" numFmtId="0" xfId="0" applyAlignment="1" applyBorder="1" applyFont="1">
      <alignment horizontal="center" readingOrder="0" vertical="center"/>
    </xf>
    <xf borderId="42" fillId="0" fontId="8" numFmtId="0" xfId="0" applyBorder="1" applyFont="1"/>
    <xf borderId="7" fillId="12" fontId="11" numFmtId="0" xfId="0" applyAlignment="1" applyBorder="1" applyFont="1">
      <alignment vertical="bottom"/>
    </xf>
    <xf borderId="0" fillId="14" fontId="23" numFmtId="0" xfId="0" applyAlignment="1" applyFill="1" applyFont="1">
      <alignment horizontal="center" readingOrder="0" vertical="center"/>
    </xf>
    <xf borderId="0" fillId="14" fontId="23" numFmtId="164" xfId="0" applyAlignment="1" applyFont="1" applyNumberFormat="1">
      <alignment horizontal="center" readingOrder="0" vertical="center"/>
    </xf>
    <xf borderId="0" fillId="15" fontId="24" numFmtId="0" xfId="0" applyAlignment="1" applyFill="1" applyFont="1">
      <alignment horizontal="center" readingOrder="0" vertical="center"/>
    </xf>
    <xf borderId="0" fillId="11" fontId="25" numFmtId="0" xfId="0" applyFont="1"/>
    <xf borderId="53" fillId="0" fontId="8" numFmtId="0" xfId="0" applyBorder="1" applyFont="1"/>
    <xf borderId="54" fillId="6" fontId="12" numFmtId="0" xfId="0" applyAlignment="1" applyBorder="1" applyFont="1">
      <alignment vertical="center"/>
    </xf>
    <xf borderId="55" fillId="6" fontId="12" numFmtId="0" xfId="0" applyAlignment="1" applyBorder="1" applyFont="1">
      <alignment vertical="center"/>
    </xf>
    <xf borderId="56" fillId="6" fontId="12" numFmtId="0" xfId="0" applyAlignment="1" applyBorder="1" applyFont="1">
      <alignment vertical="center"/>
    </xf>
    <xf borderId="0" fillId="5" fontId="12" numFmtId="0" xfId="0" applyAlignment="1" applyFont="1">
      <alignment horizontal="center" vertical="center"/>
    </xf>
    <xf borderId="0" fillId="5" fontId="26" numFmtId="0" xfId="0" applyAlignment="1" applyFont="1">
      <alignment vertical="center"/>
    </xf>
    <xf borderId="0" fillId="12" fontId="23" numFmtId="0" xfId="0" applyAlignment="1" applyFont="1">
      <alignment horizontal="center" readingOrder="0" vertical="center"/>
    </xf>
    <xf borderId="0" fillId="16" fontId="27" numFmtId="0" xfId="0" applyAlignment="1" applyFill="1" applyFont="1">
      <alignment horizontal="center" readingOrder="0" vertical="center"/>
    </xf>
    <xf borderId="0" fillId="16" fontId="22" numFmtId="0" xfId="0" applyAlignment="1" applyFont="1">
      <alignment horizontal="center" readingOrder="0" vertical="center"/>
    </xf>
    <xf borderId="0" fillId="16" fontId="22" numFmtId="0" xfId="0" applyAlignment="1" applyFont="1">
      <alignment horizontal="center" readingOrder="0" textRotation="45" vertical="center"/>
    </xf>
    <xf borderId="0" fillId="6" fontId="28" numFmtId="0" xfId="0" applyFont="1"/>
    <xf borderId="0" fillId="6" fontId="6" numFmtId="0" xfId="0" applyAlignment="1" applyFont="1">
      <alignment readingOrder="0"/>
    </xf>
    <xf borderId="1" fillId="17" fontId="6" numFmtId="0" xfId="0" applyBorder="1" applyFill="1" applyFont="1"/>
    <xf borderId="2" fillId="17" fontId="6" numFmtId="0" xfId="0" applyBorder="1" applyFont="1"/>
    <xf borderId="3" fillId="17" fontId="6" numFmtId="0" xfId="0" applyBorder="1" applyFont="1"/>
    <xf borderId="1" fillId="6" fontId="6" numFmtId="0" xfId="0" applyBorder="1" applyFont="1"/>
    <xf borderId="2" fillId="6" fontId="6" numFmtId="0" xfId="0" applyAlignment="1" applyBorder="1" applyFont="1">
      <alignment horizontal="center" vertical="center"/>
    </xf>
    <xf borderId="2" fillId="6" fontId="6" numFmtId="0" xfId="0" applyBorder="1" applyFont="1"/>
    <xf borderId="4" fillId="17" fontId="6" numFmtId="0" xfId="0" applyAlignment="1" applyBorder="1" applyFont="1">
      <alignment horizontal="center" vertical="center"/>
    </xf>
    <xf borderId="0" fillId="17" fontId="6" numFmtId="0" xfId="0" applyFont="1"/>
    <xf borderId="0" fillId="17" fontId="29" numFmtId="0" xfId="0" applyAlignment="1" applyFont="1">
      <alignment horizontal="left" vertical="center"/>
    </xf>
    <xf borderId="0" fillId="17" fontId="30" numFmtId="0" xfId="0" applyAlignment="1" applyFont="1">
      <alignment horizontal="center" vertical="center"/>
    </xf>
    <xf borderId="0" fillId="17" fontId="29" numFmtId="0" xfId="0" applyAlignment="1" applyFont="1">
      <alignment horizontal="center" vertical="center"/>
    </xf>
    <xf borderId="0" fillId="17" fontId="31" numFmtId="0" xfId="0" applyAlignment="1" applyFont="1">
      <alignment horizontal="center" vertical="center"/>
    </xf>
    <xf borderId="5" fillId="17" fontId="6" numFmtId="0" xfId="0" applyBorder="1" applyFont="1"/>
    <xf borderId="4" fillId="6" fontId="32" numFmtId="0" xfId="0" applyAlignment="1" applyBorder="1" applyFont="1">
      <alignment horizontal="center" vertical="center"/>
    </xf>
    <xf borderId="0" fillId="6" fontId="32" numFmtId="0" xfId="0" applyFont="1"/>
    <xf borderId="6" fillId="17" fontId="6" numFmtId="0" xfId="0" applyBorder="1" applyFont="1"/>
    <xf borderId="7" fillId="17" fontId="6" numFmtId="0" xfId="0" applyBorder="1" applyFont="1"/>
    <xf borderId="8" fillId="17" fontId="6" numFmtId="0" xfId="0" applyBorder="1" applyFont="1"/>
    <xf borderId="1" fillId="18" fontId="6" numFmtId="0" xfId="0" applyBorder="1" applyFill="1" applyFont="1"/>
    <xf borderId="2" fillId="18" fontId="6" numFmtId="0" xfId="0" applyBorder="1" applyFont="1"/>
    <xf borderId="4" fillId="18" fontId="6" numFmtId="0" xfId="0" applyAlignment="1" applyBorder="1" applyFont="1">
      <alignment horizontal="center" vertical="center"/>
    </xf>
    <xf borderId="0" fillId="18" fontId="6" numFmtId="0" xfId="0" applyFont="1"/>
    <xf borderId="0" fillId="18" fontId="29" numFmtId="0" xfId="0" applyAlignment="1" applyFont="1">
      <alignment horizontal="left" vertical="center"/>
    </xf>
    <xf borderId="0" fillId="18" fontId="30" numFmtId="0" xfId="0" applyAlignment="1" applyFont="1">
      <alignment horizontal="center" vertical="center"/>
    </xf>
    <xf borderId="0" fillId="18" fontId="29" numFmtId="0" xfId="0" applyAlignment="1" applyFont="1">
      <alignment horizontal="center" vertical="center"/>
    </xf>
    <xf borderId="0" fillId="18" fontId="31" numFmtId="0" xfId="0" applyAlignment="1" applyFont="1">
      <alignment horizontal="center" vertical="center"/>
    </xf>
    <xf borderId="6" fillId="18" fontId="6" numFmtId="0" xfId="0" applyBorder="1" applyFont="1"/>
    <xf borderId="7" fillId="18" fontId="6" numFmtId="0" xfId="0" applyBorder="1" applyFont="1"/>
    <xf borderId="9" fillId="5" fontId="4" numFmtId="20" xfId="0" applyAlignment="1" applyBorder="1" applyFont="1" applyNumberFormat="1">
      <alignment horizontal="center" readingOrder="0" vertical="center"/>
    </xf>
    <xf borderId="9" fillId="5" fontId="12" numFmtId="0" xfId="0" applyAlignment="1" applyBorder="1" applyFont="1">
      <alignment horizontal="center" readingOrder="0" vertical="center"/>
    </xf>
    <xf borderId="0" fillId="2" fontId="9" numFmtId="0" xfId="0" applyAlignment="1" applyFont="1">
      <alignment horizontal="center" readingOrder="0" shrinkToFit="0" vertical="bottom" wrapText="1"/>
    </xf>
    <xf borderId="0" fillId="0" fontId="11" numFmtId="0" xfId="0" applyAlignment="1" applyFont="1">
      <alignment horizontal="center" shrinkToFit="0" vertical="center" wrapText="1"/>
    </xf>
    <xf borderId="0" fillId="0" fontId="33"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6" numFmtId="0" xfId="0" applyAlignment="1" applyFont="1">
      <alignment readingOrder="0"/>
    </xf>
    <xf borderId="0" fillId="0" fontId="11" numFmtId="0" xfId="0" applyAlignment="1" applyFont="1">
      <alignment vertical="bottom"/>
    </xf>
    <xf borderId="0" fillId="0" fontId="6" numFmtId="0" xfId="0" applyAlignment="1" applyFont="1">
      <alignment horizontal="center" readingOrder="0"/>
    </xf>
    <xf borderId="0" fillId="6" fontId="34" numFmtId="0" xfId="0" applyAlignment="1" applyFont="1">
      <alignment shrinkToFit="0" wrapText="0"/>
    </xf>
    <xf borderId="24" fillId="8" fontId="6" numFmtId="0" xfId="0" applyAlignment="1" applyBorder="1" applyFont="1">
      <alignment horizontal="center" vertical="center"/>
    </xf>
    <xf borderId="25" fillId="8" fontId="35" numFmtId="0" xfId="0" applyAlignment="1" applyBorder="1" applyFont="1">
      <alignment horizontal="center" vertical="center"/>
    </xf>
    <xf borderId="57" fillId="0" fontId="8" numFmtId="0" xfId="0" applyBorder="1" applyFont="1"/>
    <xf borderId="58" fillId="0" fontId="8" numFmtId="0" xfId="0" applyBorder="1" applyFont="1"/>
    <xf borderId="59" fillId="0" fontId="8" numFmtId="0" xfId="0" applyBorder="1" applyFont="1"/>
    <xf borderId="0" fillId="6" fontId="34" numFmtId="0" xfId="0" applyAlignment="1" applyFont="1">
      <alignment readingOrder="0" shrinkToFit="0" wrapText="0"/>
    </xf>
    <xf borderId="27" fillId="8" fontId="4" numFmtId="0" xfId="0" applyAlignment="1" applyBorder="1" applyFont="1">
      <alignment horizontal="center" readingOrder="0" vertical="center"/>
    </xf>
    <xf borderId="0" fillId="8" fontId="6" numFmtId="0" xfId="0" applyAlignment="1" applyFont="1">
      <alignment horizontal="center" vertical="center"/>
    </xf>
    <xf borderId="0" fillId="8" fontId="5" numFmtId="0" xfId="0" applyAlignment="1" applyFont="1">
      <alignment horizontal="center" vertical="center"/>
    </xf>
    <xf borderId="0" fillId="8" fontId="36" numFmtId="0" xfId="0" applyAlignment="1" applyFont="1">
      <alignment horizontal="center" readingOrder="0" vertical="center"/>
    </xf>
    <xf borderId="60" fillId="0" fontId="8" numFmtId="0" xfId="0" applyBorder="1" applyFont="1"/>
    <xf borderId="61" fillId="0" fontId="8" numFmtId="0" xfId="0" applyBorder="1" applyFont="1"/>
    <xf borderId="62" fillId="0" fontId="8" numFmtId="0" xfId="0" applyBorder="1" applyFont="1"/>
    <xf borderId="0" fillId="6" fontId="34" numFmtId="0" xfId="0" applyAlignment="1" applyFont="1">
      <alignment readingOrder="0" shrinkToFit="0" wrapText="1"/>
    </xf>
    <xf borderId="27" fillId="8" fontId="4" numFmtId="0" xfId="0" applyAlignment="1" applyBorder="1" applyFont="1">
      <alignment horizontal="center" readingOrder="0" shrinkToFit="0" vertical="center" wrapText="1"/>
    </xf>
    <xf borderId="24" fillId="16" fontId="6" numFmtId="0" xfId="0" applyAlignment="1" applyBorder="1" applyFont="1">
      <alignment horizontal="center" vertical="center"/>
    </xf>
    <xf borderId="25" fillId="16" fontId="37" numFmtId="0" xfId="0" applyAlignment="1" applyBorder="1" applyFont="1">
      <alignment horizontal="center" readingOrder="0" vertical="center"/>
    </xf>
    <xf borderId="25" fillId="16" fontId="6" numFmtId="0" xfId="0" applyAlignment="1" applyBorder="1" applyFont="1">
      <alignment horizontal="center" vertical="center"/>
    </xf>
    <xf borderId="0" fillId="6" fontId="38" numFmtId="0" xfId="0" applyAlignment="1" applyFont="1">
      <alignment horizontal="center" readingOrder="0" vertical="center"/>
    </xf>
    <xf borderId="0" fillId="11" fontId="39" numFmtId="0" xfId="0" applyAlignment="1" applyFont="1">
      <alignment horizontal="center" readingOrder="0" vertical="center"/>
    </xf>
    <xf borderId="63" fillId="0" fontId="8" numFmtId="0" xfId="0" applyBorder="1" applyFont="1"/>
    <xf borderId="64" fillId="0" fontId="8" numFmtId="0" xfId="0" applyBorder="1" applyFont="1"/>
    <xf borderId="0" fillId="11" fontId="40" numFmtId="0" xfId="0" applyAlignment="1" applyFont="1">
      <alignment horizontal="center" vertical="center"/>
    </xf>
    <xf borderId="0" fillId="6" fontId="41" numFmtId="0" xfId="0" applyAlignment="1" applyFont="1">
      <alignment horizontal="center" readingOrder="0" vertical="center"/>
    </xf>
    <xf borderId="0" fillId="6" fontId="41" numFmtId="0" xfId="0" applyFont="1"/>
    <xf borderId="65" fillId="6" fontId="41" numFmtId="0" xfId="0" applyAlignment="1" applyBorder="1" applyFont="1">
      <alignment horizontal="center" readingOrder="0" vertical="center"/>
    </xf>
    <xf borderId="65" fillId="6" fontId="41" numFmtId="0" xfId="0" applyAlignment="1" applyBorder="1" applyFont="1">
      <alignment horizontal="center"/>
    </xf>
    <xf borderId="0" fillId="6" fontId="41" numFmtId="0" xfId="0" applyAlignment="1" applyFont="1">
      <alignment horizontal="left" readingOrder="0" vertical="top"/>
    </xf>
    <xf borderId="0" fillId="6" fontId="41" numFmtId="0" xfId="0" applyAlignment="1" applyFont="1">
      <alignment readingOrder="0" vertical="top"/>
    </xf>
    <xf borderId="0" fillId="6" fontId="41" numFmtId="0" xfId="0" applyAlignment="1" applyFont="1">
      <alignment horizontal="center"/>
    </xf>
    <xf borderId="0" fillId="6" fontId="41" numFmtId="0" xfId="0" applyAlignment="1" applyFont="1">
      <alignment horizontal="center" vertical="center"/>
    </xf>
    <xf borderId="0" fillId="0" fontId="12" numFmtId="0" xfId="0" applyFont="1"/>
    <xf borderId="0" fillId="19" fontId="42" numFmtId="0" xfId="0" applyAlignment="1" applyFill="1" applyFont="1">
      <alignment horizontal="center" readingOrder="0" vertical="center"/>
    </xf>
    <xf borderId="0" fillId="11" fontId="42" numFmtId="0" xfId="0" applyAlignment="1" applyFont="1">
      <alignment horizontal="center" readingOrder="0" vertical="center"/>
    </xf>
    <xf borderId="0" fillId="17" fontId="42" numFmtId="0" xfId="0" applyAlignment="1" applyFont="1">
      <alignment horizontal="center" readingOrder="0" vertical="center"/>
    </xf>
    <xf borderId="0" fillId="20" fontId="12" numFmtId="0" xfId="0" applyAlignment="1" applyFill="1" applyFont="1">
      <alignment horizontal="center" readingOrder="0"/>
    </xf>
    <xf borderId="0" fillId="0" fontId="12" numFmtId="0" xfId="0" applyAlignment="1" applyFont="1">
      <alignment readingOrder="0"/>
    </xf>
    <xf borderId="0" fillId="20" fontId="12" numFmtId="0" xfId="0" applyAlignment="1" applyFont="1">
      <alignment horizontal="center" readingOrder="0" vertical="center"/>
    </xf>
    <xf borderId="0" fillId="17" fontId="11" numFmtId="0" xfId="0" applyAlignment="1" applyFont="1">
      <alignment vertical="bottom"/>
    </xf>
    <xf borderId="0" fillId="4" fontId="11" numFmtId="0" xfId="0" applyAlignment="1" applyFont="1">
      <alignment vertical="bottom"/>
    </xf>
    <xf borderId="0" fillId="21" fontId="11" numFmtId="0" xfId="0" applyAlignment="1" applyFill="1" applyFont="1">
      <alignment vertical="bottom"/>
    </xf>
    <xf borderId="0" fillId="19" fontId="11" numFmtId="0" xfId="0" applyAlignment="1" applyFont="1">
      <alignment vertical="bottom"/>
    </xf>
    <xf borderId="0" fillId="22" fontId="11" numFmtId="0" xfId="0" applyAlignment="1" applyFill="1" applyFont="1">
      <alignment vertical="bottom"/>
    </xf>
    <xf borderId="0" fillId="0" fontId="11" numFmtId="0" xfId="0" applyAlignment="1" applyFont="1">
      <alignment readingOrder="0" vertical="bottom"/>
    </xf>
    <xf borderId="0" fillId="19" fontId="11" numFmtId="0" xfId="0" applyAlignment="1" applyFont="1">
      <alignment vertical="bottom"/>
    </xf>
    <xf borderId="0" fillId="19" fontId="11" numFmtId="0" xfId="0" applyAlignment="1" applyFont="1">
      <alignment horizontal="right" vertical="bottom"/>
    </xf>
    <xf borderId="0" fillId="19" fontId="6" numFmtId="0" xfId="0" applyAlignment="1" applyFont="1">
      <alignment readingOrder="0"/>
    </xf>
    <xf borderId="0" fillId="23" fontId="11" numFmtId="0" xfId="0" applyAlignment="1" applyFill="1" applyFont="1">
      <alignment vertical="bottom"/>
    </xf>
    <xf borderId="0" fillId="19" fontId="11" numFmtId="0" xfId="0" applyAlignment="1" applyFont="1">
      <alignment horizontal="center" vertical="bottom"/>
    </xf>
    <xf borderId="0" fillId="19" fontId="11" numFmtId="0" xfId="0" applyAlignment="1" applyFont="1">
      <alignment horizontal="center" readingOrder="0" vertical="bottom"/>
    </xf>
    <xf borderId="0" fillId="0" fontId="11" numFmtId="0" xfId="0" applyAlignment="1" applyFont="1">
      <alignment horizontal="right" vertical="bottom"/>
    </xf>
    <xf borderId="0" fillId="23" fontId="11" numFmtId="0" xfId="0" applyAlignment="1" applyFont="1">
      <alignment horizontal="right" vertical="bottom"/>
    </xf>
    <xf borderId="0" fillId="8" fontId="11" numFmtId="0" xfId="0" applyAlignment="1" applyFont="1">
      <alignment horizontal="right" vertical="bottom"/>
    </xf>
    <xf borderId="0" fillId="0" fontId="11" numFmtId="0" xfId="0" applyAlignment="1" applyFont="1">
      <alignment shrinkToFit="0" vertical="bottom" wrapText="1"/>
    </xf>
    <xf borderId="0" fillId="8" fontId="6" numFmtId="0" xfId="0" applyFont="1"/>
    <xf borderId="0" fillId="0" fontId="43" numFmtId="0" xfId="0" applyAlignment="1" applyFont="1">
      <alignment horizontal="left"/>
    </xf>
    <xf borderId="0" fillId="9" fontId="6" numFmtId="0" xfId="0" applyFont="1"/>
  </cellXfs>
  <cellStyles count="1">
    <cellStyle xfId="0" name="Normal" builtinId="0"/>
  </cellStyles>
  <dxfs count="15">
    <dxf>
      <font/>
      <fill>
        <patternFill patternType="solid">
          <fgColor rgb="FFCC4125"/>
          <bgColor rgb="FFCC4125"/>
        </patternFill>
      </fill>
      <border/>
    </dxf>
    <dxf>
      <font>
        <color rgb="FFFFFFFF"/>
      </font>
      <fill>
        <patternFill patternType="solid">
          <fgColor rgb="FFCC4125"/>
          <bgColor rgb="FFCC4125"/>
        </patternFill>
      </fill>
      <border/>
    </dxf>
    <dxf>
      <font/>
      <fill>
        <patternFill patternType="solid">
          <fgColor rgb="FF93C47D"/>
          <bgColor rgb="FF93C47D"/>
        </patternFill>
      </fill>
      <border/>
    </dxf>
    <dxf>
      <font>
        <b/>
      </font>
      <fill>
        <patternFill patternType="solid">
          <fgColor rgb="FF93C47D"/>
          <bgColor rgb="FF93C47D"/>
        </patternFill>
      </fill>
      <border/>
    </dxf>
    <dxf>
      <font/>
      <fill>
        <patternFill patternType="solid">
          <fgColor rgb="FF89FFC7"/>
          <bgColor rgb="FF89FFC7"/>
        </patternFill>
      </fill>
      <border/>
    </dxf>
    <dxf>
      <font>
        <b/>
      </font>
      <fill>
        <patternFill patternType="none"/>
      </fill>
      <border/>
    </dxf>
    <dxf>
      <font>
        <b/>
        <color rgb="FF6AA84F"/>
      </font>
      <fill>
        <patternFill patternType="none"/>
      </fill>
      <border/>
    </dxf>
    <dxf>
      <font>
        <b/>
        <color rgb="FFCC0000"/>
      </font>
      <fill>
        <patternFill patternType="none"/>
      </fill>
      <border/>
    </dxf>
    <dxf>
      <font>
        <i/>
        <color rgb="FF999999"/>
      </font>
      <fill>
        <patternFill patternType="none"/>
      </fill>
      <border/>
    </dxf>
    <dxf>
      <font>
        <i/>
        <color rgb="FF666666"/>
      </font>
      <fill>
        <patternFill patternType="none"/>
      </fill>
      <border/>
    </dxf>
    <dxf>
      <font>
        <color rgb="FFD9EAD3"/>
      </font>
      <fill>
        <patternFill patternType="solid">
          <fgColor rgb="FFD9EAD3"/>
          <bgColor rgb="FFD9EAD3"/>
        </patternFill>
      </fill>
      <border/>
    </dxf>
    <dxf>
      <font/>
      <fill>
        <patternFill patternType="solid">
          <fgColor rgb="FFD9EAD3"/>
          <bgColor rgb="FFD9EAD3"/>
        </patternFill>
      </fill>
      <border/>
    </dxf>
    <dxf>
      <font>
        <color rgb="FFEA9999"/>
      </font>
      <fill>
        <patternFill patternType="solid">
          <fgColor rgb="FFEA9999"/>
          <bgColor rgb="FFEA9999"/>
        </patternFill>
      </fill>
      <border/>
    </dxf>
    <dxf>
      <font/>
      <fill>
        <patternFill patternType="solid">
          <fgColor rgb="FFEA9999"/>
          <bgColor rgb="FFEA9999"/>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242</xdr:col>
      <xdr:colOff>0</xdr:colOff>
      <xdr:row>235</xdr:row>
      <xdr:rowOff>0</xdr:rowOff>
    </xdr:from>
    <xdr:ext cx="66675" cy="66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242</xdr:col>
      <xdr:colOff>0</xdr:colOff>
      <xdr:row>239</xdr:row>
      <xdr:rowOff>0</xdr:rowOff>
    </xdr:from>
    <xdr:ext cx="66675" cy="666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242</xdr:col>
      <xdr:colOff>0</xdr:colOff>
      <xdr:row>245</xdr:row>
      <xdr:rowOff>0</xdr:rowOff>
    </xdr:from>
    <xdr:ext cx="66675" cy="666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0</xdr:colOff>
      <xdr:row>0</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Qi6yHD9uTNAEeKwDtIlsTtx3E49QwFia?usp=sharing" TargetMode="External"/><Relationship Id="rId42" Type="http://schemas.openxmlformats.org/officeDocument/2006/relationships/hyperlink" Target="https://drive.google.com/drive/folders/1Qi6yHD9uTNAEeKwDtIlsTtx3E49QwFia?usp=sharing" TargetMode="External"/><Relationship Id="rId41" Type="http://schemas.openxmlformats.org/officeDocument/2006/relationships/hyperlink" Target="https://drive.google.com/drive/folders/1Qi6yHD9uTNAEeKwDtIlsTtx3E49QwFia?usp=sharing" TargetMode="External"/><Relationship Id="rId44" Type="http://schemas.openxmlformats.org/officeDocument/2006/relationships/hyperlink" Target="https://drive.google.com/drive/folders/1Qi6yHD9uTNAEeKwDtIlsTtx3E49QwFia?usp=sharing" TargetMode="External"/><Relationship Id="rId43" Type="http://schemas.openxmlformats.org/officeDocument/2006/relationships/hyperlink" Target="https://drive.google.com/drive/folders/1Qi6yHD9uTNAEeKwDtIlsTtx3E49QwFia?usp=sharing" TargetMode="External"/><Relationship Id="rId46" Type="http://schemas.openxmlformats.org/officeDocument/2006/relationships/hyperlink" Target="https://drive.google.com/drive/folders/1Qi6yHD9uTNAEeKwDtIlsTtx3E49QwFia?usp=sharing" TargetMode="External"/><Relationship Id="rId45" Type="http://schemas.openxmlformats.org/officeDocument/2006/relationships/hyperlink" Target="https://drive.google.com/drive/folders/1Qi6yHD9uTNAEeKwDtIlsTtx3E49QwFia?usp=sharing" TargetMode="External"/><Relationship Id="rId1" Type="http://schemas.openxmlformats.org/officeDocument/2006/relationships/hyperlink" Target="https://drive.google.com/drive/folders/1Qi6yHD9uTNAEeKwDtIlsTtx3E49QwFia?usp=sharing" TargetMode="External"/><Relationship Id="rId2" Type="http://schemas.openxmlformats.org/officeDocument/2006/relationships/hyperlink" Target="https://drive.google.com/drive/folders/1Qi6yHD9uTNAEeKwDtIlsTtx3E49QwFia?usp=sharing" TargetMode="External"/><Relationship Id="rId3" Type="http://schemas.openxmlformats.org/officeDocument/2006/relationships/hyperlink" Target="https://drive.google.com/drive/folders/1Qi6yHD9uTNAEeKwDtIlsTtx3E49QwFia?usp=sharing" TargetMode="External"/><Relationship Id="rId4" Type="http://schemas.openxmlformats.org/officeDocument/2006/relationships/hyperlink" Target="https://drive.google.com/drive/folders/1Qi6yHD9uTNAEeKwDtIlsTtx3E49QwFia?usp=sharing" TargetMode="External"/><Relationship Id="rId9" Type="http://schemas.openxmlformats.org/officeDocument/2006/relationships/hyperlink" Target="https://drive.google.com/drive/folders/1Qi6yHD9uTNAEeKwDtIlsTtx3E49QwFia?usp=sharing" TargetMode="External"/><Relationship Id="rId48" Type="http://schemas.openxmlformats.org/officeDocument/2006/relationships/hyperlink" Target="https://drive.google.com/drive/folders/1Qi6yHD9uTNAEeKwDtIlsTtx3E49QwFia?usp=sharing" TargetMode="External"/><Relationship Id="rId47" Type="http://schemas.openxmlformats.org/officeDocument/2006/relationships/hyperlink" Target="https://drive.google.com/drive/folders/1Qi6yHD9uTNAEeKwDtIlsTtx3E49QwFia?usp=sharing" TargetMode="External"/><Relationship Id="rId49" Type="http://schemas.openxmlformats.org/officeDocument/2006/relationships/hyperlink" Target="https://drive.google.com/drive/folders/1Qi6yHD9uTNAEeKwDtIlsTtx3E49QwFia?usp=sharing" TargetMode="External"/><Relationship Id="rId5" Type="http://schemas.openxmlformats.org/officeDocument/2006/relationships/hyperlink" Target="https://drive.google.com/drive/folders/1Qi6yHD9uTNAEeKwDtIlsTtx3E49QwFia?usp=sharing" TargetMode="External"/><Relationship Id="rId6" Type="http://schemas.openxmlformats.org/officeDocument/2006/relationships/hyperlink" Target="https://drive.google.com/drive/folders/1Qi6yHD9uTNAEeKwDtIlsTtx3E49QwFia?usp=sharing" TargetMode="External"/><Relationship Id="rId7" Type="http://schemas.openxmlformats.org/officeDocument/2006/relationships/hyperlink" Target="https://drive.google.com/drive/folders/1Qi6yHD9uTNAEeKwDtIlsTtx3E49QwFia?usp=sharing" TargetMode="External"/><Relationship Id="rId8" Type="http://schemas.openxmlformats.org/officeDocument/2006/relationships/hyperlink" Target="https://drive.google.com/drive/folders/1Qi6yHD9uTNAEeKwDtIlsTtx3E49QwFia?usp=sharing" TargetMode="External"/><Relationship Id="rId73" Type="http://schemas.openxmlformats.org/officeDocument/2006/relationships/hyperlink" Target="https://drive.google.com/drive/folders/1Qi6yHD9uTNAEeKwDtIlsTtx3E49QwFia?usp=sharing" TargetMode="External"/><Relationship Id="rId72" Type="http://schemas.openxmlformats.org/officeDocument/2006/relationships/hyperlink" Target="https://drive.google.com/drive/folders/1Qi6yHD9uTNAEeKwDtIlsTtx3E49QwFia?usp=sharing" TargetMode="External"/><Relationship Id="rId31" Type="http://schemas.openxmlformats.org/officeDocument/2006/relationships/hyperlink" Target="https://drive.google.com/drive/folders/1Qi6yHD9uTNAEeKwDtIlsTtx3E49QwFia?usp=sharing" TargetMode="External"/><Relationship Id="rId75" Type="http://schemas.openxmlformats.org/officeDocument/2006/relationships/hyperlink" Target="https://drive.google.com/drive/folders/1Qi6yHD9uTNAEeKwDtIlsTtx3E49QwFia?usp=sharing" TargetMode="External"/><Relationship Id="rId30" Type="http://schemas.openxmlformats.org/officeDocument/2006/relationships/hyperlink" Target="https://drive.google.com/drive/folders/1Qi6yHD9uTNAEeKwDtIlsTtx3E49QwFia?usp=sharing" TargetMode="External"/><Relationship Id="rId74" Type="http://schemas.openxmlformats.org/officeDocument/2006/relationships/hyperlink" Target="https://drive.google.com/drive/folders/1Qi6yHD9uTNAEeKwDtIlsTtx3E49QwFia?usp=sharing" TargetMode="External"/><Relationship Id="rId33" Type="http://schemas.openxmlformats.org/officeDocument/2006/relationships/hyperlink" Target="https://drive.google.com/drive/folders/1Qi6yHD9uTNAEeKwDtIlsTtx3E49QwFia?usp=sharing" TargetMode="External"/><Relationship Id="rId77" Type="http://schemas.openxmlformats.org/officeDocument/2006/relationships/hyperlink" Target="https://drive.google.com/drive/folders/1Qi6yHD9uTNAEeKwDtIlsTtx3E49QwFia?usp=sharing" TargetMode="External"/><Relationship Id="rId32" Type="http://schemas.openxmlformats.org/officeDocument/2006/relationships/hyperlink" Target="https://drive.google.com/drive/folders/1Qi6yHD9uTNAEeKwDtIlsTtx3E49QwFia?usp=sharing" TargetMode="External"/><Relationship Id="rId76" Type="http://schemas.openxmlformats.org/officeDocument/2006/relationships/hyperlink" Target="https://drive.google.com/drive/folders/1Qi6yHD9uTNAEeKwDtIlsTtx3E49QwFia?usp=sharing" TargetMode="External"/><Relationship Id="rId35" Type="http://schemas.openxmlformats.org/officeDocument/2006/relationships/hyperlink" Target="https://drive.google.com/drive/folders/1Qi6yHD9uTNAEeKwDtIlsTtx3E49QwFia?usp=sharing" TargetMode="External"/><Relationship Id="rId34" Type="http://schemas.openxmlformats.org/officeDocument/2006/relationships/hyperlink" Target="https://drive.google.com/drive/folders/1Qi6yHD9uTNAEeKwDtIlsTtx3E49QwFia?usp=sharing" TargetMode="External"/><Relationship Id="rId78" Type="http://schemas.openxmlformats.org/officeDocument/2006/relationships/drawing" Target="../drawings/drawing1.xml"/><Relationship Id="rId71" Type="http://schemas.openxmlformats.org/officeDocument/2006/relationships/hyperlink" Target="https://drive.google.com/drive/folders/1Qi6yHD9uTNAEeKwDtIlsTtx3E49QwFia?usp=sharing" TargetMode="External"/><Relationship Id="rId70" Type="http://schemas.openxmlformats.org/officeDocument/2006/relationships/hyperlink" Target="https://drive.google.com/drive/folders/1Qi6yHD9uTNAEeKwDtIlsTtx3E49QwFia?usp=sharing" TargetMode="External"/><Relationship Id="rId37" Type="http://schemas.openxmlformats.org/officeDocument/2006/relationships/hyperlink" Target="https://drive.google.com/drive/folders/1Qi6yHD9uTNAEeKwDtIlsTtx3E49QwFia?usp=sharing" TargetMode="External"/><Relationship Id="rId36" Type="http://schemas.openxmlformats.org/officeDocument/2006/relationships/hyperlink" Target="https://drive.google.com/drive/folders/1Qi6yHD9uTNAEeKwDtIlsTtx3E49QwFia?usp=sharing" TargetMode="External"/><Relationship Id="rId39" Type="http://schemas.openxmlformats.org/officeDocument/2006/relationships/hyperlink" Target="https://drive.google.com/drive/folders/1Qi6yHD9uTNAEeKwDtIlsTtx3E49QwFia?usp=sharing" TargetMode="External"/><Relationship Id="rId38" Type="http://schemas.openxmlformats.org/officeDocument/2006/relationships/hyperlink" Target="https://drive.google.com/drive/folders/1Qi6yHD9uTNAEeKwDtIlsTtx3E49QwFia?usp=sharing" TargetMode="External"/><Relationship Id="rId62" Type="http://schemas.openxmlformats.org/officeDocument/2006/relationships/hyperlink" Target="https://drive.google.com/drive/folders/1Qi6yHD9uTNAEeKwDtIlsTtx3E49QwFia?usp=sharing" TargetMode="External"/><Relationship Id="rId61" Type="http://schemas.openxmlformats.org/officeDocument/2006/relationships/hyperlink" Target="https://drive.google.com/drive/folders/1Qi6yHD9uTNAEeKwDtIlsTtx3E49QwFia?usp=sharing" TargetMode="External"/><Relationship Id="rId20" Type="http://schemas.openxmlformats.org/officeDocument/2006/relationships/hyperlink" Target="https://drive.google.com/drive/folders/1Qi6yHD9uTNAEeKwDtIlsTtx3E49QwFia?usp=sharing" TargetMode="External"/><Relationship Id="rId64" Type="http://schemas.openxmlformats.org/officeDocument/2006/relationships/hyperlink" Target="https://drive.google.com/drive/folders/1Qi6yHD9uTNAEeKwDtIlsTtx3E49QwFia?usp=sharing" TargetMode="External"/><Relationship Id="rId63" Type="http://schemas.openxmlformats.org/officeDocument/2006/relationships/hyperlink" Target="https://drive.google.com/drive/folders/1Qi6yHD9uTNAEeKwDtIlsTtx3E49QwFia?usp=sharing" TargetMode="External"/><Relationship Id="rId22" Type="http://schemas.openxmlformats.org/officeDocument/2006/relationships/hyperlink" Target="https://drive.google.com/drive/folders/1Qi6yHD9uTNAEeKwDtIlsTtx3E49QwFia?usp=sharing" TargetMode="External"/><Relationship Id="rId66" Type="http://schemas.openxmlformats.org/officeDocument/2006/relationships/hyperlink" Target="https://drive.google.com/drive/folders/1Qi6yHD9uTNAEeKwDtIlsTtx3E49QwFia?usp=sharing" TargetMode="External"/><Relationship Id="rId21" Type="http://schemas.openxmlformats.org/officeDocument/2006/relationships/hyperlink" Target="https://drive.google.com/drive/folders/1Qi6yHD9uTNAEeKwDtIlsTtx3E49QwFia?usp=sharing" TargetMode="External"/><Relationship Id="rId65" Type="http://schemas.openxmlformats.org/officeDocument/2006/relationships/hyperlink" Target="https://drive.google.com/drive/folders/1Qi6yHD9uTNAEeKwDtIlsTtx3E49QwFia?usp=sharing" TargetMode="External"/><Relationship Id="rId24" Type="http://schemas.openxmlformats.org/officeDocument/2006/relationships/hyperlink" Target="https://drive.google.com/drive/folders/1Qi6yHD9uTNAEeKwDtIlsTtx3E49QwFia?usp=sharing" TargetMode="External"/><Relationship Id="rId68" Type="http://schemas.openxmlformats.org/officeDocument/2006/relationships/hyperlink" Target="https://drive.google.com/drive/folders/1Qi6yHD9uTNAEeKwDtIlsTtx3E49QwFia?usp=sharing" TargetMode="External"/><Relationship Id="rId23" Type="http://schemas.openxmlformats.org/officeDocument/2006/relationships/hyperlink" Target="https://drive.google.com/drive/folders/1Qi6yHD9uTNAEeKwDtIlsTtx3E49QwFia?usp=sharing" TargetMode="External"/><Relationship Id="rId67" Type="http://schemas.openxmlformats.org/officeDocument/2006/relationships/hyperlink" Target="https://drive.google.com/drive/folders/1Qi6yHD9uTNAEeKwDtIlsTtx3E49QwFia?usp=sharing" TargetMode="External"/><Relationship Id="rId60" Type="http://schemas.openxmlformats.org/officeDocument/2006/relationships/hyperlink" Target="https://drive.google.com/drive/folders/1Qi6yHD9uTNAEeKwDtIlsTtx3E49QwFia?usp=sharing" TargetMode="External"/><Relationship Id="rId26" Type="http://schemas.openxmlformats.org/officeDocument/2006/relationships/hyperlink" Target="https://drive.google.com/drive/folders/1Qi6yHD9uTNAEeKwDtIlsTtx3E49QwFia?usp=sharing" TargetMode="External"/><Relationship Id="rId25" Type="http://schemas.openxmlformats.org/officeDocument/2006/relationships/hyperlink" Target="https://drive.google.com/drive/folders/1Qi6yHD9uTNAEeKwDtIlsTtx3E49QwFia?usp=sharing" TargetMode="External"/><Relationship Id="rId69" Type="http://schemas.openxmlformats.org/officeDocument/2006/relationships/hyperlink" Target="https://drive.google.com/drive/folders/1Qi6yHD9uTNAEeKwDtIlsTtx3E49QwFia?usp=sharing" TargetMode="External"/><Relationship Id="rId28" Type="http://schemas.openxmlformats.org/officeDocument/2006/relationships/hyperlink" Target="https://drive.google.com/drive/folders/1Qi6yHD9uTNAEeKwDtIlsTtx3E49QwFia?usp=sharing" TargetMode="External"/><Relationship Id="rId27" Type="http://schemas.openxmlformats.org/officeDocument/2006/relationships/hyperlink" Target="https://drive.google.com/drive/folders/1Qi6yHD9uTNAEeKwDtIlsTtx3E49QwFia?usp=sharing" TargetMode="External"/><Relationship Id="rId29" Type="http://schemas.openxmlformats.org/officeDocument/2006/relationships/hyperlink" Target="https://drive.google.com/drive/folders/1Qi6yHD9uTNAEeKwDtIlsTtx3E49QwFia?usp=sharing" TargetMode="External"/><Relationship Id="rId51" Type="http://schemas.openxmlformats.org/officeDocument/2006/relationships/hyperlink" Target="https://drive.google.com/drive/folders/1Qi6yHD9uTNAEeKwDtIlsTtx3E49QwFia?usp=sharing" TargetMode="External"/><Relationship Id="rId50" Type="http://schemas.openxmlformats.org/officeDocument/2006/relationships/hyperlink" Target="https://drive.google.com/drive/folders/1Qi6yHD9uTNAEeKwDtIlsTtx3E49QwFia?usp=sharing" TargetMode="External"/><Relationship Id="rId53" Type="http://schemas.openxmlformats.org/officeDocument/2006/relationships/hyperlink" Target="https://drive.google.com/drive/folders/1Qi6yHD9uTNAEeKwDtIlsTtx3E49QwFia?usp=sharing" TargetMode="External"/><Relationship Id="rId52" Type="http://schemas.openxmlformats.org/officeDocument/2006/relationships/hyperlink" Target="https://drive.google.com/drive/folders/1Qi6yHD9uTNAEeKwDtIlsTtx3E49QwFia?usp=sharing" TargetMode="External"/><Relationship Id="rId11" Type="http://schemas.openxmlformats.org/officeDocument/2006/relationships/hyperlink" Target="https://drive.google.com/drive/folders/1Qi6yHD9uTNAEeKwDtIlsTtx3E49QwFia?usp=sharing" TargetMode="External"/><Relationship Id="rId55" Type="http://schemas.openxmlformats.org/officeDocument/2006/relationships/hyperlink" Target="https://drive.google.com/drive/folders/1Qi6yHD9uTNAEeKwDtIlsTtx3E49QwFia?usp=sharing" TargetMode="External"/><Relationship Id="rId10" Type="http://schemas.openxmlformats.org/officeDocument/2006/relationships/hyperlink" Target="https://drive.google.com/drive/folders/1Qi6yHD9uTNAEeKwDtIlsTtx3E49QwFia?usp=sharing" TargetMode="External"/><Relationship Id="rId54" Type="http://schemas.openxmlformats.org/officeDocument/2006/relationships/hyperlink" Target="https://drive.google.com/drive/folders/1Qi6yHD9uTNAEeKwDtIlsTtx3E49QwFia?usp=sharing" TargetMode="External"/><Relationship Id="rId13" Type="http://schemas.openxmlformats.org/officeDocument/2006/relationships/hyperlink" Target="https://drive.google.com/drive/folders/1Qi6yHD9uTNAEeKwDtIlsTtx3E49QwFia?usp=sharing" TargetMode="External"/><Relationship Id="rId57" Type="http://schemas.openxmlformats.org/officeDocument/2006/relationships/hyperlink" Target="https://drive.google.com/drive/folders/1Qi6yHD9uTNAEeKwDtIlsTtx3E49QwFia?usp=sharing" TargetMode="External"/><Relationship Id="rId12" Type="http://schemas.openxmlformats.org/officeDocument/2006/relationships/hyperlink" Target="https://drive.google.com/drive/folders/1Qi6yHD9uTNAEeKwDtIlsTtx3E49QwFia?usp=sharing" TargetMode="External"/><Relationship Id="rId56" Type="http://schemas.openxmlformats.org/officeDocument/2006/relationships/hyperlink" Target="https://drive.google.com/drive/folders/1Qi6yHD9uTNAEeKwDtIlsTtx3E49QwFia?usp=sharing" TargetMode="External"/><Relationship Id="rId15" Type="http://schemas.openxmlformats.org/officeDocument/2006/relationships/hyperlink" Target="https://drive.google.com/drive/folders/1Qi6yHD9uTNAEeKwDtIlsTtx3E49QwFia?usp=sharing" TargetMode="External"/><Relationship Id="rId59" Type="http://schemas.openxmlformats.org/officeDocument/2006/relationships/hyperlink" Target="https://drive.google.com/drive/folders/1Qi6yHD9uTNAEeKwDtIlsTtx3E49QwFia?usp=sharing" TargetMode="External"/><Relationship Id="rId14" Type="http://schemas.openxmlformats.org/officeDocument/2006/relationships/hyperlink" Target="https://drive.google.com/drive/folders/1Qi6yHD9uTNAEeKwDtIlsTtx3E49QwFia?usp=sharing" TargetMode="External"/><Relationship Id="rId58" Type="http://schemas.openxmlformats.org/officeDocument/2006/relationships/hyperlink" Target="https://drive.google.com/drive/folders/1Qi6yHD9uTNAEeKwDtIlsTtx3E49QwFia?usp=sharing" TargetMode="External"/><Relationship Id="rId17" Type="http://schemas.openxmlformats.org/officeDocument/2006/relationships/hyperlink" Target="https://drive.google.com/drive/folders/1Qi6yHD9uTNAEeKwDtIlsTtx3E49QwFia?usp=sharing" TargetMode="External"/><Relationship Id="rId16" Type="http://schemas.openxmlformats.org/officeDocument/2006/relationships/hyperlink" Target="https://drive.google.com/drive/folders/1Qi6yHD9uTNAEeKwDtIlsTtx3E49QwFia?usp=sharing" TargetMode="External"/><Relationship Id="rId19" Type="http://schemas.openxmlformats.org/officeDocument/2006/relationships/hyperlink" Target="https://drive.google.com/drive/folders/1Qi6yHD9uTNAEeKwDtIlsTtx3E49QwFia?usp=sharing" TargetMode="External"/><Relationship Id="rId18" Type="http://schemas.openxmlformats.org/officeDocument/2006/relationships/hyperlink" Target="https://drive.google.com/drive/folders/1Qi6yHD9uTNAEeKwDtIlsTtx3E49QwFia?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Qi6yHD9uTNAEeKwDtIlsTtx3E49QwFia?usp=sharing" TargetMode="External"/><Relationship Id="rId2" Type="http://schemas.openxmlformats.org/officeDocument/2006/relationships/hyperlink" Target="https://docs.google.com/document/d/1qH0Dh2hl3ppMmQeh1MwSJDadVtf2QvuTB0VZqA20mzM/edit?usp=sharing" TargetMode="External"/><Relationship Id="rId3" Type="http://schemas.openxmlformats.org/officeDocument/2006/relationships/hyperlink" Target="https://docs.google.com/document/d/1D76hN9rT2eKNU-XJYqZyqEHeuCRFVfVgzD2FKTRroSs/edit?usp=sharing" TargetMode="External"/><Relationship Id="rId4" Type="http://schemas.openxmlformats.org/officeDocument/2006/relationships/hyperlink" Target="https://docs.google.com/document/d/116RL8P3_8es965Kk9FKURvRVqJNuxETo_rXPRs3QEYg/edit?usp=sharing" TargetMode="External"/><Relationship Id="rId5" Type="http://schemas.openxmlformats.org/officeDocument/2006/relationships/hyperlink" Target="https://docs.google.com/document/d/1w9fU8S3LhzzokCHCA4gqjcTBotRfnVcPFYY9hvyjR1M/edit?usp=sharing" TargetMode="External"/><Relationship Id="rId6" Type="http://schemas.openxmlformats.org/officeDocument/2006/relationships/hyperlink" Target="https://drive.google.com/drive/folders/1foSlamcHV0yXCOHMeTTSE_zVFYDJ1xaZ?usp=sharing"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hidden="1" min="1" max="1" width="2.0"/>
    <col customWidth="1" min="2" max="92" width="2.0"/>
  </cols>
  <sheetData>
    <row r="1" ht="11.25" customHeight="1">
      <c r="C1" s="1" t="s">
        <v>0</v>
      </c>
      <c r="I1" s="2" t="s">
        <v>1</v>
      </c>
      <c r="N1" s="1" t="s">
        <v>2</v>
      </c>
      <c r="AB1" s="3" t="s">
        <v>3</v>
      </c>
      <c r="AF1" s="1" t="s">
        <v>4</v>
      </c>
      <c r="AU1" s="4" t="s">
        <v>5</v>
      </c>
      <c r="AZ1" s="1" t="s">
        <v>6</v>
      </c>
      <c r="BS1" s="5" t="s">
        <v>7</v>
      </c>
      <c r="CE1" s="5" t="s">
        <v>8</v>
      </c>
    </row>
    <row r="2" ht="11.25" customHeight="1"/>
    <row r="3" ht="11.25" customHeight="1"/>
    <row r="4" ht="12.0" customHeight="1">
      <c r="AU4" s="6"/>
      <c r="AV4" s="6"/>
      <c r="AW4" s="6"/>
      <c r="AX4" s="6"/>
    </row>
    <row r="5" ht="12.0" customHeight="1">
      <c r="C5" s="7" t="s">
        <v>9</v>
      </c>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9"/>
    </row>
    <row r="6" ht="12.0" customHeight="1">
      <c r="C6" s="10"/>
      <c r="CM6" s="11"/>
    </row>
    <row r="7" ht="12.0" customHeight="1">
      <c r="C7" s="12"/>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4"/>
    </row>
    <row r="8" ht="12.0" customHeight="1">
      <c r="AU8" s="6"/>
      <c r="AV8" s="6"/>
      <c r="AW8" s="6"/>
      <c r="AX8" s="6"/>
    </row>
    <row r="9" ht="12.0" hidden="1" customHeight="1">
      <c r="C9" s="15" t="s">
        <v>10</v>
      </c>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9"/>
    </row>
    <row r="10" ht="12.0" hidden="1" customHeight="1">
      <c r="C10" s="12"/>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4"/>
    </row>
    <row r="11" ht="12.0" customHeight="1">
      <c r="AU11" s="6"/>
      <c r="AV11" s="6"/>
      <c r="AW11" s="6"/>
      <c r="AX11" s="6"/>
    </row>
    <row r="12" ht="12.0" customHeight="1">
      <c r="C12" s="16">
        <v>20.07</v>
      </c>
      <c r="D12" s="17"/>
      <c r="E12" s="17"/>
      <c r="F12" s="17"/>
      <c r="G12" s="18"/>
      <c r="H12" s="19"/>
      <c r="I12" s="20">
        <v>0.4791666666666667</v>
      </c>
      <c r="J12" s="17"/>
      <c r="K12" s="17"/>
      <c r="L12" s="18"/>
      <c r="M12" s="19"/>
      <c r="N12" s="21" t="str">
        <f t="array" ref="N12">xlookup(P12,qualdata!$N$2:$N$17,qualdata!$O$2:$O$17,"")</f>
        <v/>
      </c>
      <c r="O12" s="22"/>
      <c r="P12" s="23" t="str">
        <f>'Contender Schedule'!V5</f>
        <v>Team 1 (Group 1)</v>
      </c>
      <c r="Q12" s="22"/>
      <c r="R12" s="22"/>
      <c r="S12" s="22"/>
      <c r="T12" s="22"/>
      <c r="U12" s="22"/>
      <c r="V12" s="22"/>
      <c r="W12" s="22"/>
      <c r="X12" s="22"/>
      <c r="Y12" s="22"/>
      <c r="Z12" s="22"/>
      <c r="AA12" s="22"/>
      <c r="AB12" s="24" t="str">
        <f>'Contender Schedule'!AH5</f>
        <v/>
      </c>
      <c r="AC12" s="9"/>
      <c r="AD12" s="24" t="str">
        <f>'Contender Schedule'!AJ5</f>
        <v/>
      </c>
      <c r="AE12" s="9"/>
      <c r="AF12" s="23" t="str">
        <f>'Contender Schedule'!AL5</f>
        <v>Team 16 (Group 1)</v>
      </c>
      <c r="AG12" s="22"/>
      <c r="AH12" s="22"/>
      <c r="AI12" s="22"/>
      <c r="AJ12" s="22"/>
      <c r="AK12" s="22"/>
      <c r="AL12" s="22"/>
      <c r="AM12" s="22"/>
      <c r="AN12" s="22"/>
      <c r="AO12" s="22"/>
      <c r="AP12" s="22"/>
      <c r="AQ12" s="22"/>
      <c r="AR12" s="25" t="str">
        <f t="array" ref="AR12">xlookup(AF12,qualdata!$N$2:$N$17,qualdata!$O$2:$O$17,"")</f>
        <v/>
      </c>
      <c r="AS12" s="26"/>
      <c r="AU12" s="27" t="s">
        <v>11</v>
      </c>
      <c r="AV12" s="17"/>
      <c r="AW12" s="17"/>
      <c r="AX12" s="18"/>
      <c r="AZ12" s="27" t="s">
        <v>12</v>
      </c>
      <c r="BA12" s="17"/>
      <c r="BB12" s="17"/>
      <c r="BC12" s="17"/>
      <c r="BD12" s="17"/>
      <c r="BE12" s="17"/>
      <c r="BF12" s="17"/>
      <c r="BG12" s="17"/>
      <c r="BH12" s="17"/>
      <c r="BI12" s="17"/>
      <c r="BJ12" s="17"/>
      <c r="BK12" s="17"/>
      <c r="BL12" s="17"/>
      <c r="BM12" s="17"/>
      <c r="BN12" s="17"/>
      <c r="BO12" s="17"/>
      <c r="BP12" s="18"/>
      <c r="BS12" s="28" t="s">
        <v>13</v>
      </c>
      <c r="BT12" s="17"/>
      <c r="BU12" s="17"/>
      <c r="BV12" s="17"/>
      <c r="BW12" s="17"/>
      <c r="BX12" s="17"/>
      <c r="BY12" s="17"/>
      <c r="BZ12" s="17"/>
      <c r="CA12" s="17"/>
      <c r="CB12" s="17"/>
      <c r="CC12" s="18"/>
      <c r="CE12" s="29" t="s">
        <v>14</v>
      </c>
      <c r="CF12" s="17"/>
      <c r="CG12" s="17"/>
      <c r="CH12" s="17"/>
      <c r="CI12" s="17"/>
      <c r="CJ12" s="17"/>
      <c r="CK12" s="17"/>
      <c r="CL12" s="17"/>
      <c r="CM12" s="18"/>
    </row>
    <row r="13" ht="12.0" customHeight="1">
      <c r="C13" s="30"/>
      <c r="D13" s="31"/>
      <c r="E13" s="31"/>
      <c r="F13" s="31"/>
      <c r="G13" s="32"/>
      <c r="H13" s="19"/>
      <c r="I13" s="30"/>
      <c r="J13" s="31"/>
      <c r="K13" s="31"/>
      <c r="L13" s="32"/>
      <c r="M13" s="19"/>
      <c r="N13" s="33"/>
      <c r="O13" s="34"/>
      <c r="P13" s="34"/>
      <c r="Q13" s="34"/>
      <c r="R13" s="34"/>
      <c r="S13" s="34"/>
      <c r="T13" s="34"/>
      <c r="U13" s="34"/>
      <c r="V13" s="34"/>
      <c r="W13" s="34"/>
      <c r="X13" s="34"/>
      <c r="Y13" s="34"/>
      <c r="Z13" s="34"/>
      <c r="AA13" s="34"/>
      <c r="AB13" s="12"/>
      <c r="AC13" s="14"/>
      <c r="AD13" s="12"/>
      <c r="AE13" s="14"/>
      <c r="AF13" s="34"/>
      <c r="AG13" s="34"/>
      <c r="AH13" s="34"/>
      <c r="AI13" s="34"/>
      <c r="AJ13" s="34"/>
      <c r="AK13" s="34"/>
      <c r="AL13" s="34"/>
      <c r="AM13" s="34"/>
      <c r="AN13" s="34"/>
      <c r="AO13" s="34"/>
      <c r="AP13" s="34"/>
      <c r="AQ13" s="34"/>
      <c r="AR13" s="34"/>
      <c r="AS13" s="35"/>
      <c r="AU13" s="30"/>
      <c r="AV13" s="31"/>
      <c r="AW13" s="31"/>
      <c r="AX13" s="32"/>
      <c r="AZ13" s="30"/>
      <c r="BA13" s="31"/>
      <c r="BB13" s="31"/>
      <c r="BC13" s="31"/>
      <c r="BD13" s="31"/>
      <c r="BE13" s="31"/>
      <c r="BF13" s="31"/>
      <c r="BG13" s="31"/>
      <c r="BH13" s="31"/>
      <c r="BI13" s="31"/>
      <c r="BJ13" s="31"/>
      <c r="BK13" s="31"/>
      <c r="BL13" s="31"/>
      <c r="BM13" s="31"/>
      <c r="BN13" s="31"/>
      <c r="BO13" s="31"/>
      <c r="BP13" s="32"/>
      <c r="BS13" s="30"/>
      <c r="BT13" s="31"/>
      <c r="BU13" s="31"/>
      <c r="BV13" s="31"/>
      <c r="BW13" s="31"/>
      <c r="BX13" s="31"/>
      <c r="BY13" s="31"/>
      <c r="BZ13" s="31"/>
      <c r="CA13" s="31"/>
      <c r="CB13" s="31"/>
      <c r="CC13" s="32"/>
      <c r="CE13" s="30"/>
      <c r="CF13" s="31"/>
      <c r="CG13" s="31"/>
      <c r="CH13" s="31"/>
      <c r="CI13" s="31"/>
      <c r="CJ13" s="31"/>
      <c r="CK13" s="31"/>
      <c r="CL13" s="31"/>
      <c r="CM13" s="32"/>
    </row>
    <row r="14" ht="12.0" customHeight="1">
      <c r="C14" s="16">
        <v>20.07</v>
      </c>
      <c r="D14" s="17"/>
      <c r="E14" s="17"/>
      <c r="F14" s="17"/>
      <c r="G14" s="18"/>
      <c r="H14" s="19"/>
      <c r="I14" s="20">
        <v>0.6041666666666666</v>
      </c>
      <c r="J14" s="17"/>
      <c r="K14" s="17"/>
      <c r="L14" s="18"/>
      <c r="M14" s="19"/>
      <c r="N14" s="21" t="str">
        <f t="array" ref="N14">xlookup(P14,qualdata!$N$2:$N$17,qualdata!$O$2:$O$17,"")</f>
        <v/>
      </c>
      <c r="O14" s="22"/>
      <c r="P14" s="23" t="str">
        <f>'Contender Schedule'!V7</f>
        <v>Team 2 (Group 1)</v>
      </c>
      <c r="Q14" s="22"/>
      <c r="R14" s="22"/>
      <c r="S14" s="22"/>
      <c r="T14" s="22"/>
      <c r="U14" s="22"/>
      <c r="V14" s="22"/>
      <c r="W14" s="22"/>
      <c r="X14" s="22"/>
      <c r="Y14" s="22"/>
      <c r="Z14" s="22"/>
      <c r="AA14" s="22"/>
      <c r="AB14" s="24" t="str">
        <f>'Contender Schedule'!AH7</f>
        <v/>
      </c>
      <c r="AC14" s="9"/>
      <c r="AD14" s="24" t="str">
        <f>'Contender Schedule'!AJ7</f>
        <v/>
      </c>
      <c r="AE14" s="9"/>
      <c r="AF14" s="23" t="str">
        <f>'Contender Schedule'!AL7</f>
        <v>Team 15 (Group 1)</v>
      </c>
      <c r="AG14" s="22"/>
      <c r="AH14" s="22"/>
      <c r="AI14" s="22"/>
      <c r="AJ14" s="22"/>
      <c r="AK14" s="22"/>
      <c r="AL14" s="22"/>
      <c r="AM14" s="22"/>
      <c r="AN14" s="22"/>
      <c r="AO14" s="22"/>
      <c r="AP14" s="22"/>
      <c r="AQ14" s="22"/>
      <c r="AR14" s="25" t="str">
        <f t="array" ref="AR14">xlookup(AF14,qualdata!$N$2:$N$17,qualdata!$O$2:$O$17,"")</f>
        <v/>
      </c>
      <c r="AS14" s="26"/>
      <c r="AU14" s="27" t="s">
        <v>11</v>
      </c>
      <c r="AV14" s="17"/>
      <c r="AW14" s="17"/>
      <c r="AX14" s="18"/>
      <c r="AZ14" s="27" t="s">
        <v>12</v>
      </c>
      <c r="BA14" s="17"/>
      <c r="BB14" s="17"/>
      <c r="BC14" s="17"/>
      <c r="BD14" s="17"/>
      <c r="BE14" s="17"/>
      <c r="BF14" s="17"/>
      <c r="BG14" s="17"/>
      <c r="BH14" s="17"/>
      <c r="BI14" s="17"/>
      <c r="BJ14" s="17"/>
      <c r="BK14" s="17"/>
      <c r="BL14" s="17"/>
      <c r="BM14" s="17"/>
      <c r="BN14" s="17"/>
      <c r="BO14" s="17"/>
      <c r="BP14" s="18"/>
      <c r="BS14" s="28" t="s">
        <v>13</v>
      </c>
      <c r="BT14" s="17"/>
      <c r="BU14" s="17"/>
      <c r="BV14" s="17"/>
      <c r="BW14" s="17"/>
      <c r="BX14" s="17"/>
      <c r="BY14" s="17"/>
      <c r="BZ14" s="17"/>
      <c r="CA14" s="17"/>
      <c r="CB14" s="17"/>
      <c r="CC14" s="18"/>
      <c r="CE14" s="29" t="s">
        <v>14</v>
      </c>
      <c r="CF14" s="17"/>
      <c r="CG14" s="17"/>
      <c r="CH14" s="17"/>
      <c r="CI14" s="17"/>
      <c r="CJ14" s="17"/>
      <c r="CK14" s="17"/>
      <c r="CL14" s="17"/>
      <c r="CM14" s="18"/>
    </row>
    <row r="15" ht="12.0" customHeight="1">
      <c r="C15" s="30"/>
      <c r="D15" s="31"/>
      <c r="E15" s="31"/>
      <c r="F15" s="31"/>
      <c r="G15" s="32"/>
      <c r="H15" s="19"/>
      <c r="I15" s="30"/>
      <c r="J15" s="31"/>
      <c r="K15" s="31"/>
      <c r="L15" s="32"/>
      <c r="M15" s="19"/>
      <c r="N15" s="33"/>
      <c r="O15" s="34"/>
      <c r="P15" s="34"/>
      <c r="Q15" s="34"/>
      <c r="R15" s="34"/>
      <c r="S15" s="34"/>
      <c r="T15" s="34"/>
      <c r="U15" s="34"/>
      <c r="V15" s="34"/>
      <c r="W15" s="34"/>
      <c r="X15" s="34"/>
      <c r="Y15" s="34"/>
      <c r="Z15" s="34"/>
      <c r="AA15" s="34"/>
      <c r="AB15" s="12"/>
      <c r="AC15" s="14"/>
      <c r="AD15" s="12"/>
      <c r="AE15" s="14"/>
      <c r="AF15" s="34"/>
      <c r="AG15" s="34"/>
      <c r="AH15" s="34"/>
      <c r="AI15" s="34"/>
      <c r="AJ15" s="34"/>
      <c r="AK15" s="34"/>
      <c r="AL15" s="34"/>
      <c r="AM15" s="34"/>
      <c r="AN15" s="34"/>
      <c r="AO15" s="34"/>
      <c r="AP15" s="34"/>
      <c r="AQ15" s="34"/>
      <c r="AR15" s="34"/>
      <c r="AS15" s="35"/>
      <c r="AU15" s="30"/>
      <c r="AV15" s="31"/>
      <c r="AW15" s="31"/>
      <c r="AX15" s="32"/>
      <c r="AZ15" s="30"/>
      <c r="BA15" s="31"/>
      <c r="BB15" s="31"/>
      <c r="BC15" s="31"/>
      <c r="BD15" s="31"/>
      <c r="BE15" s="31"/>
      <c r="BF15" s="31"/>
      <c r="BG15" s="31"/>
      <c r="BH15" s="31"/>
      <c r="BI15" s="31"/>
      <c r="BJ15" s="31"/>
      <c r="BK15" s="31"/>
      <c r="BL15" s="31"/>
      <c r="BM15" s="31"/>
      <c r="BN15" s="31"/>
      <c r="BO15" s="31"/>
      <c r="BP15" s="32"/>
      <c r="BS15" s="30"/>
      <c r="BT15" s="31"/>
      <c r="BU15" s="31"/>
      <c r="BV15" s="31"/>
      <c r="BW15" s="31"/>
      <c r="BX15" s="31"/>
      <c r="BY15" s="31"/>
      <c r="BZ15" s="31"/>
      <c r="CA15" s="31"/>
      <c r="CB15" s="31"/>
      <c r="CC15" s="32"/>
      <c r="CE15" s="30"/>
      <c r="CF15" s="31"/>
      <c r="CG15" s="31"/>
      <c r="CH15" s="31"/>
      <c r="CI15" s="31"/>
      <c r="CJ15" s="31"/>
      <c r="CK15" s="31"/>
      <c r="CL15" s="31"/>
      <c r="CM15" s="32"/>
    </row>
    <row r="16" ht="12.0" customHeight="1">
      <c r="C16" s="16">
        <v>20.07</v>
      </c>
      <c r="D16" s="17"/>
      <c r="E16" s="17"/>
      <c r="F16" s="17"/>
      <c r="G16" s="18"/>
      <c r="H16" s="19"/>
      <c r="I16" s="20">
        <v>0.7291666666666666</v>
      </c>
      <c r="J16" s="17"/>
      <c r="K16" s="17"/>
      <c r="L16" s="18"/>
      <c r="M16" s="19"/>
      <c r="N16" s="21" t="str">
        <f t="array" ref="N16">xlookup(P16,qualdata!$N$2:$N$17,qualdata!$O$2:$O$17,"")</f>
        <v/>
      </c>
      <c r="O16" s="22"/>
      <c r="P16" s="23" t="str">
        <f>'Contender Schedule'!V9</f>
        <v>Team 3 (Group 1)</v>
      </c>
      <c r="Q16" s="22"/>
      <c r="R16" s="22"/>
      <c r="S16" s="22"/>
      <c r="T16" s="22"/>
      <c r="U16" s="22"/>
      <c r="V16" s="22"/>
      <c r="W16" s="22"/>
      <c r="X16" s="22"/>
      <c r="Y16" s="22"/>
      <c r="Z16" s="22"/>
      <c r="AA16" s="22"/>
      <c r="AB16" s="24" t="str">
        <f>'Contender Schedule'!AH9</f>
        <v/>
      </c>
      <c r="AC16" s="9"/>
      <c r="AD16" s="24" t="str">
        <f>'Contender Schedule'!AJ9</f>
        <v/>
      </c>
      <c r="AE16" s="9"/>
      <c r="AF16" s="23" t="str">
        <f>'Contender Schedule'!AL9</f>
        <v>Team 14 (Group 1)</v>
      </c>
      <c r="AG16" s="22"/>
      <c r="AH16" s="22"/>
      <c r="AI16" s="22"/>
      <c r="AJ16" s="22"/>
      <c r="AK16" s="22"/>
      <c r="AL16" s="22"/>
      <c r="AM16" s="22"/>
      <c r="AN16" s="22"/>
      <c r="AO16" s="22"/>
      <c r="AP16" s="22"/>
      <c r="AQ16" s="22"/>
      <c r="AR16" s="25" t="str">
        <f t="array" ref="AR16">xlookup(AF16,qualdata!$N$2:$N$17,qualdata!$O$2:$O$17,"")</f>
        <v/>
      </c>
      <c r="AS16" s="26"/>
      <c r="AU16" s="27" t="s">
        <v>11</v>
      </c>
      <c r="AV16" s="17"/>
      <c r="AW16" s="17"/>
      <c r="AX16" s="18"/>
      <c r="AZ16" s="27" t="s">
        <v>12</v>
      </c>
      <c r="BA16" s="17"/>
      <c r="BB16" s="17"/>
      <c r="BC16" s="17"/>
      <c r="BD16" s="17"/>
      <c r="BE16" s="17"/>
      <c r="BF16" s="17"/>
      <c r="BG16" s="17"/>
      <c r="BH16" s="17"/>
      <c r="BI16" s="17"/>
      <c r="BJ16" s="17"/>
      <c r="BK16" s="17"/>
      <c r="BL16" s="17"/>
      <c r="BM16" s="17"/>
      <c r="BN16" s="17"/>
      <c r="BO16" s="17"/>
      <c r="BP16" s="18"/>
      <c r="BS16" s="28" t="s">
        <v>13</v>
      </c>
      <c r="BT16" s="17"/>
      <c r="BU16" s="17"/>
      <c r="BV16" s="17"/>
      <c r="BW16" s="17"/>
      <c r="BX16" s="17"/>
      <c r="BY16" s="17"/>
      <c r="BZ16" s="17"/>
      <c r="CA16" s="17"/>
      <c r="CB16" s="17"/>
      <c r="CC16" s="18"/>
      <c r="CE16" s="29" t="s">
        <v>14</v>
      </c>
      <c r="CF16" s="17"/>
      <c r="CG16" s="17"/>
      <c r="CH16" s="17"/>
      <c r="CI16" s="17"/>
      <c r="CJ16" s="17"/>
      <c r="CK16" s="17"/>
      <c r="CL16" s="17"/>
      <c r="CM16" s="18"/>
    </row>
    <row r="17" ht="12.0" customHeight="1">
      <c r="C17" s="30"/>
      <c r="D17" s="31"/>
      <c r="E17" s="31"/>
      <c r="F17" s="31"/>
      <c r="G17" s="32"/>
      <c r="H17" s="19"/>
      <c r="I17" s="30"/>
      <c r="J17" s="31"/>
      <c r="K17" s="31"/>
      <c r="L17" s="32"/>
      <c r="M17" s="19"/>
      <c r="N17" s="33"/>
      <c r="O17" s="34"/>
      <c r="P17" s="34"/>
      <c r="Q17" s="34"/>
      <c r="R17" s="34"/>
      <c r="S17" s="34"/>
      <c r="T17" s="34"/>
      <c r="U17" s="34"/>
      <c r="V17" s="34"/>
      <c r="W17" s="34"/>
      <c r="X17" s="34"/>
      <c r="Y17" s="34"/>
      <c r="Z17" s="34"/>
      <c r="AA17" s="34"/>
      <c r="AB17" s="12"/>
      <c r="AC17" s="14"/>
      <c r="AD17" s="12"/>
      <c r="AE17" s="14"/>
      <c r="AF17" s="34"/>
      <c r="AG17" s="34"/>
      <c r="AH17" s="34"/>
      <c r="AI17" s="34"/>
      <c r="AJ17" s="34"/>
      <c r="AK17" s="34"/>
      <c r="AL17" s="34"/>
      <c r="AM17" s="34"/>
      <c r="AN17" s="34"/>
      <c r="AO17" s="34"/>
      <c r="AP17" s="34"/>
      <c r="AQ17" s="34"/>
      <c r="AR17" s="34"/>
      <c r="AS17" s="35"/>
      <c r="AU17" s="30"/>
      <c r="AV17" s="31"/>
      <c r="AW17" s="31"/>
      <c r="AX17" s="32"/>
      <c r="AZ17" s="30"/>
      <c r="BA17" s="31"/>
      <c r="BB17" s="31"/>
      <c r="BC17" s="31"/>
      <c r="BD17" s="31"/>
      <c r="BE17" s="31"/>
      <c r="BF17" s="31"/>
      <c r="BG17" s="31"/>
      <c r="BH17" s="31"/>
      <c r="BI17" s="31"/>
      <c r="BJ17" s="31"/>
      <c r="BK17" s="31"/>
      <c r="BL17" s="31"/>
      <c r="BM17" s="31"/>
      <c r="BN17" s="31"/>
      <c r="BO17" s="31"/>
      <c r="BP17" s="32"/>
      <c r="BS17" s="30"/>
      <c r="BT17" s="31"/>
      <c r="BU17" s="31"/>
      <c r="BV17" s="31"/>
      <c r="BW17" s="31"/>
      <c r="BX17" s="31"/>
      <c r="BY17" s="31"/>
      <c r="BZ17" s="31"/>
      <c r="CA17" s="31"/>
      <c r="CB17" s="31"/>
      <c r="CC17" s="32"/>
      <c r="CE17" s="30"/>
      <c r="CF17" s="31"/>
      <c r="CG17" s="31"/>
      <c r="CH17" s="31"/>
      <c r="CI17" s="31"/>
      <c r="CJ17" s="31"/>
      <c r="CK17" s="31"/>
      <c r="CL17" s="31"/>
      <c r="CM17" s="32"/>
    </row>
    <row r="18" ht="12.0" customHeight="1">
      <c r="C18" s="16">
        <v>20.07</v>
      </c>
      <c r="D18" s="17"/>
      <c r="E18" s="17"/>
      <c r="F18" s="17"/>
      <c r="G18" s="18"/>
      <c r="H18" s="19"/>
      <c r="I18" s="20">
        <v>0.8541666666666666</v>
      </c>
      <c r="J18" s="17"/>
      <c r="K18" s="17"/>
      <c r="L18" s="18"/>
      <c r="M18" s="19"/>
      <c r="N18" s="21" t="str">
        <f t="array" ref="N18">xlookup(P18,qualdata!$N$2:$N$17,qualdata!$O$2:$O$17,"")</f>
        <v/>
      </c>
      <c r="O18" s="22"/>
      <c r="P18" s="23" t="str">
        <f>'Contender Schedule'!V11</f>
        <v>Team 4 (Group 1)</v>
      </c>
      <c r="Q18" s="22"/>
      <c r="R18" s="22"/>
      <c r="S18" s="22"/>
      <c r="T18" s="22"/>
      <c r="U18" s="22"/>
      <c r="V18" s="22"/>
      <c r="W18" s="22"/>
      <c r="X18" s="22"/>
      <c r="Y18" s="22"/>
      <c r="Z18" s="22"/>
      <c r="AA18" s="22"/>
      <c r="AB18" s="24" t="str">
        <f>'Contender Schedule'!AH11</f>
        <v/>
      </c>
      <c r="AC18" s="9"/>
      <c r="AD18" s="24" t="str">
        <f>'Contender Schedule'!AJ11</f>
        <v/>
      </c>
      <c r="AE18" s="9"/>
      <c r="AF18" s="23" t="str">
        <f>'Contender Schedule'!AL11</f>
        <v>Team 13 (Group 1)</v>
      </c>
      <c r="AG18" s="22"/>
      <c r="AH18" s="22"/>
      <c r="AI18" s="22"/>
      <c r="AJ18" s="22"/>
      <c r="AK18" s="22"/>
      <c r="AL18" s="22"/>
      <c r="AM18" s="22"/>
      <c r="AN18" s="22"/>
      <c r="AO18" s="22"/>
      <c r="AP18" s="22"/>
      <c r="AQ18" s="22"/>
      <c r="AR18" s="25" t="str">
        <f t="array" ref="AR18">xlookup(AF18,qualdata!$N$2:$N$17,qualdata!$O$2:$O$17,"")</f>
        <v/>
      </c>
      <c r="AS18" s="26"/>
      <c r="AU18" s="27" t="s">
        <v>11</v>
      </c>
      <c r="AV18" s="17"/>
      <c r="AW18" s="17"/>
      <c r="AX18" s="18"/>
      <c r="AZ18" s="27" t="s">
        <v>12</v>
      </c>
      <c r="BA18" s="17"/>
      <c r="BB18" s="17"/>
      <c r="BC18" s="17"/>
      <c r="BD18" s="17"/>
      <c r="BE18" s="17"/>
      <c r="BF18" s="17"/>
      <c r="BG18" s="17"/>
      <c r="BH18" s="17"/>
      <c r="BI18" s="17"/>
      <c r="BJ18" s="17"/>
      <c r="BK18" s="17"/>
      <c r="BL18" s="17"/>
      <c r="BM18" s="17"/>
      <c r="BN18" s="17"/>
      <c r="BO18" s="17"/>
      <c r="BP18" s="18"/>
      <c r="BS18" s="28" t="s">
        <v>13</v>
      </c>
      <c r="BT18" s="17"/>
      <c r="BU18" s="17"/>
      <c r="BV18" s="17"/>
      <c r="BW18" s="17"/>
      <c r="BX18" s="17"/>
      <c r="BY18" s="17"/>
      <c r="BZ18" s="17"/>
      <c r="CA18" s="17"/>
      <c r="CB18" s="17"/>
      <c r="CC18" s="18"/>
      <c r="CE18" s="29" t="s">
        <v>14</v>
      </c>
      <c r="CF18" s="17"/>
      <c r="CG18" s="17"/>
      <c r="CH18" s="17"/>
      <c r="CI18" s="17"/>
      <c r="CJ18" s="17"/>
      <c r="CK18" s="17"/>
      <c r="CL18" s="17"/>
      <c r="CM18" s="18"/>
    </row>
    <row r="19" ht="12.0" customHeight="1">
      <c r="C19" s="30"/>
      <c r="D19" s="31"/>
      <c r="E19" s="31"/>
      <c r="F19" s="31"/>
      <c r="G19" s="32"/>
      <c r="H19" s="19"/>
      <c r="I19" s="30"/>
      <c r="J19" s="31"/>
      <c r="K19" s="31"/>
      <c r="L19" s="32"/>
      <c r="M19" s="19"/>
      <c r="N19" s="33"/>
      <c r="O19" s="34"/>
      <c r="P19" s="34"/>
      <c r="Q19" s="34"/>
      <c r="R19" s="34"/>
      <c r="S19" s="34"/>
      <c r="T19" s="34"/>
      <c r="U19" s="34"/>
      <c r="V19" s="34"/>
      <c r="W19" s="34"/>
      <c r="X19" s="34"/>
      <c r="Y19" s="34"/>
      <c r="Z19" s="34"/>
      <c r="AA19" s="34"/>
      <c r="AB19" s="12"/>
      <c r="AC19" s="14"/>
      <c r="AD19" s="12"/>
      <c r="AE19" s="14"/>
      <c r="AF19" s="34"/>
      <c r="AG19" s="34"/>
      <c r="AH19" s="34"/>
      <c r="AI19" s="34"/>
      <c r="AJ19" s="34"/>
      <c r="AK19" s="34"/>
      <c r="AL19" s="34"/>
      <c r="AM19" s="34"/>
      <c r="AN19" s="34"/>
      <c r="AO19" s="34"/>
      <c r="AP19" s="34"/>
      <c r="AQ19" s="34"/>
      <c r="AR19" s="34"/>
      <c r="AS19" s="35"/>
      <c r="AU19" s="30"/>
      <c r="AV19" s="31"/>
      <c r="AW19" s="31"/>
      <c r="AX19" s="32"/>
      <c r="AZ19" s="30"/>
      <c r="BA19" s="31"/>
      <c r="BB19" s="31"/>
      <c r="BC19" s="31"/>
      <c r="BD19" s="31"/>
      <c r="BE19" s="31"/>
      <c r="BF19" s="31"/>
      <c r="BG19" s="31"/>
      <c r="BH19" s="31"/>
      <c r="BI19" s="31"/>
      <c r="BJ19" s="31"/>
      <c r="BK19" s="31"/>
      <c r="BL19" s="31"/>
      <c r="BM19" s="31"/>
      <c r="BN19" s="31"/>
      <c r="BO19" s="31"/>
      <c r="BP19" s="32"/>
      <c r="BS19" s="30"/>
      <c r="BT19" s="31"/>
      <c r="BU19" s="31"/>
      <c r="BV19" s="31"/>
      <c r="BW19" s="31"/>
      <c r="BX19" s="31"/>
      <c r="BY19" s="31"/>
      <c r="BZ19" s="31"/>
      <c r="CA19" s="31"/>
      <c r="CB19" s="31"/>
      <c r="CC19" s="32"/>
      <c r="CE19" s="30"/>
      <c r="CF19" s="31"/>
      <c r="CG19" s="31"/>
      <c r="CH19" s="31"/>
      <c r="CI19" s="31"/>
      <c r="CJ19" s="31"/>
      <c r="CK19" s="31"/>
      <c r="CL19" s="31"/>
      <c r="CM19" s="32"/>
    </row>
    <row r="20" ht="12.0" customHeight="1">
      <c r="C20" s="16">
        <v>21.07</v>
      </c>
      <c r="D20" s="17"/>
      <c r="E20" s="17"/>
      <c r="F20" s="17"/>
      <c r="G20" s="18"/>
      <c r="H20" s="19"/>
      <c r="I20" s="20">
        <v>0.4791666666666667</v>
      </c>
      <c r="J20" s="17"/>
      <c r="K20" s="17"/>
      <c r="L20" s="18"/>
      <c r="M20" s="19"/>
      <c r="N20" s="21" t="str">
        <f t="array" ref="N20">xlookup(P20,qualdata!$N$2:$N$17,qualdata!$O$2:$O$17,"")</f>
        <v/>
      </c>
      <c r="O20" s="22"/>
      <c r="P20" s="23" t="str">
        <f>'Contender Schedule'!V13</f>
        <v>Team 5 (Group 1)</v>
      </c>
      <c r="Q20" s="22"/>
      <c r="R20" s="22"/>
      <c r="S20" s="22"/>
      <c r="T20" s="22"/>
      <c r="U20" s="22"/>
      <c r="V20" s="22"/>
      <c r="W20" s="22"/>
      <c r="X20" s="22"/>
      <c r="Y20" s="22"/>
      <c r="Z20" s="22"/>
      <c r="AA20" s="22"/>
      <c r="AB20" s="24" t="str">
        <f>'Contender Schedule'!AH13</f>
        <v/>
      </c>
      <c r="AC20" s="9"/>
      <c r="AD20" s="24" t="str">
        <f>'Contender Schedule'!AJ13</f>
        <v/>
      </c>
      <c r="AE20" s="9"/>
      <c r="AF20" s="23" t="str">
        <f>'Contender Schedule'!AL13</f>
        <v>Team 12 (Group 1)</v>
      </c>
      <c r="AG20" s="22"/>
      <c r="AH20" s="22"/>
      <c r="AI20" s="22"/>
      <c r="AJ20" s="22"/>
      <c r="AK20" s="22"/>
      <c r="AL20" s="22"/>
      <c r="AM20" s="22"/>
      <c r="AN20" s="22"/>
      <c r="AO20" s="22"/>
      <c r="AP20" s="22"/>
      <c r="AQ20" s="22"/>
      <c r="AR20" s="25" t="str">
        <f t="array" ref="AR20">xlookup(AF20,qualdata!$N$2:$N$17,qualdata!$O$2:$O$17,"")</f>
        <v/>
      </c>
      <c r="AS20" s="26"/>
      <c r="AU20" s="27" t="s">
        <v>11</v>
      </c>
      <c r="AV20" s="17"/>
      <c r="AW20" s="17"/>
      <c r="AX20" s="18"/>
      <c r="AZ20" s="27" t="s">
        <v>12</v>
      </c>
      <c r="BA20" s="17"/>
      <c r="BB20" s="17"/>
      <c r="BC20" s="17"/>
      <c r="BD20" s="17"/>
      <c r="BE20" s="17"/>
      <c r="BF20" s="17"/>
      <c r="BG20" s="17"/>
      <c r="BH20" s="17"/>
      <c r="BI20" s="17"/>
      <c r="BJ20" s="17"/>
      <c r="BK20" s="17"/>
      <c r="BL20" s="17"/>
      <c r="BM20" s="17"/>
      <c r="BN20" s="17"/>
      <c r="BO20" s="17"/>
      <c r="BP20" s="18"/>
      <c r="BS20" s="28" t="s">
        <v>13</v>
      </c>
      <c r="BT20" s="17"/>
      <c r="BU20" s="17"/>
      <c r="BV20" s="17"/>
      <c r="BW20" s="17"/>
      <c r="BX20" s="17"/>
      <c r="BY20" s="17"/>
      <c r="BZ20" s="17"/>
      <c r="CA20" s="17"/>
      <c r="CB20" s="17"/>
      <c r="CC20" s="18"/>
      <c r="CE20" s="29" t="s">
        <v>14</v>
      </c>
      <c r="CF20" s="17"/>
      <c r="CG20" s="17"/>
      <c r="CH20" s="17"/>
      <c r="CI20" s="17"/>
      <c r="CJ20" s="17"/>
      <c r="CK20" s="17"/>
      <c r="CL20" s="17"/>
      <c r="CM20" s="18"/>
    </row>
    <row r="21" ht="12.0" customHeight="1">
      <c r="C21" s="30"/>
      <c r="D21" s="31"/>
      <c r="E21" s="31"/>
      <c r="F21" s="31"/>
      <c r="G21" s="32"/>
      <c r="H21" s="19"/>
      <c r="I21" s="30"/>
      <c r="J21" s="31"/>
      <c r="K21" s="31"/>
      <c r="L21" s="32"/>
      <c r="M21" s="19"/>
      <c r="N21" s="33"/>
      <c r="O21" s="34"/>
      <c r="P21" s="34"/>
      <c r="Q21" s="34"/>
      <c r="R21" s="34"/>
      <c r="S21" s="34"/>
      <c r="T21" s="34"/>
      <c r="U21" s="34"/>
      <c r="V21" s="34"/>
      <c r="W21" s="34"/>
      <c r="X21" s="34"/>
      <c r="Y21" s="34"/>
      <c r="Z21" s="34"/>
      <c r="AA21" s="34"/>
      <c r="AB21" s="12"/>
      <c r="AC21" s="14"/>
      <c r="AD21" s="12"/>
      <c r="AE21" s="14"/>
      <c r="AF21" s="34"/>
      <c r="AG21" s="34"/>
      <c r="AH21" s="34"/>
      <c r="AI21" s="34"/>
      <c r="AJ21" s="34"/>
      <c r="AK21" s="34"/>
      <c r="AL21" s="34"/>
      <c r="AM21" s="34"/>
      <c r="AN21" s="34"/>
      <c r="AO21" s="34"/>
      <c r="AP21" s="34"/>
      <c r="AQ21" s="34"/>
      <c r="AR21" s="34"/>
      <c r="AS21" s="35"/>
      <c r="AU21" s="30"/>
      <c r="AV21" s="31"/>
      <c r="AW21" s="31"/>
      <c r="AX21" s="32"/>
      <c r="AZ21" s="30"/>
      <c r="BA21" s="31"/>
      <c r="BB21" s="31"/>
      <c r="BC21" s="31"/>
      <c r="BD21" s="31"/>
      <c r="BE21" s="31"/>
      <c r="BF21" s="31"/>
      <c r="BG21" s="31"/>
      <c r="BH21" s="31"/>
      <c r="BI21" s="31"/>
      <c r="BJ21" s="31"/>
      <c r="BK21" s="31"/>
      <c r="BL21" s="31"/>
      <c r="BM21" s="31"/>
      <c r="BN21" s="31"/>
      <c r="BO21" s="31"/>
      <c r="BP21" s="32"/>
      <c r="BS21" s="30"/>
      <c r="BT21" s="31"/>
      <c r="BU21" s="31"/>
      <c r="BV21" s="31"/>
      <c r="BW21" s="31"/>
      <c r="BX21" s="31"/>
      <c r="BY21" s="31"/>
      <c r="BZ21" s="31"/>
      <c r="CA21" s="31"/>
      <c r="CB21" s="31"/>
      <c r="CC21" s="32"/>
      <c r="CE21" s="30"/>
      <c r="CF21" s="31"/>
      <c r="CG21" s="31"/>
      <c r="CH21" s="31"/>
      <c r="CI21" s="31"/>
      <c r="CJ21" s="31"/>
      <c r="CK21" s="31"/>
      <c r="CL21" s="31"/>
      <c r="CM21" s="32"/>
    </row>
    <row r="22" ht="12.0" customHeight="1">
      <c r="C22" s="16">
        <v>21.07</v>
      </c>
      <c r="D22" s="17"/>
      <c r="E22" s="17"/>
      <c r="F22" s="17"/>
      <c r="G22" s="18"/>
      <c r="H22" s="19"/>
      <c r="I22" s="20">
        <v>0.6041666666666666</v>
      </c>
      <c r="J22" s="17"/>
      <c r="K22" s="17"/>
      <c r="L22" s="18"/>
      <c r="M22" s="19"/>
      <c r="N22" s="21" t="str">
        <f t="array" ref="N22">xlookup(P22,qualdata!$N$2:$N$17,qualdata!$O$2:$O$17,"")</f>
        <v/>
      </c>
      <c r="O22" s="22"/>
      <c r="P22" s="23" t="str">
        <f>'Contender Schedule'!V15</f>
        <v>Team 6 (Group 1)</v>
      </c>
      <c r="Q22" s="22"/>
      <c r="R22" s="22"/>
      <c r="S22" s="22"/>
      <c r="T22" s="22"/>
      <c r="U22" s="22"/>
      <c r="V22" s="22"/>
      <c r="W22" s="22"/>
      <c r="X22" s="22"/>
      <c r="Y22" s="22"/>
      <c r="Z22" s="22"/>
      <c r="AA22" s="22"/>
      <c r="AB22" s="24" t="str">
        <f>'Contender Schedule'!AH15</f>
        <v/>
      </c>
      <c r="AC22" s="9"/>
      <c r="AD22" s="24" t="str">
        <f>'Contender Schedule'!AJ15</f>
        <v/>
      </c>
      <c r="AE22" s="9"/>
      <c r="AF22" s="23" t="str">
        <f>'Contender Schedule'!AL15</f>
        <v>Team 11 (Group 1)</v>
      </c>
      <c r="AG22" s="22"/>
      <c r="AH22" s="22"/>
      <c r="AI22" s="22"/>
      <c r="AJ22" s="22"/>
      <c r="AK22" s="22"/>
      <c r="AL22" s="22"/>
      <c r="AM22" s="22"/>
      <c r="AN22" s="22"/>
      <c r="AO22" s="22"/>
      <c r="AP22" s="22"/>
      <c r="AQ22" s="22"/>
      <c r="AR22" s="25" t="str">
        <f t="array" ref="AR22">xlookup(AF22,qualdata!$N$2:$N$17,qualdata!$O$2:$O$17,"")</f>
        <v/>
      </c>
      <c r="AS22" s="26"/>
      <c r="AU22" s="27" t="s">
        <v>11</v>
      </c>
      <c r="AV22" s="17"/>
      <c r="AW22" s="17"/>
      <c r="AX22" s="18"/>
      <c r="AZ22" s="27" t="s">
        <v>12</v>
      </c>
      <c r="BA22" s="17"/>
      <c r="BB22" s="17"/>
      <c r="BC22" s="17"/>
      <c r="BD22" s="17"/>
      <c r="BE22" s="17"/>
      <c r="BF22" s="17"/>
      <c r="BG22" s="17"/>
      <c r="BH22" s="17"/>
      <c r="BI22" s="17"/>
      <c r="BJ22" s="17"/>
      <c r="BK22" s="17"/>
      <c r="BL22" s="17"/>
      <c r="BM22" s="17"/>
      <c r="BN22" s="17"/>
      <c r="BO22" s="17"/>
      <c r="BP22" s="18"/>
      <c r="BS22" s="28" t="s">
        <v>13</v>
      </c>
      <c r="BT22" s="17"/>
      <c r="BU22" s="17"/>
      <c r="BV22" s="17"/>
      <c r="BW22" s="17"/>
      <c r="BX22" s="17"/>
      <c r="BY22" s="17"/>
      <c r="BZ22" s="17"/>
      <c r="CA22" s="17"/>
      <c r="CB22" s="17"/>
      <c r="CC22" s="18"/>
      <c r="CE22" s="29" t="s">
        <v>14</v>
      </c>
      <c r="CF22" s="17"/>
      <c r="CG22" s="17"/>
      <c r="CH22" s="17"/>
      <c r="CI22" s="17"/>
      <c r="CJ22" s="17"/>
      <c r="CK22" s="17"/>
      <c r="CL22" s="17"/>
      <c r="CM22" s="18"/>
    </row>
    <row r="23" ht="12.0" customHeight="1">
      <c r="C23" s="30"/>
      <c r="D23" s="31"/>
      <c r="E23" s="31"/>
      <c r="F23" s="31"/>
      <c r="G23" s="32"/>
      <c r="H23" s="19"/>
      <c r="I23" s="30"/>
      <c r="J23" s="31"/>
      <c r="K23" s="31"/>
      <c r="L23" s="32"/>
      <c r="M23" s="19"/>
      <c r="N23" s="33"/>
      <c r="O23" s="34"/>
      <c r="P23" s="34"/>
      <c r="Q23" s="34"/>
      <c r="R23" s="34"/>
      <c r="S23" s="34"/>
      <c r="T23" s="34"/>
      <c r="U23" s="34"/>
      <c r="V23" s="34"/>
      <c r="W23" s="34"/>
      <c r="X23" s="34"/>
      <c r="Y23" s="34"/>
      <c r="Z23" s="34"/>
      <c r="AA23" s="34"/>
      <c r="AB23" s="12"/>
      <c r="AC23" s="14"/>
      <c r="AD23" s="12"/>
      <c r="AE23" s="14"/>
      <c r="AF23" s="34"/>
      <c r="AG23" s="34"/>
      <c r="AH23" s="34"/>
      <c r="AI23" s="34"/>
      <c r="AJ23" s="34"/>
      <c r="AK23" s="34"/>
      <c r="AL23" s="34"/>
      <c r="AM23" s="34"/>
      <c r="AN23" s="34"/>
      <c r="AO23" s="34"/>
      <c r="AP23" s="34"/>
      <c r="AQ23" s="34"/>
      <c r="AR23" s="34"/>
      <c r="AS23" s="35"/>
      <c r="AU23" s="30"/>
      <c r="AV23" s="31"/>
      <c r="AW23" s="31"/>
      <c r="AX23" s="32"/>
      <c r="AZ23" s="30"/>
      <c r="BA23" s="31"/>
      <c r="BB23" s="31"/>
      <c r="BC23" s="31"/>
      <c r="BD23" s="31"/>
      <c r="BE23" s="31"/>
      <c r="BF23" s="31"/>
      <c r="BG23" s="31"/>
      <c r="BH23" s="31"/>
      <c r="BI23" s="31"/>
      <c r="BJ23" s="31"/>
      <c r="BK23" s="31"/>
      <c r="BL23" s="31"/>
      <c r="BM23" s="31"/>
      <c r="BN23" s="31"/>
      <c r="BO23" s="31"/>
      <c r="BP23" s="32"/>
      <c r="BS23" s="30"/>
      <c r="BT23" s="31"/>
      <c r="BU23" s="31"/>
      <c r="BV23" s="31"/>
      <c r="BW23" s="31"/>
      <c r="BX23" s="31"/>
      <c r="BY23" s="31"/>
      <c r="BZ23" s="31"/>
      <c r="CA23" s="31"/>
      <c r="CB23" s="31"/>
      <c r="CC23" s="32"/>
      <c r="CE23" s="30"/>
      <c r="CF23" s="31"/>
      <c r="CG23" s="31"/>
      <c r="CH23" s="31"/>
      <c r="CI23" s="31"/>
      <c r="CJ23" s="31"/>
      <c r="CK23" s="31"/>
      <c r="CL23" s="31"/>
      <c r="CM23" s="32"/>
    </row>
    <row r="24" ht="12.0" customHeight="1">
      <c r="C24" s="16">
        <v>21.07</v>
      </c>
      <c r="D24" s="17"/>
      <c r="E24" s="17"/>
      <c r="F24" s="17"/>
      <c r="G24" s="18"/>
      <c r="H24" s="19"/>
      <c r="I24" s="20">
        <v>0.7291666666666666</v>
      </c>
      <c r="J24" s="17"/>
      <c r="K24" s="17"/>
      <c r="L24" s="18"/>
      <c r="M24" s="19"/>
      <c r="N24" s="21" t="str">
        <f t="array" ref="N24">xlookup(P24,qualdata!$N$2:$N$17,qualdata!$O$2:$O$17,"")</f>
        <v/>
      </c>
      <c r="O24" s="22"/>
      <c r="P24" s="23" t="str">
        <f>'Contender Schedule'!V17</f>
        <v>Team 7 (Group 1)</v>
      </c>
      <c r="Q24" s="22"/>
      <c r="R24" s="22"/>
      <c r="S24" s="22"/>
      <c r="T24" s="22"/>
      <c r="U24" s="22"/>
      <c r="V24" s="22"/>
      <c r="W24" s="22"/>
      <c r="X24" s="22"/>
      <c r="Y24" s="22"/>
      <c r="Z24" s="22"/>
      <c r="AA24" s="22"/>
      <c r="AB24" s="24" t="str">
        <f>'Contender Schedule'!AH17</f>
        <v/>
      </c>
      <c r="AC24" s="9"/>
      <c r="AD24" s="24" t="str">
        <f>'Contender Schedule'!AJ17</f>
        <v/>
      </c>
      <c r="AE24" s="9"/>
      <c r="AF24" s="23" t="str">
        <f>'Contender Schedule'!AL17</f>
        <v>Team 10 (Group 1)</v>
      </c>
      <c r="AG24" s="22"/>
      <c r="AH24" s="22"/>
      <c r="AI24" s="22"/>
      <c r="AJ24" s="22"/>
      <c r="AK24" s="22"/>
      <c r="AL24" s="22"/>
      <c r="AM24" s="22"/>
      <c r="AN24" s="22"/>
      <c r="AO24" s="22"/>
      <c r="AP24" s="22"/>
      <c r="AQ24" s="22"/>
      <c r="AR24" s="25" t="str">
        <f t="array" ref="AR24">xlookup(AF24,qualdata!$N$2:$N$17,qualdata!$O$2:$O$17,"")</f>
        <v/>
      </c>
      <c r="AS24" s="26"/>
      <c r="AU24" s="27" t="s">
        <v>11</v>
      </c>
      <c r="AV24" s="17"/>
      <c r="AW24" s="17"/>
      <c r="AX24" s="18"/>
      <c r="AZ24" s="27" t="s">
        <v>12</v>
      </c>
      <c r="BA24" s="17"/>
      <c r="BB24" s="17"/>
      <c r="BC24" s="17"/>
      <c r="BD24" s="17"/>
      <c r="BE24" s="17"/>
      <c r="BF24" s="17"/>
      <c r="BG24" s="17"/>
      <c r="BH24" s="17"/>
      <c r="BI24" s="17"/>
      <c r="BJ24" s="17"/>
      <c r="BK24" s="17"/>
      <c r="BL24" s="17"/>
      <c r="BM24" s="17"/>
      <c r="BN24" s="17"/>
      <c r="BO24" s="17"/>
      <c r="BP24" s="18"/>
      <c r="BS24" s="28" t="s">
        <v>13</v>
      </c>
      <c r="BT24" s="17"/>
      <c r="BU24" s="17"/>
      <c r="BV24" s="17"/>
      <c r="BW24" s="17"/>
      <c r="BX24" s="17"/>
      <c r="BY24" s="17"/>
      <c r="BZ24" s="17"/>
      <c r="CA24" s="17"/>
      <c r="CB24" s="17"/>
      <c r="CC24" s="18"/>
      <c r="CE24" s="29" t="s">
        <v>14</v>
      </c>
      <c r="CF24" s="17"/>
      <c r="CG24" s="17"/>
      <c r="CH24" s="17"/>
      <c r="CI24" s="17"/>
      <c r="CJ24" s="17"/>
      <c r="CK24" s="17"/>
      <c r="CL24" s="17"/>
      <c r="CM24" s="18"/>
    </row>
    <row r="25" ht="12.0" customHeight="1">
      <c r="C25" s="30"/>
      <c r="D25" s="31"/>
      <c r="E25" s="31"/>
      <c r="F25" s="31"/>
      <c r="G25" s="32"/>
      <c r="H25" s="19"/>
      <c r="I25" s="30"/>
      <c r="J25" s="31"/>
      <c r="K25" s="31"/>
      <c r="L25" s="32"/>
      <c r="M25" s="19"/>
      <c r="N25" s="33"/>
      <c r="O25" s="34"/>
      <c r="P25" s="34"/>
      <c r="Q25" s="34"/>
      <c r="R25" s="34"/>
      <c r="S25" s="34"/>
      <c r="T25" s="34"/>
      <c r="U25" s="34"/>
      <c r="V25" s="34"/>
      <c r="W25" s="34"/>
      <c r="X25" s="34"/>
      <c r="Y25" s="34"/>
      <c r="Z25" s="34"/>
      <c r="AA25" s="34"/>
      <c r="AB25" s="12"/>
      <c r="AC25" s="14"/>
      <c r="AD25" s="12"/>
      <c r="AE25" s="14"/>
      <c r="AF25" s="34"/>
      <c r="AG25" s="34"/>
      <c r="AH25" s="34"/>
      <c r="AI25" s="34"/>
      <c r="AJ25" s="34"/>
      <c r="AK25" s="34"/>
      <c r="AL25" s="34"/>
      <c r="AM25" s="34"/>
      <c r="AN25" s="34"/>
      <c r="AO25" s="34"/>
      <c r="AP25" s="34"/>
      <c r="AQ25" s="34"/>
      <c r="AR25" s="34"/>
      <c r="AS25" s="35"/>
      <c r="AU25" s="30"/>
      <c r="AV25" s="31"/>
      <c r="AW25" s="31"/>
      <c r="AX25" s="32"/>
      <c r="AZ25" s="30"/>
      <c r="BA25" s="31"/>
      <c r="BB25" s="31"/>
      <c r="BC25" s="31"/>
      <c r="BD25" s="31"/>
      <c r="BE25" s="31"/>
      <c r="BF25" s="31"/>
      <c r="BG25" s="31"/>
      <c r="BH25" s="31"/>
      <c r="BI25" s="31"/>
      <c r="BJ25" s="31"/>
      <c r="BK25" s="31"/>
      <c r="BL25" s="31"/>
      <c r="BM25" s="31"/>
      <c r="BN25" s="31"/>
      <c r="BO25" s="31"/>
      <c r="BP25" s="32"/>
      <c r="BS25" s="30"/>
      <c r="BT25" s="31"/>
      <c r="BU25" s="31"/>
      <c r="BV25" s="31"/>
      <c r="BW25" s="31"/>
      <c r="BX25" s="31"/>
      <c r="BY25" s="31"/>
      <c r="BZ25" s="31"/>
      <c r="CA25" s="31"/>
      <c r="CB25" s="31"/>
      <c r="CC25" s="32"/>
      <c r="CE25" s="30"/>
      <c r="CF25" s="31"/>
      <c r="CG25" s="31"/>
      <c r="CH25" s="31"/>
      <c r="CI25" s="31"/>
      <c r="CJ25" s="31"/>
      <c r="CK25" s="31"/>
      <c r="CL25" s="31"/>
      <c r="CM25" s="32"/>
    </row>
    <row r="26" ht="12.0" customHeight="1">
      <c r="C26" s="16">
        <v>21.07</v>
      </c>
      <c r="D26" s="17"/>
      <c r="E26" s="17"/>
      <c r="F26" s="17"/>
      <c r="G26" s="18"/>
      <c r="H26" s="19"/>
      <c r="I26" s="20">
        <v>0.8541666666666666</v>
      </c>
      <c r="J26" s="17"/>
      <c r="K26" s="17"/>
      <c r="L26" s="18"/>
      <c r="M26" s="19"/>
      <c r="N26" s="21" t="str">
        <f t="array" ref="N26">xlookup(P26,qualdata!$N$2:$N$17,qualdata!$O$2:$O$17,"")</f>
        <v/>
      </c>
      <c r="O26" s="22"/>
      <c r="P26" s="23" t="str">
        <f>'Contender Schedule'!V19</f>
        <v>Team 8 (Group 1)</v>
      </c>
      <c r="Q26" s="22"/>
      <c r="R26" s="22"/>
      <c r="S26" s="22"/>
      <c r="T26" s="22"/>
      <c r="U26" s="22"/>
      <c r="V26" s="22"/>
      <c r="W26" s="22"/>
      <c r="X26" s="22"/>
      <c r="Y26" s="22"/>
      <c r="Z26" s="22"/>
      <c r="AA26" s="22"/>
      <c r="AB26" s="24" t="str">
        <f>'Contender Schedule'!AH19</f>
        <v/>
      </c>
      <c r="AC26" s="9"/>
      <c r="AD26" s="24" t="str">
        <f>'Contender Schedule'!AJ19</f>
        <v/>
      </c>
      <c r="AE26" s="9"/>
      <c r="AF26" s="23" t="str">
        <f>'Contender Schedule'!AL19</f>
        <v>Team 9 (Group 1)</v>
      </c>
      <c r="AG26" s="22"/>
      <c r="AH26" s="22"/>
      <c r="AI26" s="22"/>
      <c r="AJ26" s="22"/>
      <c r="AK26" s="22"/>
      <c r="AL26" s="22"/>
      <c r="AM26" s="22"/>
      <c r="AN26" s="22"/>
      <c r="AO26" s="22"/>
      <c r="AP26" s="22"/>
      <c r="AQ26" s="22"/>
      <c r="AR26" s="25" t="str">
        <f t="array" ref="AR26">xlookup(AF26,qualdata!$N$2:$N$17,qualdata!$O$2:$O$17,"")</f>
        <v/>
      </c>
      <c r="AS26" s="26"/>
      <c r="AU26" s="27" t="s">
        <v>11</v>
      </c>
      <c r="AV26" s="17"/>
      <c r="AW26" s="17"/>
      <c r="AX26" s="18"/>
      <c r="AZ26" s="27" t="s">
        <v>12</v>
      </c>
      <c r="BA26" s="17"/>
      <c r="BB26" s="17"/>
      <c r="BC26" s="17"/>
      <c r="BD26" s="17"/>
      <c r="BE26" s="17"/>
      <c r="BF26" s="17"/>
      <c r="BG26" s="17"/>
      <c r="BH26" s="17"/>
      <c r="BI26" s="17"/>
      <c r="BJ26" s="17"/>
      <c r="BK26" s="17"/>
      <c r="BL26" s="17"/>
      <c r="BM26" s="17"/>
      <c r="BN26" s="17"/>
      <c r="BO26" s="17"/>
      <c r="BP26" s="18"/>
      <c r="BS26" s="28" t="s">
        <v>13</v>
      </c>
      <c r="BT26" s="17"/>
      <c r="BU26" s="17"/>
      <c r="BV26" s="17"/>
      <c r="BW26" s="17"/>
      <c r="BX26" s="17"/>
      <c r="BY26" s="17"/>
      <c r="BZ26" s="17"/>
      <c r="CA26" s="17"/>
      <c r="CB26" s="17"/>
      <c r="CC26" s="18"/>
      <c r="CE26" s="29" t="s">
        <v>14</v>
      </c>
      <c r="CF26" s="17"/>
      <c r="CG26" s="17"/>
      <c r="CH26" s="17"/>
      <c r="CI26" s="17"/>
      <c r="CJ26" s="17"/>
      <c r="CK26" s="17"/>
      <c r="CL26" s="17"/>
      <c r="CM26" s="18"/>
    </row>
    <row r="27" ht="12.0" customHeight="1">
      <c r="C27" s="30"/>
      <c r="D27" s="31"/>
      <c r="E27" s="31"/>
      <c r="F27" s="31"/>
      <c r="G27" s="32"/>
      <c r="H27" s="19"/>
      <c r="I27" s="30"/>
      <c r="J27" s="31"/>
      <c r="K27" s="31"/>
      <c r="L27" s="32"/>
      <c r="M27" s="19"/>
      <c r="N27" s="33"/>
      <c r="O27" s="34"/>
      <c r="P27" s="34"/>
      <c r="Q27" s="34"/>
      <c r="R27" s="34"/>
      <c r="S27" s="34"/>
      <c r="T27" s="34"/>
      <c r="U27" s="34"/>
      <c r="V27" s="34"/>
      <c r="W27" s="34"/>
      <c r="X27" s="34"/>
      <c r="Y27" s="34"/>
      <c r="Z27" s="34"/>
      <c r="AA27" s="34"/>
      <c r="AB27" s="12"/>
      <c r="AC27" s="14"/>
      <c r="AD27" s="12"/>
      <c r="AE27" s="14"/>
      <c r="AF27" s="34"/>
      <c r="AG27" s="34"/>
      <c r="AH27" s="34"/>
      <c r="AI27" s="34"/>
      <c r="AJ27" s="34"/>
      <c r="AK27" s="34"/>
      <c r="AL27" s="34"/>
      <c r="AM27" s="34"/>
      <c r="AN27" s="34"/>
      <c r="AO27" s="34"/>
      <c r="AP27" s="34"/>
      <c r="AQ27" s="34"/>
      <c r="AR27" s="34"/>
      <c r="AS27" s="35"/>
      <c r="AU27" s="30"/>
      <c r="AV27" s="31"/>
      <c r="AW27" s="31"/>
      <c r="AX27" s="32"/>
      <c r="AZ27" s="30"/>
      <c r="BA27" s="31"/>
      <c r="BB27" s="31"/>
      <c r="BC27" s="31"/>
      <c r="BD27" s="31"/>
      <c r="BE27" s="31"/>
      <c r="BF27" s="31"/>
      <c r="BG27" s="31"/>
      <c r="BH27" s="31"/>
      <c r="BI27" s="31"/>
      <c r="BJ27" s="31"/>
      <c r="BK27" s="31"/>
      <c r="BL27" s="31"/>
      <c r="BM27" s="31"/>
      <c r="BN27" s="31"/>
      <c r="BO27" s="31"/>
      <c r="BP27" s="32"/>
      <c r="BS27" s="30"/>
      <c r="BT27" s="31"/>
      <c r="BU27" s="31"/>
      <c r="BV27" s="31"/>
      <c r="BW27" s="31"/>
      <c r="BX27" s="31"/>
      <c r="BY27" s="31"/>
      <c r="BZ27" s="31"/>
      <c r="CA27" s="31"/>
      <c r="CB27" s="31"/>
      <c r="CC27" s="32"/>
      <c r="CE27" s="30"/>
      <c r="CF27" s="31"/>
      <c r="CG27" s="31"/>
      <c r="CH27" s="31"/>
      <c r="CI27" s="31"/>
      <c r="CJ27" s="31"/>
      <c r="CK27" s="31"/>
      <c r="CL27" s="31"/>
      <c r="CM27" s="32"/>
    </row>
    <row r="28" ht="12.0" customHeight="1">
      <c r="C28" s="6"/>
      <c r="D28" s="6"/>
      <c r="E28" s="6"/>
      <c r="F28" s="6"/>
      <c r="G28" s="6"/>
      <c r="H28" s="6"/>
      <c r="I28" s="36"/>
      <c r="J28" s="36"/>
      <c r="K28" s="36"/>
      <c r="L28" s="36"/>
      <c r="M28" s="6"/>
      <c r="BS28" s="37"/>
      <c r="BT28" s="37"/>
      <c r="BU28" s="37"/>
      <c r="BV28" s="37"/>
      <c r="BW28" s="37"/>
      <c r="BX28" s="37"/>
      <c r="BY28" s="37"/>
      <c r="BZ28" s="37"/>
      <c r="CA28" s="37"/>
      <c r="CB28" s="37"/>
      <c r="CC28" s="37"/>
    </row>
    <row r="29" ht="12.0" customHeight="1">
      <c r="C29" s="6"/>
      <c r="D29" s="6"/>
      <c r="E29" s="6"/>
      <c r="F29" s="6"/>
      <c r="G29" s="6"/>
      <c r="H29" s="6"/>
      <c r="I29" s="36"/>
      <c r="J29" s="36"/>
      <c r="K29" s="36"/>
      <c r="L29" s="36"/>
      <c r="M29" s="6"/>
      <c r="BS29" s="37"/>
      <c r="BT29" s="37"/>
      <c r="BU29" s="37"/>
      <c r="BV29" s="37"/>
      <c r="BW29" s="37"/>
      <c r="BX29" s="37"/>
      <c r="BY29" s="37"/>
      <c r="BZ29" s="37"/>
      <c r="CA29" s="37"/>
      <c r="CB29" s="37"/>
      <c r="CC29" s="37"/>
    </row>
    <row r="30" ht="12.0" customHeight="1">
      <c r="C30" s="16" t="s">
        <v>15</v>
      </c>
      <c r="D30" s="17"/>
      <c r="E30" s="17"/>
      <c r="F30" s="17"/>
      <c r="G30" s="18"/>
      <c r="H30" s="19"/>
      <c r="I30" s="20">
        <v>0.4791666666666667</v>
      </c>
      <c r="J30" s="17"/>
      <c r="K30" s="17"/>
      <c r="L30" s="18"/>
      <c r="M30" s="19"/>
      <c r="N30" s="21" t="str">
        <f t="array" ref="N30">xlookup(P30,qualdata!$N$2:$N$17,qualdata!$O$2:$O$17,"")</f>
        <v/>
      </c>
      <c r="O30" s="22"/>
      <c r="P30" s="23" t="str">
        <f>'Contender Schedule'!V23</f>
        <v/>
      </c>
      <c r="Q30" s="22"/>
      <c r="R30" s="22"/>
      <c r="S30" s="22"/>
      <c r="T30" s="22"/>
      <c r="U30" s="22"/>
      <c r="V30" s="22"/>
      <c r="W30" s="22"/>
      <c r="X30" s="22"/>
      <c r="Y30" s="22"/>
      <c r="Z30" s="22"/>
      <c r="AA30" s="22"/>
      <c r="AB30" s="24" t="str">
        <f>'Contender Schedule'!AH23</f>
        <v/>
      </c>
      <c r="AC30" s="9"/>
      <c r="AD30" s="24" t="str">
        <f>'Contender Schedule'!AJ23</f>
        <v/>
      </c>
      <c r="AE30" s="9"/>
      <c r="AF30" s="23" t="str">
        <f>'Contender Schedule'!AL23</f>
        <v/>
      </c>
      <c r="AG30" s="22"/>
      <c r="AH30" s="22"/>
      <c r="AI30" s="22"/>
      <c r="AJ30" s="22"/>
      <c r="AK30" s="22"/>
      <c r="AL30" s="22"/>
      <c r="AM30" s="22"/>
      <c r="AN30" s="22"/>
      <c r="AO30" s="22"/>
      <c r="AP30" s="22"/>
      <c r="AQ30" s="22"/>
      <c r="AR30" s="25" t="str">
        <f t="array" ref="AR30">xlookup(AF30,qualdata!$N$2:$N$17,qualdata!$O$2:$O$17,"")</f>
        <v/>
      </c>
      <c r="AS30" s="26"/>
      <c r="AU30" s="27" t="s">
        <v>11</v>
      </c>
      <c r="AV30" s="17"/>
      <c r="AW30" s="17"/>
      <c r="AX30" s="18"/>
      <c r="AZ30" s="27" t="s">
        <v>16</v>
      </c>
      <c r="BA30" s="17"/>
      <c r="BB30" s="17"/>
      <c r="BC30" s="17"/>
      <c r="BD30" s="17"/>
      <c r="BE30" s="17"/>
      <c r="BF30" s="17"/>
      <c r="BG30" s="17"/>
      <c r="BH30" s="17"/>
      <c r="BI30" s="17"/>
      <c r="BJ30" s="17"/>
      <c r="BK30" s="17"/>
      <c r="BL30" s="17"/>
      <c r="BM30" s="17"/>
      <c r="BN30" s="17"/>
      <c r="BO30" s="17"/>
      <c r="BP30" s="18"/>
      <c r="BS30" s="38" t="s">
        <v>13</v>
      </c>
      <c r="BT30" s="17"/>
      <c r="BU30" s="17"/>
      <c r="BV30" s="17"/>
      <c r="BW30" s="17"/>
      <c r="BX30" s="17"/>
      <c r="BY30" s="17"/>
      <c r="BZ30" s="17"/>
      <c r="CA30" s="17"/>
      <c r="CB30" s="17"/>
      <c r="CC30" s="18"/>
      <c r="CD30" s="37"/>
      <c r="CE30" s="29" t="s">
        <v>14</v>
      </c>
      <c r="CF30" s="17"/>
      <c r="CG30" s="17"/>
      <c r="CH30" s="17"/>
      <c r="CI30" s="17"/>
      <c r="CJ30" s="17"/>
      <c r="CK30" s="17"/>
      <c r="CL30" s="17"/>
      <c r="CM30" s="18"/>
    </row>
    <row r="31" ht="12.0" customHeight="1">
      <c r="C31" s="30"/>
      <c r="D31" s="31"/>
      <c r="E31" s="31"/>
      <c r="F31" s="31"/>
      <c r="G31" s="32"/>
      <c r="H31" s="19"/>
      <c r="I31" s="30"/>
      <c r="J31" s="31"/>
      <c r="K31" s="31"/>
      <c r="L31" s="32"/>
      <c r="M31" s="19"/>
      <c r="N31" s="33"/>
      <c r="O31" s="34"/>
      <c r="P31" s="34"/>
      <c r="Q31" s="34"/>
      <c r="R31" s="34"/>
      <c r="S31" s="34"/>
      <c r="T31" s="34"/>
      <c r="U31" s="34"/>
      <c r="V31" s="34"/>
      <c r="W31" s="34"/>
      <c r="X31" s="34"/>
      <c r="Y31" s="34"/>
      <c r="Z31" s="34"/>
      <c r="AA31" s="34"/>
      <c r="AB31" s="12"/>
      <c r="AC31" s="14"/>
      <c r="AD31" s="12"/>
      <c r="AE31" s="14"/>
      <c r="AF31" s="34"/>
      <c r="AG31" s="34"/>
      <c r="AH31" s="34"/>
      <c r="AI31" s="34"/>
      <c r="AJ31" s="34"/>
      <c r="AK31" s="34"/>
      <c r="AL31" s="34"/>
      <c r="AM31" s="34"/>
      <c r="AN31" s="34"/>
      <c r="AO31" s="34"/>
      <c r="AP31" s="34"/>
      <c r="AQ31" s="34"/>
      <c r="AR31" s="34"/>
      <c r="AS31" s="35"/>
      <c r="AU31" s="30"/>
      <c r="AV31" s="31"/>
      <c r="AW31" s="31"/>
      <c r="AX31" s="32"/>
      <c r="AZ31" s="30"/>
      <c r="BA31" s="31"/>
      <c r="BB31" s="31"/>
      <c r="BC31" s="31"/>
      <c r="BD31" s="31"/>
      <c r="BE31" s="31"/>
      <c r="BF31" s="31"/>
      <c r="BG31" s="31"/>
      <c r="BH31" s="31"/>
      <c r="BI31" s="31"/>
      <c r="BJ31" s="31"/>
      <c r="BK31" s="31"/>
      <c r="BL31" s="31"/>
      <c r="BM31" s="31"/>
      <c r="BN31" s="31"/>
      <c r="BO31" s="31"/>
      <c r="BP31" s="32"/>
      <c r="BS31" s="30"/>
      <c r="BT31" s="31"/>
      <c r="BU31" s="31"/>
      <c r="BV31" s="31"/>
      <c r="BW31" s="31"/>
      <c r="BX31" s="31"/>
      <c r="BY31" s="31"/>
      <c r="BZ31" s="31"/>
      <c r="CA31" s="31"/>
      <c r="CB31" s="31"/>
      <c r="CC31" s="32"/>
      <c r="CD31" s="37"/>
      <c r="CE31" s="30"/>
      <c r="CF31" s="31"/>
      <c r="CG31" s="31"/>
      <c r="CH31" s="31"/>
      <c r="CI31" s="31"/>
      <c r="CJ31" s="31"/>
      <c r="CK31" s="31"/>
      <c r="CL31" s="31"/>
      <c r="CM31" s="32"/>
    </row>
    <row r="32" ht="12.0" customHeight="1">
      <c r="C32" s="16" t="s">
        <v>15</v>
      </c>
      <c r="D32" s="17"/>
      <c r="E32" s="17"/>
      <c r="F32" s="17"/>
      <c r="G32" s="18"/>
      <c r="H32" s="19"/>
      <c r="I32" s="20">
        <v>0.6041666666666666</v>
      </c>
      <c r="J32" s="17"/>
      <c r="K32" s="17"/>
      <c r="L32" s="18"/>
      <c r="M32" s="19"/>
      <c r="N32" s="21" t="str">
        <f t="array" ref="N32">xlookup(P32,qualdata!$N$2:$N$17,qualdata!$O$2:$O$17,"")</f>
        <v/>
      </c>
      <c r="O32" s="22"/>
      <c r="P32" s="23" t="str">
        <f>'Contender Schedule'!V25</f>
        <v/>
      </c>
      <c r="Q32" s="22"/>
      <c r="R32" s="22"/>
      <c r="S32" s="22"/>
      <c r="T32" s="22"/>
      <c r="U32" s="22"/>
      <c r="V32" s="22"/>
      <c r="W32" s="22"/>
      <c r="X32" s="22"/>
      <c r="Y32" s="22"/>
      <c r="Z32" s="22"/>
      <c r="AA32" s="22"/>
      <c r="AB32" s="24" t="str">
        <f>'Contender Schedule'!AH25</f>
        <v/>
      </c>
      <c r="AC32" s="9"/>
      <c r="AD32" s="24" t="str">
        <f>'Contender Schedule'!AJ25</f>
        <v/>
      </c>
      <c r="AE32" s="9"/>
      <c r="AF32" s="23" t="str">
        <f>'Contender Schedule'!AL25</f>
        <v/>
      </c>
      <c r="AG32" s="22"/>
      <c r="AH32" s="22"/>
      <c r="AI32" s="22"/>
      <c r="AJ32" s="22"/>
      <c r="AK32" s="22"/>
      <c r="AL32" s="22"/>
      <c r="AM32" s="22"/>
      <c r="AN32" s="22"/>
      <c r="AO32" s="22"/>
      <c r="AP32" s="22"/>
      <c r="AQ32" s="22"/>
      <c r="AR32" s="25" t="str">
        <f t="array" ref="AR32">xlookup(AF32,qualdata!$N$2:$N$17,qualdata!$O$2:$O$17,"")</f>
        <v/>
      </c>
      <c r="AS32" s="26"/>
      <c r="AU32" s="27" t="s">
        <v>11</v>
      </c>
      <c r="AV32" s="17"/>
      <c r="AW32" s="17"/>
      <c r="AX32" s="18"/>
      <c r="AZ32" s="27" t="s">
        <v>16</v>
      </c>
      <c r="BA32" s="17"/>
      <c r="BB32" s="17"/>
      <c r="BC32" s="17"/>
      <c r="BD32" s="17"/>
      <c r="BE32" s="17"/>
      <c r="BF32" s="17"/>
      <c r="BG32" s="17"/>
      <c r="BH32" s="17"/>
      <c r="BI32" s="17"/>
      <c r="BJ32" s="17"/>
      <c r="BK32" s="17"/>
      <c r="BL32" s="17"/>
      <c r="BM32" s="17"/>
      <c r="BN32" s="17"/>
      <c r="BO32" s="17"/>
      <c r="BP32" s="18"/>
      <c r="BS32" s="38" t="s">
        <v>13</v>
      </c>
      <c r="BT32" s="17"/>
      <c r="BU32" s="17"/>
      <c r="BV32" s="17"/>
      <c r="BW32" s="17"/>
      <c r="BX32" s="17"/>
      <c r="BY32" s="17"/>
      <c r="BZ32" s="17"/>
      <c r="CA32" s="17"/>
      <c r="CB32" s="17"/>
      <c r="CC32" s="18"/>
      <c r="CD32" s="37"/>
      <c r="CE32" s="29" t="s">
        <v>14</v>
      </c>
      <c r="CF32" s="17"/>
      <c r="CG32" s="17"/>
      <c r="CH32" s="17"/>
      <c r="CI32" s="17"/>
      <c r="CJ32" s="17"/>
      <c r="CK32" s="17"/>
      <c r="CL32" s="17"/>
      <c r="CM32" s="18"/>
    </row>
    <row r="33" ht="12.0" customHeight="1">
      <c r="C33" s="30"/>
      <c r="D33" s="31"/>
      <c r="E33" s="31"/>
      <c r="F33" s="31"/>
      <c r="G33" s="32"/>
      <c r="H33" s="19"/>
      <c r="I33" s="30"/>
      <c r="J33" s="31"/>
      <c r="K33" s="31"/>
      <c r="L33" s="32"/>
      <c r="M33" s="19"/>
      <c r="N33" s="33"/>
      <c r="O33" s="34"/>
      <c r="P33" s="34"/>
      <c r="Q33" s="34"/>
      <c r="R33" s="34"/>
      <c r="S33" s="34"/>
      <c r="T33" s="34"/>
      <c r="U33" s="34"/>
      <c r="V33" s="34"/>
      <c r="W33" s="34"/>
      <c r="X33" s="34"/>
      <c r="Y33" s="34"/>
      <c r="Z33" s="34"/>
      <c r="AA33" s="34"/>
      <c r="AB33" s="12"/>
      <c r="AC33" s="14"/>
      <c r="AD33" s="12"/>
      <c r="AE33" s="14"/>
      <c r="AF33" s="34"/>
      <c r="AG33" s="34"/>
      <c r="AH33" s="34"/>
      <c r="AI33" s="34"/>
      <c r="AJ33" s="34"/>
      <c r="AK33" s="34"/>
      <c r="AL33" s="34"/>
      <c r="AM33" s="34"/>
      <c r="AN33" s="34"/>
      <c r="AO33" s="34"/>
      <c r="AP33" s="34"/>
      <c r="AQ33" s="34"/>
      <c r="AR33" s="34"/>
      <c r="AS33" s="35"/>
      <c r="AU33" s="30"/>
      <c r="AV33" s="31"/>
      <c r="AW33" s="31"/>
      <c r="AX33" s="32"/>
      <c r="AZ33" s="30"/>
      <c r="BA33" s="31"/>
      <c r="BB33" s="31"/>
      <c r="BC33" s="31"/>
      <c r="BD33" s="31"/>
      <c r="BE33" s="31"/>
      <c r="BF33" s="31"/>
      <c r="BG33" s="31"/>
      <c r="BH33" s="31"/>
      <c r="BI33" s="31"/>
      <c r="BJ33" s="31"/>
      <c r="BK33" s="31"/>
      <c r="BL33" s="31"/>
      <c r="BM33" s="31"/>
      <c r="BN33" s="31"/>
      <c r="BO33" s="31"/>
      <c r="BP33" s="32"/>
      <c r="BS33" s="30"/>
      <c r="BT33" s="31"/>
      <c r="BU33" s="31"/>
      <c r="BV33" s="31"/>
      <c r="BW33" s="31"/>
      <c r="BX33" s="31"/>
      <c r="BY33" s="31"/>
      <c r="BZ33" s="31"/>
      <c r="CA33" s="31"/>
      <c r="CB33" s="31"/>
      <c r="CC33" s="32"/>
      <c r="CD33" s="37"/>
      <c r="CE33" s="30"/>
      <c r="CF33" s="31"/>
      <c r="CG33" s="31"/>
      <c r="CH33" s="31"/>
      <c r="CI33" s="31"/>
      <c r="CJ33" s="31"/>
      <c r="CK33" s="31"/>
      <c r="CL33" s="31"/>
      <c r="CM33" s="32"/>
    </row>
    <row r="34" ht="12.0" customHeight="1">
      <c r="C34" s="16" t="s">
        <v>15</v>
      </c>
      <c r="D34" s="17"/>
      <c r="E34" s="17"/>
      <c r="F34" s="17"/>
      <c r="G34" s="18"/>
      <c r="H34" s="19"/>
      <c r="I34" s="20">
        <v>0.7291666666666666</v>
      </c>
      <c r="J34" s="17"/>
      <c r="K34" s="17"/>
      <c r="L34" s="18"/>
      <c r="M34" s="19"/>
      <c r="N34" s="21" t="str">
        <f t="array" ref="N34">xlookup(P34,qualdata!$N$2:$N$17,qualdata!$O$2:$O$17,"")</f>
        <v/>
      </c>
      <c r="O34" s="22"/>
      <c r="P34" s="23" t="str">
        <f>'Contender Schedule'!V27</f>
        <v/>
      </c>
      <c r="Q34" s="22"/>
      <c r="R34" s="22"/>
      <c r="S34" s="22"/>
      <c r="T34" s="22"/>
      <c r="U34" s="22"/>
      <c r="V34" s="22"/>
      <c r="W34" s="22"/>
      <c r="X34" s="22"/>
      <c r="Y34" s="22"/>
      <c r="Z34" s="22"/>
      <c r="AA34" s="22"/>
      <c r="AB34" s="24" t="str">
        <f>'Contender Schedule'!AH27</f>
        <v/>
      </c>
      <c r="AC34" s="9"/>
      <c r="AD34" s="24" t="str">
        <f>'Contender Schedule'!AJ27</f>
        <v/>
      </c>
      <c r="AE34" s="9"/>
      <c r="AF34" s="23" t="str">
        <f>'Contender Schedule'!AL27</f>
        <v/>
      </c>
      <c r="AG34" s="22"/>
      <c r="AH34" s="22"/>
      <c r="AI34" s="22"/>
      <c r="AJ34" s="22"/>
      <c r="AK34" s="22"/>
      <c r="AL34" s="22"/>
      <c r="AM34" s="22"/>
      <c r="AN34" s="22"/>
      <c r="AO34" s="22"/>
      <c r="AP34" s="22"/>
      <c r="AQ34" s="22"/>
      <c r="AR34" s="25" t="str">
        <f t="array" ref="AR34">xlookup(AF34,qualdata!$N$2:$N$17,qualdata!$O$2:$O$17,"")</f>
        <v/>
      </c>
      <c r="AS34" s="26"/>
      <c r="AU34" s="27" t="s">
        <v>11</v>
      </c>
      <c r="AV34" s="17"/>
      <c r="AW34" s="17"/>
      <c r="AX34" s="18"/>
      <c r="AZ34" s="27" t="s">
        <v>16</v>
      </c>
      <c r="BA34" s="17"/>
      <c r="BB34" s="17"/>
      <c r="BC34" s="17"/>
      <c r="BD34" s="17"/>
      <c r="BE34" s="17"/>
      <c r="BF34" s="17"/>
      <c r="BG34" s="17"/>
      <c r="BH34" s="17"/>
      <c r="BI34" s="17"/>
      <c r="BJ34" s="17"/>
      <c r="BK34" s="17"/>
      <c r="BL34" s="17"/>
      <c r="BM34" s="17"/>
      <c r="BN34" s="17"/>
      <c r="BO34" s="17"/>
      <c r="BP34" s="18"/>
      <c r="BS34" s="38" t="s">
        <v>13</v>
      </c>
      <c r="BT34" s="17"/>
      <c r="BU34" s="17"/>
      <c r="BV34" s="17"/>
      <c r="BW34" s="17"/>
      <c r="BX34" s="17"/>
      <c r="BY34" s="17"/>
      <c r="BZ34" s="17"/>
      <c r="CA34" s="17"/>
      <c r="CB34" s="17"/>
      <c r="CC34" s="18"/>
      <c r="CD34" s="37"/>
      <c r="CE34" s="29" t="s">
        <v>14</v>
      </c>
      <c r="CF34" s="17"/>
      <c r="CG34" s="17"/>
      <c r="CH34" s="17"/>
      <c r="CI34" s="17"/>
      <c r="CJ34" s="17"/>
      <c r="CK34" s="17"/>
      <c r="CL34" s="17"/>
      <c r="CM34" s="18"/>
    </row>
    <row r="35" ht="12.0" customHeight="1">
      <c r="C35" s="30"/>
      <c r="D35" s="31"/>
      <c r="E35" s="31"/>
      <c r="F35" s="31"/>
      <c r="G35" s="32"/>
      <c r="H35" s="19"/>
      <c r="I35" s="30"/>
      <c r="J35" s="31"/>
      <c r="K35" s="31"/>
      <c r="L35" s="32"/>
      <c r="M35" s="19"/>
      <c r="N35" s="33"/>
      <c r="O35" s="34"/>
      <c r="P35" s="34"/>
      <c r="Q35" s="34"/>
      <c r="R35" s="34"/>
      <c r="S35" s="34"/>
      <c r="T35" s="34"/>
      <c r="U35" s="34"/>
      <c r="V35" s="34"/>
      <c r="W35" s="34"/>
      <c r="X35" s="34"/>
      <c r="Y35" s="34"/>
      <c r="Z35" s="34"/>
      <c r="AA35" s="34"/>
      <c r="AB35" s="12"/>
      <c r="AC35" s="14"/>
      <c r="AD35" s="12"/>
      <c r="AE35" s="14"/>
      <c r="AF35" s="34"/>
      <c r="AG35" s="34"/>
      <c r="AH35" s="34"/>
      <c r="AI35" s="34"/>
      <c r="AJ35" s="34"/>
      <c r="AK35" s="34"/>
      <c r="AL35" s="34"/>
      <c r="AM35" s="34"/>
      <c r="AN35" s="34"/>
      <c r="AO35" s="34"/>
      <c r="AP35" s="34"/>
      <c r="AQ35" s="34"/>
      <c r="AR35" s="34"/>
      <c r="AS35" s="35"/>
      <c r="AU35" s="30"/>
      <c r="AV35" s="31"/>
      <c r="AW35" s="31"/>
      <c r="AX35" s="32"/>
      <c r="AZ35" s="30"/>
      <c r="BA35" s="31"/>
      <c r="BB35" s="31"/>
      <c r="BC35" s="31"/>
      <c r="BD35" s="31"/>
      <c r="BE35" s="31"/>
      <c r="BF35" s="31"/>
      <c r="BG35" s="31"/>
      <c r="BH35" s="31"/>
      <c r="BI35" s="31"/>
      <c r="BJ35" s="31"/>
      <c r="BK35" s="31"/>
      <c r="BL35" s="31"/>
      <c r="BM35" s="31"/>
      <c r="BN35" s="31"/>
      <c r="BO35" s="31"/>
      <c r="BP35" s="32"/>
      <c r="BS35" s="30"/>
      <c r="BT35" s="31"/>
      <c r="BU35" s="31"/>
      <c r="BV35" s="31"/>
      <c r="BW35" s="31"/>
      <c r="BX35" s="31"/>
      <c r="BY35" s="31"/>
      <c r="BZ35" s="31"/>
      <c r="CA35" s="31"/>
      <c r="CB35" s="31"/>
      <c r="CC35" s="32"/>
      <c r="CD35" s="37"/>
      <c r="CE35" s="30"/>
      <c r="CF35" s="31"/>
      <c r="CG35" s="31"/>
      <c r="CH35" s="31"/>
      <c r="CI35" s="31"/>
      <c r="CJ35" s="31"/>
      <c r="CK35" s="31"/>
      <c r="CL35" s="31"/>
      <c r="CM35" s="32"/>
    </row>
    <row r="36" ht="12.0" customHeight="1">
      <c r="C36" s="16" t="s">
        <v>15</v>
      </c>
      <c r="D36" s="17"/>
      <c r="E36" s="17"/>
      <c r="F36" s="17"/>
      <c r="G36" s="18"/>
      <c r="H36" s="19"/>
      <c r="I36" s="20">
        <v>0.8541666666666666</v>
      </c>
      <c r="J36" s="17"/>
      <c r="K36" s="17"/>
      <c r="L36" s="18"/>
      <c r="M36" s="19"/>
      <c r="N36" s="21" t="str">
        <f t="array" ref="N36">xlookup(P36,qualdata!$N$2:$N$17,qualdata!$O$2:$O$17,"")</f>
        <v/>
      </c>
      <c r="O36" s="22"/>
      <c r="P36" s="23" t="str">
        <f>'Contender Schedule'!V29</f>
        <v/>
      </c>
      <c r="Q36" s="22"/>
      <c r="R36" s="22"/>
      <c r="S36" s="22"/>
      <c r="T36" s="22"/>
      <c r="U36" s="22"/>
      <c r="V36" s="22"/>
      <c r="W36" s="22"/>
      <c r="X36" s="22"/>
      <c r="Y36" s="22"/>
      <c r="Z36" s="22"/>
      <c r="AA36" s="22"/>
      <c r="AB36" s="24" t="str">
        <f>'Contender Schedule'!AH29</f>
        <v/>
      </c>
      <c r="AC36" s="9"/>
      <c r="AD36" s="24" t="str">
        <f>'Contender Schedule'!AJ29</f>
        <v/>
      </c>
      <c r="AE36" s="9"/>
      <c r="AF36" s="23" t="str">
        <f>'Contender Schedule'!AL29</f>
        <v/>
      </c>
      <c r="AG36" s="22"/>
      <c r="AH36" s="22"/>
      <c r="AI36" s="22"/>
      <c r="AJ36" s="22"/>
      <c r="AK36" s="22"/>
      <c r="AL36" s="22"/>
      <c r="AM36" s="22"/>
      <c r="AN36" s="22"/>
      <c r="AO36" s="22"/>
      <c r="AP36" s="22"/>
      <c r="AQ36" s="22"/>
      <c r="AR36" s="25" t="str">
        <f t="array" ref="AR36">xlookup(AF36,qualdata!$N$2:$N$17,qualdata!$O$2:$O$17,"")</f>
        <v/>
      </c>
      <c r="AS36" s="26"/>
      <c r="AU36" s="27" t="s">
        <v>11</v>
      </c>
      <c r="AV36" s="17"/>
      <c r="AW36" s="17"/>
      <c r="AX36" s="18"/>
      <c r="AZ36" s="27" t="s">
        <v>16</v>
      </c>
      <c r="BA36" s="17"/>
      <c r="BB36" s="17"/>
      <c r="BC36" s="17"/>
      <c r="BD36" s="17"/>
      <c r="BE36" s="17"/>
      <c r="BF36" s="17"/>
      <c r="BG36" s="17"/>
      <c r="BH36" s="17"/>
      <c r="BI36" s="17"/>
      <c r="BJ36" s="17"/>
      <c r="BK36" s="17"/>
      <c r="BL36" s="17"/>
      <c r="BM36" s="17"/>
      <c r="BN36" s="17"/>
      <c r="BO36" s="17"/>
      <c r="BP36" s="18"/>
      <c r="BS36" s="38" t="s">
        <v>13</v>
      </c>
      <c r="BT36" s="17"/>
      <c r="BU36" s="17"/>
      <c r="BV36" s="17"/>
      <c r="BW36" s="17"/>
      <c r="BX36" s="17"/>
      <c r="BY36" s="17"/>
      <c r="BZ36" s="17"/>
      <c r="CA36" s="17"/>
      <c r="CB36" s="17"/>
      <c r="CC36" s="18"/>
      <c r="CD36" s="37"/>
      <c r="CE36" s="29" t="s">
        <v>14</v>
      </c>
      <c r="CF36" s="17"/>
      <c r="CG36" s="17"/>
      <c r="CH36" s="17"/>
      <c r="CI36" s="17"/>
      <c r="CJ36" s="17"/>
      <c r="CK36" s="17"/>
      <c r="CL36" s="17"/>
      <c r="CM36" s="18"/>
    </row>
    <row r="37" ht="12.0" customHeight="1">
      <c r="C37" s="30"/>
      <c r="D37" s="31"/>
      <c r="E37" s="31"/>
      <c r="F37" s="31"/>
      <c r="G37" s="32"/>
      <c r="H37" s="19"/>
      <c r="I37" s="30"/>
      <c r="J37" s="31"/>
      <c r="K37" s="31"/>
      <c r="L37" s="32"/>
      <c r="M37" s="19"/>
      <c r="N37" s="33"/>
      <c r="O37" s="34"/>
      <c r="P37" s="34"/>
      <c r="Q37" s="34"/>
      <c r="R37" s="34"/>
      <c r="S37" s="34"/>
      <c r="T37" s="34"/>
      <c r="U37" s="34"/>
      <c r="V37" s="34"/>
      <c r="W37" s="34"/>
      <c r="X37" s="34"/>
      <c r="Y37" s="34"/>
      <c r="Z37" s="34"/>
      <c r="AA37" s="34"/>
      <c r="AB37" s="12"/>
      <c r="AC37" s="14"/>
      <c r="AD37" s="12"/>
      <c r="AE37" s="14"/>
      <c r="AF37" s="34"/>
      <c r="AG37" s="34"/>
      <c r="AH37" s="34"/>
      <c r="AI37" s="34"/>
      <c r="AJ37" s="34"/>
      <c r="AK37" s="34"/>
      <c r="AL37" s="34"/>
      <c r="AM37" s="34"/>
      <c r="AN37" s="34"/>
      <c r="AO37" s="34"/>
      <c r="AP37" s="34"/>
      <c r="AQ37" s="34"/>
      <c r="AR37" s="34"/>
      <c r="AS37" s="35"/>
      <c r="AU37" s="30"/>
      <c r="AV37" s="31"/>
      <c r="AW37" s="31"/>
      <c r="AX37" s="32"/>
      <c r="AZ37" s="30"/>
      <c r="BA37" s="31"/>
      <c r="BB37" s="31"/>
      <c r="BC37" s="31"/>
      <c r="BD37" s="31"/>
      <c r="BE37" s="31"/>
      <c r="BF37" s="31"/>
      <c r="BG37" s="31"/>
      <c r="BH37" s="31"/>
      <c r="BI37" s="31"/>
      <c r="BJ37" s="31"/>
      <c r="BK37" s="31"/>
      <c r="BL37" s="31"/>
      <c r="BM37" s="31"/>
      <c r="BN37" s="31"/>
      <c r="BO37" s="31"/>
      <c r="BP37" s="32"/>
      <c r="BS37" s="30"/>
      <c r="BT37" s="31"/>
      <c r="BU37" s="31"/>
      <c r="BV37" s="31"/>
      <c r="BW37" s="31"/>
      <c r="BX37" s="31"/>
      <c r="BY37" s="31"/>
      <c r="BZ37" s="31"/>
      <c r="CA37" s="31"/>
      <c r="CB37" s="31"/>
      <c r="CC37" s="32"/>
      <c r="CD37" s="37"/>
      <c r="CE37" s="30"/>
      <c r="CF37" s="31"/>
      <c r="CG37" s="31"/>
      <c r="CH37" s="31"/>
      <c r="CI37" s="31"/>
      <c r="CJ37" s="31"/>
      <c r="CK37" s="31"/>
      <c r="CL37" s="31"/>
      <c r="CM37" s="32"/>
    </row>
    <row r="38" ht="12.0" customHeight="1">
      <c r="C38" s="19"/>
      <c r="D38" s="19"/>
      <c r="E38" s="19"/>
      <c r="F38" s="19"/>
      <c r="G38" s="19"/>
      <c r="H38" s="19"/>
      <c r="I38" s="36"/>
      <c r="J38" s="36"/>
      <c r="K38" s="36"/>
      <c r="L38" s="36"/>
      <c r="M38" s="19"/>
      <c r="N38" s="39"/>
      <c r="O38" s="39"/>
      <c r="P38" s="40"/>
      <c r="Q38" s="40"/>
      <c r="R38" s="40"/>
      <c r="S38" s="40"/>
      <c r="T38" s="40"/>
      <c r="U38" s="40"/>
      <c r="V38" s="40"/>
      <c r="W38" s="40"/>
      <c r="X38" s="40"/>
      <c r="Y38" s="40"/>
      <c r="Z38" s="40"/>
      <c r="AA38" s="41"/>
      <c r="AB38" s="41"/>
      <c r="AC38" s="41"/>
      <c r="AD38" s="41"/>
      <c r="AE38" s="41"/>
      <c r="AF38" s="41"/>
      <c r="AG38" s="40"/>
      <c r="AH38" s="40"/>
      <c r="AI38" s="40"/>
      <c r="AJ38" s="40"/>
      <c r="AK38" s="40"/>
      <c r="AL38" s="40"/>
      <c r="AM38" s="40"/>
      <c r="AN38" s="40"/>
      <c r="AO38" s="40"/>
      <c r="AP38" s="40"/>
      <c r="AQ38" s="40"/>
      <c r="AR38" s="42"/>
      <c r="AS38" s="42"/>
      <c r="AU38" s="43"/>
      <c r="AV38" s="43"/>
      <c r="AW38" s="43"/>
      <c r="AX38" s="43"/>
      <c r="AZ38" s="43"/>
      <c r="BA38" s="43"/>
      <c r="BB38" s="43"/>
      <c r="BC38" s="43"/>
      <c r="BD38" s="43"/>
      <c r="BE38" s="43"/>
      <c r="BF38" s="43"/>
      <c r="BG38" s="43"/>
      <c r="BH38" s="43"/>
      <c r="BI38" s="43"/>
      <c r="BJ38" s="43"/>
      <c r="BK38" s="43"/>
      <c r="BL38" s="43"/>
      <c r="BM38" s="43"/>
      <c r="BN38" s="43"/>
      <c r="BO38" s="43"/>
      <c r="BP38" s="43"/>
      <c r="BS38" s="44"/>
      <c r="BT38" s="44"/>
      <c r="BU38" s="44"/>
      <c r="BV38" s="44"/>
      <c r="BW38" s="44"/>
      <c r="BX38" s="44"/>
      <c r="BY38" s="44"/>
      <c r="BZ38" s="44"/>
      <c r="CA38" s="44"/>
      <c r="CB38" s="44"/>
      <c r="CC38" s="44"/>
      <c r="CE38" s="45"/>
      <c r="CF38" s="45"/>
      <c r="CG38" s="45"/>
      <c r="CH38" s="45"/>
      <c r="CI38" s="45"/>
      <c r="CJ38" s="45"/>
      <c r="CK38" s="45"/>
      <c r="CL38" s="45"/>
      <c r="CM38" s="45"/>
    </row>
    <row r="39" ht="12.0" customHeight="1">
      <c r="C39" s="16">
        <v>23.07</v>
      </c>
      <c r="D39" s="17"/>
      <c r="E39" s="17"/>
      <c r="F39" s="17"/>
      <c r="G39" s="18"/>
      <c r="H39" s="19"/>
      <c r="I39" s="20">
        <v>0.4791666666666667</v>
      </c>
      <c r="J39" s="17"/>
      <c r="K39" s="17"/>
      <c r="L39" s="18"/>
      <c r="M39" s="19"/>
      <c r="N39" s="21" t="str">
        <f t="array" ref="N39">xlookup(P39,qualdata!$N$2:$N$17,qualdata!$O$2:$O$17,"")</f>
        <v/>
      </c>
      <c r="O39" s="22"/>
      <c r="P39" s="23" t="str">
        <f>'Contender Schedule'!V32</f>
        <v/>
      </c>
      <c r="Q39" s="22"/>
      <c r="R39" s="22"/>
      <c r="S39" s="22"/>
      <c r="T39" s="22"/>
      <c r="U39" s="22"/>
      <c r="V39" s="22"/>
      <c r="W39" s="22"/>
      <c r="X39" s="22"/>
      <c r="Y39" s="22"/>
      <c r="Z39" s="22"/>
      <c r="AA39" s="22"/>
      <c r="AB39" s="24" t="str">
        <f>'Contender Schedule'!AH32</f>
        <v/>
      </c>
      <c r="AC39" s="9"/>
      <c r="AD39" s="24" t="str">
        <f>'Contender Schedule'!AJ32</f>
        <v/>
      </c>
      <c r="AE39" s="9"/>
      <c r="AF39" s="41" t="str">
        <f>'Contender Schedule'!AL32</f>
        <v/>
      </c>
      <c r="AR39" s="25" t="str">
        <f t="array" ref="AR39">xlookup(AF39,qualdata!$N$2:$N$17,qualdata!$O$2:$O$17,"")</f>
        <v/>
      </c>
      <c r="AS39" s="26"/>
      <c r="AU39" s="27" t="s">
        <v>11</v>
      </c>
      <c r="AV39" s="17"/>
      <c r="AW39" s="17"/>
      <c r="AX39" s="18"/>
      <c r="AZ39" s="27" t="s">
        <v>17</v>
      </c>
      <c r="BA39" s="17"/>
      <c r="BB39" s="17"/>
      <c r="BC39" s="17"/>
      <c r="BD39" s="17"/>
      <c r="BE39" s="17"/>
      <c r="BF39" s="17"/>
      <c r="BG39" s="17"/>
      <c r="BH39" s="17"/>
      <c r="BI39" s="17"/>
      <c r="BJ39" s="17"/>
      <c r="BK39" s="17"/>
      <c r="BL39" s="17"/>
      <c r="BM39" s="17"/>
      <c r="BN39" s="17"/>
      <c r="BO39" s="17"/>
      <c r="BP39" s="18"/>
      <c r="BS39" s="38" t="s">
        <v>13</v>
      </c>
      <c r="BT39" s="17"/>
      <c r="BU39" s="17"/>
      <c r="BV39" s="17"/>
      <c r="BW39" s="17"/>
      <c r="BX39" s="17"/>
      <c r="BY39" s="17"/>
      <c r="BZ39" s="17"/>
      <c r="CA39" s="17"/>
      <c r="CB39" s="17"/>
      <c r="CC39" s="18"/>
      <c r="CD39" s="37"/>
      <c r="CE39" s="29" t="s">
        <v>14</v>
      </c>
      <c r="CF39" s="17"/>
      <c r="CG39" s="17"/>
      <c r="CH39" s="17"/>
      <c r="CI39" s="17"/>
      <c r="CJ39" s="17"/>
      <c r="CK39" s="17"/>
      <c r="CL39" s="17"/>
      <c r="CM39" s="18"/>
    </row>
    <row r="40" ht="12.0" customHeight="1">
      <c r="C40" s="30"/>
      <c r="D40" s="31"/>
      <c r="E40" s="31"/>
      <c r="F40" s="31"/>
      <c r="G40" s="32"/>
      <c r="H40" s="19"/>
      <c r="I40" s="30"/>
      <c r="J40" s="31"/>
      <c r="K40" s="31"/>
      <c r="L40" s="32"/>
      <c r="M40" s="19"/>
      <c r="N40" s="33"/>
      <c r="O40" s="34"/>
      <c r="P40" s="34"/>
      <c r="Q40" s="34"/>
      <c r="R40" s="34"/>
      <c r="S40" s="34"/>
      <c r="T40" s="34"/>
      <c r="U40" s="34"/>
      <c r="V40" s="34"/>
      <c r="W40" s="34"/>
      <c r="X40" s="34"/>
      <c r="Y40" s="34"/>
      <c r="Z40" s="34"/>
      <c r="AA40" s="34"/>
      <c r="AB40" s="12"/>
      <c r="AC40" s="14"/>
      <c r="AD40" s="12"/>
      <c r="AE40" s="14"/>
      <c r="AF40" s="34"/>
      <c r="AG40" s="34"/>
      <c r="AH40" s="34"/>
      <c r="AI40" s="34"/>
      <c r="AJ40" s="34"/>
      <c r="AK40" s="34"/>
      <c r="AL40" s="34"/>
      <c r="AM40" s="34"/>
      <c r="AN40" s="34"/>
      <c r="AO40" s="34"/>
      <c r="AP40" s="34"/>
      <c r="AQ40" s="34"/>
      <c r="AR40" s="34"/>
      <c r="AS40" s="35"/>
      <c r="AU40" s="30"/>
      <c r="AV40" s="31"/>
      <c r="AW40" s="31"/>
      <c r="AX40" s="32"/>
      <c r="AZ40" s="30"/>
      <c r="BA40" s="31"/>
      <c r="BB40" s="31"/>
      <c r="BC40" s="31"/>
      <c r="BD40" s="31"/>
      <c r="BE40" s="31"/>
      <c r="BF40" s="31"/>
      <c r="BG40" s="31"/>
      <c r="BH40" s="31"/>
      <c r="BI40" s="31"/>
      <c r="BJ40" s="31"/>
      <c r="BK40" s="31"/>
      <c r="BL40" s="31"/>
      <c r="BM40" s="31"/>
      <c r="BN40" s="31"/>
      <c r="BO40" s="31"/>
      <c r="BP40" s="32"/>
      <c r="BS40" s="30"/>
      <c r="BT40" s="31"/>
      <c r="BU40" s="31"/>
      <c r="BV40" s="31"/>
      <c r="BW40" s="31"/>
      <c r="BX40" s="31"/>
      <c r="BY40" s="31"/>
      <c r="BZ40" s="31"/>
      <c r="CA40" s="31"/>
      <c r="CB40" s="31"/>
      <c r="CC40" s="32"/>
      <c r="CD40" s="37"/>
      <c r="CE40" s="30"/>
      <c r="CF40" s="31"/>
      <c r="CG40" s="31"/>
      <c r="CH40" s="31"/>
      <c r="CI40" s="31"/>
      <c r="CJ40" s="31"/>
      <c r="CK40" s="31"/>
      <c r="CL40" s="31"/>
      <c r="CM40" s="32"/>
    </row>
    <row r="41" ht="12.0" customHeight="1">
      <c r="C41" s="16">
        <v>23.07</v>
      </c>
      <c r="D41" s="17"/>
      <c r="E41" s="17"/>
      <c r="F41" s="17"/>
      <c r="G41" s="18"/>
      <c r="H41" s="19"/>
      <c r="I41" s="20">
        <v>0.6041666666666666</v>
      </c>
      <c r="J41" s="17"/>
      <c r="K41" s="17"/>
      <c r="L41" s="18"/>
      <c r="M41" s="19"/>
      <c r="N41" s="21" t="str">
        <f t="array" ref="N41">xlookup(P41,qualdata!$N$2:$N$17,qualdata!$O$2:$O$17,"")</f>
        <v/>
      </c>
      <c r="O41" s="22"/>
      <c r="P41" s="23" t="str">
        <f>'Contender Schedule'!V34</f>
        <v/>
      </c>
      <c r="Q41" s="22"/>
      <c r="R41" s="22"/>
      <c r="S41" s="22"/>
      <c r="T41" s="22"/>
      <c r="U41" s="22"/>
      <c r="V41" s="22"/>
      <c r="W41" s="22"/>
      <c r="X41" s="22"/>
      <c r="Y41" s="22"/>
      <c r="Z41" s="22"/>
      <c r="AA41" s="22"/>
      <c r="AB41" s="24" t="str">
        <f>'Contender Schedule'!AH34</f>
        <v/>
      </c>
      <c r="AC41" s="9"/>
      <c r="AD41" s="24" t="str">
        <f>'Contender Schedule'!AJ34</f>
        <v/>
      </c>
      <c r="AE41" s="9"/>
      <c r="AF41" s="23" t="str">
        <f>'Contender Schedule'!AL34</f>
        <v/>
      </c>
      <c r="AG41" s="22"/>
      <c r="AH41" s="22"/>
      <c r="AI41" s="22"/>
      <c r="AJ41" s="22"/>
      <c r="AK41" s="22"/>
      <c r="AL41" s="22"/>
      <c r="AM41" s="22"/>
      <c r="AN41" s="22"/>
      <c r="AO41" s="22"/>
      <c r="AP41" s="22"/>
      <c r="AQ41" s="22"/>
      <c r="AR41" s="25" t="str">
        <f t="array" ref="AR41">xlookup(AF41,qualdata!$N$2:$N$17,qualdata!$O$2:$O$17,"")</f>
        <v/>
      </c>
      <c r="AS41" s="26"/>
      <c r="AU41" s="27" t="s">
        <v>11</v>
      </c>
      <c r="AV41" s="17"/>
      <c r="AW41" s="17"/>
      <c r="AX41" s="18"/>
      <c r="AZ41" s="27" t="s">
        <v>17</v>
      </c>
      <c r="BA41" s="17"/>
      <c r="BB41" s="17"/>
      <c r="BC41" s="17"/>
      <c r="BD41" s="17"/>
      <c r="BE41" s="17"/>
      <c r="BF41" s="17"/>
      <c r="BG41" s="17"/>
      <c r="BH41" s="17"/>
      <c r="BI41" s="17"/>
      <c r="BJ41" s="17"/>
      <c r="BK41" s="17"/>
      <c r="BL41" s="17"/>
      <c r="BM41" s="17"/>
      <c r="BN41" s="17"/>
      <c r="BO41" s="17"/>
      <c r="BP41" s="18"/>
      <c r="BS41" s="38" t="s">
        <v>13</v>
      </c>
      <c r="BT41" s="17"/>
      <c r="BU41" s="17"/>
      <c r="BV41" s="17"/>
      <c r="BW41" s="17"/>
      <c r="BX41" s="17"/>
      <c r="BY41" s="17"/>
      <c r="BZ41" s="17"/>
      <c r="CA41" s="17"/>
      <c r="CB41" s="17"/>
      <c r="CC41" s="18"/>
      <c r="CD41" s="37"/>
      <c r="CE41" s="29" t="s">
        <v>14</v>
      </c>
      <c r="CF41" s="17"/>
      <c r="CG41" s="17"/>
      <c r="CH41" s="17"/>
      <c r="CI41" s="17"/>
      <c r="CJ41" s="17"/>
      <c r="CK41" s="17"/>
      <c r="CL41" s="17"/>
      <c r="CM41" s="18"/>
    </row>
    <row r="42" ht="12.0" customHeight="1">
      <c r="C42" s="30"/>
      <c r="D42" s="31"/>
      <c r="E42" s="31"/>
      <c r="F42" s="31"/>
      <c r="G42" s="32"/>
      <c r="H42" s="19"/>
      <c r="I42" s="30"/>
      <c r="J42" s="31"/>
      <c r="K42" s="31"/>
      <c r="L42" s="32"/>
      <c r="M42" s="19"/>
      <c r="N42" s="33"/>
      <c r="O42" s="34"/>
      <c r="P42" s="34"/>
      <c r="Q42" s="34"/>
      <c r="R42" s="34"/>
      <c r="S42" s="34"/>
      <c r="T42" s="34"/>
      <c r="U42" s="34"/>
      <c r="V42" s="34"/>
      <c r="W42" s="34"/>
      <c r="X42" s="34"/>
      <c r="Y42" s="34"/>
      <c r="Z42" s="34"/>
      <c r="AA42" s="34"/>
      <c r="AB42" s="12"/>
      <c r="AC42" s="14"/>
      <c r="AD42" s="12"/>
      <c r="AE42" s="14"/>
      <c r="AF42" s="34"/>
      <c r="AG42" s="34"/>
      <c r="AH42" s="34"/>
      <c r="AI42" s="34"/>
      <c r="AJ42" s="34"/>
      <c r="AK42" s="34"/>
      <c r="AL42" s="34"/>
      <c r="AM42" s="34"/>
      <c r="AN42" s="34"/>
      <c r="AO42" s="34"/>
      <c r="AP42" s="34"/>
      <c r="AQ42" s="34"/>
      <c r="AR42" s="34"/>
      <c r="AS42" s="35"/>
      <c r="AU42" s="30"/>
      <c r="AV42" s="31"/>
      <c r="AW42" s="31"/>
      <c r="AX42" s="32"/>
      <c r="AZ42" s="30"/>
      <c r="BA42" s="31"/>
      <c r="BB42" s="31"/>
      <c r="BC42" s="31"/>
      <c r="BD42" s="31"/>
      <c r="BE42" s="31"/>
      <c r="BF42" s="31"/>
      <c r="BG42" s="31"/>
      <c r="BH42" s="31"/>
      <c r="BI42" s="31"/>
      <c r="BJ42" s="31"/>
      <c r="BK42" s="31"/>
      <c r="BL42" s="31"/>
      <c r="BM42" s="31"/>
      <c r="BN42" s="31"/>
      <c r="BO42" s="31"/>
      <c r="BP42" s="32"/>
      <c r="BS42" s="30"/>
      <c r="BT42" s="31"/>
      <c r="BU42" s="31"/>
      <c r="BV42" s="31"/>
      <c r="BW42" s="31"/>
      <c r="BX42" s="31"/>
      <c r="BY42" s="31"/>
      <c r="BZ42" s="31"/>
      <c r="CA42" s="31"/>
      <c r="CB42" s="31"/>
      <c r="CC42" s="32"/>
      <c r="CD42" s="37"/>
      <c r="CE42" s="30"/>
      <c r="CF42" s="31"/>
      <c r="CG42" s="31"/>
      <c r="CH42" s="31"/>
      <c r="CI42" s="31"/>
      <c r="CJ42" s="31"/>
      <c r="CK42" s="31"/>
      <c r="CL42" s="31"/>
      <c r="CM42" s="32"/>
    </row>
    <row r="43" ht="12.0" customHeight="1">
      <c r="C43" s="16">
        <v>23.07</v>
      </c>
      <c r="D43" s="17"/>
      <c r="E43" s="17"/>
      <c r="F43" s="17"/>
      <c r="G43" s="18"/>
      <c r="H43" s="19"/>
      <c r="I43" s="20">
        <v>0.7291666666666666</v>
      </c>
      <c r="J43" s="17"/>
      <c r="K43" s="17"/>
      <c r="L43" s="18"/>
      <c r="M43" s="19"/>
      <c r="N43" s="21" t="str">
        <f t="array" ref="N43">xlookup(P43,qualdata!$N$2:$N$17,qualdata!$O$2:$O$17,"")</f>
        <v/>
      </c>
      <c r="O43" s="22"/>
      <c r="P43" s="23" t="str">
        <f>'Contender Schedule'!V36</f>
        <v/>
      </c>
      <c r="Q43" s="22"/>
      <c r="R43" s="22"/>
      <c r="S43" s="22"/>
      <c r="T43" s="22"/>
      <c r="U43" s="22"/>
      <c r="V43" s="22"/>
      <c r="W43" s="22"/>
      <c r="X43" s="22"/>
      <c r="Y43" s="22"/>
      <c r="Z43" s="22"/>
      <c r="AA43" s="22"/>
      <c r="AB43" s="24" t="str">
        <f>'Contender Schedule'!AH36</f>
        <v/>
      </c>
      <c r="AC43" s="9"/>
      <c r="AD43" s="24" t="str">
        <f>'Contender Schedule'!AJ36</f>
        <v/>
      </c>
      <c r="AE43" s="9"/>
      <c r="AF43" s="23" t="str">
        <f>'Contender Schedule'!AL36</f>
        <v/>
      </c>
      <c r="AG43" s="22"/>
      <c r="AH43" s="22"/>
      <c r="AI43" s="22"/>
      <c r="AJ43" s="22"/>
      <c r="AK43" s="22"/>
      <c r="AL43" s="22"/>
      <c r="AM43" s="22"/>
      <c r="AN43" s="22"/>
      <c r="AO43" s="22"/>
      <c r="AP43" s="22"/>
      <c r="AQ43" s="22"/>
      <c r="AR43" s="25" t="str">
        <f t="array" ref="AR43">xlookup(AF43,qualdata!$N$2:$N$17,qualdata!$O$2:$O$17,"")</f>
        <v/>
      </c>
      <c r="AS43" s="26"/>
      <c r="AU43" s="27" t="s">
        <v>11</v>
      </c>
      <c r="AV43" s="17"/>
      <c r="AW43" s="17"/>
      <c r="AX43" s="18"/>
      <c r="AZ43" s="27" t="s">
        <v>17</v>
      </c>
      <c r="BA43" s="17"/>
      <c r="BB43" s="17"/>
      <c r="BC43" s="17"/>
      <c r="BD43" s="17"/>
      <c r="BE43" s="17"/>
      <c r="BF43" s="17"/>
      <c r="BG43" s="17"/>
      <c r="BH43" s="17"/>
      <c r="BI43" s="17"/>
      <c r="BJ43" s="17"/>
      <c r="BK43" s="17"/>
      <c r="BL43" s="17"/>
      <c r="BM43" s="17"/>
      <c r="BN43" s="17"/>
      <c r="BO43" s="17"/>
      <c r="BP43" s="18"/>
      <c r="BS43" s="38" t="s">
        <v>13</v>
      </c>
      <c r="BT43" s="17"/>
      <c r="BU43" s="17"/>
      <c r="BV43" s="17"/>
      <c r="BW43" s="17"/>
      <c r="BX43" s="17"/>
      <c r="BY43" s="17"/>
      <c r="BZ43" s="17"/>
      <c r="CA43" s="17"/>
      <c r="CB43" s="17"/>
      <c r="CC43" s="18"/>
      <c r="CD43" s="37"/>
      <c r="CE43" s="29" t="s">
        <v>14</v>
      </c>
      <c r="CF43" s="17"/>
      <c r="CG43" s="17"/>
      <c r="CH43" s="17"/>
      <c r="CI43" s="17"/>
      <c r="CJ43" s="17"/>
      <c r="CK43" s="17"/>
      <c r="CL43" s="17"/>
      <c r="CM43" s="18"/>
    </row>
    <row r="44" ht="12.0" customHeight="1">
      <c r="C44" s="30"/>
      <c r="D44" s="31"/>
      <c r="E44" s="31"/>
      <c r="F44" s="31"/>
      <c r="G44" s="32"/>
      <c r="H44" s="19"/>
      <c r="I44" s="30"/>
      <c r="J44" s="31"/>
      <c r="K44" s="31"/>
      <c r="L44" s="32"/>
      <c r="M44" s="19"/>
      <c r="N44" s="33"/>
      <c r="O44" s="34"/>
      <c r="P44" s="34"/>
      <c r="Q44" s="34"/>
      <c r="R44" s="34"/>
      <c r="S44" s="34"/>
      <c r="T44" s="34"/>
      <c r="U44" s="34"/>
      <c r="V44" s="34"/>
      <c r="W44" s="34"/>
      <c r="X44" s="34"/>
      <c r="Y44" s="34"/>
      <c r="Z44" s="34"/>
      <c r="AA44" s="34"/>
      <c r="AB44" s="12"/>
      <c r="AC44" s="14"/>
      <c r="AD44" s="12"/>
      <c r="AE44" s="14"/>
      <c r="AF44" s="34"/>
      <c r="AG44" s="34"/>
      <c r="AH44" s="34"/>
      <c r="AI44" s="34"/>
      <c r="AJ44" s="34"/>
      <c r="AK44" s="34"/>
      <c r="AL44" s="34"/>
      <c r="AM44" s="34"/>
      <c r="AN44" s="34"/>
      <c r="AO44" s="34"/>
      <c r="AP44" s="34"/>
      <c r="AQ44" s="34"/>
      <c r="AR44" s="34"/>
      <c r="AS44" s="35"/>
      <c r="AU44" s="30"/>
      <c r="AV44" s="31"/>
      <c r="AW44" s="31"/>
      <c r="AX44" s="32"/>
      <c r="AZ44" s="30"/>
      <c r="BA44" s="31"/>
      <c r="BB44" s="31"/>
      <c r="BC44" s="31"/>
      <c r="BD44" s="31"/>
      <c r="BE44" s="31"/>
      <c r="BF44" s="31"/>
      <c r="BG44" s="31"/>
      <c r="BH44" s="31"/>
      <c r="BI44" s="31"/>
      <c r="BJ44" s="31"/>
      <c r="BK44" s="31"/>
      <c r="BL44" s="31"/>
      <c r="BM44" s="31"/>
      <c r="BN44" s="31"/>
      <c r="BO44" s="31"/>
      <c r="BP44" s="32"/>
      <c r="BS44" s="30"/>
      <c r="BT44" s="31"/>
      <c r="BU44" s="31"/>
      <c r="BV44" s="31"/>
      <c r="BW44" s="31"/>
      <c r="BX44" s="31"/>
      <c r="BY44" s="31"/>
      <c r="BZ44" s="31"/>
      <c r="CA44" s="31"/>
      <c r="CB44" s="31"/>
      <c r="CC44" s="32"/>
      <c r="CD44" s="37"/>
      <c r="CE44" s="30"/>
      <c r="CF44" s="31"/>
      <c r="CG44" s="31"/>
      <c r="CH44" s="31"/>
      <c r="CI44" s="31"/>
      <c r="CJ44" s="31"/>
      <c r="CK44" s="31"/>
      <c r="CL44" s="31"/>
      <c r="CM44" s="32"/>
    </row>
    <row r="45" ht="12.0" customHeight="1">
      <c r="C45" s="16">
        <v>23.07</v>
      </c>
      <c r="D45" s="17"/>
      <c r="E45" s="17"/>
      <c r="F45" s="17"/>
      <c r="G45" s="18"/>
      <c r="H45" s="19"/>
      <c r="I45" s="20">
        <v>0.8541666666666666</v>
      </c>
      <c r="J45" s="17"/>
      <c r="K45" s="17"/>
      <c r="L45" s="18"/>
      <c r="M45" s="19"/>
      <c r="N45" s="21" t="str">
        <f t="array" ref="N45">xlookup(P45,qualdata!$N$2:$N$17,qualdata!$O$2:$O$17,"")</f>
        <v/>
      </c>
      <c r="O45" s="22"/>
      <c r="P45" s="23" t="str">
        <f>'Contender Schedule'!V38</f>
        <v/>
      </c>
      <c r="Q45" s="22"/>
      <c r="R45" s="22"/>
      <c r="S45" s="22"/>
      <c r="T45" s="22"/>
      <c r="U45" s="22"/>
      <c r="V45" s="22"/>
      <c r="W45" s="22"/>
      <c r="X45" s="22"/>
      <c r="Y45" s="22"/>
      <c r="Z45" s="22"/>
      <c r="AA45" s="22"/>
      <c r="AB45" s="24" t="str">
        <f>'Contender Schedule'!AH38</f>
        <v/>
      </c>
      <c r="AC45" s="9"/>
      <c r="AD45" s="24" t="str">
        <f>'Contender Schedule'!AJ38</f>
        <v/>
      </c>
      <c r="AE45" s="9"/>
      <c r="AF45" s="23" t="str">
        <f>'Contender Schedule'!AL38</f>
        <v/>
      </c>
      <c r="AG45" s="22"/>
      <c r="AH45" s="22"/>
      <c r="AI45" s="22"/>
      <c r="AJ45" s="22"/>
      <c r="AK45" s="22"/>
      <c r="AL45" s="22"/>
      <c r="AM45" s="22"/>
      <c r="AN45" s="22"/>
      <c r="AO45" s="22"/>
      <c r="AP45" s="22"/>
      <c r="AQ45" s="22"/>
      <c r="AR45" s="25" t="str">
        <f t="array" ref="AR45">xlookup(AF45,qualdata!$N$2:$N$17,qualdata!$O$2:$O$17,"")</f>
        <v/>
      </c>
      <c r="AS45" s="26"/>
      <c r="AU45" s="27" t="s">
        <v>11</v>
      </c>
      <c r="AV45" s="17"/>
      <c r="AW45" s="17"/>
      <c r="AX45" s="18"/>
      <c r="AZ45" s="27" t="s">
        <v>17</v>
      </c>
      <c r="BA45" s="17"/>
      <c r="BB45" s="17"/>
      <c r="BC45" s="17"/>
      <c r="BD45" s="17"/>
      <c r="BE45" s="17"/>
      <c r="BF45" s="17"/>
      <c r="BG45" s="17"/>
      <c r="BH45" s="17"/>
      <c r="BI45" s="17"/>
      <c r="BJ45" s="17"/>
      <c r="BK45" s="17"/>
      <c r="BL45" s="17"/>
      <c r="BM45" s="17"/>
      <c r="BN45" s="17"/>
      <c r="BO45" s="17"/>
      <c r="BP45" s="18"/>
      <c r="BS45" s="38" t="s">
        <v>13</v>
      </c>
      <c r="BT45" s="17"/>
      <c r="BU45" s="17"/>
      <c r="BV45" s="17"/>
      <c r="BW45" s="17"/>
      <c r="BX45" s="17"/>
      <c r="BY45" s="17"/>
      <c r="BZ45" s="17"/>
      <c r="CA45" s="17"/>
      <c r="CB45" s="17"/>
      <c r="CC45" s="18"/>
      <c r="CD45" s="37"/>
      <c r="CE45" s="29" t="s">
        <v>14</v>
      </c>
      <c r="CF45" s="17"/>
      <c r="CG45" s="17"/>
      <c r="CH45" s="17"/>
      <c r="CI45" s="17"/>
      <c r="CJ45" s="17"/>
      <c r="CK45" s="17"/>
      <c r="CL45" s="17"/>
      <c r="CM45" s="18"/>
    </row>
    <row r="46" ht="12.0" customHeight="1">
      <c r="C46" s="30"/>
      <c r="D46" s="31"/>
      <c r="E46" s="31"/>
      <c r="F46" s="31"/>
      <c r="G46" s="32"/>
      <c r="H46" s="19"/>
      <c r="I46" s="30"/>
      <c r="J46" s="31"/>
      <c r="K46" s="31"/>
      <c r="L46" s="32"/>
      <c r="M46" s="19"/>
      <c r="N46" s="33"/>
      <c r="O46" s="34"/>
      <c r="P46" s="34"/>
      <c r="Q46" s="34"/>
      <c r="R46" s="34"/>
      <c r="S46" s="34"/>
      <c r="T46" s="34"/>
      <c r="U46" s="34"/>
      <c r="V46" s="34"/>
      <c r="W46" s="34"/>
      <c r="X46" s="34"/>
      <c r="Y46" s="34"/>
      <c r="Z46" s="34"/>
      <c r="AA46" s="34"/>
      <c r="AB46" s="12"/>
      <c r="AC46" s="14"/>
      <c r="AD46" s="12"/>
      <c r="AE46" s="14"/>
      <c r="AF46" s="34"/>
      <c r="AG46" s="34"/>
      <c r="AH46" s="34"/>
      <c r="AI46" s="34"/>
      <c r="AJ46" s="34"/>
      <c r="AK46" s="34"/>
      <c r="AL46" s="34"/>
      <c r="AM46" s="34"/>
      <c r="AN46" s="34"/>
      <c r="AO46" s="34"/>
      <c r="AP46" s="34"/>
      <c r="AQ46" s="34"/>
      <c r="AR46" s="34"/>
      <c r="AS46" s="35"/>
      <c r="AU46" s="30"/>
      <c r="AV46" s="31"/>
      <c r="AW46" s="31"/>
      <c r="AX46" s="32"/>
      <c r="AZ46" s="30"/>
      <c r="BA46" s="31"/>
      <c r="BB46" s="31"/>
      <c r="BC46" s="31"/>
      <c r="BD46" s="31"/>
      <c r="BE46" s="31"/>
      <c r="BF46" s="31"/>
      <c r="BG46" s="31"/>
      <c r="BH46" s="31"/>
      <c r="BI46" s="31"/>
      <c r="BJ46" s="31"/>
      <c r="BK46" s="31"/>
      <c r="BL46" s="31"/>
      <c r="BM46" s="31"/>
      <c r="BN46" s="31"/>
      <c r="BO46" s="31"/>
      <c r="BP46" s="32"/>
      <c r="BS46" s="30"/>
      <c r="BT46" s="31"/>
      <c r="BU46" s="31"/>
      <c r="BV46" s="31"/>
      <c r="BW46" s="31"/>
      <c r="BX46" s="31"/>
      <c r="BY46" s="31"/>
      <c r="BZ46" s="31"/>
      <c r="CA46" s="31"/>
      <c r="CB46" s="31"/>
      <c r="CC46" s="32"/>
      <c r="CD46" s="37"/>
      <c r="CE46" s="30"/>
      <c r="CF46" s="31"/>
      <c r="CG46" s="31"/>
      <c r="CH46" s="31"/>
      <c r="CI46" s="31"/>
      <c r="CJ46" s="31"/>
      <c r="CK46" s="31"/>
      <c r="CL46" s="31"/>
      <c r="CM46" s="32"/>
    </row>
    <row r="47" ht="12.0" customHeight="1">
      <c r="C47" s="6"/>
      <c r="D47" s="6"/>
      <c r="E47" s="6"/>
      <c r="F47" s="6"/>
      <c r="G47" s="6"/>
      <c r="H47" s="6"/>
      <c r="I47" s="36"/>
      <c r="J47" s="36"/>
      <c r="K47" s="36"/>
      <c r="L47" s="36"/>
      <c r="M47" s="6"/>
      <c r="BS47" s="37"/>
      <c r="BT47" s="37"/>
      <c r="BU47" s="37"/>
      <c r="BV47" s="37"/>
      <c r="BW47" s="37"/>
      <c r="BX47" s="37"/>
      <c r="BY47" s="37"/>
      <c r="BZ47" s="37"/>
      <c r="CA47" s="37"/>
      <c r="CB47" s="37"/>
      <c r="CC47" s="37"/>
    </row>
    <row r="48" ht="12.0" customHeight="1">
      <c r="C48" s="6"/>
      <c r="D48" s="6"/>
      <c r="E48" s="6"/>
      <c r="F48" s="6"/>
      <c r="G48" s="6"/>
      <c r="H48" s="6"/>
      <c r="I48" s="36"/>
      <c r="J48" s="36"/>
      <c r="K48" s="36"/>
      <c r="L48" s="36"/>
      <c r="M48" s="6"/>
      <c r="BS48" s="37"/>
      <c r="BT48" s="37"/>
      <c r="BU48" s="37"/>
      <c r="BV48" s="37"/>
      <c r="BW48" s="37"/>
      <c r="BX48" s="37"/>
      <c r="BY48" s="37"/>
      <c r="BZ48" s="37"/>
      <c r="CA48" s="37"/>
      <c r="CB48" s="37"/>
      <c r="CC48" s="37"/>
    </row>
    <row r="49" ht="12.0" customHeight="1">
      <c r="C49" s="16">
        <v>24.07</v>
      </c>
      <c r="D49" s="17"/>
      <c r="E49" s="17"/>
      <c r="F49" s="17"/>
      <c r="G49" s="18"/>
      <c r="H49" s="19"/>
      <c r="I49" s="20">
        <v>0.4791666666666667</v>
      </c>
      <c r="J49" s="17"/>
      <c r="K49" s="17"/>
      <c r="L49" s="18"/>
      <c r="M49" s="19"/>
      <c r="N49" s="21" t="str">
        <f t="array" ref="N49">xlookup(P49,qualdata!$N$2:$N$17,qualdata!$O$2:$O$17,"")</f>
        <v/>
      </c>
      <c r="O49" s="22"/>
      <c r="P49" s="23" t="str">
        <f>'Contender Schedule'!V42</f>
        <v/>
      </c>
      <c r="Q49" s="22"/>
      <c r="R49" s="22"/>
      <c r="S49" s="22"/>
      <c r="T49" s="22"/>
      <c r="U49" s="22"/>
      <c r="V49" s="22"/>
      <c r="W49" s="22"/>
      <c r="X49" s="22"/>
      <c r="Y49" s="22"/>
      <c r="Z49" s="22"/>
      <c r="AA49" s="22"/>
      <c r="AB49" s="24" t="str">
        <f>'Contender Schedule'!AH42</f>
        <v/>
      </c>
      <c r="AC49" s="9"/>
      <c r="AD49" s="24" t="str">
        <f>'Contender Schedule'!AJ42</f>
        <v/>
      </c>
      <c r="AE49" s="9"/>
      <c r="AF49" s="41" t="str">
        <f>'Contender Schedule'!AL42</f>
        <v/>
      </c>
      <c r="AR49" s="25" t="str">
        <f t="array" ref="AR49">xlookup(AF49,qualdata!$N$2:$N$17,qualdata!$O$2:$O$17,"")</f>
        <v/>
      </c>
      <c r="AS49" s="26"/>
      <c r="AU49" s="27" t="s">
        <v>11</v>
      </c>
      <c r="AV49" s="17"/>
      <c r="AW49" s="17"/>
      <c r="AX49" s="18"/>
      <c r="AZ49" s="27" t="s">
        <v>18</v>
      </c>
      <c r="BA49" s="17"/>
      <c r="BB49" s="17"/>
      <c r="BC49" s="17"/>
      <c r="BD49" s="17"/>
      <c r="BE49" s="17"/>
      <c r="BF49" s="17"/>
      <c r="BG49" s="17"/>
      <c r="BH49" s="17"/>
      <c r="BI49" s="17"/>
      <c r="BJ49" s="17"/>
      <c r="BK49" s="17"/>
      <c r="BL49" s="17"/>
      <c r="BM49" s="17"/>
      <c r="BN49" s="17"/>
      <c r="BO49" s="17"/>
      <c r="BP49" s="18"/>
      <c r="BS49" s="38" t="s">
        <v>13</v>
      </c>
      <c r="BT49" s="17"/>
      <c r="BU49" s="17"/>
      <c r="BV49" s="17"/>
      <c r="BW49" s="17"/>
      <c r="BX49" s="17"/>
      <c r="BY49" s="17"/>
      <c r="BZ49" s="17"/>
      <c r="CA49" s="17"/>
      <c r="CB49" s="17"/>
      <c r="CC49" s="18"/>
      <c r="CD49" s="37"/>
      <c r="CE49" s="29" t="s">
        <v>14</v>
      </c>
      <c r="CF49" s="17"/>
      <c r="CG49" s="17"/>
      <c r="CH49" s="17"/>
      <c r="CI49" s="17"/>
      <c r="CJ49" s="17"/>
      <c r="CK49" s="17"/>
      <c r="CL49" s="17"/>
      <c r="CM49" s="18"/>
    </row>
    <row r="50" ht="12.0" customHeight="1">
      <c r="C50" s="30"/>
      <c r="D50" s="31"/>
      <c r="E50" s="31"/>
      <c r="F50" s="31"/>
      <c r="G50" s="32"/>
      <c r="H50" s="19"/>
      <c r="I50" s="30"/>
      <c r="J50" s="31"/>
      <c r="K50" s="31"/>
      <c r="L50" s="32"/>
      <c r="M50" s="19"/>
      <c r="N50" s="33"/>
      <c r="O50" s="34"/>
      <c r="P50" s="34"/>
      <c r="Q50" s="34"/>
      <c r="R50" s="34"/>
      <c r="S50" s="34"/>
      <c r="T50" s="34"/>
      <c r="U50" s="34"/>
      <c r="V50" s="34"/>
      <c r="W50" s="34"/>
      <c r="X50" s="34"/>
      <c r="Y50" s="34"/>
      <c r="Z50" s="34"/>
      <c r="AA50" s="34"/>
      <c r="AB50" s="12"/>
      <c r="AC50" s="14"/>
      <c r="AD50" s="12"/>
      <c r="AE50" s="14"/>
      <c r="AF50" s="34"/>
      <c r="AG50" s="34"/>
      <c r="AH50" s="34"/>
      <c r="AI50" s="34"/>
      <c r="AJ50" s="34"/>
      <c r="AK50" s="34"/>
      <c r="AL50" s="34"/>
      <c r="AM50" s="34"/>
      <c r="AN50" s="34"/>
      <c r="AO50" s="34"/>
      <c r="AP50" s="34"/>
      <c r="AQ50" s="34"/>
      <c r="AR50" s="34"/>
      <c r="AS50" s="35"/>
      <c r="AU50" s="30"/>
      <c r="AV50" s="31"/>
      <c r="AW50" s="31"/>
      <c r="AX50" s="32"/>
      <c r="AZ50" s="30"/>
      <c r="BA50" s="31"/>
      <c r="BB50" s="31"/>
      <c r="BC50" s="31"/>
      <c r="BD50" s="31"/>
      <c r="BE50" s="31"/>
      <c r="BF50" s="31"/>
      <c r="BG50" s="31"/>
      <c r="BH50" s="31"/>
      <c r="BI50" s="31"/>
      <c r="BJ50" s="31"/>
      <c r="BK50" s="31"/>
      <c r="BL50" s="31"/>
      <c r="BM50" s="31"/>
      <c r="BN50" s="31"/>
      <c r="BO50" s="31"/>
      <c r="BP50" s="32"/>
      <c r="BS50" s="30"/>
      <c r="BT50" s="31"/>
      <c r="BU50" s="31"/>
      <c r="BV50" s="31"/>
      <c r="BW50" s="31"/>
      <c r="BX50" s="31"/>
      <c r="BY50" s="31"/>
      <c r="BZ50" s="31"/>
      <c r="CA50" s="31"/>
      <c r="CB50" s="31"/>
      <c r="CC50" s="32"/>
      <c r="CD50" s="37"/>
      <c r="CE50" s="30"/>
      <c r="CF50" s="31"/>
      <c r="CG50" s="31"/>
      <c r="CH50" s="31"/>
      <c r="CI50" s="31"/>
      <c r="CJ50" s="31"/>
      <c r="CK50" s="31"/>
      <c r="CL50" s="31"/>
      <c r="CM50" s="32"/>
    </row>
    <row r="51" ht="12.0" customHeight="1">
      <c r="C51" s="16">
        <v>24.07</v>
      </c>
      <c r="D51" s="17"/>
      <c r="E51" s="17"/>
      <c r="F51" s="17"/>
      <c r="G51" s="18"/>
      <c r="H51" s="19"/>
      <c r="I51" s="20">
        <v>0.6041666666666666</v>
      </c>
      <c r="J51" s="17"/>
      <c r="K51" s="17"/>
      <c r="L51" s="18"/>
      <c r="M51" s="19"/>
      <c r="N51" s="21" t="str">
        <f t="array" ref="N51">xlookup(P51,qualdata!$N$2:$N$17,qualdata!$O$2:$O$17,"")</f>
        <v/>
      </c>
      <c r="O51" s="22"/>
      <c r="P51" s="23" t="str">
        <f>'Contender Schedule'!V44</f>
        <v/>
      </c>
      <c r="Q51" s="22"/>
      <c r="R51" s="22"/>
      <c r="S51" s="22"/>
      <c r="T51" s="22"/>
      <c r="U51" s="22"/>
      <c r="V51" s="22"/>
      <c r="W51" s="22"/>
      <c r="X51" s="22"/>
      <c r="Y51" s="22"/>
      <c r="Z51" s="22"/>
      <c r="AA51" s="22"/>
      <c r="AB51" s="24" t="str">
        <f>'Contender Schedule'!AH44</f>
        <v/>
      </c>
      <c r="AC51" s="9"/>
      <c r="AD51" s="24" t="str">
        <f>'Contender Schedule'!AJ44</f>
        <v/>
      </c>
      <c r="AE51" s="9"/>
      <c r="AF51" s="23" t="str">
        <f>'Contender Schedule'!AL44</f>
        <v/>
      </c>
      <c r="AG51" s="22"/>
      <c r="AH51" s="22"/>
      <c r="AI51" s="22"/>
      <c r="AJ51" s="22"/>
      <c r="AK51" s="22"/>
      <c r="AL51" s="22"/>
      <c r="AM51" s="22"/>
      <c r="AN51" s="22"/>
      <c r="AO51" s="22"/>
      <c r="AP51" s="22"/>
      <c r="AQ51" s="22"/>
      <c r="AR51" s="25" t="str">
        <f t="array" ref="AR51">xlookup(AF51,qualdata!$N$2:$N$17,qualdata!$O$2:$O$17,"")</f>
        <v/>
      </c>
      <c r="AS51" s="26"/>
      <c r="AU51" s="27" t="s">
        <v>11</v>
      </c>
      <c r="AV51" s="17"/>
      <c r="AW51" s="17"/>
      <c r="AX51" s="18"/>
      <c r="AZ51" s="27" t="s">
        <v>18</v>
      </c>
      <c r="BA51" s="17"/>
      <c r="BB51" s="17"/>
      <c r="BC51" s="17"/>
      <c r="BD51" s="17"/>
      <c r="BE51" s="17"/>
      <c r="BF51" s="17"/>
      <c r="BG51" s="17"/>
      <c r="BH51" s="17"/>
      <c r="BI51" s="17"/>
      <c r="BJ51" s="17"/>
      <c r="BK51" s="17"/>
      <c r="BL51" s="17"/>
      <c r="BM51" s="17"/>
      <c r="BN51" s="17"/>
      <c r="BO51" s="17"/>
      <c r="BP51" s="18"/>
      <c r="BS51" s="38" t="s">
        <v>13</v>
      </c>
      <c r="BT51" s="17"/>
      <c r="BU51" s="17"/>
      <c r="BV51" s="17"/>
      <c r="BW51" s="17"/>
      <c r="BX51" s="17"/>
      <c r="BY51" s="17"/>
      <c r="BZ51" s="17"/>
      <c r="CA51" s="17"/>
      <c r="CB51" s="17"/>
      <c r="CC51" s="18"/>
      <c r="CD51" s="37"/>
      <c r="CE51" s="29" t="s">
        <v>14</v>
      </c>
      <c r="CF51" s="17"/>
      <c r="CG51" s="17"/>
      <c r="CH51" s="17"/>
      <c r="CI51" s="17"/>
      <c r="CJ51" s="17"/>
      <c r="CK51" s="17"/>
      <c r="CL51" s="17"/>
      <c r="CM51" s="18"/>
    </row>
    <row r="52" ht="12.0" customHeight="1">
      <c r="C52" s="30"/>
      <c r="D52" s="31"/>
      <c r="E52" s="31"/>
      <c r="F52" s="31"/>
      <c r="G52" s="32"/>
      <c r="H52" s="19"/>
      <c r="I52" s="30"/>
      <c r="J52" s="31"/>
      <c r="K52" s="31"/>
      <c r="L52" s="32"/>
      <c r="M52" s="19"/>
      <c r="N52" s="33"/>
      <c r="O52" s="34"/>
      <c r="P52" s="34"/>
      <c r="Q52" s="34"/>
      <c r="R52" s="34"/>
      <c r="S52" s="34"/>
      <c r="T52" s="34"/>
      <c r="U52" s="34"/>
      <c r="V52" s="34"/>
      <c r="W52" s="34"/>
      <c r="X52" s="34"/>
      <c r="Y52" s="34"/>
      <c r="Z52" s="34"/>
      <c r="AA52" s="34"/>
      <c r="AB52" s="12"/>
      <c r="AC52" s="14"/>
      <c r="AD52" s="12"/>
      <c r="AE52" s="14"/>
      <c r="AF52" s="34"/>
      <c r="AG52" s="34"/>
      <c r="AH52" s="34"/>
      <c r="AI52" s="34"/>
      <c r="AJ52" s="34"/>
      <c r="AK52" s="34"/>
      <c r="AL52" s="34"/>
      <c r="AM52" s="34"/>
      <c r="AN52" s="34"/>
      <c r="AO52" s="34"/>
      <c r="AP52" s="34"/>
      <c r="AQ52" s="34"/>
      <c r="AR52" s="34"/>
      <c r="AS52" s="35"/>
      <c r="AU52" s="30"/>
      <c r="AV52" s="31"/>
      <c r="AW52" s="31"/>
      <c r="AX52" s="32"/>
      <c r="AZ52" s="30"/>
      <c r="BA52" s="31"/>
      <c r="BB52" s="31"/>
      <c r="BC52" s="31"/>
      <c r="BD52" s="31"/>
      <c r="BE52" s="31"/>
      <c r="BF52" s="31"/>
      <c r="BG52" s="31"/>
      <c r="BH52" s="31"/>
      <c r="BI52" s="31"/>
      <c r="BJ52" s="31"/>
      <c r="BK52" s="31"/>
      <c r="BL52" s="31"/>
      <c r="BM52" s="31"/>
      <c r="BN52" s="31"/>
      <c r="BO52" s="31"/>
      <c r="BP52" s="32"/>
      <c r="BS52" s="30"/>
      <c r="BT52" s="31"/>
      <c r="BU52" s="31"/>
      <c r="BV52" s="31"/>
      <c r="BW52" s="31"/>
      <c r="BX52" s="31"/>
      <c r="BY52" s="31"/>
      <c r="BZ52" s="31"/>
      <c r="CA52" s="31"/>
      <c r="CB52" s="31"/>
      <c r="CC52" s="32"/>
      <c r="CD52" s="37"/>
      <c r="CE52" s="30"/>
      <c r="CF52" s="31"/>
      <c r="CG52" s="31"/>
      <c r="CH52" s="31"/>
      <c r="CI52" s="31"/>
      <c r="CJ52" s="31"/>
      <c r="CK52" s="31"/>
      <c r="CL52" s="31"/>
      <c r="CM52" s="32"/>
    </row>
    <row r="53" ht="12.0" customHeight="1">
      <c r="C53" s="6"/>
      <c r="D53" s="6"/>
      <c r="E53" s="6"/>
      <c r="F53" s="6"/>
      <c r="G53" s="6"/>
      <c r="H53" s="6"/>
      <c r="I53" s="36"/>
      <c r="J53" s="36"/>
      <c r="K53" s="36"/>
      <c r="L53" s="36"/>
      <c r="M53" s="6"/>
      <c r="BS53" s="37"/>
      <c r="BT53" s="37"/>
      <c r="BU53" s="37"/>
      <c r="BV53" s="37"/>
      <c r="BW53" s="37"/>
      <c r="BX53" s="37"/>
      <c r="BY53" s="37"/>
      <c r="BZ53" s="37"/>
      <c r="CA53" s="37"/>
      <c r="CB53" s="37"/>
      <c r="CC53" s="37"/>
    </row>
    <row r="54" ht="12.0" customHeight="1">
      <c r="C54" s="16">
        <v>25.07</v>
      </c>
      <c r="D54" s="17"/>
      <c r="E54" s="17"/>
      <c r="F54" s="17"/>
      <c r="G54" s="18"/>
      <c r="H54" s="19"/>
      <c r="I54" s="20">
        <v>0.4791666666666667</v>
      </c>
      <c r="J54" s="17"/>
      <c r="K54" s="17"/>
      <c r="L54" s="18"/>
      <c r="M54" s="19"/>
      <c r="N54" s="21" t="str">
        <f t="array" ref="N54">xlookup(P54,qualdata!$N$2:$N$17,qualdata!$O$2:$O$17,"")</f>
        <v/>
      </c>
      <c r="O54" s="22"/>
      <c r="P54" s="23" t="str">
        <f>'Contender Schedule'!V47</f>
        <v/>
      </c>
      <c r="Q54" s="22"/>
      <c r="R54" s="22"/>
      <c r="S54" s="22"/>
      <c r="T54" s="22"/>
      <c r="U54" s="22"/>
      <c r="V54" s="22"/>
      <c r="W54" s="22"/>
      <c r="X54" s="22"/>
      <c r="Y54" s="22"/>
      <c r="Z54" s="22"/>
      <c r="AA54" s="22"/>
      <c r="AB54" s="24" t="str">
        <f>'Contender Schedule'!AH47</f>
        <v/>
      </c>
      <c r="AC54" s="9"/>
      <c r="AD54" s="24" t="str">
        <f>'Contender Schedule'!AJ47</f>
        <v/>
      </c>
      <c r="AE54" s="9"/>
      <c r="AF54" s="41" t="str">
        <f>'Contender Schedule'!AL47</f>
        <v/>
      </c>
      <c r="AR54" s="25" t="str">
        <f t="array" ref="AR54">xlookup(AF54,qualdata!$N$2:$N$17,qualdata!$O$2:$O$17,"")</f>
        <v/>
      </c>
      <c r="AS54" s="26"/>
      <c r="AU54" s="27" t="s">
        <v>11</v>
      </c>
      <c r="AV54" s="17"/>
      <c r="AW54" s="17"/>
      <c r="AX54" s="18"/>
      <c r="AZ54" s="27" t="s">
        <v>19</v>
      </c>
      <c r="BA54" s="17"/>
      <c r="BB54" s="17"/>
      <c r="BC54" s="17"/>
      <c r="BD54" s="17"/>
      <c r="BE54" s="17"/>
      <c r="BF54" s="17"/>
      <c r="BG54" s="17"/>
      <c r="BH54" s="17"/>
      <c r="BI54" s="17"/>
      <c r="BJ54" s="17"/>
      <c r="BK54" s="17"/>
      <c r="BL54" s="17"/>
      <c r="BM54" s="17"/>
      <c r="BN54" s="17"/>
      <c r="BO54" s="17"/>
      <c r="BP54" s="18"/>
      <c r="BS54" s="38" t="s">
        <v>13</v>
      </c>
      <c r="BT54" s="17"/>
      <c r="BU54" s="17"/>
      <c r="BV54" s="17"/>
      <c r="BW54" s="17"/>
      <c r="BX54" s="17"/>
      <c r="BY54" s="17"/>
      <c r="BZ54" s="17"/>
      <c r="CA54" s="17"/>
      <c r="CB54" s="17"/>
      <c r="CC54" s="18"/>
      <c r="CD54" s="37"/>
      <c r="CE54" s="29" t="s">
        <v>14</v>
      </c>
      <c r="CF54" s="17"/>
      <c r="CG54" s="17"/>
      <c r="CH54" s="17"/>
      <c r="CI54" s="17"/>
      <c r="CJ54" s="17"/>
      <c r="CK54" s="17"/>
      <c r="CL54" s="17"/>
      <c r="CM54" s="18"/>
    </row>
    <row r="55" ht="12.0" customHeight="1">
      <c r="C55" s="30"/>
      <c r="D55" s="31"/>
      <c r="E55" s="31"/>
      <c r="F55" s="31"/>
      <c r="G55" s="32"/>
      <c r="H55" s="19"/>
      <c r="I55" s="30"/>
      <c r="J55" s="31"/>
      <c r="K55" s="31"/>
      <c r="L55" s="32"/>
      <c r="M55" s="19"/>
      <c r="N55" s="33"/>
      <c r="O55" s="34"/>
      <c r="P55" s="34"/>
      <c r="Q55" s="34"/>
      <c r="R55" s="34"/>
      <c r="S55" s="34"/>
      <c r="T55" s="34"/>
      <c r="U55" s="34"/>
      <c r="V55" s="34"/>
      <c r="W55" s="34"/>
      <c r="X55" s="34"/>
      <c r="Y55" s="34"/>
      <c r="Z55" s="34"/>
      <c r="AA55" s="34"/>
      <c r="AB55" s="12"/>
      <c r="AC55" s="14"/>
      <c r="AD55" s="12"/>
      <c r="AE55" s="14"/>
      <c r="AF55" s="34"/>
      <c r="AG55" s="34"/>
      <c r="AH55" s="34"/>
      <c r="AI55" s="34"/>
      <c r="AJ55" s="34"/>
      <c r="AK55" s="34"/>
      <c r="AL55" s="34"/>
      <c r="AM55" s="34"/>
      <c r="AN55" s="34"/>
      <c r="AO55" s="34"/>
      <c r="AP55" s="34"/>
      <c r="AQ55" s="34"/>
      <c r="AR55" s="34"/>
      <c r="AS55" s="35"/>
      <c r="AU55" s="30"/>
      <c r="AV55" s="31"/>
      <c r="AW55" s="31"/>
      <c r="AX55" s="32"/>
      <c r="AZ55" s="30"/>
      <c r="BA55" s="31"/>
      <c r="BB55" s="31"/>
      <c r="BC55" s="31"/>
      <c r="BD55" s="31"/>
      <c r="BE55" s="31"/>
      <c r="BF55" s="31"/>
      <c r="BG55" s="31"/>
      <c r="BH55" s="31"/>
      <c r="BI55" s="31"/>
      <c r="BJ55" s="31"/>
      <c r="BK55" s="31"/>
      <c r="BL55" s="31"/>
      <c r="BM55" s="31"/>
      <c r="BN55" s="31"/>
      <c r="BO55" s="31"/>
      <c r="BP55" s="32"/>
      <c r="BS55" s="30"/>
      <c r="BT55" s="31"/>
      <c r="BU55" s="31"/>
      <c r="BV55" s="31"/>
      <c r="BW55" s="31"/>
      <c r="BX55" s="31"/>
      <c r="BY55" s="31"/>
      <c r="BZ55" s="31"/>
      <c r="CA55" s="31"/>
      <c r="CB55" s="31"/>
      <c r="CC55" s="32"/>
      <c r="CD55" s="37"/>
      <c r="CE55" s="30"/>
      <c r="CF55" s="31"/>
      <c r="CG55" s="31"/>
      <c r="CH55" s="31"/>
      <c r="CI55" s="31"/>
      <c r="CJ55" s="31"/>
      <c r="CK55" s="31"/>
      <c r="CL55" s="31"/>
      <c r="CM55" s="32"/>
    </row>
    <row r="56" ht="12.0" customHeight="1">
      <c r="C56" s="16">
        <v>25.07</v>
      </c>
      <c r="D56" s="17"/>
      <c r="E56" s="17"/>
      <c r="F56" s="17"/>
      <c r="G56" s="18"/>
      <c r="H56" s="19"/>
      <c r="I56" s="20">
        <v>0.6041666666666666</v>
      </c>
      <c r="J56" s="17"/>
      <c r="K56" s="17"/>
      <c r="L56" s="18"/>
      <c r="M56" s="19"/>
      <c r="N56" s="21" t="str">
        <f t="array" ref="N56">xlookup(P56,qualdata!$N$2:$N$17,qualdata!$O$2:$O$17,"")</f>
        <v/>
      </c>
      <c r="O56" s="22"/>
      <c r="P56" s="23" t="str">
        <f>'Contender Schedule'!V49</f>
        <v/>
      </c>
      <c r="Q56" s="22"/>
      <c r="R56" s="22"/>
      <c r="S56" s="22"/>
      <c r="T56" s="22"/>
      <c r="U56" s="22"/>
      <c r="V56" s="22"/>
      <c r="W56" s="22"/>
      <c r="X56" s="22"/>
      <c r="Y56" s="22"/>
      <c r="Z56" s="22"/>
      <c r="AA56" s="22"/>
      <c r="AB56" s="24" t="str">
        <f>'Contender Schedule'!AH49</f>
        <v/>
      </c>
      <c r="AC56" s="9"/>
      <c r="AD56" s="24" t="str">
        <f>'Contender Schedule'!AJ49</f>
        <v/>
      </c>
      <c r="AE56" s="9"/>
      <c r="AF56" s="23" t="str">
        <f>'Contender Schedule'!AL49</f>
        <v/>
      </c>
      <c r="AG56" s="22"/>
      <c r="AH56" s="22"/>
      <c r="AI56" s="22"/>
      <c r="AJ56" s="22"/>
      <c r="AK56" s="22"/>
      <c r="AL56" s="22"/>
      <c r="AM56" s="22"/>
      <c r="AN56" s="22"/>
      <c r="AO56" s="22"/>
      <c r="AP56" s="22"/>
      <c r="AQ56" s="22"/>
      <c r="AR56" s="25" t="str">
        <f t="array" ref="AR56">xlookup(AF56,qualdata!$N$2:$N$17,qualdata!$O$2:$O$17,"")</f>
        <v/>
      </c>
      <c r="AS56" s="26"/>
      <c r="AU56" s="27" t="s">
        <v>11</v>
      </c>
      <c r="AV56" s="17"/>
      <c r="AW56" s="17"/>
      <c r="AX56" s="18"/>
      <c r="AZ56" s="27" t="s">
        <v>19</v>
      </c>
      <c r="BA56" s="17"/>
      <c r="BB56" s="17"/>
      <c r="BC56" s="17"/>
      <c r="BD56" s="17"/>
      <c r="BE56" s="17"/>
      <c r="BF56" s="17"/>
      <c r="BG56" s="17"/>
      <c r="BH56" s="17"/>
      <c r="BI56" s="17"/>
      <c r="BJ56" s="17"/>
      <c r="BK56" s="17"/>
      <c r="BL56" s="17"/>
      <c r="BM56" s="17"/>
      <c r="BN56" s="17"/>
      <c r="BO56" s="17"/>
      <c r="BP56" s="18"/>
      <c r="BS56" s="38" t="s">
        <v>13</v>
      </c>
      <c r="BT56" s="17"/>
      <c r="BU56" s="17"/>
      <c r="BV56" s="17"/>
      <c r="BW56" s="17"/>
      <c r="BX56" s="17"/>
      <c r="BY56" s="17"/>
      <c r="BZ56" s="17"/>
      <c r="CA56" s="17"/>
      <c r="CB56" s="17"/>
      <c r="CC56" s="18"/>
      <c r="CD56" s="37"/>
      <c r="CE56" s="29" t="s">
        <v>14</v>
      </c>
      <c r="CF56" s="17"/>
      <c r="CG56" s="17"/>
      <c r="CH56" s="17"/>
      <c r="CI56" s="17"/>
      <c r="CJ56" s="17"/>
      <c r="CK56" s="17"/>
      <c r="CL56" s="17"/>
      <c r="CM56" s="18"/>
    </row>
    <row r="57" ht="12.0" customHeight="1">
      <c r="C57" s="30"/>
      <c r="D57" s="31"/>
      <c r="E57" s="31"/>
      <c r="F57" s="31"/>
      <c r="G57" s="32"/>
      <c r="H57" s="19"/>
      <c r="I57" s="30"/>
      <c r="J57" s="31"/>
      <c r="K57" s="31"/>
      <c r="L57" s="32"/>
      <c r="M57" s="19"/>
      <c r="N57" s="33"/>
      <c r="O57" s="34"/>
      <c r="P57" s="34"/>
      <c r="Q57" s="34"/>
      <c r="R57" s="34"/>
      <c r="S57" s="34"/>
      <c r="T57" s="34"/>
      <c r="U57" s="34"/>
      <c r="V57" s="34"/>
      <c r="W57" s="34"/>
      <c r="X57" s="34"/>
      <c r="Y57" s="34"/>
      <c r="Z57" s="34"/>
      <c r="AA57" s="34"/>
      <c r="AB57" s="12"/>
      <c r="AC57" s="14"/>
      <c r="AD57" s="12"/>
      <c r="AE57" s="14"/>
      <c r="AF57" s="34"/>
      <c r="AG57" s="34"/>
      <c r="AH57" s="34"/>
      <c r="AI57" s="34"/>
      <c r="AJ57" s="34"/>
      <c r="AK57" s="34"/>
      <c r="AL57" s="34"/>
      <c r="AM57" s="34"/>
      <c r="AN57" s="34"/>
      <c r="AO57" s="34"/>
      <c r="AP57" s="34"/>
      <c r="AQ57" s="34"/>
      <c r="AR57" s="34"/>
      <c r="AS57" s="35"/>
      <c r="AU57" s="30"/>
      <c r="AV57" s="31"/>
      <c r="AW57" s="31"/>
      <c r="AX57" s="32"/>
      <c r="AZ57" s="30"/>
      <c r="BA57" s="31"/>
      <c r="BB57" s="31"/>
      <c r="BC57" s="31"/>
      <c r="BD57" s="31"/>
      <c r="BE57" s="31"/>
      <c r="BF57" s="31"/>
      <c r="BG57" s="31"/>
      <c r="BH57" s="31"/>
      <c r="BI57" s="31"/>
      <c r="BJ57" s="31"/>
      <c r="BK57" s="31"/>
      <c r="BL57" s="31"/>
      <c r="BM57" s="31"/>
      <c r="BN57" s="31"/>
      <c r="BO57" s="31"/>
      <c r="BP57" s="32"/>
      <c r="BS57" s="30"/>
      <c r="BT57" s="31"/>
      <c r="BU57" s="31"/>
      <c r="BV57" s="31"/>
      <c r="BW57" s="31"/>
      <c r="BX57" s="31"/>
      <c r="BY57" s="31"/>
      <c r="BZ57" s="31"/>
      <c r="CA57" s="31"/>
      <c r="CB57" s="31"/>
      <c r="CC57" s="32"/>
      <c r="CD57" s="37"/>
      <c r="CE57" s="30"/>
      <c r="CF57" s="31"/>
      <c r="CG57" s="31"/>
      <c r="CH57" s="31"/>
      <c r="CI57" s="31"/>
      <c r="CJ57" s="31"/>
      <c r="CK57" s="31"/>
      <c r="CL57" s="31"/>
      <c r="CM57" s="32"/>
    </row>
    <row r="58" ht="12.0" customHeight="1">
      <c r="C58" s="16">
        <v>25.07</v>
      </c>
      <c r="D58" s="17"/>
      <c r="E58" s="17"/>
      <c r="F58" s="17"/>
      <c r="G58" s="18"/>
      <c r="H58" s="19"/>
      <c r="I58" s="20">
        <v>0.7291666666666666</v>
      </c>
      <c r="J58" s="17"/>
      <c r="K58" s="17"/>
      <c r="L58" s="18"/>
      <c r="M58" s="19"/>
      <c r="N58" s="21" t="str">
        <f t="array" ref="N58">xlookup(P58,qualdata!$N$2:$N$17,qualdata!$O$2:$O$17,"")</f>
        <v/>
      </c>
      <c r="O58" s="22"/>
      <c r="P58" s="23" t="str">
        <f>'Contender Schedule'!V51</f>
        <v/>
      </c>
      <c r="Q58" s="22"/>
      <c r="R58" s="22"/>
      <c r="S58" s="22"/>
      <c r="T58" s="22"/>
      <c r="U58" s="22"/>
      <c r="V58" s="22"/>
      <c r="W58" s="22"/>
      <c r="X58" s="22"/>
      <c r="Y58" s="22"/>
      <c r="Z58" s="22"/>
      <c r="AA58" s="22"/>
      <c r="AB58" s="24" t="str">
        <f>'Contender Schedule'!AH51</f>
        <v/>
      </c>
      <c r="AC58" s="9"/>
      <c r="AD58" s="24" t="str">
        <f>'Contender Schedule'!AJ51</f>
        <v/>
      </c>
      <c r="AE58" s="9"/>
      <c r="AF58" s="23" t="str">
        <f>'Contender Schedule'!AL51</f>
        <v/>
      </c>
      <c r="AG58" s="22"/>
      <c r="AH58" s="22"/>
      <c r="AI58" s="22"/>
      <c r="AJ58" s="22"/>
      <c r="AK58" s="22"/>
      <c r="AL58" s="22"/>
      <c r="AM58" s="22"/>
      <c r="AN58" s="22"/>
      <c r="AO58" s="22"/>
      <c r="AP58" s="22"/>
      <c r="AQ58" s="22"/>
      <c r="AR58" s="25" t="str">
        <f t="array" ref="AR58">xlookup(AF58,qualdata!$N$2:$N$17,qualdata!$O$2:$O$17,"")</f>
        <v/>
      </c>
      <c r="AS58" s="26"/>
      <c r="AU58" s="27" t="s">
        <v>11</v>
      </c>
      <c r="AV58" s="17"/>
      <c r="AW58" s="17"/>
      <c r="AX58" s="18"/>
      <c r="AZ58" s="27" t="s">
        <v>19</v>
      </c>
      <c r="BA58" s="17"/>
      <c r="BB58" s="17"/>
      <c r="BC58" s="17"/>
      <c r="BD58" s="17"/>
      <c r="BE58" s="17"/>
      <c r="BF58" s="17"/>
      <c r="BG58" s="17"/>
      <c r="BH58" s="17"/>
      <c r="BI58" s="17"/>
      <c r="BJ58" s="17"/>
      <c r="BK58" s="17"/>
      <c r="BL58" s="17"/>
      <c r="BM58" s="17"/>
      <c r="BN58" s="17"/>
      <c r="BO58" s="17"/>
      <c r="BP58" s="18"/>
      <c r="BS58" s="38" t="s">
        <v>13</v>
      </c>
      <c r="BT58" s="17"/>
      <c r="BU58" s="17"/>
      <c r="BV58" s="17"/>
      <c r="BW58" s="17"/>
      <c r="BX58" s="17"/>
      <c r="BY58" s="17"/>
      <c r="BZ58" s="17"/>
      <c r="CA58" s="17"/>
      <c r="CB58" s="17"/>
      <c r="CC58" s="18"/>
      <c r="CD58" s="37"/>
      <c r="CE58" s="29" t="s">
        <v>14</v>
      </c>
      <c r="CF58" s="17"/>
      <c r="CG58" s="17"/>
      <c r="CH58" s="17"/>
      <c r="CI58" s="17"/>
      <c r="CJ58" s="17"/>
      <c r="CK58" s="17"/>
      <c r="CL58" s="17"/>
      <c r="CM58" s="18"/>
    </row>
    <row r="59" ht="12.0" customHeight="1">
      <c r="C59" s="30"/>
      <c r="D59" s="31"/>
      <c r="E59" s="31"/>
      <c r="F59" s="31"/>
      <c r="G59" s="32"/>
      <c r="H59" s="19"/>
      <c r="I59" s="30"/>
      <c r="J59" s="31"/>
      <c r="K59" s="31"/>
      <c r="L59" s="32"/>
      <c r="M59" s="19"/>
      <c r="N59" s="33"/>
      <c r="O59" s="34"/>
      <c r="P59" s="34"/>
      <c r="Q59" s="34"/>
      <c r="R59" s="34"/>
      <c r="S59" s="34"/>
      <c r="T59" s="34"/>
      <c r="U59" s="34"/>
      <c r="V59" s="34"/>
      <c r="W59" s="34"/>
      <c r="X59" s="34"/>
      <c r="Y59" s="34"/>
      <c r="Z59" s="34"/>
      <c r="AA59" s="34"/>
      <c r="AB59" s="12"/>
      <c r="AC59" s="14"/>
      <c r="AD59" s="12"/>
      <c r="AE59" s="14"/>
      <c r="AF59" s="34"/>
      <c r="AG59" s="34"/>
      <c r="AH59" s="34"/>
      <c r="AI59" s="34"/>
      <c r="AJ59" s="34"/>
      <c r="AK59" s="34"/>
      <c r="AL59" s="34"/>
      <c r="AM59" s="34"/>
      <c r="AN59" s="34"/>
      <c r="AO59" s="34"/>
      <c r="AP59" s="34"/>
      <c r="AQ59" s="34"/>
      <c r="AR59" s="34"/>
      <c r="AS59" s="35"/>
      <c r="AU59" s="30"/>
      <c r="AV59" s="31"/>
      <c r="AW59" s="31"/>
      <c r="AX59" s="32"/>
      <c r="AZ59" s="30"/>
      <c r="BA59" s="31"/>
      <c r="BB59" s="31"/>
      <c r="BC59" s="31"/>
      <c r="BD59" s="31"/>
      <c r="BE59" s="31"/>
      <c r="BF59" s="31"/>
      <c r="BG59" s="31"/>
      <c r="BH59" s="31"/>
      <c r="BI59" s="31"/>
      <c r="BJ59" s="31"/>
      <c r="BK59" s="31"/>
      <c r="BL59" s="31"/>
      <c r="BM59" s="31"/>
      <c r="BN59" s="31"/>
      <c r="BO59" s="31"/>
      <c r="BP59" s="32"/>
      <c r="BS59" s="30"/>
      <c r="BT59" s="31"/>
      <c r="BU59" s="31"/>
      <c r="BV59" s="31"/>
      <c r="BW59" s="31"/>
      <c r="BX59" s="31"/>
      <c r="BY59" s="31"/>
      <c r="BZ59" s="31"/>
      <c r="CA59" s="31"/>
      <c r="CB59" s="31"/>
      <c r="CC59" s="32"/>
      <c r="CD59" s="37"/>
      <c r="CE59" s="30"/>
      <c r="CF59" s="31"/>
      <c r="CG59" s="31"/>
      <c r="CH59" s="31"/>
      <c r="CI59" s="31"/>
      <c r="CJ59" s="31"/>
      <c r="CK59" s="31"/>
      <c r="CL59" s="31"/>
      <c r="CM59" s="32"/>
    </row>
    <row r="60" ht="12.0" customHeight="1">
      <c r="C60" s="16">
        <v>25.07</v>
      </c>
      <c r="D60" s="17"/>
      <c r="E60" s="17"/>
      <c r="F60" s="17"/>
      <c r="G60" s="18"/>
      <c r="H60" s="19"/>
      <c r="I60" s="20">
        <v>0.8541666666666666</v>
      </c>
      <c r="J60" s="17"/>
      <c r="K60" s="17"/>
      <c r="L60" s="18"/>
      <c r="M60" s="19"/>
      <c r="N60" s="21" t="str">
        <f t="array" ref="N60">xlookup(P60,qualdata!$N$2:$N$17,qualdata!$O$2:$O$17,"")</f>
        <v/>
      </c>
      <c r="O60" s="22"/>
      <c r="P60" s="23" t="str">
        <f>'Contender Schedule'!V53</f>
        <v/>
      </c>
      <c r="Q60" s="22"/>
      <c r="R60" s="22"/>
      <c r="S60" s="22"/>
      <c r="T60" s="22"/>
      <c r="U60" s="22"/>
      <c r="V60" s="22"/>
      <c r="W60" s="22"/>
      <c r="X60" s="22"/>
      <c r="Y60" s="22"/>
      <c r="Z60" s="22"/>
      <c r="AA60" s="22"/>
      <c r="AB60" s="24" t="str">
        <f>'Contender Schedule'!AH53</f>
        <v/>
      </c>
      <c r="AC60" s="9"/>
      <c r="AD60" s="24" t="str">
        <f>'Contender Schedule'!AJ53</f>
        <v/>
      </c>
      <c r="AE60" s="9"/>
      <c r="AF60" s="23" t="str">
        <f>'Contender Schedule'!AL53</f>
        <v/>
      </c>
      <c r="AG60" s="22"/>
      <c r="AH60" s="22"/>
      <c r="AI60" s="22"/>
      <c r="AJ60" s="22"/>
      <c r="AK60" s="22"/>
      <c r="AL60" s="22"/>
      <c r="AM60" s="22"/>
      <c r="AN60" s="22"/>
      <c r="AO60" s="22"/>
      <c r="AP60" s="22"/>
      <c r="AQ60" s="22"/>
      <c r="AR60" s="25" t="str">
        <f t="array" ref="AR60">xlookup(AF60,qualdata!$N$2:$N$17,qualdata!$O$2:$O$17,"")</f>
        <v/>
      </c>
      <c r="AS60" s="26"/>
      <c r="AU60" s="27" t="s">
        <v>11</v>
      </c>
      <c r="AV60" s="17"/>
      <c r="AW60" s="17"/>
      <c r="AX60" s="18"/>
      <c r="AZ60" s="27" t="s">
        <v>19</v>
      </c>
      <c r="BA60" s="17"/>
      <c r="BB60" s="17"/>
      <c r="BC60" s="17"/>
      <c r="BD60" s="17"/>
      <c r="BE60" s="17"/>
      <c r="BF60" s="17"/>
      <c r="BG60" s="17"/>
      <c r="BH60" s="17"/>
      <c r="BI60" s="17"/>
      <c r="BJ60" s="17"/>
      <c r="BK60" s="17"/>
      <c r="BL60" s="17"/>
      <c r="BM60" s="17"/>
      <c r="BN60" s="17"/>
      <c r="BO60" s="17"/>
      <c r="BP60" s="18"/>
      <c r="BS60" s="38" t="s">
        <v>13</v>
      </c>
      <c r="BT60" s="17"/>
      <c r="BU60" s="17"/>
      <c r="BV60" s="17"/>
      <c r="BW60" s="17"/>
      <c r="BX60" s="17"/>
      <c r="BY60" s="17"/>
      <c r="BZ60" s="17"/>
      <c r="CA60" s="17"/>
      <c r="CB60" s="17"/>
      <c r="CC60" s="18"/>
      <c r="CD60" s="37"/>
      <c r="CE60" s="29" t="s">
        <v>14</v>
      </c>
      <c r="CF60" s="17"/>
      <c r="CG60" s="17"/>
      <c r="CH60" s="17"/>
      <c r="CI60" s="17"/>
      <c r="CJ60" s="17"/>
      <c r="CK60" s="17"/>
      <c r="CL60" s="17"/>
      <c r="CM60" s="18"/>
    </row>
    <row r="61" ht="12.0" customHeight="1">
      <c r="C61" s="30"/>
      <c r="D61" s="31"/>
      <c r="E61" s="31"/>
      <c r="F61" s="31"/>
      <c r="G61" s="32"/>
      <c r="H61" s="19"/>
      <c r="I61" s="30"/>
      <c r="J61" s="31"/>
      <c r="K61" s="31"/>
      <c r="L61" s="32"/>
      <c r="M61" s="19"/>
      <c r="N61" s="33"/>
      <c r="O61" s="34"/>
      <c r="P61" s="34"/>
      <c r="Q61" s="34"/>
      <c r="R61" s="34"/>
      <c r="S61" s="34"/>
      <c r="T61" s="34"/>
      <c r="U61" s="34"/>
      <c r="V61" s="34"/>
      <c r="W61" s="34"/>
      <c r="X61" s="34"/>
      <c r="Y61" s="34"/>
      <c r="Z61" s="34"/>
      <c r="AA61" s="34"/>
      <c r="AB61" s="12"/>
      <c r="AC61" s="14"/>
      <c r="AD61" s="12"/>
      <c r="AE61" s="14"/>
      <c r="AF61" s="34"/>
      <c r="AG61" s="34"/>
      <c r="AH61" s="34"/>
      <c r="AI61" s="34"/>
      <c r="AJ61" s="34"/>
      <c r="AK61" s="34"/>
      <c r="AL61" s="34"/>
      <c r="AM61" s="34"/>
      <c r="AN61" s="34"/>
      <c r="AO61" s="34"/>
      <c r="AP61" s="34"/>
      <c r="AQ61" s="34"/>
      <c r="AR61" s="34"/>
      <c r="AS61" s="35"/>
      <c r="AU61" s="30"/>
      <c r="AV61" s="31"/>
      <c r="AW61" s="31"/>
      <c r="AX61" s="32"/>
      <c r="AZ61" s="30"/>
      <c r="BA61" s="31"/>
      <c r="BB61" s="31"/>
      <c r="BC61" s="31"/>
      <c r="BD61" s="31"/>
      <c r="BE61" s="31"/>
      <c r="BF61" s="31"/>
      <c r="BG61" s="31"/>
      <c r="BH61" s="31"/>
      <c r="BI61" s="31"/>
      <c r="BJ61" s="31"/>
      <c r="BK61" s="31"/>
      <c r="BL61" s="31"/>
      <c r="BM61" s="31"/>
      <c r="BN61" s="31"/>
      <c r="BO61" s="31"/>
      <c r="BP61" s="32"/>
      <c r="BS61" s="30"/>
      <c r="BT61" s="31"/>
      <c r="BU61" s="31"/>
      <c r="BV61" s="31"/>
      <c r="BW61" s="31"/>
      <c r="BX61" s="31"/>
      <c r="BY61" s="31"/>
      <c r="BZ61" s="31"/>
      <c r="CA61" s="31"/>
      <c r="CB61" s="31"/>
      <c r="CC61" s="32"/>
      <c r="CD61" s="37"/>
      <c r="CE61" s="30"/>
      <c r="CF61" s="31"/>
      <c r="CG61" s="31"/>
      <c r="CH61" s="31"/>
      <c r="CI61" s="31"/>
      <c r="CJ61" s="31"/>
      <c r="CK61" s="31"/>
      <c r="CL61" s="31"/>
      <c r="CM61" s="32"/>
    </row>
    <row r="62" ht="12.0" customHeight="1">
      <c r="C62" s="6"/>
      <c r="D62" s="6"/>
      <c r="E62" s="6"/>
      <c r="F62" s="6"/>
      <c r="G62" s="6"/>
      <c r="H62" s="6"/>
      <c r="I62" s="36"/>
      <c r="J62" s="36"/>
      <c r="K62" s="36"/>
      <c r="L62" s="36"/>
      <c r="M62" s="6"/>
      <c r="BS62" s="37"/>
      <c r="BT62" s="37"/>
      <c r="BU62" s="37"/>
      <c r="BV62" s="37"/>
      <c r="BW62" s="37"/>
      <c r="BX62" s="37"/>
      <c r="BY62" s="37"/>
      <c r="BZ62" s="37"/>
      <c r="CA62" s="37"/>
      <c r="CB62" s="37"/>
      <c r="CC62" s="37"/>
    </row>
    <row r="63" ht="12.0" customHeight="1">
      <c r="C63" s="16">
        <v>24.07</v>
      </c>
      <c r="D63" s="17"/>
      <c r="E63" s="17"/>
      <c r="F63" s="17"/>
      <c r="G63" s="18"/>
      <c r="H63" s="19"/>
      <c r="I63" s="20">
        <v>0.7291666666666666</v>
      </c>
      <c r="J63" s="17"/>
      <c r="K63" s="17"/>
      <c r="L63" s="18"/>
      <c r="M63" s="19"/>
      <c r="N63" s="21" t="str">
        <f t="array" ref="N63">xlookup(P63,qualdata!$N$2:$N$17,qualdata!$O$2:$O$17,"")</f>
        <v/>
      </c>
      <c r="O63" s="22"/>
      <c r="P63" s="23" t="str">
        <f>'Contender Schedule'!V56</f>
        <v/>
      </c>
      <c r="Q63" s="22"/>
      <c r="R63" s="22"/>
      <c r="S63" s="22"/>
      <c r="T63" s="22"/>
      <c r="U63" s="22"/>
      <c r="V63" s="22"/>
      <c r="W63" s="22"/>
      <c r="X63" s="22"/>
      <c r="Y63" s="22"/>
      <c r="Z63" s="22"/>
      <c r="AA63" s="22"/>
      <c r="AB63" s="24" t="str">
        <f>'Contender Schedule'!AH56</f>
        <v/>
      </c>
      <c r="AC63" s="9"/>
      <c r="AD63" s="24" t="str">
        <f>'Contender Schedule'!AJ56</f>
        <v/>
      </c>
      <c r="AE63" s="9"/>
      <c r="AF63" s="41" t="str">
        <f>'Contender Schedule'!AL56</f>
        <v/>
      </c>
      <c r="AR63" s="25" t="str">
        <f t="array" ref="AR63">xlookup(AF63,qualdata!$N$2:$N$17,qualdata!$O$2:$O$17,"")</f>
        <v/>
      </c>
      <c r="AS63" s="26"/>
      <c r="AU63" s="27" t="s">
        <v>11</v>
      </c>
      <c r="AV63" s="17"/>
      <c r="AW63" s="17"/>
      <c r="AX63" s="18"/>
      <c r="AZ63" s="27" t="s">
        <v>20</v>
      </c>
      <c r="BA63" s="17"/>
      <c r="BB63" s="17"/>
      <c r="BC63" s="17"/>
      <c r="BD63" s="17"/>
      <c r="BE63" s="17"/>
      <c r="BF63" s="17"/>
      <c r="BG63" s="17"/>
      <c r="BH63" s="17"/>
      <c r="BI63" s="17"/>
      <c r="BJ63" s="17"/>
      <c r="BK63" s="17"/>
      <c r="BL63" s="17"/>
      <c r="BM63" s="17"/>
      <c r="BN63" s="17"/>
      <c r="BO63" s="17"/>
      <c r="BP63" s="18"/>
      <c r="BS63" s="38" t="s">
        <v>13</v>
      </c>
      <c r="BT63" s="17"/>
      <c r="BU63" s="17"/>
      <c r="BV63" s="17"/>
      <c r="BW63" s="17"/>
      <c r="BX63" s="17"/>
      <c r="BY63" s="17"/>
      <c r="BZ63" s="17"/>
      <c r="CA63" s="17"/>
      <c r="CB63" s="17"/>
      <c r="CC63" s="18"/>
      <c r="CD63" s="37"/>
      <c r="CE63" s="29" t="s">
        <v>14</v>
      </c>
      <c r="CF63" s="17"/>
      <c r="CG63" s="17"/>
      <c r="CH63" s="17"/>
      <c r="CI63" s="17"/>
      <c r="CJ63" s="17"/>
      <c r="CK63" s="17"/>
      <c r="CL63" s="17"/>
      <c r="CM63" s="18"/>
    </row>
    <row r="64" ht="12.0" customHeight="1">
      <c r="C64" s="30"/>
      <c r="D64" s="31"/>
      <c r="E64" s="31"/>
      <c r="F64" s="31"/>
      <c r="G64" s="32"/>
      <c r="H64" s="19"/>
      <c r="I64" s="30"/>
      <c r="J64" s="31"/>
      <c r="K64" s="31"/>
      <c r="L64" s="32"/>
      <c r="M64" s="19"/>
      <c r="N64" s="33"/>
      <c r="O64" s="34"/>
      <c r="P64" s="34"/>
      <c r="Q64" s="34"/>
      <c r="R64" s="34"/>
      <c r="S64" s="34"/>
      <c r="T64" s="34"/>
      <c r="U64" s="34"/>
      <c r="V64" s="34"/>
      <c r="W64" s="34"/>
      <c r="X64" s="34"/>
      <c r="Y64" s="34"/>
      <c r="Z64" s="34"/>
      <c r="AA64" s="34"/>
      <c r="AB64" s="12"/>
      <c r="AC64" s="14"/>
      <c r="AD64" s="12"/>
      <c r="AE64" s="14"/>
      <c r="AF64" s="34"/>
      <c r="AG64" s="34"/>
      <c r="AH64" s="34"/>
      <c r="AI64" s="34"/>
      <c r="AJ64" s="34"/>
      <c r="AK64" s="34"/>
      <c r="AL64" s="34"/>
      <c r="AM64" s="34"/>
      <c r="AN64" s="34"/>
      <c r="AO64" s="34"/>
      <c r="AP64" s="34"/>
      <c r="AQ64" s="34"/>
      <c r="AR64" s="34"/>
      <c r="AS64" s="35"/>
      <c r="AU64" s="30"/>
      <c r="AV64" s="31"/>
      <c r="AW64" s="31"/>
      <c r="AX64" s="32"/>
      <c r="AZ64" s="30"/>
      <c r="BA64" s="31"/>
      <c r="BB64" s="31"/>
      <c r="BC64" s="31"/>
      <c r="BD64" s="31"/>
      <c r="BE64" s="31"/>
      <c r="BF64" s="31"/>
      <c r="BG64" s="31"/>
      <c r="BH64" s="31"/>
      <c r="BI64" s="31"/>
      <c r="BJ64" s="31"/>
      <c r="BK64" s="31"/>
      <c r="BL64" s="31"/>
      <c r="BM64" s="31"/>
      <c r="BN64" s="31"/>
      <c r="BO64" s="31"/>
      <c r="BP64" s="32"/>
      <c r="BS64" s="30"/>
      <c r="BT64" s="31"/>
      <c r="BU64" s="31"/>
      <c r="BV64" s="31"/>
      <c r="BW64" s="31"/>
      <c r="BX64" s="31"/>
      <c r="BY64" s="31"/>
      <c r="BZ64" s="31"/>
      <c r="CA64" s="31"/>
      <c r="CB64" s="31"/>
      <c r="CC64" s="32"/>
      <c r="CD64" s="37"/>
      <c r="CE64" s="30"/>
      <c r="CF64" s="31"/>
      <c r="CG64" s="31"/>
      <c r="CH64" s="31"/>
      <c r="CI64" s="31"/>
      <c r="CJ64" s="31"/>
      <c r="CK64" s="31"/>
      <c r="CL64" s="31"/>
      <c r="CM64" s="32"/>
    </row>
    <row r="65" ht="12.0" customHeight="1">
      <c r="C65" s="16">
        <v>24.07</v>
      </c>
      <c r="D65" s="17"/>
      <c r="E65" s="17"/>
      <c r="F65" s="17"/>
      <c r="G65" s="18"/>
      <c r="H65" s="19"/>
      <c r="I65" s="20">
        <v>0.8541666666666666</v>
      </c>
      <c r="J65" s="17"/>
      <c r="K65" s="17"/>
      <c r="L65" s="18"/>
      <c r="M65" s="19"/>
      <c r="N65" s="21" t="str">
        <f t="array" ref="N65">xlookup(P65,qualdata!$N$2:$N$17,qualdata!$O$2:$O$17,"")</f>
        <v/>
      </c>
      <c r="O65" s="22"/>
      <c r="P65" s="23" t="str">
        <f>'Contender Schedule'!V58</f>
        <v/>
      </c>
      <c r="Q65" s="22"/>
      <c r="R65" s="22"/>
      <c r="S65" s="22"/>
      <c r="T65" s="22"/>
      <c r="U65" s="22"/>
      <c r="V65" s="22"/>
      <c r="W65" s="22"/>
      <c r="X65" s="22"/>
      <c r="Y65" s="22"/>
      <c r="Z65" s="22"/>
      <c r="AA65" s="22"/>
      <c r="AB65" s="24" t="str">
        <f>'Contender Schedule'!AH58</f>
        <v/>
      </c>
      <c r="AC65" s="9"/>
      <c r="AD65" s="24" t="str">
        <f>'Contender Schedule'!AJ58</f>
        <v/>
      </c>
      <c r="AE65" s="9"/>
      <c r="AF65" s="23" t="str">
        <f>'Contender Schedule'!AL58</f>
        <v/>
      </c>
      <c r="AG65" s="22"/>
      <c r="AH65" s="22"/>
      <c r="AI65" s="22"/>
      <c r="AJ65" s="22"/>
      <c r="AK65" s="22"/>
      <c r="AL65" s="22"/>
      <c r="AM65" s="22"/>
      <c r="AN65" s="22"/>
      <c r="AO65" s="22"/>
      <c r="AP65" s="22"/>
      <c r="AQ65" s="22"/>
      <c r="AR65" s="25" t="str">
        <f t="array" ref="AR65">xlookup(AF65,qualdata!$N$2:$N$17,qualdata!$O$2:$O$17,"")</f>
        <v/>
      </c>
      <c r="AS65" s="26"/>
      <c r="AU65" s="27" t="s">
        <v>11</v>
      </c>
      <c r="AV65" s="17"/>
      <c r="AW65" s="17"/>
      <c r="AX65" s="18"/>
      <c r="AZ65" s="27" t="s">
        <v>21</v>
      </c>
      <c r="BA65" s="17"/>
      <c r="BB65" s="17"/>
      <c r="BC65" s="17"/>
      <c r="BD65" s="17"/>
      <c r="BE65" s="17"/>
      <c r="BF65" s="17"/>
      <c r="BG65" s="17"/>
      <c r="BH65" s="17"/>
      <c r="BI65" s="17"/>
      <c r="BJ65" s="17"/>
      <c r="BK65" s="17"/>
      <c r="BL65" s="17"/>
      <c r="BM65" s="17"/>
      <c r="BN65" s="17"/>
      <c r="BO65" s="17"/>
      <c r="BP65" s="18"/>
      <c r="BS65" s="38" t="s">
        <v>13</v>
      </c>
      <c r="BT65" s="17"/>
      <c r="BU65" s="17"/>
      <c r="BV65" s="17"/>
      <c r="BW65" s="17"/>
      <c r="BX65" s="17"/>
      <c r="BY65" s="17"/>
      <c r="BZ65" s="17"/>
      <c r="CA65" s="17"/>
      <c r="CB65" s="17"/>
      <c r="CC65" s="18"/>
      <c r="CD65" s="37"/>
      <c r="CE65" s="29" t="s">
        <v>14</v>
      </c>
      <c r="CF65" s="17"/>
      <c r="CG65" s="17"/>
      <c r="CH65" s="17"/>
      <c r="CI65" s="17"/>
      <c r="CJ65" s="17"/>
      <c r="CK65" s="17"/>
      <c r="CL65" s="17"/>
      <c r="CM65" s="18"/>
    </row>
    <row r="66" ht="12.0" customHeight="1">
      <c r="C66" s="30"/>
      <c r="D66" s="31"/>
      <c r="E66" s="31"/>
      <c r="F66" s="31"/>
      <c r="G66" s="32"/>
      <c r="H66" s="19"/>
      <c r="I66" s="30"/>
      <c r="J66" s="31"/>
      <c r="K66" s="31"/>
      <c r="L66" s="32"/>
      <c r="M66" s="19"/>
      <c r="N66" s="33"/>
      <c r="O66" s="34"/>
      <c r="P66" s="34"/>
      <c r="Q66" s="34"/>
      <c r="R66" s="34"/>
      <c r="S66" s="34"/>
      <c r="T66" s="34"/>
      <c r="U66" s="34"/>
      <c r="V66" s="34"/>
      <c r="W66" s="34"/>
      <c r="X66" s="34"/>
      <c r="Y66" s="34"/>
      <c r="Z66" s="34"/>
      <c r="AA66" s="34"/>
      <c r="AB66" s="12"/>
      <c r="AC66" s="14"/>
      <c r="AD66" s="12"/>
      <c r="AE66" s="14"/>
      <c r="AF66" s="34"/>
      <c r="AG66" s="34"/>
      <c r="AH66" s="34"/>
      <c r="AI66" s="34"/>
      <c r="AJ66" s="34"/>
      <c r="AK66" s="34"/>
      <c r="AL66" s="34"/>
      <c r="AM66" s="34"/>
      <c r="AN66" s="34"/>
      <c r="AO66" s="34"/>
      <c r="AP66" s="34"/>
      <c r="AQ66" s="34"/>
      <c r="AR66" s="34"/>
      <c r="AS66" s="35"/>
      <c r="AU66" s="30"/>
      <c r="AV66" s="31"/>
      <c r="AW66" s="31"/>
      <c r="AX66" s="32"/>
      <c r="AZ66" s="30"/>
      <c r="BA66" s="31"/>
      <c r="BB66" s="31"/>
      <c r="BC66" s="31"/>
      <c r="BD66" s="31"/>
      <c r="BE66" s="31"/>
      <c r="BF66" s="31"/>
      <c r="BG66" s="31"/>
      <c r="BH66" s="31"/>
      <c r="BI66" s="31"/>
      <c r="BJ66" s="31"/>
      <c r="BK66" s="31"/>
      <c r="BL66" s="31"/>
      <c r="BM66" s="31"/>
      <c r="BN66" s="31"/>
      <c r="BO66" s="31"/>
      <c r="BP66" s="32"/>
      <c r="BS66" s="30"/>
      <c r="BT66" s="31"/>
      <c r="BU66" s="31"/>
      <c r="BV66" s="31"/>
      <c r="BW66" s="31"/>
      <c r="BX66" s="31"/>
      <c r="BY66" s="31"/>
      <c r="BZ66" s="31"/>
      <c r="CA66" s="31"/>
      <c r="CB66" s="31"/>
      <c r="CC66" s="32"/>
      <c r="CD66" s="37"/>
      <c r="CE66" s="30"/>
      <c r="CF66" s="31"/>
      <c r="CG66" s="31"/>
      <c r="CH66" s="31"/>
      <c r="CI66" s="31"/>
      <c r="CJ66" s="31"/>
      <c r="CK66" s="31"/>
      <c r="CL66" s="31"/>
      <c r="CM66" s="32"/>
    </row>
    <row r="67" ht="12.0" customHeight="1">
      <c r="C67" s="6"/>
      <c r="D67" s="6"/>
      <c r="E67" s="6"/>
      <c r="F67" s="6"/>
      <c r="G67" s="6"/>
      <c r="H67" s="6"/>
      <c r="I67" s="36"/>
      <c r="J67" s="36"/>
      <c r="K67" s="36"/>
      <c r="L67" s="36"/>
      <c r="M67" s="6"/>
      <c r="BS67" s="37"/>
      <c r="BT67" s="37"/>
      <c r="BU67" s="37"/>
      <c r="BV67" s="37"/>
      <c r="BW67" s="37"/>
      <c r="BX67" s="37"/>
      <c r="BY67" s="37"/>
      <c r="BZ67" s="37"/>
      <c r="CA67" s="37"/>
      <c r="CB67" s="37"/>
      <c r="CC67" s="37"/>
    </row>
    <row r="68" ht="12.0" customHeight="1">
      <c r="C68" s="6"/>
      <c r="D68" s="6"/>
      <c r="E68" s="6"/>
      <c r="F68" s="6"/>
      <c r="G68" s="6"/>
      <c r="H68" s="6"/>
      <c r="I68" s="36"/>
      <c r="J68" s="36"/>
      <c r="K68" s="36"/>
      <c r="L68" s="36"/>
      <c r="M68" s="6"/>
      <c r="BS68" s="37"/>
      <c r="BT68" s="37"/>
      <c r="BU68" s="37"/>
      <c r="BV68" s="37"/>
      <c r="BW68" s="37"/>
      <c r="BX68" s="37"/>
      <c r="BY68" s="37"/>
      <c r="BZ68" s="37"/>
      <c r="CA68" s="37"/>
      <c r="CB68" s="37"/>
      <c r="CC68" s="37"/>
    </row>
    <row r="69" ht="12.0" customHeight="1">
      <c r="C69" s="16">
        <v>26.07</v>
      </c>
      <c r="D69" s="17"/>
      <c r="E69" s="17"/>
      <c r="F69" s="17"/>
      <c r="G69" s="18"/>
      <c r="H69" s="19"/>
      <c r="I69" s="20">
        <v>0.6041666666666666</v>
      </c>
      <c r="J69" s="17"/>
      <c r="K69" s="17"/>
      <c r="L69" s="18"/>
      <c r="M69" s="19"/>
      <c r="N69" s="21" t="str">
        <f t="array" ref="N69">xlookup(P69,qualdata!$N$2:$N$17,qualdata!$O$2:$O$17,"")</f>
        <v/>
      </c>
      <c r="O69" s="22"/>
      <c r="P69" s="23" t="str">
        <f>'Contender Schedule'!V62</f>
        <v/>
      </c>
      <c r="Q69" s="22"/>
      <c r="R69" s="22"/>
      <c r="S69" s="22"/>
      <c r="T69" s="22"/>
      <c r="U69" s="22"/>
      <c r="V69" s="22"/>
      <c r="W69" s="22"/>
      <c r="X69" s="22"/>
      <c r="Y69" s="22"/>
      <c r="Z69" s="22"/>
      <c r="AA69" s="22"/>
      <c r="AB69" s="24" t="str">
        <f>'Contender Schedule'!AH62</f>
        <v/>
      </c>
      <c r="AC69" s="9"/>
      <c r="AD69" s="24" t="str">
        <f>'Contender Schedule'!AJ62</f>
        <v/>
      </c>
      <c r="AE69" s="9"/>
      <c r="AF69" s="41" t="str">
        <f>'Contender Schedule'!AL62</f>
        <v/>
      </c>
      <c r="AR69" s="25" t="str">
        <f t="array" ref="AR69">xlookup(AF69,qualdata!$N$2:$N$17,qualdata!$O$2:$O$17,"")</f>
        <v/>
      </c>
      <c r="AS69" s="26"/>
      <c r="AU69" s="27" t="s">
        <v>11</v>
      </c>
      <c r="AV69" s="17"/>
      <c r="AW69" s="17"/>
      <c r="AX69" s="18"/>
      <c r="AZ69" s="27" t="s">
        <v>22</v>
      </c>
      <c r="BA69" s="17"/>
      <c r="BB69" s="17"/>
      <c r="BC69" s="17"/>
      <c r="BD69" s="17"/>
      <c r="BE69" s="17"/>
      <c r="BF69" s="17"/>
      <c r="BG69" s="17"/>
      <c r="BH69" s="17"/>
      <c r="BI69" s="17"/>
      <c r="BJ69" s="17"/>
      <c r="BK69" s="17"/>
      <c r="BL69" s="17"/>
      <c r="BM69" s="17"/>
      <c r="BN69" s="17"/>
      <c r="BO69" s="17"/>
      <c r="BP69" s="18"/>
      <c r="BS69" s="38" t="s">
        <v>13</v>
      </c>
      <c r="BT69" s="17"/>
      <c r="BU69" s="17"/>
      <c r="BV69" s="17"/>
      <c r="BW69" s="17"/>
      <c r="BX69" s="17"/>
      <c r="BY69" s="17"/>
      <c r="BZ69" s="17"/>
      <c r="CA69" s="17"/>
      <c r="CB69" s="17"/>
      <c r="CC69" s="18"/>
      <c r="CD69" s="37"/>
      <c r="CE69" s="29" t="s">
        <v>14</v>
      </c>
      <c r="CF69" s="17"/>
      <c r="CG69" s="17"/>
      <c r="CH69" s="17"/>
      <c r="CI69" s="17"/>
      <c r="CJ69" s="17"/>
      <c r="CK69" s="17"/>
      <c r="CL69" s="17"/>
      <c r="CM69" s="18"/>
    </row>
    <row r="70" ht="12.0" customHeight="1">
      <c r="C70" s="30"/>
      <c r="D70" s="31"/>
      <c r="E70" s="31"/>
      <c r="F70" s="31"/>
      <c r="G70" s="32"/>
      <c r="H70" s="19"/>
      <c r="I70" s="30"/>
      <c r="J70" s="31"/>
      <c r="K70" s="31"/>
      <c r="L70" s="32"/>
      <c r="M70" s="19"/>
      <c r="N70" s="33"/>
      <c r="O70" s="34"/>
      <c r="P70" s="34"/>
      <c r="Q70" s="34"/>
      <c r="R70" s="34"/>
      <c r="S70" s="34"/>
      <c r="T70" s="34"/>
      <c r="U70" s="34"/>
      <c r="V70" s="34"/>
      <c r="W70" s="34"/>
      <c r="X70" s="34"/>
      <c r="Y70" s="34"/>
      <c r="Z70" s="34"/>
      <c r="AA70" s="34"/>
      <c r="AB70" s="12"/>
      <c r="AC70" s="14"/>
      <c r="AD70" s="12"/>
      <c r="AE70" s="14"/>
      <c r="AF70" s="34"/>
      <c r="AG70" s="34"/>
      <c r="AH70" s="34"/>
      <c r="AI70" s="34"/>
      <c r="AJ70" s="34"/>
      <c r="AK70" s="34"/>
      <c r="AL70" s="34"/>
      <c r="AM70" s="34"/>
      <c r="AN70" s="34"/>
      <c r="AO70" s="34"/>
      <c r="AP70" s="34"/>
      <c r="AQ70" s="34"/>
      <c r="AR70" s="34"/>
      <c r="AS70" s="35"/>
      <c r="AU70" s="30"/>
      <c r="AV70" s="31"/>
      <c r="AW70" s="31"/>
      <c r="AX70" s="32"/>
      <c r="AZ70" s="30"/>
      <c r="BA70" s="31"/>
      <c r="BB70" s="31"/>
      <c r="BC70" s="31"/>
      <c r="BD70" s="31"/>
      <c r="BE70" s="31"/>
      <c r="BF70" s="31"/>
      <c r="BG70" s="31"/>
      <c r="BH70" s="31"/>
      <c r="BI70" s="31"/>
      <c r="BJ70" s="31"/>
      <c r="BK70" s="31"/>
      <c r="BL70" s="31"/>
      <c r="BM70" s="31"/>
      <c r="BN70" s="31"/>
      <c r="BO70" s="31"/>
      <c r="BP70" s="32"/>
      <c r="BS70" s="30"/>
      <c r="BT70" s="31"/>
      <c r="BU70" s="31"/>
      <c r="BV70" s="31"/>
      <c r="BW70" s="31"/>
      <c r="BX70" s="31"/>
      <c r="BY70" s="31"/>
      <c r="BZ70" s="31"/>
      <c r="CA70" s="31"/>
      <c r="CB70" s="31"/>
      <c r="CC70" s="32"/>
      <c r="CD70" s="37"/>
      <c r="CE70" s="30"/>
      <c r="CF70" s="31"/>
      <c r="CG70" s="31"/>
      <c r="CH70" s="31"/>
      <c r="CI70" s="31"/>
      <c r="CJ70" s="31"/>
      <c r="CK70" s="31"/>
      <c r="CL70" s="31"/>
      <c r="CM70" s="32"/>
    </row>
    <row r="71" ht="12.0" customHeight="1">
      <c r="C71" s="16">
        <v>26.07</v>
      </c>
      <c r="D71" s="17"/>
      <c r="E71" s="17"/>
      <c r="F71" s="17"/>
      <c r="G71" s="18"/>
      <c r="H71" s="19"/>
      <c r="I71" s="20">
        <v>0.7291666666666666</v>
      </c>
      <c r="J71" s="17"/>
      <c r="K71" s="17"/>
      <c r="L71" s="18"/>
      <c r="M71" s="19"/>
      <c r="N71" s="21" t="str">
        <f t="array" ref="N71">xlookup(P71,qualdata!$N$2:$N$17,qualdata!$O$2:$O$17,"")</f>
        <v/>
      </c>
      <c r="O71" s="22"/>
      <c r="P71" s="23" t="str">
        <f>'Contender Schedule'!V64</f>
        <v/>
      </c>
      <c r="Q71" s="22"/>
      <c r="R71" s="22"/>
      <c r="S71" s="22"/>
      <c r="T71" s="22"/>
      <c r="U71" s="22"/>
      <c r="V71" s="22"/>
      <c r="W71" s="22"/>
      <c r="X71" s="22"/>
      <c r="Y71" s="22"/>
      <c r="Z71" s="22"/>
      <c r="AA71" s="22"/>
      <c r="AB71" s="24" t="str">
        <f>'Contender Schedule'!AH64</f>
        <v/>
      </c>
      <c r="AC71" s="9"/>
      <c r="AD71" s="24" t="str">
        <f>'Contender Schedule'!AJ64</f>
        <v/>
      </c>
      <c r="AE71" s="9"/>
      <c r="AF71" s="23" t="str">
        <f>'Contender Schedule'!AL64</f>
        <v/>
      </c>
      <c r="AG71" s="22"/>
      <c r="AH71" s="22"/>
      <c r="AI71" s="22"/>
      <c r="AJ71" s="22"/>
      <c r="AK71" s="22"/>
      <c r="AL71" s="22"/>
      <c r="AM71" s="22"/>
      <c r="AN71" s="22"/>
      <c r="AO71" s="22"/>
      <c r="AP71" s="22"/>
      <c r="AQ71" s="22"/>
      <c r="AR71" s="25" t="str">
        <f t="array" ref="AR71">xlookup(AF71,qualdata!$N$2:$N$17,qualdata!$O$2:$O$17,"")</f>
        <v/>
      </c>
      <c r="AS71" s="26"/>
      <c r="AU71" s="27" t="s">
        <v>11</v>
      </c>
      <c r="AV71" s="17"/>
      <c r="AW71" s="17"/>
      <c r="AX71" s="18"/>
      <c r="AZ71" s="27" t="s">
        <v>22</v>
      </c>
      <c r="BA71" s="17"/>
      <c r="BB71" s="17"/>
      <c r="BC71" s="17"/>
      <c r="BD71" s="17"/>
      <c r="BE71" s="17"/>
      <c r="BF71" s="17"/>
      <c r="BG71" s="17"/>
      <c r="BH71" s="17"/>
      <c r="BI71" s="17"/>
      <c r="BJ71" s="17"/>
      <c r="BK71" s="17"/>
      <c r="BL71" s="17"/>
      <c r="BM71" s="17"/>
      <c r="BN71" s="17"/>
      <c r="BO71" s="17"/>
      <c r="BP71" s="18"/>
      <c r="BS71" s="38" t="s">
        <v>13</v>
      </c>
      <c r="BT71" s="17"/>
      <c r="BU71" s="17"/>
      <c r="BV71" s="17"/>
      <c r="BW71" s="17"/>
      <c r="BX71" s="17"/>
      <c r="BY71" s="17"/>
      <c r="BZ71" s="17"/>
      <c r="CA71" s="17"/>
      <c r="CB71" s="17"/>
      <c r="CC71" s="18"/>
      <c r="CD71" s="37"/>
      <c r="CE71" s="29" t="s">
        <v>14</v>
      </c>
      <c r="CF71" s="17"/>
      <c r="CG71" s="17"/>
      <c r="CH71" s="17"/>
      <c r="CI71" s="17"/>
      <c r="CJ71" s="17"/>
      <c r="CK71" s="17"/>
      <c r="CL71" s="17"/>
      <c r="CM71" s="18"/>
    </row>
    <row r="72" ht="12.0" customHeight="1">
      <c r="C72" s="30"/>
      <c r="D72" s="31"/>
      <c r="E72" s="31"/>
      <c r="F72" s="31"/>
      <c r="G72" s="32"/>
      <c r="H72" s="19"/>
      <c r="I72" s="30"/>
      <c r="J72" s="31"/>
      <c r="K72" s="31"/>
      <c r="L72" s="32"/>
      <c r="M72" s="19"/>
      <c r="N72" s="33"/>
      <c r="O72" s="34"/>
      <c r="P72" s="34"/>
      <c r="Q72" s="34"/>
      <c r="R72" s="34"/>
      <c r="S72" s="34"/>
      <c r="T72" s="34"/>
      <c r="U72" s="34"/>
      <c r="V72" s="34"/>
      <c r="W72" s="34"/>
      <c r="X72" s="34"/>
      <c r="Y72" s="34"/>
      <c r="Z72" s="34"/>
      <c r="AA72" s="34"/>
      <c r="AB72" s="12"/>
      <c r="AC72" s="14"/>
      <c r="AD72" s="12"/>
      <c r="AE72" s="14"/>
      <c r="AF72" s="34"/>
      <c r="AG72" s="34"/>
      <c r="AH72" s="34"/>
      <c r="AI72" s="34"/>
      <c r="AJ72" s="34"/>
      <c r="AK72" s="34"/>
      <c r="AL72" s="34"/>
      <c r="AM72" s="34"/>
      <c r="AN72" s="34"/>
      <c r="AO72" s="34"/>
      <c r="AP72" s="34"/>
      <c r="AQ72" s="34"/>
      <c r="AR72" s="34"/>
      <c r="AS72" s="35"/>
      <c r="AU72" s="30"/>
      <c r="AV72" s="31"/>
      <c r="AW72" s="31"/>
      <c r="AX72" s="32"/>
      <c r="AZ72" s="30"/>
      <c r="BA72" s="31"/>
      <c r="BB72" s="31"/>
      <c r="BC72" s="31"/>
      <c r="BD72" s="31"/>
      <c r="BE72" s="31"/>
      <c r="BF72" s="31"/>
      <c r="BG72" s="31"/>
      <c r="BH72" s="31"/>
      <c r="BI72" s="31"/>
      <c r="BJ72" s="31"/>
      <c r="BK72" s="31"/>
      <c r="BL72" s="31"/>
      <c r="BM72" s="31"/>
      <c r="BN72" s="31"/>
      <c r="BO72" s="31"/>
      <c r="BP72" s="32"/>
      <c r="BS72" s="30"/>
      <c r="BT72" s="31"/>
      <c r="BU72" s="31"/>
      <c r="BV72" s="31"/>
      <c r="BW72" s="31"/>
      <c r="BX72" s="31"/>
      <c r="BY72" s="31"/>
      <c r="BZ72" s="31"/>
      <c r="CA72" s="31"/>
      <c r="CB72" s="31"/>
      <c r="CC72" s="32"/>
      <c r="CD72" s="37"/>
      <c r="CE72" s="30"/>
      <c r="CF72" s="31"/>
      <c r="CG72" s="31"/>
      <c r="CH72" s="31"/>
      <c r="CI72" s="31"/>
      <c r="CJ72" s="31"/>
      <c r="CK72" s="31"/>
      <c r="CL72" s="31"/>
      <c r="CM72" s="32"/>
    </row>
    <row r="73" ht="12.0" customHeight="1">
      <c r="C73" s="16">
        <v>26.07</v>
      </c>
      <c r="D73" s="17"/>
      <c r="E73" s="17"/>
      <c r="F73" s="17"/>
      <c r="G73" s="18"/>
      <c r="H73" s="19"/>
      <c r="I73" s="20">
        <v>0.8541666666666666</v>
      </c>
      <c r="J73" s="17"/>
      <c r="K73" s="17"/>
      <c r="L73" s="18"/>
      <c r="M73" s="19"/>
      <c r="N73" s="21" t="str">
        <f t="array" ref="N73">xlookup(P73,qualdata!$N$2:$N$17,qualdata!$O$2:$O$17,"")</f>
        <v/>
      </c>
      <c r="O73" s="22"/>
      <c r="P73" s="23" t="str">
        <f>'Contender Schedule'!V66</f>
        <v/>
      </c>
      <c r="Q73" s="22"/>
      <c r="R73" s="22"/>
      <c r="S73" s="22"/>
      <c r="T73" s="22"/>
      <c r="U73" s="22"/>
      <c r="V73" s="22"/>
      <c r="W73" s="22"/>
      <c r="X73" s="22"/>
      <c r="Y73" s="22"/>
      <c r="Z73" s="22"/>
      <c r="AA73" s="22"/>
      <c r="AB73" s="24" t="str">
        <f>'Contender Schedule'!AH66</f>
        <v/>
      </c>
      <c r="AC73" s="9"/>
      <c r="AD73" s="24" t="str">
        <f>'Contender Schedule'!AJ66</f>
        <v/>
      </c>
      <c r="AE73" s="9"/>
      <c r="AF73" s="23" t="str">
        <f>'Contender Schedule'!AL66</f>
        <v/>
      </c>
      <c r="AG73" s="22"/>
      <c r="AH73" s="22"/>
      <c r="AI73" s="22"/>
      <c r="AJ73" s="22"/>
      <c r="AK73" s="22"/>
      <c r="AL73" s="22"/>
      <c r="AM73" s="22"/>
      <c r="AN73" s="22"/>
      <c r="AO73" s="22"/>
      <c r="AP73" s="22"/>
      <c r="AQ73" s="22"/>
      <c r="AR73" s="25" t="str">
        <f t="array" ref="AR73">xlookup(AF73,qualdata!$N$2:$N$17,qualdata!$O$2:$O$17,"")</f>
        <v/>
      </c>
      <c r="AS73" s="26"/>
      <c r="AU73" s="27" t="s">
        <v>11</v>
      </c>
      <c r="AV73" s="17"/>
      <c r="AW73" s="17"/>
      <c r="AX73" s="18"/>
      <c r="AZ73" s="27" t="s">
        <v>22</v>
      </c>
      <c r="BA73" s="17"/>
      <c r="BB73" s="17"/>
      <c r="BC73" s="17"/>
      <c r="BD73" s="17"/>
      <c r="BE73" s="17"/>
      <c r="BF73" s="17"/>
      <c r="BG73" s="17"/>
      <c r="BH73" s="17"/>
      <c r="BI73" s="17"/>
      <c r="BJ73" s="17"/>
      <c r="BK73" s="17"/>
      <c r="BL73" s="17"/>
      <c r="BM73" s="17"/>
      <c r="BN73" s="17"/>
      <c r="BO73" s="17"/>
      <c r="BP73" s="18"/>
      <c r="BS73" s="38" t="s">
        <v>13</v>
      </c>
      <c r="BT73" s="17"/>
      <c r="BU73" s="17"/>
      <c r="BV73" s="17"/>
      <c r="BW73" s="17"/>
      <c r="BX73" s="17"/>
      <c r="BY73" s="17"/>
      <c r="BZ73" s="17"/>
      <c r="CA73" s="17"/>
      <c r="CB73" s="17"/>
      <c r="CC73" s="18"/>
      <c r="CD73" s="37"/>
      <c r="CE73" s="29" t="s">
        <v>14</v>
      </c>
      <c r="CF73" s="17"/>
      <c r="CG73" s="17"/>
      <c r="CH73" s="17"/>
      <c r="CI73" s="17"/>
      <c r="CJ73" s="17"/>
      <c r="CK73" s="17"/>
      <c r="CL73" s="17"/>
      <c r="CM73" s="18"/>
    </row>
    <row r="74" ht="12.0" customHeight="1">
      <c r="C74" s="30"/>
      <c r="D74" s="31"/>
      <c r="E74" s="31"/>
      <c r="F74" s="31"/>
      <c r="G74" s="32"/>
      <c r="H74" s="19"/>
      <c r="I74" s="30"/>
      <c r="J74" s="31"/>
      <c r="K74" s="31"/>
      <c r="L74" s="32"/>
      <c r="M74" s="19"/>
      <c r="N74" s="33"/>
      <c r="O74" s="34"/>
      <c r="P74" s="34"/>
      <c r="Q74" s="34"/>
      <c r="R74" s="34"/>
      <c r="S74" s="34"/>
      <c r="T74" s="34"/>
      <c r="U74" s="34"/>
      <c r="V74" s="34"/>
      <c r="W74" s="34"/>
      <c r="X74" s="34"/>
      <c r="Y74" s="34"/>
      <c r="Z74" s="34"/>
      <c r="AA74" s="34"/>
      <c r="AB74" s="12"/>
      <c r="AC74" s="14"/>
      <c r="AD74" s="12"/>
      <c r="AE74" s="14"/>
      <c r="AF74" s="34"/>
      <c r="AG74" s="34"/>
      <c r="AH74" s="34"/>
      <c r="AI74" s="34"/>
      <c r="AJ74" s="34"/>
      <c r="AK74" s="34"/>
      <c r="AL74" s="34"/>
      <c r="AM74" s="34"/>
      <c r="AN74" s="34"/>
      <c r="AO74" s="34"/>
      <c r="AP74" s="34"/>
      <c r="AQ74" s="34"/>
      <c r="AR74" s="34"/>
      <c r="AS74" s="35"/>
      <c r="AU74" s="30"/>
      <c r="AV74" s="31"/>
      <c r="AW74" s="31"/>
      <c r="AX74" s="32"/>
      <c r="AZ74" s="30"/>
      <c r="BA74" s="31"/>
      <c r="BB74" s="31"/>
      <c r="BC74" s="31"/>
      <c r="BD74" s="31"/>
      <c r="BE74" s="31"/>
      <c r="BF74" s="31"/>
      <c r="BG74" s="31"/>
      <c r="BH74" s="31"/>
      <c r="BI74" s="31"/>
      <c r="BJ74" s="31"/>
      <c r="BK74" s="31"/>
      <c r="BL74" s="31"/>
      <c r="BM74" s="31"/>
      <c r="BN74" s="31"/>
      <c r="BO74" s="31"/>
      <c r="BP74" s="32"/>
      <c r="BS74" s="30"/>
      <c r="BT74" s="31"/>
      <c r="BU74" s="31"/>
      <c r="BV74" s="31"/>
      <c r="BW74" s="31"/>
      <c r="BX74" s="31"/>
      <c r="BY74" s="31"/>
      <c r="BZ74" s="31"/>
      <c r="CA74" s="31"/>
      <c r="CB74" s="31"/>
      <c r="CC74" s="32"/>
      <c r="CD74" s="37"/>
      <c r="CE74" s="30"/>
      <c r="CF74" s="31"/>
      <c r="CG74" s="31"/>
      <c r="CH74" s="31"/>
      <c r="CI74" s="31"/>
      <c r="CJ74" s="31"/>
      <c r="CK74" s="31"/>
      <c r="CL74" s="31"/>
      <c r="CM74" s="32"/>
    </row>
    <row r="75" ht="12.0" customHeight="1">
      <c r="C75" s="6"/>
      <c r="D75" s="6"/>
      <c r="E75" s="6"/>
      <c r="F75" s="6"/>
      <c r="G75" s="6"/>
      <c r="H75" s="6"/>
      <c r="I75" s="36"/>
      <c r="J75" s="36"/>
      <c r="K75" s="36"/>
      <c r="L75" s="36"/>
      <c r="M75" s="6"/>
      <c r="BS75" s="37"/>
      <c r="BT75" s="37"/>
      <c r="BU75" s="37"/>
      <c r="BV75" s="37"/>
      <c r="BW75" s="37"/>
      <c r="BX75" s="37"/>
      <c r="BY75" s="37"/>
      <c r="BZ75" s="37"/>
      <c r="CA75" s="37"/>
      <c r="CB75" s="37"/>
      <c r="CC75" s="37"/>
    </row>
    <row r="76" ht="12.0" customHeight="1">
      <c r="C76" s="16">
        <v>27.07</v>
      </c>
      <c r="D76" s="17"/>
      <c r="E76" s="17"/>
      <c r="F76" s="17"/>
      <c r="G76" s="18"/>
      <c r="H76" s="19"/>
      <c r="I76" s="20">
        <v>0.6041666666666666</v>
      </c>
      <c r="J76" s="17"/>
      <c r="K76" s="17"/>
      <c r="L76" s="18"/>
      <c r="M76" s="19"/>
      <c r="N76" s="21" t="str">
        <f t="array" ref="N76">xlookup(P76,qualdata!$N$2:$N$17,qualdata!$O$2:$O$17,"")</f>
        <v/>
      </c>
      <c r="O76" s="22"/>
      <c r="P76" s="23" t="str">
        <f>'Contender Schedule'!V69</f>
        <v/>
      </c>
      <c r="Q76" s="22"/>
      <c r="R76" s="22"/>
      <c r="S76" s="22"/>
      <c r="T76" s="22"/>
      <c r="U76" s="22"/>
      <c r="V76" s="22"/>
      <c r="W76" s="22"/>
      <c r="X76" s="22"/>
      <c r="Y76" s="22"/>
      <c r="Z76" s="22"/>
      <c r="AA76" s="22"/>
      <c r="AB76" s="24" t="str">
        <f>'Contender Schedule'!AH69</f>
        <v/>
      </c>
      <c r="AC76" s="9"/>
      <c r="AD76" s="24" t="str">
        <f>'Contender Schedule'!AJ69</f>
        <v/>
      </c>
      <c r="AE76" s="9"/>
      <c r="AF76" s="41" t="str">
        <f>'Contender Schedule'!AL69</f>
        <v/>
      </c>
      <c r="AR76" s="25" t="str">
        <f t="array" ref="AR76">xlookup(AF76,qualdata!$N$2:$N$17,qualdata!$O$2:$O$17,"")</f>
        <v/>
      </c>
      <c r="AS76" s="26"/>
      <c r="AU76" s="27" t="s">
        <v>11</v>
      </c>
      <c r="AV76" s="17"/>
      <c r="AW76" s="17"/>
      <c r="AX76" s="18"/>
      <c r="AZ76" s="27" t="s">
        <v>23</v>
      </c>
      <c r="BA76" s="17"/>
      <c r="BB76" s="17"/>
      <c r="BC76" s="17"/>
      <c r="BD76" s="17"/>
      <c r="BE76" s="17"/>
      <c r="BF76" s="17"/>
      <c r="BG76" s="17"/>
      <c r="BH76" s="17"/>
      <c r="BI76" s="17"/>
      <c r="BJ76" s="17"/>
      <c r="BK76" s="17"/>
      <c r="BL76" s="17"/>
      <c r="BM76" s="17"/>
      <c r="BN76" s="17"/>
      <c r="BO76" s="17"/>
      <c r="BP76" s="18"/>
      <c r="BS76" s="38" t="s">
        <v>13</v>
      </c>
      <c r="BT76" s="17"/>
      <c r="BU76" s="17"/>
      <c r="BV76" s="17"/>
      <c r="BW76" s="17"/>
      <c r="BX76" s="17"/>
      <c r="BY76" s="17"/>
      <c r="BZ76" s="17"/>
      <c r="CA76" s="17"/>
      <c r="CB76" s="17"/>
      <c r="CC76" s="18"/>
      <c r="CD76" s="37"/>
      <c r="CE76" s="29" t="s">
        <v>14</v>
      </c>
      <c r="CF76" s="17"/>
      <c r="CG76" s="17"/>
      <c r="CH76" s="17"/>
      <c r="CI76" s="17"/>
      <c r="CJ76" s="17"/>
      <c r="CK76" s="17"/>
      <c r="CL76" s="17"/>
      <c r="CM76" s="18"/>
    </row>
    <row r="77" ht="12.0" customHeight="1">
      <c r="C77" s="30"/>
      <c r="D77" s="31"/>
      <c r="E77" s="31"/>
      <c r="F77" s="31"/>
      <c r="G77" s="32"/>
      <c r="H77" s="19"/>
      <c r="I77" s="30"/>
      <c r="J77" s="31"/>
      <c r="K77" s="31"/>
      <c r="L77" s="32"/>
      <c r="M77" s="19"/>
      <c r="N77" s="33"/>
      <c r="O77" s="34"/>
      <c r="P77" s="34"/>
      <c r="Q77" s="34"/>
      <c r="R77" s="34"/>
      <c r="S77" s="34"/>
      <c r="T77" s="34"/>
      <c r="U77" s="34"/>
      <c r="V77" s="34"/>
      <c r="W77" s="34"/>
      <c r="X77" s="34"/>
      <c r="Y77" s="34"/>
      <c r="Z77" s="34"/>
      <c r="AA77" s="34"/>
      <c r="AB77" s="12"/>
      <c r="AC77" s="14"/>
      <c r="AD77" s="12"/>
      <c r="AE77" s="14"/>
      <c r="AF77" s="34"/>
      <c r="AG77" s="34"/>
      <c r="AH77" s="34"/>
      <c r="AI77" s="34"/>
      <c r="AJ77" s="34"/>
      <c r="AK77" s="34"/>
      <c r="AL77" s="34"/>
      <c r="AM77" s="34"/>
      <c r="AN77" s="34"/>
      <c r="AO77" s="34"/>
      <c r="AP77" s="34"/>
      <c r="AQ77" s="34"/>
      <c r="AR77" s="34"/>
      <c r="AS77" s="35"/>
      <c r="AU77" s="30"/>
      <c r="AV77" s="31"/>
      <c r="AW77" s="31"/>
      <c r="AX77" s="32"/>
      <c r="AZ77" s="30"/>
      <c r="BA77" s="31"/>
      <c r="BB77" s="31"/>
      <c r="BC77" s="31"/>
      <c r="BD77" s="31"/>
      <c r="BE77" s="31"/>
      <c r="BF77" s="31"/>
      <c r="BG77" s="31"/>
      <c r="BH77" s="31"/>
      <c r="BI77" s="31"/>
      <c r="BJ77" s="31"/>
      <c r="BK77" s="31"/>
      <c r="BL77" s="31"/>
      <c r="BM77" s="31"/>
      <c r="BN77" s="31"/>
      <c r="BO77" s="31"/>
      <c r="BP77" s="32"/>
      <c r="BS77" s="30"/>
      <c r="BT77" s="31"/>
      <c r="BU77" s="31"/>
      <c r="BV77" s="31"/>
      <c r="BW77" s="31"/>
      <c r="BX77" s="31"/>
      <c r="BY77" s="31"/>
      <c r="BZ77" s="31"/>
      <c r="CA77" s="31"/>
      <c r="CB77" s="31"/>
      <c r="CC77" s="32"/>
      <c r="CD77" s="37"/>
      <c r="CE77" s="30"/>
      <c r="CF77" s="31"/>
      <c r="CG77" s="31"/>
      <c r="CH77" s="31"/>
      <c r="CI77" s="31"/>
      <c r="CJ77" s="31"/>
      <c r="CK77" s="31"/>
      <c r="CL77" s="31"/>
      <c r="CM77" s="32"/>
    </row>
    <row r="78" ht="12.0" customHeight="1">
      <c r="C78" s="16">
        <v>27.07</v>
      </c>
      <c r="D78" s="17"/>
      <c r="E78" s="17"/>
      <c r="F78" s="17"/>
      <c r="G78" s="18"/>
      <c r="H78" s="19"/>
      <c r="I78" s="20">
        <v>0.7291666666666666</v>
      </c>
      <c r="J78" s="17"/>
      <c r="K78" s="17"/>
      <c r="L78" s="18"/>
      <c r="M78" s="19"/>
      <c r="N78" s="21" t="str">
        <f t="array" ref="N78">xlookup(P78,qualdata!$N$2:$N$17,qualdata!$O$2:$O$17,"")</f>
        <v/>
      </c>
      <c r="O78" s="22"/>
      <c r="P78" s="23" t="str">
        <f>'Contender Schedule'!V71</f>
        <v/>
      </c>
      <c r="Q78" s="22"/>
      <c r="R78" s="22"/>
      <c r="S78" s="22"/>
      <c r="T78" s="22"/>
      <c r="U78" s="22"/>
      <c r="V78" s="22"/>
      <c r="W78" s="22"/>
      <c r="X78" s="22"/>
      <c r="Y78" s="22"/>
      <c r="Z78" s="22"/>
      <c r="AA78" s="22"/>
      <c r="AB78" s="24" t="str">
        <f>'Contender Schedule'!AH71</f>
        <v/>
      </c>
      <c r="AC78" s="9"/>
      <c r="AD78" s="24" t="str">
        <f>'Contender Schedule'!AJ71</f>
        <v/>
      </c>
      <c r="AE78" s="9"/>
      <c r="AF78" s="23" t="str">
        <f>'Contender Schedule'!AL71</f>
        <v/>
      </c>
      <c r="AG78" s="22"/>
      <c r="AH78" s="22"/>
      <c r="AI78" s="22"/>
      <c r="AJ78" s="22"/>
      <c r="AK78" s="22"/>
      <c r="AL78" s="22"/>
      <c r="AM78" s="22"/>
      <c r="AN78" s="22"/>
      <c r="AO78" s="22"/>
      <c r="AP78" s="22"/>
      <c r="AQ78" s="22"/>
      <c r="AR78" s="25" t="str">
        <f t="array" ref="AR78">xlookup(AF78,qualdata!$N$2:$N$17,qualdata!$O$2:$O$17,"")</f>
        <v/>
      </c>
      <c r="AS78" s="26"/>
      <c r="AU78" s="27" t="s">
        <v>11</v>
      </c>
      <c r="AV78" s="17"/>
      <c r="AW78" s="17"/>
      <c r="AX78" s="18"/>
      <c r="AZ78" s="27" t="s">
        <v>24</v>
      </c>
      <c r="BA78" s="17"/>
      <c r="BB78" s="17"/>
      <c r="BC78" s="17"/>
      <c r="BD78" s="17"/>
      <c r="BE78" s="17"/>
      <c r="BF78" s="17"/>
      <c r="BG78" s="17"/>
      <c r="BH78" s="17"/>
      <c r="BI78" s="17"/>
      <c r="BJ78" s="17"/>
      <c r="BK78" s="17"/>
      <c r="BL78" s="17"/>
      <c r="BM78" s="17"/>
      <c r="BN78" s="17"/>
      <c r="BO78" s="17"/>
      <c r="BP78" s="18"/>
      <c r="BS78" s="38" t="s">
        <v>13</v>
      </c>
      <c r="BT78" s="17"/>
      <c r="BU78" s="17"/>
      <c r="BV78" s="17"/>
      <c r="BW78" s="17"/>
      <c r="BX78" s="17"/>
      <c r="BY78" s="17"/>
      <c r="BZ78" s="17"/>
      <c r="CA78" s="17"/>
      <c r="CB78" s="17"/>
      <c r="CC78" s="18"/>
      <c r="CD78" s="37"/>
      <c r="CE78" s="29" t="s">
        <v>14</v>
      </c>
      <c r="CF78" s="17"/>
      <c r="CG78" s="17"/>
      <c r="CH78" s="17"/>
      <c r="CI78" s="17"/>
      <c r="CJ78" s="17"/>
      <c r="CK78" s="17"/>
      <c r="CL78" s="17"/>
      <c r="CM78" s="18"/>
    </row>
    <row r="79" ht="12.0" customHeight="1">
      <c r="C79" s="30"/>
      <c r="D79" s="31"/>
      <c r="E79" s="31"/>
      <c r="F79" s="31"/>
      <c r="G79" s="32"/>
      <c r="H79" s="19"/>
      <c r="I79" s="30"/>
      <c r="J79" s="31"/>
      <c r="K79" s="31"/>
      <c r="L79" s="32"/>
      <c r="M79" s="19"/>
      <c r="N79" s="33"/>
      <c r="O79" s="34"/>
      <c r="P79" s="34"/>
      <c r="Q79" s="34"/>
      <c r="R79" s="34"/>
      <c r="S79" s="34"/>
      <c r="T79" s="34"/>
      <c r="U79" s="34"/>
      <c r="V79" s="34"/>
      <c r="W79" s="34"/>
      <c r="X79" s="34"/>
      <c r="Y79" s="34"/>
      <c r="Z79" s="34"/>
      <c r="AA79" s="34"/>
      <c r="AB79" s="12"/>
      <c r="AC79" s="14"/>
      <c r="AD79" s="12"/>
      <c r="AE79" s="14"/>
      <c r="AF79" s="34"/>
      <c r="AG79" s="34"/>
      <c r="AH79" s="34"/>
      <c r="AI79" s="34"/>
      <c r="AJ79" s="34"/>
      <c r="AK79" s="34"/>
      <c r="AL79" s="34"/>
      <c r="AM79" s="34"/>
      <c r="AN79" s="34"/>
      <c r="AO79" s="34"/>
      <c r="AP79" s="34"/>
      <c r="AQ79" s="34"/>
      <c r="AR79" s="34"/>
      <c r="AS79" s="35"/>
      <c r="AU79" s="30"/>
      <c r="AV79" s="31"/>
      <c r="AW79" s="31"/>
      <c r="AX79" s="32"/>
      <c r="AZ79" s="30"/>
      <c r="BA79" s="31"/>
      <c r="BB79" s="31"/>
      <c r="BC79" s="31"/>
      <c r="BD79" s="31"/>
      <c r="BE79" s="31"/>
      <c r="BF79" s="31"/>
      <c r="BG79" s="31"/>
      <c r="BH79" s="31"/>
      <c r="BI79" s="31"/>
      <c r="BJ79" s="31"/>
      <c r="BK79" s="31"/>
      <c r="BL79" s="31"/>
      <c r="BM79" s="31"/>
      <c r="BN79" s="31"/>
      <c r="BO79" s="31"/>
      <c r="BP79" s="32"/>
      <c r="BS79" s="30"/>
      <c r="BT79" s="31"/>
      <c r="BU79" s="31"/>
      <c r="BV79" s="31"/>
      <c r="BW79" s="31"/>
      <c r="BX79" s="31"/>
      <c r="BY79" s="31"/>
      <c r="BZ79" s="31"/>
      <c r="CA79" s="31"/>
      <c r="CB79" s="31"/>
      <c r="CC79" s="32"/>
      <c r="CD79" s="37"/>
      <c r="CE79" s="30"/>
      <c r="CF79" s="31"/>
      <c r="CG79" s="31"/>
      <c r="CH79" s="31"/>
      <c r="CI79" s="31"/>
      <c r="CJ79" s="31"/>
      <c r="CK79" s="31"/>
      <c r="CL79" s="31"/>
      <c r="CM79" s="32"/>
    </row>
    <row r="80" ht="12.0" customHeight="1">
      <c r="C80" s="16">
        <v>27.07</v>
      </c>
      <c r="D80" s="17"/>
      <c r="E80" s="17"/>
      <c r="F80" s="17"/>
      <c r="G80" s="18"/>
      <c r="H80" s="19"/>
      <c r="I80" s="20">
        <v>0.8541666666666666</v>
      </c>
      <c r="J80" s="17"/>
      <c r="K80" s="17"/>
      <c r="L80" s="18"/>
      <c r="M80" s="19"/>
      <c r="N80" s="21" t="str">
        <f t="array" ref="N80">xlookup(P80,qualdata!$N$2:$N$17,qualdata!$O$2:$O$17,"")</f>
        <v/>
      </c>
      <c r="O80" s="22"/>
      <c r="P80" s="23" t="str">
        <f>'Contender Schedule'!V73</f>
        <v/>
      </c>
      <c r="Q80" s="22"/>
      <c r="R80" s="22"/>
      <c r="S80" s="22"/>
      <c r="T80" s="22"/>
      <c r="U80" s="22"/>
      <c r="V80" s="22"/>
      <c r="W80" s="22"/>
      <c r="X80" s="22"/>
      <c r="Y80" s="22"/>
      <c r="Z80" s="22"/>
      <c r="AA80" s="22"/>
      <c r="AB80" s="24" t="str">
        <f>'Contender Schedule'!AH73</f>
        <v/>
      </c>
      <c r="AC80" s="9"/>
      <c r="AD80" s="24" t="str">
        <f>'Contender Schedule'!AJ73</f>
        <v/>
      </c>
      <c r="AE80" s="9"/>
      <c r="AF80" s="23" t="str">
        <f>'Contender Schedule'!AL73</f>
        <v/>
      </c>
      <c r="AG80" s="22"/>
      <c r="AH80" s="22"/>
      <c r="AI80" s="22"/>
      <c r="AJ80" s="22"/>
      <c r="AK80" s="22"/>
      <c r="AL80" s="22"/>
      <c r="AM80" s="22"/>
      <c r="AN80" s="22"/>
      <c r="AO80" s="22"/>
      <c r="AP80" s="22"/>
      <c r="AQ80" s="22"/>
      <c r="AR80" s="25" t="str">
        <f t="array" ref="AR80">xlookup(AF80,qualdata!$N$2:$N$17,qualdata!$O$2:$O$17,"")</f>
        <v/>
      </c>
      <c r="AS80" s="26"/>
      <c r="AU80" s="27" t="s">
        <v>11</v>
      </c>
      <c r="AV80" s="17"/>
      <c r="AW80" s="17"/>
      <c r="AX80" s="18"/>
      <c r="AZ80" s="27" t="s">
        <v>25</v>
      </c>
      <c r="BA80" s="17"/>
      <c r="BB80" s="17"/>
      <c r="BC80" s="17"/>
      <c r="BD80" s="17"/>
      <c r="BE80" s="17"/>
      <c r="BF80" s="17"/>
      <c r="BG80" s="17"/>
      <c r="BH80" s="17"/>
      <c r="BI80" s="17"/>
      <c r="BJ80" s="17"/>
      <c r="BK80" s="17"/>
      <c r="BL80" s="17"/>
      <c r="BM80" s="17"/>
      <c r="BN80" s="17"/>
      <c r="BO80" s="17"/>
      <c r="BP80" s="18"/>
      <c r="BS80" s="38" t="s">
        <v>13</v>
      </c>
      <c r="BT80" s="17"/>
      <c r="BU80" s="17"/>
      <c r="BV80" s="17"/>
      <c r="BW80" s="17"/>
      <c r="BX80" s="17"/>
      <c r="BY80" s="17"/>
      <c r="BZ80" s="17"/>
      <c r="CA80" s="17"/>
      <c r="CB80" s="17"/>
      <c r="CC80" s="18"/>
      <c r="CD80" s="37"/>
      <c r="CE80" s="29" t="s">
        <v>14</v>
      </c>
      <c r="CF80" s="17"/>
      <c r="CG80" s="17"/>
      <c r="CH80" s="17"/>
      <c r="CI80" s="17"/>
      <c r="CJ80" s="17"/>
      <c r="CK80" s="17"/>
      <c r="CL80" s="17"/>
      <c r="CM80" s="18"/>
    </row>
    <row r="81" ht="12.0" customHeight="1">
      <c r="C81" s="30"/>
      <c r="D81" s="31"/>
      <c r="E81" s="31"/>
      <c r="F81" s="31"/>
      <c r="G81" s="32"/>
      <c r="H81" s="19"/>
      <c r="I81" s="30"/>
      <c r="J81" s="31"/>
      <c r="K81" s="31"/>
      <c r="L81" s="32"/>
      <c r="M81" s="19"/>
      <c r="N81" s="33"/>
      <c r="O81" s="34"/>
      <c r="P81" s="34"/>
      <c r="Q81" s="34"/>
      <c r="R81" s="34"/>
      <c r="S81" s="34"/>
      <c r="T81" s="34"/>
      <c r="U81" s="34"/>
      <c r="V81" s="34"/>
      <c r="W81" s="34"/>
      <c r="X81" s="34"/>
      <c r="Y81" s="34"/>
      <c r="Z81" s="34"/>
      <c r="AA81" s="34"/>
      <c r="AB81" s="12"/>
      <c r="AC81" s="14"/>
      <c r="AD81" s="12"/>
      <c r="AE81" s="14"/>
      <c r="AF81" s="34"/>
      <c r="AG81" s="34"/>
      <c r="AH81" s="34"/>
      <c r="AI81" s="34"/>
      <c r="AJ81" s="34"/>
      <c r="AK81" s="34"/>
      <c r="AL81" s="34"/>
      <c r="AM81" s="34"/>
      <c r="AN81" s="34"/>
      <c r="AO81" s="34"/>
      <c r="AP81" s="34"/>
      <c r="AQ81" s="34"/>
      <c r="AR81" s="34"/>
      <c r="AS81" s="35"/>
      <c r="AU81" s="30"/>
      <c r="AV81" s="31"/>
      <c r="AW81" s="31"/>
      <c r="AX81" s="32"/>
      <c r="AZ81" s="30"/>
      <c r="BA81" s="31"/>
      <c r="BB81" s="31"/>
      <c r="BC81" s="31"/>
      <c r="BD81" s="31"/>
      <c r="BE81" s="31"/>
      <c r="BF81" s="31"/>
      <c r="BG81" s="31"/>
      <c r="BH81" s="31"/>
      <c r="BI81" s="31"/>
      <c r="BJ81" s="31"/>
      <c r="BK81" s="31"/>
      <c r="BL81" s="31"/>
      <c r="BM81" s="31"/>
      <c r="BN81" s="31"/>
      <c r="BO81" s="31"/>
      <c r="BP81" s="32"/>
      <c r="BS81" s="30"/>
      <c r="BT81" s="31"/>
      <c r="BU81" s="31"/>
      <c r="BV81" s="31"/>
      <c r="BW81" s="31"/>
      <c r="BX81" s="31"/>
      <c r="BY81" s="31"/>
      <c r="BZ81" s="31"/>
      <c r="CA81" s="31"/>
      <c r="CB81" s="31"/>
      <c r="CC81" s="32"/>
      <c r="CD81" s="37"/>
      <c r="CE81" s="30"/>
      <c r="CF81" s="31"/>
      <c r="CG81" s="31"/>
      <c r="CH81" s="31"/>
      <c r="CI81" s="31"/>
      <c r="CJ81" s="31"/>
      <c r="CK81" s="31"/>
      <c r="CL81" s="31"/>
      <c r="CM81" s="32"/>
    </row>
    <row r="82" ht="12.0" customHeight="1">
      <c r="C82" s="6"/>
      <c r="D82" s="6"/>
      <c r="E82" s="6"/>
      <c r="F82" s="6"/>
      <c r="G82" s="6"/>
      <c r="H82" s="6"/>
      <c r="I82" s="36"/>
      <c r="J82" s="36"/>
      <c r="K82" s="36"/>
      <c r="L82" s="36"/>
      <c r="M82" s="6"/>
      <c r="BS82" s="37"/>
      <c r="BT82" s="37"/>
      <c r="BU82" s="37"/>
      <c r="BV82" s="37"/>
      <c r="BW82" s="37"/>
      <c r="BX82" s="37"/>
      <c r="BY82" s="37"/>
      <c r="BZ82" s="37"/>
      <c r="CA82" s="37"/>
      <c r="CB82" s="37"/>
      <c r="CC82" s="37"/>
    </row>
    <row r="83" ht="12.0" customHeight="1">
      <c r="C83" s="6"/>
      <c r="D83" s="6"/>
      <c r="E83" s="6"/>
      <c r="F83" s="6"/>
      <c r="G83" s="6"/>
      <c r="H83" s="6"/>
      <c r="I83" s="36"/>
      <c r="J83" s="36"/>
      <c r="K83" s="36"/>
      <c r="L83" s="36"/>
      <c r="M83" s="6"/>
      <c r="BS83" s="37"/>
      <c r="BT83" s="37"/>
      <c r="BU83" s="37"/>
      <c r="BV83" s="37"/>
      <c r="BW83" s="37"/>
      <c r="BX83" s="37"/>
      <c r="BY83" s="37"/>
      <c r="BZ83" s="37"/>
      <c r="CA83" s="37"/>
      <c r="CB83" s="37"/>
      <c r="CC83" s="37"/>
    </row>
    <row r="84" ht="12.0" customHeight="1">
      <c r="C84" s="16">
        <v>28.07</v>
      </c>
      <c r="D84" s="17"/>
      <c r="E84" s="17"/>
      <c r="F84" s="17"/>
      <c r="G84" s="18"/>
      <c r="H84" s="19"/>
      <c r="I84" s="20">
        <v>0.6041666666666666</v>
      </c>
      <c r="J84" s="17"/>
      <c r="K84" s="17"/>
      <c r="L84" s="18"/>
      <c r="M84" s="19"/>
      <c r="N84" s="21" t="str">
        <f t="array" ref="N84">xlookup(P84,qualdata!$N$2:$N$17,qualdata!$O$2:$O$17,"")</f>
        <v/>
      </c>
      <c r="O84" s="22"/>
      <c r="P84" s="23" t="str">
        <f>'Contender Schedule'!V77</f>
        <v/>
      </c>
      <c r="Q84" s="22"/>
      <c r="R84" s="22"/>
      <c r="S84" s="22"/>
      <c r="T84" s="22"/>
      <c r="U84" s="22"/>
      <c r="V84" s="22"/>
      <c r="W84" s="22"/>
      <c r="X84" s="22"/>
      <c r="Y84" s="22"/>
      <c r="Z84" s="22"/>
      <c r="AA84" s="22"/>
      <c r="AB84" s="24" t="str">
        <f>'Contender Schedule'!AH77</f>
        <v/>
      </c>
      <c r="AC84" s="9"/>
      <c r="AD84" s="24" t="str">
        <f>'Contender Schedule'!AJ77</f>
        <v/>
      </c>
      <c r="AE84" s="9"/>
      <c r="AF84" s="41" t="str">
        <f>'Contender Schedule'!AL77</f>
        <v/>
      </c>
      <c r="AR84" s="25" t="str">
        <f t="array" ref="AR84">xlookup(AF84,qualdata!$N$2:$N$17,qualdata!$O$2:$O$17,"")</f>
        <v/>
      </c>
      <c r="AS84" s="26"/>
      <c r="AU84" s="27" t="s">
        <v>11</v>
      </c>
      <c r="AV84" s="17"/>
      <c r="AW84" s="17"/>
      <c r="AX84" s="18"/>
      <c r="AZ84" s="27" t="s">
        <v>26</v>
      </c>
      <c r="BA84" s="17"/>
      <c r="BB84" s="17"/>
      <c r="BC84" s="17"/>
      <c r="BD84" s="17"/>
      <c r="BE84" s="17"/>
      <c r="BF84" s="17"/>
      <c r="BG84" s="17"/>
      <c r="BH84" s="17"/>
      <c r="BI84" s="17"/>
      <c r="BJ84" s="17"/>
      <c r="BK84" s="17"/>
      <c r="BL84" s="17"/>
      <c r="BM84" s="17"/>
      <c r="BN84" s="17"/>
      <c r="BO84" s="17"/>
      <c r="BP84" s="18"/>
      <c r="BS84" s="38" t="s">
        <v>13</v>
      </c>
      <c r="BT84" s="17"/>
      <c r="BU84" s="17"/>
      <c r="BV84" s="17"/>
      <c r="BW84" s="17"/>
      <c r="BX84" s="17"/>
      <c r="BY84" s="17"/>
      <c r="BZ84" s="17"/>
      <c r="CA84" s="17"/>
      <c r="CB84" s="17"/>
      <c r="CC84" s="18"/>
      <c r="CD84" s="37"/>
      <c r="CE84" s="29" t="s">
        <v>14</v>
      </c>
      <c r="CF84" s="17"/>
      <c r="CG84" s="17"/>
      <c r="CH84" s="17"/>
      <c r="CI84" s="17"/>
      <c r="CJ84" s="17"/>
      <c r="CK84" s="17"/>
      <c r="CL84" s="17"/>
      <c r="CM84" s="18"/>
    </row>
    <row r="85" ht="12.0" customHeight="1">
      <c r="C85" s="30"/>
      <c r="D85" s="31"/>
      <c r="E85" s="31"/>
      <c r="F85" s="31"/>
      <c r="G85" s="32"/>
      <c r="H85" s="19"/>
      <c r="I85" s="30"/>
      <c r="J85" s="31"/>
      <c r="K85" s="31"/>
      <c r="L85" s="32"/>
      <c r="M85" s="19"/>
      <c r="N85" s="33"/>
      <c r="O85" s="34"/>
      <c r="P85" s="34"/>
      <c r="Q85" s="34"/>
      <c r="R85" s="34"/>
      <c r="S85" s="34"/>
      <c r="T85" s="34"/>
      <c r="U85" s="34"/>
      <c r="V85" s="34"/>
      <c r="W85" s="34"/>
      <c r="X85" s="34"/>
      <c r="Y85" s="34"/>
      <c r="Z85" s="34"/>
      <c r="AA85" s="34"/>
      <c r="AB85" s="12"/>
      <c r="AC85" s="14"/>
      <c r="AD85" s="12"/>
      <c r="AE85" s="14"/>
      <c r="AF85" s="34"/>
      <c r="AG85" s="34"/>
      <c r="AH85" s="34"/>
      <c r="AI85" s="34"/>
      <c r="AJ85" s="34"/>
      <c r="AK85" s="34"/>
      <c r="AL85" s="34"/>
      <c r="AM85" s="34"/>
      <c r="AN85" s="34"/>
      <c r="AO85" s="34"/>
      <c r="AP85" s="34"/>
      <c r="AQ85" s="34"/>
      <c r="AR85" s="34"/>
      <c r="AS85" s="35"/>
      <c r="AU85" s="30"/>
      <c r="AV85" s="31"/>
      <c r="AW85" s="31"/>
      <c r="AX85" s="32"/>
      <c r="AZ85" s="30"/>
      <c r="BA85" s="31"/>
      <c r="BB85" s="31"/>
      <c r="BC85" s="31"/>
      <c r="BD85" s="31"/>
      <c r="BE85" s="31"/>
      <c r="BF85" s="31"/>
      <c r="BG85" s="31"/>
      <c r="BH85" s="31"/>
      <c r="BI85" s="31"/>
      <c r="BJ85" s="31"/>
      <c r="BK85" s="31"/>
      <c r="BL85" s="31"/>
      <c r="BM85" s="31"/>
      <c r="BN85" s="31"/>
      <c r="BO85" s="31"/>
      <c r="BP85" s="32"/>
      <c r="BS85" s="30"/>
      <c r="BT85" s="31"/>
      <c r="BU85" s="31"/>
      <c r="BV85" s="31"/>
      <c r="BW85" s="31"/>
      <c r="BX85" s="31"/>
      <c r="BY85" s="31"/>
      <c r="BZ85" s="31"/>
      <c r="CA85" s="31"/>
      <c r="CB85" s="31"/>
      <c r="CC85" s="32"/>
      <c r="CD85" s="37"/>
      <c r="CE85" s="30"/>
      <c r="CF85" s="31"/>
      <c r="CG85" s="31"/>
      <c r="CH85" s="31"/>
      <c r="CI85" s="31"/>
      <c r="CJ85" s="31"/>
      <c r="CK85" s="31"/>
      <c r="CL85" s="31"/>
      <c r="CM85" s="32"/>
    </row>
    <row r="86" ht="12.0" customHeight="1">
      <c r="C86" s="16">
        <v>28.07</v>
      </c>
      <c r="D86" s="17"/>
      <c r="E86" s="17"/>
      <c r="F86" s="17"/>
      <c r="G86" s="18"/>
      <c r="H86" s="19"/>
      <c r="I86" s="20">
        <v>0.7291666666666666</v>
      </c>
      <c r="J86" s="17"/>
      <c r="K86" s="17"/>
      <c r="L86" s="18"/>
      <c r="M86" s="19"/>
      <c r="N86" s="21" t="str">
        <f t="array" ref="N86">xlookup(P86,qualdata!$N$2:$N$17,qualdata!$O$2:$O$17,"")</f>
        <v/>
      </c>
      <c r="O86" s="22"/>
      <c r="P86" s="23" t="str">
        <f>'Contender Schedule'!V79</f>
        <v/>
      </c>
      <c r="Q86" s="22"/>
      <c r="R86" s="22"/>
      <c r="S86" s="22"/>
      <c r="T86" s="22"/>
      <c r="U86" s="22"/>
      <c r="V86" s="22"/>
      <c r="W86" s="22"/>
      <c r="X86" s="22"/>
      <c r="Y86" s="22"/>
      <c r="Z86" s="22"/>
      <c r="AA86" s="22"/>
      <c r="AB86" s="24" t="str">
        <f>'Contender Schedule'!AH79</f>
        <v/>
      </c>
      <c r="AC86" s="9"/>
      <c r="AD86" s="24" t="str">
        <f>'Contender Schedule'!AJ79</f>
        <v/>
      </c>
      <c r="AE86" s="9"/>
      <c r="AF86" s="23" t="str">
        <f>'Contender Schedule'!AL79</f>
        <v/>
      </c>
      <c r="AG86" s="22"/>
      <c r="AH86" s="22"/>
      <c r="AI86" s="22"/>
      <c r="AJ86" s="22"/>
      <c r="AK86" s="22"/>
      <c r="AL86" s="22"/>
      <c r="AM86" s="22"/>
      <c r="AN86" s="22"/>
      <c r="AO86" s="22"/>
      <c r="AP86" s="22"/>
      <c r="AQ86" s="22"/>
      <c r="AR86" s="25" t="str">
        <f t="array" ref="AR86">xlookup(AF86,qualdata!$N$2:$N$17,qualdata!$O$2:$O$17,"")</f>
        <v/>
      </c>
      <c r="AS86" s="26"/>
      <c r="AU86" s="27" t="s">
        <v>11</v>
      </c>
      <c r="AV86" s="17"/>
      <c r="AW86" s="17"/>
      <c r="AX86" s="18"/>
      <c r="AZ86" s="27" t="s">
        <v>27</v>
      </c>
      <c r="BA86" s="17"/>
      <c r="BB86" s="17"/>
      <c r="BC86" s="17"/>
      <c r="BD86" s="17"/>
      <c r="BE86" s="17"/>
      <c r="BF86" s="17"/>
      <c r="BG86" s="17"/>
      <c r="BH86" s="17"/>
      <c r="BI86" s="17"/>
      <c r="BJ86" s="17"/>
      <c r="BK86" s="17"/>
      <c r="BL86" s="17"/>
      <c r="BM86" s="17"/>
      <c r="BN86" s="17"/>
      <c r="BO86" s="17"/>
      <c r="BP86" s="18"/>
      <c r="BS86" s="38" t="s">
        <v>13</v>
      </c>
      <c r="BT86" s="17"/>
      <c r="BU86" s="17"/>
      <c r="BV86" s="17"/>
      <c r="BW86" s="17"/>
      <c r="BX86" s="17"/>
      <c r="BY86" s="17"/>
      <c r="BZ86" s="17"/>
      <c r="CA86" s="17"/>
      <c r="CB86" s="17"/>
      <c r="CC86" s="18"/>
      <c r="CD86" s="37"/>
      <c r="CE86" s="29" t="s">
        <v>14</v>
      </c>
      <c r="CF86" s="17"/>
      <c r="CG86" s="17"/>
      <c r="CH86" s="17"/>
      <c r="CI86" s="17"/>
      <c r="CJ86" s="17"/>
      <c r="CK86" s="17"/>
      <c r="CL86" s="17"/>
      <c r="CM86" s="18"/>
    </row>
    <row r="87" ht="12.0" customHeight="1">
      <c r="C87" s="30"/>
      <c r="D87" s="31"/>
      <c r="E87" s="31"/>
      <c r="F87" s="31"/>
      <c r="G87" s="32"/>
      <c r="H87" s="19"/>
      <c r="I87" s="30"/>
      <c r="J87" s="31"/>
      <c r="K87" s="31"/>
      <c r="L87" s="32"/>
      <c r="M87" s="19"/>
      <c r="N87" s="33"/>
      <c r="O87" s="34"/>
      <c r="P87" s="34"/>
      <c r="Q87" s="34"/>
      <c r="R87" s="34"/>
      <c r="S87" s="34"/>
      <c r="T87" s="34"/>
      <c r="U87" s="34"/>
      <c r="V87" s="34"/>
      <c r="W87" s="34"/>
      <c r="X87" s="34"/>
      <c r="Y87" s="34"/>
      <c r="Z87" s="34"/>
      <c r="AA87" s="34"/>
      <c r="AB87" s="12"/>
      <c r="AC87" s="14"/>
      <c r="AD87" s="12"/>
      <c r="AE87" s="14"/>
      <c r="AF87" s="34"/>
      <c r="AG87" s="34"/>
      <c r="AH87" s="34"/>
      <c r="AI87" s="34"/>
      <c r="AJ87" s="34"/>
      <c r="AK87" s="34"/>
      <c r="AL87" s="34"/>
      <c r="AM87" s="34"/>
      <c r="AN87" s="34"/>
      <c r="AO87" s="34"/>
      <c r="AP87" s="34"/>
      <c r="AQ87" s="34"/>
      <c r="AR87" s="34"/>
      <c r="AS87" s="35"/>
      <c r="AU87" s="30"/>
      <c r="AV87" s="31"/>
      <c r="AW87" s="31"/>
      <c r="AX87" s="32"/>
      <c r="AZ87" s="30"/>
      <c r="BA87" s="31"/>
      <c r="BB87" s="31"/>
      <c r="BC87" s="31"/>
      <c r="BD87" s="31"/>
      <c r="BE87" s="31"/>
      <c r="BF87" s="31"/>
      <c r="BG87" s="31"/>
      <c r="BH87" s="31"/>
      <c r="BI87" s="31"/>
      <c r="BJ87" s="31"/>
      <c r="BK87" s="31"/>
      <c r="BL87" s="31"/>
      <c r="BM87" s="31"/>
      <c r="BN87" s="31"/>
      <c r="BO87" s="31"/>
      <c r="BP87" s="32"/>
      <c r="BS87" s="30"/>
      <c r="BT87" s="31"/>
      <c r="BU87" s="31"/>
      <c r="BV87" s="31"/>
      <c r="BW87" s="31"/>
      <c r="BX87" s="31"/>
      <c r="BY87" s="31"/>
      <c r="BZ87" s="31"/>
      <c r="CA87" s="31"/>
      <c r="CB87" s="31"/>
      <c r="CC87" s="32"/>
      <c r="CD87" s="37"/>
      <c r="CE87" s="30"/>
      <c r="CF87" s="31"/>
      <c r="CG87" s="31"/>
      <c r="CH87" s="31"/>
      <c r="CI87" s="31"/>
      <c r="CJ87" s="31"/>
      <c r="CK87" s="31"/>
      <c r="CL87" s="31"/>
      <c r="CM87" s="32"/>
    </row>
    <row r="88" ht="12.0" customHeight="1">
      <c r="C88" s="16">
        <v>28.07</v>
      </c>
      <c r="D88" s="17"/>
      <c r="E88" s="17"/>
      <c r="F88" s="17"/>
      <c r="G88" s="18"/>
      <c r="H88" s="19"/>
      <c r="I88" s="20">
        <v>0.8541666666666666</v>
      </c>
      <c r="J88" s="17"/>
      <c r="K88" s="17"/>
      <c r="L88" s="18"/>
      <c r="M88" s="19"/>
      <c r="N88" s="21" t="str">
        <f t="array" ref="N88">xlookup(P88,qualdata!$N$2:$N$17,qualdata!$O$2:$O$17,"")</f>
        <v/>
      </c>
      <c r="O88" s="22"/>
      <c r="P88" s="23" t="str">
        <f>'Contender Schedule'!V81</f>
        <v/>
      </c>
      <c r="Q88" s="22"/>
      <c r="R88" s="22"/>
      <c r="S88" s="22"/>
      <c r="T88" s="22"/>
      <c r="U88" s="22"/>
      <c r="V88" s="22"/>
      <c r="W88" s="22"/>
      <c r="X88" s="22"/>
      <c r="Y88" s="22"/>
      <c r="Z88" s="22"/>
      <c r="AA88" s="22"/>
      <c r="AB88" s="24" t="str">
        <f>'Contender Schedule'!AH81</f>
        <v/>
      </c>
      <c r="AC88" s="9"/>
      <c r="AD88" s="24" t="str">
        <f>'Contender Schedule'!AJ81</f>
        <v/>
      </c>
      <c r="AE88" s="9"/>
      <c r="AF88" s="23" t="str">
        <f>'Contender Schedule'!AL81</f>
        <v/>
      </c>
      <c r="AG88" s="22"/>
      <c r="AH88" s="22"/>
      <c r="AI88" s="22"/>
      <c r="AJ88" s="22"/>
      <c r="AK88" s="22"/>
      <c r="AL88" s="22"/>
      <c r="AM88" s="22"/>
      <c r="AN88" s="22"/>
      <c r="AO88" s="22"/>
      <c r="AP88" s="22"/>
      <c r="AQ88" s="22"/>
      <c r="AR88" s="25" t="str">
        <f t="array" ref="AR88">xlookup(AF88,qualdata!$N$2:$N$17,qualdata!$O$2:$O$17,"")</f>
        <v/>
      </c>
      <c r="AS88" s="26"/>
      <c r="AU88" s="27" t="s">
        <v>11</v>
      </c>
      <c r="AV88" s="17"/>
      <c r="AW88" s="17"/>
      <c r="AX88" s="18"/>
      <c r="AZ88" s="27" t="s">
        <v>28</v>
      </c>
      <c r="BA88" s="17"/>
      <c r="BB88" s="17"/>
      <c r="BC88" s="17"/>
      <c r="BD88" s="17"/>
      <c r="BE88" s="17"/>
      <c r="BF88" s="17"/>
      <c r="BG88" s="17"/>
      <c r="BH88" s="17"/>
      <c r="BI88" s="17"/>
      <c r="BJ88" s="17"/>
      <c r="BK88" s="17"/>
      <c r="BL88" s="17"/>
      <c r="BM88" s="17"/>
      <c r="BN88" s="17"/>
      <c r="BO88" s="17"/>
      <c r="BP88" s="18"/>
      <c r="BS88" s="38" t="s">
        <v>13</v>
      </c>
      <c r="BT88" s="17"/>
      <c r="BU88" s="17"/>
      <c r="BV88" s="17"/>
      <c r="BW88" s="17"/>
      <c r="BX88" s="17"/>
      <c r="BY88" s="17"/>
      <c r="BZ88" s="17"/>
      <c r="CA88" s="17"/>
      <c r="CB88" s="17"/>
      <c r="CC88" s="18"/>
      <c r="CD88" s="37"/>
      <c r="CE88" s="29" t="s">
        <v>14</v>
      </c>
      <c r="CF88" s="17"/>
      <c r="CG88" s="17"/>
      <c r="CH88" s="17"/>
      <c r="CI88" s="17"/>
      <c r="CJ88" s="17"/>
      <c r="CK88" s="17"/>
      <c r="CL88" s="17"/>
      <c r="CM88" s="18"/>
    </row>
    <row r="89" ht="12.0" customHeight="1">
      <c r="C89" s="30"/>
      <c r="D89" s="31"/>
      <c r="E89" s="31"/>
      <c r="F89" s="31"/>
      <c r="G89" s="32"/>
      <c r="H89" s="19"/>
      <c r="I89" s="30"/>
      <c r="J89" s="31"/>
      <c r="K89" s="31"/>
      <c r="L89" s="32"/>
      <c r="M89" s="19"/>
      <c r="N89" s="33"/>
      <c r="O89" s="34"/>
      <c r="P89" s="34"/>
      <c r="Q89" s="34"/>
      <c r="R89" s="34"/>
      <c r="S89" s="34"/>
      <c r="T89" s="34"/>
      <c r="U89" s="34"/>
      <c r="V89" s="34"/>
      <c r="W89" s="34"/>
      <c r="X89" s="34"/>
      <c r="Y89" s="34"/>
      <c r="Z89" s="34"/>
      <c r="AA89" s="34"/>
      <c r="AB89" s="12"/>
      <c r="AC89" s="14"/>
      <c r="AD89" s="12"/>
      <c r="AE89" s="14"/>
      <c r="AF89" s="34"/>
      <c r="AG89" s="34"/>
      <c r="AH89" s="34"/>
      <c r="AI89" s="34"/>
      <c r="AJ89" s="34"/>
      <c r="AK89" s="34"/>
      <c r="AL89" s="34"/>
      <c r="AM89" s="34"/>
      <c r="AN89" s="34"/>
      <c r="AO89" s="34"/>
      <c r="AP89" s="34"/>
      <c r="AQ89" s="34"/>
      <c r="AR89" s="34"/>
      <c r="AS89" s="35"/>
      <c r="AU89" s="30"/>
      <c r="AV89" s="31"/>
      <c r="AW89" s="31"/>
      <c r="AX89" s="32"/>
      <c r="AZ89" s="30"/>
      <c r="BA89" s="31"/>
      <c r="BB89" s="31"/>
      <c r="BC89" s="31"/>
      <c r="BD89" s="31"/>
      <c r="BE89" s="31"/>
      <c r="BF89" s="31"/>
      <c r="BG89" s="31"/>
      <c r="BH89" s="31"/>
      <c r="BI89" s="31"/>
      <c r="BJ89" s="31"/>
      <c r="BK89" s="31"/>
      <c r="BL89" s="31"/>
      <c r="BM89" s="31"/>
      <c r="BN89" s="31"/>
      <c r="BO89" s="31"/>
      <c r="BP89" s="32"/>
      <c r="BS89" s="30"/>
      <c r="BT89" s="31"/>
      <c r="BU89" s="31"/>
      <c r="BV89" s="31"/>
      <c r="BW89" s="31"/>
      <c r="BX89" s="31"/>
      <c r="BY89" s="31"/>
      <c r="BZ89" s="31"/>
      <c r="CA89" s="31"/>
      <c r="CB89" s="31"/>
      <c r="CC89" s="32"/>
      <c r="CD89" s="37"/>
      <c r="CE89" s="30"/>
      <c r="CF89" s="31"/>
      <c r="CG89" s="31"/>
      <c r="CH89" s="31"/>
      <c r="CI89" s="31"/>
      <c r="CJ89" s="31"/>
      <c r="CK89" s="31"/>
      <c r="CL89" s="31"/>
      <c r="CM89" s="32"/>
    </row>
    <row r="90" ht="12.0" customHeight="1">
      <c r="C90" s="46"/>
      <c r="D90" s="46"/>
      <c r="E90" s="46"/>
      <c r="F90" s="46"/>
      <c r="G90" s="46"/>
      <c r="AU90" s="6"/>
      <c r="AV90" s="6"/>
      <c r="AW90" s="6"/>
      <c r="AX90" s="6"/>
    </row>
    <row r="91" ht="11.25" customHeight="1">
      <c r="C91" s="7" t="s">
        <v>29</v>
      </c>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9"/>
    </row>
    <row r="92" ht="11.25" customHeight="1">
      <c r="C92" s="10"/>
      <c r="CM92" s="11"/>
    </row>
    <row r="93" ht="11.25" customHeight="1">
      <c r="C93" s="12"/>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4"/>
    </row>
    <row r="94" ht="11.25" customHeight="1">
      <c r="C94" s="46"/>
      <c r="D94" s="46"/>
      <c r="E94" s="46"/>
      <c r="F94" s="46"/>
      <c r="G94" s="46"/>
      <c r="AU94" s="6"/>
      <c r="AV94" s="6"/>
      <c r="AW94" s="6"/>
      <c r="AX94" s="6"/>
    </row>
    <row r="95" ht="11.25" customHeight="1">
      <c r="A95" s="47">
        <v>1.0</v>
      </c>
      <c r="C95" s="16">
        <v>29.07</v>
      </c>
      <c r="D95" s="17"/>
      <c r="E95" s="17"/>
      <c r="F95" s="17"/>
      <c r="G95" s="18"/>
      <c r="H95" s="19"/>
      <c r="I95" s="20">
        <v>0.4791666666666667</v>
      </c>
      <c r="J95" s="17"/>
      <c r="K95" s="17"/>
      <c r="L95" s="18"/>
      <c r="M95" s="19"/>
      <c r="N95" s="21" t="str">
        <f t="array" ref="N95">xlookup(P95,data!$N$2:$N$17,data!$O$2:$O$17,"")</f>
        <v/>
      </c>
      <c r="O95" s="22"/>
      <c r="P95" s="23" t="str">
        <f t="array" ref="P95">xlookup(A95,matchups!$I:$I,matchups!$B:$B,"")</f>
        <v>Team 1 (Group 2)</v>
      </c>
      <c r="Q95" s="22"/>
      <c r="R95" s="22"/>
      <c r="S95" s="22"/>
      <c r="T95" s="22"/>
      <c r="U95" s="22"/>
      <c r="V95" s="22"/>
      <c r="W95" s="22"/>
      <c r="X95" s="22"/>
      <c r="Y95" s="22"/>
      <c r="Z95" s="22"/>
      <c r="AA95" s="22"/>
      <c r="AB95" s="24" t="str">
        <f t="array" ref="AB95">xlookup(A95,matchups!$I:$I,matchups!$D:$D,"")</f>
        <v/>
      </c>
      <c r="AC95" s="9"/>
      <c r="AD95" s="24" t="str">
        <f t="array" ref="AD95">xlookup(A95,matchups!$I:$I,matchups!$E:$E,"")</f>
        <v/>
      </c>
      <c r="AE95" s="9"/>
      <c r="AF95" s="23" t="str">
        <f t="array" ref="AF95">xlookup(A95,matchups!$I:$I,matchups!$C:$C,"")</f>
        <v>TBD</v>
      </c>
      <c r="AG95" s="22"/>
      <c r="AH95" s="22"/>
      <c r="AI95" s="22"/>
      <c r="AJ95" s="22"/>
      <c r="AK95" s="22"/>
      <c r="AL95" s="22"/>
      <c r="AM95" s="22"/>
      <c r="AN95" s="22"/>
      <c r="AO95" s="22"/>
      <c r="AP95" s="22"/>
      <c r="AQ95" s="22"/>
      <c r="AR95" s="25" t="str">
        <f t="array" ref="AR95">xlookup(AF95,data!$N$2:$N$17,data!$O$2:$O$17,"")</f>
        <v/>
      </c>
      <c r="AS95" s="26"/>
      <c r="AU95" s="27" t="s">
        <v>11</v>
      </c>
      <c r="AV95" s="17"/>
      <c r="AW95" s="17"/>
      <c r="AX95" s="18"/>
      <c r="AZ95" s="27" t="s">
        <v>30</v>
      </c>
      <c r="BA95" s="17"/>
      <c r="BB95" s="17"/>
      <c r="BC95" s="17"/>
      <c r="BD95" s="17"/>
      <c r="BE95" s="17"/>
      <c r="BF95" s="17"/>
      <c r="BG95" s="17"/>
      <c r="BH95" s="17"/>
      <c r="BI95" s="17"/>
      <c r="BJ95" s="17"/>
      <c r="BK95" s="17"/>
      <c r="BL95" s="17"/>
      <c r="BM95" s="17"/>
      <c r="BN95" s="17"/>
      <c r="BO95" s="17"/>
      <c r="BP95" s="18"/>
      <c r="BS95" s="38" t="s">
        <v>13</v>
      </c>
      <c r="BT95" s="17"/>
      <c r="BU95" s="17"/>
      <c r="BV95" s="17"/>
      <c r="BW95" s="17"/>
      <c r="BX95" s="17"/>
      <c r="BY95" s="17"/>
      <c r="BZ95" s="17"/>
      <c r="CA95" s="17"/>
      <c r="CB95" s="17"/>
      <c r="CC95" s="18"/>
      <c r="CD95" s="37"/>
      <c r="CE95" s="29" t="s">
        <v>14</v>
      </c>
      <c r="CF95" s="17"/>
      <c r="CG95" s="17"/>
      <c r="CH95" s="17"/>
      <c r="CI95" s="17"/>
      <c r="CJ95" s="17"/>
      <c r="CK95" s="17"/>
      <c r="CL95" s="17"/>
      <c r="CM95" s="18"/>
    </row>
    <row r="96" ht="11.25" customHeight="1">
      <c r="C96" s="30"/>
      <c r="D96" s="31"/>
      <c r="E96" s="31"/>
      <c r="F96" s="31"/>
      <c r="G96" s="32"/>
      <c r="H96" s="19"/>
      <c r="I96" s="30"/>
      <c r="J96" s="31"/>
      <c r="K96" s="31"/>
      <c r="L96" s="32"/>
      <c r="M96" s="19"/>
      <c r="N96" s="33"/>
      <c r="O96" s="34"/>
      <c r="P96" s="34"/>
      <c r="Q96" s="34"/>
      <c r="R96" s="34"/>
      <c r="S96" s="34"/>
      <c r="T96" s="34"/>
      <c r="U96" s="34"/>
      <c r="V96" s="34"/>
      <c r="W96" s="34"/>
      <c r="X96" s="34"/>
      <c r="Y96" s="34"/>
      <c r="Z96" s="34"/>
      <c r="AA96" s="34"/>
      <c r="AB96" s="12"/>
      <c r="AC96" s="14"/>
      <c r="AD96" s="12"/>
      <c r="AE96" s="14"/>
      <c r="AF96" s="34"/>
      <c r="AG96" s="34"/>
      <c r="AH96" s="34"/>
      <c r="AI96" s="34"/>
      <c r="AJ96" s="34"/>
      <c r="AK96" s="34"/>
      <c r="AL96" s="34"/>
      <c r="AM96" s="34"/>
      <c r="AN96" s="34"/>
      <c r="AO96" s="34"/>
      <c r="AP96" s="34"/>
      <c r="AQ96" s="34"/>
      <c r="AR96" s="34"/>
      <c r="AS96" s="35"/>
      <c r="AU96" s="30"/>
      <c r="AV96" s="31"/>
      <c r="AW96" s="31"/>
      <c r="AX96" s="32"/>
      <c r="AZ96" s="30"/>
      <c r="BA96" s="31"/>
      <c r="BB96" s="31"/>
      <c r="BC96" s="31"/>
      <c r="BD96" s="31"/>
      <c r="BE96" s="31"/>
      <c r="BF96" s="31"/>
      <c r="BG96" s="31"/>
      <c r="BH96" s="31"/>
      <c r="BI96" s="31"/>
      <c r="BJ96" s="31"/>
      <c r="BK96" s="31"/>
      <c r="BL96" s="31"/>
      <c r="BM96" s="31"/>
      <c r="BN96" s="31"/>
      <c r="BO96" s="31"/>
      <c r="BP96" s="32"/>
      <c r="BS96" s="30"/>
      <c r="BT96" s="31"/>
      <c r="BU96" s="31"/>
      <c r="BV96" s="31"/>
      <c r="BW96" s="31"/>
      <c r="BX96" s="31"/>
      <c r="BY96" s="31"/>
      <c r="BZ96" s="31"/>
      <c r="CA96" s="31"/>
      <c r="CB96" s="31"/>
      <c r="CC96" s="32"/>
      <c r="CD96" s="37"/>
      <c r="CE96" s="30"/>
      <c r="CF96" s="31"/>
      <c r="CG96" s="31"/>
      <c r="CH96" s="31"/>
      <c r="CI96" s="31"/>
      <c r="CJ96" s="31"/>
      <c r="CK96" s="31"/>
      <c r="CL96" s="31"/>
      <c r="CM96" s="32"/>
    </row>
    <row r="97" ht="11.25" customHeight="1">
      <c r="A97" s="47">
        <f>A95+1</f>
        <v>2</v>
      </c>
      <c r="C97" s="16">
        <v>29.07</v>
      </c>
      <c r="D97" s="17"/>
      <c r="E97" s="17"/>
      <c r="F97" s="17"/>
      <c r="G97" s="18"/>
      <c r="H97" s="19"/>
      <c r="I97" s="20">
        <v>0.6041666666666666</v>
      </c>
      <c r="J97" s="17"/>
      <c r="K97" s="17"/>
      <c r="L97" s="18"/>
      <c r="M97" s="19"/>
      <c r="N97" s="21" t="str">
        <f t="array" ref="N97">xlookup(P97,data!$N$2:$N$17,data!$O$2:$O$17,"")</f>
        <v/>
      </c>
      <c r="O97" s="22"/>
      <c r="P97" s="23" t="str">
        <f t="array" ref="P97">xlookup(A97,matchups!$I:$I,matchups!$B:$B,"")</f>
        <v>Team 2 (Group 2)</v>
      </c>
      <c r="Q97" s="22"/>
      <c r="R97" s="22"/>
      <c r="S97" s="22"/>
      <c r="T97" s="22"/>
      <c r="U97" s="22"/>
      <c r="V97" s="22"/>
      <c r="W97" s="22"/>
      <c r="X97" s="22"/>
      <c r="Y97" s="22"/>
      <c r="Z97" s="22"/>
      <c r="AA97" s="22"/>
      <c r="AB97" s="24" t="str">
        <f t="array" ref="AB97">xlookup(A97,matchups!$I:$I,matchups!$D:$D,"")</f>
        <v/>
      </c>
      <c r="AC97" s="9"/>
      <c r="AD97" s="24" t="str">
        <f t="array" ref="AD97">xlookup(A97,matchups!$I:$I,matchups!$E:$E,"")</f>
        <v/>
      </c>
      <c r="AE97" s="9"/>
      <c r="AF97" s="23" t="str">
        <f t="array" ref="AF97">xlookup(A97,matchups!$I:$I,matchups!$C:$C,"")</f>
        <v>TBD</v>
      </c>
      <c r="AG97" s="22"/>
      <c r="AH97" s="22"/>
      <c r="AI97" s="22"/>
      <c r="AJ97" s="22"/>
      <c r="AK97" s="22"/>
      <c r="AL97" s="22"/>
      <c r="AM97" s="22"/>
      <c r="AN97" s="22"/>
      <c r="AO97" s="22"/>
      <c r="AP97" s="22"/>
      <c r="AQ97" s="22"/>
      <c r="AR97" s="25" t="str">
        <f t="array" ref="AR97">xlookup(AF97,data!$N$2:$N$17,data!$O$2:$O$17,"")</f>
        <v/>
      </c>
      <c r="AS97" s="26"/>
      <c r="AU97" s="27" t="s">
        <v>11</v>
      </c>
      <c r="AV97" s="17"/>
      <c r="AW97" s="17"/>
      <c r="AX97" s="18"/>
      <c r="AZ97" s="27" t="s">
        <v>30</v>
      </c>
      <c r="BA97" s="17"/>
      <c r="BB97" s="17"/>
      <c r="BC97" s="17"/>
      <c r="BD97" s="17"/>
      <c r="BE97" s="17"/>
      <c r="BF97" s="17"/>
      <c r="BG97" s="17"/>
      <c r="BH97" s="17"/>
      <c r="BI97" s="17"/>
      <c r="BJ97" s="17"/>
      <c r="BK97" s="17"/>
      <c r="BL97" s="17"/>
      <c r="BM97" s="17"/>
      <c r="BN97" s="17"/>
      <c r="BO97" s="17"/>
      <c r="BP97" s="18"/>
      <c r="BS97" s="38" t="s">
        <v>13</v>
      </c>
      <c r="BT97" s="17"/>
      <c r="BU97" s="17"/>
      <c r="BV97" s="17"/>
      <c r="BW97" s="17"/>
      <c r="BX97" s="17"/>
      <c r="BY97" s="17"/>
      <c r="BZ97" s="17"/>
      <c r="CA97" s="17"/>
      <c r="CB97" s="17"/>
      <c r="CC97" s="18"/>
      <c r="CD97" s="37"/>
      <c r="CE97" s="29" t="s">
        <v>14</v>
      </c>
      <c r="CF97" s="17"/>
      <c r="CG97" s="17"/>
      <c r="CH97" s="17"/>
      <c r="CI97" s="17"/>
      <c r="CJ97" s="17"/>
      <c r="CK97" s="17"/>
      <c r="CL97" s="17"/>
      <c r="CM97" s="18"/>
    </row>
    <row r="98" ht="11.25" customHeight="1">
      <c r="C98" s="30"/>
      <c r="D98" s="31"/>
      <c r="E98" s="31"/>
      <c r="F98" s="31"/>
      <c r="G98" s="32"/>
      <c r="H98" s="19"/>
      <c r="I98" s="30"/>
      <c r="J98" s="31"/>
      <c r="K98" s="31"/>
      <c r="L98" s="32"/>
      <c r="M98" s="19"/>
      <c r="N98" s="33"/>
      <c r="O98" s="34"/>
      <c r="P98" s="34"/>
      <c r="Q98" s="34"/>
      <c r="R98" s="34"/>
      <c r="S98" s="34"/>
      <c r="T98" s="34"/>
      <c r="U98" s="34"/>
      <c r="V98" s="34"/>
      <c r="W98" s="34"/>
      <c r="X98" s="34"/>
      <c r="Y98" s="34"/>
      <c r="Z98" s="34"/>
      <c r="AA98" s="34"/>
      <c r="AB98" s="12"/>
      <c r="AC98" s="14"/>
      <c r="AD98" s="12"/>
      <c r="AE98" s="14"/>
      <c r="AF98" s="34"/>
      <c r="AG98" s="34"/>
      <c r="AH98" s="34"/>
      <c r="AI98" s="34"/>
      <c r="AJ98" s="34"/>
      <c r="AK98" s="34"/>
      <c r="AL98" s="34"/>
      <c r="AM98" s="34"/>
      <c r="AN98" s="34"/>
      <c r="AO98" s="34"/>
      <c r="AP98" s="34"/>
      <c r="AQ98" s="34"/>
      <c r="AR98" s="34"/>
      <c r="AS98" s="35"/>
      <c r="AU98" s="30"/>
      <c r="AV98" s="31"/>
      <c r="AW98" s="31"/>
      <c r="AX98" s="32"/>
      <c r="AZ98" s="30"/>
      <c r="BA98" s="31"/>
      <c r="BB98" s="31"/>
      <c r="BC98" s="31"/>
      <c r="BD98" s="31"/>
      <c r="BE98" s="31"/>
      <c r="BF98" s="31"/>
      <c r="BG98" s="31"/>
      <c r="BH98" s="31"/>
      <c r="BI98" s="31"/>
      <c r="BJ98" s="31"/>
      <c r="BK98" s="31"/>
      <c r="BL98" s="31"/>
      <c r="BM98" s="31"/>
      <c r="BN98" s="31"/>
      <c r="BO98" s="31"/>
      <c r="BP98" s="32"/>
      <c r="BS98" s="30"/>
      <c r="BT98" s="31"/>
      <c r="BU98" s="31"/>
      <c r="BV98" s="31"/>
      <c r="BW98" s="31"/>
      <c r="BX98" s="31"/>
      <c r="BY98" s="31"/>
      <c r="BZ98" s="31"/>
      <c r="CA98" s="31"/>
      <c r="CB98" s="31"/>
      <c r="CC98" s="32"/>
      <c r="CD98" s="37"/>
      <c r="CE98" s="30"/>
      <c r="CF98" s="31"/>
      <c r="CG98" s="31"/>
      <c r="CH98" s="31"/>
      <c r="CI98" s="31"/>
      <c r="CJ98" s="31"/>
      <c r="CK98" s="31"/>
      <c r="CL98" s="31"/>
      <c r="CM98" s="32"/>
    </row>
    <row r="99" ht="11.25" customHeight="1">
      <c r="A99" s="47">
        <f>A97+1</f>
        <v>3</v>
      </c>
      <c r="C99" s="16">
        <v>29.07</v>
      </c>
      <c r="D99" s="17"/>
      <c r="E99" s="17"/>
      <c r="F99" s="17"/>
      <c r="G99" s="18"/>
      <c r="H99" s="19"/>
      <c r="I99" s="20">
        <v>0.7291666666666666</v>
      </c>
      <c r="J99" s="17"/>
      <c r="K99" s="17"/>
      <c r="L99" s="18"/>
      <c r="M99" s="19"/>
      <c r="N99" s="21" t="str">
        <f t="array" ref="N99">xlookup(P99,data!$N$2:$N$17,data!$O$2:$O$17,"")</f>
        <v/>
      </c>
      <c r="O99" s="22"/>
      <c r="P99" s="23" t="str">
        <f t="array" ref="P99">xlookup(A99,matchups!$I:$I,matchups!$B:$B,"")</f>
        <v>Team 3 (Group 2)</v>
      </c>
      <c r="Q99" s="22"/>
      <c r="R99" s="22"/>
      <c r="S99" s="22"/>
      <c r="T99" s="22"/>
      <c r="U99" s="22"/>
      <c r="V99" s="22"/>
      <c r="W99" s="22"/>
      <c r="X99" s="22"/>
      <c r="Y99" s="22"/>
      <c r="Z99" s="22"/>
      <c r="AA99" s="22"/>
      <c r="AB99" s="24" t="str">
        <f t="array" ref="AB99">xlookup(A99,matchups!$I:$I,matchups!$D:$D,"")</f>
        <v/>
      </c>
      <c r="AC99" s="9"/>
      <c r="AD99" s="24" t="str">
        <f t="array" ref="AD99">xlookup(A99,matchups!$I:$I,matchups!$E:$E,"")</f>
        <v/>
      </c>
      <c r="AE99" s="9"/>
      <c r="AF99" s="23" t="str">
        <f t="array" ref="AF99">xlookup(A99,matchups!$I:$I,matchups!$C:$C,"")</f>
        <v>TBD</v>
      </c>
      <c r="AG99" s="22"/>
      <c r="AH99" s="22"/>
      <c r="AI99" s="22"/>
      <c r="AJ99" s="22"/>
      <c r="AK99" s="22"/>
      <c r="AL99" s="22"/>
      <c r="AM99" s="22"/>
      <c r="AN99" s="22"/>
      <c r="AO99" s="22"/>
      <c r="AP99" s="22"/>
      <c r="AQ99" s="22"/>
      <c r="AR99" s="25" t="str">
        <f t="array" ref="AR99">xlookup(AF99,data!$N$2:$N$17,data!$O$2:$O$17,"")</f>
        <v/>
      </c>
      <c r="AS99" s="26"/>
      <c r="AU99" s="27" t="s">
        <v>11</v>
      </c>
      <c r="AV99" s="17"/>
      <c r="AW99" s="17"/>
      <c r="AX99" s="18"/>
      <c r="AZ99" s="27" t="s">
        <v>30</v>
      </c>
      <c r="BA99" s="17"/>
      <c r="BB99" s="17"/>
      <c r="BC99" s="17"/>
      <c r="BD99" s="17"/>
      <c r="BE99" s="17"/>
      <c r="BF99" s="17"/>
      <c r="BG99" s="17"/>
      <c r="BH99" s="17"/>
      <c r="BI99" s="17"/>
      <c r="BJ99" s="17"/>
      <c r="BK99" s="17"/>
      <c r="BL99" s="17"/>
      <c r="BM99" s="17"/>
      <c r="BN99" s="17"/>
      <c r="BO99" s="17"/>
      <c r="BP99" s="18"/>
      <c r="BS99" s="38" t="s">
        <v>13</v>
      </c>
      <c r="BT99" s="17"/>
      <c r="BU99" s="17"/>
      <c r="BV99" s="17"/>
      <c r="BW99" s="17"/>
      <c r="BX99" s="17"/>
      <c r="BY99" s="17"/>
      <c r="BZ99" s="17"/>
      <c r="CA99" s="17"/>
      <c r="CB99" s="17"/>
      <c r="CC99" s="18"/>
      <c r="CD99" s="37"/>
      <c r="CE99" s="29" t="s">
        <v>14</v>
      </c>
      <c r="CF99" s="17"/>
      <c r="CG99" s="17"/>
      <c r="CH99" s="17"/>
      <c r="CI99" s="17"/>
      <c r="CJ99" s="17"/>
      <c r="CK99" s="17"/>
      <c r="CL99" s="17"/>
      <c r="CM99" s="18"/>
    </row>
    <row r="100" ht="11.25" customHeight="1">
      <c r="C100" s="30"/>
      <c r="D100" s="31"/>
      <c r="E100" s="31"/>
      <c r="F100" s="31"/>
      <c r="G100" s="32"/>
      <c r="H100" s="19"/>
      <c r="I100" s="30"/>
      <c r="J100" s="31"/>
      <c r="K100" s="31"/>
      <c r="L100" s="32"/>
      <c r="M100" s="19"/>
      <c r="N100" s="33"/>
      <c r="O100" s="34"/>
      <c r="P100" s="34"/>
      <c r="Q100" s="34"/>
      <c r="R100" s="34"/>
      <c r="S100" s="34"/>
      <c r="T100" s="34"/>
      <c r="U100" s="34"/>
      <c r="V100" s="34"/>
      <c r="W100" s="34"/>
      <c r="X100" s="34"/>
      <c r="Y100" s="34"/>
      <c r="Z100" s="34"/>
      <c r="AA100" s="34"/>
      <c r="AB100" s="12"/>
      <c r="AC100" s="14"/>
      <c r="AD100" s="12"/>
      <c r="AE100" s="14"/>
      <c r="AF100" s="34"/>
      <c r="AG100" s="34"/>
      <c r="AH100" s="34"/>
      <c r="AI100" s="34"/>
      <c r="AJ100" s="34"/>
      <c r="AK100" s="34"/>
      <c r="AL100" s="34"/>
      <c r="AM100" s="34"/>
      <c r="AN100" s="34"/>
      <c r="AO100" s="34"/>
      <c r="AP100" s="34"/>
      <c r="AQ100" s="34"/>
      <c r="AR100" s="34"/>
      <c r="AS100" s="35"/>
      <c r="AU100" s="30"/>
      <c r="AV100" s="31"/>
      <c r="AW100" s="31"/>
      <c r="AX100" s="32"/>
      <c r="AZ100" s="30"/>
      <c r="BA100" s="31"/>
      <c r="BB100" s="31"/>
      <c r="BC100" s="31"/>
      <c r="BD100" s="31"/>
      <c r="BE100" s="31"/>
      <c r="BF100" s="31"/>
      <c r="BG100" s="31"/>
      <c r="BH100" s="31"/>
      <c r="BI100" s="31"/>
      <c r="BJ100" s="31"/>
      <c r="BK100" s="31"/>
      <c r="BL100" s="31"/>
      <c r="BM100" s="31"/>
      <c r="BN100" s="31"/>
      <c r="BO100" s="31"/>
      <c r="BP100" s="32"/>
      <c r="BS100" s="30"/>
      <c r="BT100" s="31"/>
      <c r="BU100" s="31"/>
      <c r="BV100" s="31"/>
      <c r="BW100" s="31"/>
      <c r="BX100" s="31"/>
      <c r="BY100" s="31"/>
      <c r="BZ100" s="31"/>
      <c r="CA100" s="31"/>
      <c r="CB100" s="31"/>
      <c r="CC100" s="32"/>
      <c r="CD100" s="37"/>
      <c r="CE100" s="30"/>
      <c r="CF100" s="31"/>
      <c r="CG100" s="31"/>
      <c r="CH100" s="31"/>
      <c r="CI100" s="31"/>
      <c r="CJ100" s="31"/>
      <c r="CK100" s="31"/>
      <c r="CL100" s="31"/>
      <c r="CM100" s="32"/>
    </row>
    <row r="101" ht="11.25" customHeight="1">
      <c r="A101" s="47">
        <f>A99+1</f>
        <v>4</v>
      </c>
      <c r="C101" s="16">
        <v>29.07</v>
      </c>
      <c r="D101" s="17"/>
      <c r="E101" s="17"/>
      <c r="F101" s="17"/>
      <c r="G101" s="18"/>
      <c r="H101" s="19"/>
      <c r="I101" s="20">
        <v>0.8541666666666666</v>
      </c>
      <c r="J101" s="17"/>
      <c r="K101" s="17"/>
      <c r="L101" s="18"/>
      <c r="M101" s="19"/>
      <c r="N101" s="21" t="str">
        <f t="array" ref="N101">xlookup(P101,data!$N$2:$N$17,data!$O$2:$O$17,"")</f>
        <v/>
      </c>
      <c r="O101" s="22"/>
      <c r="P101" s="23" t="str">
        <f t="array" ref="P101">xlookup(A101,matchups!$I:$I,matchups!$B:$B,"")</f>
        <v>Team 4 (Group 2)</v>
      </c>
      <c r="Q101" s="22"/>
      <c r="R101" s="22"/>
      <c r="S101" s="22"/>
      <c r="T101" s="22"/>
      <c r="U101" s="22"/>
      <c r="V101" s="22"/>
      <c r="W101" s="22"/>
      <c r="X101" s="22"/>
      <c r="Y101" s="22"/>
      <c r="Z101" s="22"/>
      <c r="AA101" s="22"/>
      <c r="AB101" s="24" t="str">
        <f t="array" ref="AB101">xlookup(A101,matchups!$I:$I,matchups!$D:$D,"")</f>
        <v/>
      </c>
      <c r="AC101" s="9"/>
      <c r="AD101" s="24" t="str">
        <f t="array" ref="AD101">xlookup(A101,matchups!$I:$I,matchups!$E:$E,"")</f>
        <v/>
      </c>
      <c r="AE101" s="9"/>
      <c r="AF101" s="23" t="str">
        <f t="array" ref="AF101">xlookup(A101,matchups!$I:$I,matchups!$C:$C,"")</f>
        <v>TBD</v>
      </c>
      <c r="AG101" s="22"/>
      <c r="AH101" s="22"/>
      <c r="AI101" s="22"/>
      <c r="AJ101" s="22"/>
      <c r="AK101" s="22"/>
      <c r="AL101" s="22"/>
      <c r="AM101" s="22"/>
      <c r="AN101" s="22"/>
      <c r="AO101" s="22"/>
      <c r="AP101" s="22"/>
      <c r="AQ101" s="22"/>
      <c r="AR101" s="25" t="str">
        <f t="array" ref="AR101">xlookup(AF101,data!$N$2:$N$17,data!$O$2:$O$17,"")</f>
        <v/>
      </c>
      <c r="AS101" s="26"/>
      <c r="AU101" s="27" t="s">
        <v>11</v>
      </c>
      <c r="AV101" s="17"/>
      <c r="AW101" s="17"/>
      <c r="AX101" s="18"/>
      <c r="AZ101" s="27" t="s">
        <v>30</v>
      </c>
      <c r="BA101" s="17"/>
      <c r="BB101" s="17"/>
      <c r="BC101" s="17"/>
      <c r="BD101" s="17"/>
      <c r="BE101" s="17"/>
      <c r="BF101" s="17"/>
      <c r="BG101" s="17"/>
      <c r="BH101" s="17"/>
      <c r="BI101" s="17"/>
      <c r="BJ101" s="17"/>
      <c r="BK101" s="17"/>
      <c r="BL101" s="17"/>
      <c r="BM101" s="17"/>
      <c r="BN101" s="17"/>
      <c r="BO101" s="17"/>
      <c r="BP101" s="18"/>
      <c r="BS101" s="38" t="s">
        <v>13</v>
      </c>
      <c r="BT101" s="17"/>
      <c r="BU101" s="17"/>
      <c r="BV101" s="17"/>
      <c r="BW101" s="17"/>
      <c r="BX101" s="17"/>
      <c r="BY101" s="17"/>
      <c r="BZ101" s="17"/>
      <c r="CA101" s="17"/>
      <c r="CB101" s="17"/>
      <c r="CC101" s="18"/>
      <c r="CD101" s="37"/>
      <c r="CE101" s="29" t="s">
        <v>14</v>
      </c>
      <c r="CF101" s="17"/>
      <c r="CG101" s="17"/>
      <c r="CH101" s="17"/>
      <c r="CI101" s="17"/>
      <c r="CJ101" s="17"/>
      <c r="CK101" s="17"/>
      <c r="CL101" s="17"/>
      <c r="CM101" s="18"/>
    </row>
    <row r="102" ht="11.25" customHeight="1">
      <c r="C102" s="30"/>
      <c r="D102" s="31"/>
      <c r="E102" s="31"/>
      <c r="F102" s="31"/>
      <c r="G102" s="32"/>
      <c r="H102" s="19"/>
      <c r="I102" s="30"/>
      <c r="J102" s="31"/>
      <c r="K102" s="31"/>
      <c r="L102" s="32"/>
      <c r="M102" s="19"/>
      <c r="N102" s="33"/>
      <c r="O102" s="34"/>
      <c r="P102" s="34"/>
      <c r="Q102" s="34"/>
      <c r="R102" s="34"/>
      <c r="S102" s="34"/>
      <c r="T102" s="34"/>
      <c r="U102" s="34"/>
      <c r="V102" s="34"/>
      <c r="W102" s="34"/>
      <c r="X102" s="34"/>
      <c r="Y102" s="34"/>
      <c r="Z102" s="34"/>
      <c r="AA102" s="34"/>
      <c r="AB102" s="12"/>
      <c r="AC102" s="14"/>
      <c r="AD102" s="12"/>
      <c r="AE102" s="14"/>
      <c r="AF102" s="34"/>
      <c r="AG102" s="34"/>
      <c r="AH102" s="34"/>
      <c r="AI102" s="34"/>
      <c r="AJ102" s="34"/>
      <c r="AK102" s="34"/>
      <c r="AL102" s="34"/>
      <c r="AM102" s="34"/>
      <c r="AN102" s="34"/>
      <c r="AO102" s="34"/>
      <c r="AP102" s="34"/>
      <c r="AQ102" s="34"/>
      <c r="AR102" s="34"/>
      <c r="AS102" s="35"/>
      <c r="AU102" s="30"/>
      <c r="AV102" s="31"/>
      <c r="AW102" s="31"/>
      <c r="AX102" s="32"/>
      <c r="AZ102" s="30"/>
      <c r="BA102" s="31"/>
      <c r="BB102" s="31"/>
      <c r="BC102" s="31"/>
      <c r="BD102" s="31"/>
      <c r="BE102" s="31"/>
      <c r="BF102" s="31"/>
      <c r="BG102" s="31"/>
      <c r="BH102" s="31"/>
      <c r="BI102" s="31"/>
      <c r="BJ102" s="31"/>
      <c r="BK102" s="31"/>
      <c r="BL102" s="31"/>
      <c r="BM102" s="31"/>
      <c r="BN102" s="31"/>
      <c r="BO102" s="31"/>
      <c r="BP102" s="32"/>
      <c r="BS102" s="30"/>
      <c r="BT102" s="31"/>
      <c r="BU102" s="31"/>
      <c r="BV102" s="31"/>
      <c r="BW102" s="31"/>
      <c r="BX102" s="31"/>
      <c r="BY102" s="31"/>
      <c r="BZ102" s="31"/>
      <c r="CA102" s="31"/>
      <c r="CB102" s="31"/>
      <c r="CC102" s="32"/>
      <c r="CD102" s="37"/>
      <c r="CE102" s="30"/>
      <c r="CF102" s="31"/>
      <c r="CG102" s="31"/>
      <c r="CH102" s="31"/>
      <c r="CI102" s="31"/>
      <c r="CJ102" s="31"/>
      <c r="CK102" s="31"/>
      <c r="CL102" s="31"/>
      <c r="CM102" s="32"/>
    </row>
    <row r="103" ht="11.25" customHeight="1">
      <c r="A103" s="47">
        <f>A101+1</f>
        <v>5</v>
      </c>
      <c r="C103" s="16">
        <v>30.07</v>
      </c>
      <c r="D103" s="17"/>
      <c r="E103" s="17"/>
      <c r="F103" s="17"/>
      <c r="G103" s="18"/>
      <c r="H103" s="19"/>
      <c r="I103" s="20">
        <v>0.4791666666666667</v>
      </c>
      <c r="J103" s="17"/>
      <c r="K103" s="17"/>
      <c r="L103" s="18"/>
      <c r="M103" s="19"/>
      <c r="N103" s="21" t="str">
        <f t="array" ref="N103">xlookup(P103,data!$N$2:$N$17,data!$O$2:$O$17,"")</f>
        <v/>
      </c>
      <c r="O103" s="22"/>
      <c r="P103" s="23" t="str">
        <f t="array" ref="P103">xlookup(A103,matchups!$I:$I,matchups!$B:$B,"")</f>
        <v>Team 5 (Group 2)</v>
      </c>
      <c r="Q103" s="22"/>
      <c r="R103" s="22"/>
      <c r="S103" s="22"/>
      <c r="T103" s="22"/>
      <c r="U103" s="22"/>
      <c r="V103" s="22"/>
      <c r="W103" s="22"/>
      <c r="X103" s="22"/>
      <c r="Y103" s="22"/>
      <c r="Z103" s="22"/>
      <c r="AA103" s="22"/>
      <c r="AB103" s="24" t="str">
        <f t="array" ref="AB103">xlookup(A103,matchups!$I:$I,matchups!$D:$D,"")</f>
        <v/>
      </c>
      <c r="AC103" s="9"/>
      <c r="AD103" s="24" t="str">
        <f t="array" ref="AD103">xlookup(A103,matchups!$I:$I,matchups!$E:$E,"")</f>
        <v/>
      </c>
      <c r="AE103" s="9"/>
      <c r="AF103" s="23" t="str">
        <f t="array" ref="AF103">xlookup(A103,matchups!$I:$I,matchups!$C:$C,"")</f>
        <v>TBD</v>
      </c>
      <c r="AG103" s="22"/>
      <c r="AH103" s="22"/>
      <c r="AI103" s="22"/>
      <c r="AJ103" s="22"/>
      <c r="AK103" s="22"/>
      <c r="AL103" s="22"/>
      <c r="AM103" s="22"/>
      <c r="AN103" s="22"/>
      <c r="AO103" s="22"/>
      <c r="AP103" s="22"/>
      <c r="AQ103" s="22"/>
      <c r="AR103" s="25" t="str">
        <f t="array" ref="AR103">xlookup(AF103,data!$N$2:$N$17,data!$O$2:$O$17,"")</f>
        <v/>
      </c>
      <c r="AS103" s="26"/>
      <c r="AU103" s="27" t="s">
        <v>11</v>
      </c>
      <c r="AV103" s="17"/>
      <c r="AW103" s="17"/>
      <c r="AX103" s="18"/>
      <c r="AZ103" s="27" t="s">
        <v>30</v>
      </c>
      <c r="BA103" s="17"/>
      <c r="BB103" s="17"/>
      <c r="BC103" s="17"/>
      <c r="BD103" s="17"/>
      <c r="BE103" s="17"/>
      <c r="BF103" s="17"/>
      <c r="BG103" s="17"/>
      <c r="BH103" s="17"/>
      <c r="BI103" s="17"/>
      <c r="BJ103" s="17"/>
      <c r="BK103" s="17"/>
      <c r="BL103" s="17"/>
      <c r="BM103" s="17"/>
      <c r="BN103" s="17"/>
      <c r="BO103" s="17"/>
      <c r="BP103" s="18"/>
      <c r="BS103" s="38" t="s">
        <v>13</v>
      </c>
      <c r="BT103" s="17"/>
      <c r="BU103" s="17"/>
      <c r="BV103" s="17"/>
      <c r="BW103" s="17"/>
      <c r="BX103" s="17"/>
      <c r="BY103" s="17"/>
      <c r="BZ103" s="17"/>
      <c r="CA103" s="17"/>
      <c r="CB103" s="17"/>
      <c r="CC103" s="18"/>
      <c r="CD103" s="37"/>
      <c r="CE103" s="29" t="s">
        <v>14</v>
      </c>
      <c r="CF103" s="17"/>
      <c r="CG103" s="17"/>
      <c r="CH103" s="17"/>
      <c r="CI103" s="17"/>
      <c r="CJ103" s="17"/>
      <c r="CK103" s="17"/>
      <c r="CL103" s="17"/>
      <c r="CM103" s="18"/>
    </row>
    <row r="104" ht="11.25" customHeight="1">
      <c r="C104" s="30"/>
      <c r="D104" s="31"/>
      <c r="E104" s="31"/>
      <c r="F104" s="31"/>
      <c r="G104" s="32"/>
      <c r="H104" s="19"/>
      <c r="I104" s="30"/>
      <c r="J104" s="31"/>
      <c r="K104" s="31"/>
      <c r="L104" s="32"/>
      <c r="M104" s="19"/>
      <c r="N104" s="33"/>
      <c r="O104" s="34"/>
      <c r="P104" s="34"/>
      <c r="Q104" s="34"/>
      <c r="R104" s="34"/>
      <c r="S104" s="34"/>
      <c r="T104" s="34"/>
      <c r="U104" s="34"/>
      <c r="V104" s="34"/>
      <c r="W104" s="34"/>
      <c r="X104" s="34"/>
      <c r="Y104" s="34"/>
      <c r="Z104" s="34"/>
      <c r="AA104" s="34"/>
      <c r="AB104" s="12"/>
      <c r="AC104" s="14"/>
      <c r="AD104" s="12"/>
      <c r="AE104" s="14"/>
      <c r="AF104" s="34"/>
      <c r="AG104" s="34"/>
      <c r="AH104" s="34"/>
      <c r="AI104" s="34"/>
      <c r="AJ104" s="34"/>
      <c r="AK104" s="34"/>
      <c r="AL104" s="34"/>
      <c r="AM104" s="34"/>
      <c r="AN104" s="34"/>
      <c r="AO104" s="34"/>
      <c r="AP104" s="34"/>
      <c r="AQ104" s="34"/>
      <c r="AR104" s="34"/>
      <c r="AS104" s="35"/>
      <c r="AU104" s="30"/>
      <c r="AV104" s="31"/>
      <c r="AW104" s="31"/>
      <c r="AX104" s="32"/>
      <c r="AZ104" s="30"/>
      <c r="BA104" s="31"/>
      <c r="BB104" s="31"/>
      <c r="BC104" s="31"/>
      <c r="BD104" s="31"/>
      <c r="BE104" s="31"/>
      <c r="BF104" s="31"/>
      <c r="BG104" s="31"/>
      <c r="BH104" s="31"/>
      <c r="BI104" s="31"/>
      <c r="BJ104" s="31"/>
      <c r="BK104" s="31"/>
      <c r="BL104" s="31"/>
      <c r="BM104" s="31"/>
      <c r="BN104" s="31"/>
      <c r="BO104" s="31"/>
      <c r="BP104" s="32"/>
      <c r="BS104" s="30"/>
      <c r="BT104" s="31"/>
      <c r="BU104" s="31"/>
      <c r="BV104" s="31"/>
      <c r="BW104" s="31"/>
      <c r="BX104" s="31"/>
      <c r="BY104" s="31"/>
      <c r="BZ104" s="31"/>
      <c r="CA104" s="31"/>
      <c r="CB104" s="31"/>
      <c r="CC104" s="32"/>
      <c r="CD104" s="37"/>
      <c r="CE104" s="30"/>
      <c r="CF104" s="31"/>
      <c r="CG104" s="31"/>
      <c r="CH104" s="31"/>
      <c r="CI104" s="31"/>
      <c r="CJ104" s="31"/>
      <c r="CK104" s="31"/>
      <c r="CL104" s="31"/>
      <c r="CM104" s="32"/>
    </row>
    <row r="105" ht="11.25" customHeight="1">
      <c r="A105" s="47">
        <f>A103+1</f>
        <v>6</v>
      </c>
      <c r="C105" s="16">
        <v>30.07</v>
      </c>
      <c r="D105" s="17"/>
      <c r="E105" s="17"/>
      <c r="F105" s="17"/>
      <c r="G105" s="18"/>
      <c r="H105" s="19"/>
      <c r="I105" s="20">
        <v>0.6041666666666666</v>
      </c>
      <c r="J105" s="17"/>
      <c r="K105" s="17"/>
      <c r="L105" s="18"/>
      <c r="M105" s="19"/>
      <c r="N105" s="21" t="str">
        <f t="array" ref="N105">xlookup(P105,data!$N$2:$N$17,data!$O$2:$O$17,"")</f>
        <v/>
      </c>
      <c r="O105" s="22"/>
      <c r="P105" s="23" t="str">
        <f t="array" ref="P105">xlookup(A105,matchups!$I:$I,matchups!$B:$B,"")</f>
        <v>Team 6 (Group 2)</v>
      </c>
      <c r="Q105" s="22"/>
      <c r="R105" s="22"/>
      <c r="S105" s="22"/>
      <c r="T105" s="22"/>
      <c r="U105" s="22"/>
      <c r="V105" s="22"/>
      <c r="W105" s="22"/>
      <c r="X105" s="22"/>
      <c r="Y105" s="22"/>
      <c r="Z105" s="22"/>
      <c r="AA105" s="22"/>
      <c r="AB105" s="24" t="str">
        <f t="array" ref="AB105">xlookup(A105,matchups!$I:$I,matchups!$D:$D,"")</f>
        <v/>
      </c>
      <c r="AC105" s="9"/>
      <c r="AD105" s="24" t="str">
        <f t="array" ref="AD105">xlookup(A105,matchups!$I:$I,matchups!$E:$E,"")</f>
        <v/>
      </c>
      <c r="AE105" s="9"/>
      <c r="AF105" s="23" t="str">
        <f t="array" ref="AF105">xlookup(A105,matchups!$I:$I,matchups!$C:$C,"")</f>
        <v>TBD</v>
      </c>
      <c r="AG105" s="22"/>
      <c r="AH105" s="22"/>
      <c r="AI105" s="22"/>
      <c r="AJ105" s="22"/>
      <c r="AK105" s="22"/>
      <c r="AL105" s="22"/>
      <c r="AM105" s="22"/>
      <c r="AN105" s="22"/>
      <c r="AO105" s="22"/>
      <c r="AP105" s="22"/>
      <c r="AQ105" s="22"/>
      <c r="AR105" s="25" t="str">
        <f t="array" ref="AR105">xlookup(AF105,data!$N$2:$N$17,data!$O$2:$O$17,"")</f>
        <v/>
      </c>
      <c r="AS105" s="26"/>
      <c r="AU105" s="27" t="s">
        <v>11</v>
      </c>
      <c r="AV105" s="17"/>
      <c r="AW105" s="17"/>
      <c r="AX105" s="18"/>
      <c r="AZ105" s="27" t="s">
        <v>30</v>
      </c>
      <c r="BA105" s="17"/>
      <c r="BB105" s="17"/>
      <c r="BC105" s="17"/>
      <c r="BD105" s="17"/>
      <c r="BE105" s="17"/>
      <c r="BF105" s="17"/>
      <c r="BG105" s="17"/>
      <c r="BH105" s="17"/>
      <c r="BI105" s="17"/>
      <c r="BJ105" s="17"/>
      <c r="BK105" s="17"/>
      <c r="BL105" s="17"/>
      <c r="BM105" s="17"/>
      <c r="BN105" s="17"/>
      <c r="BO105" s="17"/>
      <c r="BP105" s="18"/>
      <c r="BS105" s="38" t="s">
        <v>13</v>
      </c>
      <c r="BT105" s="17"/>
      <c r="BU105" s="17"/>
      <c r="BV105" s="17"/>
      <c r="BW105" s="17"/>
      <c r="BX105" s="17"/>
      <c r="BY105" s="17"/>
      <c r="BZ105" s="17"/>
      <c r="CA105" s="17"/>
      <c r="CB105" s="17"/>
      <c r="CC105" s="18"/>
      <c r="CD105" s="37"/>
      <c r="CE105" s="29" t="s">
        <v>14</v>
      </c>
      <c r="CF105" s="17"/>
      <c r="CG105" s="17"/>
      <c r="CH105" s="17"/>
      <c r="CI105" s="17"/>
      <c r="CJ105" s="17"/>
      <c r="CK105" s="17"/>
      <c r="CL105" s="17"/>
      <c r="CM105" s="18"/>
    </row>
    <row r="106" ht="11.25" customHeight="1">
      <c r="C106" s="30"/>
      <c r="D106" s="31"/>
      <c r="E106" s="31"/>
      <c r="F106" s="31"/>
      <c r="G106" s="32"/>
      <c r="H106" s="19"/>
      <c r="I106" s="30"/>
      <c r="J106" s="31"/>
      <c r="K106" s="31"/>
      <c r="L106" s="32"/>
      <c r="M106" s="19"/>
      <c r="N106" s="33"/>
      <c r="O106" s="34"/>
      <c r="P106" s="34"/>
      <c r="Q106" s="34"/>
      <c r="R106" s="34"/>
      <c r="S106" s="34"/>
      <c r="T106" s="34"/>
      <c r="U106" s="34"/>
      <c r="V106" s="34"/>
      <c r="W106" s="34"/>
      <c r="X106" s="34"/>
      <c r="Y106" s="34"/>
      <c r="Z106" s="34"/>
      <c r="AA106" s="34"/>
      <c r="AB106" s="12"/>
      <c r="AC106" s="14"/>
      <c r="AD106" s="12"/>
      <c r="AE106" s="14"/>
      <c r="AF106" s="34"/>
      <c r="AG106" s="34"/>
      <c r="AH106" s="34"/>
      <c r="AI106" s="34"/>
      <c r="AJ106" s="34"/>
      <c r="AK106" s="34"/>
      <c r="AL106" s="34"/>
      <c r="AM106" s="34"/>
      <c r="AN106" s="34"/>
      <c r="AO106" s="34"/>
      <c r="AP106" s="34"/>
      <c r="AQ106" s="34"/>
      <c r="AR106" s="34"/>
      <c r="AS106" s="35"/>
      <c r="AU106" s="30"/>
      <c r="AV106" s="31"/>
      <c r="AW106" s="31"/>
      <c r="AX106" s="32"/>
      <c r="AZ106" s="30"/>
      <c r="BA106" s="31"/>
      <c r="BB106" s="31"/>
      <c r="BC106" s="31"/>
      <c r="BD106" s="31"/>
      <c r="BE106" s="31"/>
      <c r="BF106" s="31"/>
      <c r="BG106" s="31"/>
      <c r="BH106" s="31"/>
      <c r="BI106" s="31"/>
      <c r="BJ106" s="31"/>
      <c r="BK106" s="31"/>
      <c r="BL106" s="31"/>
      <c r="BM106" s="31"/>
      <c r="BN106" s="31"/>
      <c r="BO106" s="31"/>
      <c r="BP106" s="32"/>
      <c r="BS106" s="30"/>
      <c r="BT106" s="31"/>
      <c r="BU106" s="31"/>
      <c r="BV106" s="31"/>
      <c r="BW106" s="31"/>
      <c r="BX106" s="31"/>
      <c r="BY106" s="31"/>
      <c r="BZ106" s="31"/>
      <c r="CA106" s="31"/>
      <c r="CB106" s="31"/>
      <c r="CC106" s="32"/>
      <c r="CD106" s="37"/>
      <c r="CE106" s="30"/>
      <c r="CF106" s="31"/>
      <c r="CG106" s="31"/>
      <c r="CH106" s="31"/>
      <c r="CI106" s="31"/>
      <c r="CJ106" s="31"/>
      <c r="CK106" s="31"/>
      <c r="CL106" s="31"/>
      <c r="CM106" s="32"/>
    </row>
    <row r="107" ht="11.25" customHeight="1">
      <c r="A107" s="47">
        <f>A105+1</f>
        <v>7</v>
      </c>
      <c r="C107" s="16">
        <v>30.07</v>
      </c>
      <c r="D107" s="17"/>
      <c r="E107" s="17"/>
      <c r="F107" s="17"/>
      <c r="G107" s="18"/>
      <c r="H107" s="19"/>
      <c r="I107" s="20">
        <v>0.7291666666666666</v>
      </c>
      <c r="J107" s="17"/>
      <c r="K107" s="17"/>
      <c r="L107" s="18"/>
      <c r="M107" s="19"/>
      <c r="N107" s="21" t="str">
        <f t="array" ref="N107">xlookup(P107,data!$N$2:$N$17,data!$O$2:$O$17,"")</f>
        <v/>
      </c>
      <c r="O107" s="22"/>
      <c r="P107" s="23" t="str">
        <f t="array" ref="P107">xlookup(A107,matchups!$I:$I,matchups!$B:$B,"")</f>
        <v>Team 7 (Group 2)</v>
      </c>
      <c r="Q107" s="22"/>
      <c r="R107" s="22"/>
      <c r="S107" s="22"/>
      <c r="T107" s="22"/>
      <c r="U107" s="22"/>
      <c r="V107" s="22"/>
      <c r="W107" s="22"/>
      <c r="X107" s="22"/>
      <c r="Y107" s="22"/>
      <c r="Z107" s="22"/>
      <c r="AA107" s="22"/>
      <c r="AB107" s="24" t="str">
        <f t="array" ref="AB107">xlookup(A107,matchups!$I:$I,matchups!$D:$D,"")</f>
        <v/>
      </c>
      <c r="AC107" s="9"/>
      <c r="AD107" s="24" t="str">
        <f t="array" ref="AD107">xlookup(A107,matchups!$I:$I,matchups!$E:$E,"")</f>
        <v/>
      </c>
      <c r="AE107" s="9"/>
      <c r="AF107" s="23" t="str">
        <f t="array" ref="AF107">xlookup(A107,matchups!$I:$I,matchups!$C:$C,"")</f>
        <v>TBD</v>
      </c>
      <c r="AG107" s="22"/>
      <c r="AH107" s="22"/>
      <c r="AI107" s="22"/>
      <c r="AJ107" s="22"/>
      <c r="AK107" s="22"/>
      <c r="AL107" s="22"/>
      <c r="AM107" s="22"/>
      <c r="AN107" s="22"/>
      <c r="AO107" s="22"/>
      <c r="AP107" s="22"/>
      <c r="AQ107" s="22"/>
      <c r="AR107" s="25" t="str">
        <f t="array" ref="AR107">xlookup(AF107,data!$N$2:$N$17,data!$O$2:$O$17,"")</f>
        <v/>
      </c>
      <c r="AS107" s="26"/>
      <c r="AU107" s="27" t="s">
        <v>11</v>
      </c>
      <c r="AV107" s="17"/>
      <c r="AW107" s="17"/>
      <c r="AX107" s="18"/>
      <c r="AZ107" s="27" t="s">
        <v>30</v>
      </c>
      <c r="BA107" s="17"/>
      <c r="BB107" s="17"/>
      <c r="BC107" s="17"/>
      <c r="BD107" s="17"/>
      <c r="BE107" s="17"/>
      <c r="BF107" s="17"/>
      <c r="BG107" s="17"/>
      <c r="BH107" s="17"/>
      <c r="BI107" s="17"/>
      <c r="BJ107" s="17"/>
      <c r="BK107" s="17"/>
      <c r="BL107" s="17"/>
      <c r="BM107" s="17"/>
      <c r="BN107" s="17"/>
      <c r="BO107" s="17"/>
      <c r="BP107" s="18"/>
      <c r="BS107" s="38" t="s">
        <v>13</v>
      </c>
      <c r="BT107" s="17"/>
      <c r="BU107" s="17"/>
      <c r="BV107" s="17"/>
      <c r="BW107" s="17"/>
      <c r="BX107" s="17"/>
      <c r="BY107" s="17"/>
      <c r="BZ107" s="17"/>
      <c r="CA107" s="17"/>
      <c r="CB107" s="17"/>
      <c r="CC107" s="18"/>
      <c r="CD107" s="37"/>
      <c r="CE107" s="29" t="s">
        <v>14</v>
      </c>
      <c r="CF107" s="17"/>
      <c r="CG107" s="17"/>
      <c r="CH107" s="17"/>
      <c r="CI107" s="17"/>
      <c r="CJ107" s="17"/>
      <c r="CK107" s="17"/>
      <c r="CL107" s="17"/>
      <c r="CM107" s="18"/>
    </row>
    <row r="108" ht="11.25" customHeight="1">
      <c r="C108" s="30"/>
      <c r="D108" s="31"/>
      <c r="E108" s="31"/>
      <c r="F108" s="31"/>
      <c r="G108" s="32"/>
      <c r="H108" s="19"/>
      <c r="I108" s="30"/>
      <c r="J108" s="31"/>
      <c r="K108" s="31"/>
      <c r="L108" s="32"/>
      <c r="M108" s="19"/>
      <c r="N108" s="33"/>
      <c r="O108" s="34"/>
      <c r="P108" s="34"/>
      <c r="Q108" s="34"/>
      <c r="R108" s="34"/>
      <c r="S108" s="34"/>
      <c r="T108" s="34"/>
      <c r="U108" s="34"/>
      <c r="V108" s="34"/>
      <c r="W108" s="34"/>
      <c r="X108" s="34"/>
      <c r="Y108" s="34"/>
      <c r="Z108" s="34"/>
      <c r="AA108" s="34"/>
      <c r="AB108" s="12"/>
      <c r="AC108" s="14"/>
      <c r="AD108" s="12"/>
      <c r="AE108" s="14"/>
      <c r="AF108" s="34"/>
      <c r="AG108" s="34"/>
      <c r="AH108" s="34"/>
      <c r="AI108" s="34"/>
      <c r="AJ108" s="34"/>
      <c r="AK108" s="34"/>
      <c r="AL108" s="34"/>
      <c r="AM108" s="34"/>
      <c r="AN108" s="34"/>
      <c r="AO108" s="34"/>
      <c r="AP108" s="34"/>
      <c r="AQ108" s="34"/>
      <c r="AR108" s="34"/>
      <c r="AS108" s="35"/>
      <c r="AU108" s="30"/>
      <c r="AV108" s="31"/>
      <c r="AW108" s="31"/>
      <c r="AX108" s="32"/>
      <c r="AZ108" s="30"/>
      <c r="BA108" s="31"/>
      <c r="BB108" s="31"/>
      <c r="BC108" s="31"/>
      <c r="BD108" s="31"/>
      <c r="BE108" s="31"/>
      <c r="BF108" s="31"/>
      <c r="BG108" s="31"/>
      <c r="BH108" s="31"/>
      <c r="BI108" s="31"/>
      <c r="BJ108" s="31"/>
      <c r="BK108" s="31"/>
      <c r="BL108" s="31"/>
      <c r="BM108" s="31"/>
      <c r="BN108" s="31"/>
      <c r="BO108" s="31"/>
      <c r="BP108" s="32"/>
      <c r="BS108" s="30"/>
      <c r="BT108" s="31"/>
      <c r="BU108" s="31"/>
      <c r="BV108" s="31"/>
      <c r="BW108" s="31"/>
      <c r="BX108" s="31"/>
      <c r="BY108" s="31"/>
      <c r="BZ108" s="31"/>
      <c r="CA108" s="31"/>
      <c r="CB108" s="31"/>
      <c r="CC108" s="32"/>
      <c r="CD108" s="37"/>
      <c r="CE108" s="30"/>
      <c r="CF108" s="31"/>
      <c r="CG108" s="31"/>
      <c r="CH108" s="31"/>
      <c r="CI108" s="31"/>
      <c r="CJ108" s="31"/>
      <c r="CK108" s="31"/>
      <c r="CL108" s="31"/>
      <c r="CM108" s="32"/>
    </row>
    <row r="109" ht="11.25" customHeight="1">
      <c r="A109" s="47">
        <f>A107+1</f>
        <v>8</v>
      </c>
      <c r="C109" s="16">
        <v>30.07</v>
      </c>
      <c r="D109" s="17"/>
      <c r="E109" s="17"/>
      <c r="F109" s="17"/>
      <c r="G109" s="18"/>
      <c r="H109" s="19"/>
      <c r="I109" s="20">
        <v>0.8541666666666666</v>
      </c>
      <c r="J109" s="17"/>
      <c r="K109" s="17"/>
      <c r="L109" s="18"/>
      <c r="M109" s="19"/>
      <c r="N109" s="21" t="str">
        <f t="array" ref="N109">xlookup(P109,data!$N$2:$N$17,data!$O$2:$O$17,"")</f>
        <v/>
      </c>
      <c r="O109" s="22"/>
      <c r="P109" s="23" t="str">
        <f t="array" ref="P109">xlookup(A109,matchups!$I:$I,matchups!$B:$B,"")</f>
        <v>Team 8 (Group 2)</v>
      </c>
      <c r="Q109" s="22"/>
      <c r="R109" s="22"/>
      <c r="S109" s="22"/>
      <c r="T109" s="22"/>
      <c r="U109" s="22"/>
      <c r="V109" s="22"/>
      <c r="W109" s="22"/>
      <c r="X109" s="22"/>
      <c r="Y109" s="22"/>
      <c r="Z109" s="22"/>
      <c r="AA109" s="22"/>
      <c r="AB109" s="24" t="str">
        <f t="array" ref="AB109">xlookup(A109,matchups!$I:$I,matchups!$D:$D,"")</f>
        <v/>
      </c>
      <c r="AC109" s="9"/>
      <c r="AD109" s="24" t="str">
        <f t="array" ref="AD109">xlookup(A109,matchups!$I:$I,matchups!$E:$E,"")</f>
        <v/>
      </c>
      <c r="AE109" s="9"/>
      <c r="AF109" s="23" t="str">
        <f t="array" ref="AF109">xlookup(A109,matchups!$I:$I,matchups!$C:$C,"")</f>
        <v>TBD</v>
      </c>
      <c r="AG109" s="22"/>
      <c r="AH109" s="22"/>
      <c r="AI109" s="22"/>
      <c r="AJ109" s="22"/>
      <c r="AK109" s="22"/>
      <c r="AL109" s="22"/>
      <c r="AM109" s="22"/>
      <c r="AN109" s="22"/>
      <c r="AO109" s="22"/>
      <c r="AP109" s="22"/>
      <c r="AQ109" s="22"/>
      <c r="AR109" s="25" t="str">
        <f t="array" ref="AR109">xlookup(AF109,data!$N$2:$N$17,data!$O$2:$O$17,"")</f>
        <v/>
      </c>
      <c r="AS109" s="26"/>
      <c r="AU109" s="27" t="s">
        <v>11</v>
      </c>
      <c r="AV109" s="17"/>
      <c r="AW109" s="17"/>
      <c r="AX109" s="18"/>
      <c r="AZ109" s="27" t="s">
        <v>30</v>
      </c>
      <c r="BA109" s="17"/>
      <c r="BB109" s="17"/>
      <c r="BC109" s="17"/>
      <c r="BD109" s="17"/>
      <c r="BE109" s="17"/>
      <c r="BF109" s="17"/>
      <c r="BG109" s="17"/>
      <c r="BH109" s="17"/>
      <c r="BI109" s="17"/>
      <c r="BJ109" s="17"/>
      <c r="BK109" s="17"/>
      <c r="BL109" s="17"/>
      <c r="BM109" s="17"/>
      <c r="BN109" s="17"/>
      <c r="BO109" s="17"/>
      <c r="BP109" s="18"/>
      <c r="BS109" s="38" t="s">
        <v>13</v>
      </c>
      <c r="BT109" s="17"/>
      <c r="BU109" s="17"/>
      <c r="BV109" s="17"/>
      <c r="BW109" s="17"/>
      <c r="BX109" s="17"/>
      <c r="BY109" s="17"/>
      <c r="BZ109" s="17"/>
      <c r="CA109" s="17"/>
      <c r="CB109" s="17"/>
      <c r="CC109" s="18"/>
      <c r="CD109" s="37"/>
      <c r="CE109" s="29" t="s">
        <v>14</v>
      </c>
      <c r="CF109" s="17"/>
      <c r="CG109" s="17"/>
      <c r="CH109" s="17"/>
      <c r="CI109" s="17"/>
      <c r="CJ109" s="17"/>
      <c r="CK109" s="17"/>
      <c r="CL109" s="17"/>
      <c r="CM109" s="18"/>
    </row>
    <row r="110" ht="11.25" customHeight="1">
      <c r="C110" s="30"/>
      <c r="D110" s="31"/>
      <c r="E110" s="31"/>
      <c r="F110" s="31"/>
      <c r="G110" s="32"/>
      <c r="H110" s="19"/>
      <c r="I110" s="30"/>
      <c r="J110" s="31"/>
      <c r="K110" s="31"/>
      <c r="L110" s="32"/>
      <c r="M110" s="19"/>
      <c r="N110" s="33"/>
      <c r="O110" s="34"/>
      <c r="P110" s="34"/>
      <c r="Q110" s="34"/>
      <c r="R110" s="34"/>
      <c r="S110" s="34"/>
      <c r="T110" s="34"/>
      <c r="U110" s="34"/>
      <c r="V110" s="34"/>
      <c r="W110" s="34"/>
      <c r="X110" s="34"/>
      <c r="Y110" s="34"/>
      <c r="Z110" s="34"/>
      <c r="AA110" s="34"/>
      <c r="AB110" s="12"/>
      <c r="AC110" s="14"/>
      <c r="AD110" s="12"/>
      <c r="AE110" s="14"/>
      <c r="AF110" s="34"/>
      <c r="AG110" s="34"/>
      <c r="AH110" s="34"/>
      <c r="AI110" s="34"/>
      <c r="AJ110" s="34"/>
      <c r="AK110" s="34"/>
      <c r="AL110" s="34"/>
      <c r="AM110" s="34"/>
      <c r="AN110" s="34"/>
      <c r="AO110" s="34"/>
      <c r="AP110" s="34"/>
      <c r="AQ110" s="34"/>
      <c r="AR110" s="34"/>
      <c r="AS110" s="35"/>
      <c r="AU110" s="30"/>
      <c r="AV110" s="31"/>
      <c r="AW110" s="31"/>
      <c r="AX110" s="32"/>
      <c r="AZ110" s="30"/>
      <c r="BA110" s="31"/>
      <c r="BB110" s="31"/>
      <c r="BC110" s="31"/>
      <c r="BD110" s="31"/>
      <c r="BE110" s="31"/>
      <c r="BF110" s="31"/>
      <c r="BG110" s="31"/>
      <c r="BH110" s="31"/>
      <c r="BI110" s="31"/>
      <c r="BJ110" s="31"/>
      <c r="BK110" s="31"/>
      <c r="BL110" s="31"/>
      <c r="BM110" s="31"/>
      <c r="BN110" s="31"/>
      <c r="BO110" s="31"/>
      <c r="BP110" s="32"/>
      <c r="BS110" s="30"/>
      <c r="BT110" s="31"/>
      <c r="BU110" s="31"/>
      <c r="BV110" s="31"/>
      <c r="BW110" s="31"/>
      <c r="BX110" s="31"/>
      <c r="BY110" s="31"/>
      <c r="BZ110" s="31"/>
      <c r="CA110" s="31"/>
      <c r="CB110" s="31"/>
      <c r="CC110" s="32"/>
      <c r="CD110" s="37"/>
      <c r="CE110" s="30"/>
      <c r="CF110" s="31"/>
      <c r="CG110" s="31"/>
      <c r="CH110" s="31"/>
      <c r="CI110" s="31"/>
      <c r="CJ110" s="31"/>
      <c r="CK110" s="31"/>
      <c r="CL110" s="31"/>
      <c r="CM110" s="32"/>
    </row>
    <row r="111" ht="11.25" customHeight="1">
      <c r="C111" s="6"/>
      <c r="D111" s="6"/>
      <c r="E111" s="6"/>
      <c r="F111" s="6"/>
      <c r="G111" s="6"/>
      <c r="H111" s="6"/>
      <c r="I111" s="36"/>
      <c r="J111" s="36"/>
      <c r="K111" s="36"/>
      <c r="L111" s="36"/>
      <c r="M111" s="6"/>
      <c r="BS111" s="37"/>
      <c r="BT111" s="37"/>
      <c r="BU111" s="37"/>
      <c r="BV111" s="37"/>
      <c r="BW111" s="37"/>
      <c r="BX111" s="37"/>
      <c r="BY111" s="37"/>
      <c r="BZ111" s="37"/>
      <c r="CA111" s="37"/>
      <c r="CB111" s="37"/>
      <c r="CC111" s="37"/>
    </row>
    <row r="112" ht="11.25" customHeight="1">
      <c r="C112" s="6"/>
      <c r="D112" s="6"/>
      <c r="E112" s="6"/>
      <c r="F112" s="6"/>
      <c r="G112" s="6"/>
      <c r="H112" s="6"/>
      <c r="I112" s="36"/>
      <c r="J112" s="36"/>
      <c r="K112" s="36"/>
      <c r="L112" s="36"/>
      <c r="M112" s="6"/>
      <c r="BS112" s="37"/>
      <c r="BT112" s="37"/>
      <c r="BU112" s="37"/>
      <c r="BV112" s="37"/>
      <c r="BW112" s="37"/>
      <c r="BX112" s="37"/>
      <c r="BY112" s="37"/>
      <c r="BZ112" s="37"/>
      <c r="CA112" s="37"/>
      <c r="CB112" s="37"/>
      <c r="CC112" s="37"/>
    </row>
    <row r="113" ht="11.25" customHeight="1">
      <c r="A113" s="48">
        <f>A109+1</f>
        <v>9</v>
      </c>
      <c r="C113" s="16">
        <v>31.07</v>
      </c>
      <c r="D113" s="17"/>
      <c r="E113" s="17"/>
      <c r="F113" s="17"/>
      <c r="G113" s="18"/>
      <c r="H113" s="19"/>
      <c r="I113" s="20">
        <v>0.4791666666666667</v>
      </c>
      <c r="J113" s="17"/>
      <c r="K113" s="17"/>
      <c r="L113" s="18"/>
      <c r="M113" s="19"/>
      <c r="N113" s="21" t="str">
        <f t="array" ref="N113">xlookup(P113,data!$N$2:$N$17,data!$O$2:$O$17,"")</f>
        <v/>
      </c>
      <c r="O113" s="22"/>
      <c r="P113" s="23" t="str">
        <f t="array" ref="P113">xlookup(A113,matchups!$I:$I,matchups!$B:$B,"")</f>
        <v/>
      </c>
      <c r="Q113" s="22"/>
      <c r="R113" s="22"/>
      <c r="S113" s="22"/>
      <c r="T113" s="22"/>
      <c r="U113" s="22"/>
      <c r="V113" s="22"/>
      <c r="W113" s="22"/>
      <c r="X113" s="22"/>
      <c r="Y113" s="22"/>
      <c r="Z113" s="22"/>
      <c r="AA113" s="22"/>
      <c r="AB113" s="24" t="str">
        <f t="array" ref="AB113">xlookup(A113,matchups!$I:$I,matchups!$D:$D,"")</f>
        <v/>
      </c>
      <c r="AC113" s="9"/>
      <c r="AD113" s="24" t="str">
        <f t="array" ref="AD113">xlookup(A113,matchups!$I:$I,matchups!$E:$E,"")</f>
        <v/>
      </c>
      <c r="AE113" s="9"/>
      <c r="AF113" s="23" t="str">
        <f t="array" ref="AF113">xlookup(A113,matchups!$I:$I,matchups!$C:$C,"")</f>
        <v/>
      </c>
      <c r="AG113" s="22"/>
      <c r="AH113" s="22"/>
      <c r="AI113" s="22"/>
      <c r="AJ113" s="22"/>
      <c r="AK113" s="22"/>
      <c r="AL113" s="22"/>
      <c r="AM113" s="22"/>
      <c r="AN113" s="22"/>
      <c r="AO113" s="22"/>
      <c r="AP113" s="22"/>
      <c r="AQ113" s="22"/>
      <c r="AR113" s="25" t="str">
        <f t="array" ref="AR113">xlookup(AF113,data!$N$2:$N$17,data!$O$2:$O$17,"")</f>
        <v/>
      </c>
      <c r="AS113" s="26"/>
      <c r="AU113" s="27" t="s">
        <v>11</v>
      </c>
      <c r="AV113" s="17"/>
      <c r="AW113" s="17"/>
      <c r="AX113" s="18"/>
      <c r="AZ113" s="27" t="s">
        <v>31</v>
      </c>
      <c r="BA113" s="17"/>
      <c r="BB113" s="17"/>
      <c r="BC113" s="17"/>
      <c r="BD113" s="17"/>
      <c r="BE113" s="17"/>
      <c r="BF113" s="17"/>
      <c r="BG113" s="17"/>
      <c r="BH113" s="17"/>
      <c r="BI113" s="17"/>
      <c r="BJ113" s="17"/>
      <c r="BK113" s="17"/>
      <c r="BL113" s="17"/>
      <c r="BM113" s="17"/>
      <c r="BN113" s="17"/>
      <c r="BO113" s="17"/>
      <c r="BP113" s="18"/>
      <c r="BS113" s="38" t="s">
        <v>13</v>
      </c>
      <c r="BT113" s="17"/>
      <c r="BU113" s="17"/>
      <c r="BV113" s="17"/>
      <c r="BW113" s="17"/>
      <c r="BX113" s="17"/>
      <c r="BY113" s="17"/>
      <c r="BZ113" s="17"/>
      <c r="CA113" s="17"/>
      <c r="CB113" s="17"/>
      <c r="CC113" s="18"/>
      <c r="CD113" s="37"/>
      <c r="CE113" s="29" t="s">
        <v>14</v>
      </c>
      <c r="CF113" s="17"/>
      <c r="CG113" s="17"/>
      <c r="CH113" s="17"/>
      <c r="CI113" s="17"/>
      <c r="CJ113" s="17"/>
      <c r="CK113" s="17"/>
      <c r="CL113" s="17"/>
      <c r="CM113" s="18"/>
    </row>
    <row r="114" ht="11.25" customHeight="1">
      <c r="C114" s="30"/>
      <c r="D114" s="31"/>
      <c r="E114" s="31"/>
      <c r="F114" s="31"/>
      <c r="G114" s="32"/>
      <c r="H114" s="19"/>
      <c r="I114" s="30"/>
      <c r="J114" s="31"/>
      <c r="K114" s="31"/>
      <c r="L114" s="32"/>
      <c r="M114" s="19"/>
      <c r="N114" s="33"/>
      <c r="O114" s="34"/>
      <c r="P114" s="34"/>
      <c r="Q114" s="34"/>
      <c r="R114" s="34"/>
      <c r="S114" s="34"/>
      <c r="T114" s="34"/>
      <c r="U114" s="34"/>
      <c r="V114" s="34"/>
      <c r="W114" s="34"/>
      <c r="X114" s="34"/>
      <c r="Y114" s="34"/>
      <c r="Z114" s="34"/>
      <c r="AA114" s="34"/>
      <c r="AB114" s="12"/>
      <c r="AC114" s="14"/>
      <c r="AD114" s="12"/>
      <c r="AE114" s="14"/>
      <c r="AF114" s="34"/>
      <c r="AG114" s="34"/>
      <c r="AH114" s="34"/>
      <c r="AI114" s="34"/>
      <c r="AJ114" s="34"/>
      <c r="AK114" s="34"/>
      <c r="AL114" s="34"/>
      <c r="AM114" s="34"/>
      <c r="AN114" s="34"/>
      <c r="AO114" s="34"/>
      <c r="AP114" s="34"/>
      <c r="AQ114" s="34"/>
      <c r="AR114" s="34"/>
      <c r="AS114" s="35"/>
      <c r="AU114" s="30"/>
      <c r="AV114" s="31"/>
      <c r="AW114" s="31"/>
      <c r="AX114" s="32"/>
      <c r="AZ114" s="30"/>
      <c r="BA114" s="31"/>
      <c r="BB114" s="31"/>
      <c r="BC114" s="31"/>
      <c r="BD114" s="31"/>
      <c r="BE114" s="31"/>
      <c r="BF114" s="31"/>
      <c r="BG114" s="31"/>
      <c r="BH114" s="31"/>
      <c r="BI114" s="31"/>
      <c r="BJ114" s="31"/>
      <c r="BK114" s="31"/>
      <c r="BL114" s="31"/>
      <c r="BM114" s="31"/>
      <c r="BN114" s="31"/>
      <c r="BO114" s="31"/>
      <c r="BP114" s="32"/>
      <c r="BS114" s="30"/>
      <c r="BT114" s="31"/>
      <c r="BU114" s="31"/>
      <c r="BV114" s="31"/>
      <c r="BW114" s="31"/>
      <c r="BX114" s="31"/>
      <c r="BY114" s="31"/>
      <c r="BZ114" s="31"/>
      <c r="CA114" s="31"/>
      <c r="CB114" s="31"/>
      <c r="CC114" s="32"/>
      <c r="CD114" s="37"/>
      <c r="CE114" s="30"/>
      <c r="CF114" s="31"/>
      <c r="CG114" s="31"/>
      <c r="CH114" s="31"/>
      <c r="CI114" s="31"/>
      <c r="CJ114" s="31"/>
      <c r="CK114" s="31"/>
      <c r="CL114" s="31"/>
      <c r="CM114" s="32"/>
    </row>
    <row r="115" ht="11.25" customHeight="1">
      <c r="A115" s="48">
        <f>A113+1</f>
        <v>10</v>
      </c>
      <c r="C115" s="16">
        <v>31.07</v>
      </c>
      <c r="D115" s="17"/>
      <c r="E115" s="17"/>
      <c r="F115" s="17"/>
      <c r="G115" s="18"/>
      <c r="H115" s="19"/>
      <c r="I115" s="20">
        <v>0.6041666666666666</v>
      </c>
      <c r="J115" s="17"/>
      <c r="K115" s="17"/>
      <c r="L115" s="18"/>
      <c r="M115" s="19"/>
      <c r="N115" s="21" t="str">
        <f t="array" ref="N115">xlookup(P115,data!$N$2:$N$17,data!$O$2:$O$17,"")</f>
        <v/>
      </c>
      <c r="O115" s="22"/>
      <c r="P115" s="23" t="str">
        <f t="array" ref="P115">xlookup(A115,matchups!$I:$I,matchups!$B:$B,"")</f>
        <v/>
      </c>
      <c r="Q115" s="22"/>
      <c r="R115" s="22"/>
      <c r="S115" s="22"/>
      <c r="T115" s="22"/>
      <c r="U115" s="22"/>
      <c r="V115" s="22"/>
      <c r="W115" s="22"/>
      <c r="X115" s="22"/>
      <c r="Y115" s="22"/>
      <c r="Z115" s="22"/>
      <c r="AA115" s="22"/>
      <c r="AB115" s="24" t="str">
        <f t="array" ref="AB115">xlookup(A115,matchups!$I:$I,matchups!$D:$D,"")</f>
        <v/>
      </c>
      <c r="AC115" s="9"/>
      <c r="AD115" s="24" t="str">
        <f t="array" ref="AD115">xlookup(A115,matchups!$I:$I,matchups!$E:$E,"")</f>
        <v/>
      </c>
      <c r="AE115" s="9"/>
      <c r="AF115" s="23" t="str">
        <f t="array" ref="AF115">xlookup(A115,matchups!$I:$I,matchups!$C:$C,"")</f>
        <v/>
      </c>
      <c r="AG115" s="22"/>
      <c r="AH115" s="22"/>
      <c r="AI115" s="22"/>
      <c r="AJ115" s="22"/>
      <c r="AK115" s="22"/>
      <c r="AL115" s="22"/>
      <c r="AM115" s="22"/>
      <c r="AN115" s="22"/>
      <c r="AO115" s="22"/>
      <c r="AP115" s="22"/>
      <c r="AQ115" s="22"/>
      <c r="AR115" s="25" t="str">
        <f t="array" ref="AR115">xlookup(AF115,data!$N$2:$N$17,data!$O$2:$O$17,"")</f>
        <v/>
      </c>
      <c r="AS115" s="26"/>
      <c r="AU115" s="27" t="s">
        <v>11</v>
      </c>
      <c r="AV115" s="17"/>
      <c r="AW115" s="17"/>
      <c r="AX115" s="18"/>
      <c r="AZ115" s="27" t="s">
        <v>31</v>
      </c>
      <c r="BA115" s="17"/>
      <c r="BB115" s="17"/>
      <c r="BC115" s="17"/>
      <c r="BD115" s="17"/>
      <c r="BE115" s="17"/>
      <c r="BF115" s="17"/>
      <c r="BG115" s="17"/>
      <c r="BH115" s="17"/>
      <c r="BI115" s="17"/>
      <c r="BJ115" s="17"/>
      <c r="BK115" s="17"/>
      <c r="BL115" s="17"/>
      <c r="BM115" s="17"/>
      <c r="BN115" s="17"/>
      <c r="BO115" s="17"/>
      <c r="BP115" s="18"/>
      <c r="BS115" s="38" t="s">
        <v>13</v>
      </c>
      <c r="BT115" s="17"/>
      <c r="BU115" s="17"/>
      <c r="BV115" s="17"/>
      <c r="BW115" s="17"/>
      <c r="BX115" s="17"/>
      <c r="BY115" s="17"/>
      <c r="BZ115" s="17"/>
      <c r="CA115" s="17"/>
      <c r="CB115" s="17"/>
      <c r="CC115" s="18"/>
      <c r="CD115" s="37"/>
      <c r="CE115" s="29" t="s">
        <v>14</v>
      </c>
      <c r="CF115" s="17"/>
      <c r="CG115" s="17"/>
      <c r="CH115" s="17"/>
      <c r="CI115" s="17"/>
      <c r="CJ115" s="17"/>
      <c r="CK115" s="17"/>
      <c r="CL115" s="17"/>
      <c r="CM115" s="18"/>
    </row>
    <row r="116" ht="11.25" customHeight="1">
      <c r="C116" s="30"/>
      <c r="D116" s="31"/>
      <c r="E116" s="31"/>
      <c r="F116" s="31"/>
      <c r="G116" s="32"/>
      <c r="H116" s="19"/>
      <c r="I116" s="30"/>
      <c r="J116" s="31"/>
      <c r="K116" s="31"/>
      <c r="L116" s="32"/>
      <c r="M116" s="19"/>
      <c r="N116" s="33"/>
      <c r="O116" s="34"/>
      <c r="P116" s="34"/>
      <c r="Q116" s="34"/>
      <c r="R116" s="34"/>
      <c r="S116" s="34"/>
      <c r="T116" s="34"/>
      <c r="U116" s="34"/>
      <c r="V116" s="34"/>
      <c r="W116" s="34"/>
      <c r="X116" s="34"/>
      <c r="Y116" s="34"/>
      <c r="Z116" s="34"/>
      <c r="AA116" s="34"/>
      <c r="AB116" s="12"/>
      <c r="AC116" s="14"/>
      <c r="AD116" s="12"/>
      <c r="AE116" s="14"/>
      <c r="AF116" s="34"/>
      <c r="AG116" s="34"/>
      <c r="AH116" s="34"/>
      <c r="AI116" s="34"/>
      <c r="AJ116" s="34"/>
      <c r="AK116" s="34"/>
      <c r="AL116" s="34"/>
      <c r="AM116" s="34"/>
      <c r="AN116" s="34"/>
      <c r="AO116" s="34"/>
      <c r="AP116" s="34"/>
      <c r="AQ116" s="34"/>
      <c r="AR116" s="34"/>
      <c r="AS116" s="35"/>
      <c r="AU116" s="30"/>
      <c r="AV116" s="31"/>
      <c r="AW116" s="31"/>
      <c r="AX116" s="32"/>
      <c r="AZ116" s="30"/>
      <c r="BA116" s="31"/>
      <c r="BB116" s="31"/>
      <c r="BC116" s="31"/>
      <c r="BD116" s="31"/>
      <c r="BE116" s="31"/>
      <c r="BF116" s="31"/>
      <c r="BG116" s="31"/>
      <c r="BH116" s="31"/>
      <c r="BI116" s="31"/>
      <c r="BJ116" s="31"/>
      <c r="BK116" s="31"/>
      <c r="BL116" s="31"/>
      <c r="BM116" s="31"/>
      <c r="BN116" s="31"/>
      <c r="BO116" s="31"/>
      <c r="BP116" s="32"/>
      <c r="BS116" s="30"/>
      <c r="BT116" s="31"/>
      <c r="BU116" s="31"/>
      <c r="BV116" s="31"/>
      <c r="BW116" s="31"/>
      <c r="BX116" s="31"/>
      <c r="BY116" s="31"/>
      <c r="BZ116" s="31"/>
      <c r="CA116" s="31"/>
      <c r="CB116" s="31"/>
      <c r="CC116" s="32"/>
      <c r="CD116" s="37"/>
      <c r="CE116" s="30"/>
      <c r="CF116" s="31"/>
      <c r="CG116" s="31"/>
      <c r="CH116" s="31"/>
      <c r="CI116" s="31"/>
      <c r="CJ116" s="31"/>
      <c r="CK116" s="31"/>
      <c r="CL116" s="31"/>
      <c r="CM116" s="32"/>
    </row>
    <row r="117" ht="11.25" customHeight="1">
      <c r="A117" s="48">
        <f>A115+1</f>
        <v>11</v>
      </c>
      <c r="C117" s="16">
        <v>31.07</v>
      </c>
      <c r="D117" s="17"/>
      <c r="E117" s="17"/>
      <c r="F117" s="17"/>
      <c r="G117" s="18"/>
      <c r="H117" s="19"/>
      <c r="I117" s="20">
        <v>0.7291666666666666</v>
      </c>
      <c r="J117" s="17"/>
      <c r="K117" s="17"/>
      <c r="L117" s="18"/>
      <c r="M117" s="19"/>
      <c r="N117" s="21" t="str">
        <f t="array" ref="N117">xlookup(P117,data!$N$2:$N$17,data!$O$2:$O$17,"")</f>
        <v/>
      </c>
      <c r="O117" s="22"/>
      <c r="P117" s="23" t="str">
        <f t="array" ref="P117">xlookup(A117,matchups!$I:$I,matchups!$B:$B,"")</f>
        <v/>
      </c>
      <c r="Q117" s="22"/>
      <c r="R117" s="22"/>
      <c r="S117" s="22"/>
      <c r="T117" s="22"/>
      <c r="U117" s="22"/>
      <c r="V117" s="22"/>
      <c r="W117" s="22"/>
      <c r="X117" s="22"/>
      <c r="Y117" s="22"/>
      <c r="Z117" s="22"/>
      <c r="AA117" s="22"/>
      <c r="AB117" s="24" t="str">
        <f t="array" ref="AB117">xlookup(A117,matchups!$I:$I,matchups!$D:$D,"")</f>
        <v/>
      </c>
      <c r="AC117" s="9"/>
      <c r="AD117" s="24" t="str">
        <f t="array" ref="AD117">xlookup(A117,matchups!$I:$I,matchups!$E:$E,"")</f>
        <v/>
      </c>
      <c r="AE117" s="9"/>
      <c r="AF117" s="23" t="str">
        <f t="array" ref="AF117">xlookup(A117,matchups!$I:$I,matchups!$C:$C,"")</f>
        <v/>
      </c>
      <c r="AG117" s="22"/>
      <c r="AH117" s="22"/>
      <c r="AI117" s="22"/>
      <c r="AJ117" s="22"/>
      <c r="AK117" s="22"/>
      <c r="AL117" s="22"/>
      <c r="AM117" s="22"/>
      <c r="AN117" s="22"/>
      <c r="AO117" s="22"/>
      <c r="AP117" s="22"/>
      <c r="AQ117" s="22"/>
      <c r="AR117" s="25" t="str">
        <f t="array" ref="AR117">xlookup(AF117,data!$N$2:$N$17,data!$O$2:$O$17,"")</f>
        <v/>
      </c>
      <c r="AS117" s="26"/>
      <c r="AU117" s="27" t="s">
        <v>11</v>
      </c>
      <c r="AV117" s="17"/>
      <c r="AW117" s="17"/>
      <c r="AX117" s="18"/>
      <c r="AZ117" s="27" t="s">
        <v>31</v>
      </c>
      <c r="BA117" s="17"/>
      <c r="BB117" s="17"/>
      <c r="BC117" s="17"/>
      <c r="BD117" s="17"/>
      <c r="BE117" s="17"/>
      <c r="BF117" s="17"/>
      <c r="BG117" s="17"/>
      <c r="BH117" s="17"/>
      <c r="BI117" s="17"/>
      <c r="BJ117" s="17"/>
      <c r="BK117" s="17"/>
      <c r="BL117" s="17"/>
      <c r="BM117" s="17"/>
      <c r="BN117" s="17"/>
      <c r="BO117" s="17"/>
      <c r="BP117" s="18"/>
      <c r="BS117" s="38" t="s">
        <v>13</v>
      </c>
      <c r="BT117" s="17"/>
      <c r="BU117" s="17"/>
      <c r="BV117" s="17"/>
      <c r="BW117" s="17"/>
      <c r="BX117" s="17"/>
      <c r="BY117" s="17"/>
      <c r="BZ117" s="17"/>
      <c r="CA117" s="17"/>
      <c r="CB117" s="17"/>
      <c r="CC117" s="18"/>
      <c r="CD117" s="37"/>
      <c r="CE117" s="29" t="s">
        <v>14</v>
      </c>
      <c r="CF117" s="17"/>
      <c r="CG117" s="17"/>
      <c r="CH117" s="17"/>
      <c r="CI117" s="17"/>
      <c r="CJ117" s="17"/>
      <c r="CK117" s="17"/>
      <c r="CL117" s="17"/>
      <c r="CM117" s="18"/>
    </row>
    <row r="118" ht="11.25" customHeight="1">
      <c r="C118" s="30"/>
      <c r="D118" s="31"/>
      <c r="E118" s="31"/>
      <c r="F118" s="31"/>
      <c r="G118" s="32"/>
      <c r="H118" s="19"/>
      <c r="I118" s="30"/>
      <c r="J118" s="31"/>
      <c r="K118" s="31"/>
      <c r="L118" s="32"/>
      <c r="M118" s="19"/>
      <c r="N118" s="33"/>
      <c r="O118" s="34"/>
      <c r="P118" s="34"/>
      <c r="Q118" s="34"/>
      <c r="R118" s="34"/>
      <c r="S118" s="34"/>
      <c r="T118" s="34"/>
      <c r="U118" s="34"/>
      <c r="V118" s="34"/>
      <c r="W118" s="34"/>
      <c r="X118" s="34"/>
      <c r="Y118" s="34"/>
      <c r="Z118" s="34"/>
      <c r="AA118" s="34"/>
      <c r="AB118" s="12"/>
      <c r="AC118" s="14"/>
      <c r="AD118" s="12"/>
      <c r="AE118" s="14"/>
      <c r="AF118" s="34"/>
      <c r="AG118" s="34"/>
      <c r="AH118" s="34"/>
      <c r="AI118" s="34"/>
      <c r="AJ118" s="34"/>
      <c r="AK118" s="34"/>
      <c r="AL118" s="34"/>
      <c r="AM118" s="34"/>
      <c r="AN118" s="34"/>
      <c r="AO118" s="34"/>
      <c r="AP118" s="34"/>
      <c r="AQ118" s="34"/>
      <c r="AR118" s="34"/>
      <c r="AS118" s="35"/>
      <c r="AU118" s="30"/>
      <c r="AV118" s="31"/>
      <c r="AW118" s="31"/>
      <c r="AX118" s="32"/>
      <c r="AZ118" s="30"/>
      <c r="BA118" s="31"/>
      <c r="BB118" s="31"/>
      <c r="BC118" s="31"/>
      <c r="BD118" s="31"/>
      <c r="BE118" s="31"/>
      <c r="BF118" s="31"/>
      <c r="BG118" s="31"/>
      <c r="BH118" s="31"/>
      <c r="BI118" s="31"/>
      <c r="BJ118" s="31"/>
      <c r="BK118" s="31"/>
      <c r="BL118" s="31"/>
      <c r="BM118" s="31"/>
      <c r="BN118" s="31"/>
      <c r="BO118" s="31"/>
      <c r="BP118" s="32"/>
      <c r="BS118" s="30"/>
      <c r="BT118" s="31"/>
      <c r="BU118" s="31"/>
      <c r="BV118" s="31"/>
      <c r="BW118" s="31"/>
      <c r="BX118" s="31"/>
      <c r="BY118" s="31"/>
      <c r="BZ118" s="31"/>
      <c r="CA118" s="31"/>
      <c r="CB118" s="31"/>
      <c r="CC118" s="32"/>
      <c r="CD118" s="37"/>
      <c r="CE118" s="30"/>
      <c r="CF118" s="31"/>
      <c r="CG118" s="31"/>
      <c r="CH118" s="31"/>
      <c r="CI118" s="31"/>
      <c r="CJ118" s="31"/>
      <c r="CK118" s="31"/>
      <c r="CL118" s="31"/>
      <c r="CM118" s="32"/>
    </row>
    <row r="119" ht="11.25" customHeight="1">
      <c r="A119" s="48">
        <f>A117+1</f>
        <v>12</v>
      </c>
      <c r="C119" s="16">
        <v>31.07</v>
      </c>
      <c r="D119" s="17"/>
      <c r="E119" s="17"/>
      <c r="F119" s="17"/>
      <c r="G119" s="18"/>
      <c r="H119" s="19"/>
      <c r="I119" s="20">
        <v>0.8541666666666666</v>
      </c>
      <c r="J119" s="17"/>
      <c r="K119" s="17"/>
      <c r="L119" s="18"/>
      <c r="M119" s="19"/>
      <c r="N119" s="21" t="str">
        <f t="array" ref="N119">xlookup(P119,data!$N$2:$N$17,data!$O$2:$O$17,"")</f>
        <v/>
      </c>
      <c r="O119" s="22"/>
      <c r="P119" s="23" t="str">
        <f t="array" ref="P119">xlookup(A119,matchups!$I:$I,matchups!$B:$B,"")</f>
        <v/>
      </c>
      <c r="Q119" s="22"/>
      <c r="R119" s="22"/>
      <c r="S119" s="22"/>
      <c r="T119" s="22"/>
      <c r="U119" s="22"/>
      <c r="V119" s="22"/>
      <c r="W119" s="22"/>
      <c r="X119" s="22"/>
      <c r="Y119" s="22"/>
      <c r="Z119" s="22"/>
      <c r="AA119" s="22"/>
      <c r="AB119" s="24" t="str">
        <f t="array" ref="AB119">xlookup(A119,matchups!$I:$I,matchups!$D:$D,"")</f>
        <v/>
      </c>
      <c r="AC119" s="9"/>
      <c r="AD119" s="24" t="str">
        <f t="array" ref="AD119">xlookup(A119,matchups!$I:$I,matchups!$E:$E,"")</f>
        <v/>
      </c>
      <c r="AE119" s="9"/>
      <c r="AF119" s="23" t="str">
        <f t="array" ref="AF119">xlookup(A119,matchups!$I:$I,matchups!$C:$C,"")</f>
        <v/>
      </c>
      <c r="AG119" s="22"/>
      <c r="AH119" s="22"/>
      <c r="AI119" s="22"/>
      <c r="AJ119" s="22"/>
      <c r="AK119" s="22"/>
      <c r="AL119" s="22"/>
      <c r="AM119" s="22"/>
      <c r="AN119" s="22"/>
      <c r="AO119" s="22"/>
      <c r="AP119" s="22"/>
      <c r="AQ119" s="22"/>
      <c r="AR119" s="25" t="str">
        <f t="array" ref="AR119">xlookup(AF119,data!$N$2:$N$17,data!$O$2:$O$17,"")</f>
        <v/>
      </c>
      <c r="AS119" s="26"/>
      <c r="AU119" s="27" t="s">
        <v>11</v>
      </c>
      <c r="AV119" s="17"/>
      <c r="AW119" s="17"/>
      <c r="AX119" s="18"/>
      <c r="AZ119" s="27" t="s">
        <v>31</v>
      </c>
      <c r="BA119" s="17"/>
      <c r="BB119" s="17"/>
      <c r="BC119" s="17"/>
      <c r="BD119" s="17"/>
      <c r="BE119" s="17"/>
      <c r="BF119" s="17"/>
      <c r="BG119" s="17"/>
      <c r="BH119" s="17"/>
      <c r="BI119" s="17"/>
      <c r="BJ119" s="17"/>
      <c r="BK119" s="17"/>
      <c r="BL119" s="17"/>
      <c r="BM119" s="17"/>
      <c r="BN119" s="17"/>
      <c r="BO119" s="17"/>
      <c r="BP119" s="18"/>
      <c r="BS119" s="38" t="s">
        <v>13</v>
      </c>
      <c r="BT119" s="17"/>
      <c r="BU119" s="17"/>
      <c r="BV119" s="17"/>
      <c r="BW119" s="17"/>
      <c r="BX119" s="17"/>
      <c r="BY119" s="17"/>
      <c r="BZ119" s="17"/>
      <c r="CA119" s="17"/>
      <c r="CB119" s="17"/>
      <c r="CC119" s="18"/>
      <c r="CD119" s="37"/>
      <c r="CE119" s="29" t="s">
        <v>14</v>
      </c>
      <c r="CF119" s="17"/>
      <c r="CG119" s="17"/>
      <c r="CH119" s="17"/>
      <c r="CI119" s="17"/>
      <c r="CJ119" s="17"/>
      <c r="CK119" s="17"/>
      <c r="CL119" s="17"/>
      <c r="CM119" s="18"/>
    </row>
    <row r="120" ht="11.25" customHeight="1">
      <c r="C120" s="30"/>
      <c r="D120" s="31"/>
      <c r="E120" s="31"/>
      <c r="F120" s="31"/>
      <c r="G120" s="32"/>
      <c r="H120" s="19"/>
      <c r="I120" s="30"/>
      <c r="J120" s="31"/>
      <c r="K120" s="31"/>
      <c r="L120" s="32"/>
      <c r="M120" s="19"/>
      <c r="N120" s="33"/>
      <c r="O120" s="34"/>
      <c r="P120" s="34"/>
      <c r="Q120" s="34"/>
      <c r="R120" s="34"/>
      <c r="S120" s="34"/>
      <c r="T120" s="34"/>
      <c r="U120" s="34"/>
      <c r="V120" s="34"/>
      <c r="W120" s="34"/>
      <c r="X120" s="34"/>
      <c r="Y120" s="34"/>
      <c r="Z120" s="34"/>
      <c r="AA120" s="34"/>
      <c r="AB120" s="12"/>
      <c r="AC120" s="14"/>
      <c r="AD120" s="12"/>
      <c r="AE120" s="14"/>
      <c r="AF120" s="34"/>
      <c r="AG120" s="34"/>
      <c r="AH120" s="34"/>
      <c r="AI120" s="34"/>
      <c r="AJ120" s="34"/>
      <c r="AK120" s="34"/>
      <c r="AL120" s="34"/>
      <c r="AM120" s="34"/>
      <c r="AN120" s="34"/>
      <c r="AO120" s="34"/>
      <c r="AP120" s="34"/>
      <c r="AQ120" s="34"/>
      <c r="AR120" s="34"/>
      <c r="AS120" s="35"/>
      <c r="AU120" s="30"/>
      <c r="AV120" s="31"/>
      <c r="AW120" s="31"/>
      <c r="AX120" s="32"/>
      <c r="AZ120" s="30"/>
      <c r="BA120" s="31"/>
      <c r="BB120" s="31"/>
      <c r="BC120" s="31"/>
      <c r="BD120" s="31"/>
      <c r="BE120" s="31"/>
      <c r="BF120" s="31"/>
      <c r="BG120" s="31"/>
      <c r="BH120" s="31"/>
      <c r="BI120" s="31"/>
      <c r="BJ120" s="31"/>
      <c r="BK120" s="31"/>
      <c r="BL120" s="31"/>
      <c r="BM120" s="31"/>
      <c r="BN120" s="31"/>
      <c r="BO120" s="31"/>
      <c r="BP120" s="32"/>
      <c r="BS120" s="30"/>
      <c r="BT120" s="31"/>
      <c r="BU120" s="31"/>
      <c r="BV120" s="31"/>
      <c r="BW120" s="31"/>
      <c r="BX120" s="31"/>
      <c r="BY120" s="31"/>
      <c r="BZ120" s="31"/>
      <c r="CA120" s="31"/>
      <c r="CB120" s="31"/>
      <c r="CC120" s="32"/>
      <c r="CD120" s="37"/>
      <c r="CE120" s="30"/>
      <c r="CF120" s="31"/>
      <c r="CG120" s="31"/>
      <c r="CH120" s="31"/>
      <c r="CI120" s="31"/>
      <c r="CJ120" s="31"/>
      <c r="CK120" s="31"/>
      <c r="CL120" s="31"/>
      <c r="CM120" s="32"/>
    </row>
    <row r="121" ht="11.25" customHeight="1">
      <c r="C121" s="19"/>
      <c r="D121" s="19"/>
      <c r="E121" s="19"/>
      <c r="F121" s="19"/>
      <c r="G121" s="19"/>
      <c r="H121" s="19"/>
      <c r="I121" s="36"/>
      <c r="J121" s="36"/>
      <c r="K121" s="36"/>
      <c r="L121" s="36"/>
      <c r="M121" s="19"/>
      <c r="N121" s="39"/>
      <c r="O121" s="39"/>
      <c r="P121" s="40"/>
      <c r="Q121" s="40"/>
      <c r="R121" s="40"/>
      <c r="S121" s="40"/>
      <c r="T121" s="40"/>
      <c r="U121" s="40"/>
      <c r="V121" s="40"/>
      <c r="W121" s="40"/>
      <c r="X121" s="40"/>
      <c r="Y121" s="40"/>
      <c r="Z121" s="40"/>
      <c r="AA121" s="41"/>
      <c r="AB121" s="41"/>
      <c r="AC121" s="41"/>
      <c r="AD121" s="41"/>
      <c r="AE121" s="41"/>
      <c r="AF121" s="41"/>
      <c r="AG121" s="40"/>
      <c r="AH121" s="40"/>
      <c r="AI121" s="40"/>
      <c r="AJ121" s="40"/>
      <c r="AK121" s="40"/>
      <c r="AL121" s="40"/>
      <c r="AM121" s="40"/>
      <c r="AN121" s="40"/>
      <c r="AO121" s="40"/>
      <c r="AP121" s="40"/>
      <c r="AQ121" s="40"/>
      <c r="AR121" s="42"/>
      <c r="AS121" s="42"/>
      <c r="AU121" s="43"/>
      <c r="AV121" s="43"/>
      <c r="AW121" s="43"/>
      <c r="AX121" s="43"/>
      <c r="AZ121" s="43"/>
      <c r="BA121" s="43"/>
      <c r="BB121" s="43"/>
      <c r="BC121" s="43"/>
      <c r="BD121" s="43"/>
      <c r="BE121" s="43"/>
      <c r="BF121" s="43"/>
      <c r="BG121" s="43"/>
      <c r="BH121" s="43"/>
      <c r="BI121" s="43"/>
      <c r="BJ121" s="43"/>
      <c r="BK121" s="43"/>
      <c r="BL121" s="43"/>
      <c r="BM121" s="43"/>
      <c r="BN121" s="43"/>
      <c r="BO121" s="43"/>
      <c r="BP121" s="43"/>
      <c r="BS121" s="44"/>
      <c r="BT121" s="44"/>
      <c r="BU121" s="44"/>
      <c r="BV121" s="44"/>
      <c r="BW121" s="44"/>
      <c r="BX121" s="44"/>
      <c r="BY121" s="44"/>
      <c r="BZ121" s="44"/>
      <c r="CA121" s="44"/>
      <c r="CB121" s="44"/>
      <c r="CC121" s="44"/>
      <c r="CE121" s="45"/>
      <c r="CF121" s="45"/>
      <c r="CG121" s="45"/>
      <c r="CH121" s="45"/>
      <c r="CI121" s="45"/>
      <c r="CJ121" s="45"/>
      <c r="CK121" s="45"/>
      <c r="CL121" s="45"/>
      <c r="CM121" s="45"/>
    </row>
    <row r="122" ht="11.25" customHeight="1">
      <c r="A122" s="48">
        <f>A119+1</f>
        <v>13</v>
      </c>
      <c r="C122" s="16">
        <v>1.08</v>
      </c>
      <c r="D122" s="17"/>
      <c r="E122" s="17"/>
      <c r="F122" s="17"/>
      <c r="G122" s="18"/>
      <c r="H122" s="19"/>
      <c r="I122" s="20">
        <v>0.4791666666666667</v>
      </c>
      <c r="J122" s="17"/>
      <c r="K122" s="17"/>
      <c r="L122" s="18"/>
      <c r="M122" s="19"/>
      <c r="N122" s="21" t="str">
        <f t="array" ref="N122">xlookup(P122,data!$N$2:$N$17,data!$O$2:$O$17,"")</f>
        <v/>
      </c>
      <c r="O122" s="22"/>
      <c r="P122" s="23" t="str">
        <f t="array" ref="P122">xlookup(A122,matchups!$I:$I,matchups!$B:$B,"")</f>
        <v/>
      </c>
      <c r="Q122" s="22"/>
      <c r="R122" s="22"/>
      <c r="S122" s="22"/>
      <c r="T122" s="22"/>
      <c r="U122" s="22"/>
      <c r="V122" s="22"/>
      <c r="W122" s="22"/>
      <c r="X122" s="22"/>
      <c r="Y122" s="22"/>
      <c r="Z122" s="22"/>
      <c r="AA122" s="22"/>
      <c r="AB122" s="24" t="str">
        <f t="array" ref="AB122">xlookup(A122,matchups!$I:$I,matchups!$D:$D,"")</f>
        <v/>
      </c>
      <c r="AC122" s="9"/>
      <c r="AD122" s="24" t="str">
        <f t="array" ref="AD122">xlookup(A122,matchups!$I:$I,matchups!$E:$E,"")</f>
        <v/>
      </c>
      <c r="AE122" s="9"/>
      <c r="AF122" s="41" t="str">
        <f t="array" ref="AF122">xlookup(A122,matchups!$I:$I,matchups!$C:$C,"")</f>
        <v/>
      </c>
      <c r="AR122" s="25" t="str">
        <f t="array" ref="AR122">xlookup(AF122,data!$N$2:$N$17,data!$O$2:$O$17,"")</f>
        <v/>
      </c>
      <c r="AS122" s="26"/>
      <c r="AU122" s="27" t="s">
        <v>11</v>
      </c>
      <c r="AV122" s="17"/>
      <c r="AW122" s="17"/>
      <c r="AX122" s="18"/>
      <c r="AZ122" s="27" t="s">
        <v>32</v>
      </c>
      <c r="BA122" s="17"/>
      <c r="BB122" s="17"/>
      <c r="BC122" s="17"/>
      <c r="BD122" s="17"/>
      <c r="BE122" s="17"/>
      <c r="BF122" s="17"/>
      <c r="BG122" s="17"/>
      <c r="BH122" s="17"/>
      <c r="BI122" s="17"/>
      <c r="BJ122" s="17"/>
      <c r="BK122" s="17"/>
      <c r="BL122" s="17"/>
      <c r="BM122" s="17"/>
      <c r="BN122" s="17"/>
      <c r="BO122" s="17"/>
      <c r="BP122" s="18"/>
      <c r="BS122" s="38" t="s">
        <v>13</v>
      </c>
      <c r="BT122" s="17"/>
      <c r="BU122" s="17"/>
      <c r="BV122" s="17"/>
      <c r="BW122" s="17"/>
      <c r="BX122" s="17"/>
      <c r="BY122" s="17"/>
      <c r="BZ122" s="17"/>
      <c r="CA122" s="17"/>
      <c r="CB122" s="17"/>
      <c r="CC122" s="18"/>
      <c r="CD122" s="37"/>
      <c r="CE122" s="29" t="s">
        <v>14</v>
      </c>
      <c r="CF122" s="17"/>
      <c r="CG122" s="17"/>
      <c r="CH122" s="17"/>
      <c r="CI122" s="17"/>
      <c r="CJ122" s="17"/>
      <c r="CK122" s="17"/>
      <c r="CL122" s="17"/>
      <c r="CM122" s="18"/>
    </row>
    <row r="123" ht="11.25" customHeight="1">
      <c r="C123" s="30"/>
      <c r="D123" s="31"/>
      <c r="E123" s="31"/>
      <c r="F123" s="31"/>
      <c r="G123" s="32"/>
      <c r="H123" s="19"/>
      <c r="I123" s="30"/>
      <c r="J123" s="31"/>
      <c r="K123" s="31"/>
      <c r="L123" s="32"/>
      <c r="M123" s="19"/>
      <c r="N123" s="33"/>
      <c r="O123" s="34"/>
      <c r="P123" s="34"/>
      <c r="Q123" s="34"/>
      <c r="R123" s="34"/>
      <c r="S123" s="34"/>
      <c r="T123" s="34"/>
      <c r="U123" s="34"/>
      <c r="V123" s="34"/>
      <c r="W123" s="34"/>
      <c r="X123" s="34"/>
      <c r="Y123" s="34"/>
      <c r="Z123" s="34"/>
      <c r="AA123" s="34"/>
      <c r="AB123" s="12"/>
      <c r="AC123" s="14"/>
      <c r="AD123" s="12"/>
      <c r="AE123" s="14"/>
      <c r="AF123" s="34"/>
      <c r="AG123" s="34"/>
      <c r="AH123" s="34"/>
      <c r="AI123" s="34"/>
      <c r="AJ123" s="34"/>
      <c r="AK123" s="34"/>
      <c r="AL123" s="34"/>
      <c r="AM123" s="34"/>
      <c r="AN123" s="34"/>
      <c r="AO123" s="34"/>
      <c r="AP123" s="34"/>
      <c r="AQ123" s="34"/>
      <c r="AR123" s="34"/>
      <c r="AS123" s="35"/>
      <c r="AU123" s="30"/>
      <c r="AV123" s="31"/>
      <c r="AW123" s="31"/>
      <c r="AX123" s="32"/>
      <c r="AZ123" s="30"/>
      <c r="BA123" s="31"/>
      <c r="BB123" s="31"/>
      <c r="BC123" s="31"/>
      <c r="BD123" s="31"/>
      <c r="BE123" s="31"/>
      <c r="BF123" s="31"/>
      <c r="BG123" s="31"/>
      <c r="BH123" s="31"/>
      <c r="BI123" s="31"/>
      <c r="BJ123" s="31"/>
      <c r="BK123" s="31"/>
      <c r="BL123" s="31"/>
      <c r="BM123" s="31"/>
      <c r="BN123" s="31"/>
      <c r="BO123" s="31"/>
      <c r="BP123" s="32"/>
      <c r="BS123" s="30"/>
      <c r="BT123" s="31"/>
      <c r="BU123" s="31"/>
      <c r="BV123" s="31"/>
      <c r="BW123" s="31"/>
      <c r="BX123" s="31"/>
      <c r="BY123" s="31"/>
      <c r="BZ123" s="31"/>
      <c r="CA123" s="31"/>
      <c r="CB123" s="31"/>
      <c r="CC123" s="32"/>
      <c r="CD123" s="37"/>
      <c r="CE123" s="30"/>
      <c r="CF123" s="31"/>
      <c r="CG123" s="31"/>
      <c r="CH123" s="31"/>
      <c r="CI123" s="31"/>
      <c r="CJ123" s="31"/>
      <c r="CK123" s="31"/>
      <c r="CL123" s="31"/>
      <c r="CM123" s="32"/>
    </row>
    <row r="124" ht="11.25" customHeight="1">
      <c r="A124" s="48">
        <f>A122+1</f>
        <v>14</v>
      </c>
      <c r="C124" s="16">
        <v>1.08</v>
      </c>
      <c r="D124" s="17"/>
      <c r="E124" s="17"/>
      <c r="F124" s="17"/>
      <c r="G124" s="18"/>
      <c r="H124" s="19"/>
      <c r="I124" s="20">
        <v>0.6041666666666666</v>
      </c>
      <c r="J124" s="17"/>
      <c r="K124" s="17"/>
      <c r="L124" s="18"/>
      <c r="M124" s="19"/>
      <c r="N124" s="21" t="str">
        <f t="array" ref="N124">xlookup(P124,data!$N$2:$N$17,data!$O$2:$O$17,"")</f>
        <v/>
      </c>
      <c r="O124" s="22"/>
      <c r="P124" s="23" t="str">
        <f t="array" ref="P124">xlookup(A124,matchups!$I:$I,matchups!$B:$B,"")</f>
        <v/>
      </c>
      <c r="Q124" s="22"/>
      <c r="R124" s="22"/>
      <c r="S124" s="22"/>
      <c r="T124" s="22"/>
      <c r="U124" s="22"/>
      <c r="V124" s="22"/>
      <c r="W124" s="22"/>
      <c r="X124" s="22"/>
      <c r="Y124" s="22"/>
      <c r="Z124" s="22"/>
      <c r="AA124" s="22"/>
      <c r="AB124" s="24" t="str">
        <f t="array" ref="AB124">xlookup(A124,matchups!$I:$I,matchups!$D:$D,"")</f>
        <v/>
      </c>
      <c r="AC124" s="9"/>
      <c r="AD124" s="24" t="str">
        <f t="array" ref="AD124">xlookup(A124,matchups!$I:$I,matchups!$E:$E,"")</f>
        <v/>
      </c>
      <c r="AE124" s="9"/>
      <c r="AF124" s="23" t="str">
        <f t="array" ref="AF124">xlookup(A124,matchups!$I:$I,matchups!$C:$C,"")</f>
        <v/>
      </c>
      <c r="AG124" s="22"/>
      <c r="AH124" s="22"/>
      <c r="AI124" s="22"/>
      <c r="AJ124" s="22"/>
      <c r="AK124" s="22"/>
      <c r="AL124" s="22"/>
      <c r="AM124" s="22"/>
      <c r="AN124" s="22"/>
      <c r="AO124" s="22"/>
      <c r="AP124" s="22"/>
      <c r="AQ124" s="22"/>
      <c r="AR124" s="25" t="str">
        <f t="array" ref="AR124">xlookup(AF124,data!$N$2:$N$17,data!$O$2:$O$17,"")</f>
        <v/>
      </c>
      <c r="AS124" s="26"/>
      <c r="AU124" s="27" t="s">
        <v>11</v>
      </c>
      <c r="AV124" s="17"/>
      <c r="AW124" s="17"/>
      <c r="AX124" s="18"/>
      <c r="AZ124" s="27" t="s">
        <v>32</v>
      </c>
      <c r="BA124" s="17"/>
      <c r="BB124" s="17"/>
      <c r="BC124" s="17"/>
      <c r="BD124" s="17"/>
      <c r="BE124" s="17"/>
      <c r="BF124" s="17"/>
      <c r="BG124" s="17"/>
      <c r="BH124" s="17"/>
      <c r="BI124" s="17"/>
      <c r="BJ124" s="17"/>
      <c r="BK124" s="17"/>
      <c r="BL124" s="17"/>
      <c r="BM124" s="17"/>
      <c r="BN124" s="17"/>
      <c r="BO124" s="17"/>
      <c r="BP124" s="18"/>
      <c r="BS124" s="38" t="s">
        <v>13</v>
      </c>
      <c r="BT124" s="17"/>
      <c r="BU124" s="17"/>
      <c r="BV124" s="17"/>
      <c r="BW124" s="17"/>
      <c r="BX124" s="17"/>
      <c r="BY124" s="17"/>
      <c r="BZ124" s="17"/>
      <c r="CA124" s="17"/>
      <c r="CB124" s="17"/>
      <c r="CC124" s="18"/>
      <c r="CD124" s="37"/>
      <c r="CE124" s="29" t="s">
        <v>14</v>
      </c>
      <c r="CF124" s="17"/>
      <c r="CG124" s="17"/>
      <c r="CH124" s="17"/>
      <c r="CI124" s="17"/>
      <c r="CJ124" s="17"/>
      <c r="CK124" s="17"/>
      <c r="CL124" s="17"/>
      <c r="CM124" s="18"/>
    </row>
    <row r="125" ht="11.25" customHeight="1">
      <c r="C125" s="30"/>
      <c r="D125" s="31"/>
      <c r="E125" s="31"/>
      <c r="F125" s="31"/>
      <c r="G125" s="32"/>
      <c r="H125" s="19"/>
      <c r="I125" s="30"/>
      <c r="J125" s="31"/>
      <c r="K125" s="31"/>
      <c r="L125" s="32"/>
      <c r="M125" s="19"/>
      <c r="N125" s="33"/>
      <c r="O125" s="34"/>
      <c r="P125" s="34"/>
      <c r="Q125" s="34"/>
      <c r="R125" s="34"/>
      <c r="S125" s="34"/>
      <c r="T125" s="34"/>
      <c r="U125" s="34"/>
      <c r="V125" s="34"/>
      <c r="W125" s="34"/>
      <c r="X125" s="34"/>
      <c r="Y125" s="34"/>
      <c r="Z125" s="34"/>
      <c r="AA125" s="34"/>
      <c r="AB125" s="12"/>
      <c r="AC125" s="14"/>
      <c r="AD125" s="12"/>
      <c r="AE125" s="14"/>
      <c r="AF125" s="34"/>
      <c r="AG125" s="34"/>
      <c r="AH125" s="34"/>
      <c r="AI125" s="34"/>
      <c r="AJ125" s="34"/>
      <c r="AK125" s="34"/>
      <c r="AL125" s="34"/>
      <c r="AM125" s="34"/>
      <c r="AN125" s="34"/>
      <c r="AO125" s="34"/>
      <c r="AP125" s="34"/>
      <c r="AQ125" s="34"/>
      <c r="AR125" s="34"/>
      <c r="AS125" s="35"/>
      <c r="AU125" s="30"/>
      <c r="AV125" s="31"/>
      <c r="AW125" s="31"/>
      <c r="AX125" s="32"/>
      <c r="AZ125" s="30"/>
      <c r="BA125" s="31"/>
      <c r="BB125" s="31"/>
      <c r="BC125" s="31"/>
      <c r="BD125" s="31"/>
      <c r="BE125" s="31"/>
      <c r="BF125" s="31"/>
      <c r="BG125" s="31"/>
      <c r="BH125" s="31"/>
      <c r="BI125" s="31"/>
      <c r="BJ125" s="31"/>
      <c r="BK125" s="31"/>
      <c r="BL125" s="31"/>
      <c r="BM125" s="31"/>
      <c r="BN125" s="31"/>
      <c r="BO125" s="31"/>
      <c r="BP125" s="32"/>
      <c r="BS125" s="30"/>
      <c r="BT125" s="31"/>
      <c r="BU125" s="31"/>
      <c r="BV125" s="31"/>
      <c r="BW125" s="31"/>
      <c r="BX125" s="31"/>
      <c r="BY125" s="31"/>
      <c r="BZ125" s="31"/>
      <c r="CA125" s="31"/>
      <c r="CB125" s="31"/>
      <c r="CC125" s="32"/>
      <c r="CD125" s="37"/>
      <c r="CE125" s="30"/>
      <c r="CF125" s="31"/>
      <c r="CG125" s="31"/>
      <c r="CH125" s="31"/>
      <c r="CI125" s="31"/>
      <c r="CJ125" s="31"/>
      <c r="CK125" s="31"/>
      <c r="CL125" s="31"/>
      <c r="CM125" s="32"/>
    </row>
    <row r="126" ht="11.25" customHeight="1">
      <c r="A126" s="48">
        <f>A124+1</f>
        <v>15</v>
      </c>
      <c r="C126" s="16">
        <v>1.08</v>
      </c>
      <c r="D126" s="17"/>
      <c r="E126" s="17"/>
      <c r="F126" s="17"/>
      <c r="G126" s="18"/>
      <c r="H126" s="19"/>
      <c r="I126" s="20">
        <v>0.7291666666666666</v>
      </c>
      <c r="J126" s="17"/>
      <c r="K126" s="17"/>
      <c r="L126" s="18"/>
      <c r="M126" s="19"/>
      <c r="N126" s="21" t="str">
        <f t="array" ref="N126">xlookup(P126,data!$N$2:$N$17,data!$O$2:$O$17,"")</f>
        <v/>
      </c>
      <c r="O126" s="22"/>
      <c r="P126" s="23" t="str">
        <f t="array" ref="P126">xlookup(A126,matchups!$I:$I,matchups!$B:$B,"")</f>
        <v/>
      </c>
      <c r="Q126" s="22"/>
      <c r="R126" s="22"/>
      <c r="S126" s="22"/>
      <c r="T126" s="22"/>
      <c r="U126" s="22"/>
      <c r="V126" s="22"/>
      <c r="W126" s="22"/>
      <c r="X126" s="22"/>
      <c r="Y126" s="22"/>
      <c r="Z126" s="22"/>
      <c r="AA126" s="22"/>
      <c r="AB126" s="24" t="str">
        <f t="array" ref="AB126">xlookup(A126,matchups!$I:$I,matchups!$D:$D,"")</f>
        <v/>
      </c>
      <c r="AC126" s="9"/>
      <c r="AD126" s="24" t="str">
        <f t="array" ref="AD126">xlookup(A126,matchups!$I:$I,matchups!$E:$E,"")</f>
        <v/>
      </c>
      <c r="AE126" s="9"/>
      <c r="AF126" s="23" t="str">
        <f t="array" ref="AF126">xlookup(A126,matchups!$I:$I,matchups!$C:$C,"")</f>
        <v/>
      </c>
      <c r="AG126" s="22"/>
      <c r="AH126" s="22"/>
      <c r="AI126" s="22"/>
      <c r="AJ126" s="22"/>
      <c r="AK126" s="22"/>
      <c r="AL126" s="22"/>
      <c r="AM126" s="22"/>
      <c r="AN126" s="22"/>
      <c r="AO126" s="22"/>
      <c r="AP126" s="22"/>
      <c r="AQ126" s="22"/>
      <c r="AR126" s="25" t="str">
        <f t="array" ref="AR126">xlookup(AF126,data!$N$2:$N$17,data!$O$2:$O$17,"")</f>
        <v/>
      </c>
      <c r="AS126" s="26"/>
      <c r="AU126" s="27" t="s">
        <v>11</v>
      </c>
      <c r="AV126" s="17"/>
      <c r="AW126" s="17"/>
      <c r="AX126" s="18"/>
      <c r="AZ126" s="27" t="s">
        <v>32</v>
      </c>
      <c r="BA126" s="17"/>
      <c r="BB126" s="17"/>
      <c r="BC126" s="17"/>
      <c r="BD126" s="17"/>
      <c r="BE126" s="17"/>
      <c r="BF126" s="17"/>
      <c r="BG126" s="17"/>
      <c r="BH126" s="17"/>
      <c r="BI126" s="17"/>
      <c r="BJ126" s="17"/>
      <c r="BK126" s="17"/>
      <c r="BL126" s="17"/>
      <c r="BM126" s="17"/>
      <c r="BN126" s="17"/>
      <c r="BO126" s="17"/>
      <c r="BP126" s="18"/>
      <c r="BS126" s="38" t="s">
        <v>13</v>
      </c>
      <c r="BT126" s="17"/>
      <c r="BU126" s="17"/>
      <c r="BV126" s="17"/>
      <c r="BW126" s="17"/>
      <c r="BX126" s="17"/>
      <c r="BY126" s="17"/>
      <c r="BZ126" s="17"/>
      <c r="CA126" s="17"/>
      <c r="CB126" s="17"/>
      <c r="CC126" s="18"/>
      <c r="CD126" s="37"/>
      <c r="CE126" s="29" t="s">
        <v>14</v>
      </c>
      <c r="CF126" s="17"/>
      <c r="CG126" s="17"/>
      <c r="CH126" s="17"/>
      <c r="CI126" s="17"/>
      <c r="CJ126" s="17"/>
      <c r="CK126" s="17"/>
      <c r="CL126" s="17"/>
      <c r="CM126" s="18"/>
    </row>
    <row r="127" ht="11.25" customHeight="1">
      <c r="C127" s="30"/>
      <c r="D127" s="31"/>
      <c r="E127" s="31"/>
      <c r="F127" s="31"/>
      <c r="G127" s="32"/>
      <c r="H127" s="19"/>
      <c r="I127" s="30"/>
      <c r="J127" s="31"/>
      <c r="K127" s="31"/>
      <c r="L127" s="32"/>
      <c r="M127" s="19"/>
      <c r="N127" s="33"/>
      <c r="O127" s="34"/>
      <c r="P127" s="34"/>
      <c r="Q127" s="34"/>
      <c r="R127" s="34"/>
      <c r="S127" s="34"/>
      <c r="T127" s="34"/>
      <c r="U127" s="34"/>
      <c r="V127" s="34"/>
      <c r="W127" s="34"/>
      <c r="X127" s="34"/>
      <c r="Y127" s="34"/>
      <c r="Z127" s="34"/>
      <c r="AA127" s="34"/>
      <c r="AB127" s="12"/>
      <c r="AC127" s="14"/>
      <c r="AD127" s="12"/>
      <c r="AE127" s="14"/>
      <c r="AF127" s="34"/>
      <c r="AG127" s="34"/>
      <c r="AH127" s="34"/>
      <c r="AI127" s="34"/>
      <c r="AJ127" s="34"/>
      <c r="AK127" s="34"/>
      <c r="AL127" s="34"/>
      <c r="AM127" s="34"/>
      <c r="AN127" s="34"/>
      <c r="AO127" s="34"/>
      <c r="AP127" s="34"/>
      <c r="AQ127" s="34"/>
      <c r="AR127" s="34"/>
      <c r="AS127" s="35"/>
      <c r="AU127" s="30"/>
      <c r="AV127" s="31"/>
      <c r="AW127" s="31"/>
      <c r="AX127" s="32"/>
      <c r="AZ127" s="30"/>
      <c r="BA127" s="31"/>
      <c r="BB127" s="31"/>
      <c r="BC127" s="31"/>
      <c r="BD127" s="31"/>
      <c r="BE127" s="31"/>
      <c r="BF127" s="31"/>
      <c r="BG127" s="31"/>
      <c r="BH127" s="31"/>
      <c r="BI127" s="31"/>
      <c r="BJ127" s="31"/>
      <c r="BK127" s="31"/>
      <c r="BL127" s="31"/>
      <c r="BM127" s="31"/>
      <c r="BN127" s="31"/>
      <c r="BO127" s="31"/>
      <c r="BP127" s="32"/>
      <c r="BS127" s="30"/>
      <c r="BT127" s="31"/>
      <c r="BU127" s="31"/>
      <c r="BV127" s="31"/>
      <c r="BW127" s="31"/>
      <c r="BX127" s="31"/>
      <c r="BY127" s="31"/>
      <c r="BZ127" s="31"/>
      <c r="CA127" s="31"/>
      <c r="CB127" s="31"/>
      <c r="CC127" s="32"/>
      <c r="CD127" s="37"/>
      <c r="CE127" s="30"/>
      <c r="CF127" s="31"/>
      <c r="CG127" s="31"/>
      <c r="CH127" s="31"/>
      <c r="CI127" s="31"/>
      <c r="CJ127" s="31"/>
      <c r="CK127" s="31"/>
      <c r="CL127" s="31"/>
      <c r="CM127" s="32"/>
    </row>
    <row r="128" ht="11.25" customHeight="1">
      <c r="A128" s="48">
        <f>A126+1</f>
        <v>16</v>
      </c>
      <c r="C128" s="16">
        <v>1.08</v>
      </c>
      <c r="D128" s="17"/>
      <c r="E128" s="17"/>
      <c r="F128" s="17"/>
      <c r="G128" s="18"/>
      <c r="H128" s="19"/>
      <c r="I128" s="20">
        <v>0.8541666666666666</v>
      </c>
      <c r="J128" s="17"/>
      <c r="K128" s="17"/>
      <c r="L128" s="18"/>
      <c r="M128" s="19"/>
      <c r="N128" s="21" t="str">
        <f t="array" ref="N128">xlookup(P128,data!$N$2:$N$17,data!$O$2:$O$17,"")</f>
        <v/>
      </c>
      <c r="O128" s="22"/>
      <c r="P128" s="23" t="str">
        <f t="array" ref="P128">xlookup(A128,matchups!$I:$I,matchups!$B:$B,"")</f>
        <v/>
      </c>
      <c r="Q128" s="22"/>
      <c r="R128" s="22"/>
      <c r="S128" s="22"/>
      <c r="T128" s="22"/>
      <c r="U128" s="22"/>
      <c r="V128" s="22"/>
      <c r="W128" s="22"/>
      <c r="X128" s="22"/>
      <c r="Y128" s="22"/>
      <c r="Z128" s="22"/>
      <c r="AA128" s="22"/>
      <c r="AB128" s="24" t="str">
        <f t="array" ref="AB128">xlookup(A128,matchups!$I:$I,matchups!$D:$D,"")</f>
        <v/>
      </c>
      <c r="AC128" s="9"/>
      <c r="AD128" s="24" t="str">
        <f t="array" ref="AD128">xlookup(A128,matchups!$I:$I,matchups!$E:$E,"")</f>
        <v/>
      </c>
      <c r="AE128" s="9"/>
      <c r="AF128" s="23" t="str">
        <f t="array" ref="AF128">xlookup(A128,matchups!$I:$I,matchups!$C:$C,"")</f>
        <v/>
      </c>
      <c r="AG128" s="22"/>
      <c r="AH128" s="22"/>
      <c r="AI128" s="22"/>
      <c r="AJ128" s="22"/>
      <c r="AK128" s="22"/>
      <c r="AL128" s="22"/>
      <c r="AM128" s="22"/>
      <c r="AN128" s="22"/>
      <c r="AO128" s="22"/>
      <c r="AP128" s="22"/>
      <c r="AQ128" s="22"/>
      <c r="AR128" s="25" t="str">
        <f t="array" ref="AR128">xlookup(AF128,data!$N$2:$N$17,data!$O$2:$O$17,"")</f>
        <v/>
      </c>
      <c r="AS128" s="26"/>
      <c r="AU128" s="27" t="s">
        <v>11</v>
      </c>
      <c r="AV128" s="17"/>
      <c r="AW128" s="17"/>
      <c r="AX128" s="18"/>
      <c r="AZ128" s="27" t="s">
        <v>32</v>
      </c>
      <c r="BA128" s="17"/>
      <c r="BB128" s="17"/>
      <c r="BC128" s="17"/>
      <c r="BD128" s="17"/>
      <c r="BE128" s="17"/>
      <c r="BF128" s="17"/>
      <c r="BG128" s="17"/>
      <c r="BH128" s="17"/>
      <c r="BI128" s="17"/>
      <c r="BJ128" s="17"/>
      <c r="BK128" s="17"/>
      <c r="BL128" s="17"/>
      <c r="BM128" s="17"/>
      <c r="BN128" s="17"/>
      <c r="BO128" s="17"/>
      <c r="BP128" s="18"/>
      <c r="BS128" s="38" t="s">
        <v>13</v>
      </c>
      <c r="BT128" s="17"/>
      <c r="BU128" s="17"/>
      <c r="BV128" s="17"/>
      <c r="BW128" s="17"/>
      <c r="BX128" s="17"/>
      <c r="BY128" s="17"/>
      <c r="BZ128" s="17"/>
      <c r="CA128" s="17"/>
      <c r="CB128" s="17"/>
      <c r="CC128" s="18"/>
      <c r="CD128" s="37"/>
      <c r="CE128" s="29" t="s">
        <v>14</v>
      </c>
      <c r="CF128" s="17"/>
      <c r="CG128" s="17"/>
      <c r="CH128" s="17"/>
      <c r="CI128" s="17"/>
      <c r="CJ128" s="17"/>
      <c r="CK128" s="17"/>
      <c r="CL128" s="17"/>
      <c r="CM128" s="18"/>
    </row>
    <row r="129" ht="11.25" customHeight="1">
      <c r="C129" s="30"/>
      <c r="D129" s="31"/>
      <c r="E129" s="31"/>
      <c r="F129" s="31"/>
      <c r="G129" s="32"/>
      <c r="H129" s="19"/>
      <c r="I129" s="30"/>
      <c r="J129" s="31"/>
      <c r="K129" s="31"/>
      <c r="L129" s="32"/>
      <c r="M129" s="19"/>
      <c r="N129" s="33"/>
      <c r="O129" s="34"/>
      <c r="P129" s="34"/>
      <c r="Q129" s="34"/>
      <c r="R129" s="34"/>
      <c r="S129" s="34"/>
      <c r="T129" s="34"/>
      <c r="U129" s="34"/>
      <c r="V129" s="34"/>
      <c r="W129" s="34"/>
      <c r="X129" s="34"/>
      <c r="Y129" s="34"/>
      <c r="Z129" s="34"/>
      <c r="AA129" s="34"/>
      <c r="AB129" s="12"/>
      <c r="AC129" s="14"/>
      <c r="AD129" s="12"/>
      <c r="AE129" s="14"/>
      <c r="AF129" s="34"/>
      <c r="AG129" s="34"/>
      <c r="AH129" s="34"/>
      <c r="AI129" s="34"/>
      <c r="AJ129" s="34"/>
      <c r="AK129" s="34"/>
      <c r="AL129" s="34"/>
      <c r="AM129" s="34"/>
      <c r="AN129" s="34"/>
      <c r="AO129" s="34"/>
      <c r="AP129" s="34"/>
      <c r="AQ129" s="34"/>
      <c r="AR129" s="34"/>
      <c r="AS129" s="35"/>
      <c r="AU129" s="30"/>
      <c r="AV129" s="31"/>
      <c r="AW129" s="31"/>
      <c r="AX129" s="32"/>
      <c r="AZ129" s="30"/>
      <c r="BA129" s="31"/>
      <c r="BB129" s="31"/>
      <c r="BC129" s="31"/>
      <c r="BD129" s="31"/>
      <c r="BE129" s="31"/>
      <c r="BF129" s="31"/>
      <c r="BG129" s="31"/>
      <c r="BH129" s="31"/>
      <c r="BI129" s="31"/>
      <c r="BJ129" s="31"/>
      <c r="BK129" s="31"/>
      <c r="BL129" s="31"/>
      <c r="BM129" s="31"/>
      <c r="BN129" s="31"/>
      <c r="BO129" s="31"/>
      <c r="BP129" s="32"/>
      <c r="BS129" s="30"/>
      <c r="BT129" s="31"/>
      <c r="BU129" s="31"/>
      <c r="BV129" s="31"/>
      <c r="BW129" s="31"/>
      <c r="BX129" s="31"/>
      <c r="BY129" s="31"/>
      <c r="BZ129" s="31"/>
      <c r="CA129" s="31"/>
      <c r="CB129" s="31"/>
      <c r="CC129" s="32"/>
      <c r="CD129" s="37"/>
      <c r="CE129" s="30"/>
      <c r="CF129" s="31"/>
      <c r="CG129" s="31"/>
      <c r="CH129" s="31"/>
      <c r="CI129" s="31"/>
      <c r="CJ129" s="31"/>
      <c r="CK129" s="31"/>
      <c r="CL129" s="31"/>
      <c r="CM129" s="32"/>
    </row>
    <row r="130" ht="11.25" customHeight="1">
      <c r="C130" s="6"/>
      <c r="D130" s="6"/>
      <c r="E130" s="6"/>
      <c r="F130" s="6"/>
      <c r="G130" s="6"/>
      <c r="H130" s="6"/>
      <c r="I130" s="36"/>
      <c r="J130" s="36"/>
      <c r="K130" s="36"/>
      <c r="L130" s="36"/>
      <c r="M130" s="6"/>
      <c r="BS130" s="37"/>
      <c r="BT130" s="37"/>
      <c r="BU130" s="37"/>
      <c r="BV130" s="37"/>
      <c r="BW130" s="37"/>
      <c r="BX130" s="37"/>
      <c r="BY130" s="37"/>
      <c r="BZ130" s="37"/>
      <c r="CA130" s="37"/>
      <c r="CB130" s="37"/>
      <c r="CC130" s="37"/>
    </row>
    <row r="131" ht="11.25" customHeight="1">
      <c r="C131" s="6"/>
      <c r="D131" s="6"/>
      <c r="E131" s="6"/>
      <c r="F131" s="6"/>
      <c r="G131" s="6"/>
      <c r="H131" s="6"/>
      <c r="I131" s="36"/>
      <c r="J131" s="36"/>
      <c r="K131" s="36"/>
      <c r="L131" s="36"/>
      <c r="M131" s="6"/>
      <c r="BS131" s="37"/>
      <c r="BT131" s="37"/>
      <c r="BU131" s="37"/>
      <c r="BV131" s="37"/>
      <c r="BW131" s="37"/>
      <c r="BX131" s="37"/>
      <c r="BY131" s="37"/>
      <c r="BZ131" s="37"/>
      <c r="CA131" s="37"/>
      <c r="CB131" s="37"/>
      <c r="CC131" s="37"/>
    </row>
    <row r="132" ht="11.25" customHeight="1">
      <c r="A132" s="48">
        <f>A128+1</f>
        <v>17</v>
      </c>
      <c r="C132" s="16">
        <v>2.08</v>
      </c>
      <c r="D132" s="17"/>
      <c r="E132" s="17"/>
      <c r="F132" s="17"/>
      <c r="G132" s="18"/>
      <c r="H132" s="19"/>
      <c r="I132" s="20">
        <v>0.4791666666666667</v>
      </c>
      <c r="J132" s="17"/>
      <c r="K132" s="17"/>
      <c r="L132" s="18"/>
      <c r="M132" s="19"/>
      <c r="N132" s="21" t="str">
        <f t="array" ref="N132">xlookup(P132,data!$N$2:$N$17,data!$O$2:$O$17,"")</f>
        <v/>
      </c>
      <c r="O132" s="22"/>
      <c r="P132" s="23" t="str">
        <f>'Main Event'!AV132</f>
        <v/>
      </c>
      <c r="Q132" s="22"/>
      <c r="R132" s="22"/>
      <c r="S132" s="22"/>
      <c r="T132" s="22"/>
      <c r="U132" s="22"/>
      <c r="V132" s="22"/>
      <c r="W132" s="22"/>
      <c r="X132" s="22"/>
      <c r="Y132" s="22"/>
      <c r="Z132" s="22"/>
      <c r="AA132" s="22"/>
      <c r="AB132" s="24" t="str">
        <f t="array" ref="AB132">xlookup(A132,matchups!$I:$I,matchups!$D:$D,"")</f>
        <v/>
      </c>
      <c r="AC132" s="9"/>
      <c r="AD132" s="24" t="str">
        <f t="array" ref="AD132">xlookup(A132,matchups!$I:$I,matchups!$E:$E,"")</f>
        <v/>
      </c>
      <c r="AE132" s="9"/>
      <c r="AF132" s="41" t="str">
        <f>'Main Event'!BZ132</f>
        <v/>
      </c>
      <c r="AR132" s="25" t="str">
        <f t="array" ref="AR132">xlookup(AF132,data!$N$2:$N$17,data!$O$2:$O$17,"")</f>
        <v/>
      </c>
      <c r="AS132" s="26"/>
      <c r="AU132" s="27" t="s">
        <v>11</v>
      </c>
      <c r="AV132" s="17"/>
      <c r="AW132" s="17"/>
      <c r="AX132" s="18"/>
      <c r="AZ132" s="27" t="s">
        <v>33</v>
      </c>
      <c r="BA132" s="17"/>
      <c r="BB132" s="17"/>
      <c r="BC132" s="17"/>
      <c r="BD132" s="17"/>
      <c r="BE132" s="17"/>
      <c r="BF132" s="17"/>
      <c r="BG132" s="17"/>
      <c r="BH132" s="17"/>
      <c r="BI132" s="17"/>
      <c r="BJ132" s="17"/>
      <c r="BK132" s="17"/>
      <c r="BL132" s="17"/>
      <c r="BM132" s="17"/>
      <c r="BN132" s="17"/>
      <c r="BO132" s="17"/>
      <c r="BP132" s="18"/>
      <c r="BS132" s="38" t="s">
        <v>13</v>
      </c>
      <c r="BT132" s="17"/>
      <c r="BU132" s="17"/>
      <c r="BV132" s="17"/>
      <c r="BW132" s="17"/>
      <c r="BX132" s="17"/>
      <c r="BY132" s="17"/>
      <c r="BZ132" s="17"/>
      <c r="CA132" s="17"/>
      <c r="CB132" s="17"/>
      <c r="CC132" s="18"/>
      <c r="CD132" s="37"/>
      <c r="CE132" s="29" t="s">
        <v>14</v>
      </c>
      <c r="CF132" s="17"/>
      <c r="CG132" s="17"/>
      <c r="CH132" s="17"/>
      <c r="CI132" s="17"/>
      <c r="CJ132" s="17"/>
      <c r="CK132" s="17"/>
      <c r="CL132" s="17"/>
      <c r="CM132" s="18"/>
    </row>
    <row r="133" ht="11.25" customHeight="1">
      <c r="C133" s="30"/>
      <c r="D133" s="31"/>
      <c r="E133" s="31"/>
      <c r="F133" s="31"/>
      <c r="G133" s="32"/>
      <c r="H133" s="19"/>
      <c r="I133" s="30"/>
      <c r="J133" s="31"/>
      <c r="K133" s="31"/>
      <c r="L133" s="32"/>
      <c r="M133" s="19"/>
      <c r="N133" s="33"/>
      <c r="O133" s="34"/>
      <c r="P133" s="34"/>
      <c r="Q133" s="34"/>
      <c r="R133" s="34"/>
      <c r="S133" s="34"/>
      <c r="T133" s="34"/>
      <c r="U133" s="34"/>
      <c r="V133" s="34"/>
      <c r="W133" s="34"/>
      <c r="X133" s="34"/>
      <c r="Y133" s="34"/>
      <c r="Z133" s="34"/>
      <c r="AA133" s="34"/>
      <c r="AB133" s="12"/>
      <c r="AC133" s="14"/>
      <c r="AD133" s="12"/>
      <c r="AE133" s="14"/>
      <c r="AF133" s="34"/>
      <c r="AG133" s="34"/>
      <c r="AH133" s="34"/>
      <c r="AI133" s="34"/>
      <c r="AJ133" s="34"/>
      <c r="AK133" s="34"/>
      <c r="AL133" s="34"/>
      <c r="AM133" s="34"/>
      <c r="AN133" s="34"/>
      <c r="AO133" s="34"/>
      <c r="AP133" s="34"/>
      <c r="AQ133" s="34"/>
      <c r="AR133" s="34"/>
      <c r="AS133" s="35"/>
      <c r="AU133" s="30"/>
      <c r="AV133" s="31"/>
      <c r="AW133" s="31"/>
      <c r="AX133" s="32"/>
      <c r="AZ133" s="30"/>
      <c r="BA133" s="31"/>
      <c r="BB133" s="31"/>
      <c r="BC133" s="31"/>
      <c r="BD133" s="31"/>
      <c r="BE133" s="31"/>
      <c r="BF133" s="31"/>
      <c r="BG133" s="31"/>
      <c r="BH133" s="31"/>
      <c r="BI133" s="31"/>
      <c r="BJ133" s="31"/>
      <c r="BK133" s="31"/>
      <c r="BL133" s="31"/>
      <c r="BM133" s="31"/>
      <c r="BN133" s="31"/>
      <c r="BO133" s="31"/>
      <c r="BP133" s="32"/>
      <c r="BS133" s="30"/>
      <c r="BT133" s="31"/>
      <c r="BU133" s="31"/>
      <c r="BV133" s="31"/>
      <c r="BW133" s="31"/>
      <c r="BX133" s="31"/>
      <c r="BY133" s="31"/>
      <c r="BZ133" s="31"/>
      <c r="CA133" s="31"/>
      <c r="CB133" s="31"/>
      <c r="CC133" s="32"/>
      <c r="CD133" s="37"/>
      <c r="CE133" s="30"/>
      <c r="CF133" s="31"/>
      <c r="CG133" s="31"/>
      <c r="CH133" s="31"/>
      <c r="CI133" s="31"/>
      <c r="CJ133" s="31"/>
      <c r="CK133" s="31"/>
      <c r="CL133" s="31"/>
      <c r="CM133" s="32"/>
    </row>
    <row r="134" ht="11.25" customHeight="1">
      <c r="A134" s="48">
        <f>A132+1</f>
        <v>18</v>
      </c>
      <c r="C134" s="16">
        <v>2.08</v>
      </c>
      <c r="D134" s="17"/>
      <c r="E134" s="17"/>
      <c r="F134" s="17"/>
      <c r="G134" s="18"/>
      <c r="H134" s="19"/>
      <c r="I134" s="20">
        <v>0.6041666666666666</v>
      </c>
      <c r="J134" s="17"/>
      <c r="K134" s="17"/>
      <c r="L134" s="18"/>
      <c r="M134" s="19"/>
      <c r="N134" s="21" t="str">
        <f t="array" ref="N134">xlookup(P134,data!$N$2:$N$17,data!$O$2:$O$17,"")</f>
        <v/>
      </c>
      <c r="O134" s="22"/>
      <c r="P134" s="23" t="str">
        <f>'Main Event'!AV139</f>
        <v/>
      </c>
      <c r="Q134" s="22"/>
      <c r="R134" s="22"/>
      <c r="S134" s="22"/>
      <c r="T134" s="22"/>
      <c r="U134" s="22"/>
      <c r="V134" s="22"/>
      <c r="W134" s="22"/>
      <c r="X134" s="22"/>
      <c r="Y134" s="22"/>
      <c r="Z134" s="22"/>
      <c r="AA134" s="22"/>
      <c r="AB134" s="24" t="str">
        <f t="array" ref="AB134">xlookup(A134,matchups!$I:$I,matchups!$D:$D,"")</f>
        <v/>
      </c>
      <c r="AC134" s="9"/>
      <c r="AD134" s="24" t="str">
        <f t="array" ref="AD134">xlookup(A134,matchups!$I:$I,matchups!$E:$E,"")</f>
        <v/>
      </c>
      <c r="AE134" s="9"/>
      <c r="AF134" s="23" t="str">
        <f>'Main Event'!BZ139</f>
        <v/>
      </c>
      <c r="AG134" s="22"/>
      <c r="AH134" s="22"/>
      <c r="AI134" s="22"/>
      <c r="AJ134" s="22"/>
      <c r="AK134" s="22"/>
      <c r="AL134" s="22"/>
      <c r="AM134" s="22"/>
      <c r="AN134" s="22"/>
      <c r="AO134" s="22"/>
      <c r="AP134" s="22"/>
      <c r="AQ134" s="22"/>
      <c r="AR134" s="25" t="str">
        <f t="array" ref="AR134">xlookup(AF134,data!$N$2:$N$17,data!$O$2:$O$17,"")</f>
        <v/>
      </c>
      <c r="AS134" s="26"/>
      <c r="AU134" s="27" t="s">
        <v>11</v>
      </c>
      <c r="AV134" s="17"/>
      <c r="AW134" s="17"/>
      <c r="AX134" s="18"/>
      <c r="AZ134" s="27" t="s">
        <v>33</v>
      </c>
      <c r="BA134" s="17"/>
      <c r="BB134" s="17"/>
      <c r="BC134" s="17"/>
      <c r="BD134" s="17"/>
      <c r="BE134" s="17"/>
      <c r="BF134" s="17"/>
      <c r="BG134" s="17"/>
      <c r="BH134" s="17"/>
      <c r="BI134" s="17"/>
      <c r="BJ134" s="17"/>
      <c r="BK134" s="17"/>
      <c r="BL134" s="17"/>
      <c r="BM134" s="17"/>
      <c r="BN134" s="17"/>
      <c r="BO134" s="17"/>
      <c r="BP134" s="18"/>
      <c r="BS134" s="38" t="s">
        <v>13</v>
      </c>
      <c r="BT134" s="17"/>
      <c r="BU134" s="17"/>
      <c r="BV134" s="17"/>
      <c r="BW134" s="17"/>
      <c r="BX134" s="17"/>
      <c r="BY134" s="17"/>
      <c r="BZ134" s="17"/>
      <c r="CA134" s="17"/>
      <c r="CB134" s="17"/>
      <c r="CC134" s="18"/>
      <c r="CD134" s="37"/>
      <c r="CE134" s="29" t="s">
        <v>14</v>
      </c>
      <c r="CF134" s="17"/>
      <c r="CG134" s="17"/>
      <c r="CH134" s="17"/>
      <c r="CI134" s="17"/>
      <c r="CJ134" s="17"/>
      <c r="CK134" s="17"/>
      <c r="CL134" s="17"/>
      <c r="CM134" s="18"/>
    </row>
    <row r="135" ht="11.25" customHeight="1">
      <c r="C135" s="30"/>
      <c r="D135" s="31"/>
      <c r="E135" s="31"/>
      <c r="F135" s="31"/>
      <c r="G135" s="32"/>
      <c r="H135" s="19"/>
      <c r="I135" s="30"/>
      <c r="J135" s="31"/>
      <c r="K135" s="31"/>
      <c r="L135" s="32"/>
      <c r="M135" s="19"/>
      <c r="N135" s="33"/>
      <c r="O135" s="34"/>
      <c r="P135" s="34"/>
      <c r="Q135" s="34"/>
      <c r="R135" s="34"/>
      <c r="S135" s="34"/>
      <c r="T135" s="34"/>
      <c r="U135" s="34"/>
      <c r="V135" s="34"/>
      <c r="W135" s="34"/>
      <c r="X135" s="34"/>
      <c r="Y135" s="34"/>
      <c r="Z135" s="34"/>
      <c r="AA135" s="34"/>
      <c r="AB135" s="12"/>
      <c r="AC135" s="14"/>
      <c r="AD135" s="12"/>
      <c r="AE135" s="14"/>
      <c r="AF135" s="34"/>
      <c r="AG135" s="34"/>
      <c r="AH135" s="34"/>
      <c r="AI135" s="34"/>
      <c r="AJ135" s="34"/>
      <c r="AK135" s="34"/>
      <c r="AL135" s="34"/>
      <c r="AM135" s="34"/>
      <c r="AN135" s="34"/>
      <c r="AO135" s="34"/>
      <c r="AP135" s="34"/>
      <c r="AQ135" s="34"/>
      <c r="AR135" s="34"/>
      <c r="AS135" s="35"/>
      <c r="AU135" s="30"/>
      <c r="AV135" s="31"/>
      <c r="AW135" s="31"/>
      <c r="AX135" s="32"/>
      <c r="AZ135" s="30"/>
      <c r="BA135" s="31"/>
      <c r="BB135" s="31"/>
      <c r="BC135" s="31"/>
      <c r="BD135" s="31"/>
      <c r="BE135" s="31"/>
      <c r="BF135" s="31"/>
      <c r="BG135" s="31"/>
      <c r="BH135" s="31"/>
      <c r="BI135" s="31"/>
      <c r="BJ135" s="31"/>
      <c r="BK135" s="31"/>
      <c r="BL135" s="31"/>
      <c r="BM135" s="31"/>
      <c r="BN135" s="31"/>
      <c r="BO135" s="31"/>
      <c r="BP135" s="32"/>
      <c r="BS135" s="30"/>
      <c r="BT135" s="31"/>
      <c r="BU135" s="31"/>
      <c r="BV135" s="31"/>
      <c r="BW135" s="31"/>
      <c r="BX135" s="31"/>
      <c r="BY135" s="31"/>
      <c r="BZ135" s="31"/>
      <c r="CA135" s="31"/>
      <c r="CB135" s="31"/>
      <c r="CC135" s="32"/>
      <c r="CD135" s="37"/>
      <c r="CE135" s="30"/>
      <c r="CF135" s="31"/>
      <c r="CG135" s="31"/>
      <c r="CH135" s="31"/>
      <c r="CI135" s="31"/>
      <c r="CJ135" s="31"/>
      <c r="CK135" s="31"/>
      <c r="CL135" s="31"/>
      <c r="CM135" s="32"/>
    </row>
    <row r="136" ht="11.25" customHeight="1">
      <c r="C136" s="6"/>
      <c r="D136" s="6"/>
      <c r="E136" s="6"/>
      <c r="F136" s="6"/>
      <c r="G136" s="6"/>
      <c r="H136" s="6"/>
      <c r="I136" s="36"/>
      <c r="J136" s="36"/>
      <c r="K136" s="36"/>
      <c r="L136" s="36"/>
      <c r="M136" s="6"/>
      <c r="BS136" s="37"/>
      <c r="BT136" s="37"/>
      <c r="BU136" s="37"/>
      <c r="BV136" s="37"/>
      <c r="BW136" s="37"/>
      <c r="BX136" s="37"/>
      <c r="BY136" s="37"/>
      <c r="BZ136" s="37"/>
      <c r="CA136" s="37"/>
      <c r="CB136" s="37"/>
      <c r="CC136" s="37"/>
    </row>
    <row r="137" ht="11.25" customHeight="1">
      <c r="A137" s="47">
        <v>21.0</v>
      </c>
      <c r="C137" s="16">
        <v>3.08</v>
      </c>
      <c r="D137" s="17"/>
      <c r="E137" s="17"/>
      <c r="F137" s="17"/>
      <c r="G137" s="18"/>
      <c r="H137" s="19"/>
      <c r="I137" s="20">
        <v>0.4791666666666667</v>
      </c>
      <c r="J137" s="17"/>
      <c r="K137" s="17"/>
      <c r="L137" s="18"/>
      <c r="M137" s="19"/>
      <c r="N137" s="21" t="str">
        <f t="array" ref="N137">xlookup(P137,data!$N$2:$N$17,data!$O$2:$O$17,"")</f>
        <v/>
      </c>
      <c r="O137" s="22"/>
      <c r="P137" s="23" t="str">
        <f t="array" ref="P137">xlookup(A137,matchups!$I:$I,matchups!$B:$B,"")</f>
        <v/>
      </c>
      <c r="Q137" s="22"/>
      <c r="R137" s="22"/>
      <c r="S137" s="22"/>
      <c r="T137" s="22"/>
      <c r="U137" s="22"/>
      <c r="V137" s="22"/>
      <c r="W137" s="22"/>
      <c r="X137" s="22"/>
      <c r="Y137" s="22"/>
      <c r="Z137" s="22"/>
      <c r="AA137" s="22"/>
      <c r="AB137" s="24" t="str">
        <f t="array" ref="AB137">xlookup(A137,matchups!$I:$I,matchups!$D:$D,"")</f>
        <v/>
      </c>
      <c r="AC137" s="9"/>
      <c r="AD137" s="24" t="str">
        <f t="array" ref="AD137">xlookup(A137,matchups!$I:$I,matchups!$E:$E,"")</f>
        <v/>
      </c>
      <c r="AE137" s="9"/>
      <c r="AF137" s="41" t="str">
        <f t="array" ref="AF137">xlookup(A137,matchups!$I:$I,matchups!$C:$C,"")</f>
        <v/>
      </c>
      <c r="AR137" s="25" t="str">
        <f t="array" ref="AR137">xlookup(AF137,data!$N$2:$N$17,data!$O$2:$O$17,"")</f>
        <v/>
      </c>
      <c r="AS137" s="26"/>
      <c r="AU137" s="27" t="s">
        <v>11</v>
      </c>
      <c r="AV137" s="17"/>
      <c r="AW137" s="17"/>
      <c r="AX137" s="18"/>
      <c r="AZ137" s="27" t="s">
        <v>34</v>
      </c>
      <c r="BA137" s="17"/>
      <c r="BB137" s="17"/>
      <c r="BC137" s="17"/>
      <c r="BD137" s="17"/>
      <c r="BE137" s="17"/>
      <c r="BF137" s="17"/>
      <c r="BG137" s="17"/>
      <c r="BH137" s="17"/>
      <c r="BI137" s="17"/>
      <c r="BJ137" s="17"/>
      <c r="BK137" s="17"/>
      <c r="BL137" s="17"/>
      <c r="BM137" s="17"/>
      <c r="BN137" s="17"/>
      <c r="BO137" s="17"/>
      <c r="BP137" s="18"/>
      <c r="BS137" s="38" t="s">
        <v>13</v>
      </c>
      <c r="BT137" s="17"/>
      <c r="BU137" s="17"/>
      <c r="BV137" s="17"/>
      <c r="BW137" s="17"/>
      <c r="BX137" s="17"/>
      <c r="BY137" s="17"/>
      <c r="BZ137" s="17"/>
      <c r="CA137" s="17"/>
      <c r="CB137" s="17"/>
      <c r="CC137" s="18"/>
      <c r="CD137" s="37"/>
      <c r="CE137" s="29" t="s">
        <v>14</v>
      </c>
      <c r="CF137" s="17"/>
      <c r="CG137" s="17"/>
      <c r="CH137" s="17"/>
      <c r="CI137" s="17"/>
      <c r="CJ137" s="17"/>
      <c r="CK137" s="17"/>
      <c r="CL137" s="17"/>
      <c r="CM137" s="18"/>
    </row>
    <row r="138" ht="11.25" customHeight="1">
      <c r="C138" s="30"/>
      <c r="D138" s="31"/>
      <c r="E138" s="31"/>
      <c r="F138" s="31"/>
      <c r="G138" s="32"/>
      <c r="H138" s="19"/>
      <c r="I138" s="30"/>
      <c r="J138" s="31"/>
      <c r="K138" s="31"/>
      <c r="L138" s="32"/>
      <c r="M138" s="19"/>
      <c r="N138" s="33"/>
      <c r="O138" s="34"/>
      <c r="P138" s="34"/>
      <c r="Q138" s="34"/>
      <c r="R138" s="34"/>
      <c r="S138" s="34"/>
      <c r="T138" s="34"/>
      <c r="U138" s="34"/>
      <c r="V138" s="34"/>
      <c r="W138" s="34"/>
      <c r="X138" s="34"/>
      <c r="Y138" s="34"/>
      <c r="Z138" s="34"/>
      <c r="AA138" s="34"/>
      <c r="AB138" s="12"/>
      <c r="AC138" s="14"/>
      <c r="AD138" s="12"/>
      <c r="AE138" s="14"/>
      <c r="AF138" s="34"/>
      <c r="AG138" s="34"/>
      <c r="AH138" s="34"/>
      <c r="AI138" s="34"/>
      <c r="AJ138" s="34"/>
      <c r="AK138" s="34"/>
      <c r="AL138" s="34"/>
      <c r="AM138" s="34"/>
      <c r="AN138" s="34"/>
      <c r="AO138" s="34"/>
      <c r="AP138" s="34"/>
      <c r="AQ138" s="34"/>
      <c r="AR138" s="34"/>
      <c r="AS138" s="35"/>
      <c r="AU138" s="30"/>
      <c r="AV138" s="31"/>
      <c r="AW138" s="31"/>
      <c r="AX138" s="32"/>
      <c r="AZ138" s="30"/>
      <c r="BA138" s="31"/>
      <c r="BB138" s="31"/>
      <c r="BC138" s="31"/>
      <c r="BD138" s="31"/>
      <c r="BE138" s="31"/>
      <c r="BF138" s="31"/>
      <c r="BG138" s="31"/>
      <c r="BH138" s="31"/>
      <c r="BI138" s="31"/>
      <c r="BJ138" s="31"/>
      <c r="BK138" s="31"/>
      <c r="BL138" s="31"/>
      <c r="BM138" s="31"/>
      <c r="BN138" s="31"/>
      <c r="BO138" s="31"/>
      <c r="BP138" s="32"/>
      <c r="BS138" s="30"/>
      <c r="BT138" s="31"/>
      <c r="BU138" s="31"/>
      <c r="BV138" s="31"/>
      <c r="BW138" s="31"/>
      <c r="BX138" s="31"/>
      <c r="BY138" s="31"/>
      <c r="BZ138" s="31"/>
      <c r="CA138" s="31"/>
      <c r="CB138" s="31"/>
      <c r="CC138" s="32"/>
      <c r="CD138" s="37"/>
      <c r="CE138" s="30"/>
      <c r="CF138" s="31"/>
      <c r="CG138" s="31"/>
      <c r="CH138" s="31"/>
      <c r="CI138" s="31"/>
      <c r="CJ138" s="31"/>
      <c r="CK138" s="31"/>
      <c r="CL138" s="31"/>
      <c r="CM138" s="32"/>
    </row>
    <row r="139" ht="11.25" customHeight="1">
      <c r="A139" s="48">
        <f>A137+1</f>
        <v>22</v>
      </c>
      <c r="C139" s="16">
        <v>3.08</v>
      </c>
      <c r="D139" s="17"/>
      <c r="E139" s="17"/>
      <c r="F139" s="17"/>
      <c r="G139" s="18"/>
      <c r="H139" s="19"/>
      <c r="I139" s="20">
        <v>0.6041666666666666</v>
      </c>
      <c r="J139" s="17"/>
      <c r="K139" s="17"/>
      <c r="L139" s="18"/>
      <c r="M139" s="19"/>
      <c r="N139" s="21" t="str">
        <f t="array" ref="N139">xlookup(P139,data!$N$2:$N$17,data!$O$2:$O$17,"")</f>
        <v/>
      </c>
      <c r="O139" s="22"/>
      <c r="P139" s="23" t="str">
        <f t="array" ref="P139">xlookup(A139,matchups!$I:$I,matchups!$B:$B,"")</f>
        <v/>
      </c>
      <c r="Q139" s="22"/>
      <c r="R139" s="22"/>
      <c r="S139" s="22"/>
      <c r="T139" s="22"/>
      <c r="U139" s="22"/>
      <c r="V139" s="22"/>
      <c r="W139" s="22"/>
      <c r="X139" s="22"/>
      <c r="Y139" s="22"/>
      <c r="Z139" s="22"/>
      <c r="AA139" s="22"/>
      <c r="AB139" s="24" t="str">
        <f t="array" ref="AB139">xlookup(A139,matchups!$I:$I,matchups!$D:$D,"")</f>
        <v/>
      </c>
      <c r="AC139" s="9"/>
      <c r="AD139" s="24" t="str">
        <f t="array" ref="AD139">xlookup(A139,matchups!$I:$I,matchups!$E:$E,"")</f>
        <v/>
      </c>
      <c r="AE139" s="9"/>
      <c r="AF139" s="23" t="str">
        <f t="array" ref="AF139">xlookup(A139,matchups!$I:$I,matchups!$C:$C,"")</f>
        <v/>
      </c>
      <c r="AG139" s="22"/>
      <c r="AH139" s="22"/>
      <c r="AI139" s="22"/>
      <c r="AJ139" s="22"/>
      <c r="AK139" s="22"/>
      <c r="AL139" s="22"/>
      <c r="AM139" s="22"/>
      <c r="AN139" s="22"/>
      <c r="AO139" s="22"/>
      <c r="AP139" s="22"/>
      <c r="AQ139" s="22"/>
      <c r="AR139" s="25" t="str">
        <f t="array" ref="AR139">xlookup(AF139,data!$N$2:$N$17,data!$O$2:$O$17,"")</f>
        <v/>
      </c>
      <c r="AS139" s="26"/>
      <c r="AU139" s="27" t="s">
        <v>11</v>
      </c>
      <c r="AV139" s="17"/>
      <c r="AW139" s="17"/>
      <c r="AX139" s="18"/>
      <c r="AZ139" s="27" t="s">
        <v>34</v>
      </c>
      <c r="BA139" s="17"/>
      <c r="BB139" s="17"/>
      <c r="BC139" s="17"/>
      <c r="BD139" s="17"/>
      <c r="BE139" s="17"/>
      <c r="BF139" s="17"/>
      <c r="BG139" s="17"/>
      <c r="BH139" s="17"/>
      <c r="BI139" s="17"/>
      <c r="BJ139" s="17"/>
      <c r="BK139" s="17"/>
      <c r="BL139" s="17"/>
      <c r="BM139" s="17"/>
      <c r="BN139" s="17"/>
      <c r="BO139" s="17"/>
      <c r="BP139" s="18"/>
      <c r="BS139" s="38" t="s">
        <v>13</v>
      </c>
      <c r="BT139" s="17"/>
      <c r="BU139" s="17"/>
      <c r="BV139" s="17"/>
      <c r="BW139" s="17"/>
      <c r="BX139" s="17"/>
      <c r="BY139" s="17"/>
      <c r="BZ139" s="17"/>
      <c r="CA139" s="17"/>
      <c r="CB139" s="17"/>
      <c r="CC139" s="18"/>
      <c r="CD139" s="37"/>
      <c r="CE139" s="29" t="s">
        <v>14</v>
      </c>
      <c r="CF139" s="17"/>
      <c r="CG139" s="17"/>
      <c r="CH139" s="17"/>
      <c r="CI139" s="17"/>
      <c r="CJ139" s="17"/>
      <c r="CK139" s="17"/>
      <c r="CL139" s="17"/>
      <c r="CM139" s="18"/>
    </row>
    <row r="140" ht="11.25" customHeight="1">
      <c r="C140" s="30"/>
      <c r="D140" s="31"/>
      <c r="E140" s="31"/>
      <c r="F140" s="31"/>
      <c r="G140" s="32"/>
      <c r="H140" s="19"/>
      <c r="I140" s="30"/>
      <c r="J140" s="31"/>
      <c r="K140" s="31"/>
      <c r="L140" s="32"/>
      <c r="M140" s="19"/>
      <c r="N140" s="33"/>
      <c r="O140" s="34"/>
      <c r="P140" s="34"/>
      <c r="Q140" s="34"/>
      <c r="R140" s="34"/>
      <c r="S140" s="34"/>
      <c r="T140" s="34"/>
      <c r="U140" s="34"/>
      <c r="V140" s="34"/>
      <c r="W140" s="34"/>
      <c r="X140" s="34"/>
      <c r="Y140" s="34"/>
      <c r="Z140" s="34"/>
      <c r="AA140" s="34"/>
      <c r="AB140" s="12"/>
      <c r="AC140" s="14"/>
      <c r="AD140" s="12"/>
      <c r="AE140" s="14"/>
      <c r="AF140" s="34"/>
      <c r="AG140" s="34"/>
      <c r="AH140" s="34"/>
      <c r="AI140" s="34"/>
      <c r="AJ140" s="34"/>
      <c r="AK140" s="34"/>
      <c r="AL140" s="34"/>
      <c r="AM140" s="34"/>
      <c r="AN140" s="34"/>
      <c r="AO140" s="34"/>
      <c r="AP140" s="34"/>
      <c r="AQ140" s="34"/>
      <c r="AR140" s="34"/>
      <c r="AS140" s="35"/>
      <c r="AU140" s="30"/>
      <c r="AV140" s="31"/>
      <c r="AW140" s="31"/>
      <c r="AX140" s="32"/>
      <c r="AZ140" s="30"/>
      <c r="BA140" s="31"/>
      <c r="BB140" s="31"/>
      <c r="BC140" s="31"/>
      <c r="BD140" s="31"/>
      <c r="BE140" s="31"/>
      <c r="BF140" s="31"/>
      <c r="BG140" s="31"/>
      <c r="BH140" s="31"/>
      <c r="BI140" s="31"/>
      <c r="BJ140" s="31"/>
      <c r="BK140" s="31"/>
      <c r="BL140" s="31"/>
      <c r="BM140" s="31"/>
      <c r="BN140" s="31"/>
      <c r="BO140" s="31"/>
      <c r="BP140" s="32"/>
      <c r="BS140" s="30"/>
      <c r="BT140" s="31"/>
      <c r="BU140" s="31"/>
      <c r="BV140" s="31"/>
      <c r="BW140" s="31"/>
      <c r="BX140" s="31"/>
      <c r="BY140" s="31"/>
      <c r="BZ140" s="31"/>
      <c r="CA140" s="31"/>
      <c r="CB140" s="31"/>
      <c r="CC140" s="32"/>
      <c r="CD140" s="37"/>
      <c r="CE140" s="30"/>
      <c r="CF140" s="31"/>
      <c r="CG140" s="31"/>
      <c r="CH140" s="31"/>
      <c r="CI140" s="31"/>
      <c r="CJ140" s="31"/>
      <c r="CK140" s="31"/>
      <c r="CL140" s="31"/>
      <c r="CM140" s="32"/>
    </row>
    <row r="141" ht="11.25" customHeight="1">
      <c r="A141" s="48">
        <f>A139+1</f>
        <v>23</v>
      </c>
      <c r="C141" s="16">
        <v>3.08</v>
      </c>
      <c r="D141" s="17"/>
      <c r="E141" s="17"/>
      <c r="F141" s="17"/>
      <c r="G141" s="18"/>
      <c r="H141" s="19"/>
      <c r="I141" s="20">
        <v>0.7291666666666666</v>
      </c>
      <c r="J141" s="17"/>
      <c r="K141" s="17"/>
      <c r="L141" s="18"/>
      <c r="M141" s="19"/>
      <c r="N141" s="21" t="str">
        <f t="array" ref="N141">xlookup(P141,data!$N$2:$N$17,data!$O$2:$O$17,"")</f>
        <v/>
      </c>
      <c r="O141" s="22"/>
      <c r="P141" s="23" t="str">
        <f t="array" ref="P141">xlookup(A141,matchups!$I:$I,matchups!$B:$B,"")</f>
        <v/>
      </c>
      <c r="Q141" s="22"/>
      <c r="R141" s="22"/>
      <c r="S141" s="22"/>
      <c r="T141" s="22"/>
      <c r="U141" s="22"/>
      <c r="V141" s="22"/>
      <c r="W141" s="22"/>
      <c r="X141" s="22"/>
      <c r="Y141" s="22"/>
      <c r="Z141" s="22"/>
      <c r="AA141" s="22"/>
      <c r="AB141" s="24" t="str">
        <f t="array" ref="AB141">xlookup(A141,matchups!$I:$I,matchups!$D:$D,"")</f>
        <v/>
      </c>
      <c r="AC141" s="9"/>
      <c r="AD141" s="24" t="str">
        <f t="array" ref="AD141">xlookup(A141,matchups!$I:$I,matchups!$E:$E,"")</f>
        <v/>
      </c>
      <c r="AE141" s="9"/>
      <c r="AF141" s="23" t="str">
        <f t="array" ref="AF141">xlookup(A141,matchups!$I:$I,matchups!$C:$C,"")</f>
        <v/>
      </c>
      <c r="AG141" s="22"/>
      <c r="AH141" s="22"/>
      <c r="AI141" s="22"/>
      <c r="AJ141" s="22"/>
      <c r="AK141" s="22"/>
      <c r="AL141" s="22"/>
      <c r="AM141" s="22"/>
      <c r="AN141" s="22"/>
      <c r="AO141" s="22"/>
      <c r="AP141" s="22"/>
      <c r="AQ141" s="22"/>
      <c r="AR141" s="25" t="str">
        <f t="array" ref="AR141">xlookup(AF141,data!$N$2:$N$17,data!$O$2:$O$17,"")</f>
        <v/>
      </c>
      <c r="AS141" s="26"/>
      <c r="AU141" s="27" t="s">
        <v>11</v>
      </c>
      <c r="AV141" s="17"/>
      <c r="AW141" s="17"/>
      <c r="AX141" s="18"/>
      <c r="AZ141" s="27" t="s">
        <v>34</v>
      </c>
      <c r="BA141" s="17"/>
      <c r="BB141" s="17"/>
      <c r="BC141" s="17"/>
      <c r="BD141" s="17"/>
      <c r="BE141" s="17"/>
      <c r="BF141" s="17"/>
      <c r="BG141" s="17"/>
      <c r="BH141" s="17"/>
      <c r="BI141" s="17"/>
      <c r="BJ141" s="17"/>
      <c r="BK141" s="17"/>
      <c r="BL141" s="17"/>
      <c r="BM141" s="17"/>
      <c r="BN141" s="17"/>
      <c r="BO141" s="17"/>
      <c r="BP141" s="18"/>
      <c r="BS141" s="38" t="s">
        <v>13</v>
      </c>
      <c r="BT141" s="17"/>
      <c r="BU141" s="17"/>
      <c r="BV141" s="17"/>
      <c r="BW141" s="17"/>
      <c r="BX141" s="17"/>
      <c r="BY141" s="17"/>
      <c r="BZ141" s="17"/>
      <c r="CA141" s="17"/>
      <c r="CB141" s="17"/>
      <c r="CC141" s="18"/>
      <c r="CD141" s="37"/>
      <c r="CE141" s="29" t="s">
        <v>14</v>
      </c>
      <c r="CF141" s="17"/>
      <c r="CG141" s="17"/>
      <c r="CH141" s="17"/>
      <c r="CI141" s="17"/>
      <c r="CJ141" s="17"/>
      <c r="CK141" s="17"/>
      <c r="CL141" s="17"/>
      <c r="CM141" s="18"/>
    </row>
    <row r="142" ht="11.25" customHeight="1">
      <c r="C142" s="30"/>
      <c r="D142" s="31"/>
      <c r="E142" s="31"/>
      <c r="F142" s="31"/>
      <c r="G142" s="32"/>
      <c r="H142" s="19"/>
      <c r="I142" s="30"/>
      <c r="J142" s="31"/>
      <c r="K142" s="31"/>
      <c r="L142" s="32"/>
      <c r="M142" s="19"/>
      <c r="N142" s="33"/>
      <c r="O142" s="34"/>
      <c r="P142" s="34"/>
      <c r="Q142" s="34"/>
      <c r="R142" s="34"/>
      <c r="S142" s="34"/>
      <c r="T142" s="34"/>
      <c r="U142" s="34"/>
      <c r="V142" s="34"/>
      <c r="W142" s="34"/>
      <c r="X142" s="34"/>
      <c r="Y142" s="34"/>
      <c r="Z142" s="34"/>
      <c r="AA142" s="34"/>
      <c r="AB142" s="12"/>
      <c r="AC142" s="14"/>
      <c r="AD142" s="12"/>
      <c r="AE142" s="14"/>
      <c r="AF142" s="34"/>
      <c r="AG142" s="34"/>
      <c r="AH142" s="34"/>
      <c r="AI142" s="34"/>
      <c r="AJ142" s="34"/>
      <c r="AK142" s="34"/>
      <c r="AL142" s="34"/>
      <c r="AM142" s="34"/>
      <c r="AN142" s="34"/>
      <c r="AO142" s="34"/>
      <c r="AP142" s="34"/>
      <c r="AQ142" s="34"/>
      <c r="AR142" s="34"/>
      <c r="AS142" s="35"/>
      <c r="AU142" s="30"/>
      <c r="AV142" s="31"/>
      <c r="AW142" s="31"/>
      <c r="AX142" s="32"/>
      <c r="AZ142" s="30"/>
      <c r="BA142" s="31"/>
      <c r="BB142" s="31"/>
      <c r="BC142" s="31"/>
      <c r="BD142" s="31"/>
      <c r="BE142" s="31"/>
      <c r="BF142" s="31"/>
      <c r="BG142" s="31"/>
      <c r="BH142" s="31"/>
      <c r="BI142" s="31"/>
      <c r="BJ142" s="31"/>
      <c r="BK142" s="31"/>
      <c r="BL142" s="31"/>
      <c r="BM142" s="31"/>
      <c r="BN142" s="31"/>
      <c r="BO142" s="31"/>
      <c r="BP142" s="32"/>
      <c r="BS142" s="30"/>
      <c r="BT142" s="31"/>
      <c r="BU142" s="31"/>
      <c r="BV142" s="31"/>
      <c r="BW142" s="31"/>
      <c r="BX142" s="31"/>
      <c r="BY142" s="31"/>
      <c r="BZ142" s="31"/>
      <c r="CA142" s="31"/>
      <c r="CB142" s="31"/>
      <c r="CC142" s="32"/>
      <c r="CD142" s="37"/>
      <c r="CE142" s="30"/>
      <c r="CF142" s="31"/>
      <c r="CG142" s="31"/>
      <c r="CH142" s="31"/>
      <c r="CI142" s="31"/>
      <c r="CJ142" s="31"/>
      <c r="CK142" s="31"/>
      <c r="CL142" s="31"/>
      <c r="CM142" s="32"/>
    </row>
    <row r="143" ht="11.25" customHeight="1">
      <c r="A143" s="48">
        <f>A141+1</f>
        <v>24</v>
      </c>
      <c r="C143" s="16">
        <v>3.08</v>
      </c>
      <c r="D143" s="17"/>
      <c r="E143" s="17"/>
      <c r="F143" s="17"/>
      <c r="G143" s="18"/>
      <c r="H143" s="19"/>
      <c r="I143" s="20">
        <v>0.8541666666666666</v>
      </c>
      <c r="J143" s="17"/>
      <c r="K143" s="17"/>
      <c r="L143" s="18"/>
      <c r="M143" s="19"/>
      <c r="N143" s="21" t="str">
        <f t="array" ref="N143">xlookup(P143,data!$N$2:$N$17,data!$O$2:$O$17,"")</f>
        <v/>
      </c>
      <c r="O143" s="22"/>
      <c r="P143" s="23" t="str">
        <f t="array" ref="P143">xlookup(A143,matchups!$I:$I,matchups!$B:$B,"")</f>
        <v/>
      </c>
      <c r="Q143" s="22"/>
      <c r="R143" s="22"/>
      <c r="S143" s="22"/>
      <c r="T143" s="22"/>
      <c r="U143" s="22"/>
      <c r="V143" s="22"/>
      <c r="W143" s="22"/>
      <c r="X143" s="22"/>
      <c r="Y143" s="22"/>
      <c r="Z143" s="22"/>
      <c r="AA143" s="22"/>
      <c r="AB143" s="24" t="str">
        <f t="array" ref="AB143">xlookup(A143,matchups!$I:$I,matchups!$D:$D,"")</f>
        <v/>
      </c>
      <c r="AC143" s="9"/>
      <c r="AD143" s="24" t="str">
        <f t="array" ref="AD143">xlookup(A143,matchups!$I:$I,matchups!$E:$E,"")</f>
        <v/>
      </c>
      <c r="AE143" s="9"/>
      <c r="AF143" s="23" t="str">
        <f t="array" ref="AF143">xlookup(A143,matchups!$I:$I,matchups!$C:$C,"")</f>
        <v/>
      </c>
      <c r="AG143" s="22"/>
      <c r="AH143" s="22"/>
      <c r="AI143" s="22"/>
      <c r="AJ143" s="22"/>
      <c r="AK143" s="22"/>
      <c r="AL143" s="22"/>
      <c r="AM143" s="22"/>
      <c r="AN143" s="22"/>
      <c r="AO143" s="22"/>
      <c r="AP143" s="22"/>
      <c r="AQ143" s="22"/>
      <c r="AR143" s="25" t="str">
        <f t="array" ref="AR143">xlookup(AF143,data!$N$2:$N$17,data!$O$2:$O$17,"")</f>
        <v/>
      </c>
      <c r="AS143" s="26"/>
      <c r="AU143" s="27" t="s">
        <v>11</v>
      </c>
      <c r="AV143" s="17"/>
      <c r="AW143" s="17"/>
      <c r="AX143" s="18"/>
      <c r="AZ143" s="27" t="s">
        <v>34</v>
      </c>
      <c r="BA143" s="17"/>
      <c r="BB143" s="17"/>
      <c r="BC143" s="17"/>
      <c r="BD143" s="17"/>
      <c r="BE143" s="17"/>
      <c r="BF143" s="17"/>
      <c r="BG143" s="17"/>
      <c r="BH143" s="17"/>
      <c r="BI143" s="17"/>
      <c r="BJ143" s="17"/>
      <c r="BK143" s="17"/>
      <c r="BL143" s="17"/>
      <c r="BM143" s="17"/>
      <c r="BN143" s="17"/>
      <c r="BO143" s="17"/>
      <c r="BP143" s="18"/>
      <c r="BS143" s="38" t="s">
        <v>13</v>
      </c>
      <c r="BT143" s="17"/>
      <c r="BU143" s="17"/>
      <c r="BV143" s="17"/>
      <c r="BW143" s="17"/>
      <c r="BX143" s="17"/>
      <c r="BY143" s="17"/>
      <c r="BZ143" s="17"/>
      <c r="CA143" s="17"/>
      <c r="CB143" s="17"/>
      <c r="CC143" s="18"/>
      <c r="CD143" s="37"/>
      <c r="CE143" s="29" t="s">
        <v>14</v>
      </c>
      <c r="CF143" s="17"/>
      <c r="CG143" s="17"/>
      <c r="CH143" s="17"/>
      <c r="CI143" s="17"/>
      <c r="CJ143" s="17"/>
      <c r="CK143" s="17"/>
      <c r="CL143" s="17"/>
      <c r="CM143" s="18"/>
    </row>
    <row r="144" ht="11.25" customHeight="1">
      <c r="C144" s="30"/>
      <c r="D144" s="31"/>
      <c r="E144" s="31"/>
      <c r="F144" s="31"/>
      <c r="G144" s="32"/>
      <c r="H144" s="19"/>
      <c r="I144" s="30"/>
      <c r="J144" s="31"/>
      <c r="K144" s="31"/>
      <c r="L144" s="32"/>
      <c r="M144" s="19"/>
      <c r="N144" s="33"/>
      <c r="O144" s="34"/>
      <c r="P144" s="34"/>
      <c r="Q144" s="34"/>
      <c r="R144" s="34"/>
      <c r="S144" s="34"/>
      <c r="T144" s="34"/>
      <c r="U144" s="34"/>
      <c r="V144" s="34"/>
      <c r="W144" s="34"/>
      <c r="X144" s="34"/>
      <c r="Y144" s="34"/>
      <c r="Z144" s="34"/>
      <c r="AA144" s="34"/>
      <c r="AB144" s="12"/>
      <c r="AC144" s="14"/>
      <c r="AD144" s="12"/>
      <c r="AE144" s="14"/>
      <c r="AF144" s="34"/>
      <c r="AG144" s="34"/>
      <c r="AH144" s="34"/>
      <c r="AI144" s="34"/>
      <c r="AJ144" s="34"/>
      <c r="AK144" s="34"/>
      <c r="AL144" s="34"/>
      <c r="AM144" s="34"/>
      <c r="AN144" s="34"/>
      <c r="AO144" s="34"/>
      <c r="AP144" s="34"/>
      <c r="AQ144" s="34"/>
      <c r="AR144" s="34"/>
      <c r="AS144" s="35"/>
      <c r="AU144" s="30"/>
      <c r="AV144" s="31"/>
      <c r="AW144" s="31"/>
      <c r="AX144" s="32"/>
      <c r="AZ144" s="30"/>
      <c r="BA144" s="31"/>
      <c r="BB144" s="31"/>
      <c r="BC144" s="31"/>
      <c r="BD144" s="31"/>
      <c r="BE144" s="31"/>
      <c r="BF144" s="31"/>
      <c r="BG144" s="31"/>
      <c r="BH144" s="31"/>
      <c r="BI144" s="31"/>
      <c r="BJ144" s="31"/>
      <c r="BK144" s="31"/>
      <c r="BL144" s="31"/>
      <c r="BM144" s="31"/>
      <c r="BN144" s="31"/>
      <c r="BO144" s="31"/>
      <c r="BP144" s="32"/>
      <c r="BS144" s="30"/>
      <c r="BT144" s="31"/>
      <c r="BU144" s="31"/>
      <c r="BV144" s="31"/>
      <c r="BW144" s="31"/>
      <c r="BX144" s="31"/>
      <c r="BY144" s="31"/>
      <c r="BZ144" s="31"/>
      <c r="CA144" s="31"/>
      <c r="CB144" s="31"/>
      <c r="CC144" s="32"/>
      <c r="CD144" s="37"/>
      <c r="CE144" s="30"/>
      <c r="CF144" s="31"/>
      <c r="CG144" s="31"/>
      <c r="CH144" s="31"/>
      <c r="CI144" s="31"/>
      <c r="CJ144" s="31"/>
      <c r="CK144" s="31"/>
      <c r="CL144" s="31"/>
      <c r="CM144" s="32"/>
    </row>
    <row r="145" ht="11.25" customHeight="1">
      <c r="C145" s="6"/>
      <c r="D145" s="6"/>
      <c r="E145" s="6"/>
      <c r="F145" s="6"/>
      <c r="G145" s="6"/>
      <c r="H145" s="6"/>
      <c r="I145" s="36"/>
      <c r="J145" s="36"/>
      <c r="K145" s="36"/>
      <c r="L145" s="36"/>
      <c r="M145" s="6"/>
      <c r="BS145" s="37"/>
      <c r="BT145" s="37"/>
      <c r="BU145" s="37"/>
      <c r="BV145" s="37"/>
      <c r="BW145" s="37"/>
      <c r="BX145" s="37"/>
      <c r="BY145" s="37"/>
      <c r="BZ145" s="37"/>
      <c r="CA145" s="37"/>
      <c r="CB145" s="37"/>
      <c r="CC145" s="37"/>
    </row>
    <row r="146" ht="11.25" customHeight="1">
      <c r="A146" s="47">
        <v>19.0</v>
      </c>
      <c r="C146" s="16">
        <v>2.08</v>
      </c>
      <c r="D146" s="17"/>
      <c r="E146" s="17"/>
      <c r="F146" s="17"/>
      <c r="G146" s="18"/>
      <c r="H146" s="19"/>
      <c r="I146" s="20">
        <v>0.7291666666666666</v>
      </c>
      <c r="J146" s="17"/>
      <c r="K146" s="17"/>
      <c r="L146" s="18"/>
      <c r="M146" s="19"/>
      <c r="N146" s="21" t="str">
        <f t="array" ref="N146">xlookup(P146,data!$N$2:$N$17,data!$O$2:$O$17,"")</f>
        <v/>
      </c>
      <c r="O146" s="22"/>
      <c r="P146" s="23" t="str">
        <f>'Main Event'!FT132</f>
        <v/>
      </c>
      <c r="Q146" s="22"/>
      <c r="R146" s="22"/>
      <c r="S146" s="22"/>
      <c r="T146" s="22"/>
      <c r="U146" s="22"/>
      <c r="V146" s="22"/>
      <c r="W146" s="22"/>
      <c r="X146" s="22"/>
      <c r="Y146" s="22"/>
      <c r="Z146" s="22"/>
      <c r="AA146" s="22"/>
      <c r="AB146" s="24" t="str">
        <f t="array" ref="AB146">xlookup(A146,matchups!$I:$I,matchups!$D:$D,"")</f>
        <v/>
      </c>
      <c r="AC146" s="9"/>
      <c r="AD146" s="24" t="str">
        <f t="array" ref="AD146">xlookup(A146,matchups!$I:$I,matchups!$E:$E,"")</f>
        <v/>
      </c>
      <c r="AE146" s="9"/>
      <c r="AF146" s="41" t="str">
        <f>'Main Event'!GX132</f>
        <v/>
      </c>
      <c r="AR146" s="25" t="str">
        <f t="array" ref="AR146">xlookup(AF146,data!$N$2:$N$17,data!$O$2:$O$17,"")</f>
        <v/>
      </c>
      <c r="AS146" s="26"/>
      <c r="AU146" s="27" t="s">
        <v>11</v>
      </c>
      <c r="AV146" s="17"/>
      <c r="AW146" s="17"/>
      <c r="AX146" s="18"/>
      <c r="AZ146" s="27" t="s">
        <v>35</v>
      </c>
      <c r="BA146" s="17"/>
      <c r="BB146" s="17"/>
      <c r="BC146" s="17"/>
      <c r="BD146" s="17"/>
      <c r="BE146" s="17"/>
      <c r="BF146" s="17"/>
      <c r="BG146" s="17"/>
      <c r="BH146" s="17"/>
      <c r="BI146" s="17"/>
      <c r="BJ146" s="17"/>
      <c r="BK146" s="17"/>
      <c r="BL146" s="17"/>
      <c r="BM146" s="17"/>
      <c r="BN146" s="17"/>
      <c r="BO146" s="17"/>
      <c r="BP146" s="18"/>
      <c r="BS146" s="38" t="s">
        <v>13</v>
      </c>
      <c r="BT146" s="17"/>
      <c r="BU146" s="17"/>
      <c r="BV146" s="17"/>
      <c r="BW146" s="17"/>
      <c r="BX146" s="17"/>
      <c r="BY146" s="17"/>
      <c r="BZ146" s="17"/>
      <c r="CA146" s="17"/>
      <c r="CB146" s="17"/>
      <c r="CC146" s="18"/>
      <c r="CD146" s="37"/>
      <c r="CE146" s="29" t="s">
        <v>14</v>
      </c>
      <c r="CF146" s="17"/>
      <c r="CG146" s="17"/>
      <c r="CH146" s="17"/>
      <c r="CI146" s="17"/>
      <c r="CJ146" s="17"/>
      <c r="CK146" s="17"/>
      <c r="CL146" s="17"/>
      <c r="CM146" s="18"/>
    </row>
    <row r="147" ht="11.25" customHeight="1">
      <c r="C147" s="30"/>
      <c r="D147" s="31"/>
      <c r="E147" s="31"/>
      <c r="F147" s="31"/>
      <c r="G147" s="32"/>
      <c r="H147" s="19"/>
      <c r="I147" s="30"/>
      <c r="J147" s="31"/>
      <c r="K147" s="31"/>
      <c r="L147" s="32"/>
      <c r="M147" s="19"/>
      <c r="N147" s="33"/>
      <c r="O147" s="34"/>
      <c r="P147" s="34"/>
      <c r="Q147" s="34"/>
      <c r="R147" s="34"/>
      <c r="S147" s="34"/>
      <c r="T147" s="34"/>
      <c r="U147" s="34"/>
      <c r="V147" s="34"/>
      <c r="W147" s="34"/>
      <c r="X147" s="34"/>
      <c r="Y147" s="34"/>
      <c r="Z147" s="34"/>
      <c r="AA147" s="34"/>
      <c r="AB147" s="12"/>
      <c r="AC147" s="14"/>
      <c r="AD147" s="12"/>
      <c r="AE147" s="14"/>
      <c r="AF147" s="34"/>
      <c r="AG147" s="34"/>
      <c r="AH147" s="34"/>
      <c r="AI147" s="34"/>
      <c r="AJ147" s="34"/>
      <c r="AK147" s="34"/>
      <c r="AL147" s="34"/>
      <c r="AM147" s="34"/>
      <c r="AN147" s="34"/>
      <c r="AO147" s="34"/>
      <c r="AP147" s="34"/>
      <c r="AQ147" s="34"/>
      <c r="AR147" s="34"/>
      <c r="AS147" s="35"/>
      <c r="AU147" s="30"/>
      <c r="AV147" s="31"/>
      <c r="AW147" s="31"/>
      <c r="AX147" s="32"/>
      <c r="AZ147" s="30"/>
      <c r="BA147" s="31"/>
      <c r="BB147" s="31"/>
      <c r="BC147" s="31"/>
      <c r="BD147" s="31"/>
      <c r="BE147" s="31"/>
      <c r="BF147" s="31"/>
      <c r="BG147" s="31"/>
      <c r="BH147" s="31"/>
      <c r="BI147" s="31"/>
      <c r="BJ147" s="31"/>
      <c r="BK147" s="31"/>
      <c r="BL147" s="31"/>
      <c r="BM147" s="31"/>
      <c r="BN147" s="31"/>
      <c r="BO147" s="31"/>
      <c r="BP147" s="32"/>
      <c r="BS147" s="30"/>
      <c r="BT147" s="31"/>
      <c r="BU147" s="31"/>
      <c r="BV147" s="31"/>
      <c r="BW147" s="31"/>
      <c r="BX147" s="31"/>
      <c r="BY147" s="31"/>
      <c r="BZ147" s="31"/>
      <c r="CA147" s="31"/>
      <c r="CB147" s="31"/>
      <c r="CC147" s="32"/>
      <c r="CD147" s="37"/>
      <c r="CE147" s="30"/>
      <c r="CF147" s="31"/>
      <c r="CG147" s="31"/>
      <c r="CH147" s="31"/>
      <c r="CI147" s="31"/>
      <c r="CJ147" s="31"/>
      <c r="CK147" s="31"/>
      <c r="CL147" s="31"/>
      <c r="CM147" s="32"/>
    </row>
    <row r="148" ht="11.25" customHeight="1">
      <c r="A148" s="48">
        <f>A146+1</f>
        <v>20</v>
      </c>
      <c r="C148" s="16">
        <v>2.08</v>
      </c>
      <c r="D148" s="17"/>
      <c r="E148" s="17"/>
      <c r="F148" s="17"/>
      <c r="G148" s="18"/>
      <c r="H148" s="19"/>
      <c r="I148" s="20">
        <v>0.8541666666666666</v>
      </c>
      <c r="J148" s="17"/>
      <c r="K148" s="17"/>
      <c r="L148" s="18"/>
      <c r="M148" s="19"/>
      <c r="N148" s="21" t="str">
        <f t="array" ref="N148">xlookup(P148,data!$N$2:$N$17,data!$O$2:$O$17,"")</f>
        <v/>
      </c>
      <c r="O148" s="22"/>
      <c r="P148" s="23" t="str">
        <f>'Main Event'!FT139</f>
        <v/>
      </c>
      <c r="Q148" s="22"/>
      <c r="R148" s="22"/>
      <c r="S148" s="22"/>
      <c r="T148" s="22"/>
      <c r="U148" s="22"/>
      <c r="V148" s="22"/>
      <c r="W148" s="22"/>
      <c r="X148" s="22"/>
      <c r="Y148" s="22"/>
      <c r="Z148" s="22"/>
      <c r="AA148" s="22"/>
      <c r="AB148" s="24" t="str">
        <f t="array" ref="AB148">xlookup(A148,matchups!$I:$I,matchups!$D:$D,"")</f>
        <v/>
      </c>
      <c r="AC148" s="9"/>
      <c r="AD148" s="24" t="str">
        <f t="array" ref="AD148">xlookup(A148,matchups!$I:$I,matchups!$E:$E,"")</f>
        <v/>
      </c>
      <c r="AE148" s="9"/>
      <c r="AF148" s="23" t="str">
        <f>'Main Event'!GX139</f>
        <v/>
      </c>
      <c r="AG148" s="22"/>
      <c r="AH148" s="22"/>
      <c r="AI148" s="22"/>
      <c r="AJ148" s="22"/>
      <c r="AK148" s="22"/>
      <c r="AL148" s="22"/>
      <c r="AM148" s="22"/>
      <c r="AN148" s="22"/>
      <c r="AO148" s="22"/>
      <c r="AP148" s="22"/>
      <c r="AQ148" s="22"/>
      <c r="AR148" s="25" t="str">
        <f t="array" ref="AR148">xlookup(AF148,data!$N$2:$N$17,data!$O$2:$O$17,"")</f>
        <v/>
      </c>
      <c r="AS148" s="26"/>
      <c r="AU148" s="27" t="s">
        <v>11</v>
      </c>
      <c r="AV148" s="17"/>
      <c r="AW148" s="17"/>
      <c r="AX148" s="18"/>
      <c r="AZ148" s="27" t="s">
        <v>36</v>
      </c>
      <c r="BA148" s="17"/>
      <c r="BB148" s="17"/>
      <c r="BC148" s="17"/>
      <c r="BD148" s="17"/>
      <c r="BE148" s="17"/>
      <c r="BF148" s="17"/>
      <c r="BG148" s="17"/>
      <c r="BH148" s="17"/>
      <c r="BI148" s="17"/>
      <c r="BJ148" s="17"/>
      <c r="BK148" s="17"/>
      <c r="BL148" s="17"/>
      <c r="BM148" s="17"/>
      <c r="BN148" s="17"/>
      <c r="BO148" s="17"/>
      <c r="BP148" s="18"/>
      <c r="BS148" s="38" t="s">
        <v>13</v>
      </c>
      <c r="BT148" s="17"/>
      <c r="BU148" s="17"/>
      <c r="BV148" s="17"/>
      <c r="BW148" s="17"/>
      <c r="BX148" s="17"/>
      <c r="BY148" s="17"/>
      <c r="BZ148" s="17"/>
      <c r="CA148" s="17"/>
      <c r="CB148" s="17"/>
      <c r="CC148" s="18"/>
      <c r="CD148" s="37"/>
      <c r="CE148" s="29" t="s">
        <v>14</v>
      </c>
      <c r="CF148" s="17"/>
      <c r="CG148" s="17"/>
      <c r="CH148" s="17"/>
      <c r="CI148" s="17"/>
      <c r="CJ148" s="17"/>
      <c r="CK148" s="17"/>
      <c r="CL148" s="17"/>
      <c r="CM148" s="18"/>
    </row>
    <row r="149" ht="11.25" customHeight="1">
      <c r="C149" s="30"/>
      <c r="D149" s="31"/>
      <c r="E149" s="31"/>
      <c r="F149" s="31"/>
      <c r="G149" s="32"/>
      <c r="H149" s="19"/>
      <c r="I149" s="30"/>
      <c r="J149" s="31"/>
      <c r="K149" s="31"/>
      <c r="L149" s="32"/>
      <c r="M149" s="19"/>
      <c r="N149" s="33"/>
      <c r="O149" s="34"/>
      <c r="P149" s="34"/>
      <c r="Q149" s="34"/>
      <c r="R149" s="34"/>
      <c r="S149" s="34"/>
      <c r="T149" s="34"/>
      <c r="U149" s="34"/>
      <c r="V149" s="34"/>
      <c r="W149" s="34"/>
      <c r="X149" s="34"/>
      <c r="Y149" s="34"/>
      <c r="Z149" s="34"/>
      <c r="AA149" s="34"/>
      <c r="AB149" s="12"/>
      <c r="AC149" s="14"/>
      <c r="AD149" s="12"/>
      <c r="AE149" s="14"/>
      <c r="AF149" s="34"/>
      <c r="AG149" s="34"/>
      <c r="AH149" s="34"/>
      <c r="AI149" s="34"/>
      <c r="AJ149" s="34"/>
      <c r="AK149" s="34"/>
      <c r="AL149" s="34"/>
      <c r="AM149" s="34"/>
      <c r="AN149" s="34"/>
      <c r="AO149" s="34"/>
      <c r="AP149" s="34"/>
      <c r="AQ149" s="34"/>
      <c r="AR149" s="34"/>
      <c r="AS149" s="35"/>
      <c r="AU149" s="30"/>
      <c r="AV149" s="31"/>
      <c r="AW149" s="31"/>
      <c r="AX149" s="32"/>
      <c r="AZ149" s="30"/>
      <c r="BA149" s="31"/>
      <c r="BB149" s="31"/>
      <c r="BC149" s="31"/>
      <c r="BD149" s="31"/>
      <c r="BE149" s="31"/>
      <c r="BF149" s="31"/>
      <c r="BG149" s="31"/>
      <c r="BH149" s="31"/>
      <c r="BI149" s="31"/>
      <c r="BJ149" s="31"/>
      <c r="BK149" s="31"/>
      <c r="BL149" s="31"/>
      <c r="BM149" s="31"/>
      <c r="BN149" s="31"/>
      <c r="BO149" s="31"/>
      <c r="BP149" s="32"/>
      <c r="BS149" s="30"/>
      <c r="BT149" s="31"/>
      <c r="BU149" s="31"/>
      <c r="BV149" s="31"/>
      <c r="BW149" s="31"/>
      <c r="BX149" s="31"/>
      <c r="BY149" s="31"/>
      <c r="BZ149" s="31"/>
      <c r="CA149" s="31"/>
      <c r="CB149" s="31"/>
      <c r="CC149" s="32"/>
      <c r="CD149" s="37"/>
      <c r="CE149" s="30"/>
      <c r="CF149" s="31"/>
      <c r="CG149" s="31"/>
      <c r="CH149" s="31"/>
      <c r="CI149" s="31"/>
      <c r="CJ149" s="31"/>
      <c r="CK149" s="31"/>
      <c r="CL149" s="31"/>
      <c r="CM149" s="32"/>
    </row>
    <row r="150" ht="11.25" customHeight="1">
      <c r="C150" s="6"/>
      <c r="D150" s="6"/>
      <c r="E150" s="6"/>
      <c r="F150" s="6"/>
      <c r="G150" s="6"/>
      <c r="H150" s="6"/>
      <c r="I150" s="36"/>
      <c r="J150" s="36"/>
      <c r="K150" s="36"/>
      <c r="L150" s="36"/>
      <c r="M150" s="6"/>
      <c r="BS150" s="37"/>
      <c r="BT150" s="37"/>
      <c r="BU150" s="37"/>
      <c r="BV150" s="37"/>
      <c r="BW150" s="37"/>
      <c r="BX150" s="37"/>
      <c r="BY150" s="37"/>
      <c r="BZ150" s="37"/>
      <c r="CA150" s="37"/>
      <c r="CB150" s="37"/>
      <c r="CC150" s="37"/>
    </row>
    <row r="151" ht="11.25" customHeight="1">
      <c r="C151" s="6"/>
      <c r="D151" s="6"/>
      <c r="E151" s="6"/>
      <c r="F151" s="6"/>
      <c r="G151" s="6"/>
      <c r="H151" s="6"/>
      <c r="I151" s="36"/>
      <c r="J151" s="36"/>
      <c r="K151" s="36"/>
      <c r="L151" s="36"/>
      <c r="M151" s="6"/>
      <c r="BS151" s="37"/>
      <c r="BT151" s="37"/>
      <c r="BU151" s="37"/>
      <c r="BV151" s="37"/>
      <c r="BW151" s="37"/>
      <c r="BX151" s="37"/>
      <c r="BY151" s="37"/>
      <c r="BZ151" s="37"/>
      <c r="CA151" s="37"/>
      <c r="CB151" s="37"/>
      <c r="CC151" s="37"/>
    </row>
    <row r="152" ht="11.25" customHeight="1">
      <c r="A152" s="47">
        <v>25.0</v>
      </c>
      <c r="C152" s="16">
        <v>4.08</v>
      </c>
      <c r="D152" s="17"/>
      <c r="E152" s="17"/>
      <c r="F152" s="17"/>
      <c r="G152" s="18"/>
      <c r="H152" s="19"/>
      <c r="I152" s="20">
        <v>0.6041666666666666</v>
      </c>
      <c r="J152" s="17"/>
      <c r="K152" s="17"/>
      <c r="L152" s="18"/>
      <c r="M152" s="19"/>
      <c r="N152" s="21" t="str">
        <f t="array" ref="N152">xlookup(P152,data!$N$2:$N$17,data!$O$2:$O$17,"")</f>
        <v/>
      </c>
      <c r="O152" s="22"/>
      <c r="P152" s="23" t="str">
        <f>'Main Event'!CB175</f>
        <v/>
      </c>
      <c r="Q152" s="22"/>
      <c r="R152" s="22"/>
      <c r="S152" s="22"/>
      <c r="T152" s="22"/>
      <c r="U152" s="22"/>
      <c r="V152" s="22"/>
      <c r="W152" s="22"/>
      <c r="X152" s="22"/>
      <c r="Y152" s="22"/>
      <c r="Z152" s="22"/>
      <c r="AA152" s="22"/>
      <c r="AB152" s="24" t="str">
        <f t="array" ref="AB152">xlookup(A152,matchups!$I:$I,matchups!$D:$D,"")</f>
        <v/>
      </c>
      <c r="AC152" s="9"/>
      <c r="AD152" s="24" t="str">
        <f t="array" ref="AD152">xlookup(A152,matchups!$I:$I,matchups!$E:$E,"")</f>
        <v/>
      </c>
      <c r="AE152" s="9"/>
      <c r="AF152" s="41" t="str">
        <f>'Main Event'!DF175</f>
        <v/>
      </c>
      <c r="AR152" s="25" t="str">
        <f t="array" ref="AR152">xlookup(AF152,data!$N$2:$N$17,data!$O$2:$O$17,"")</f>
        <v/>
      </c>
      <c r="AS152" s="26"/>
      <c r="AU152" s="27" t="s">
        <v>11</v>
      </c>
      <c r="AV152" s="17"/>
      <c r="AW152" s="17"/>
      <c r="AX152" s="18"/>
      <c r="AZ152" s="27" t="s">
        <v>37</v>
      </c>
      <c r="BA152" s="17"/>
      <c r="BB152" s="17"/>
      <c r="BC152" s="17"/>
      <c r="BD152" s="17"/>
      <c r="BE152" s="17"/>
      <c r="BF152" s="17"/>
      <c r="BG152" s="17"/>
      <c r="BH152" s="17"/>
      <c r="BI152" s="17"/>
      <c r="BJ152" s="17"/>
      <c r="BK152" s="17"/>
      <c r="BL152" s="17"/>
      <c r="BM152" s="17"/>
      <c r="BN152" s="17"/>
      <c r="BO152" s="17"/>
      <c r="BP152" s="18"/>
      <c r="BS152" s="38" t="s">
        <v>13</v>
      </c>
      <c r="BT152" s="17"/>
      <c r="BU152" s="17"/>
      <c r="BV152" s="17"/>
      <c r="BW152" s="17"/>
      <c r="BX152" s="17"/>
      <c r="BY152" s="17"/>
      <c r="BZ152" s="17"/>
      <c r="CA152" s="17"/>
      <c r="CB152" s="17"/>
      <c r="CC152" s="18"/>
      <c r="CD152" s="37"/>
      <c r="CE152" s="29" t="s">
        <v>14</v>
      </c>
      <c r="CF152" s="17"/>
      <c r="CG152" s="17"/>
      <c r="CH152" s="17"/>
      <c r="CI152" s="17"/>
      <c r="CJ152" s="17"/>
      <c r="CK152" s="17"/>
      <c r="CL152" s="17"/>
      <c r="CM152" s="18"/>
    </row>
    <row r="153" ht="11.25" customHeight="1">
      <c r="C153" s="30"/>
      <c r="D153" s="31"/>
      <c r="E153" s="31"/>
      <c r="F153" s="31"/>
      <c r="G153" s="32"/>
      <c r="H153" s="19"/>
      <c r="I153" s="30"/>
      <c r="J153" s="31"/>
      <c r="K153" s="31"/>
      <c r="L153" s="32"/>
      <c r="M153" s="19"/>
      <c r="N153" s="33"/>
      <c r="O153" s="34"/>
      <c r="P153" s="34"/>
      <c r="Q153" s="34"/>
      <c r="R153" s="34"/>
      <c r="S153" s="34"/>
      <c r="T153" s="34"/>
      <c r="U153" s="34"/>
      <c r="V153" s="34"/>
      <c r="W153" s="34"/>
      <c r="X153" s="34"/>
      <c r="Y153" s="34"/>
      <c r="Z153" s="34"/>
      <c r="AA153" s="34"/>
      <c r="AB153" s="12"/>
      <c r="AC153" s="14"/>
      <c r="AD153" s="12"/>
      <c r="AE153" s="14"/>
      <c r="AF153" s="34"/>
      <c r="AG153" s="34"/>
      <c r="AH153" s="34"/>
      <c r="AI153" s="34"/>
      <c r="AJ153" s="34"/>
      <c r="AK153" s="34"/>
      <c r="AL153" s="34"/>
      <c r="AM153" s="34"/>
      <c r="AN153" s="34"/>
      <c r="AO153" s="34"/>
      <c r="AP153" s="34"/>
      <c r="AQ153" s="34"/>
      <c r="AR153" s="34"/>
      <c r="AS153" s="35"/>
      <c r="AU153" s="30"/>
      <c r="AV153" s="31"/>
      <c r="AW153" s="31"/>
      <c r="AX153" s="32"/>
      <c r="AZ153" s="30"/>
      <c r="BA153" s="31"/>
      <c r="BB153" s="31"/>
      <c r="BC153" s="31"/>
      <c r="BD153" s="31"/>
      <c r="BE153" s="31"/>
      <c r="BF153" s="31"/>
      <c r="BG153" s="31"/>
      <c r="BH153" s="31"/>
      <c r="BI153" s="31"/>
      <c r="BJ153" s="31"/>
      <c r="BK153" s="31"/>
      <c r="BL153" s="31"/>
      <c r="BM153" s="31"/>
      <c r="BN153" s="31"/>
      <c r="BO153" s="31"/>
      <c r="BP153" s="32"/>
      <c r="BS153" s="30"/>
      <c r="BT153" s="31"/>
      <c r="BU153" s="31"/>
      <c r="BV153" s="31"/>
      <c r="BW153" s="31"/>
      <c r="BX153" s="31"/>
      <c r="BY153" s="31"/>
      <c r="BZ153" s="31"/>
      <c r="CA153" s="31"/>
      <c r="CB153" s="31"/>
      <c r="CC153" s="32"/>
      <c r="CD153" s="37"/>
      <c r="CE153" s="30"/>
      <c r="CF153" s="31"/>
      <c r="CG153" s="31"/>
      <c r="CH153" s="31"/>
      <c r="CI153" s="31"/>
      <c r="CJ153" s="31"/>
      <c r="CK153" s="31"/>
      <c r="CL153" s="31"/>
      <c r="CM153" s="32"/>
    </row>
    <row r="154" ht="11.25" customHeight="1">
      <c r="A154" s="48">
        <f>A152+1</f>
        <v>26</v>
      </c>
      <c r="C154" s="16">
        <v>4.08</v>
      </c>
      <c r="D154" s="17"/>
      <c r="E154" s="17"/>
      <c r="F154" s="17"/>
      <c r="G154" s="18"/>
      <c r="H154" s="19"/>
      <c r="I154" s="20">
        <v>0.7291666666666666</v>
      </c>
      <c r="J154" s="17"/>
      <c r="K154" s="17"/>
      <c r="L154" s="18"/>
      <c r="M154" s="19"/>
      <c r="N154" s="21" t="str">
        <f t="array" ref="N154">xlookup(P154,data!$N$2:$N$17,data!$O$2:$O$17,"")</f>
        <v/>
      </c>
      <c r="O154" s="22"/>
      <c r="P154" s="23" t="str">
        <f>'Main Event'!CB182</f>
        <v/>
      </c>
      <c r="Q154" s="22"/>
      <c r="R154" s="22"/>
      <c r="S154" s="22"/>
      <c r="T154" s="22"/>
      <c r="U154" s="22"/>
      <c r="V154" s="22"/>
      <c r="W154" s="22"/>
      <c r="X154" s="22"/>
      <c r="Y154" s="22"/>
      <c r="Z154" s="22"/>
      <c r="AA154" s="22"/>
      <c r="AB154" s="24" t="str">
        <f t="array" ref="AB154">xlookup(A154,matchups!$I:$I,matchups!$D:$D,"")</f>
        <v/>
      </c>
      <c r="AC154" s="9"/>
      <c r="AD154" s="24" t="str">
        <f t="array" ref="AD154">xlookup(A154,matchups!$I:$I,matchups!$E:$E,"")</f>
        <v/>
      </c>
      <c r="AE154" s="9"/>
      <c r="AF154" s="23" t="str">
        <f>'Main Event'!DF182</f>
        <v/>
      </c>
      <c r="AG154" s="22"/>
      <c r="AH154" s="22"/>
      <c r="AI154" s="22"/>
      <c r="AJ154" s="22"/>
      <c r="AK154" s="22"/>
      <c r="AL154" s="22"/>
      <c r="AM154" s="22"/>
      <c r="AN154" s="22"/>
      <c r="AO154" s="22"/>
      <c r="AP154" s="22"/>
      <c r="AQ154" s="22"/>
      <c r="AR154" s="25" t="str">
        <f t="array" ref="AR154">xlookup(AF154,data!$N$2:$N$17,data!$O$2:$O$17,"")</f>
        <v/>
      </c>
      <c r="AS154" s="26"/>
      <c r="AU154" s="27" t="s">
        <v>11</v>
      </c>
      <c r="AV154" s="17"/>
      <c r="AW154" s="17"/>
      <c r="AX154" s="18"/>
      <c r="AZ154" s="27" t="s">
        <v>37</v>
      </c>
      <c r="BA154" s="17"/>
      <c r="BB154" s="17"/>
      <c r="BC154" s="17"/>
      <c r="BD154" s="17"/>
      <c r="BE154" s="17"/>
      <c r="BF154" s="17"/>
      <c r="BG154" s="17"/>
      <c r="BH154" s="17"/>
      <c r="BI154" s="17"/>
      <c r="BJ154" s="17"/>
      <c r="BK154" s="17"/>
      <c r="BL154" s="17"/>
      <c r="BM154" s="17"/>
      <c r="BN154" s="17"/>
      <c r="BO154" s="17"/>
      <c r="BP154" s="18"/>
      <c r="BS154" s="38" t="s">
        <v>13</v>
      </c>
      <c r="BT154" s="17"/>
      <c r="BU154" s="17"/>
      <c r="BV154" s="17"/>
      <c r="BW154" s="17"/>
      <c r="BX154" s="17"/>
      <c r="BY154" s="17"/>
      <c r="BZ154" s="17"/>
      <c r="CA154" s="17"/>
      <c r="CB154" s="17"/>
      <c r="CC154" s="18"/>
      <c r="CD154" s="37"/>
      <c r="CE154" s="29" t="s">
        <v>14</v>
      </c>
      <c r="CF154" s="17"/>
      <c r="CG154" s="17"/>
      <c r="CH154" s="17"/>
      <c r="CI154" s="17"/>
      <c r="CJ154" s="17"/>
      <c r="CK154" s="17"/>
      <c r="CL154" s="17"/>
      <c r="CM154" s="18"/>
    </row>
    <row r="155" ht="11.25" customHeight="1">
      <c r="C155" s="30"/>
      <c r="D155" s="31"/>
      <c r="E155" s="31"/>
      <c r="F155" s="31"/>
      <c r="G155" s="32"/>
      <c r="H155" s="19"/>
      <c r="I155" s="30"/>
      <c r="J155" s="31"/>
      <c r="K155" s="31"/>
      <c r="L155" s="32"/>
      <c r="M155" s="19"/>
      <c r="N155" s="33"/>
      <c r="O155" s="34"/>
      <c r="P155" s="34"/>
      <c r="Q155" s="34"/>
      <c r="R155" s="34"/>
      <c r="S155" s="34"/>
      <c r="T155" s="34"/>
      <c r="U155" s="34"/>
      <c r="V155" s="34"/>
      <c r="W155" s="34"/>
      <c r="X155" s="34"/>
      <c r="Y155" s="34"/>
      <c r="Z155" s="34"/>
      <c r="AA155" s="34"/>
      <c r="AB155" s="12"/>
      <c r="AC155" s="14"/>
      <c r="AD155" s="12"/>
      <c r="AE155" s="14"/>
      <c r="AF155" s="34"/>
      <c r="AG155" s="34"/>
      <c r="AH155" s="34"/>
      <c r="AI155" s="34"/>
      <c r="AJ155" s="34"/>
      <c r="AK155" s="34"/>
      <c r="AL155" s="34"/>
      <c r="AM155" s="34"/>
      <c r="AN155" s="34"/>
      <c r="AO155" s="34"/>
      <c r="AP155" s="34"/>
      <c r="AQ155" s="34"/>
      <c r="AR155" s="34"/>
      <c r="AS155" s="35"/>
      <c r="AU155" s="30"/>
      <c r="AV155" s="31"/>
      <c r="AW155" s="31"/>
      <c r="AX155" s="32"/>
      <c r="AZ155" s="30"/>
      <c r="BA155" s="31"/>
      <c r="BB155" s="31"/>
      <c r="BC155" s="31"/>
      <c r="BD155" s="31"/>
      <c r="BE155" s="31"/>
      <c r="BF155" s="31"/>
      <c r="BG155" s="31"/>
      <c r="BH155" s="31"/>
      <c r="BI155" s="31"/>
      <c r="BJ155" s="31"/>
      <c r="BK155" s="31"/>
      <c r="BL155" s="31"/>
      <c r="BM155" s="31"/>
      <c r="BN155" s="31"/>
      <c r="BO155" s="31"/>
      <c r="BP155" s="32"/>
      <c r="BS155" s="30"/>
      <c r="BT155" s="31"/>
      <c r="BU155" s="31"/>
      <c r="BV155" s="31"/>
      <c r="BW155" s="31"/>
      <c r="BX155" s="31"/>
      <c r="BY155" s="31"/>
      <c r="BZ155" s="31"/>
      <c r="CA155" s="31"/>
      <c r="CB155" s="31"/>
      <c r="CC155" s="32"/>
      <c r="CD155" s="37"/>
      <c r="CE155" s="30"/>
      <c r="CF155" s="31"/>
      <c r="CG155" s="31"/>
      <c r="CH155" s="31"/>
      <c r="CI155" s="31"/>
      <c r="CJ155" s="31"/>
      <c r="CK155" s="31"/>
      <c r="CL155" s="31"/>
      <c r="CM155" s="32"/>
    </row>
    <row r="156" ht="11.25" customHeight="1">
      <c r="A156" s="48">
        <f>A154+1</f>
        <v>27</v>
      </c>
      <c r="C156" s="16">
        <v>4.08</v>
      </c>
      <c r="D156" s="17"/>
      <c r="E156" s="17"/>
      <c r="F156" s="17"/>
      <c r="G156" s="18"/>
      <c r="H156" s="19"/>
      <c r="I156" s="20">
        <v>0.8541666666666666</v>
      </c>
      <c r="J156" s="17"/>
      <c r="K156" s="17"/>
      <c r="L156" s="18"/>
      <c r="M156" s="19"/>
      <c r="N156" s="21" t="str">
        <f t="array" ref="N156">xlookup(P156,data!$N$2:$N$17,data!$O$2:$O$17,"")</f>
        <v/>
      </c>
      <c r="O156" s="22"/>
      <c r="P156" s="23" t="str">
        <f>'Main Event'!CB189</f>
        <v/>
      </c>
      <c r="Q156" s="22"/>
      <c r="R156" s="22"/>
      <c r="S156" s="22"/>
      <c r="T156" s="22"/>
      <c r="U156" s="22"/>
      <c r="V156" s="22"/>
      <c r="W156" s="22"/>
      <c r="X156" s="22"/>
      <c r="Y156" s="22"/>
      <c r="Z156" s="22"/>
      <c r="AA156" s="22"/>
      <c r="AB156" s="24" t="str">
        <f t="array" ref="AB156">xlookup(A156,matchups!$I:$I,matchups!$D:$D,"")</f>
        <v/>
      </c>
      <c r="AC156" s="9"/>
      <c r="AD156" s="24" t="str">
        <f t="array" ref="AD156">xlookup(A156,matchups!$I:$I,matchups!$E:$E,"")</f>
        <v/>
      </c>
      <c r="AE156" s="9"/>
      <c r="AF156" s="23" t="str">
        <f>'Main Event'!DF189</f>
        <v/>
      </c>
      <c r="AG156" s="22"/>
      <c r="AH156" s="22"/>
      <c r="AI156" s="22"/>
      <c r="AJ156" s="22"/>
      <c r="AK156" s="22"/>
      <c r="AL156" s="22"/>
      <c r="AM156" s="22"/>
      <c r="AN156" s="22"/>
      <c r="AO156" s="22"/>
      <c r="AP156" s="22"/>
      <c r="AQ156" s="22"/>
      <c r="AR156" s="25" t="str">
        <f t="array" ref="AR156">xlookup(AF156,data!$N$2:$N$17,data!$O$2:$O$17,"")</f>
        <v/>
      </c>
      <c r="AS156" s="26"/>
      <c r="AU156" s="27" t="s">
        <v>11</v>
      </c>
      <c r="AV156" s="17"/>
      <c r="AW156" s="17"/>
      <c r="AX156" s="18"/>
      <c r="AZ156" s="27" t="s">
        <v>37</v>
      </c>
      <c r="BA156" s="17"/>
      <c r="BB156" s="17"/>
      <c r="BC156" s="17"/>
      <c r="BD156" s="17"/>
      <c r="BE156" s="17"/>
      <c r="BF156" s="17"/>
      <c r="BG156" s="17"/>
      <c r="BH156" s="17"/>
      <c r="BI156" s="17"/>
      <c r="BJ156" s="17"/>
      <c r="BK156" s="17"/>
      <c r="BL156" s="17"/>
      <c r="BM156" s="17"/>
      <c r="BN156" s="17"/>
      <c r="BO156" s="17"/>
      <c r="BP156" s="18"/>
      <c r="BS156" s="38" t="s">
        <v>13</v>
      </c>
      <c r="BT156" s="17"/>
      <c r="BU156" s="17"/>
      <c r="BV156" s="17"/>
      <c r="BW156" s="17"/>
      <c r="BX156" s="17"/>
      <c r="BY156" s="17"/>
      <c r="BZ156" s="17"/>
      <c r="CA156" s="17"/>
      <c r="CB156" s="17"/>
      <c r="CC156" s="18"/>
      <c r="CD156" s="37"/>
      <c r="CE156" s="29" t="s">
        <v>14</v>
      </c>
      <c r="CF156" s="17"/>
      <c r="CG156" s="17"/>
      <c r="CH156" s="17"/>
      <c r="CI156" s="17"/>
      <c r="CJ156" s="17"/>
      <c r="CK156" s="17"/>
      <c r="CL156" s="17"/>
      <c r="CM156" s="18"/>
    </row>
    <row r="157" ht="11.25" customHeight="1">
      <c r="C157" s="30"/>
      <c r="D157" s="31"/>
      <c r="E157" s="31"/>
      <c r="F157" s="31"/>
      <c r="G157" s="32"/>
      <c r="H157" s="19"/>
      <c r="I157" s="30"/>
      <c r="J157" s="31"/>
      <c r="K157" s="31"/>
      <c r="L157" s="32"/>
      <c r="M157" s="19"/>
      <c r="N157" s="33"/>
      <c r="O157" s="34"/>
      <c r="P157" s="34"/>
      <c r="Q157" s="34"/>
      <c r="R157" s="34"/>
      <c r="S157" s="34"/>
      <c r="T157" s="34"/>
      <c r="U157" s="34"/>
      <c r="V157" s="34"/>
      <c r="W157" s="34"/>
      <c r="X157" s="34"/>
      <c r="Y157" s="34"/>
      <c r="Z157" s="34"/>
      <c r="AA157" s="34"/>
      <c r="AB157" s="12"/>
      <c r="AC157" s="14"/>
      <c r="AD157" s="12"/>
      <c r="AE157" s="14"/>
      <c r="AF157" s="34"/>
      <c r="AG157" s="34"/>
      <c r="AH157" s="34"/>
      <c r="AI157" s="34"/>
      <c r="AJ157" s="34"/>
      <c r="AK157" s="34"/>
      <c r="AL157" s="34"/>
      <c r="AM157" s="34"/>
      <c r="AN157" s="34"/>
      <c r="AO157" s="34"/>
      <c r="AP157" s="34"/>
      <c r="AQ157" s="34"/>
      <c r="AR157" s="34"/>
      <c r="AS157" s="35"/>
      <c r="AU157" s="30"/>
      <c r="AV157" s="31"/>
      <c r="AW157" s="31"/>
      <c r="AX157" s="32"/>
      <c r="AZ157" s="30"/>
      <c r="BA157" s="31"/>
      <c r="BB157" s="31"/>
      <c r="BC157" s="31"/>
      <c r="BD157" s="31"/>
      <c r="BE157" s="31"/>
      <c r="BF157" s="31"/>
      <c r="BG157" s="31"/>
      <c r="BH157" s="31"/>
      <c r="BI157" s="31"/>
      <c r="BJ157" s="31"/>
      <c r="BK157" s="31"/>
      <c r="BL157" s="31"/>
      <c r="BM157" s="31"/>
      <c r="BN157" s="31"/>
      <c r="BO157" s="31"/>
      <c r="BP157" s="32"/>
      <c r="BS157" s="30"/>
      <c r="BT157" s="31"/>
      <c r="BU157" s="31"/>
      <c r="BV157" s="31"/>
      <c r="BW157" s="31"/>
      <c r="BX157" s="31"/>
      <c r="BY157" s="31"/>
      <c r="BZ157" s="31"/>
      <c r="CA157" s="31"/>
      <c r="CB157" s="31"/>
      <c r="CC157" s="32"/>
      <c r="CD157" s="37"/>
      <c r="CE157" s="30"/>
      <c r="CF157" s="31"/>
      <c r="CG157" s="31"/>
      <c r="CH157" s="31"/>
      <c r="CI157" s="31"/>
      <c r="CJ157" s="31"/>
      <c r="CK157" s="31"/>
      <c r="CL157" s="31"/>
      <c r="CM157" s="32"/>
    </row>
    <row r="158" ht="11.25" customHeight="1">
      <c r="C158" s="6"/>
      <c r="D158" s="6"/>
      <c r="E158" s="6"/>
      <c r="F158" s="6"/>
      <c r="G158" s="6"/>
      <c r="H158" s="6"/>
      <c r="I158" s="36"/>
      <c r="J158" s="36"/>
      <c r="K158" s="36"/>
      <c r="L158" s="36"/>
      <c r="M158" s="6"/>
      <c r="BS158" s="37"/>
      <c r="BT158" s="37"/>
      <c r="BU158" s="37"/>
      <c r="BV158" s="37"/>
      <c r="BW158" s="37"/>
      <c r="BX158" s="37"/>
      <c r="BY158" s="37"/>
      <c r="BZ158" s="37"/>
      <c r="CA158" s="37"/>
      <c r="CB158" s="37"/>
      <c r="CC158" s="37"/>
    </row>
    <row r="159" ht="11.25" customHeight="1">
      <c r="A159" s="47">
        <v>28.0</v>
      </c>
      <c r="C159" s="16">
        <v>5.08</v>
      </c>
      <c r="D159" s="17"/>
      <c r="E159" s="17"/>
      <c r="F159" s="17"/>
      <c r="G159" s="18"/>
      <c r="H159" s="19"/>
      <c r="I159" s="20">
        <v>0.6041666666666666</v>
      </c>
      <c r="J159" s="17"/>
      <c r="K159" s="17"/>
      <c r="L159" s="18"/>
      <c r="M159" s="19"/>
      <c r="N159" s="21" t="str">
        <f t="array" ref="N159">xlookup(P159,data!$N$2:$N$17,data!$O$2:$O$17,"")</f>
        <v/>
      </c>
      <c r="O159" s="22"/>
      <c r="P159" s="23" t="str">
        <f>'Main Event'!EN175</f>
        <v/>
      </c>
      <c r="Q159" s="22"/>
      <c r="R159" s="22"/>
      <c r="S159" s="22"/>
      <c r="T159" s="22"/>
      <c r="U159" s="22"/>
      <c r="V159" s="22"/>
      <c r="W159" s="22"/>
      <c r="X159" s="22"/>
      <c r="Y159" s="22"/>
      <c r="Z159" s="22"/>
      <c r="AA159" s="22"/>
      <c r="AB159" s="24" t="str">
        <f t="array" ref="AB159">xlookup(A159,matchups!$I:$I,matchups!$D:$D,"")</f>
        <v/>
      </c>
      <c r="AC159" s="9"/>
      <c r="AD159" s="24" t="str">
        <f t="array" ref="AD159">xlookup(A159,matchups!$I:$I,matchups!$E:$E,"")</f>
        <v/>
      </c>
      <c r="AE159" s="9"/>
      <c r="AF159" s="41" t="str">
        <f>'Main Event'!FR175</f>
        <v/>
      </c>
      <c r="AR159" s="25" t="str">
        <f t="array" ref="AR159">xlookup(AF159,data!$N$2:$N$17,data!$O$2:$O$17,"")</f>
        <v/>
      </c>
      <c r="AS159" s="26"/>
      <c r="AU159" s="27" t="s">
        <v>11</v>
      </c>
      <c r="AV159" s="17"/>
      <c r="AW159" s="17"/>
      <c r="AX159" s="18"/>
      <c r="AZ159" s="27" t="s">
        <v>38</v>
      </c>
      <c r="BA159" s="17"/>
      <c r="BB159" s="17"/>
      <c r="BC159" s="17"/>
      <c r="BD159" s="17"/>
      <c r="BE159" s="17"/>
      <c r="BF159" s="17"/>
      <c r="BG159" s="17"/>
      <c r="BH159" s="17"/>
      <c r="BI159" s="17"/>
      <c r="BJ159" s="17"/>
      <c r="BK159" s="17"/>
      <c r="BL159" s="17"/>
      <c r="BM159" s="17"/>
      <c r="BN159" s="17"/>
      <c r="BO159" s="17"/>
      <c r="BP159" s="18"/>
      <c r="BS159" s="38" t="s">
        <v>13</v>
      </c>
      <c r="BT159" s="17"/>
      <c r="BU159" s="17"/>
      <c r="BV159" s="17"/>
      <c r="BW159" s="17"/>
      <c r="BX159" s="17"/>
      <c r="BY159" s="17"/>
      <c r="BZ159" s="17"/>
      <c r="CA159" s="17"/>
      <c r="CB159" s="17"/>
      <c r="CC159" s="18"/>
      <c r="CD159" s="37"/>
      <c r="CE159" s="29" t="s">
        <v>14</v>
      </c>
      <c r="CF159" s="17"/>
      <c r="CG159" s="17"/>
      <c r="CH159" s="17"/>
      <c r="CI159" s="17"/>
      <c r="CJ159" s="17"/>
      <c r="CK159" s="17"/>
      <c r="CL159" s="17"/>
      <c r="CM159" s="18"/>
    </row>
    <row r="160" ht="11.25" customHeight="1">
      <c r="C160" s="30"/>
      <c r="D160" s="31"/>
      <c r="E160" s="31"/>
      <c r="F160" s="31"/>
      <c r="G160" s="32"/>
      <c r="H160" s="19"/>
      <c r="I160" s="30"/>
      <c r="J160" s="31"/>
      <c r="K160" s="31"/>
      <c r="L160" s="32"/>
      <c r="M160" s="19"/>
      <c r="N160" s="33"/>
      <c r="O160" s="34"/>
      <c r="P160" s="34"/>
      <c r="Q160" s="34"/>
      <c r="R160" s="34"/>
      <c r="S160" s="34"/>
      <c r="T160" s="34"/>
      <c r="U160" s="34"/>
      <c r="V160" s="34"/>
      <c r="W160" s="34"/>
      <c r="X160" s="34"/>
      <c r="Y160" s="34"/>
      <c r="Z160" s="34"/>
      <c r="AA160" s="34"/>
      <c r="AB160" s="12"/>
      <c r="AC160" s="14"/>
      <c r="AD160" s="12"/>
      <c r="AE160" s="14"/>
      <c r="AF160" s="34"/>
      <c r="AG160" s="34"/>
      <c r="AH160" s="34"/>
      <c r="AI160" s="34"/>
      <c r="AJ160" s="34"/>
      <c r="AK160" s="34"/>
      <c r="AL160" s="34"/>
      <c r="AM160" s="34"/>
      <c r="AN160" s="34"/>
      <c r="AO160" s="34"/>
      <c r="AP160" s="34"/>
      <c r="AQ160" s="34"/>
      <c r="AR160" s="34"/>
      <c r="AS160" s="35"/>
      <c r="AU160" s="30"/>
      <c r="AV160" s="31"/>
      <c r="AW160" s="31"/>
      <c r="AX160" s="32"/>
      <c r="AZ160" s="30"/>
      <c r="BA160" s="31"/>
      <c r="BB160" s="31"/>
      <c r="BC160" s="31"/>
      <c r="BD160" s="31"/>
      <c r="BE160" s="31"/>
      <c r="BF160" s="31"/>
      <c r="BG160" s="31"/>
      <c r="BH160" s="31"/>
      <c r="BI160" s="31"/>
      <c r="BJ160" s="31"/>
      <c r="BK160" s="31"/>
      <c r="BL160" s="31"/>
      <c r="BM160" s="31"/>
      <c r="BN160" s="31"/>
      <c r="BO160" s="31"/>
      <c r="BP160" s="32"/>
      <c r="BS160" s="30"/>
      <c r="BT160" s="31"/>
      <c r="BU160" s="31"/>
      <c r="BV160" s="31"/>
      <c r="BW160" s="31"/>
      <c r="BX160" s="31"/>
      <c r="BY160" s="31"/>
      <c r="BZ160" s="31"/>
      <c r="CA160" s="31"/>
      <c r="CB160" s="31"/>
      <c r="CC160" s="32"/>
      <c r="CD160" s="37"/>
      <c r="CE160" s="30"/>
      <c r="CF160" s="31"/>
      <c r="CG160" s="31"/>
      <c r="CH160" s="31"/>
      <c r="CI160" s="31"/>
      <c r="CJ160" s="31"/>
      <c r="CK160" s="31"/>
      <c r="CL160" s="31"/>
      <c r="CM160" s="32"/>
    </row>
    <row r="161" ht="11.25" customHeight="1">
      <c r="A161" s="48">
        <f>A159+1</f>
        <v>29</v>
      </c>
      <c r="C161" s="16">
        <v>5.08</v>
      </c>
      <c r="D161" s="17"/>
      <c r="E161" s="17"/>
      <c r="F161" s="17"/>
      <c r="G161" s="18"/>
      <c r="H161" s="19"/>
      <c r="I161" s="20">
        <v>0.7291666666666666</v>
      </c>
      <c r="J161" s="17"/>
      <c r="K161" s="17"/>
      <c r="L161" s="18"/>
      <c r="M161" s="19"/>
      <c r="N161" s="21" t="str">
        <f t="array" ref="N161">xlookup(P161,data!$N$2:$N$17,data!$O$2:$O$17,"")</f>
        <v/>
      </c>
      <c r="O161" s="22"/>
      <c r="P161" s="23" t="str">
        <f>'Main Event'!EN182</f>
        <v/>
      </c>
      <c r="Q161" s="22"/>
      <c r="R161" s="22"/>
      <c r="S161" s="22"/>
      <c r="T161" s="22"/>
      <c r="U161" s="22"/>
      <c r="V161" s="22"/>
      <c r="W161" s="22"/>
      <c r="X161" s="22"/>
      <c r="Y161" s="22"/>
      <c r="Z161" s="22"/>
      <c r="AA161" s="22"/>
      <c r="AB161" s="24" t="str">
        <f t="array" ref="AB161">xlookup(A161,matchups!$I:$I,matchups!$D:$D,"")</f>
        <v/>
      </c>
      <c r="AC161" s="9"/>
      <c r="AD161" s="24" t="str">
        <f t="array" ref="AD161">xlookup(A161,matchups!$I:$I,matchups!$E:$E,"")</f>
        <v/>
      </c>
      <c r="AE161" s="9"/>
      <c r="AF161" s="23" t="str">
        <f>'Main Event'!FR182</f>
        <v/>
      </c>
      <c r="AG161" s="22"/>
      <c r="AH161" s="22"/>
      <c r="AI161" s="22"/>
      <c r="AJ161" s="22"/>
      <c r="AK161" s="22"/>
      <c r="AL161" s="22"/>
      <c r="AM161" s="22"/>
      <c r="AN161" s="22"/>
      <c r="AO161" s="22"/>
      <c r="AP161" s="22"/>
      <c r="AQ161" s="22"/>
      <c r="AR161" s="25" t="str">
        <f t="array" ref="AR161">xlookup(AF161,data!$N$2:$N$17,data!$O$2:$O$17,"")</f>
        <v/>
      </c>
      <c r="AS161" s="26"/>
      <c r="AU161" s="27" t="s">
        <v>11</v>
      </c>
      <c r="AV161" s="17"/>
      <c r="AW161" s="17"/>
      <c r="AX161" s="18"/>
      <c r="AZ161" s="27" t="s">
        <v>39</v>
      </c>
      <c r="BA161" s="17"/>
      <c r="BB161" s="17"/>
      <c r="BC161" s="17"/>
      <c r="BD161" s="17"/>
      <c r="BE161" s="17"/>
      <c r="BF161" s="17"/>
      <c r="BG161" s="17"/>
      <c r="BH161" s="17"/>
      <c r="BI161" s="17"/>
      <c r="BJ161" s="17"/>
      <c r="BK161" s="17"/>
      <c r="BL161" s="17"/>
      <c r="BM161" s="17"/>
      <c r="BN161" s="17"/>
      <c r="BO161" s="17"/>
      <c r="BP161" s="18"/>
      <c r="BS161" s="38" t="s">
        <v>13</v>
      </c>
      <c r="BT161" s="17"/>
      <c r="BU161" s="17"/>
      <c r="BV161" s="17"/>
      <c r="BW161" s="17"/>
      <c r="BX161" s="17"/>
      <c r="BY161" s="17"/>
      <c r="BZ161" s="17"/>
      <c r="CA161" s="17"/>
      <c r="CB161" s="17"/>
      <c r="CC161" s="18"/>
      <c r="CD161" s="37"/>
      <c r="CE161" s="29" t="s">
        <v>14</v>
      </c>
      <c r="CF161" s="17"/>
      <c r="CG161" s="17"/>
      <c r="CH161" s="17"/>
      <c r="CI161" s="17"/>
      <c r="CJ161" s="17"/>
      <c r="CK161" s="17"/>
      <c r="CL161" s="17"/>
      <c r="CM161" s="18"/>
    </row>
    <row r="162" ht="11.25" customHeight="1">
      <c r="C162" s="30"/>
      <c r="D162" s="31"/>
      <c r="E162" s="31"/>
      <c r="F162" s="31"/>
      <c r="G162" s="32"/>
      <c r="H162" s="19"/>
      <c r="I162" s="30"/>
      <c r="J162" s="31"/>
      <c r="K162" s="31"/>
      <c r="L162" s="32"/>
      <c r="M162" s="19"/>
      <c r="N162" s="33"/>
      <c r="O162" s="34"/>
      <c r="P162" s="34"/>
      <c r="Q162" s="34"/>
      <c r="R162" s="34"/>
      <c r="S162" s="34"/>
      <c r="T162" s="34"/>
      <c r="U162" s="34"/>
      <c r="V162" s="34"/>
      <c r="W162" s="34"/>
      <c r="X162" s="34"/>
      <c r="Y162" s="34"/>
      <c r="Z162" s="34"/>
      <c r="AA162" s="34"/>
      <c r="AB162" s="12"/>
      <c r="AC162" s="14"/>
      <c r="AD162" s="12"/>
      <c r="AE162" s="14"/>
      <c r="AF162" s="34"/>
      <c r="AG162" s="34"/>
      <c r="AH162" s="34"/>
      <c r="AI162" s="34"/>
      <c r="AJ162" s="34"/>
      <c r="AK162" s="34"/>
      <c r="AL162" s="34"/>
      <c r="AM162" s="34"/>
      <c r="AN162" s="34"/>
      <c r="AO162" s="34"/>
      <c r="AP162" s="34"/>
      <c r="AQ162" s="34"/>
      <c r="AR162" s="34"/>
      <c r="AS162" s="35"/>
      <c r="AU162" s="30"/>
      <c r="AV162" s="31"/>
      <c r="AW162" s="31"/>
      <c r="AX162" s="32"/>
      <c r="AZ162" s="30"/>
      <c r="BA162" s="31"/>
      <c r="BB162" s="31"/>
      <c r="BC162" s="31"/>
      <c r="BD162" s="31"/>
      <c r="BE162" s="31"/>
      <c r="BF162" s="31"/>
      <c r="BG162" s="31"/>
      <c r="BH162" s="31"/>
      <c r="BI162" s="31"/>
      <c r="BJ162" s="31"/>
      <c r="BK162" s="31"/>
      <c r="BL162" s="31"/>
      <c r="BM162" s="31"/>
      <c r="BN162" s="31"/>
      <c r="BO162" s="31"/>
      <c r="BP162" s="32"/>
      <c r="BS162" s="30"/>
      <c r="BT162" s="31"/>
      <c r="BU162" s="31"/>
      <c r="BV162" s="31"/>
      <c r="BW162" s="31"/>
      <c r="BX162" s="31"/>
      <c r="BY162" s="31"/>
      <c r="BZ162" s="31"/>
      <c r="CA162" s="31"/>
      <c r="CB162" s="31"/>
      <c r="CC162" s="32"/>
      <c r="CD162" s="37"/>
      <c r="CE162" s="30"/>
      <c r="CF162" s="31"/>
      <c r="CG162" s="31"/>
      <c r="CH162" s="31"/>
      <c r="CI162" s="31"/>
      <c r="CJ162" s="31"/>
      <c r="CK162" s="31"/>
      <c r="CL162" s="31"/>
      <c r="CM162" s="32"/>
    </row>
    <row r="163" ht="11.25" customHeight="1">
      <c r="A163" s="48">
        <f>A161+1</f>
        <v>30</v>
      </c>
      <c r="C163" s="16">
        <v>5.08</v>
      </c>
      <c r="D163" s="17"/>
      <c r="E163" s="17"/>
      <c r="F163" s="17"/>
      <c r="G163" s="18"/>
      <c r="H163" s="19"/>
      <c r="I163" s="20">
        <v>0.8541666666666666</v>
      </c>
      <c r="J163" s="17"/>
      <c r="K163" s="17"/>
      <c r="L163" s="18"/>
      <c r="M163" s="19"/>
      <c r="N163" s="21" t="str">
        <f t="array" ref="N163">xlookup(P163,data!$N$2:$N$17,data!$O$2:$O$17,"")</f>
        <v/>
      </c>
      <c r="O163" s="22"/>
      <c r="P163" s="23" t="str">
        <f>'Main Event'!EN189</f>
        <v/>
      </c>
      <c r="Q163" s="22"/>
      <c r="R163" s="22"/>
      <c r="S163" s="22"/>
      <c r="T163" s="22"/>
      <c r="U163" s="22"/>
      <c r="V163" s="22"/>
      <c r="W163" s="22"/>
      <c r="X163" s="22"/>
      <c r="Y163" s="22"/>
      <c r="Z163" s="22"/>
      <c r="AA163" s="22"/>
      <c r="AB163" s="24" t="str">
        <f t="array" ref="AB163">xlookup(A163,matchups!$I:$I,matchups!$D:$D,"")</f>
        <v/>
      </c>
      <c r="AC163" s="9"/>
      <c r="AD163" s="24" t="str">
        <f t="array" ref="AD163">xlookup(A163,matchups!$I:$I,matchups!$E:$E,"")</f>
        <v/>
      </c>
      <c r="AE163" s="9"/>
      <c r="AF163" s="23" t="str">
        <f>'Main Event'!FR189</f>
        <v/>
      </c>
      <c r="AG163" s="22"/>
      <c r="AH163" s="22"/>
      <c r="AI163" s="22"/>
      <c r="AJ163" s="22"/>
      <c r="AK163" s="22"/>
      <c r="AL163" s="22"/>
      <c r="AM163" s="22"/>
      <c r="AN163" s="22"/>
      <c r="AO163" s="22"/>
      <c r="AP163" s="22"/>
      <c r="AQ163" s="22"/>
      <c r="AR163" s="25" t="str">
        <f t="array" ref="AR163">xlookup(AF163,data!$N$2:$N$17,data!$O$2:$O$17,"")</f>
        <v/>
      </c>
      <c r="AS163" s="26"/>
      <c r="AU163" s="27" t="s">
        <v>11</v>
      </c>
      <c r="AV163" s="17"/>
      <c r="AW163" s="17"/>
      <c r="AX163" s="18"/>
      <c r="AZ163" s="27" t="s">
        <v>40</v>
      </c>
      <c r="BA163" s="17"/>
      <c r="BB163" s="17"/>
      <c r="BC163" s="17"/>
      <c r="BD163" s="17"/>
      <c r="BE163" s="17"/>
      <c r="BF163" s="17"/>
      <c r="BG163" s="17"/>
      <c r="BH163" s="17"/>
      <c r="BI163" s="17"/>
      <c r="BJ163" s="17"/>
      <c r="BK163" s="17"/>
      <c r="BL163" s="17"/>
      <c r="BM163" s="17"/>
      <c r="BN163" s="17"/>
      <c r="BO163" s="17"/>
      <c r="BP163" s="18"/>
      <c r="BS163" s="38" t="s">
        <v>13</v>
      </c>
      <c r="BT163" s="17"/>
      <c r="BU163" s="17"/>
      <c r="BV163" s="17"/>
      <c r="BW163" s="17"/>
      <c r="BX163" s="17"/>
      <c r="BY163" s="17"/>
      <c r="BZ163" s="17"/>
      <c r="CA163" s="17"/>
      <c r="CB163" s="17"/>
      <c r="CC163" s="18"/>
      <c r="CD163" s="37"/>
      <c r="CE163" s="29" t="s">
        <v>14</v>
      </c>
      <c r="CF163" s="17"/>
      <c r="CG163" s="17"/>
      <c r="CH163" s="17"/>
      <c r="CI163" s="17"/>
      <c r="CJ163" s="17"/>
      <c r="CK163" s="17"/>
      <c r="CL163" s="17"/>
      <c r="CM163" s="18"/>
    </row>
    <row r="164" ht="11.25" customHeight="1">
      <c r="C164" s="30"/>
      <c r="D164" s="31"/>
      <c r="E164" s="31"/>
      <c r="F164" s="31"/>
      <c r="G164" s="32"/>
      <c r="H164" s="19"/>
      <c r="I164" s="30"/>
      <c r="J164" s="31"/>
      <c r="K164" s="31"/>
      <c r="L164" s="32"/>
      <c r="M164" s="19"/>
      <c r="N164" s="33"/>
      <c r="O164" s="34"/>
      <c r="P164" s="34"/>
      <c r="Q164" s="34"/>
      <c r="R164" s="34"/>
      <c r="S164" s="34"/>
      <c r="T164" s="34"/>
      <c r="U164" s="34"/>
      <c r="V164" s="34"/>
      <c r="W164" s="34"/>
      <c r="X164" s="34"/>
      <c r="Y164" s="34"/>
      <c r="Z164" s="34"/>
      <c r="AA164" s="34"/>
      <c r="AB164" s="12"/>
      <c r="AC164" s="14"/>
      <c r="AD164" s="12"/>
      <c r="AE164" s="14"/>
      <c r="AF164" s="34"/>
      <c r="AG164" s="34"/>
      <c r="AH164" s="34"/>
      <c r="AI164" s="34"/>
      <c r="AJ164" s="34"/>
      <c r="AK164" s="34"/>
      <c r="AL164" s="34"/>
      <c r="AM164" s="34"/>
      <c r="AN164" s="34"/>
      <c r="AO164" s="34"/>
      <c r="AP164" s="34"/>
      <c r="AQ164" s="34"/>
      <c r="AR164" s="34"/>
      <c r="AS164" s="35"/>
      <c r="AU164" s="30"/>
      <c r="AV164" s="31"/>
      <c r="AW164" s="31"/>
      <c r="AX164" s="32"/>
      <c r="AZ164" s="30"/>
      <c r="BA164" s="31"/>
      <c r="BB164" s="31"/>
      <c r="BC164" s="31"/>
      <c r="BD164" s="31"/>
      <c r="BE164" s="31"/>
      <c r="BF164" s="31"/>
      <c r="BG164" s="31"/>
      <c r="BH164" s="31"/>
      <c r="BI164" s="31"/>
      <c r="BJ164" s="31"/>
      <c r="BK164" s="31"/>
      <c r="BL164" s="31"/>
      <c r="BM164" s="31"/>
      <c r="BN164" s="31"/>
      <c r="BO164" s="31"/>
      <c r="BP164" s="32"/>
      <c r="BS164" s="30"/>
      <c r="BT164" s="31"/>
      <c r="BU164" s="31"/>
      <c r="BV164" s="31"/>
      <c r="BW164" s="31"/>
      <c r="BX164" s="31"/>
      <c r="BY164" s="31"/>
      <c r="BZ164" s="31"/>
      <c r="CA164" s="31"/>
      <c r="CB164" s="31"/>
      <c r="CC164" s="32"/>
      <c r="CD164" s="37"/>
      <c r="CE164" s="30"/>
      <c r="CF164" s="31"/>
      <c r="CG164" s="31"/>
      <c r="CH164" s="31"/>
      <c r="CI164" s="31"/>
      <c r="CJ164" s="31"/>
      <c r="CK164" s="31"/>
      <c r="CL164" s="31"/>
      <c r="CM164" s="32"/>
    </row>
    <row r="165" ht="11.25" customHeight="1">
      <c r="C165" s="6"/>
      <c r="D165" s="6"/>
      <c r="E165" s="6"/>
      <c r="F165" s="6"/>
      <c r="G165" s="6"/>
      <c r="H165" s="6"/>
      <c r="I165" s="36"/>
      <c r="J165" s="36"/>
      <c r="K165" s="36"/>
      <c r="L165" s="36"/>
      <c r="M165" s="6"/>
      <c r="BS165" s="37"/>
      <c r="BT165" s="37"/>
      <c r="BU165" s="37"/>
      <c r="BV165" s="37"/>
      <c r="BW165" s="37"/>
      <c r="BX165" s="37"/>
      <c r="BY165" s="37"/>
      <c r="BZ165" s="37"/>
      <c r="CA165" s="37"/>
      <c r="CB165" s="37"/>
      <c r="CC165" s="37"/>
    </row>
    <row r="166" ht="11.25" customHeight="1">
      <c r="C166" s="6"/>
      <c r="D166" s="6"/>
      <c r="E166" s="6"/>
      <c r="F166" s="6"/>
      <c r="G166" s="6"/>
      <c r="H166" s="6"/>
      <c r="I166" s="36"/>
      <c r="J166" s="36"/>
      <c r="K166" s="36"/>
      <c r="L166" s="36"/>
      <c r="M166" s="6"/>
      <c r="BS166" s="37"/>
      <c r="BT166" s="37"/>
      <c r="BU166" s="37"/>
      <c r="BV166" s="37"/>
      <c r="BW166" s="37"/>
      <c r="BX166" s="37"/>
      <c r="BY166" s="37"/>
      <c r="BZ166" s="37"/>
      <c r="CA166" s="37"/>
      <c r="CB166" s="37"/>
      <c r="CC166" s="37"/>
    </row>
    <row r="167" ht="11.25" customHeight="1">
      <c r="A167" s="47">
        <v>31.0</v>
      </c>
      <c r="C167" s="16">
        <v>6.08</v>
      </c>
      <c r="D167" s="17"/>
      <c r="E167" s="17"/>
      <c r="F167" s="17"/>
      <c r="G167" s="18"/>
      <c r="H167" s="19"/>
      <c r="I167" s="20">
        <v>0.6041666666666666</v>
      </c>
      <c r="J167" s="17"/>
      <c r="K167" s="17"/>
      <c r="L167" s="18"/>
      <c r="M167" s="19"/>
      <c r="N167" s="21" t="str">
        <f t="array" ref="N167">xlookup(P167,data!$N$2:$N$17,data!$O$2:$O$17,"")</f>
        <v/>
      </c>
      <c r="O167" s="22"/>
      <c r="P167" s="23" t="str">
        <f t="array" ref="P167">xlookup(A167,matchups!$I:$I,matchups!$B:$B,"")</f>
        <v/>
      </c>
      <c r="Q167" s="22"/>
      <c r="R167" s="22"/>
      <c r="S167" s="22"/>
      <c r="T167" s="22"/>
      <c r="U167" s="22"/>
      <c r="V167" s="22"/>
      <c r="W167" s="22"/>
      <c r="X167" s="22"/>
      <c r="Y167" s="22"/>
      <c r="Z167" s="22"/>
      <c r="AA167" s="22"/>
      <c r="AB167" s="24" t="str">
        <f t="array" ref="AB167">xlookup(A167,matchups!$I:$I,matchups!$D:$D,"")</f>
        <v/>
      </c>
      <c r="AC167" s="9"/>
      <c r="AD167" s="24" t="str">
        <f t="array" ref="AD167">xlookup(A167,matchups!$I:$I,matchups!$E:$E,"")</f>
        <v/>
      </c>
      <c r="AE167" s="9"/>
      <c r="AF167" s="41" t="str">
        <f t="array" ref="AF167">xlookup(A167,matchups!$I:$I,matchups!$C:$C,"")</f>
        <v/>
      </c>
      <c r="AR167" s="25" t="str">
        <f t="array" ref="AR167">xlookup(AF167,data!$N$2:$N$17,data!$O$2:$O$17,"")</f>
        <v/>
      </c>
      <c r="AS167" s="26"/>
      <c r="AU167" s="27" t="s">
        <v>11</v>
      </c>
      <c r="AV167" s="17"/>
      <c r="AW167" s="17"/>
      <c r="AX167" s="18"/>
      <c r="AZ167" s="27" t="s">
        <v>41</v>
      </c>
      <c r="BA167" s="17"/>
      <c r="BB167" s="17"/>
      <c r="BC167" s="17"/>
      <c r="BD167" s="17"/>
      <c r="BE167" s="17"/>
      <c r="BF167" s="17"/>
      <c r="BG167" s="17"/>
      <c r="BH167" s="17"/>
      <c r="BI167" s="17"/>
      <c r="BJ167" s="17"/>
      <c r="BK167" s="17"/>
      <c r="BL167" s="17"/>
      <c r="BM167" s="17"/>
      <c r="BN167" s="17"/>
      <c r="BO167" s="17"/>
      <c r="BP167" s="18"/>
      <c r="BS167" s="38" t="s">
        <v>13</v>
      </c>
      <c r="BT167" s="17"/>
      <c r="BU167" s="17"/>
      <c r="BV167" s="17"/>
      <c r="BW167" s="17"/>
      <c r="BX167" s="17"/>
      <c r="BY167" s="17"/>
      <c r="BZ167" s="17"/>
      <c r="CA167" s="17"/>
      <c r="CB167" s="17"/>
      <c r="CC167" s="18"/>
      <c r="CD167" s="37"/>
      <c r="CE167" s="29" t="s">
        <v>14</v>
      </c>
      <c r="CF167" s="17"/>
      <c r="CG167" s="17"/>
      <c r="CH167" s="17"/>
      <c r="CI167" s="17"/>
      <c r="CJ167" s="17"/>
      <c r="CK167" s="17"/>
      <c r="CL167" s="17"/>
      <c r="CM167" s="18"/>
    </row>
    <row r="168" ht="11.25" customHeight="1">
      <c r="C168" s="30"/>
      <c r="D168" s="31"/>
      <c r="E168" s="31"/>
      <c r="F168" s="31"/>
      <c r="G168" s="32"/>
      <c r="H168" s="19"/>
      <c r="I168" s="30"/>
      <c r="J168" s="31"/>
      <c r="K168" s="31"/>
      <c r="L168" s="32"/>
      <c r="M168" s="19"/>
      <c r="N168" s="33"/>
      <c r="O168" s="34"/>
      <c r="P168" s="34"/>
      <c r="Q168" s="34"/>
      <c r="R168" s="34"/>
      <c r="S168" s="34"/>
      <c r="T168" s="34"/>
      <c r="U168" s="34"/>
      <c r="V168" s="34"/>
      <c r="W168" s="34"/>
      <c r="X168" s="34"/>
      <c r="Y168" s="34"/>
      <c r="Z168" s="34"/>
      <c r="AA168" s="34"/>
      <c r="AB168" s="12"/>
      <c r="AC168" s="14"/>
      <c r="AD168" s="12"/>
      <c r="AE168" s="14"/>
      <c r="AF168" s="34"/>
      <c r="AG168" s="34"/>
      <c r="AH168" s="34"/>
      <c r="AI168" s="34"/>
      <c r="AJ168" s="34"/>
      <c r="AK168" s="34"/>
      <c r="AL168" s="34"/>
      <c r="AM168" s="34"/>
      <c r="AN168" s="34"/>
      <c r="AO168" s="34"/>
      <c r="AP168" s="34"/>
      <c r="AQ168" s="34"/>
      <c r="AR168" s="34"/>
      <c r="AS168" s="35"/>
      <c r="AU168" s="30"/>
      <c r="AV168" s="31"/>
      <c r="AW168" s="31"/>
      <c r="AX168" s="32"/>
      <c r="AZ168" s="30"/>
      <c r="BA168" s="31"/>
      <c r="BB168" s="31"/>
      <c r="BC168" s="31"/>
      <c r="BD168" s="31"/>
      <c r="BE168" s="31"/>
      <c r="BF168" s="31"/>
      <c r="BG168" s="31"/>
      <c r="BH168" s="31"/>
      <c r="BI168" s="31"/>
      <c r="BJ168" s="31"/>
      <c r="BK168" s="31"/>
      <c r="BL168" s="31"/>
      <c r="BM168" s="31"/>
      <c r="BN168" s="31"/>
      <c r="BO168" s="31"/>
      <c r="BP168" s="32"/>
      <c r="BS168" s="30"/>
      <c r="BT168" s="31"/>
      <c r="BU168" s="31"/>
      <c r="BV168" s="31"/>
      <c r="BW168" s="31"/>
      <c r="BX168" s="31"/>
      <c r="BY168" s="31"/>
      <c r="BZ168" s="31"/>
      <c r="CA168" s="31"/>
      <c r="CB168" s="31"/>
      <c r="CC168" s="32"/>
      <c r="CD168" s="37"/>
      <c r="CE168" s="30"/>
      <c r="CF168" s="31"/>
      <c r="CG168" s="31"/>
      <c r="CH168" s="31"/>
      <c r="CI168" s="31"/>
      <c r="CJ168" s="31"/>
      <c r="CK168" s="31"/>
      <c r="CL168" s="31"/>
      <c r="CM168" s="32"/>
    </row>
    <row r="169" ht="11.25" customHeight="1">
      <c r="A169" s="48">
        <f>A167+1</f>
        <v>32</v>
      </c>
      <c r="C169" s="16">
        <v>6.08</v>
      </c>
      <c r="D169" s="17"/>
      <c r="E169" s="17"/>
      <c r="F169" s="17"/>
      <c r="G169" s="18"/>
      <c r="H169" s="19"/>
      <c r="I169" s="20">
        <v>0.7291666666666666</v>
      </c>
      <c r="J169" s="17"/>
      <c r="K169" s="17"/>
      <c r="L169" s="18"/>
      <c r="M169" s="19"/>
      <c r="N169" s="21" t="str">
        <f t="array" ref="N169">xlookup(P169,data!$N$2:$N$17,data!$O$2:$O$17,"")</f>
        <v/>
      </c>
      <c r="O169" s="22"/>
      <c r="P169" s="23" t="str">
        <f t="array" ref="P169">xlookup(A169,matchups!$I:$I,matchups!$B:$B,"")</f>
        <v/>
      </c>
      <c r="Q169" s="22"/>
      <c r="R169" s="22"/>
      <c r="S169" s="22"/>
      <c r="T169" s="22"/>
      <c r="U169" s="22"/>
      <c r="V169" s="22"/>
      <c r="W169" s="22"/>
      <c r="X169" s="22"/>
      <c r="Y169" s="22"/>
      <c r="Z169" s="22"/>
      <c r="AA169" s="22"/>
      <c r="AB169" s="24" t="str">
        <f t="array" ref="AB169">xlookup(A169,matchups!$I:$I,matchups!$D:$D,"")</f>
        <v/>
      </c>
      <c r="AC169" s="9"/>
      <c r="AD169" s="24" t="str">
        <f t="array" ref="AD169">xlookup(A169,matchups!$I:$I,matchups!$E:$E,"")</f>
        <v/>
      </c>
      <c r="AE169" s="9"/>
      <c r="AF169" s="23" t="str">
        <f t="array" ref="AF169">xlookup(A169,matchups!$I:$I,matchups!$C:$C,"")</f>
        <v/>
      </c>
      <c r="AG169" s="22"/>
      <c r="AH169" s="22"/>
      <c r="AI169" s="22"/>
      <c r="AJ169" s="22"/>
      <c r="AK169" s="22"/>
      <c r="AL169" s="22"/>
      <c r="AM169" s="22"/>
      <c r="AN169" s="22"/>
      <c r="AO169" s="22"/>
      <c r="AP169" s="22"/>
      <c r="AQ169" s="22"/>
      <c r="AR169" s="25" t="str">
        <f t="array" ref="AR169">xlookup(AF169,data!$N$2:$N$17,data!$O$2:$O$17,"")</f>
        <v/>
      </c>
      <c r="AS169" s="26"/>
      <c r="AU169" s="27" t="s">
        <v>11</v>
      </c>
      <c r="AV169" s="17"/>
      <c r="AW169" s="17"/>
      <c r="AX169" s="18"/>
      <c r="AZ169" s="27" t="s">
        <v>42</v>
      </c>
      <c r="BA169" s="17"/>
      <c r="BB169" s="17"/>
      <c r="BC169" s="17"/>
      <c r="BD169" s="17"/>
      <c r="BE169" s="17"/>
      <c r="BF169" s="17"/>
      <c r="BG169" s="17"/>
      <c r="BH169" s="17"/>
      <c r="BI169" s="17"/>
      <c r="BJ169" s="17"/>
      <c r="BK169" s="17"/>
      <c r="BL169" s="17"/>
      <c r="BM169" s="17"/>
      <c r="BN169" s="17"/>
      <c r="BO169" s="17"/>
      <c r="BP169" s="18"/>
      <c r="BS169" s="38" t="s">
        <v>13</v>
      </c>
      <c r="BT169" s="17"/>
      <c r="BU169" s="17"/>
      <c r="BV169" s="17"/>
      <c r="BW169" s="17"/>
      <c r="BX169" s="17"/>
      <c r="BY169" s="17"/>
      <c r="BZ169" s="17"/>
      <c r="CA169" s="17"/>
      <c r="CB169" s="17"/>
      <c r="CC169" s="18"/>
      <c r="CD169" s="37"/>
      <c r="CE169" s="29" t="s">
        <v>14</v>
      </c>
      <c r="CF169" s="17"/>
      <c r="CG169" s="17"/>
      <c r="CH169" s="17"/>
      <c r="CI169" s="17"/>
      <c r="CJ169" s="17"/>
      <c r="CK169" s="17"/>
      <c r="CL169" s="17"/>
      <c r="CM169" s="18"/>
    </row>
    <row r="170" ht="11.25" customHeight="1">
      <c r="C170" s="30"/>
      <c r="D170" s="31"/>
      <c r="E170" s="31"/>
      <c r="F170" s="31"/>
      <c r="G170" s="32"/>
      <c r="H170" s="19"/>
      <c r="I170" s="30"/>
      <c r="J170" s="31"/>
      <c r="K170" s="31"/>
      <c r="L170" s="32"/>
      <c r="M170" s="19"/>
      <c r="N170" s="33"/>
      <c r="O170" s="34"/>
      <c r="P170" s="34"/>
      <c r="Q170" s="34"/>
      <c r="R170" s="34"/>
      <c r="S170" s="34"/>
      <c r="T170" s="34"/>
      <c r="U170" s="34"/>
      <c r="V170" s="34"/>
      <c r="W170" s="34"/>
      <c r="X170" s="34"/>
      <c r="Y170" s="34"/>
      <c r="Z170" s="34"/>
      <c r="AA170" s="34"/>
      <c r="AB170" s="12"/>
      <c r="AC170" s="14"/>
      <c r="AD170" s="12"/>
      <c r="AE170" s="14"/>
      <c r="AF170" s="34"/>
      <c r="AG170" s="34"/>
      <c r="AH170" s="34"/>
      <c r="AI170" s="34"/>
      <c r="AJ170" s="34"/>
      <c r="AK170" s="34"/>
      <c r="AL170" s="34"/>
      <c r="AM170" s="34"/>
      <c r="AN170" s="34"/>
      <c r="AO170" s="34"/>
      <c r="AP170" s="34"/>
      <c r="AQ170" s="34"/>
      <c r="AR170" s="34"/>
      <c r="AS170" s="35"/>
      <c r="AU170" s="30"/>
      <c r="AV170" s="31"/>
      <c r="AW170" s="31"/>
      <c r="AX170" s="32"/>
      <c r="AZ170" s="30"/>
      <c r="BA170" s="31"/>
      <c r="BB170" s="31"/>
      <c r="BC170" s="31"/>
      <c r="BD170" s="31"/>
      <c r="BE170" s="31"/>
      <c r="BF170" s="31"/>
      <c r="BG170" s="31"/>
      <c r="BH170" s="31"/>
      <c r="BI170" s="31"/>
      <c r="BJ170" s="31"/>
      <c r="BK170" s="31"/>
      <c r="BL170" s="31"/>
      <c r="BM170" s="31"/>
      <c r="BN170" s="31"/>
      <c r="BO170" s="31"/>
      <c r="BP170" s="32"/>
      <c r="BS170" s="30"/>
      <c r="BT170" s="31"/>
      <c r="BU170" s="31"/>
      <c r="BV170" s="31"/>
      <c r="BW170" s="31"/>
      <c r="BX170" s="31"/>
      <c r="BY170" s="31"/>
      <c r="BZ170" s="31"/>
      <c r="CA170" s="31"/>
      <c r="CB170" s="31"/>
      <c r="CC170" s="32"/>
      <c r="CD170" s="37"/>
      <c r="CE170" s="30"/>
      <c r="CF170" s="31"/>
      <c r="CG170" s="31"/>
      <c r="CH170" s="31"/>
      <c r="CI170" s="31"/>
      <c r="CJ170" s="31"/>
      <c r="CK170" s="31"/>
      <c r="CL170" s="31"/>
      <c r="CM170" s="32"/>
    </row>
    <row r="171" ht="11.25" customHeight="1">
      <c r="A171" s="48">
        <f>A169+1</f>
        <v>33</v>
      </c>
      <c r="C171" s="16">
        <v>6.08</v>
      </c>
      <c r="D171" s="17"/>
      <c r="E171" s="17"/>
      <c r="F171" s="17"/>
      <c r="G171" s="18"/>
      <c r="H171" s="19"/>
      <c r="I171" s="20">
        <v>0.8541666666666666</v>
      </c>
      <c r="J171" s="17"/>
      <c r="K171" s="17"/>
      <c r="L171" s="18"/>
      <c r="M171" s="19"/>
      <c r="N171" s="21" t="str">
        <f t="array" ref="N171">xlookup(P171,data!$N$2:$N$17,data!$O$2:$O$17,"")</f>
        <v/>
      </c>
      <c r="O171" s="22"/>
      <c r="P171" s="23" t="str">
        <f t="array" ref="P171">xlookup(A171,matchups!$I:$I,matchups!$B:$B,"")</f>
        <v/>
      </c>
      <c r="Q171" s="22"/>
      <c r="R171" s="22"/>
      <c r="S171" s="22"/>
      <c r="T171" s="22"/>
      <c r="U171" s="22"/>
      <c r="V171" s="22"/>
      <c r="W171" s="22"/>
      <c r="X171" s="22"/>
      <c r="Y171" s="22"/>
      <c r="Z171" s="22"/>
      <c r="AA171" s="22"/>
      <c r="AB171" s="24" t="str">
        <f t="array" ref="AB171">xlookup(A171,matchups!$I:$I,matchups!$D:$D,"")</f>
        <v/>
      </c>
      <c r="AC171" s="9"/>
      <c r="AD171" s="24" t="str">
        <f t="array" ref="AD171">xlookup(A171,matchups!$I:$I,matchups!$E:$E,"")</f>
        <v/>
      </c>
      <c r="AE171" s="9"/>
      <c r="AF171" s="23" t="str">
        <f t="array" ref="AF171">xlookup(A171,matchups!$I:$I,matchups!$C:$C,"")</f>
        <v/>
      </c>
      <c r="AG171" s="22"/>
      <c r="AH171" s="22"/>
      <c r="AI171" s="22"/>
      <c r="AJ171" s="22"/>
      <c r="AK171" s="22"/>
      <c r="AL171" s="22"/>
      <c r="AM171" s="22"/>
      <c r="AN171" s="22"/>
      <c r="AO171" s="22"/>
      <c r="AP171" s="22"/>
      <c r="AQ171" s="22"/>
      <c r="AR171" s="25" t="str">
        <f t="array" ref="AR171">xlookup(AF171,data!$N$2:$N$17,data!$O$2:$O$17,"")</f>
        <v/>
      </c>
      <c r="AS171" s="26"/>
      <c r="AU171" s="27" t="s">
        <v>11</v>
      </c>
      <c r="AV171" s="17"/>
      <c r="AW171" s="17"/>
      <c r="AX171" s="18"/>
      <c r="AZ171" s="27" t="s">
        <v>43</v>
      </c>
      <c r="BA171" s="17"/>
      <c r="BB171" s="17"/>
      <c r="BC171" s="17"/>
      <c r="BD171" s="17"/>
      <c r="BE171" s="17"/>
      <c r="BF171" s="17"/>
      <c r="BG171" s="17"/>
      <c r="BH171" s="17"/>
      <c r="BI171" s="17"/>
      <c r="BJ171" s="17"/>
      <c r="BK171" s="17"/>
      <c r="BL171" s="17"/>
      <c r="BM171" s="17"/>
      <c r="BN171" s="17"/>
      <c r="BO171" s="17"/>
      <c r="BP171" s="18"/>
      <c r="BS171" s="38" t="s">
        <v>13</v>
      </c>
      <c r="BT171" s="17"/>
      <c r="BU171" s="17"/>
      <c r="BV171" s="17"/>
      <c r="BW171" s="17"/>
      <c r="BX171" s="17"/>
      <c r="BY171" s="17"/>
      <c r="BZ171" s="17"/>
      <c r="CA171" s="17"/>
      <c r="CB171" s="17"/>
      <c r="CC171" s="18"/>
      <c r="CD171" s="37"/>
      <c r="CE171" s="29" t="s">
        <v>14</v>
      </c>
      <c r="CF171" s="17"/>
      <c r="CG171" s="17"/>
      <c r="CH171" s="17"/>
      <c r="CI171" s="17"/>
      <c r="CJ171" s="17"/>
      <c r="CK171" s="17"/>
      <c r="CL171" s="17"/>
      <c r="CM171" s="18"/>
    </row>
    <row r="172" ht="11.25" customHeight="1">
      <c r="C172" s="30"/>
      <c r="D172" s="31"/>
      <c r="E172" s="31"/>
      <c r="F172" s="31"/>
      <c r="G172" s="32"/>
      <c r="H172" s="19"/>
      <c r="I172" s="30"/>
      <c r="J172" s="31"/>
      <c r="K172" s="31"/>
      <c r="L172" s="32"/>
      <c r="M172" s="19"/>
      <c r="N172" s="33"/>
      <c r="O172" s="34"/>
      <c r="P172" s="34"/>
      <c r="Q172" s="34"/>
      <c r="R172" s="34"/>
      <c r="S172" s="34"/>
      <c r="T172" s="34"/>
      <c r="U172" s="34"/>
      <c r="V172" s="34"/>
      <c r="W172" s="34"/>
      <c r="X172" s="34"/>
      <c r="Y172" s="34"/>
      <c r="Z172" s="34"/>
      <c r="AA172" s="34"/>
      <c r="AB172" s="12"/>
      <c r="AC172" s="14"/>
      <c r="AD172" s="12"/>
      <c r="AE172" s="14"/>
      <c r="AF172" s="34"/>
      <c r="AG172" s="34"/>
      <c r="AH172" s="34"/>
      <c r="AI172" s="34"/>
      <c r="AJ172" s="34"/>
      <c r="AK172" s="34"/>
      <c r="AL172" s="34"/>
      <c r="AM172" s="34"/>
      <c r="AN172" s="34"/>
      <c r="AO172" s="34"/>
      <c r="AP172" s="34"/>
      <c r="AQ172" s="34"/>
      <c r="AR172" s="34"/>
      <c r="AS172" s="35"/>
      <c r="AU172" s="30"/>
      <c r="AV172" s="31"/>
      <c r="AW172" s="31"/>
      <c r="AX172" s="32"/>
      <c r="AZ172" s="30"/>
      <c r="BA172" s="31"/>
      <c r="BB172" s="31"/>
      <c r="BC172" s="31"/>
      <c r="BD172" s="31"/>
      <c r="BE172" s="31"/>
      <c r="BF172" s="31"/>
      <c r="BG172" s="31"/>
      <c r="BH172" s="31"/>
      <c r="BI172" s="31"/>
      <c r="BJ172" s="31"/>
      <c r="BK172" s="31"/>
      <c r="BL172" s="31"/>
      <c r="BM172" s="31"/>
      <c r="BN172" s="31"/>
      <c r="BO172" s="31"/>
      <c r="BP172" s="32"/>
      <c r="BS172" s="30"/>
      <c r="BT172" s="31"/>
      <c r="BU172" s="31"/>
      <c r="BV172" s="31"/>
      <c r="BW172" s="31"/>
      <c r="BX172" s="31"/>
      <c r="BY172" s="31"/>
      <c r="BZ172" s="31"/>
      <c r="CA172" s="31"/>
      <c r="CB172" s="31"/>
      <c r="CC172" s="32"/>
      <c r="CD172" s="37"/>
      <c r="CE172" s="30"/>
      <c r="CF172" s="31"/>
      <c r="CG172" s="31"/>
      <c r="CH172" s="31"/>
      <c r="CI172" s="31"/>
      <c r="CJ172" s="31"/>
      <c r="CK172" s="31"/>
      <c r="CL172" s="31"/>
      <c r="CM172" s="32"/>
    </row>
    <row r="173" ht="11.25" customHeight="1">
      <c r="C173" s="46"/>
      <c r="D173" s="46"/>
      <c r="E173" s="46"/>
      <c r="F173" s="46"/>
      <c r="G173" s="46"/>
      <c r="BS173" s="37"/>
      <c r="BT173" s="37"/>
      <c r="BU173" s="37"/>
      <c r="BV173" s="37"/>
      <c r="BW173" s="37"/>
      <c r="BX173" s="37"/>
      <c r="BY173" s="37"/>
      <c r="BZ173" s="37"/>
      <c r="CA173" s="37"/>
      <c r="CB173" s="37"/>
      <c r="CC173" s="37"/>
    </row>
    <row r="174" ht="11.25" customHeight="1">
      <c r="C174" s="7" t="s">
        <v>44</v>
      </c>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9"/>
    </row>
    <row r="175" ht="11.25" customHeight="1">
      <c r="C175" s="10"/>
      <c r="CM175" s="11"/>
    </row>
    <row r="176" ht="11.25" customHeight="1">
      <c r="C176" s="12"/>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c r="CM176" s="14"/>
    </row>
    <row r="177" ht="11.25" customHeight="1">
      <c r="C177" s="46"/>
      <c r="D177" s="46"/>
      <c r="E177" s="46"/>
      <c r="F177" s="46"/>
      <c r="G177" s="46"/>
      <c r="BS177" s="37"/>
      <c r="BT177" s="37"/>
      <c r="BU177" s="37"/>
      <c r="BV177" s="37"/>
      <c r="BW177" s="37"/>
      <c r="BX177" s="37"/>
      <c r="BY177" s="37"/>
      <c r="BZ177" s="37"/>
      <c r="CA177" s="37"/>
      <c r="CB177" s="37"/>
      <c r="CC177" s="37"/>
    </row>
    <row r="178" ht="11.25" customHeight="1">
      <c r="C178" s="16">
        <v>7.08</v>
      </c>
      <c r="D178" s="17"/>
      <c r="E178" s="17"/>
      <c r="F178" s="17"/>
      <c r="G178" s="18"/>
      <c r="H178" s="19"/>
      <c r="I178" s="20">
        <v>0.4791666666666667</v>
      </c>
      <c r="J178" s="17"/>
      <c r="K178" s="17"/>
      <c r="L178" s="18"/>
      <c r="M178" s="19"/>
      <c r="N178" s="21" t="str">
        <f t="array" ref="N178">xlookup(P178,data!$N$2:$N$17,data!$O$2:$O$17,"")</f>
        <v/>
      </c>
      <c r="O178" s="22"/>
      <c r="P178" s="23" t="str">
        <f>'Main Event'!L255</f>
        <v>Swiss #4 Seed</v>
      </c>
      <c r="Q178" s="22"/>
      <c r="R178" s="22"/>
      <c r="S178" s="22"/>
      <c r="T178" s="22"/>
      <c r="U178" s="22"/>
      <c r="V178" s="22"/>
      <c r="W178" s="22"/>
      <c r="X178" s="22"/>
      <c r="Y178" s="22"/>
      <c r="Z178" s="22"/>
      <c r="AA178" s="22"/>
      <c r="AB178" s="24" t="str">
        <f>'Main Event'!AK255</f>
        <v/>
      </c>
      <c r="AC178" s="9"/>
      <c r="AD178" s="24" t="str">
        <f>'Main Event'!AK259</f>
        <v/>
      </c>
      <c r="AE178" s="9"/>
      <c r="AF178" s="41" t="str">
        <f>'Main Event'!L259</f>
        <v>Swiss #5 Seed</v>
      </c>
      <c r="AR178" s="25" t="str">
        <f t="array" ref="AR178">xlookup(AF178,data!$N$2:$N$17,data!$O$2:$O$17,"")</f>
        <v/>
      </c>
      <c r="AS178" s="26"/>
      <c r="AU178" s="27" t="s">
        <v>11</v>
      </c>
      <c r="AV178" s="17"/>
      <c r="AW178" s="17"/>
      <c r="AX178" s="18"/>
      <c r="AZ178" s="27" t="s">
        <v>45</v>
      </c>
      <c r="BA178" s="17"/>
      <c r="BB178" s="17"/>
      <c r="BC178" s="17"/>
      <c r="BD178" s="17"/>
      <c r="BE178" s="17"/>
      <c r="BF178" s="17"/>
      <c r="BG178" s="17"/>
      <c r="BH178" s="17"/>
      <c r="BI178" s="17"/>
      <c r="BJ178" s="17"/>
      <c r="BK178" s="17"/>
      <c r="BL178" s="17"/>
      <c r="BM178" s="17"/>
      <c r="BN178" s="17"/>
      <c r="BO178" s="17"/>
      <c r="BP178" s="18"/>
      <c r="BS178" s="38" t="s">
        <v>13</v>
      </c>
      <c r="BT178" s="17"/>
      <c r="BU178" s="17"/>
      <c r="BV178" s="17"/>
      <c r="BW178" s="17"/>
      <c r="BX178" s="17"/>
      <c r="BY178" s="17"/>
      <c r="BZ178" s="17"/>
      <c r="CA178" s="17"/>
      <c r="CB178" s="17"/>
      <c r="CC178" s="18"/>
      <c r="CD178" s="37"/>
      <c r="CE178" s="29" t="s">
        <v>14</v>
      </c>
      <c r="CF178" s="17"/>
      <c r="CG178" s="17"/>
      <c r="CH178" s="17"/>
      <c r="CI178" s="17"/>
      <c r="CJ178" s="17"/>
      <c r="CK178" s="17"/>
      <c r="CL178" s="17"/>
      <c r="CM178" s="18"/>
    </row>
    <row r="179" ht="11.25" customHeight="1">
      <c r="A179" s="47"/>
      <c r="C179" s="30"/>
      <c r="D179" s="31"/>
      <c r="E179" s="31"/>
      <c r="F179" s="31"/>
      <c r="G179" s="32"/>
      <c r="H179" s="19"/>
      <c r="I179" s="30"/>
      <c r="J179" s="31"/>
      <c r="K179" s="31"/>
      <c r="L179" s="32"/>
      <c r="M179" s="19"/>
      <c r="N179" s="33"/>
      <c r="O179" s="34"/>
      <c r="P179" s="34"/>
      <c r="Q179" s="34"/>
      <c r="R179" s="34"/>
      <c r="S179" s="34"/>
      <c r="T179" s="34"/>
      <c r="U179" s="34"/>
      <c r="V179" s="34"/>
      <c r="W179" s="34"/>
      <c r="X179" s="34"/>
      <c r="Y179" s="34"/>
      <c r="Z179" s="34"/>
      <c r="AA179" s="34"/>
      <c r="AB179" s="12"/>
      <c r="AC179" s="14"/>
      <c r="AD179" s="12"/>
      <c r="AE179" s="14"/>
      <c r="AF179" s="34"/>
      <c r="AG179" s="34"/>
      <c r="AH179" s="34"/>
      <c r="AI179" s="34"/>
      <c r="AJ179" s="34"/>
      <c r="AK179" s="34"/>
      <c r="AL179" s="34"/>
      <c r="AM179" s="34"/>
      <c r="AN179" s="34"/>
      <c r="AO179" s="34"/>
      <c r="AP179" s="34"/>
      <c r="AQ179" s="34"/>
      <c r="AR179" s="34"/>
      <c r="AS179" s="35"/>
      <c r="AU179" s="30"/>
      <c r="AV179" s="31"/>
      <c r="AW179" s="31"/>
      <c r="AX179" s="32"/>
      <c r="AZ179" s="30"/>
      <c r="BA179" s="31"/>
      <c r="BB179" s="31"/>
      <c r="BC179" s="31"/>
      <c r="BD179" s="31"/>
      <c r="BE179" s="31"/>
      <c r="BF179" s="31"/>
      <c r="BG179" s="31"/>
      <c r="BH179" s="31"/>
      <c r="BI179" s="31"/>
      <c r="BJ179" s="31"/>
      <c r="BK179" s="31"/>
      <c r="BL179" s="31"/>
      <c r="BM179" s="31"/>
      <c r="BN179" s="31"/>
      <c r="BO179" s="31"/>
      <c r="BP179" s="32"/>
      <c r="BS179" s="30"/>
      <c r="BT179" s="31"/>
      <c r="BU179" s="31"/>
      <c r="BV179" s="31"/>
      <c r="BW179" s="31"/>
      <c r="BX179" s="31"/>
      <c r="BY179" s="31"/>
      <c r="BZ179" s="31"/>
      <c r="CA179" s="31"/>
      <c r="CB179" s="31"/>
      <c r="CC179" s="32"/>
      <c r="CD179" s="37"/>
      <c r="CE179" s="30"/>
      <c r="CF179" s="31"/>
      <c r="CG179" s="31"/>
      <c r="CH179" s="31"/>
      <c r="CI179" s="31"/>
      <c r="CJ179" s="31"/>
      <c r="CK179" s="31"/>
      <c r="CL179" s="31"/>
      <c r="CM179" s="32"/>
    </row>
    <row r="180" ht="11.25" customHeight="1">
      <c r="A180" s="47"/>
      <c r="C180" s="16">
        <v>7.08</v>
      </c>
      <c r="D180" s="17"/>
      <c r="E180" s="17"/>
      <c r="F180" s="17"/>
      <c r="G180" s="18"/>
      <c r="H180" s="19"/>
      <c r="I180" s="20">
        <v>0.6041666666666666</v>
      </c>
      <c r="J180" s="17"/>
      <c r="K180" s="17"/>
      <c r="L180" s="18"/>
      <c r="M180" s="19"/>
      <c r="N180" s="21" t="str">
        <f t="array" ref="N180">xlookup(P180,data!$N$2:$N$17,data!$O$2:$O$17,"")</f>
        <v/>
      </c>
      <c r="O180" s="22"/>
      <c r="P180" s="23" t="str">
        <f>'Main Event'!L265</f>
        <v>Swiss #1 Seed</v>
      </c>
      <c r="Q180" s="22"/>
      <c r="R180" s="22"/>
      <c r="S180" s="22"/>
      <c r="T180" s="22"/>
      <c r="U180" s="22"/>
      <c r="V180" s="22"/>
      <c r="W180" s="22"/>
      <c r="X180" s="22"/>
      <c r="Y180" s="22"/>
      <c r="Z180" s="22"/>
      <c r="AA180" s="22"/>
      <c r="AB180" s="24" t="str">
        <f>'Main Event'!AK265</f>
        <v/>
      </c>
      <c r="AC180" s="9"/>
      <c r="AD180" s="24" t="str">
        <f>'Main Event'!AK269</f>
        <v/>
      </c>
      <c r="AE180" s="9"/>
      <c r="AF180" s="23" t="str">
        <f>'Main Event'!L269</f>
        <v>Swiss #8 Seed</v>
      </c>
      <c r="AG180" s="22"/>
      <c r="AH180" s="22"/>
      <c r="AI180" s="22"/>
      <c r="AJ180" s="22"/>
      <c r="AK180" s="22"/>
      <c r="AL180" s="22"/>
      <c r="AM180" s="22"/>
      <c r="AN180" s="22"/>
      <c r="AO180" s="22"/>
      <c r="AP180" s="22"/>
      <c r="AQ180" s="22"/>
      <c r="AR180" s="25" t="str">
        <f t="array" ref="AR180">xlookup(AF180,data!$N$2:$N$17,data!$O$2:$O$17,"")</f>
        <v/>
      </c>
      <c r="AS180" s="26"/>
      <c r="AU180" s="27" t="s">
        <v>11</v>
      </c>
      <c r="AV180" s="17"/>
      <c r="AW180" s="17"/>
      <c r="AX180" s="18"/>
      <c r="AZ180" s="27" t="s">
        <v>46</v>
      </c>
      <c r="BA180" s="17"/>
      <c r="BB180" s="17"/>
      <c r="BC180" s="17"/>
      <c r="BD180" s="17"/>
      <c r="BE180" s="17"/>
      <c r="BF180" s="17"/>
      <c r="BG180" s="17"/>
      <c r="BH180" s="17"/>
      <c r="BI180" s="17"/>
      <c r="BJ180" s="17"/>
      <c r="BK180" s="17"/>
      <c r="BL180" s="17"/>
      <c r="BM180" s="17"/>
      <c r="BN180" s="17"/>
      <c r="BO180" s="17"/>
      <c r="BP180" s="18"/>
      <c r="BS180" s="38" t="s">
        <v>13</v>
      </c>
      <c r="BT180" s="17"/>
      <c r="BU180" s="17"/>
      <c r="BV180" s="17"/>
      <c r="BW180" s="17"/>
      <c r="BX180" s="17"/>
      <c r="BY180" s="17"/>
      <c r="BZ180" s="17"/>
      <c r="CA180" s="17"/>
      <c r="CB180" s="17"/>
      <c r="CC180" s="18"/>
      <c r="CD180" s="37"/>
      <c r="CE180" s="29" t="s">
        <v>14</v>
      </c>
      <c r="CF180" s="17"/>
      <c r="CG180" s="17"/>
      <c r="CH180" s="17"/>
      <c r="CI180" s="17"/>
      <c r="CJ180" s="17"/>
      <c r="CK180" s="17"/>
      <c r="CL180" s="17"/>
      <c r="CM180" s="18"/>
    </row>
    <row r="181" ht="11.25" customHeight="1">
      <c r="A181" s="47"/>
      <c r="C181" s="30"/>
      <c r="D181" s="31"/>
      <c r="E181" s="31"/>
      <c r="F181" s="31"/>
      <c r="G181" s="32"/>
      <c r="H181" s="19"/>
      <c r="I181" s="30"/>
      <c r="J181" s="31"/>
      <c r="K181" s="31"/>
      <c r="L181" s="32"/>
      <c r="M181" s="19"/>
      <c r="N181" s="33"/>
      <c r="O181" s="34"/>
      <c r="P181" s="34"/>
      <c r="Q181" s="34"/>
      <c r="R181" s="34"/>
      <c r="S181" s="34"/>
      <c r="T181" s="34"/>
      <c r="U181" s="34"/>
      <c r="V181" s="34"/>
      <c r="W181" s="34"/>
      <c r="X181" s="34"/>
      <c r="Y181" s="34"/>
      <c r="Z181" s="34"/>
      <c r="AA181" s="34"/>
      <c r="AB181" s="12"/>
      <c r="AC181" s="14"/>
      <c r="AD181" s="12"/>
      <c r="AE181" s="14"/>
      <c r="AF181" s="34"/>
      <c r="AG181" s="34"/>
      <c r="AH181" s="34"/>
      <c r="AI181" s="34"/>
      <c r="AJ181" s="34"/>
      <c r="AK181" s="34"/>
      <c r="AL181" s="34"/>
      <c r="AM181" s="34"/>
      <c r="AN181" s="34"/>
      <c r="AO181" s="34"/>
      <c r="AP181" s="34"/>
      <c r="AQ181" s="34"/>
      <c r="AR181" s="34"/>
      <c r="AS181" s="35"/>
      <c r="AU181" s="30"/>
      <c r="AV181" s="31"/>
      <c r="AW181" s="31"/>
      <c r="AX181" s="32"/>
      <c r="AZ181" s="30"/>
      <c r="BA181" s="31"/>
      <c r="BB181" s="31"/>
      <c r="BC181" s="31"/>
      <c r="BD181" s="31"/>
      <c r="BE181" s="31"/>
      <c r="BF181" s="31"/>
      <c r="BG181" s="31"/>
      <c r="BH181" s="31"/>
      <c r="BI181" s="31"/>
      <c r="BJ181" s="31"/>
      <c r="BK181" s="31"/>
      <c r="BL181" s="31"/>
      <c r="BM181" s="31"/>
      <c r="BN181" s="31"/>
      <c r="BO181" s="31"/>
      <c r="BP181" s="32"/>
      <c r="BS181" s="30"/>
      <c r="BT181" s="31"/>
      <c r="BU181" s="31"/>
      <c r="BV181" s="31"/>
      <c r="BW181" s="31"/>
      <c r="BX181" s="31"/>
      <c r="BY181" s="31"/>
      <c r="BZ181" s="31"/>
      <c r="CA181" s="31"/>
      <c r="CB181" s="31"/>
      <c r="CC181" s="32"/>
      <c r="CD181" s="37"/>
      <c r="CE181" s="30"/>
      <c r="CF181" s="31"/>
      <c r="CG181" s="31"/>
      <c r="CH181" s="31"/>
      <c r="CI181" s="31"/>
      <c r="CJ181" s="31"/>
      <c r="CK181" s="31"/>
      <c r="CL181" s="31"/>
      <c r="CM181" s="32"/>
    </row>
    <row r="182" ht="11.25" customHeight="1">
      <c r="A182" s="47"/>
      <c r="C182" s="16">
        <v>7.08</v>
      </c>
      <c r="D182" s="17"/>
      <c r="E182" s="17"/>
      <c r="F182" s="17"/>
      <c r="G182" s="18"/>
      <c r="H182" s="19"/>
      <c r="I182" s="20">
        <v>0.7291666666666666</v>
      </c>
      <c r="J182" s="17"/>
      <c r="K182" s="17"/>
      <c r="L182" s="18"/>
      <c r="M182" s="19"/>
      <c r="N182" s="21" t="str">
        <f t="array" ref="N182">xlookup(P182,data!$N$2:$N$17,data!$O$2:$O$17,"")</f>
        <v/>
      </c>
      <c r="O182" s="22"/>
      <c r="P182" s="23" t="str">
        <f>'Main Event'!L275</f>
        <v>Swiss #3 Seed</v>
      </c>
      <c r="Q182" s="22"/>
      <c r="R182" s="22"/>
      <c r="S182" s="22"/>
      <c r="T182" s="22"/>
      <c r="U182" s="22"/>
      <c r="V182" s="22"/>
      <c r="W182" s="22"/>
      <c r="X182" s="22"/>
      <c r="Y182" s="22"/>
      <c r="Z182" s="22"/>
      <c r="AA182" s="22"/>
      <c r="AB182" s="24" t="str">
        <f>'Main Event'!AK275</f>
        <v/>
      </c>
      <c r="AC182" s="9"/>
      <c r="AD182" s="24" t="str">
        <f>'Main Event'!AK279</f>
        <v/>
      </c>
      <c r="AE182" s="9"/>
      <c r="AF182" s="23" t="str">
        <f>'Main Event'!L279</f>
        <v>Swiss #6 Seed</v>
      </c>
      <c r="AG182" s="22"/>
      <c r="AH182" s="22"/>
      <c r="AI182" s="22"/>
      <c r="AJ182" s="22"/>
      <c r="AK182" s="22"/>
      <c r="AL182" s="22"/>
      <c r="AM182" s="22"/>
      <c r="AN182" s="22"/>
      <c r="AO182" s="22"/>
      <c r="AP182" s="22"/>
      <c r="AQ182" s="22"/>
      <c r="AR182" s="25" t="str">
        <f t="array" ref="AR182">xlookup(AF182,data!$N$2:$N$17,data!$O$2:$O$17,"")</f>
        <v/>
      </c>
      <c r="AS182" s="26"/>
      <c r="AU182" s="27" t="s">
        <v>11</v>
      </c>
      <c r="AV182" s="17"/>
      <c r="AW182" s="17"/>
      <c r="AX182" s="18"/>
      <c r="AZ182" s="27" t="s">
        <v>47</v>
      </c>
      <c r="BA182" s="17"/>
      <c r="BB182" s="17"/>
      <c r="BC182" s="17"/>
      <c r="BD182" s="17"/>
      <c r="BE182" s="17"/>
      <c r="BF182" s="17"/>
      <c r="BG182" s="17"/>
      <c r="BH182" s="17"/>
      <c r="BI182" s="17"/>
      <c r="BJ182" s="17"/>
      <c r="BK182" s="17"/>
      <c r="BL182" s="17"/>
      <c r="BM182" s="17"/>
      <c r="BN182" s="17"/>
      <c r="BO182" s="17"/>
      <c r="BP182" s="18"/>
      <c r="BS182" s="38" t="s">
        <v>13</v>
      </c>
      <c r="BT182" s="17"/>
      <c r="BU182" s="17"/>
      <c r="BV182" s="17"/>
      <c r="BW182" s="17"/>
      <c r="BX182" s="17"/>
      <c r="BY182" s="17"/>
      <c r="BZ182" s="17"/>
      <c r="CA182" s="17"/>
      <c r="CB182" s="17"/>
      <c r="CC182" s="18"/>
      <c r="CD182" s="37"/>
      <c r="CE182" s="29" t="s">
        <v>14</v>
      </c>
      <c r="CF182" s="17"/>
      <c r="CG182" s="17"/>
      <c r="CH182" s="17"/>
      <c r="CI182" s="17"/>
      <c r="CJ182" s="17"/>
      <c r="CK182" s="17"/>
      <c r="CL182" s="17"/>
      <c r="CM182" s="18"/>
    </row>
    <row r="183" ht="11.25" customHeight="1">
      <c r="A183" s="47"/>
      <c r="C183" s="30"/>
      <c r="D183" s="31"/>
      <c r="E183" s="31"/>
      <c r="F183" s="31"/>
      <c r="G183" s="32"/>
      <c r="H183" s="19"/>
      <c r="I183" s="30"/>
      <c r="J183" s="31"/>
      <c r="K183" s="31"/>
      <c r="L183" s="32"/>
      <c r="M183" s="19"/>
      <c r="N183" s="33"/>
      <c r="O183" s="34"/>
      <c r="P183" s="34"/>
      <c r="Q183" s="34"/>
      <c r="R183" s="34"/>
      <c r="S183" s="34"/>
      <c r="T183" s="34"/>
      <c r="U183" s="34"/>
      <c r="V183" s="34"/>
      <c r="W183" s="34"/>
      <c r="X183" s="34"/>
      <c r="Y183" s="34"/>
      <c r="Z183" s="34"/>
      <c r="AA183" s="34"/>
      <c r="AB183" s="12"/>
      <c r="AC183" s="14"/>
      <c r="AD183" s="12"/>
      <c r="AE183" s="14"/>
      <c r="AF183" s="34"/>
      <c r="AG183" s="34"/>
      <c r="AH183" s="34"/>
      <c r="AI183" s="34"/>
      <c r="AJ183" s="34"/>
      <c r="AK183" s="34"/>
      <c r="AL183" s="34"/>
      <c r="AM183" s="34"/>
      <c r="AN183" s="34"/>
      <c r="AO183" s="34"/>
      <c r="AP183" s="34"/>
      <c r="AQ183" s="34"/>
      <c r="AR183" s="34"/>
      <c r="AS183" s="35"/>
      <c r="AU183" s="30"/>
      <c r="AV183" s="31"/>
      <c r="AW183" s="31"/>
      <c r="AX183" s="32"/>
      <c r="AZ183" s="30"/>
      <c r="BA183" s="31"/>
      <c r="BB183" s="31"/>
      <c r="BC183" s="31"/>
      <c r="BD183" s="31"/>
      <c r="BE183" s="31"/>
      <c r="BF183" s="31"/>
      <c r="BG183" s="31"/>
      <c r="BH183" s="31"/>
      <c r="BI183" s="31"/>
      <c r="BJ183" s="31"/>
      <c r="BK183" s="31"/>
      <c r="BL183" s="31"/>
      <c r="BM183" s="31"/>
      <c r="BN183" s="31"/>
      <c r="BO183" s="31"/>
      <c r="BP183" s="32"/>
      <c r="BS183" s="30"/>
      <c r="BT183" s="31"/>
      <c r="BU183" s="31"/>
      <c r="BV183" s="31"/>
      <c r="BW183" s="31"/>
      <c r="BX183" s="31"/>
      <c r="BY183" s="31"/>
      <c r="BZ183" s="31"/>
      <c r="CA183" s="31"/>
      <c r="CB183" s="31"/>
      <c r="CC183" s="32"/>
      <c r="CD183" s="37"/>
      <c r="CE183" s="30"/>
      <c r="CF183" s="31"/>
      <c r="CG183" s="31"/>
      <c r="CH183" s="31"/>
      <c r="CI183" s="31"/>
      <c r="CJ183" s="31"/>
      <c r="CK183" s="31"/>
      <c r="CL183" s="31"/>
      <c r="CM183" s="32"/>
    </row>
    <row r="184" ht="11.25" customHeight="1">
      <c r="A184" s="47"/>
      <c r="C184" s="16">
        <v>7.08</v>
      </c>
      <c r="D184" s="17"/>
      <c r="E184" s="17"/>
      <c r="F184" s="17"/>
      <c r="G184" s="18"/>
      <c r="H184" s="19"/>
      <c r="I184" s="20">
        <v>0.8541666666666666</v>
      </c>
      <c r="J184" s="17"/>
      <c r="K184" s="17"/>
      <c r="L184" s="18"/>
      <c r="M184" s="19"/>
      <c r="N184" s="21" t="str">
        <f t="array" ref="N184">xlookup(P184,data!$N$2:$N$17,data!$O$2:$O$17,"")</f>
        <v/>
      </c>
      <c r="O184" s="22"/>
      <c r="P184" s="23" t="str">
        <f>'Main Event'!L285</f>
        <v>Swiss #2 Seed</v>
      </c>
      <c r="Q184" s="22"/>
      <c r="R184" s="22"/>
      <c r="S184" s="22"/>
      <c r="T184" s="22"/>
      <c r="U184" s="22"/>
      <c r="V184" s="22"/>
      <c r="W184" s="22"/>
      <c r="X184" s="22"/>
      <c r="Y184" s="22"/>
      <c r="Z184" s="22"/>
      <c r="AA184" s="22"/>
      <c r="AB184" s="24" t="str">
        <f>'Main Event'!AK285</f>
        <v/>
      </c>
      <c r="AC184" s="9"/>
      <c r="AD184" s="24" t="str">
        <f>'Main Event'!AK289</f>
        <v/>
      </c>
      <c r="AE184" s="9"/>
      <c r="AF184" s="23" t="str">
        <f>'Main Event'!L289</f>
        <v>Swiss #7 Seed</v>
      </c>
      <c r="AG184" s="22"/>
      <c r="AH184" s="22"/>
      <c r="AI184" s="22"/>
      <c r="AJ184" s="22"/>
      <c r="AK184" s="22"/>
      <c r="AL184" s="22"/>
      <c r="AM184" s="22"/>
      <c r="AN184" s="22"/>
      <c r="AO184" s="22"/>
      <c r="AP184" s="22"/>
      <c r="AQ184" s="22"/>
      <c r="AR184" s="25" t="str">
        <f t="array" ref="AR184">xlookup(AF184,data!$N$2:$N$17,data!$O$2:$O$17,"")</f>
        <v/>
      </c>
      <c r="AS184" s="26"/>
      <c r="AU184" s="27" t="s">
        <v>11</v>
      </c>
      <c r="AV184" s="17"/>
      <c r="AW184" s="17"/>
      <c r="AX184" s="18"/>
      <c r="AZ184" s="27" t="s">
        <v>48</v>
      </c>
      <c r="BA184" s="17"/>
      <c r="BB184" s="17"/>
      <c r="BC184" s="17"/>
      <c r="BD184" s="17"/>
      <c r="BE184" s="17"/>
      <c r="BF184" s="17"/>
      <c r="BG184" s="17"/>
      <c r="BH184" s="17"/>
      <c r="BI184" s="17"/>
      <c r="BJ184" s="17"/>
      <c r="BK184" s="17"/>
      <c r="BL184" s="17"/>
      <c r="BM184" s="17"/>
      <c r="BN184" s="17"/>
      <c r="BO184" s="17"/>
      <c r="BP184" s="18"/>
      <c r="BS184" s="38" t="s">
        <v>13</v>
      </c>
      <c r="BT184" s="17"/>
      <c r="BU184" s="17"/>
      <c r="BV184" s="17"/>
      <c r="BW184" s="17"/>
      <c r="BX184" s="17"/>
      <c r="BY184" s="17"/>
      <c r="BZ184" s="17"/>
      <c r="CA184" s="17"/>
      <c r="CB184" s="17"/>
      <c r="CC184" s="18"/>
      <c r="CD184" s="37"/>
      <c r="CE184" s="29" t="s">
        <v>14</v>
      </c>
      <c r="CF184" s="17"/>
      <c r="CG184" s="17"/>
      <c r="CH184" s="17"/>
      <c r="CI184" s="17"/>
      <c r="CJ184" s="17"/>
      <c r="CK184" s="17"/>
      <c r="CL184" s="17"/>
      <c r="CM184" s="18"/>
    </row>
    <row r="185" ht="11.25" customHeight="1">
      <c r="A185" s="47"/>
      <c r="C185" s="30"/>
      <c r="D185" s="31"/>
      <c r="E185" s="31"/>
      <c r="F185" s="31"/>
      <c r="G185" s="32"/>
      <c r="H185" s="19"/>
      <c r="I185" s="30"/>
      <c r="J185" s="31"/>
      <c r="K185" s="31"/>
      <c r="L185" s="32"/>
      <c r="M185" s="19"/>
      <c r="N185" s="33"/>
      <c r="O185" s="34"/>
      <c r="P185" s="34"/>
      <c r="Q185" s="34"/>
      <c r="R185" s="34"/>
      <c r="S185" s="34"/>
      <c r="T185" s="34"/>
      <c r="U185" s="34"/>
      <c r="V185" s="34"/>
      <c r="W185" s="34"/>
      <c r="X185" s="34"/>
      <c r="Y185" s="34"/>
      <c r="Z185" s="34"/>
      <c r="AA185" s="34"/>
      <c r="AB185" s="12"/>
      <c r="AC185" s="14"/>
      <c r="AD185" s="12"/>
      <c r="AE185" s="14"/>
      <c r="AF185" s="34"/>
      <c r="AG185" s="34"/>
      <c r="AH185" s="34"/>
      <c r="AI185" s="34"/>
      <c r="AJ185" s="34"/>
      <c r="AK185" s="34"/>
      <c r="AL185" s="34"/>
      <c r="AM185" s="34"/>
      <c r="AN185" s="34"/>
      <c r="AO185" s="34"/>
      <c r="AP185" s="34"/>
      <c r="AQ185" s="34"/>
      <c r="AR185" s="34"/>
      <c r="AS185" s="35"/>
      <c r="AU185" s="30"/>
      <c r="AV185" s="31"/>
      <c r="AW185" s="31"/>
      <c r="AX185" s="32"/>
      <c r="AZ185" s="30"/>
      <c r="BA185" s="31"/>
      <c r="BB185" s="31"/>
      <c r="BC185" s="31"/>
      <c r="BD185" s="31"/>
      <c r="BE185" s="31"/>
      <c r="BF185" s="31"/>
      <c r="BG185" s="31"/>
      <c r="BH185" s="31"/>
      <c r="BI185" s="31"/>
      <c r="BJ185" s="31"/>
      <c r="BK185" s="31"/>
      <c r="BL185" s="31"/>
      <c r="BM185" s="31"/>
      <c r="BN185" s="31"/>
      <c r="BO185" s="31"/>
      <c r="BP185" s="32"/>
      <c r="BS185" s="30"/>
      <c r="BT185" s="31"/>
      <c r="BU185" s="31"/>
      <c r="BV185" s="31"/>
      <c r="BW185" s="31"/>
      <c r="BX185" s="31"/>
      <c r="BY185" s="31"/>
      <c r="BZ185" s="31"/>
      <c r="CA185" s="31"/>
      <c r="CB185" s="31"/>
      <c r="CC185" s="32"/>
      <c r="CD185" s="37"/>
      <c r="CE185" s="30"/>
      <c r="CF185" s="31"/>
      <c r="CG185" s="31"/>
      <c r="CH185" s="31"/>
      <c r="CI185" s="31"/>
      <c r="CJ185" s="31"/>
      <c r="CK185" s="31"/>
      <c r="CL185" s="31"/>
      <c r="CM185" s="32"/>
    </row>
    <row r="186" ht="11.25" customHeight="1">
      <c r="A186" s="47"/>
      <c r="C186" s="49"/>
      <c r="D186" s="49"/>
      <c r="E186" s="49"/>
      <c r="F186" s="49"/>
      <c r="G186" s="49"/>
      <c r="H186" s="19"/>
      <c r="I186" s="50"/>
      <c r="J186" s="50"/>
      <c r="K186" s="50"/>
      <c r="L186" s="50"/>
      <c r="M186" s="19"/>
      <c r="N186" s="6"/>
      <c r="O186" s="6"/>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6"/>
      <c r="AS186" s="6"/>
      <c r="AU186" s="43"/>
      <c r="AV186" s="43"/>
      <c r="AW186" s="43"/>
      <c r="AX186" s="43"/>
      <c r="AZ186" s="43"/>
      <c r="BA186" s="43"/>
      <c r="BB186" s="43"/>
      <c r="BC186" s="43"/>
      <c r="BD186" s="43"/>
      <c r="BE186" s="43"/>
      <c r="BF186" s="43"/>
      <c r="BG186" s="43"/>
      <c r="BH186" s="43"/>
      <c r="BI186" s="43"/>
      <c r="BJ186" s="43"/>
      <c r="BK186" s="43"/>
      <c r="BL186" s="43"/>
      <c r="BM186" s="43"/>
      <c r="BN186" s="43"/>
      <c r="BO186" s="43"/>
      <c r="BP186" s="43"/>
      <c r="BS186" s="51"/>
      <c r="BT186" s="51"/>
      <c r="BU186" s="51"/>
      <c r="BV186" s="51"/>
      <c r="BW186" s="51"/>
      <c r="BX186" s="51"/>
      <c r="BY186" s="51"/>
      <c r="BZ186" s="51"/>
      <c r="CA186" s="51"/>
      <c r="CB186" s="51"/>
      <c r="CC186" s="51"/>
      <c r="CE186" s="52"/>
      <c r="CF186" s="52"/>
      <c r="CG186" s="52"/>
      <c r="CH186" s="52"/>
      <c r="CI186" s="52"/>
      <c r="CJ186" s="52"/>
      <c r="CK186" s="52"/>
      <c r="CL186" s="52"/>
      <c r="CM186" s="52"/>
    </row>
    <row r="187" ht="11.25" customHeight="1">
      <c r="A187" s="47"/>
      <c r="C187" s="49"/>
      <c r="D187" s="49"/>
      <c r="E187" s="49"/>
      <c r="F187" s="49"/>
      <c r="G187" s="49"/>
      <c r="H187" s="19"/>
      <c r="I187" s="50"/>
      <c r="J187" s="50"/>
      <c r="K187" s="50"/>
      <c r="L187" s="50"/>
      <c r="M187" s="19"/>
      <c r="N187" s="6"/>
      <c r="O187" s="6"/>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6"/>
      <c r="AS187" s="6"/>
    </row>
    <row r="188" ht="11.25" customHeight="1">
      <c r="A188" s="47">
        <v>34.0</v>
      </c>
      <c r="C188" s="16">
        <v>8.08</v>
      </c>
      <c r="D188" s="17"/>
      <c r="E188" s="17"/>
      <c r="F188" s="17"/>
      <c r="G188" s="18"/>
      <c r="H188" s="19"/>
      <c r="I188" s="20">
        <v>0.4791666666666667</v>
      </c>
      <c r="J188" s="17"/>
      <c r="K188" s="17"/>
      <c r="L188" s="18"/>
      <c r="M188" s="19"/>
      <c r="N188" s="21" t="str">
        <f t="array" ref="N188">xlookup(P188,'Team Entry'!$A:$A,'Team Entry'!$B:$B,"")</f>
        <v/>
      </c>
      <c r="O188" s="22"/>
      <c r="P188" s="23" t="str">
        <f t="array" ref="P188">xlookup(A188,matchups!$I:$I,matchups!$B:$B,"")</f>
        <v>Team 1 (Playoff)</v>
      </c>
      <c r="Q188" s="22"/>
      <c r="R188" s="22"/>
      <c r="S188" s="22"/>
      <c r="T188" s="22"/>
      <c r="U188" s="22"/>
      <c r="V188" s="22"/>
      <c r="W188" s="22"/>
      <c r="X188" s="22"/>
      <c r="Y188" s="22"/>
      <c r="Z188" s="22"/>
      <c r="AA188" s="22"/>
      <c r="AB188" s="24" t="str">
        <f t="array" ref="AB188">xlookup(A188,matchups!$I:$I,matchups!$D:$D,"")</f>
        <v/>
      </c>
      <c r="AC188" s="9"/>
      <c r="AD188" s="24" t="str">
        <f t="array" ref="AD188">xlookup(A188,matchups!$I:$I,matchups!$E:$E,"")</f>
        <v/>
      </c>
      <c r="AE188" s="9"/>
      <c r="AF188" s="41" t="str">
        <f t="array" ref="AF188">xlookup(A188,matchups!$I:$I,matchups!$C:$C,"")</f>
        <v/>
      </c>
      <c r="AR188" s="25" t="str">
        <f t="array" ref="AR188">xlookup(AF188,data!$N$2:$N$17,data!$O$2:$O$17,"")</f>
        <v/>
      </c>
      <c r="AS188" s="26"/>
      <c r="AU188" s="27" t="s">
        <v>11</v>
      </c>
      <c r="AV188" s="17"/>
      <c r="AW188" s="17"/>
      <c r="AX188" s="18"/>
      <c r="AZ188" s="27" t="s">
        <v>49</v>
      </c>
      <c r="BA188" s="17"/>
      <c r="BB188" s="17"/>
      <c r="BC188" s="17"/>
      <c r="BD188" s="17"/>
      <c r="BE188" s="17"/>
      <c r="BF188" s="17"/>
      <c r="BG188" s="17"/>
      <c r="BH188" s="17"/>
      <c r="BI188" s="17"/>
      <c r="BJ188" s="17"/>
      <c r="BK188" s="17"/>
      <c r="BL188" s="17"/>
      <c r="BM188" s="17"/>
      <c r="BN188" s="17"/>
      <c r="BO188" s="17"/>
      <c r="BP188" s="18"/>
      <c r="BS188" s="38" t="s">
        <v>13</v>
      </c>
      <c r="BT188" s="17"/>
      <c r="BU188" s="17"/>
      <c r="BV188" s="17"/>
      <c r="BW188" s="17"/>
      <c r="BX188" s="17"/>
      <c r="BY188" s="17"/>
      <c r="BZ188" s="17"/>
      <c r="CA188" s="17"/>
      <c r="CB188" s="17"/>
      <c r="CC188" s="18"/>
      <c r="CD188" s="37"/>
      <c r="CE188" s="29" t="s">
        <v>14</v>
      </c>
      <c r="CF188" s="17"/>
      <c r="CG188" s="17"/>
      <c r="CH188" s="17"/>
      <c r="CI188" s="17"/>
      <c r="CJ188" s="17"/>
      <c r="CK188" s="17"/>
      <c r="CL188" s="17"/>
      <c r="CM188" s="18"/>
    </row>
    <row r="189" ht="11.25" customHeight="1">
      <c r="C189" s="30"/>
      <c r="D189" s="31"/>
      <c r="E189" s="31"/>
      <c r="F189" s="31"/>
      <c r="G189" s="32"/>
      <c r="H189" s="19"/>
      <c r="I189" s="30"/>
      <c r="J189" s="31"/>
      <c r="K189" s="31"/>
      <c r="L189" s="32"/>
      <c r="M189" s="19"/>
      <c r="N189" s="33"/>
      <c r="O189" s="34"/>
      <c r="P189" s="34"/>
      <c r="Q189" s="34"/>
      <c r="R189" s="34"/>
      <c r="S189" s="34"/>
      <c r="T189" s="34"/>
      <c r="U189" s="34"/>
      <c r="V189" s="34"/>
      <c r="W189" s="34"/>
      <c r="X189" s="34"/>
      <c r="Y189" s="34"/>
      <c r="Z189" s="34"/>
      <c r="AA189" s="34"/>
      <c r="AB189" s="12"/>
      <c r="AC189" s="14"/>
      <c r="AD189" s="12"/>
      <c r="AE189" s="14"/>
      <c r="AF189" s="34"/>
      <c r="AG189" s="34"/>
      <c r="AH189" s="34"/>
      <c r="AI189" s="34"/>
      <c r="AJ189" s="34"/>
      <c r="AK189" s="34"/>
      <c r="AL189" s="34"/>
      <c r="AM189" s="34"/>
      <c r="AN189" s="34"/>
      <c r="AO189" s="34"/>
      <c r="AP189" s="34"/>
      <c r="AQ189" s="34"/>
      <c r="AR189" s="34"/>
      <c r="AS189" s="35"/>
      <c r="AU189" s="30"/>
      <c r="AV189" s="31"/>
      <c r="AW189" s="31"/>
      <c r="AX189" s="32"/>
      <c r="AZ189" s="30"/>
      <c r="BA189" s="31"/>
      <c r="BB189" s="31"/>
      <c r="BC189" s="31"/>
      <c r="BD189" s="31"/>
      <c r="BE189" s="31"/>
      <c r="BF189" s="31"/>
      <c r="BG189" s="31"/>
      <c r="BH189" s="31"/>
      <c r="BI189" s="31"/>
      <c r="BJ189" s="31"/>
      <c r="BK189" s="31"/>
      <c r="BL189" s="31"/>
      <c r="BM189" s="31"/>
      <c r="BN189" s="31"/>
      <c r="BO189" s="31"/>
      <c r="BP189" s="32"/>
      <c r="BS189" s="30"/>
      <c r="BT189" s="31"/>
      <c r="BU189" s="31"/>
      <c r="BV189" s="31"/>
      <c r="BW189" s="31"/>
      <c r="BX189" s="31"/>
      <c r="BY189" s="31"/>
      <c r="BZ189" s="31"/>
      <c r="CA189" s="31"/>
      <c r="CB189" s="31"/>
      <c r="CC189" s="32"/>
      <c r="CD189" s="37"/>
      <c r="CE189" s="30"/>
      <c r="CF189" s="31"/>
      <c r="CG189" s="31"/>
      <c r="CH189" s="31"/>
      <c r="CI189" s="31"/>
      <c r="CJ189" s="31"/>
      <c r="CK189" s="31"/>
      <c r="CL189" s="31"/>
      <c r="CM189" s="32"/>
    </row>
    <row r="190" ht="11.25" customHeight="1">
      <c r="A190" s="48">
        <f>A188+1</f>
        <v>35</v>
      </c>
      <c r="C190" s="16">
        <v>8.08</v>
      </c>
      <c r="D190" s="17"/>
      <c r="E190" s="17"/>
      <c r="F190" s="17"/>
      <c r="G190" s="18"/>
      <c r="H190" s="19"/>
      <c r="I190" s="20">
        <v>0.6041666666666666</v>
      </c>
      <c r="J190" s="17"/>
      <c r="K190" s="17"/>
      <c r="L190" s="18"/>
      <c r="M190" s="19"/>
      <c r="N190" s="21" t="str">
        <f t="array" ref="N190">xlookup(P190,'Team Entry'!$A:$A,'Team Entry'!$B:$B,"")</f>
        <v/>
      </c>
      <c r="O190" s="22"/>
      <c r="P190" s="23" t="str">
        <f t="array" ref="P190">xlookup(A190,matchups!$I:$I,matchups!$B:$B,"")</f>
        <v>Team 4 (Playoff)</v>
      </c>
      <c r="Q190" s="22"/>
      <c r="R190" s="22"/>
      <c r="S190" s="22"/>
      <c r="T190" s="22"/>
      <c r="U190" s="22"/>
      <c r="V190" s="22"/>
      <c r="W190" s="22"/>
      <c r="X190" s="22"/>
      <c r="Y190" s="22"/>
      <c r="Z190" s="22"/>
      <c r="AA190" s="22"/>
      <c r="AB190" s="24" t="str">
        <f t="array" ref="AB190">xlookup(A190,matchups!$I:$I,matchups!$D:$D,"")</f>
        <v/>
      </c>
      <c r="AC190" s="9"/>
      <c r="AD190" s="24" t="str">
        <f t="array" ref="AD190">xlookup(A190,matchups!$I:$I,matchups!$E:$E,"")</f>
        <v/>
      </c>
      <c r="AE190" s="9"/>
      <c r="AF190" s="23" t="str">
        <f t="array" ref="AF190">xlookup(A190,matchups!$I:$I,matchups!$C:$C,"")</f>
        <v/>
      </c>
      <c r="AG190" s="22"/>
      <c r="AH190" s="22"/>
      <c r="AI190" s="22"/>
      <c r="AJ190" s="22"/>
      <c r="AK190" s="22"/>
      <c r="AL190" s="22"/>
      <c r="AM190" s="22"/>
      <c r="AN190" s="22"/>
      <c r="AO190" s="22"/>
      <c r="AP190" s="22"/>
      <c r="AQ190" s="22"/>
      <c r="AR190" s="25" t="str">
        <f t="array" ref="AR190">xlookup(AF190,data!$N$2:$N$17,data!$O$2:$O$17,"")</f>
        <v/>
      </c>
      <c r="AS190" s="26"/>
      <c r="AU190" s="27" t="s">
        <v>11</v>
      </c>
      <c r="AV190" s="17"/>
      <c r="AW190" s="17"/>
      <c r="AX190" s="18"/>
      <c r="AZ190" s="27" t="s">
        <v>50</v>
      </c>
      <c r="BA190" s="17"/>
      <c r="BB190" s="17"/>
      <c r="BC190" s="17"/>
      <c r="BD190" s="17"/>
      <c r="BE190" s="17"/>
      <c r="BF190" s="17"/>
      <c r="BG190" s="17"/>
      <c r="BH190" s="17"/>
      <c r="BI190" s="17"/>
      <c r="BJ190" s="17"/>
      <c r="BK190" s="17"/>
      <c r="BL190" s="17"/>
      <c r="BM190" s="17"/>
      <c r="BN190" s="17"/>
      <c r="BO190" s="17"/>
      <c r="BP190" s="18"/>
      <c r="BS190" s="38" t="s">
        <v>13</v>
      </c>
      <c r="BT190" s="17"/>
      <c r="BU190" s="17"/>
      <c r="BV190" s="17"/>
      <c r="BW190" s="17"/>
      <c r="BX190" s="17"/>
      <c r="BY190" s="17"/>
      <c r="BZ190" s="17"/>
      <c r="CA190" s="17"/>
      <c r="CB190" s="17"/>
      <c r="CC190" s="18"/>
      <c r="CD190" s="37"/>
      <c r="CE190" s="29" t="s">
        <v>14</v>
      </c>
      <c r="CF190" s="17"/>
      <c r="CG190" s="17"/>
      <c r="CH190" s="17"/>
      <c r="CI190" s="17"/>
      <c r="CJ190" s="17"/>
      <c r="CK190" s="17"/>
      <c r="CL190" s="17"/>
      <c r="CM190" s="18"/>
    </row>
    <row r="191" ht="11.25" customHeight="1">
      <c r="C191" s="30"/>
      <c r="D191" s="31"/>
      <c r="E191" s="31"/>
      <c r="F191" s="31"/>
      <c r="G191" s="32"/>
      <c r="H191" s="19"/>
      <c r="I191" s="30"/>
      <c r="J191" s="31"/>
      <c r="K191" s="31"/>
      <c r="L191" s="32"/>
      <c r="M191" s="19"/>
      <c r="N191" s="33"/>
      <c r="O191" s="34"/>
      <c r="P191" s="34"/>
      <c r="Q191" s="34"/>
      <c r="R191" s="34"/>
      <c r="S191" s="34"/>
      <c r="T191" s="34"/>
      <c r="U191" s="34"/>
      <c r="V191" s="34"/>
      <c r="W191" s="34"/>
      <c r="X191" s="34"/>
      <c r="Y191" s="34"/>
      <c r="Z191" s="34"/>
      <c r="AA191" s="34"/>
      <c r="AB191" s="12"/>
      <c r="AC191" s="14"/>
      <c r="AD191" s="12"/>
      <c r="AE191" s="14"/>
      <c r="AF191" s="34"/>
      <c r="AG191" s="34"/>
      <c r="AH191" s="34"/>
      <c r="AI191" s="34"/>
      <c r="AJ191" s="34"/>
      <c r="AK191" s="34"/>
      <c r="AL191" s="34"/>
      <c r="AM191" s="34"/>
      <c r="AN191" s="34"/>
      <c r="AO191" s="34"/>
      <c r="AP191" s="34"/>
      <c r="AQ191" s="34"/>
      <c r="AR191" s="34"/>
      <c r="AS191" s="35"/>
      <c r="AU191" s="30"/>
      <c r="AV191" s="31"/>
      <c r="AW191" s="31"/>
      <c r="AX191" s="32"/>
      <c r="AZ191" s="30"/>
      <c r="BA191" s="31"/>
      <c r="BB191" s="31"/>
      <c r="BC191" s="31"/>
      <c r="BD191" s="31"/>
      <c r="BE191" s="31"/>
      <c r="BF191" s="31"/>
      <c r="BG191" s="31"/>
      <c r="BH191" s="31"/>
      <c r="BI191" s="31"/>
      <c r="BJ191" s="31"/>
      <c r="BK191" s="31"/>
      <c r="BL191" s="31"/>
      <c r="BM191" s="31"/>
      <c r="BN191" s="31"/>
      <c r="BO191" s="31"/>
      <c r="BP191" s="32"/>
      <c r="BS191" s="30"/>
      <c r="BT191" s="31"/>
      <c r="BU191" s="31"/>
      <c r="BV191" s="31"/>
      <c r="BW191" s="31"/>
      <c r="BX191" s="31"/>
      <c r="BY191" s="31"/>
      <c r="BZ191" s="31"/>
      <c r="CA191" s="31"/>
      <c r="CB191" s="31"/>
      <c r="CC191" s="32"/>
      <c r="CD191" s="37"/>
      <c r="CE191" s="30"/>
      <c r="CF191" s="31"/>
      <c r="CG191" s="31"/>
      <c r="CH191" s="31"/>
      <c r="CI191" s="31"/>
      <c r="CJ191" s="31"/>
      <c r="CK191" s="31"/>
      <c r="CL191" s="31"/>
      <c r="CM191" s="32"/>
    </row>
    <row r="192" ht="11.25" customHeight="1">
      <c r="A192" s="48">
        <f>A190+1</f>
        <v>36</v>
      </c>
      <c r="C192" s="16">
        <v>8.08</v>
      </c>
      <c r="D192" s="17"/>
      <c r="E192" s="17"/>
      <c r="F192" s="17"/>
      <c r="G192" s="18"/>
      <c r="H192" s="19"/>
      <c r="I192" s="20">
        <v>0.7291666666666666</v>
      </c>
      <c r="J192" s="17"/>
      <c r="K192" s="17"/>
      <c r="L192" s="18"/>
      <c r="M192" s="19"/>
      <c r="N192" s="21" t="str">
        <f t="array" ref="N192">xlookup(P192,'Team Entry'!$A:$A,'Team Entry'!$B:$B,"")</f>
        <v/>
      </c>
      <c r="O192" s="22"/>
      <c r="P192" s="23" t="str">
        <f t="array" ref="P192">xlookup(A192,matchups!$I:$I,matchups!$B:$B,"")</f>
        <v>Team 2 (Playoff)</v>
      </c>
      <c r="Q192" s="22"/>
      <c r="R192" s="22"/>
      <c r="S192" s="22"/>
      <c r="T192" s="22"/>
      <c r="U192" s="22"/>
      <c r="V192" s="22"/>
      <c r="W192" s="22"/>
      <c r="X192" s="22"/>
      <c r="Y192" s="22"/>
      <c r="Z192" s="22"/>
      <c r="AA192" s="22"/>
      <c r="AB192" s="24" t="str">
        <f t="array" ref="AB192">xlookup(A192,matchups!$I:$I,matchups!$D:$D,"")</f>
        <v/>
      </c>
      <c r="AC192" s="9"/>
      <c r="AD192" s="24" t="str">
        <f t="array" ref="AD192">xlookup(A192,matchups!$I:$I,matchups!$E:$E,"")</f>
        <v/>
      </c>
      <c r="AE192" s="9"/>
      <c r="AF192" s="23" t="str">
        <f t="array" ref="AF192">xlookup(A192,matchups!$I:$I,matchups!$C:$C,"")</f>
        <v/>
      </c>
      <c r="AG192" s="22"/>
      <c r="AH192" s="22"/>
      <c r="AI192" s="22"/>
      <c r="AJ192" s="22"/>
      <c r="AK192" s="22"/>
      <c r="AL192" s="22"/>
      <c r="AM192" s="22"/>
      <c r="AN192" s="22"/>
      <c r="AO192" s="22"/>
      <c r="AP192" s="22"/>
      <c r="AQ192" s="22"/>
      <c r="AR192" s="25" t="str">
        <f t="array" ref="AR192">xlookup(AF192,data!$N$2:$N$17,data!$O$2:$O$17,"")</f>
        <v/>
      </c>
      <c r="AS192" s="26"/>
      <c r="AU192" s="27" t="s">
        <v>11</v>
      </c>
      <c r="AV192" s="17"/>
      <c r="AW192" s="17"/>
      <c r="AX192" s="18"/>
      <c r="AZ192" s="27" t="s">
        <v>51</v>
      </c>
      <c r="BA192" s="17"/>
      <c r="BB192" s="17"/>
      <c r="BC192" s="17"/>
      <c r="BD192" s="17"/>
      <c r="BE192" s="17"/>
      <c r="BF192" s="17"/>
      <c r="BG192" s="17"/>
      <c r="BH192" s="17"/>
      <c r="BI192" s="17"/>
      <c r="BJ192" s="17"/>
      <c r="BK192" s="17"/>
      <c r="BL192" s="17"/>
      <c r="BM192" s="17"/>
      <c r="BN192" s="17"/>
      <c r="BO192" s="17"/>
      <c r="BP192" s="18"/>
      <c r="BS192" s="38" t="s">
        <v>13</v>
      </c>
      <c r="BT192" s="17"/>
      <c r="BU192" s="17"/>
      <c r="BV192" s="17"/>
      <c r="BW192" s="17"/>
      <c r="BX192" s="17"/>
      <c r="BY192" s="17"/>
      <c r="BZ192" s="17"/>
      <c r="CA192" s="17"/>
      <c r="CB192" s="17"/>
      <c r="CC192" s="18"/>
      <c r="CD192" s="37"/>
      <c r="CE192" s="29" t="s">
        <v>14</v>
      </c>
      <c r="CF192" s="17"/>
      <c r="CG192" s="17"/>
      <c r="CH192" s="17"/>
      <c r="CI192" s="17"/>
      <c r="CJ192" s="17"/>
      <c r="CK192" s="17"/>
      <c r="CL192" s="17"/>
      <c r="CM192" s="18"/>
    </row>
    <row r="193" ht="11.25" customHeight="1">
      <c r="C193" s="30"/>
      <c r="D193" s="31"/>
      <c r="E193" s="31"/>
      <c r="F193" s="31"/>
      <c r="G193" s="32"/>
      <c r="H193" s="19"/>
      <c r="I193" s="30"/>
      <c r="J193" s="31"/>
      <c r="K193" s="31"/>
      <c r="L193" s="32"/>
      <c r="M193" s="19"/>
      <c r="N193" s="33"/>
      <c r="O193" s="34"/>
      <c r="P193" s="34"/>
      <c r="Q193" s="34"/>
      <c r="R193" s="34"/>
      <c r="S193" s="34"/>
      <c r="T193" s="34"/>
      <c r="U193" s="34"/>
      <c r="V193" s="34"/>
      <c r="W193" s="34"/>
      <c r="X193" s="34"/>
      <c r="Y193" s="34"/>
      <c r="Z193" s="34"/>
      <c r="AA193" s="34"/>
      <c r="AB193" s="12"/>
      <c r="AC193" s="14"/>
      <c r="AD193" s="12"/>
      <c r="AE193" s="14"/>
      <c r="AF193" s="34"/>
      <c r="AG193" s="34"/>
      <c r="AH193" s="34"/>
      <c r="AI193" s="34"/>
      <c r="AJ193" s="34"/>
      <c r="AK193" s="34"/>
      <c r="AL193" s="34"/>
      <c r="AM193" s="34"/>
      <c r="AN193" s="34"/>
      <c r="AO193" s="34"/>
      <c r="AP193" s="34"/>
      <c r="AQ193" s="34"/>
      <c r="AR193" s="34"/>
      <c r="AS193" s="35"/>
      <c r="AU193" s="30"/>
      <c r="AV193" s="31"/>
      <c r="AW193" s="31"/>
      <c r="AX193" s="32"/>
      <c r="AZ193" s="30"/>
      <c r="BA193" s="31"/>
      <c r="BB193" s="31"/>
      <c r="BC193" s="31"/>
      <c r="BD193" s="31"/>
      <c r="BE193" s="31"/>
      <c r="BF193" s="31"/>
      <c r="BG193" s="31"/>
      <c r="BH193" s="31"/>
      <c r="BI193" s="31"/>
      <c r="BJ193" s="31"/>
      <c r="BK193" s="31"/>
      <c r="BL193" s="31"/>
      <c r="BM193" s="31"/>
      <c r="BN193" s="31"/>
      <c r="BO193" s="31"/>
      <c r="BP193" s="32"/>
      <c r="BS193" s="30"/>
      <c r="BT193" s="31"/>
      <c r="BU193" s="31"/>
      <c r="BV193" s="31"/>
      <c r="BW193" s="31"/>
      <c r="BX193" s="31"/>
      <c r="BY193" s="31"/>
      <c r="BZ193" s="31"/>
      <c r="CA193" s="31"/>
      <c r="CB193" s="31"/>
      <c r="CC193" s="32"/>
      <c r="CD193" s="37"/>
      <c r="CE193" s="30"/>
      <c r="CF193" s="31"/>
      <c r="CG193" s="31"/>
      <c r="CH193" s="31"/>
      <c r="CI193" s="31"/>
      <c r="CJ193" s="31"/>
      <c r="CK193" s="31"/>
      <c r="CL193" s="31"/>
      <c r="CM193" s="32"/>
    </row>
    <row r="194" ht="11.25" customHeight="1">
      <c r="A194" s="48">
        <f>A192+1</f>
        <v>37</v>
      </c>
      <c r="C194" s="16">
        <v>8.08</v>
      </c>
      <c r="D194" s="17"/>
      <c r="E194" s="17"/>
      <c r="F194" s="17"/>
      <c r="G194" s="18"/>
      <c r="H194" s="19"/>
      <c r="I194" s="20">
        <v>0.8541666666666666</v>
      </c>
      <c r="J194" s="17"/>
      <c r="K194" s="17"/>
      <c r="L194" s="18"/>
      <c r="M194" s="19"/>
      <c r="N194" s="21" t="str">
        <f t="array" ref="N194">xlookup(P194,'Team Entry'!$A:$A,'Team Entry'!$B:$B,"")</f>
        <v/>
      </c>
      <c r="O194" s="22"/>
      <c r="P194" s="23" t="str">
        <f t="array" ref="P194">xlookup(A194,matchups!$I:$I,matchups!$B:$B,"")</f>
        <v>Team 3 (Playoff)</v>
      </c>
      <c r="Q194" s="22"/>
      <c r="R194" s="22"/>
      <c r="S194" s="22"/>
      <c r="T194" s="22"/>
      <c r="U194" s="22"/>
      <c r="V194" s="22"/>
      <c r="W194" s="22"/>
      <c r="X194" s="22"/>
      <c r="Y194" s="22"/>
      <c r="Z194" s="22"/>
      <c r="AA194" s="22"/>
      <c r="AB194" s="24" t="str">
        <f t="array" ref="AB194">xlookup(A194,matchups!$I:$I,matchups!$D:$D,"")</f>
        <v/>
      </c>
      <c r="AC194" s="9"/>
      <c r="AD194" s="24" t="str">
        <f t="array" ref="AD194">xlookup(A194,matchups!$I:$I,matchups!$E:$E,"")</f>
        <v/>
      </c>
      <c r="AE194" s="9"/>
      <c r="AF194" s="23" t="str">
        <f t="array" ref="AF194">xlookup(A194,matchups!$I:$I,matchups!$C:$C,"")</f>
        <v/>
      </c>
      <c r="AG194" s="22"/>
      <c r="AH194" s="22"/>
      <c r="AI194" s="22"/>
      <c r="AJ194" s="22"/>
      <c r="AK194" s="22"/>
      <c r="AL194" s="22"/>
      <c r="AM194" s="22"/>
      <c r="AN194" s="22"/>
      <c r="AO194" s="22"/>
      <c r="AP194" s="22"/>
      <c r="AQ194" s="22"/>
      <c r="AR194" s="25" t="str">
        <f t="array" ref="AR194">xlookup(AF194,data!$N$2:$N$17,data!$O$2:$O$17,"")</f>
        <v/>
      </c>
      <c r="AS194" s="26"/>
      <c r="AU194" s="27" t="s">
        <v>11</v>
      </c>
      <c r="AV194" s="17"/>
      <c r="AW194" s="17"/>
      <c r="AX194" s="18"/>
      <c r="AZ194" s="27" t="s">
        <v>52</v>
      </c>
      <c r="BA194" s="17"/>
      <c r="BB194" s="17"/>
      <c r="BC194" s="17"/>
      <c r="BD194" s="17"/>
      <c r="BE194" s="17"/>
      <c r="BF194" s="17"/>
      <c r="BG194" s="17"/>
      <c r="BH194" s="17"/>
      <c r="BI194" s="17"/>
      <c r="BJ194" s="17"/>
      <c r="BK194" s="17"/>
      <c r="BL194" s="17"/>
      <c r="BM194" s="17"/>
      <c r="BN194" s="17"/>
      <c r="BO194" s="17"/>
      <c r="BP194" s="18"/>
      <c r="BS194" s="38" t="s">
        <v>13</v>
      </c>
      <c r="BT194" s="17"/>
      <c r="BU194" s="17"/>
      <c r="BV194" s="17"/>
      <c r="BW194" s="17"/>
      <c r="BX194" s="17"/>
      <c r="BY194" s="17"/>
      <c r="BZ194" s="17"/>
      <c r="CA194" s="17"/>
      <c r="CB194" s="17"/>
      <c r="CC194" s="18"/>
      <c r="CD194" s="37"/>
      <c r="CE194" s="29" t="s">
        <v>14</v>
      </c>
      <c r="CF194" s="17"/>
      <c r="CG194" s="17"/>
      <c r="CH194" s="17"/>
      <c r="CI194" s="17"/>
      <c r="CJ194" s="17"/>
      <c r="CK194" s="17"/>
      <c r="CL194" s="17"/>
      <c r="CM194" s="18"/>
    </row>
    <row r="195" ht="11.25" customHeight="1">
      <c r="C195" s="30"/>
      <c r="D195" s="31"/>
      <c r="E195" s="31"/>
      <c r="F195" s="31"/>
      <c r="G195" s="32"/>
      <c r="H195" s="19"/>
      <c r="I195" s="30"/>
      <c r="J195" s="31"/>
      <c r="K195" s="31"/>
      <c r="L195" s="32"/>
      <c r="M195" s="19"/>
      <c r="N195" s="33"/>
      <c r="O195" s="34"/>
      <c r="P195" s="34"/>
      <c r="Q195" s="34"/>
      <c r="R195" s="34"/>
      <c r="S195" s="34"/>
      <c r="T195" s="34"/>
      <c r="U195" s="34"/>
      <c r="V195" s="34"/>
      <c r="W195" s="34"/>
      <c r="X195" s="34"/>
      <c r="Y195" s="34"/>
      <c r="Z195" s="34"/>
      <c r="AA195" s="34"/>
      <c r="AB195" s="12"/>
      <c r="AC195" s="14"/>
      <c r="AD195" s="12"/>
      <c r="AE195" s="14"/>
      <c r="AF195" s="34"/>
      <c r="AG195" s="34"/>
      <c r="AH195" s="34"/>
      <c r="AI195" s="34"/>
      <c r="AJ195" s="34"/>
      <c r="AK195" s="34"/>
      <c r="AL195" s="34"/>
      <c r="AM195" s="34"/>
      <c r="AN195" s="34"/>
      <c r="AO195" s="34"/>
      <c r="AP195" s="34"/>
      <c r="AQ195" s="34"/>
      <c r="AR195" s="34"/>
      <c r="AS195" s="35"/>
      <c r="AU195" s="30"/>
      <c r="AV195" s="31"/>
      <c r="AW195" s="31"/>
      <c r="AX195" s="32"/>
      <c r="AZ195" s="30"/>
      <c r="BA195" s="31"/>
      <c r="BB195" s="31"/>
      <c r="BC195" s="31"/>
      <c r="BD195" s="31"/>
      <c r="BE195" s="31"/>
      <c r="BF195" s="31"/>
      <c r="BG195" s="31"/>
      <c r="BH195" s="31"/>
      <c r="BI195" s="31"/>
      <c r="BJ195" s="31"/>
      <c r="BK195" s="31"/>
      <c r="BL195" s="31"/>
      <c r="BM195" s="31"/>
      <c r="BN195" s="31"/>
      <c r="BO195" s="31"/>
      <c r="BP195" s="32"/>
      <c r="BS195" s="30"/>
      <c r="BT195" s="31"/>
      <c r="BU195" s="31"/>
      <c r="BV195" s="31"/>
      <c r="BW195" s="31"/>
      <c r="BX195" s="31"/>
      <c r="BY195" s="31"/>
      <c r="BZ195" s="31"/>
      <c r="CA195" s="31"/>
      <c r="CB195" s="31"/>
      <c r="CC195" s="32"/>
      <c r="CD195" s="37"/>
      <c r="CE195" s="30"/>
      <c r="CF195" s="31"/>
      <c r="CG195" s="31"/>
      <c r="CH195" s="31"/>
      <c r="CI195" s="31"/>
      <c r="CJ195" s="31"/>
      <c r="CK195" s="31"/>
      <c r="CL195" s="31"/>
      <c r="CM195" s="32"/>
    </row>
    <row r="196" ht="11.25" customHeight="1">
      <c r="C196" s="6"/>
      <c r="D196" s="6"/>
      <c r="E196" s="6"/>
      <c r="F196" s="6"/>
      <c r="G196" s="6"/>
      <c r="H196" s="6"/>
      <c r="I196" s="53"/>
      <c r="J196" s="53"/>
      <c r="K196" s="53"/>
      <c r="L196" s="53"/>
      <c r="M196" s="6"/>
      <c r="BS196" s="37"/>
      <c r="BT196" s="37"/>
      <c r="BU196" s="37"/>
      <c r="BV196" s="37"/>
      <c r="BW196" s="37"/>
      <c r="BX196" s="37"/>
      <c r="BY196" s="37"/>
      <c r="BZ196" s="37"/>
      <c r="CA196" s="37"/>
      <c r="CB196" s="37"/>
      <c r="CC196" s="37"/>
    </row>
    <row r="197" ht="11.25" customHeight="1">
      <c r="C197" s="6"/>
      <c r="D197" s="6"/>
      <c r="E197" s="6"/>
      <c r="F197" s="6"/>
      <c r="G197" s="6"/>
      <c r="H197" s="6"/>
      <c r="I197" s="53"/>
      <c r="J197" s="53"/>
      <c r="K197" s="53"/>
      <c r="L197" s="53"/>
      <c r="M197" s="6"/>
      <c r="BS197" s="37"/>
      <c r="BT197" s="37"/>
      <c r="BU197" s="37"/>
      <c r="BV197" s="37"/>
      <c r="BW197" s="37"/>
      <c r="BX197" s="37"/>
      <c r="BY197" s="37"/>
      <c r="BZ197" s="37"/>
      <c r="CA197" s="37"/>
      <c r="CB197" s="37"/>
      <c r="CC197" s="37"/>
    </row>
    <row r="198" ht="11.25" customHeight="1">
      <c r="A198" s="47">
        <v>38.0</v>
      </c>
      <c r="C198" s="16">
        <v>9.08</v>
      </c>
      <c r="D198" s="17"/>
      <c r="E198" s="17"/>
      <c r="F198" s="17"/>
      <c r="G198" s="18"/>
      <c r="H198" s="19"/>
      <c r="I198" s="20">
        <v>0.6041666666666666</v>
      </c>
      <c r="J198" s="17"/>
      <c r="K198" s="17"/>
      <c r="L198" s="18"/>
      <c r="M198" s="19"/>
      <c r="N198" s="21" t="str">
        <f t="array" ref="N198">xlookup(P198,'Team Entry'!$A:$A,'Team Entry'!$B:$B,"")</f>
        <v/>
      </c>
      <c r="O198" s="22"/>
      <c r="P198" s="23" t="str">
        <f t="array" ref="P198">xlookup(A198,matchups!$I:$I,matchups!$B:$B,"")</f>
        <v/>
      </c>
      <c r="Q198" s="22"/>
      <c r="R198" s="22"/>
      <c r="S198" s="22"/>
      <c r="T198" s="22"/>
      <c r="U198" s="22"/>
      <c r="V198" s="22"/>
      <c r="W198" s="22"/>
      <c r="X198" s="22"/>
      <c r="Y198" s="22"/>
      <c r="Z198" s="22"/>
      <c r="AA198" s="22"/>
      <c r="AB198" s="24" t="str">
        <f t="array" ref="AB198">xlookup(A198,matchups!$I:$I,matchups!$D:$D,"")</f>
        <v/>
      </c>
      <c r="AC198" s="9"/>
      <c r="AD198" s="24" t="str">
        <f t="array" ref="AD198">xlookup(A198,matchups!$I:$I,matchups!$E:$E,"")</f>
        <v/>
      </c>
      <c r="AE198" s="9"/>
      <c r="AF198" s="41" t="str">
        <f t="array" ref="AF198">xlookup(A198,matchups!$I:$I,matchups!$C:$C,"")</f>
        <v/>
      </c>
      <c r="AR198" s="25" t="str">
        <f t="array" ref="AR198">xlookup(AF198,'Team Entry'!$A:$A,'Team Entry'!$B:$B,"")</f>
        <v/>
      </c>
      <c r="AS198" s="26"/>
      <c r="AU198" s="27" t="s">
        <v>11</v>
      </c>
      <c r="AV198" s="17"/>
      <c r="AW198" s="17"/>
      <c r="AX198" s="18"/>
      <c r="AZ198" s="27" t="s">
        <v>53</v>
      </c>
      <c r="BA198" s="17"/>
      <c r="BB198" s="17"/>
      <c r="BC198" s="17"/>
      <c r="BD198" s="17"/>
      <c r="BE198" s="17"/>
      <c r="BF198" s="17"/>
      <c r="BG198" s="17"/>
      <c r="BH198" s="17"/>
      <c r="BI198" s="17"/>
      <c r="BJ198" s="17"/>
      <c r="BK198" s="17"/>
      <c r="BL198" s="17"/>
      <c r="BM198" s="17"/>
      <c r="BN198" s="17"/>
      <c r="BO198" s="17"/>
      <c r="BP198" s="18"/>
      <c r="BS198" s="38" t="s">
        <v>13</v>
      </c>
      <c r="BT198" s="17"/>
      <c r="BU198" s="17"/>
      <c r="BV198" s="17"/>
      <c r="BW198" s="17"/>
      <c r="BX198" s="17"/>
      <c r="BY198" s="17"/>
      <c r="BZ198" s="17"/>
      <c r="CA198" s="17"/>
      <c r="CB198" s="17"/>
      <c r="CC198" s="18"/>
      <c r="CD198" s="37"/>
      <c r="CE198" s="29" t="s">
        <v>14</v>
      </c>
      <c r="CF198" s="17"/>
      <c r="CG198" s="17"/>
      <c r="CH198" s="17"/>
      <c r="CI198" s="17"/>
      <c r="CJ198" s="17"/>
      <c r="CK198" s="17"/>
      <c r="CL198" s="17"/>
      <c r="CM198" s="18"/>
    </row>
    <row r="199" ht="11.25" customHeight="1">
      <c r="C199" s="30"/>
      <c r="D199" s="31"/>
      <c r="E199" s="31"/>
      <c r="F199" s="31"/>
      <c r="G199" s="32"/>
      <c r="H199" s="19"/>
      <c r="I199" s="30"/>
      <c r="J199" s="31"/>
      <c r="K199" s="31"/>
      <c r="L199" s="32"/>
      <c r="M199" s="19"/>
      <c r="N199" s="33"/>
      <c r="O199" s="34"/>
      <c r="P199" s="34"/>
      <c r="Q199" s="34"/>
      <c r="R199" s="34"/>
      <c r="S199" s="34"/>
      <c r="T199" s="34"/>
      <c r="U199" s="34"/>
      <c r="V199" s="34"/>
      <c r="W199" s="34"/>
      <c r="X199" s="34"/>
      <c r="Y199" s="34"/>
      <c r="Z199" s="34"/>
      <c r="AA199" s="34"/>
      <c r="AB199" s="12"/>
      <c r="AC199" s="14"/>
      <c r="AD199" s="12"/>
      <c r="AE199" s="14"/>
      <c r="AF199" s="34"/>
      <c r="AG199" s="34"/>
      <c r="AH199" s="34"/>
      <c r="AI199" s="34"/>
      <c r="AJ199" s="34"/>
      <c r="AK199" s="34"/>
      <c r="AL199" s="34"/>
      <c r="AM199" s="34"/>
      <c r="AN199" s="34"/>
      <c r="AO199" s="34"/>
      <c r="AP199" s="34"/>
      <c r="AQ199" s="34"/>
      <c r="AR199" s="34"/>
      <c r="AS199" s="35"/>
      <c r="AU199" s="30"/>
      <c r="AV199" s="31"/>
      <c r="AW199" s="31"/>
      <c r="AX199" s="32"/>
      <c r="AZ199" s="30"/>
      <c r="BA199" s="31"/>
      <c r="BB199" s="31"/>
      <c r="BC199" s="31"/>
      <c r="BD199" s="31"/>
      <c r="BE199" s="31"/>
      <c r="BF199" s="31"/>
      <c r="BG199" s="31"/>
      <c r="BH199" s="31"/>
      <c r="BI199" s="31"/>
      <c r="BJ199" s="31"/>
      <c r="BK199" s="31"/>
      <c r="BL199" s="31"/>
      <c r="BM199" s="31"/>
      <c r="BN199" s="31"/>
      <c r="BO199" s="31"/>
      <c r="BP199" s="32"/>
      <c r="BS199" s="30"/>
      <c r="BT199" s="31"/>
      <c r="BU199" s="31"/>
      <c r="BV199" s="31"/>
      <c r="BW199" s="31"/>
      <c r="BX199" s="31"/>
      <c r="BY199" s="31"/>
      <c r="BZ199" s="31"/>
      <c r="CA199" s="31"/>
      <c r="CB199" s="31"/>
      <c r="CC199" s="32"/>
      <c r="CD199" s="37"/>
      <c r="CE199" s="30"/>
      <c r="CF199" s="31"/>
      <c r="CG199" s="31"/>
      <c r="CH199" s="31"/>
      <c r="CI199" s="31"/>
      <c r="CJ199" s="31"/>
      <c r="CK199" s="31"/>
      <c r="CL199" s="31"/>
      <c r="CM199" s="32"/>
    </row>
    <row r="200" ht="11.25" customHeight="1">
      <c r="A200" s="48">
        <f>A198+1</f>
        <v>39</v>
      </c>
      <c r="C200" s="16">
        <v>9.08</v>
      </c>
      <c r="D200" s="17"/>
      <c r="E200" s="17"/>
      <c r="F200" s="17"/>
      <c r="G200" s="18"/>
      <c r="H200" s="19"/>
      <c r="I200" s="20">
        <v>0.7291666666666666</v>
      </c>
      <c r="J200" s="17"/>
      <c r="K200" s="17"/>
      <c r="L200" s="18"/>
      <c r="M200" s="19"/>
      <c r="N200" s="21" t="str">
        <f t="array" ref="N200">xlookup(P200,'Team Entry'!$A:$A,'Team Entry'!$B:$B,"")</f>
        <v/>
      </c>
      <c r="O200" s="22"/>
      <c r="P200" s="23" t="str">
        <f t="array" ref="P200">xlookup(A200,matchups!$I:$I,matchups!$B:$B,"")</f>
        <v/>
      </c>
      <c r="Q200" s="22"/>
      <c r="R200" s="22"/>
      <c r="S200" s="22"/>
      <c r="T200" s="22"/>
      <c r="U200" s="22"/>
      <c r="V200" s="22"/>
      <c r="W200" s="22"/>
      <c r="X200" s="22"/>
      <c r="Y200" s="22"/>
      <c r="Z200" s="22"/>
      <c r="AA200" s="22"/>
      <c r="AB200" s="24" t="str">
        <f t="array" ref="AB200">xlookup(A200,matchups!$I:$I,matchups!$D:$D,"")</f>
        <v/>
      </c>
      <c r="AC200" s="9"/>
      <c r="AD200" s="24" t="str">
        <f t="array" ref="AD200">xlookup(A200,matchups!$I:$I,matchups!$E:$E,"")</f>
        <v/>
      </c>
      <c r="AE200" s="9"/>
      <c r="AF200" s="23" t="str">
        <f t="array" ref="AF200">xlookup(A200,matchups!$I:$I,matchups!$C:$C,"")</f>
        <v/>
      </c>
      <c r="AG200" s="22"/>
      <c r="AH200" s="22"/>
      <c r="AI200" s="22"/>
      <c r="AJ200" s="22"/>
      <c r="AK200" s="22"/>
      <c r="AL200" s="22"/>
      <c r="AM200" s="22"/>
      <c r="AN200" s="22"/>
      <c r="AO200" s="22"/>
      <c r="AP200" s="22"/>
      <c r="AQ200" s="22"/>
      <c r="AR200" s="25" t="str">
        <f t="array" ref="AR200">xlookup(AF200,'Team Entry'!$A:$A,'Team Entry'!$B:$B,"")</f>
        <v/>
      </c>
      <c r="AS200" s="26"/>
      <c r="AU200" s="27" t="s">
        <v>11</v>
      </c>
      <c r="AV200" s="17"/>
      <c r="AW200" s="17"/>
      <c r="AX200" s="18"/>
      <c r="AZ200" s="27" t="s">
        <v>54</v>
      </c>
      <c r="BA200" s="17"/>
      <c r="BB200" s="17"/>
      <c r="BC200" s="17"/>
      <c r="BD200" s="17"/>
      <c r="BE200" s="17"/>
      <c r="BF200" s="17"/>
      <c r="BG200" s="17"/>
      <c r="BH200" s="17"/>
      <c r="BI200" s="17"/>
      <c r="BJ200" s="17"/>
      <c r="BK200" s="17"/>
      <c r="BL200" s="17"/>
      <c r="BM200" s="17"/>
      <c r="BN200" s="17"/>
      <c r="BO200" s="17"/>
      <c r="BP200" s="18"/>
      <c r="BS200" s="38" t="s">
        <v>13</v>
      </c>
      <c r="BT200" s="17"/>
      <c r="BU200" s="17"/>
      <c r="BV200" s="17"/>
      <c r="BW200" s="17"/>
      <c r="BX200" s="17"/>
      <c r="BY200" s="17"/>
      <c r="BZ200" s="17"/>
      <c r="CA200" s="17"/>
      <c r="CB200" s="17"/>
      <c r="CC200" s="18"/>
      <c r="CD200" s="37"/>
      <c r="CE200" s="29" t="s">
        <v>14</v>
      </c>
      <c r="CF200" s="17"/>
      <c r="CG200" s="17"/>
      <c r="CH200" s="17"/>
      <c r="CI200" s="17"/>
      <c r="CJ200" s="17"/>
      <c r="CK200" s="17"/>
      <c r="CL200" s="17"/>
      <c r="CM200" s="18"/>
    </row>
    <row r="201" ht="11.25" customHeight="1">
      <c r="C201" s="30"/>
      <c r="D201" s="31"/>
      <c r="E201" s="31"/>
      <c r="F201" s="31"/>
      <c r="G201" s="32"/>
      <c r="H201" s="19"/>
      <c r="I201" s="30"/>
      <c r="J201" s="31"/>
      <c r="K201" s="31"/>
      <c r="L201" s="32"/>
      <c r="M201" s="19"/>
      <c r="N201" s="33"/>
      <c r="O201" s="34"/>
      <c r="P201" s="34"/>
      <c r="Q201" s="34"/>
      <c r="R201" s="34"/>
      <c r="S201" s="34"/>
      <c r="T201" s="34"/>
      <c r="U201" s="34"/>
      <c r="V201" s="34"/>
      <c r="W201" s="34"/>
      <c r="X201" s="34"/>
      <c r="Y201" s="34"/>
      <c r="Z201" s="34"/>
      <c r="AA201" s="34"/>
      <c r="AB201" s="12"/>
      <c r="AC201" s="14"/>
      <c r="AD201" s="12"/>
      <c r="AE201" s="14"/>
      <c r="AF201" s="34"/>
      <c r="AG201" s="34"/>
      <c r="AH201" s="34"/>
      <c r="AI201" s="34"/>
      <c r="AJ201" s="34"/>
      <c r="AK201" s="34"/>
      <c r="AL201" s="34"/>
      <c r="AM201" s="34"/>
      <c r="AN201" s="34"/>
      <c r="AO201" s="34"/>
      <c r="AP201" s="34"/>
      <c r="AQ201" s="34"/>
      <c r="AR201" s="34"/>
      <c r="AS201" s="35"/>
      <c r="AU201" s="30"/>
      <c r="AV201" s="31"/>
      <c r="AW201" s="31"/>
      <c r="AX201" s="32"/>
      <c r="AZ201" s="30"/>
      <c r="BA201" s="31"/>
      <c r="BB201" s="31"/>
      <c r="BC201" s="31"/>
      <c r="BD201" s="31"/>
      <c r="BE201" s="31"/>
      <c r="BF201" s="31"/>
      <c r="BG201" s="31"/>
      <c r="BH201" s="31"/>
      <c r="BI201" s="31"/>
      <c r="BJ201" s="31"/>
      <c r="BK201" s="31"/>
      <c r="BL201" s="31"/>
      <c r="BM201" s="31"/>
      <c r="BN201" s="31"/>
      <c r="BO201" s="31"/>
      <c r="BP201" s="32"/>
      <c r="BS201" s="30"/>
      <c r="BT201" s="31"/>
      <c r="BU201" s="31"/>
      <c r="BV201" s="31"/>
      <c r="BW201" s="31"/>
      <c r="BX201" s="31"/>
      <c r="BY201" s="31"/>
      <c r="BZ201" s="31"/>
      <c r="CA201" s="31"/>
      <c r="CB201" s="31"/>
      <c r="CC201" s="32"/>
      <c r="CD201" s="37"/>
      <c r="CE201" s="30"/>
      <c r="CF201" s="31"/>
      <c r="CG201" s="31"/>
      <c r="CH201" s="31"/>
      <c r="CI201" s="31"/>
      <c r="CJ201" s="31"/>
      <c r="CK201" s="31"/>
      <c r="CL201" s="31"/>
      <c r="CM201" s="32"/>
    </row>
    <row r="202" ht="11.25" customHeight="1">
      <c r="C202" s="6"/>
      <c r="D202" s="6"/>
      <c r="E202" s="6"/>
      <c r="F202" s="6"/>
      <c r="G202" s="6"/>
      <c r="H202" s="6"/>
      <c r="I202" s="53"/>
      <c r="J202" s="53"/>
      <c r="K202" s="53"/>
      <c r="L202" s="53"/>
      <c r="M202" s="6"/>
      <c r="BS202" s="37"/>
      <c r="BT202" s="37"/>
      <c r="BU202" s="37"/>
      <c r="BV202" s="37"/>
      <c r="BW202" s="37"/>
      <c r="BX202" s="37"/>
      <c r="BY202" s="37"/>
      <c r="BZ202" s="37"/>
      <c r="CA202" s="37"/>
      <c r="CB202" s="37"/>
      <c r="CC202" s="37"/>
    </row>
    <row r="203" ht="11.25" customHeight="1">
      <c r="C203" s="6"/>
      <c r="D203" s="6"/>
      <c r="E203" s="6"/>
      <c r="F203" s="6"/>
      <c r="G203" s="6"/>
      <c r="H203" s="6"/>
      <c r="I203" s="53"/>
      <c r="J203" s="53"/>
      <c r="K203" s="53"/>
      <c r="L203" s="53"/>
      <c r="M203" s="6"/>
      <c r="BS203" s="37"/>
      <c r="BT203" s="37"/>
      <c r="BU203" s="37"/>
      <c r="BV203" s="37"/>
      <c r="BW203" s="37"/>
      <c r="BX203" s="37"/>
      <c r="BY203" s="37"/>
      <c r="BZ203" s="37"/>
      <c r="CA203" s="37"/>
      <c r="CB203" s="37"/>
      <c r="CC203" s="37"/>
    </row>
    <row r="204" ht="11.25" customHeight="1">
      <c r="A204" s="47">
        <v>40.0</v>
      </c>
      <c r="C204" s="16">
        <v>9.08</v>
      </c>
      <c r="D204" s="17"/>
      <c r="E204" s="17"/>
      <c r="F204" s="17"/>
      <c r="G204" s="18"/>
      <c r="H204" s="19"/>
      <c r="I204" s="20">
        <v>0.8958333333333334</v>
      </c>
      <c r="J204" s="17"/>
      <c r="K204" s="17"/>
      <c r="L204" s="18"/>
      <c r="M204" s="19"/>
      <c r="N204" s="21" t="str">
        <f t="array" ref="N204">xlookup(P204,'Team Entry'!$A:$A,'Team Entry'!$B:$B,"")</f>
        <v/>
      </c>
      <c r="O204" s="22"/>
      <c r="P204" s="23" t="str">
        <f t="array" ref="P204">xlookup(A204,matchups!$I:$I,matchups!$B:$B,"")</f>
        <v/>
      </c>
      <c r="Q204" s="22"/>
      <c r="R204" s="22"/>
      <c r="S204" s="22"/>
      <c r="T204" s="22"/>
      <c r="U204" s="22"/>
      <c r="V204" s="22"/>
      <c r="W204" s="22"/>
      <c r="X204" s="22"/>
      <c r="Y204" s="22"/>
      <c r="Z204" s="22"/>
      <c r="AA204" s="22"/>
      <c r="AB204" s="24" t="str">
        <f t="array" ref="AB204">xlookup(A204,matchups!$I:$I,matchups!$D:$D,"")</f>
        <v/>
      </c>
      <c r="AC204" s="9"/>
      <c r="AD204" s="24" t="str">
        <f t="array" ref="AD204">xlookup(A204,matchups!$I:$I,matchups!$E:$E,"")</f>
        <v/>
      </c>
      <c r="AE204" s="9"/>
      <c r="AF204" s="41" t="str">
        <f t="array" ref="AF204">xlookup(A204,matchups!$I:$I,matchups!$C:$C,"")</f>
        <v/>
      </c>
      <c r="AR204" s="25" t="str">
        <f t="array" ref="AR204">xlookup(AF204,'Team Entry'!$A:$A,'Team Entry'!$B:$B,"")</f>
        <v/>
      </c>
      <c r="AS204" s="26"/>
      <c r="AU204" s="27" t="s">
        <v>11</v>
      </c>
      <c r="AV204" s="17"/>
      <c r="AW204" s="17"/>
      <c r="AX204" s="18"/>
      <c r="AZ204" s="27" t="s">
        <v>55</v>
      </c>
      <c r="BA204" s="17"/>
      <c r="BB204" s="17"/>
      <c r="BC204" s="17"/>
      <c r="BD204" s="17"/>
      <c r="BE204" s="17"/>
      <c r="BF204" s="17"/>
      <c r="BG204" s="17"/>
      <c r="BH204" s="17"/>
      <c r="BI204" s="17"/>
      <c r="BJ204" s="17"/>
      <c r="BK204" s="17"/>
      <c r="BL204" s="17"/>
      <c r="BM204" s="17"/>
      <c r="BN204" s="17"/>
      <c r="BO204" s="17"/>
      <c r="BP204" s="18"/>
      <c r="BS204" s="38" t="s">
        <v>13</v>
      </c>
      <c r="BT204" s="17"/>
      <c r="BU204" s="17"/>
      <c r="BV204" s="17"/>
      <c r="BW204" s="17"/>
      <c r="BX204" s="17"/>
      <c r="BY204" s="17"/>
      <c r="BZ204" s="17"/>
      <c r="CA204" s="17"/>
      <c r="CB204" s="17"/>
      <c r="CC204" s="18"/>
      <c r="CD204" s="37"/>
      <c r="CE204" s="29" t="s">
        <v>14</v>
      </c>
      <c r="CF204" s="17"/>
      <c r="CG204" s="17"/>
      <c r="CH204" s="17"/>
      <c r="CI204" s="17"/>
      <c r="CJ204" s="17"/>
      <c r="CK204" s="17"/>
      <c r="CL204" s="17"/>
      <c r="CM204" s="18"/>
    </row>
    <row r="205" ht="11.25" customHeight="1">
      <c r="C205" s="30"/>
      <c r="D205" s="31"/>
      <c r="E205" s="31"/>
      <c r="F205" s="31"/>
      <c r="G205" s="32"/>
      <c r="H205" s="19"/>
      <c r="I205" s="30"/>
      <c r="J205" s="31"/>
      <c r="K205" s="31"/>
      <c r="L205" s="32"/>
      <c r="M205" s="19"/>
      <c r="N205" s="33"/>
      <c r="O205" s="34"/>
      <c r="P205" s="34"/>
      <c r="Q205" s="34"/>
      <c r="R205" s="34"/>
      <c r="S205" s="34"/>
      <c r="T205" s="34"/>
      <c r="U205" s="34"/>
      <c r="V205" s="34"/>
      <c r="W205" s="34"/>
      <c r="X205" s="34"/>
      <c r="Y205" s="34"/>
      <c r="Z205" s="34"/>
      <c r="AA205" s="34"/>
      <c r="AB205" s="12"/>
      <c r="AC205" s="14"/>
      <c r="AD205" s="12"/>
      <c r="AE205" s="14"/>
      <c r="AF205" s="34"/>
      <c r="AG205" s="34"/>
      <c r="AH205" s="34"/>
      <c r="AI205" s="34"/>
      <c r="AJ205" s="34"/>
      <c r="AK205" s="34"/>
      <c r="AL205" s="34"/>
      <c r="AM205" s="34"/>
      <c r="AN205" s="34"/>
      <c r="AO205" s="34"/>
      <c r="AP205" s="34"/>
      <c r="AQ205" s="34"/>
      <c r="AR205" s="34"/>
      <c r="AS205" s="35"/>
      <c r="AU205" s="30"/>
      <c r="AV205" s="31"/>
      <c r="AW205" s="31"/>
      <c r="AX205" s="32"/>
      <c r="AZ205" s="30"/>
      <c r="BA205" s="31"/>
      <c r="BB205" s="31"/>
      <c r="BC205" s="31"/>
      <c r="BD205" s="31"/>
      <c r="BE205" s="31"/>
      <c r="BF205" s="31"/>
      <c r="BG205" s="31"/>
      <c r="BH205" s="31"/>
      <c r="BI205" s="31"/>
      <c r="BJ205" s="31"/>
      <c r="BK205" s="31"/>
      <c r="BL205" s="31"/>
      <c r="BM205" s="31"/>
      <c r="BN205" s="31"/>
      <c r="BO205" s="31"/>
      <c r="BP205" s="32"/>
      <c r="BS205" s="30"/>
      <c r="BT205" s="31"/>
      <c r="BU205" s="31"/>
      <c r="BV205" s="31"/>
      <c r="BW205" s="31"/>
      <c r="BX205" s="31"/>
      <c r="BY205" s="31"/>
      <c r="BZ205" s="31"/>
      <c r="CA205" s="31"/>
      <c r="CB205" s="31"/>
      <c r="CC205" s="32"/>
      <c r="CD205" s="37"/>
      <c r="CE205" s="30"/>
      <c r="CF205" s="31"/>
      <c r="CG205" s="31"/>
      <c r="CH205" s="31"/>
      <c r="CI205" s="31"/>
      <c r="CJ205" s="31"/>
      <c r="CK205" s="31"/>
      <c r="CL205" s="31"/>
      <c r="CM205" s="32"/>
    </row>
    <row r="206" ht="11.25" customHeight="1"/>
  </sheetData>
  <mergeCells count="937">
    <mergeCell ref="BS1:CC3"/>
    <mergeCell ref="CE1:CM3"/>
    <mergeCell ref="C1:G3"/>
    <mergeCell ref="I1:L3"/>
    <mergeCell ref="N1:AA3"/>
    <mergeCell ref="AB1:AE3"/>
    <mergeCell ref="AF1:AS3"/>
    <mergeCell ref="AU1:AX3"/>
    <mergeCell ref="AZ1:BP3"/>
    <mergeCell ref="AR12:AS13"/>
    <mergeCell ref="AU12:AX13"/>
    <mergeCell ref="AR16:AS17"/>
    <mergeCell ref="AU16:AX17"/>
    <mergeCell ref="AZ16:BP17"/>
    <mergeCell ref="BS16:CC17"/>
    <mergeCell ref="CE16:CM17"/>
    <mergeCell ref="AZ12:BP13"/>
    <mergeCell ref="BS12:CC13"/>
    <mergeCell ref="C5:CM7"/>
    <mergeCell ref="C9:CM10"/>
    <mergeCell ref="C12:G13"/>
    <mergeCell ref="I12:L13"/>
    <mergeCell ref="N12:O13"/>
    <mergeCell ref="P12:AA13"/>
    <mergeCell ref="AB12:AC13"/>
    <mergeCell ref="CE12:CM13"/>
    <mergeCell ref="AD14:AE15"/>
    <mergeCell ref="AF14:AQ15"/>
    <mergeCell ref="AR14:AS15"/>
    <mergeCell ref="AU14:AX15"/>
    <mergeCell ref="AZ14:BP15"/>
    <mergeCell ref="BS14:CC15"/>
    <mergeCell ref="CE14:CM15"/>
    <mergeCell ref="I14:L15"/>
    <mergeCell ref="I16:L17"/>
    <mergeCell ref="AD12:AE13"/>
    <mergeCell ref="AF12:AQ13"/>
    <mergeCell ref="C14:G15"/>
    <mergeCell ref="N14:O15"/>
    <mergeCell ref="P14:AA15"/>
    <mergeCell ref="AB14:AC15"/>
    <mergeCell ref="C16:G17"/>
    <mergeCell ref="AF16:AQ17"/>
    <mergeCell ref="AZ18:BP19"/>
    <mergeCell ref="BS18:CC19"/>
    <mergeCell ref="CE18:CM19"/>
    <mergeCell ref="AB16:AC17"/>
    <mergeCell ref="AD16:AE17"/>
    <mergeCell ref="AB18:AC19"/>
    <mergeCell ref="AD18:AE19"/>
    <mergeCell ref="AF18:AQ19"/>
    <mergeCell ref="AR18:AS19"/>
    <mergeCell ref="AU18:AX19"/>
    <mergeCell ref="N18:O19"/>
    <mergeCell ref="N20:O21"/>
    <mergeCell ref="BS20:CC21"/>
    <mergeCell ref="CE20:CM21"/>
    <mergeCell ref="BS22:CC23"/>
    <mergeCell ref="CE22:CM23"/>
    <mergeCell ref="BS24:CC25"/>
    <mergeCell ref="CE24:CM25"/>
    <mergeCell ref="BS26:CC27"/>
    <mergeCell ref="CE26:CM27"/>
    <mergeCell ref="P20:AA21"/>
    <mergeCell ref="AB20:AC21"/>
    <mergeCell ref="AD20:AE21"/>
    <mergeCell ref="AF20:AQ21"/>
    <mergeCell ref="AR20:AS21"/>
    <mergeCell ref="AU20:AX21"/>
    <mergeCell ref="AZ20:BP21"/>
    <mergeCell ref="AZ22:BP23"/>
    <mergeCell ref="AZ24:BP25"/>
    <mergeCell ref="AZ26:BP27"/>
    <mergeCell ref="I20:L21"/>
    <mergeCell ref="I22:L23"/>
    <mergeCell ref="AB22:AC23"/>
    <mergeCell ref="AD22:AE23"/>
    <mergeCell ref="AF22:AQ23"/>
    <mergeCell ref="AR22:AS23"/>
    <mergeCell ref="AU22:AX23"/>
    <mergeCell ref="BS32:CC33"/>
    <mergeCell ref="BS34:CC35"/>
    <mergeCell ref="BS36:CC37"/>
    <mergeCell ref="CE36:CM37"/>
    <mergeCell ref="AU30:AX31"/>
    <mergeCell ref="AZ30:BP31"/>
    <mergeCell ref="BS30:CC31"/>
    <mergeCell ref="CE30:CM31"/>
    <mergeCell ref="AZ32:BP33"/>
    <mergeCell ref="CE32:CM33"/>
    <mergeCell ref="CE34:CM35"/>
    <mergeCell ref="AF34:AQ35"/>
    <mergeCell ref="AR34:AS35"/>
    <mergeCell ref="AU34:AX35"/>
    <mergeCell ref="AF36:AQ37"/>
    <mergeCell ref="AR36:AS37"/>
    <mergeCell ref="AU36:AX37"/>
    <mergeCell ref="AF39:AQ40"/>
    <mergeCell ref="AR39:AS40"/>
    <mergeCell ref="AU39:AX40"/>
    <mergeCell ref="AZ39:BP40"/>
    <mergeCell ref="BS39:CC40"/>
    <mergeCell ref="CE39:CM40"/>
    <mergeCell ref="BS41:CC42"/>
    <mergeCell ref="CE41:CM42"/>
    <mergeCell ref="AZ41:BP42"/>
    <mergeCell ref="AZ43:BP44"/>
    <mergeCell ref="BS43:CC44"/>
    <mergeCell ref="CE43:CM44"/>
    <mergeCell ref="AZ45:BP46"/>
    <mergeCell ref="BS45:CC46"/>
    <mergeCell ref="CE45:CM46"/>
    <mergeCell ref="BS54:CC55"/>
    <mergeCell ref="CE54:CM55"/>
    <mergeCell ref="AZ49:BP50"/>
    <mergeCell ref="BS49:CC50"/>
    <mergeCell ref="CE49:CM50"/>
    <mergeCell ref="AZ51:BP52"/>
    <mergeCell ref="BS51:CC52"/>
    <mergeCell ref="CE51:CM52"/>
    <mergeCell ref="AZ54:BP55"/>
    <mergeCell ref="CE58:CM59"/>
    <mergeCell ref="CE60:CM61"/>
    <mergeCell ref="AZ56:BP57"/>
    <mergeCell ref="BS56:CC57"/>
    <mergeCell ref="CE56:CM57"/>
    <mergeCell ref="AZ58:BP59"/>
    <mergeCell ref="BS58:CC59"/>
    <mergeCell ref="AZ60:BP61"/>
    <mergeCell ref="BS60:CC61"/>
    <mergeCell ref="AU126:AX127"/>
    <mergeCell ref="AU128:AX129"/>
    <mergeCell ref="AU109:AX110"/>
    <mergeCell ref="AU113:AX114"/>
    <mergeCell ref="AU115:AX116"/>
    <mergeCell ref="AU117:AX118"/>
    <mergeCell ref="AU119:AX120"/>
    <mergeCell ref="AU122:AX123"/>
    <mergeCell ref="AU124:AX125"/>
    <mergeCell ref="CE139:CM140"/>
    <mergeCell ref="CE141:CM142"/>
    <mergeCell ref="CE122:CM123"/>
    <mergeCell ref="CE124:CM125"/>
    <mergeCell ref="CE126:CM127"/>
    <mergeCell ref="CE128:CM129"/>
    <mergeCell ref="CE132:CM133"/>
    <mergeCell ref="CE134:CM135"/>
    <mergeCell ref="CE137:CM138"/>
    <mergeCell ref="BS139:CC140"/>
    <mergeCell ref="BS141:CC142"/>
    <mergeCell ref="BS143:CC144"/>
    <mergeCell ref="CE143:CM144"/>
    <mergeCell ref="BS146:CC147"/>
    <mergeCell ref="CE146:CM147"/>
    <mergeCell ref="CE148:CM149"/>
    <mergeCell ref="C174:CM176"/>
    <mergeCell ref="AZ178:BP179"/>
    <mergeCell ref="BS178:CC179"/>
    <mergeCell ref="CE178:CM179"/>
    <mergeCell ref="AZ180:BP181"/>
    <mergeCell ref="BS180:CC181"/>
    <mergeCell ref="CE180:CM181"/>
    <mergeCell ref="BS148:CC149"/>
    <mergeCell ref="BS152:CC153"/>
    <mergeCell ref="CE152:CM153"/>
    <mergeCell ref="BS154:CC155"/>
    <mergeCell ref="CE154:CM155"/>
    <mergeCell ref="BS156:CC157"/>
    <mergeCell ref="CE156:CM157"/>
    <mergeCell ref="N56:O57"/>
    <mergeCell ref="N58:O59"/>
    <mergeCell ref="N63:O64"/>
    <mergeCell ref="N65:O66"/>
    <mergeCell ref="N69:O70"/>
    <mergeCell ref="N71:O72"/>
    <mergeCell ref="N73:O74"/>
    <mergeCell ref="N76:O77"/>
    <mergeCell ref="N78:O79"/>
    <mergeCell ref="P78:AA79"/>
    <mergeCell ref="AB78:AC79"/>
    <mergeCell ref="AD78:AE79"/>
    <mergeCell ref="AB80:AC81"/>
    <mergeCell ref="AD80:AE81"/>
    <mergeCell ref="P80:AA81"/>
    <mergeCell ref="P84:AA85"/>
    <mergeCell ref="AB84:AC85"/>
    <mergeCell ref="AD84:AE85"/>
    <mergeCell ref="P86:AA87"/>
    <mergeCell ref="AB86:AC87"/>
    <mergeCell ref="AD86:AE87"/>
    <mergeCell ref="AB97:AC98"/>
    <mergeCell ref="AD97:AE98"/>
    <mergeCell ref="P88:AA89"/>
    <mergeCell ref="AB88:AC89"/>
    <mergeCell ref="AD88:AE89"/>
    <mergeCell ref="P95:AA96"/>
    <mergeCell ref="AB95:AC96"/>
    <mergeCell ref="AD95:AE96"/>
    <mergeCell ref="P97:AA98"/>
    <mergeCell ref="AB103:AC104"/>
    <mergeCell ref="AD103:AE104"/>
    <mergeCell ref="P99:AA100"/>
    <mergeCell ref="AB99:AC100"/>
    <mergeCell ref="AD99:AE100"/>
    <mergeCell ref="P101:AA102"/>
    <mergeCell ref="AB101:AC102"/>
    <mergeCell ref="AD101:AE102"/>
    <mergeCell ref="P103:AA104"/>
    <mergeCell ref="AB132:AC133"/>
    <mergeCell ref="AD132:AE133"/>
    <mergeCell ref="P126:AA127"/>
    <mergeCell ref="AB126:AC127"/>
    <mergeCell ref="AD126:AE127"/>
    <mergeCell ref="P128:AA129"/>
    <mergeCell ref="AB128:AC129"/>
    <mergeCell ref="AD128:AE129"/>
    <mergeCell ref="P132:AA133"/>
    <mergeCell ref="AB139:AC140"/>
    <mergeCell ref="AD139:AE140"/>
    <mergeCell ref="P134:AA135"/>
    <mergeCell ref="AB134:AC135"/>
    <mergeCell ref="AD134:AE135"/>
    <mergeCell ref="P137:AA138"/>
    <mergeCell ref="AB137:AC138"/>
    <mergeCell ref="AD137:AE138"/>
    <mergeCell ref="P139:AA140"/>
    <mergeCell ref="AB146:AC147"/>
    <mergeCell ref="AD146:AE147"/>
    <mergeCell ref="P141:AA142"/>
    <mergeCell ref="AB141:AC142"/>
    <mergeCell ref="AD141:AE142"/>
    <mergeCell ref="P143:AA144"/>
    <mergeCell ref="AB143:AC144"/>
    <mergeCell ref="AD143:AE144"/>
    <mergeCell ref="P146:AA147"/>
    <mergeCell ref="AB154:AC155"/>
    <mergeCell ref="AD154:AE155"/>
    <mergeCell ref="P148:AA149"/>
    <mergeCell ref="AB148:AC149"/>
    <mergeCell ref="AD148:AE149"/>
    <mergeCell ref="P152:AA153"/>
    <mergeCell ref="AB152:AC153"/>
    <mergeCell ref="AD152:AE153"/>
    <mergeCell ref="P154:AA155"/>
    <mergeCell ref="AB161:AC162"/>
    <mergeCell ref="AD161:AE162"/>
    <mergeCell ref="P156:AA157"/>
    <mergeCell ref="AB156:AC157"/>
    <mergeCell ref="AD156:AE157"/>
    <mergeCell ref="P159:AA160"/>
    <mergeCell ref="AB159:AC160"/>
    <mergeCell ref="AD159:AE160"/>
    <mergeCell ref="P161:AA162"/>
    <mergeCell ref="AB169:AC170"/>
    <mergeCell ref="AD169:AE170"/>
    <mergeCell ref="P163:AA164"/>
    <mergeCell ref="AB163:AC164"/>
    <mergeCell ref="AD163:AE164"/>
    <mergeCell ref="P167:AA168"/>
    <mergeCell ref="AB167:AC168"/>
    <mergeCell ref="AD167:AE168"/>
    <mergeCell ref="P169:AA170"/>
    <mergeCell ref="N22:O23"/>
    <mergeCell ref="P22:AA23"/>
    <mergeCell ref="N16:O17"/>
    <mergeCell ref="P16:AA17"/>
    <mergeCell ref="C18:G19"/>
    <mergeCell ref="I18:L19"/>
    <mergeCell ref="P18:AA19"/>
    <mergeCell ref="C20:G21"/>
    <mergeCell ref="C22:G23"/>
    <mergeCell ref="AR24:AS25"/>
    <mergeCell ref="AU24:AX25"/>
    <mergeCell ref="I24:L25"/>
    <mergeCell ref="I26:L27"/>
    <mergeCell ref="C30:G31"/>
    <mergeCell ref="I30:L31"/>
    <mergeCell ref="N30:O31"/>
    <mergeCell ref="AB26:AC27"/>
    <mergeCell ref="AD26:AE27"/>
    <mergeCell ref="AF26:AQ27"/>
    <mergeCell ref="AR26:AS27"/>
    <mergeCell ref="AU26:AX27"/>
    <mergeCell ref="AZ34:BP35"/>
    <mergeCell ref="AZ36:BP37"/>
    <mergeCell ref="C24:G25"/>
    <mergeCell ref="N24:O25"/>
    <mergeCell ref="P24:AA25"/>
    <mergeCell ref="AB24:AC25"/>
    <mergeCell ref="AD24:AE25"/>
    <mergeCell ref="AF24:AQ25"/>
    <mergeCell ref="C26:G27"/>
    <mergeCell ref="N26:O27"/>
    <mergeCell ref="P26:AA27"/>
    <mergeCell ref="P30:AA31"/>
    <mergeCell ref="AB30:AC31"/>
    <mergeCell ref="AD30:AE31"/>
    <mergeCell ref="AF30:AQ31"/>
    <mergeCell ref="AR30:AS31"/>
    <mergeCell ref="AR32:AS33"/>
    <mergeCell ref="AU32:AX33"/>
    <mergeCell ref="C32:G33"/>
    <mergeCell ref="N32:O33"/>
    <mergeCell ref="P32:AA33"/>
    <mergeCell ref="AB32:AC33"/>
    <mergeCell ref="AD32:AE33"/>
    <mergeCell ref="AF32:AQ33"/>
    <mergeCell ref="C34:G35"/>
    <mergeCell ref="AD41:AE42"/>
    <mergeCell ref="AF41:AQ42"/>
    <mergeCell ref="AR41:AS42"/>
    <mergeCell ref="AU41:AX42"/>
    <mergeCell ref="P43:AA44"/>
    <mergeCell ref="AB43:AC44"/>
    <mergeCell ref="AD43:AE44"/>
    <mergeCell ref="AF43:AQ44"/>
    <mergeCell ref="AR43:AS44"/>
    <mergeCell ref="AU43:AX44"/>
    <mergeCell ref="I43:L44"/>
    <mergeCell ref="I45:L46"/>
    <mergeCell ref="P45:AA46"/>
    <mergeCell ref="AB45:AC46"/>
    <mergeCell ref="AD45:AE46"/>
    <mergeCell ref="AR45:AS46"/>
    <mergeCell ref="AU45:AX46"/>
    <mergeCell ref="AB73:AC74"/>
    <mergeCell ref="AD73:AE74"/>
    <mergeCell ref="P69:AA70"/>
    <mergeCell ref="AB69:AC70"/>
    <mergeCell ref="AD69:AE70"/>
    <mergeCell ref="P71:AA72"/>
    <mergeCell ref="AB71:AC72"/>
    <mergeCell ref="AD71:AE72"/>
    <mergeCell ref="P73:AA74"/>
    <mergeCell ref="AB49:AC50"/>
    <mergeCell ref="AD49:AE50"/>
    <mergeCell ref="AB51:AC52"/>
    <mergeCell ref="AD51:AE52"/>
    <mergeCell ref="AB54:AC55"/>
    <mergeCell ref="AD54:AE55"/>
    <mergeCell ref="AB34:AC35"/>
    <mergeCell ref="AD34:AE35"/>
    <mergeCell ref="AB36:AC37"/>
    <mergeCell ref="AD36:AE37"/>
    <mergeCell ref="AB39:AC40"/>
    <mergeCell ref="AD39:AE40"/>
    <mergeCell ref="AB41:AC42"/>
    <mergeCell ref="N34:O35"/>
    <mergeCell ref="P34:AA35"/>
    <mergeCell ref="P36:AA37"/>
    <mergeCell ref="P39:AA40"/>
    <mergeCell ref="P41:AA42"/>
    <mergeCell ref="P49:AA50"/>
    <mergeCell ref="P51:AA52"/>
    <mergeCell ref="P54:AA55"/>
    <mergeCell ref="P56:AA57"/>
    <mergeCell ref="AB56:AC57"/>
    <mergeCell ref="AD56:AE57"/>
    <mergeCell ref="P58:AA59"/>
    <mergeCell ref="AB58:AC59"/>
    <mergeCell ref="AD58:AE59"/>
    <mergeCell ref="AB65:AC66"/>
    <mergeCell ref="AD65:AE66"/>
    <mergeCell ref="P60:AA61"/>
    <mergeCell ref="AB60:AC61"/>
    <mergeCell ref="AD60:AE61"/>
    <mergeCell ref="P63:AA64"/>
    <mergeCell ref="AB63:AC64"/>
    <mergeCell ref="AD63:AE64"/>
    <mergeCell ref="P65:AA66"/>
    <mergeCell ref="P76:AA77"/>
    <mergeCell ref="AB76:AC77"/>
    <mergeCell ref="AD76:AE77"/>
    <mergeCell ref="I86:L87"/>
    <mergeCell ref="I88:L89"/>
    <mergeCell ref="N88:O89"/>
    <mergeCell ref="I76:L77"/>
    <mergeCell ref="I78:L79"/>
    <mergeCell ref="I80:L81"/>
    <mergeCell ref="N80:O81"/>
    <mergeCell ref="I84:L85"/>
    <mergeCell ref="N84:O85"/>
    <mergeCell ref="N86:O87"/>
    <mergeCell ref="C78:G79"/>
    <mergeCell ref="C80:G81"/>
    <mergeCell ref="C84:G85"/>
    <mergeCell ref="C86:G87"/>
    <mergeCell ref="C88:G89"/>
    <mergeCell ref="C95:G96"/>
    <mergeCell ref="C97:G98"/>
    <mergeCell ref="C99:G100"/>
    <mergeCell ref="C101:G102"/>
    <mergeCell ref="C103:G104"/>
    <mergeCell ref="C105:G106"/>
    <mergeCell ref="C107:G108"/>
    <mergeCell ref="C109:G110"/>
    <mergeCell ref="C113:G114"/>
    <mergeCell ref="C115:G116"/>
    <mergeCell ref="C117:G118"/>
    <mergeCell ref="C119:G120"/>
    <mergeCell ref="C122:G123"/>
    <mergeCell ref="C124:G125"/>
    <mergeCell ref="C126:G127"/>
    <mergeCell ref="C128:G129"/>
    <mergeCell ref="C132:G133"/>
    <mergeCell ref="C134:G135"/>
    <mergeCell ref="C137:G138"/>
    <mergeCell ref="C139:G140"/>
    <mergeCell ref="C141:G142"/>
    <mergeCell ref="C143:G144"/>
    <mergeCell ref="C146:G147"/>
    <mergeCell ref="C148:G149"/>
    <mergeCell ref="C152:G153"/>
    <mergeCell ref="C154:G155"/>
    <mergeCell ref="C156:G157"/>
    <mergeCell ref="C159:G160"/>
    <mergeCell ref="C161:G162"/>
    <mergeCell ref="C163:G164"/>
    <mergeCell ref="C188:G189"/>
    <mergeCell ref="C190:G191"/>
    <mergeCell ref="C192:G193"/>
    <mergeCell ref="C194:G195"/>
    <mergeCell ref="C198:G199"/>
    <mergeCell ref="C200:G201"/>
    <mergeCell ref="C204:G205"/>
    <mergeCell ref="C167:G168"/>
    <mergeCell ref="C169:G170"/>
    <mergeCell ref="C171:G172"/>
    <mergeCell ref="C178:G179"/>
    <mergeCell ref="C180:G181"/>
    <mergeCell ref="C182:G183"/>
    <mergeCell ref="C184:G185"/>
    <mergeCell ref="I32:L33"/>
    <mergeCell ref="I34:L35"/>
    <mergeCell ref="C36:G37"/>
    <mergeCell ref="I36:L37"/>
    <mergeCell ref="N36:O37"/>
    <mergeCell ref="I39:L40"/>
    <mergeCell ref="N39:O40"/>
    <mergeCell ref="C39:G40"/>
    <mergeCell ref="C41:G42"/>
    <mergeCell ref="I41:L42"/>
    <mergeCell ref="N41:O42"/>
    <mergeCell ref="C43:G44"/>
    <mergeCell ref="N43:O44"/>
    <mergeCell ref="N45:O46"/>
    <mergeCell ref="C45:G46"/>
    <mergeCell ref="C49:G50"/>
    <mergeCell ref="I49:L50"/>
    <mergeCell ref="N49:O50"/>
    <mergeCell ref="C51:G52"/>
    <mergeCell ref="I51:L52"/>
    <mergeCell ref="N51:O52"/>
    <mergeCell ref="C54:G55"/>
    <mergeCell ref="I54:L55"/>
    <mergeCell ref="N54:O55"/>
    <mergeCell ref="C56:G57"/>
    <mergeCell ref="I56:L57"/>
    <mergeCell ref="C58:G59"/>
    <mergeCell ref="N60:O61"/>
    <mergeCell ref="C60:G61"/>
    <mergeCell ref="C63:G64"/>
    <mergeCell ref="C65:G66"/>
    <mergeCell ref="C69:G70"/>
    <mergeCell ref="C71:G72"/>
    <mergeCell ref="C73:G74"/>
    <mergeCell ref="C76:G77"/>
    <mergeCell ref="I58:L59"/>
    <mergeCell ref="I60:L61"/>
    <mergeCell ref="I63:L64"/>
    <mergeCell ref="I65:L66"/>
    <mergeCell ref="I69:L70"/>
    <mergeCell ref="I71:L72"/>
    <mergeCell ref="I73:L74"/>
    <mergeCell ref="N107:O108"/>
    <mergeCell ref="N109:O110"/>
    <mergeCell ref="I132:L133"/>
    <mergeCell ref="N132:O133"/>
    <mergeCell ref="I134:L135"/>
    <mergeCell ref="N134:O135"/>
    <mergeCell ref="I137:L138"/>
    <mergeCell ref="N137:O138"/>
    <mergeCell ref="N139:O140"/>
    <mergeCell ref="I139:L140"/>
    <mergeCell ref="I141:L142"/>
    <mergeCell ref="N141:O142"/>
    <mergeCell ref="I143:L144"/>
    <mergeCell ref="N143:O144"/>
    <mergeCell ref="I146:L147"/>
    <mergeCell ref="I148:L149"/>
    <mergeCell ref="I152:L153"/>
    <mergeCell ref="N152:O153"/>
    <mergeCell ref="I154:L155"/>
    <mergeCell ref="N154:O155"/>
    <mergeCell ref="I156:L157"/>
    <mergeCell ref="N156:O157"/>
    <mergeCell ref="N159:O160"/>
    <mergeCell ref="I159:L160"/>
    <mergeCell ref="I161:L162"/>
    <mergeCell ref="N161:O162"/>
    <mergeCell ref="I163:L164"/>
    <mergeCell ref="N163:O164"/>
    <mergeCell ref="I167:L168"/>
    <mergeCell ref="I169:L170"/>
    <mergeCell ref="N167:O168"/>
    <mergeCell ref="N169:O170"/>
    <mergeCell ref="I171:L172"/>
    <mergeCell ref="N171:O172"/>
    <mergeCell ref="I178:L179"/>
    <mergeCell ref="N178:O179"/>
    <mergeCell ref="N180:O181"/>
    <mergeCell ref="I180:L181"/>
    <mergeCell ref="I182:L183"/>
    <mergeCell ref="N182:O183"/>
    <mergeCell ref="I184:L185"/>
    <mergeCell ref="N184:O185"/>
    <mergeCell ref="I188:L189"/>
    <mergeCell ref="I190:L191"/>
    <mergeCell ref="I95:L96"/>
    <mergeCell ref="N95:O96"/>
    <mergeCell ref="I97:L98"/>
    <mergeCell ref="N97:O98"/>
    <mergeCell ref="I99:L100"/>
    <mergeCell ref="N99:O100"/>
    <mergeCell ref="N101:O102"/>
    <mergeCell ref="I101:L102"/>
    <mergeCell ref="I103:L104"/>
    <mergeCell ref="N103:O104"/>
    <mergeCell ref="I105:L106"/>
    <mergeCell ref="N105:O106"/>
    <mergeCell ref="I107:L108"/>
    <mergeCell ref="I109:L110"/>
    <mergeCell ref="I113:L114"/>
    <mergeCell ref="N113:O114"/>
    <mergeCell ref="I115:L116"/>
    <mergeCell ref="N115:O116"/>
    <mergeCell ref="I117:L118"/>
    <mergeCell ref="N117:O118"/>
    <mergeCell ref="N119:O120"/>
    <mergeCell ref="N126:O127"/>
    <mergeCell ref="N128:O129"/>
    <mergeCell ref="I119:L120"/>
    <mergeCell ref="I122:L123"/>
    <mergeCell ref="N122:O123"/>
    <mergeCell ref="I124:L125"/>
    <mergeCell ref="N124:O125"/>
    <mergeCell ref="I126:L127"/>
    <mergeCell ref="I128:L129"/>
    <mergeCell ref="N146:O147"/>
    <mergeCell ref="N148:O149"/>
    <mergeCell ref="I198:L199"/>
    <mergeCell ref="I200:L201"/>
    <mergeCell ref="N200:O201"/>
    <mergeCell ref="I204:L205"/>
    <mergeCell ref="N204:O205"/>
    <mergeCell ref="N188:O189"/>
    <mergeCell ref="N190:O191"/>
    <mergeCell ref="I192:L193"/>
    <mergeCell ref="N192:O193"/>
    <mergeCell ref="I194:L195"/>
    <mergeCell ref="N194:O195"/>
    <mergeCell ref="N198:O199"/>
    <mergeCell ref="CE97:CM98"/>
    <mergeCell ref="CE99:CM100"/>
    <mergeCell ref="AZ95:BP96"/>
    <mergeCell ref="BS95:CC96"/>
    <mergeCell ref="CE95:CM96"/>
    <mergeCell ref="AZ97:BP98"/>
    <mergeCell ref="BS97:CC98"/>
    <mergeCell ref="AZ99:BP100"/>
    <mergeCell ref="BS99:CC100"/>
    <mergeCell ref="BS69:CC70"/>
    <mergeCell ref="CE69:CM70"/>
    <mergeCell ref="AZ63:BP64"/>
    <mergeCell ref="BS63:CC64"/>
    <mergeCell ref="CE63:CM64"/>
    <mergeCell ref="AZ65:BP66"/>
    <mergeCell ref="BS65:CC66"/>
    <mergeCell ref="CE65:CM66"/>
    <mergeCell ref="AZ69:BP70"/>
    <mergeCell ref="BS76:CC77"/>
    <mergeCell ref="CE76:CM77"/>
    <mergeCell ref="AZ71:BP72"/>
    <mergeCell ref="BS71:CC72"/>
    <mergeCell ref="CE71:CM72"/>
    <mergeCell ref="AZ73:BP74"/>
    <mergeCell ref="BS73:CC74"/>
    <mergeCell ref="CE73:CM74"/>
    <mergeCell ref="AZ76:BP77"/>
    <mergeCell ref="BS84:CC85"/>
    <mergeCell ref="CE84:CM85"/>
    <mergeCell ref="AZ78:BP79"/>
    <mergeCell ref="BS78:CC79"/>
    <mergeCell ref="CE78:CM79"/>
    <mergeCell ref="AZ80:BP81"/>
    <mergeCell ref="BS80:CC81"/>
    <mergeCell ref="CE80:CM81"/>
    <mergeCell ref="AZ84:BP85"/>
    <mergeCell ref="AZ86:BP87"/>
    <mergeCell ref="BS86:CC87"/>
    <mergeCell ref="CE86:CM87"/>
    <mergeCell ref="AZ88:BP89"/>
    <mergeCell ref="BS88:CC89"/>
    <mergeCell ref="CE88:CM89"/>
    <mergeCell ref="C91:CM93"/>
    <mergeCell ref="AZ107:BP108"/>
    <mergeCell ref="AZ109:BP110"/>
    <mergeCell ref="AZ113:BP114"/>
    <mergeCell ref="AZ115:BP116"/>
    <mergeCell ref="AZ117:BP118"/>
    <mergeCell ref="AZ119:BP120"/>
    <mergeCell ref="AZ122:BP123"/>
    <mergeCell ref="AZ124:BP125"/>
    <mergeCell ref="AZ126:BP127"/>
    <mergeCell ref="AZ128:BP129"/>
    <mergeCell ref="AZ132:BP133"/>
    <mergeCell ref="AZ134:BP135"/>
    <mergeCell ref="AZ137:BP138"/>
    <mergeCell ref="AZ139:BP140"/>
    <mergeCell ref="AZ141:BP142"/>
    <mergeCell ref="AZ143:BP144"/>
    <mergeCell ref="AZ146:BP147"/>
    <mergeCell ref="AZ148:BP149"/>
    <mergeCell ref="AZ152:BP153"/>
    <mergeCell ref="AZ154:BP155"/>
    <mergeCell ref="AZ156:BP157"/>
    <mergeCell ref="AZ184:BP185"/>
    <mergeCell ref="AZ188:BP189"/>
    <mergeCell ref="AZ190:BP191"/>
    <mergeCell ref="AZ192:BP193"/>
    <mergeCell ref="AZ194:BP195"/>
    <mergeCell ref="AZ198:BP199"/>
    <mergeCell ref="AZ200:BP201"/>
    <mergeCell ref="AZ204:BP205"/>
    <mergeCell ref="AZ159:BP160"/>
    <mergeCell ref="AZ161:BP162"/>
    <mergeCell ref="AZ163:BP164"/>
    <mergeCell ref="AZ167:BP168"/>
    <mergeCell ref="AZ169:BP170"/>
    <mergeCell ref="AZ171:BP172"/>
    <mergeCell ref="AZ182:BP183"/>
    <mergeCell ref="BS159:CC160"/>
    <mergeCell ref="CE159:CM160"/>
    <mergeCell ref="BS161:CC162"/>
    <mergeCell ref="CE161:CM162"/>
    <mergeCell ref="BS163:CC164"/>
    <mergeCell ref="CE163:CM164"/>
    <mergeCell ref="CE167:CM168"/>
    <mergeCell ref="BS167:CC168"/>
    <mergeCell ref="BS169:CC170"/>
    <mergeCell ref="CE169:CM170"/>
    <mergeCell ref="BS171:CC172"/>
    <mergeCell ref="CE171:CM172"/>
    <mergeCell ref="BS182:CC183"/>
    <mergeCell ref="BS184:CC185"/>
    <mergeCell ref="BS194:CC195"/>
    <mergeCell ref="BS198:CC199"/>
    <mergeCell ref="CE198:CM199"/>
    <mergeCell ref="BS200:CC201"/>
    <mergeCell ref="CE200:CM201"/>
    <mergeCell ref="BS204:CC205"/>
    <mergeCell ref="CE204:CM205"/>
    <mergeCell ref="BS188:CC189"/>
    <mergeCell ref="CE188:CM189"/>
    <mergeCell ref="BS190:CC191"/>
    <mergeCell ref="CE190:CM191"/>
    <mergeCell ref="BS192:CC193"/>
    <mergeCell ref="CE192:CM193"/>
    <mergeCell ref="CE194:CM195"/>
    <mergeCell ref="AU56:AX57"/>
    <mergeCell ref="AU58:AX59"/>
    <mergeCell ref="AU60:AX61"/>
    <mergeCell ref="AU63:AX64"/>
    <mergeCell ref="AU65:AX66"/>
    <mergeCell ref="AU69:AX70"/>
    <mergeCell ref="AU71:AX72"/>
    <mergeCell ref="AU73:AX74"/>
    <mergeCell ref="AU76:AX77"/>
    <mergeCell ref="AU78:AX79"/>
    <mergeCell ref="AU80:AX81"/>
    <mergeCell ref="AU84:AX85"/>
    <mergeCell ref="AU86:AX87"/>
    <mergeCell ref="AU88:AX89"/>
    <mergeCell ref="AZ101:BP102"/>
    <mergeCell ref="BS101:CC102"/>
    <mergeCell ref="CE101:CM102"/>
    <mergeCell ref="AZ103:BP104"/>
    <mergeCell ref="BS103:CC104"/>
    <mergeCell ref="AZ105:BP106"/>
    <mergeCell ref="CE107:CM108"/>
    <mergeCell ref="BS105:CC106"/>
    <mergeCell ref="BS107:CC108"/>
    <mergeCell ref="BS109:CC110"/>
    <mergeCell ref="BS113:CC114"/>
    <mergeCell ref="BS115:CC116"/>
    <mergeCell ref="BS117:CC118"/>
    <mergeCell ref="BS119:CC120"/>
    <mergeCell ref="CE103:CM104"/>
    <mergeCell ref="CE105:CM106"/>
    <mergeCell ref="CE109:CM110"/>
    <mergeCell ref="CE113:CM114"/>
    <mergeCell ref="CE115:CM116"/>
    <mergeCell ref="CE117:CM118"/>
    <mergeCell ref="CE119:CM120"/>
    <mergeCell ref="BS122:CC123"/>
    <mergeCell ref="BS124:CC125"/>
    <mergeCell ref="BS126:CC127"/>
    <mergeCell ref="BS128:CC129"/>
    <mergeCell ref="BS132:CC133"/>
    <mergeCell ref="BS134:CC135"/>
    <mergeCell ref="BS137:CC138"/>
    <mergeCell ref="CE182:CM183"/>
    <mergeCell ref="CE184:CM185"/>
    <mergeCell ref="AB180:AC181"/>
    <mergeCell ref="AD180:AE181"/>
    <mergeCell ref="P171:AA172"/>
    <mergeCell ref="AB171:AC172"/>
    <mergeCell ref="AD171:AE172"/>
    <mergeCell ref="P178:AA179"/>
    <mergeCell ref="AB178:AC179"/>
    <mergeCell ref="AD178:AE179"/>
    <mergeCell ref="P180:AA181"/>
    <mergeCell ref="AB188:AC189"/>
    <mergeCell ref="AD188:AE189"/>
    <mergeCell ref="P182:AA183"/>
    <mergeCell ref="AB182:AC183"/>
    <mergeCell ref="AD182:AE183"/>
    <mergeCell ref="P184:AA185"/>
    <mergeCell ref="AB184:AC185"/>
    <mergeCell ref="AD184:AE185"/>
    <mergeCell ref="P188:AA189"/>
    <mergeCell ref="AB194:AC195"/>
    <mergeCell ref="AD194:AE195"/>
    <mergeCell ref="P190:AA191"/>
    <mergeCell ref="AB190:AC191"/>
    <mergeCell ref="AD190:AE191"/>
    <mergeCell ref="P192:AA193"/>
    <mergeCell ref="AB192:AC193"/>
    <mergeCell ref="AD192:AE193"/>
    <mergeCell ref="P194:AA195"/>
    <mergeCell ref="AB109:AC110"/>
    <mergeCell ref="AD109:AE110"/>
    <mergeCell ref="P105:AA106"/>
    <mergeCell ref="AB105:AC106"/>
    <mergeCell ref="AD105:AE106"/>
    <mergeCell ref="P107:AA108"/>
    <mergeCell ref="AB107:AC108"/>
    <mergeCell ref="AD107:AE108"/>
    <mergeCell ref="P109:AA110"/>
    <mergeCell ref="AB117:AC118"/>
    <mergeCell ref="AD117:AE118"/>
    <mergeCell ref="P113:AA114"/>
    <mergeCell ref="AB113:AC114"/>
    <mergeCell ref="AD113:AE114"/>
    <mergeCell ref="P115:AA116"/>
    <mergeCell ref="AB115:AC116"/>
    <mergeCell ref="AD115:AE116"/>
    <mergeCell ref="P117:AA118"/>
    <mergeCell ref="AB124:AC125"/>
    <mergeCell ref="AD124:AE125"/>
    <mergeCell ref="P119:AA120"/>
    <mergeCell ref="AB119:AC120"/>
    <mergeCell ref="AD119:AE120"/>
    <mergeCell ref="P122:AA123"/>
    <mergeCell ref="AB122:AC123"/>
    <mergeCell ref="AD122:AE123"/>
    <mergeCell ref="P124:AA125"/>
    <mergeCell ref="AB204:AC205"/>
    <mergeCell ref="AD204:AE205"/>
    <mergeCell ref="P198:AA199"/>
    <mergeCell ref="AB198:AC199"/>
    <mergeCell ref="AD198:AE199"/>
    <mergeCell ref="P200:AA201"/>
    <mergeCell ref="AB200:AC201"/>
    <mergeCell ref="AD200:AE201"/>
    <mergeCell ref="P204:AA205"/>
    <mergeCell ref="AR178:AS179"/>
    <mergeCell ref="AU178:AX179"/>
    <mergeCell ref="AF169:AQ170"/>
    <mergeCell ref="AR169:AS170"/>
    <mergeCell ref="AU169:AX170"/>
    <mergeCell ref="AF171:AQ172"/>
    <mergeCell ref="AR171:AS172"/>
    <mergeCell ref="AU171:AX172"/>
    <mergeCell ref="AF178:AQ179"/>
    <mergeCell ref="AU198:AX199"/>
    <mergeCell ref="AU200:AX201"/>
    <mergeCell ref="AF194:AQ195"/>
    <mergeCell ref="AR194:AS195"/>
    <mergeCell ref="AU194:AX195"/>
    <mergeCell ref="AF198:AQ199"/>
    <mergeCell ref="AR198:AS199"/>
    <mergeCell ref="AF200:AQ201"/>
    <mergeCell ref="AR200:AS201"/>
    <mergeCell ref="AF99:AQ100"/>
    <mergeCell ref="AR99:AS100"/>
    <mergeCell ref="AF101:AQ102"/>
    <mergeCell ref="AR101:AS102"/>
    <mergeCell ref="AF103:AQ104"/>
    <mergeCell ref="AR103:AS104"/>
    <mergeCell ref="AR105:AS106"/>
    <mergeCell ref="AF105:AQ106"/>
    <mergeCell ref="AF107:AQ108"/>
    <mergeCell ref="AR107:AS108"/>
    <mergeCell ref="AF109:AQ110"/>
    <mergeCell ref="AR109:AS110"/>
    <mergeCell ref="AF113:AQ114"/>
    <mergeCell ref="AR113:AS114"/>
    <mergeCell ref="AF115:AQ116"/>
    <mergeCell ref="AR115:AS116"/>
    <mergeCell ref="AF117:AQ118"/>
    <mergeCell ref="AR117:AS118"/>
    <mergeCell ref="AF119:AQ120"/>
    <mergeCell ref="AR119:AS120"/>
    <mergeCell ref="AR122:AS123"/>
    <mergeCell ref="AF122:AQ123"/>
    <mergeCell ref="AF124:AQ125"/>
    <mergeCell ref="AR124:AS125"/>
    <mergeCell ref="AF126:AQ127"/>
    <mergeCell ref="AR126:AS127"/>
    <mergeCell ref="AF128:AQ129"/>
    <mergeCell ref="AR128:AS129"/>
    <mergeCell ref="AR137:AS138"/>
    <mergeCell ref="AU137:AX138"/>
    <mergeCell ref="AF132:AQ133"/>
    <mergeCell ref="AR132:AS133"/>
    <mergeCell ref="AU132:AX133"/>
    <mergeCell ref="AF134:AQ135"/>
    <mergeCell ref="AR134:AS135"/>
    <mergeCell ref="AU134:AX135"/>
    <mergeCell ref="AF137:AQ138"/>
    <mergeCell ref="AF204:AQ205"/>
    <mergeCell ref="AR204:AS205"/>
    <mergeCell ref="AU204:AX205"/>
    <mergeCell ref="AF45:AQ46"/>
    <mergeCell ref="AF49:AQ50"/>
    <mergeCell ref="AR49:AS50"/>
    <mergeCell ref="AU49:AX50"/>
    <mergeCell ref="AF51:AQ52"/>
    <mergeCell ref="AR51:AS52"/>
    <mergeCell ref="AU51:AX52"/>
    <mergeCell ref="AF54:AQ55"/>
    <mergeCell ref="AR54:AS55"/>
    <mergeCell ref="AU54:AX55"/>
    <mergeCell ref="AF56:AQ57"/>
    <mergeCell ref="AR56:AS57"/>
    <mergeCell ref="AF58:AQ59"/>
    <mergeCell ref="AR58:AS59"/>
    <mergeCell ref="AF60:AQ61"/>
    <mergeCell ref="AR60:AS61"/>
    <mergeCell ref="AF63:AQ64"/>
    <mergeCell ref="AR63:AS64"/>
    <mergeCell ref="AF65:AQ66"/>
    <mergeCell ref="AR65:AS66"/>
    <mergeCell ref="AR69:AS70"/>
    <mergeCell ref="AF69:AQ70"/>
    <mergeCell ref="AF71:AQ72"/>
    <mergeCell ref="AR71:AS72"/>
    <mergeCell ref="AF73:AQ74"/>
    <mergeCell ref="AR73:AS74"/>
    <mergeCell ref="AF76:AQ77"/>
    <mergeCell ref="AR76:AS77"/>
    <mergeCell ref="AF78:AQ79"/>
    <mergeCell ref="AR78:AS79"/>
    <mergeCell ref="AF80:AQ81"/>
    <mergeCell ref="AR80:AS81"/>
    <mergeCell ref="AF84:AQ85"/>
    <mergeCell ref="AR84:AS85"/>
    <mergeCell ref="AR86:AS87"/>
    <mergeCell ref="AF86:AQ87"/>
    <mergeCell ref="AF88:AQ89"/>
    <mergeCell ref="AR88:AS89"/>
    <mergeCell ref="AF95:AQ96"/>
    <mergeCell ref="AR95:AS96"/>
    <mergeCell ref="AF97:AQ98"/>
    <mergeCell ref="AR97:AS98"/>
    <mergeCell ref="AU95:AX96"/>
    <mergeCell ref="AU97:AX98"/>
    <mergeCell ref="AU99:AX100"/>
    <mergeCell ref="AU101:AX102"/>
    <mergeCell ref="AU103:AX104"/>
    <mergeCell ref="AU105:AX106"/>
    <mergeCell ref="AU107:AX108"/>
    <mergeCell ref="AU141:AX142"/>
    <mergeCell ref="AU143:AX144"/>
    <mergeCell ref="AF139:AQ140"/>
    <mergeCell ref="AR139:AS140"/>
    <mergeCell ref="AU139:AX140"/>
    <mergeCell ref="AF141:AQ142"/>
    <mergeCell ref="AR141:AS142"/>
    <mergeCell ref="AF143:AQ144"/>
    <mergeCell ref="AR143:AS144"/>
    <mergeCell ref="AR152:AS153"/>
    <mergeCell ref="AU152:AX153"/>
    <mergeCell ref="AF146:AQ147"/>
    <mergeCell ref="AR146:AS147"/>
    <mergeCell ref="AU146:AX147"/>
    <mergeCell ref="AF148:AQ149"/>
    <mergeCell ref="AR148:AS149"/>
    <mergeCell ref="AU148:AX149"/>
    <mergeCell ref="AF152:AQ153"/>
    <mergeCell ref="AR159:AS160"/>
    <mergeCell ref="AU159:AX160"/>
    <mergeCell ref="AF154:AQ155"/>
    <mergeCell ref="AR154:AS155"/>
    <mergeCell ref="AU154:AX155"/>
    <mergeCell ref="AF156:AQ157"/>
    <mergeCell ref="AR156:AS157"/>
    <mergeCell ref="AU156:AX157"/>
    <mergeCell ref="AF159:AQ160"/>
    <mergeCell ref="AR167:AS168"/>
    <mergeCell ref="AU167:AX168"/>
    <mergeCell ref="AF161:AQ162"/>
    <mergeCell ref="AR161:AS162"/>
    <mergeCell ref="AU161:AX162"/>
    <mergeCell ref="AF163:AQ164"/>
    <mergeCell ref="AR163:AS164"/>
    <mergeCell ref="AU163:AX164"/>
    <mergeCell ref="AF167:AQ168"/>
    <mergeCell ref="AU182:AX183"/>
    <mergeCell ref="AU184:AX185"/>
    <mergeCell ref="AF180:AQ181"/>
    <mergeCell ref="AR180:AS181"/>
    <mergeCell ref="AU180:AX181"/>
    <mergeCell ref="AF182:AQ183"/>
    <mergeCell ref="AR182:AS183"/>
    <mergeCell ref="AF184:AQ185"/>
    <mergeCell ref="AR184:AS185"/>
    <mergeCell ref="AU190:AX191"/>
    <mergeCell ref="AU192:AX193"/>
    <mergeCell ref="AF188:AQ189"/>
    <mergeCell ref="AR188:AS189"/>
    <mergeCell ref="AU188:AX189"/>
    <mergeCell ref="AF190:AQ191"/>
    <mergeCell ref="AR190:AS191"/>
    <mergeCell ref="AF192:AQ193"/>
    <mergeCell ref="AR192:AS193"/>
  </mergeCells>
  <conditionalFormatting sqref="N12:O27 N30:O46 N49:O52 N54:O61 N63:O66 N69:O74 N76:O81 N84:O89 N95:O110 N113:O129 N132:O135 N137:O144 N146:O149 N152:O157 N159:O164 N167:O172 N178:O195 N198:O201 N204:O205">
    <cfRule type="expression" dxfId="0" priority="1">
      <formula>AB12&lt;AD12</formula>
    </cfRule>
  </conditionalFormatting>
  <conditionalFormatting sqref="P12:AA27 P30:AA46 P49:AA52 P54:AA61 P63:AA66 P69:AA74 P76:AA81 P84:AA89 P95:AA110 P113:AA129 P132:AA135 P137:AA144 P146:AA149 P152:AA157 P159:AA164 P167:AA172 P178:AA195 P198:AA201 P204:AA205">
    <cfRule type="expression" dxfId="1" priority="2">
      <formula>AB12&lt;AD12</formula>
    </cfRule>
  </conditionalFormatting>
  <conditionalFormatting sqref="AB12:AC27 AB30:AC46 AB49:AC52 AB54:AC61 AB63:AC66 AB69:AC74 AB76:AC81 AB84:AC89 AB95:AC110 AB113:AC129 AB132:AC135 AB137:AC144 AB146:AC149 AB152:AC157 AB159:AC164 AB167:AC172 AB178:AC195 AB198:AC201 AB204:AC205">
    <cfRule type="expression" dxfId="1" priority="3">
      <formula>AB12&lt;AD12</formula>
    </cfRule>
  </conditionalFormatting>
  <conditionalFormatting sqref="N12:O27 N30:O46 N49:O52 N54:O61 N63:O66 N69:O74 N76:O81 N84:O89 N95:O110 N113:O129 N132:O135 N137:O144 N146:O149 N152:O157 N159:O164 N167:O172 N178:O195 N198:O201 N204:O205">
    <cfRule type="expression" dxfId="2" priority="4">
      <formula>AB12&gt;AD12</formula>
    </cfRule>
  </conditionalFormatting>
  <conditionalFormatting sqref="P12:AA27 P30:AA46 P49:AA52 P54:AA61 P63:AA66 P69:AA74 P76:AA81 P84:AA89 P95:AA110 P113:AA129 P132:AA135 P137:AA144 P146:AA149 P152:AA157 P159:AA164 P167:AA172 P178:AA195 P198:AA201 P204:AA205">
    <cfRule type="expression" dxfId="3" priority="5">
      <formula>AB12&gt;AD12</formula>
    </cfRule>
  </conditionalFormatting>
  <conditionalFormatting sqref="AB12:AC27 AB30:AC46 AB49:AC52 AB54:AC61 AB63:AC66 AB69:AC74 AB76:AC81 AB84:AC89 AB95:AC110 AB113:AC129 AB132:AC135 AB137:AC144 AB146:AC149 AB152:AC157 AB159:AC164 AB167:AC172 AB178:AC195 AB198:AC201 AB204:AC205">
    <cfRule type="expression" dxfId="3" priority="6">
      <formula>AB12&gt;AD12</formula>
    </cfRule>
  </conditionalFormatting>
  <conditionalFormatting sqref="AD12:AE27 AD30:AE46 AD49:AE52 AD54:AE61 AD63:AE66 AD69:AE74 AD76:AE81 AD84:AE89 AD95:AE110 AD113:AE129 AD132:AE135 AD137:AE144 AD146:AE149 AD152:AE157 AD159:AE164 AD167:AE172 AD178:AE195 AD198:AE201 AD204:AE205">
    <cfRule type="expression" dxfId="3" priority="7">
      <formula>AB12&lt;AD12</formula>
    </cfRule>
  </conditionalFormatting>
  <conditionalFormatting sqref="AF12:AQ27 AF30:AQ46 AF49:AQ52 AF54:AQ61 AF63:AQ66 AF69:AQ74 AF76:AQ81 AF84:AQ89 AF95:AQ110 AF113:AQ129 AF132:AQ135 AF137:AQ144 AF146:AQ149 AF152:AQ157 AF159:AQ164 AF167:AQ172 AF178:AQ195 AF198:AQ201 AF204:AQ205">
    <cfRule type="expression" dxfId="3" priority="8">
      <formula>AB12&lt;AD12</formula>
    </cfRule>
  </conditionalFormatting>
  <conditionalFormatting sqref="AR12:AS27 AR30:AS46 AR49:AS52 AR54:AS61 AR63:AS66 AR69:AS74 AR76:AS81 AR84:AS89 AR95:AS110 AR113:AS129 AR132:AS135 AR137:AS144 AR146:AS149 AR152:AS157 AR159:AS164 AR167:AS172 AR178:AS195 AR198:AS201 AR204:AS205">
    <cfRule type="expression" dxfId="2" priority="9">
      <formula>AB12&lt;AD12</formula>
    </cfRule>
  </conditionalFormatting>
  <conditionalFormatting sqref="AD12:AE27 AD30:AE46 AD49:AE52 AD54:AE61 AD63:AE66 AD69:AE74 AD76:AE81 AD84:AE89 AD95:AE110 AD113:AE129 AD132:AE135 AD137:AE144 AD146:AE149 AD152:AE157 AD159:AE164 AD167:AE172 AD178:AE195 AD198:AE201 AD204:AE205">
    <cfRule type="expression" dxfId="1" priority="10">
      <formula>AB12&gt;AD12</formula>
    </cfRule>
  </conditionalFormatting>
  <conditionalFormatting sqref="AF12:AQ27 AF30:AQ46 AF49:AQ52 AF54:AQ61 AF63:AQ66 AF69:AQ74 AF76:AQ81 AF84:AQ89 AF95:AQ110 AF113:AQ129 AF132:AQ135 AF137:AQ144 AF146:AQ149 AF152:AQ157 AF159:AQ164 AF167:AQ172 AF178:AQ195 AF198:AQ201 AF204:AQ205">
    <cfRule type="expression" dxfId="1" priority="11">
      <formula>AB12&gt;AD12</formula>
    </cfRule>
  </conditionalFormatting>
  <conditionalFormatting sqref="AR12:AS27 AR30:AS46 AR49:AS52 AR54:AS61 AR63:AS66 AR69:AS74 AR76:AS81 AR84:AS89 AR95:AS110 AR113:AS129 AR132:AS135 AR137:AS144 AR146:AS149 AR152:AS157 AR159:AS164 AR167:AS172 AR178:AS195 AR198:AS201 AR204:AS205">
    <cfRule type="expression" dxfId="1" priority="12">
      <formula>AB12&gt;AD12</formula>
    </cfRule>
  </conditionalFormatting>
  <hyperlinks>
    <hyperlink r:id="rId1" ref="CE12"/>
    <hyperlink r:id="rId2" ref="CE14"/>
    <hyperlink r:id="rId3" ref="CE16"/>
    <hyperlink r:id="rId4" ref="CE18"/>
    <hyperlink r:id="rId5" ref="CE20"/>
    <hyperlink r:id="rId6" ref="CE22"/>
    <hyperlink r:id="rId7" ref="CE24"/>
    <hyperlink r:id="rId8" ref="CE26"/>
    <hyperlink r:id="rId9" ref="CE30"/>
    <hyperlink r:id="rId10" ref="CE32"/>
    <hyperlink r:id="rId11" ref="CE34"/>
    <hyperlink r:id="rId12" ref="CE36"/>
    <hyperlink r:id="rId13" ref="CE39"/>
    <hyperlink r:id="rId14" ref="CE41"/>
    <hyperlink r:id="rId15" ref="CE43"/>
    <hyperlink r:id="rId16" ref="CE45"/>
    <hyperlink r:id="rId17" ref="CE49"/>
    <hyperlink r:id="rId18" ref="CE51"/>
    <hyperlink r:id="rId19" ref="CE54"/>
    <hyperlink r:id="rId20" ref="CE56"/>
    <hyperlink r:id="rId21" ref="CE58"/>
    <hyperlink r:id="rId22" ref="CE60"/>
    <hyperlink r:id="rId23" ref="CE63"/>
    <hyperlink r:id="rId24" ref="CE65"/>
    <hyperlink r:id="rId25" ref="CE69"/>
    <hyperlink r:id="rId26" ref="CE71"/>
    <hyperlink r:id="rId27" ref="CE73"/>
    <hyperlink r:id="rId28" ref="CE76"/>
    <hyperlink r:id="rId29" ref="CE78"/>
    <hyperlink r:id="rId30" ref="CE80"/>
    <hyperlink r:id="rId31" ref="CE84"/>
    <hyperlink r:id="rId32" ref="CE86"/>
    <hyperlink r:id="rId33" ref="CE88"/>
    <hyperlink r:id="rId34" ref="CE95"/>
    <hyperlink r:id="rId35" ref="CE97"/>
    <hyperlink r:id="rId36" ref="CE99"/>
    <hyperlink r:id="rId37" ref="CE101"/>
    <hyperlink r:id="rId38" ref="CE103"/>
    <hyperlink r:id="rId39" ref="CE105"/>
    <hyperlink r:id="rId40" ref="CE107"/>
    <hyperlink r:id="rId41" ref="CE109"/>
    <hyperlink r:id="rId42" ref="CE113"/>
    <hyperlink r:id="rId43" ref="CE115"/>
    <hyperlink r:id="rId44" ref="CE117"/>
    <hyperlink r:id="rId45" ref="CE119"/>
    <hyperlink r:id="rId46" ref="CE122"/>
    <hyperlink r:id="rId47" ref="CE124"/>
    <hyperlink r:id="rId48" ref="CE126"/>
    <hyperlink r:id="rId49" ref="CE128"/>
    <hyperlink r:id="rId50" ref="CE132"/>
    <hyperlink r:id="rId51" ref="CE134"/>
    <hyperlink r:id="rId52" ref="CE137"/>
    <hyperlink r:id="rId53" ref="CE139"/>
    <hyperlink r:id="rId54" ref="CE141"/>
    <hyperlink r:id="rId55" ref="CE143"/>
    <hyperlink r:id="rId56" ref="CE146"/>
    <hyperlink r:id="rId57" ref="CE148"/>
    <hyperlink r:id="rId58" ref="CE152"/>
    <hyperlink r:id="rId59" ref="CE154"/>
    <hyperlink r:id="rId60" ref="CE156"/>
    <hyperlink r:id="rId61" ref="CE159"/>
    <hyperlink r:id="rId62" ref="CE161"/>
    <hyperlink r:id="rId63" ref="CE163"/>
    <hyperlink r:id="rId64" ref="CE167"/>
    <hyperlink r:id="rId65" ref="CE169"/>
    <hyperlink r:id="rId66" ref="CE171"/>
    <hyperlink r:id="rId67" ref="CE178"/>
    <hyperlink r:id="rId68" ref="CE180"/>
    <hyperlink r:id="rId69" ref="CE182"/>
    <hyperlink r:id="rId70" ref="CE184"/>
    <hyperlink r:id="rId71" ref="CE188"/>
    <hyperlink r:id="rId72" ref="CE190"/>
    <hyperlink r:id="rId73" ref="CE192"/>
    <hyperlink r:id="rId74" ref="CE194"/>
    <hyperlink r:id="rId75" ref="CE198"/>
    <hyperlink r:id="rId76" ref="CE200"/>
    <hyperlink r:id="rId77" ref="CE204"/>
  </hyperlinks>
  <drawing r:id="rId7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showGridLines="0" workbookViewId="0"/>
  </sheetViews>
  <sheetFormatPr customHeight="1" defaultColWidth="12.63" defaultRowHeight="15.75"/>
  <cols>
    <col customWidth="1" hidden="1" min="1" max="17" width="3.88"/>
    <col customWidth="1" min="18" max="310" width="0.88"/>
  </cols>
  <sheetData>
    <row r="1" ht="5.25" customHeight="1">
      <c r="A1" s="54"/>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4"/>
      <c r="GJ1" s="54"/>
      <c r="GK1" s="54"/>
      <c r="GL1" s="54"/>
      <c r="GM1" s="54"/>
      <c r="GN1" s="54"/>
      <c r="GO1" s="54"/>
      <c r="GP1" s="54"/>
      <c r="GQ1" s="54"/>
      <c r="GR1" s="54"/>
      <c r="GS1" s="54"/>
      <c r="GT1" s="54"/>
      <c r="GU1" s="54"/>
      <c r="GV1" s="54"/>
      <c r="GW1" s="54"/>
      <c r="GX1" s="54"/>
      <c r="GY1" s="54"/>
      <c r="GZ1" s="54"/>
      <c r="HA1" s="54"/>
      <c r="HB1" s="54"/>
      <c r="HC1" s="54"/>
      <c r="HD1" s="54"/>
      <c r="HE1" s="54"/>
      <c r="HF1" s="54"/>
      <c r="HG1" s="54"/>
      <c r="HH1" s="54"/>
      <c r="HI1" s="54"/>
      <c r="HJ1" s="54"/>
      <c r="HK1" s="54"/>
      <c r="HL1" s="54"/>
      <c r="HM1" s="54"/>
      <c r="HN1" s="54"/>
      <c r="HO1" s="54"/>
      <c r="HP1" s="54"/>
      <c r="HQ1" s="54"/>
      <c r="HR1" s="54"/>
      <c r="HS1" s="54"/>
      <c r="HT1" s="54"/>
      <c r="HU1" s="54"/>
      <c r="HV1" s="54"/>
      <c r="HW1" s="54"/>
      <c r="HX1" s="54"/>
      <c r="HY1" s="54"/>
      <c r="HZ1" s="54"/>
      <c r="IA1" s="54"/>
      <c r="IB1" s="54"/>
      <c r="IC1" s="54"/>
      <c r="ID1" s="54"/>
      <c r="IE1" s="54"/>
      <c r="IF1" s="54"/>
      <c r="IG1" s="54"/>
      <c r="IH1" s="54"/>
      <c r="II1" s="54"/>
      <c r="IJ1" s="54"/>
      <c r="IK1" s="54"/>
      <c r="IL1" s="54"/>
      <c r="IM1" s="54"/>
      <c r="IN1" s="54"/>
      <c r="IO1" s="54"/>
      <c r="IP1" s="54"/>
      <c r="IQ1" s="54"/>
      <c r="IR1" s="54"/>
      <c r="IS1" s="54"/>
      <c r="IT1" s="54"/>
      <c r="IU1" s="54"/>
      <c r="IV1" s="54"/>
      <c r="IW1" s="54"/>
      <c r="IX1" s="54"/>
      <c r="IY1" s="54"/>
      <c r="IZ1" s="54"/>
      <c r="JA1" s="54"/>
      <c r="JB1" s="54"/>
      <c r="JC1" s="54"/>
      <c r="JD1" s="54"/>
      <c r="JE1" s="54"/>
      <c r="JF1" s="54"/>
      <c r="JG1" s="54"/>
      <c r="JH1" s="54"/>
      <c r="JI1" s="54"/>
      <c r="JJ1" s="54"/>
      <c r="JK1" s="54"/>
      <c r="JL1" s="54"/>
      <c r="JM1" s="54"/>
      <c r="JN1" s="54"/>
      <c r="JO1" s="54"/>
      <c r="JP1" s="54"/>
      <c r="JQ1" s="54"/>
      <c r="JR1" s="54"/>
      <c r="JS1" s="54"/>
      <c r="JT1" s="54"/>
      <c r="JU1" s="54"/>
      <c r="JV1" s="54"/>
      <c r="JW1" s="54"/>
      <c r="JX1" s="54"/>
      <c r="JY1" s="54"/>
      <c r="JZ1" s="54"/>
      <c r="KA1" s="54"/>
      <c r="KB1" s="54"/>
      <c r="KC1" s="54"/>
      <c r="KD1" s="54"/>
      <c r="KE1" s="54"/>
      <c r="KF1" s="54"/>
      <c r="KG1" s="54"/>
      <c r="KH1" s="54"/>
      <c r="KI1" s="54"/>
      <c r="KJ1" s="54"/>
      <c r="KK1" s="54"/>
      <c r="KL1" s="54"/>
      <c r="KM1" s="54"/>
      <c r="KN1" s="54"/>
      <c r="KO1" s="54"/>
      <c r="KP1" s="54"/>
      <c r="KQ1" s="54"/>
      <c r="KR1" s="54"/>
      <c r="KS1" s="54"/>
      <c r="KT1" s="54"/>
      <c r="KU1" s="54"/>
      <c r="KV1" s="54"/>
      <c r="KW1" s="54"/>
      <c r="KX1" s="54"/>
    </row>
    <row r="2" ht="5.25" customHeight="1">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c r="CG2" s="54"/>
      <c r="CH2" s="54"/>
      <c r="CI2" s="54"/>
      <c r="CJ2" s="54"/>
      <c r="CK2" s="54"/>
      <c r="CL2" s="54"/>
      <c r="CM2" s="54"/>
      <c r="CN2" s="54"/>
      <c r="CO2" s="54"/>
      <c r="CP2" s="54"/>
      <c r="CQ2" s="54"/>
      <c r="CR2" s="54"/>
      <c r="CS2" s="54"/>
      <c r="CT2" s="54"/>
      <c r="CU2" s="54"/>
      <c r="CV2" s="54"/>
      <c r="CW2" s="54"/>
      <c r="CX2" s="54"/>
      <c r="CY2" s="54"/>
      <c r="CZ2" s="54"/>
      <c r="DA2" s="54"/>
      <c r="DB2" s="54"/>
      <c r="DC2" s="54"/>
      <c r="DD2" s="54"/>
      <c r="DE2" s="54"/>
      <c r="DF2" s="54"/>
      <c r="DG2" s="54"/>
      <c r="DH2" s="54"/>
      <c r="DI2" s="54"/>
      <c r="DJ2" s="54"/>
      <c r="DK2" s="54"/>
      <c r="DL2" s="54"/>
      <c r="DM2" s="54"/>
      <c r="DN2" s="54"/>
      <c r="DO2" s="54"/>
      <c r="DP2" s="54"/>
      <c r="DQ2" s="54"/>
      <c r="DR2" s="54"/>
      <c r="DS2" s="54"/>
      <c r="DT2" s="54"/>
      <c r="DU2" s="54"/>
      <c r="DV2" s="54"/>
      <c r="DW2" s="54"/>
      <c r="DX2" s="54"/>
      <c r="DY2" s="54"/>
      <c r="DZ2" s="54"/>
      <c r="EA2" s="54"/>
      <c r="EB2" s="54"/>
      <c r="EC2" s="54"/>
      <c r="ED2" s="54"/>
      <c r="EE2" s="54"/>
      <c r="EF2" s="54"/>
      <c r="EG2" s="54"/>
      <c r="EH2" s="54"/>
      <c r="EI2" s="54"/>
      <c r="EJ2" s="54"/>
      <c r="EK2" s="54"/>
      <c r="EL2" s="54"/>
      <c r="EM2" s="54"/>
      <c r="EN2" s="54"/>
      <c r="EO2" s="54"/>
      <c r="EP2" s="54"/>
      <c r="EQ2" s="54"/>
      <c r="ER2" s="54"/>
      <c r="ES2" s="54"/>
      <c r="ET2" s="54"/>
      <c r="EU2" s="54"/>
      <c r="EV2" s="54"/>
      <c r="EW2" s="54"/>
      <c r="EX2" s="54"/>
      <c r="EY2" s="54"/>
      <c r="EZ2" s="54"/>
      <c r="FA2" s="54"/>
      <c r="FB2" s="54"/>
      <c r="FC2" s="54"/>
      <c r="FD2" s="54"/>
      <c r="FE2" s="54"/>
      <c r="FF2" s="54"/>
      <c r="FG2" s="54"/>
      <c r="FH2" s="54"/>
      <c r="FI2" s="54"/>
      <c r="FJ2" s="54"/>
      <c r="FK2" s="54"/>
      <c r="FL2" s="54"/>
      <c r="FM2" s="54"/>
      <c r="FN2" s="54"/>
      <c r="FO2" s="54"/>
      <c r="FP2" s="54"/>
      <c r="FQ2" s="54"/>
      <c r="FR2" s="54"/>
      <c r="FS2" s="54"/>
      <c r="FT2" s="54"/>
      <c r="FU2" s="54"/>
      <c r="FV2" s="54"/>
      <c r="FW2" s="54"/>
      <c r="FX2" s="54"/>
      <c r="FY2" s="54"/>
      <c r="FZ2" s="54"/>
      <c r="GA2" s="54"/>
      <c r="GB2" s="54"/>
      <c r="GC2" s="54"/>
      <c r="GD2" s="54"/>
      <c r="GE2" s="54"/>
      <c r="GF2" s="54"/>
      <c r="GG2" s="54"/>
      <c r="GH2" s="54"/>
      <c r="GI2" s="54"/>
      <c r="GJ2" s="54"/>
      <c r="GK2" s="54"/>
      <c r="GL2" s="54"/>
      <c r="GM2" s="54"/>
      <c r="GN2" s="54"/>
      <c r="GO2" s="54"/>
      <c r="GP2" s="54"/>
      <c r="GQ2" s="54"/>
      <c r="GR2" s="54"/>
      <c r="GS2" s="54"/>
      <c r="GT2" s="54"/>
      <c r="GU2" s="54"/>
      <c r="GV2" s="54"/>
      <c r="GW2" s="54"/>
      <c r="GX2" s="54"/>
      <c r="GY2" s="54"/>
      <c r="GZ2" s="54"/>
      <c r="HA2" s="54"/>
      <c r="HB2" s="54"/>
      <c r="HC2" s="54"/>
      <c r="HD2" s="54"/>
      <c r="HE2" s="54"/>
      <c r="HF2" s="54"/>
      <c r="HG2" s="54"/>
      <c r="HH2" s="54"/>
      <c r="HI2" s="54"/>
      <c r="HJ2" s="54"/>
      <c r="HK2" s="54"/>
      <c r="HL2" s="54"/>
      <c r="HM2" s="54"/>
      <c r="HN2" s="54"/>
      <c r="HO2" s="54"/>
      <c r="HP2" s="54"/>
      <c r="HQ2" s="54"/>
      <c r="HR2" s="54"/>
      <c r="HS2" s="54"/>
      <c r="HT2" s="54"/>
      <c r="HU2" s="54"/>
      <c r="HV2" s="54"/>
      <c r="HW2" s="54"/>
      <c r="HX2" s="54"/>
      <c r="HY2" s="54"/>
      <c r="HZ2" s="54"/>
      <c r="IA2" s="54"/>
      <c r="IB2" s="54"/>
      <c r="IC2" s="54"/>
      <c r="ID2" s="54"/>
      <c r="IE2" s="54"/>
      <c r="IF2" s="54"/>
      <c r="IG2" s="54"/>
      <c r="IH2" s="54"/>
      <c r="II2" s="54"/>
      <c r="IJ2" s="54"/>
      <c r="IK2" s="54"/>
      <c r="IL2" s="54"/>
      <c r="IM2" s="54"/>
      <c r="IN2" s="54"/>
      <c r="IO2" s="54"/>
      <c r="IP2" s="54"/>
      <c r="IQ2" s="54"/>
      <c r="IR2" s="54"/>
      <c r="IS2" s="54"/>
      <c r="IT2" s="54"/>
      <c r="IU2" s="54"/>
      <c r="IV2" s="54"/>
      <c r="IW2" s="54"/>
      <c r="IX2" s="54"/>
      <c r="IY2" s="54"/>
      <c r="IZ2" s="54"/>
      <c r="JA2" s="54"/>
      <c r="JB2" s="54"/>
      <c r="JC2" s="54"/>
      <c r="JD2" s="54"/>
      <c r="JE2" s="54"/>
      <c r="JF2" s="54"/>
      <c r="JG2" s="54"/>
      <c r="JH2" s="54"/>
      <c r="JI2" s="54"/>
      <c r="JJ2" s="54"/>
      <c r="JK2" s="54"/>
      <c r="JL2" s="54"/>
      <c r="JM2" s="54"/>
      <c r="JN2" s="54"/>
      <c r="JO2" s="54"/>
      <c r="JP2" s="54"/>
      <c r="JQ2" s="54"/>
      <c r="JR2" s="54"/>
      <c r="JS2" s="54"/>
      <c r="JT2" s="54"/>
      <c r="JU2" s="54"/>
      <c r="JV2" s="54"/>
      <c r="JW2" s="54"/>
      <c r="JX2" s="54"/>
      <c r="JY2" s="54"/>
      <c r="JZ2" s="54"/>
      <c r="KA2" s="54"/>
      <c r="KB2" s="54"/>
      <c r="KC2" s="54"/>
      <c r="KD2" s="54"/>
      <c r="KE2" s="54"/>
      <c r="KF2" s="54"/>
      <c r="KG2" s="54"/>
      <c r="KH2" s="54"/>
      <c r="KI2" s="54"/>
      <c r="KJ2" s="54"/>
      <c r="KK2" s="54"/>
      <c r="KL2" s="54"/>
      <c r="KM2" s="54"/>
      <c r="KN2" s="54"/>
      <c r="KO2" s="54"/>
      <c r="KP2" s="54"/>
      <c r="KQ2" s="54"/>
      <c r="KR2" s="54"/>
      <c r="KS2" s="54"/>
      <c r="KT2" s="54"/>
      <c r="KU2" s="54"/>
      <c r="KV2" s="54"/>
      <c r="KW2" s="54"/>
      <c r="KX2" s="54"/>
    </row>
    <row r="3" ht="5.25" customHeight="1">
      <c r="A3" s="54"/>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c r="CG3" s="54"/>
      <c r="CH3" s="54"/>
      <c r="CI3" s="54"/>
      <c r="CJ3" s="54"/>
      <c r="CK3" s="54"/>
      <c r="CL3" s="54"/>
      <c r="CM3" s="54"/>
      <c r="CN3" s="54"/>
      <c r="CO3" s="54"/>
      <c r="CP3" s="54"/>
      <c r="CQ3" s="54"/>
      <c r="CR3" s="54"/>
      <c r="CS3" s="54"/>
      <c r="CT3" s="54"/>
      <c r="CU3" s="54"/>
      <c r="CV3" s="54"/>
      <c r="CW3" s="54"/>
      <c r="CX3" s="54"/>
      <c r="CY3" s="54"/>
      <c r="CZ3" s="54"/>
      <c r="DA3" s="54"/>
      <c r="DB3" s="54"/>
      <c r="DC3" s="54"/>
      <c r="DD3" s="54"/>
      <c r="DE3" s="54"/>
      <c r="DF3" s="54"/>
      <c r="DG3" s="54"/>
      <c r="DH3" s="54"/>
      <c r="DI3" s="54"/>
      <c r="DJ3" s="54"/>
      <c r="DK3" s="54"/>
      <c r="DL3" s="54"/>
      <c r="DM3" s="54"/>
      <c r="DN3" s="54"/>
      <c r="DO3" s="54"/>
      <c r="DP3" s="54"/>
      <c r="DQ3" s="54"/>
      <c r="DR3" s="54"/>
      <c r="DS3" s="54"/>
      <c r="DT3" s="54"/>
      <c r="DU3" s="54"/>
      <c r="DV3" s="54"/>
      <c r="DW3" s="54"/>
      <c r="DX3" s="54"/>
      <c r="DY3" s="54"/>
      <c r="DZ3" s="54"/>
      <c r="EA3" s="54"/>
      <c r="EB3" s="54"/>
      <c r="EC3" s="54"/>
      <c r="ED3" s="54"/>
      <c r="EE3" s="54"/>
      <c r="EF3" s="54"/>
      <c r="EG3" s="54"/>
      <c r="EH3" s="54"/>
      <c r="EI3" s="54"/>
      <c r="EJ3" s="54"/>
      <c r="EK3" s="54"/>
      <c r="EL3" s="54"/>
      <c r="EM3" s="54"/>
      <c r="EN3" s="54"/>
      <c r="EO3" s="54"/>
      <c r="EP3" s="54"/>
      <c r="EQ3" s="54"/>
      <c r="ER3" s="54"/>
      <c r="ES3" s="54"/>
      <c r="ET3" s="54"/>
      <c r="EU3" s="54"/>
      <c r="EV3" s="54"/>
      <c r="EW3" s="54"/>
      <c r="EX3" s="54"/>
      <c r="EY3" s="54"/>
      <c r="EZ3" s="54"/>
      <c r="FA3" s="54"/>
      <c r="FB3" s="54"/>
      <c r="FC3" s="54"/>
      <c r="FD3" s="54"/>
      <c r="FE3" s="54"/>
      <c r="FF3" s="54"/>
      <c r="FG3" s="54"/>
      <c r="FH3" s="54"/>
      <c r="FI3" s="54"/>
      <c r="FJ3" s="54"/>
      <c r="FK3" s="54"/>
      <c r="FL3" s="54"/>
      <c r="FM3" s="54"/>
      <c r="FN3" s="54"/>
      <c r="FO3" s="54"/>
      <c r="FP3" s="54"/>
      <c r="FQ3" s="54"/>
      <c r="FR3" s="54"/>
      <c r="FS3" s="54"/>
      <c r="FT3" s="54"/>
      <c r="FU3" s="54"/>
      <c r="FV3" s="54"/>
      <c r="FW3" s="54"/>
      <c r="FX3" s="54"/>
      <c r="FY3" s="54"/>
      <c r="FZ3" s="54"/>
      <c r="GA3" s="54"/>
      <c r="GB3" s="54"/>
      <c r="GC3" s="54"/>
      <c r="GD3" s="54"/>
      <c r="GE3" s="54"/>
      <c r="GF3" s="54"/>
      <c r="GG3" s="54"/>
      <c r="GH3" s="54"/>
      <c r="GI3" s="54"/>
      <c r="GJ3" s="54"/>
      <c r="GK3" s="54"/>
      <c r="GL3" s="54"/>
      <c r="GM3" s="54"/>
      <c r="GN3" s="54"/>
      <c r="GO3" s="54"/>
      <c r="GP3" s="54"/>
      <c r="GQ3" s="54"/>
      <c r="GR3" s="54"/>
      <c r="GS3" s="54"/>
      <c r="GT3" s="54"/>
      <c r="GU3" s="54"/>
      <c r="GV3" s="54"/>
      <c r="GW3" s="54"/>
      <c r="GX3" s="54"/>
      <c r="GY3" s="54"/>
      <c r="GZ3" s="54"/>
      <c r="HA3" s="54"/>
      <c r="HB3" s="54"/>
      <c r="HC3" s="54"/>
      <c r="HD3" s="54"/>
      <c r="HE3" s="54"/>
      <c r="HF3" s="54"/>
      <c r="HG3" s="54"/>
      <c r="HH3" s="54"/>
      <c r="HI3" s="54"/>
      <c r="HJ3" s="54"/>
      <c r="HK3" s="54"/>
      <c r="HL3" s="54"/>
      <c r="HM3" s="54"/>
      <c r="HN3" s="54"/>
      <c r="HO3" s="54"/>
      <c r="HP3" s="54"/>
      <c r="HQ3" s="54"/>
      <c r="HR3" s="54"/>
      <c r="HS3" s="54"/>
      <c r="HT3" s="54"/>
      <c r="HU3" s="54"/>
      <c r="HV3" s="54"/>
      <c r="HW3" s="54"/>
      <c r="HX3" s="54"/>
      <c r="HY3" s="54"/>
      <c r="HZ3" s="54"/>
      <c r="IA3" s="54"/>
      <c r="IB3" s="54"/>
      <c r="IC3" s="54"/>
      <c r="ID3" s="54"/>
      <c r="IE3" s="54"/>
      <c r="IF3" s="54"/>
      <c r="IG3" s="54"/>
      <c r="IH3" s="54"/>
      <c r="II3" s="54"/>
      <c r="IJ3" s="54"/>
      <c r="IK3" s="54"/>
      <c r="IL3" s="54"/>
      <c r="IM3" s="54"/>
      <c r="IN3" s="54"/>
      <c r="IO3" s="54"/>
      <c r="IP3" s="54"/>
      <c r="IQ3" s="54"/>
      <c r="IR3" s="54"/>
      <c r="IS3" s="54"/>
      <c r="IT3" s="54"/>
      <c r="IU3" s="54"/>
      <c r="IV3" s="54"/>
      <c r="IW3" s="54"/>
      <c r="IX3" s="54"/>
      <c r="IY3" s="54"/>
      <c r="IZ3" s="54"/>
      <c r="JA3" s="54"/>
      <c r="JB3" s="54"/>
      <c r="JC3" s="54"/>
      <c r="JD3" s="54"/>
      <c r="JE3" s="54"/>
      <c r="JF3" s="54"/>
      <c r="JG3" s="54"/>
      <c r="JH3" s="54"/>
      <c r="JI3" s="54"/>
      <c r="JJ3" s="54"/>
      <c r="JK3" s="54"/>
      <c r="JL3" s="54"/>
      <c r="JM3" s="54"/>
      <c r="JN3" s="54"/>
      <c r="JO3" s="54"/>
      <c r="JP3" s="54"/>
      <c r="JQ3" s="54"/>
      <c r="JR3" s="54"/>
      <c r="JS3" s="54"/>
      <c r="JT3" s="54"/>
      <c r="JU3" s="54"/>
      <c r="JV3" s="54"/>
      <c r="JW3" s="54"/>
      <c r="JX3" s="54"/>
      <c r="JY3" s="54"/>
      <c r="JZ3" s="54"/>
      <c r="KA3" s="54"/>
      <c r="KB3" s="54"/>
      <c r="KC3" s="54"/>
      <c r="KD3" s="54"/>
      <c r="KE3" s="54"/>
      <c r="KF3" s="54"/>
      <c r="KG3" s="54"/>
      <c r="KH3" s="54"/>
      <c r="KI3" s="54"/>
      <c r="KJ3" s="54"/>
      <c r="KK3" s="54"/>
      <c r="KL3" s="54"/>
      <c r="KM3" s="54"/>
      <c r="KN3" s="54"/>
      <c r="KO3" s="54"/>
      <c r="KP3" s="54"/>
      <c r="KQ3" s="54"/>
      <c r="KR3" s="54"/>
      <c r="KS3" s="54"/>
      <c r="KT3" s="54"/>
      <c r="KU3" s="54"/>
      <c r="KV3" s="54"/>
      <c r="KW3" s="54"/>
      <c r="KX3" s="54"/>
    </row>
    <row r="4" ht="5.25" customHeight="1">
      <c r="A4" s="54"/>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c r="BU4" s="54"/>
      <c r="BV4" s="54"/>
      <c r="BW4" s="54"/>
      <c r="BX4" s="54"/>
      <c r="BY4" s="54"/>
      <c r="BZ4" s="54"/>
      <c r="CA4" s="54"/>
      <c r="CB4" s="54"/>
      <c r="CC4" s="54"/>
      <c r="CD4" s="54"/>
      <c r="CE4" s="54"/>
      <c r="CF4" s="54"/>
      <c r="CG4" s="54"/>
      <c r="CH4" s="54"/>
      <c r="CI4" s="54"/>
      <c r="CJ4" s="54"/>
      <c r="CK4" s="54"/>
      <c r="CL4" s="54"/>
      <c r="CM4" s="54"/>
      <c r="CN4" s="54"/>
      <c r="CO4" s="54"/>
      <c r="CP4" s="54"/>
      <c r="CQ4" s="54"/>
      <c r="CR4" s="54"/>
      <c r="CS4" s="54"/>
      <c r="CT4" s="54"/>
      <c r="CU4" s="54"/>
      <c r="CV4" s="54"/>
      <c r="CW4" s="54"/>
      <c r="CX4" s="54"/>
      <c r="CY4" s="54"/>
      <c r="CZ4" s="54"/>
      <c r="DA4" s="54"/>
      <c r="DB4" s="54"/>
      <c r="DC4" s="54"/>
      <c r="DD4" s="54"/>
      <c r="DE4" s="54"/>
      <c r="DF4" s="54"/>
      <c r="DG4" s="54"/>
      <c r="DH4" s="54"/>
      <c r="DI4" s="54"/>
      <c r="DJ4" s="54"/>
      <c r="DK4" s="54"/>
      <c r="DL4" s="54"/>
      <c r="DM4" s="54"/>
      <c r="DN4" s="54"/>
      <c r="DO4" s="54"/>
      <c r="DP4" s="54"/>
      <c r="DQ4" s="54"/>
      <c r="DR4" s="54"/>
      <c r="DS4" s="54"/>
      <c r="DT4" s="54"/>
      <c r="DU4" s="54"/>
      <c r="DV4" s="54"/>
      <c r="DW4" s="54"/>
      <c r="DX4" s="54"/>
      <c r="DY4" s="54"/>
      <c r="DZ4" s="54"/>
      <c r="EA4" s="54"/>
      <c r="EB4" s="54"/>
      <c r="EC4" s="54"/>
      <c r="ED4" s="54"/>
      <c r="EE4" s="54"/>
      <c r="EF4" s="54"/>
      <c r="EG4" s="54"/>
      <c r="EH4" s="54"/>
      <c r="EI4" s="54"/>
      <c r="EJ4" s="54"/>
      <c r="EK4" s="54"/>
      <c r="EL4" s="54"/>
      <c r="EM4" s="54"/>
      <c r="EN4" s="54"/>
      <c r="EO4" s="54"/>
      <c r="EP4" s="54"/>
      <c r="EQ4" s="54"/>
      <c r="ER4" s="54"/>
      <c r="ES4" s="54"/>
      <c r="ET4" s="54"/>
      <c r="EU4" s="54"/>
      <c r="EV4" s="54"/>
      <c r="EW4" s="54"/>
      <c r="EX4" s="54"/>
      <c r="EY4" s="54"/>
      <c r="EZ4" s="54"/>
      <c r="FA4" s="54"/>
      <c r="FB4" s="54"/>
      <c r="FC4" s="54"/>
      <c r="FD4" s="54"/>
      <c r="FE4" s="54"/>
      <c r="FF4" s="54"/>
      <c r="FG4" s="54"/>
      <c r="FH4" s="54"/>
      <c r="FI4" s="54"/>
      <c r="FJ4" s="54"/>
      <c r="FK4" s="54"/>
      <c r="FL4" s="54"/>
      <c r="FM4" s="54"/>
      <c r="FN4" s="54"/>
      <c r="FO4" s="54"/>
      <c r="FP4" s="54"/>
      <c r="FQ4" s="54"/>
      <c r="FR4" s="54"/>
      <c r="FS4" s="54"/>
      <c r="FT4" s="54"/>
      <c r="FU4" s="54"/>
      <c r="FV4" s="54"/>
      <c r="FW4" s="54"/>
      <c r="FX4" s="54"/>
      <c r="FY4" s="54"/>
      <c r="FZ4" s="54"/>
      <c r="GA4" s="54"/>
      <c r="GB4" s="54"/>
      <c r="GC4" s="54"/>
      <c r="GD4" s="54"/>
      <c r="GE4" s="54"/>
      <c r="GF4" s="54"/>
      <c r="GG4" s="54"/>
      <c r="GH4" s="54"/>
      <c r="GI4" s="54"/>
      <c r="GJ4" s="54"/>
      <c r="GK4" s="54"/>
      <c r="GL4" s="54"/>
      <c r="GM4" s="54"/>
      <c r="GN4" s="54"/>
      <c r="GO4" s="54"/>
      <c r="GP4" s="54"/>
      <c r="GQ4" s="54"/>
      <c r="GR4" s="54"/>
      <c r="GS4" s="54"/>
      <c r="GT4" s="54"/>
      <c r="GU4" s="54"/>
      <c r="GV4" s="54"/>
      <c r="GW4" s="54"/>
      <c r="GX4" s="54"/>
      <c r="GY4" s="54"/>
      <c r="GZ4" s="54"/>
      <c r="HA4" s="54"/>
      <c r="HB4" s="54"/>
      <c r="HC4" s="54"/>
      <c r="HD4" s="54"/>
      <c r="HE4" s="54"/>
      <c r="HF4" s="54"/>
      <c r="HG4" s="54"/>
      <c r="HH4" s="54"/>
      <c r="HI4" s="54"/>
      <c r="HJ4" s="54"/>
      <c r="HK4" s="54"/>
      <c r="HL4" s="54"/>
      <c r="HM4" s="54"/>
      <c r="HN4" s="54"/>
      <c r="HO4" s="54"/>
      <c r="HP4" s="54"/>
      <c r="HQ4" s="54"/>
      <c r="HR4" s="54"/>
      <c r="HS4" s="54"/>
      <c r="HT4" s="54"/>
      <c r="HU4" s="54"/>
      <c r="HV4" s="54"/>
      <c r="HW4" s="54"/>
      <c r="HX4" s="54"/>
      <c r="HY4" s="54"/>
      <c r="HZ4" s="54"/>
      <c r="IA4" s="54"/>
      <c r="IB4" s="54"/>
      <c r="IC4" s="54"/>
      <c r="ID4" s="54"/>
      <c r="IE4" s="54"/>
      <c r="IF4" s="54"/>
      <c r="IG4" s="54"/>
      <c r="IH4" s="54"/>
      <c r="II4" s="54"/>
      <c r="IJ4" s="54"/>
      <c r="IK4" s="54"/>
      <c r="IL4" s="54"/>
      <c r="IM4" s="54"/>
      <c r="IN4" s="54"/>
      <c r="IO4" s="54"/>
      <c r="IP4" s="54"/>
      <c r="IQ4" s="54"/>
      <c r="IR4" s="54"/>
      <c r="IS4" s="54"/>
      <c r="IT4" s="54"/>
      <c r="IU4" s="54"/>
      <c r="IV4" s="54"/>
      <c r="IW4" s="54"/>
      <c r="IX4" s="54"/>
      <c r="IY4" s="54"/>
      <c r="IZ4" s="54"/>
      <c r="JA4" s="54"/>
      <c r="JB4" s="54"/>
      <c r="JC4" s="54"/>
      <c r="JD4" s="54"/>
      <c r="JE4" s="54"/>
      <c r="JF4" s="54"/>
      <c r="JG4" s="54"/>
      <c r="JH4" s="54"/>
      <c r="JI4" s="54"/>
      <c r="JJ4" s="54"/>
      <c r="JK4" s="54"/>
      <c r="JL4" s="54"/>
      <c r="JM4" s="54"/>
      <c r="JN4" s="54"/>
      <c r="JO4" s="54"/>
      <c r="JP4" s="54"/>
      <c r="JQ4" s="54"/>
      <c r="JR4" s="54"/>
      <c r="JS4" s="54"/>
      <c r="JT4" s="54"/>
      <c r="JU4" s="54"/>
      <c r="JV4" s="54"/>
      <c r="JW4" s="54"/>
      <c r="JX4" s="54"/>
      <c r="JY4" s="54"/>
      <c r="JZ4" s="54"/>
      <c r="KA4" s="54"/>
      <c r="KB4" s="54"/>
      <c r="KC4" s="54"/>
      <c r="KD4" s="54"/>
      <c r="KE4" s="54"/>
      <c r="KF4" s="54"/>
      <c r="KG4" s="54"/>
      <c r="KH4" s="54"/>
      <c r="KI4" s="54"/>
      <c r="KJ4" s="54"/>
      <c r="KK4" s="54"/>
      <c r="KL4" s="54"/>
      <c r="KM4" s="54"/>
      <c r="KN4" s="54"/>
      <c r="KO4" s="54"/>
      <c r="KP4" s="54"/>
      <c r="KQ4" s="54"/>
      <c r="KR4" s="54"/>
      <c r="KS4" s="54"/>
      <c r="KT4" s="54"/>
      <c r="KU4" s="54"/>
      <c r="KV4" s="54"/>
      <c r="KW4" s="54"/>
      <c r="KX4" s="54"/>
    </row>
    <row r="5" ht="5.25" customHeight="1">
      <c r="A5" s="54"/>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c r="DB5" s="54"/>
      <c r="DC5" s="54"/>
      <c r="DD5" s="55"/>
      <c r="DE5" s="54"/>
      <c r="DF5" s="54"/>
      <c r="DG5" s="54"/>
      <c r="DH5" s="54"/>
      <c r="DI5" s="54"/>
      <c r="DJ5" s="54"/>
      <c r="DK5" s="54"/>
      <c r="DL5" s="54"/>
      <c r="DM5" s="54"/>
      <c r="DN5" s="54"/>
      <c r="DO5" s="54"/>
      <c r="DP5" s="54"/>
      <c r="DQ5" s="54"/>
      <c r="DR5" s="54"/>
      <c r="DS5" s="54"/>
      <c r="DT5" s="54"/>
      <c r="DU5" s="54"/>
      <c r="DV5" s="54"/>
      <c r="DW5" s="54"/>
      <c r="DX5" s="54"/>
      <c r="DY5" s="54"/>
      <c r="DZ5" s="54"/>
      <c r="EA5" s="54"/>
      <c r="EB5" s="54"/>
      <c r="EC5" s="54"/>
      <c r="ED5" s="54"/>
      <c r="EE5" s="54"/>
      <c r="EF5" s="54"/>
      <c r="EG5" s="54"/>
      <c r="EH5" s="54"/>
      <c r="EI5" s="54"/>
      <c r="EJ5" s="54"/>
      <c r="EK5" s="54"/>
      <c r="EL5" s="54"/>
      <c r="EM5" s="54"/>
      <c r="EN5" s="54"/>
      <c r="EO5" s="54"/>
      <c r="EP5" s="54"/>
      <c r="EQ5" s="54"/>
      <c r="ER5" s="54"/>
      <c r="ES5" s="54"/>
      <c r="ET5" s="54"/>
      <c r="EU5" s="54"/>
      <c r="EV5" s="54"/>
      <c r="EW5" s="54"/>
      <c r="EX5" s="54"/>
      <c r="EY5" s="54"/>
      <c r="EZ5" s="54"/>
      <c r="FA5" s="54"/>
      <c r="FB5" s="54"/>
      <c r="FC5" s="54"/>
      <c r="FD5" s="54"/>
      <c r="FE5" s="54"/>
      <c r="FF5" s="54"/>
      <c r="FG5" s="54"/>
      <c r="FH5" s="54"/>
      <c r="FI5" s="54"/>
      <c r="FJ5" s="54"/>
      <c r="FK5" s="54"/>
      <c r="FL5" s="54"/>
      <c r="FM5" s="54"/>
      <c r="FN5" s="54"/>
      <c r="FO5" s="54"/>
      <c r="FP5" s="54"/>
      <c r="FQ5" s="54"/>
      <c r="FR5" s="54"/>
      <c r="FS5" s="54"/>
      <c r="FT5" s="54"/>
      <c r="FU5" s="54"/>
      <c r="FV5" s="54"/>
      <c r="FW5" s="54"/>
      <c r="FX5" s="54"/>
      <c r="FY5" s="54"/>
      <c r="FZ5" s="54"/>
      <c r="GA5" s="54"/>
      <c r="GB5" s="54"/>
      <c r="GC5" s="54"/>
      <c r="GD5" s="54"/>
      <c r="GE5" s="54"/>
      <c r="GF5" s="54"/>
      <c r="GG5" s="54"/>
      <c r="GH5" s="54"/>
      <c r="GI5" s="54"/>
      <c r="GJ5" s="54"/>
      <c r="GK5" s="54"/>
      <c r="GL5" s="54"/>
      <c r="GM5" s="54"/>
      <c r="GN5" s="54"/>
      <c r="GO5" s="54"/>
      <c r="GP5" s="54"/>
      <c r="GQ5" s="54"/>
      <c r="GR5" s="54"/>
      <c r="GS5" s="54"/>
      <c r="GT5" s="54"/>
      <c r="GU5" s="54"/>
      <c r="GV5" s="54"/>
      <c r="GW5" s="54"/>
      <c r="GX5" s="54"/>
      <c r="GY5" s="54"/>
      <c r="GZ5" s="54"/>
      <c r="HA5" s="54"/>
      <c r="HB5" s="54"/>
      <c r="HC5" s="54"/>
      <c r="HD5" s="54"/>
      <c r="HE5" s="54"/>
      <c r="HF5" s="54"/>
      <c r="HG5" s="54"/>
      <c r="HH5" s="54"/>
      <c r="HI5" s="54"/>
      <c r="HJ5" s="54"/>
      <c r="HK5" s="54"/>
      <c r="HL5" s="54"/>
      <c r="HM5" s="54"/>
      <c r="HN5" s="54"/>
      <c r="HO5" s="54"/>
      <c r="HP5" s="54"/>
      <c r="HQ5" s="54"/>
      <c r="HR5" s="54"/>
      <c r="HS5" s="54"/>
      <c r="HT5" s="54"/>
      <c r="HU5" s="54"/>
      <c r="HV5" s="54"/>
      <c r="HW5" s="54"/>
      <c r="HX5" s="54"/>
      <c r="HY5" s="54"/>
      <c r="HZ5" s="54"/>
      <c r="IA5" s="54"/>
      <c r="IB5" s="54"/>
      <c r="IC5" s="54"/>
      <c r="ID5" s="54"/>
      <c r="IE5" s="54"/>
      <c r="IF5" s="54"/>
      <c r="IG5" s="54"/>
      <c r="IH5" s="54"/>
      <c r="II5" s="54"/>
      <c r="IJ5" s="54"/>
      <c r="IK5" s="54"/>
      <c r="IL5" s="54"/>
      <c r="IM5" s="54"/>
      <c r="IN5" s="54"/>
      <c r="IO5" s="54"/>
      <c r="IP5" s="54"/>
      <c r="IQ5" s="54"/>
      <c r="IR5" s="54"/>
      <c r="IS5" s="54"/>
      <c r="IT5" s="54"/>
      <c r="IU5" s="54"/>
      <c r="IV5" s="54"/>
      <c r="IW5" s="54"/>
      <c r="IX5" s="54"/>
      <c r="IY5" s="54"/>
      <c r="IZ5" s="54"/>
      <c r="JA5" s="54"/>
      <c r="JB5" s="54"/>
      <c r="JC5" s="54"/>
      <c r="JD5" s="54"/>
      <c r="JE5" s="54"/>
      <c r="JF5" s="54"/>
      <c r="JG5" s="54"/>
      <c r="JH5" s="54"/>
      <c r="JI5" s="54"/>
      <c r="JJ5" s="54"/>
      <c r="JK5" s="54"/>
      <c r="JL5" s="54"/>
      <c r="JM5" s="54"/>
      <c r="JN5" s="54"/>
      <c r="JO5" s="54"/>
      <c r="JP5" s="54"/>
      <c r="JQ5" s="54"/>
      <c r="JR5" s="54"/>
      <c r="JS5" s="54"/>
      <c r="JT5" s="54"/>
      <c r="JU5" s="54"/>
      <c r="JV5" s="54"/>
      <c r="JW5" s="54"/>
      <c r="JX5" s="54"/>
      <c r="JY5" s="54"/>
      <c r="JZ5" s="54"/>
      <c r="KA5" s="54"/>
      <c r="KB5" s="54"/>
      <c r="KC5" s="54"/>
      <c r="KD5" s="54"/>
      <c r="KE5" s="54"/>
      <c r="KF5" s="54"/>
      <c r="KG5" s="54"/>
      <c r="KH5" s="54"/>
      <c r="KI5" s="54"/>
      <c r="KJ5" s="54"/>
      <c r="KK5" s="54"/>
      <c r="KL5" s="54"/>
      <c r="KM5" s="54"/>
      <c r="KN5" s="54"/>
      <c r="KO5" s="54"/>
      <c r="KP5" s="54"/>
      <c r="KQ5" s="54"/>
      <c r="KR5" s="54"/>
      <c r="KS5" s="54"/>
      <c r="KT5" s="54"/>
      <c r="KU5" s="54"/>
      <c r="KV5" s="54"/>
      <c r="KW5" s="54"/>
      <c r="KX5" s="54"/>
    </row>
    <row r="6" ht="5.25" customHeight="1">
      <c r="A6" s="54"/>
      <c r="B6" s="54"/>
      <c r="C6" s="54"/>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c r="BN6" s="54"/>
      <c r="BO6" s="54"/>
      <c r="BP6" s="54"/>
      <c r="BQ6" s="54"/>
      <c r="BR6" s="54"/>
      <c r="BS6" s="54"/>
      <c r="BT6" s="54"/>
      <c r="BU6" s="54"/>
      <c r="BV6" s="54"/>
      <c r="BW6" s="54"/>
      <c r="BX6" s="54"/>
      <c r="BY6" s="54"/>
      <c r="BZ6" s="54"/>
      <c r="CA6" s="54"/>
      <c r="CB6" s="54"/>
      <c r="CC6" s="54"/>
      <c r="CD6" s="54"/>
      <c r="CE6" s="54"/>
      <c r="CF6" s="54"/>
      <c r="CG6" s="54"/>
      <c r="CH6" s="54"/>
      <c r="CI6" s="54"/>
      <c r="CJ6" s="54"/>
      <c r="CK6" s="54"/>
      <c r="CL6" s="54"/>
      <c r="CM6" s="54"/>
      <c r="CN6" s="54"/>
      <c r="CO6" s="54"/>
      <c r="CP6" s="54"/>
      <c r="CQ6" s="54"/>
      <c r="CR6" s="54"/>
      <c r="CS6" s="54"/>
      <c r="CT6" s="54"/>
      <c r="CU6" s="54"/>
      <c r="CV6" s="54"/>
      <c r="CW6" s="54"/>
      <c r="CX6" s="54"/>
      <c r="CY6" s="54"/>
      <c r="CZ6" s="54"/>
      <c r="DA6" s="54"/>
      <c r="DB6" s="54"/>
      <c r="DC6" s="54"/>
      <c r="DD6" s="56">
        <f>IF(or(ED18="",EH18="",ED25="",EH25="",ED32="",EH32="",ED39="",EH39="",ED46="",EH46="",ED53="",EH53="",ED60="",EH60="",ED67="",EH67=""),0,1)</f>
        <v>0</v>
      </c>
      <c r="DE6" s="54"/>
      <c r="DF6" s="54"/>
      <c r="DG6" s="54"/>
      <c r="DH6" s="54"/>
      <c r="DI6" s="54"/>
      <c r="DJ6" s="54"/>
      <c r="DK6" s="54"/>
      <c r="DL6" s="54"/>
      <c r="DM6" s="54"/>
      <c r="DN6" s="54"/>
      <c r="DO6" s="54"/>
      <c r="DP6" s="54"/>
      <c r="DQ6" s="54"/>
      <c r="DR6" s="54"/>
      <c r="DS6" s="54"/>
      <c r="DT6" s="54"/>
      <c r="DU6" s="54"/>
      <c r="DV6" s="54"/>
      <c r="DW6" s="54"/>
      <c r="DX6" s="54"/>
      <c r="DY6" s="54"/>
      <c r="DZ6" s="54"/>
      <c r="EA6" s="54"/>
      <c r="EB6" s="54"/>
      <c r="EC6" s="54"/>
      <c r="ED6" s="54"/>
      <c r="EE6" s="54"/>
      <c r="EF6" s="54"/>
      <c r="EG6" s="54"/>
      <c r="EH6" s="54"/>
      <c r="EI6" s="54"/>
      <c r="EJ6" s="54"/>
      <c r="EK6" s="54"/>
      <c r="EL6" s="54"/>
      <c r="EM6" s="54"/>
      <c r="EN6" s="54"/>
      <c r="EO6" s="54"/>
      <c r="EP6" s="54"/>
      <c r="EQ6" s="54"/>
      <c r="ER6" s="54"/>
      <c r="ES6" s="54"/>
      <c r="ET6" s="54"/>
      <c r="EU6" s="54"/>
      <c r="EV6" s="54"/>
      <c r="EW6" s="54"/>
      <c r="EX6" s="54"/>
      <c r="EY6" s="54"/>
      <c r="EZ6" s="54"/>
      <c r="FA6" s="54"/>
      <c r="FB6" s="54"/>
      <c r="FC6" s="54"/>
      <c r="FD6" s="54"/>
      <c r="FE6" s="54"/>
      <c r="FF6" s="54"/>
      <c r="FG6" s="54"/>
      <c r="FH6" s="54"/>
      <c r="FI6" s="54"/>
      <c r="FJ6" s="54"/>
      <c r="FK6" s="54"/>
      <c r="FL6" s="54"/>
      <c r="FM6" s="54"/>
      <c r="FN6" s="54"/>
      <c r="FO6" s="54"/>
      <c r="FP6" s="54"/>
      <c r="FQ6" s="54"/>
      <c r="FR6" s="54"/>
      <c r="FS6" s="54"/>
      <c r="FT6" s="54"/>
      <c r="FU6" s="54"/>
      <c r="FV6" s="54"/>
      <c r="FW6" s="54"/>
      <c r="FX6" s="54"/>
      <c r="FY6" s="54"/>
      <c r="FZ6" s="54"/>
      <c r="GA6" s="54"/>
      <c r="GB6" s="54"/>
      <c r="GC6" s="54"/>
      <c r="GD6" s="54"/>
      <c r="GE6" s="54"/>
      <c r="GF6" s="54"/>
      <c r="GG6" s="54"/>
      <c r="GH6" s="54"/>
      <c r="GI6" s="54"/>
      <c r="GJ6" s="54"/>
      <c r="GK6" s="54"/>
      <c r="GL6" s="54"/>
      <c r="GM6" s="54"/>
      <c r="GN6" s="54"/>
      <c r="GO6" s="54"/>
      <c r="GP6" s="54"/>
      <c r="GQ6" s="54"/>
      <c r="GR6" s="54"/>
      <c r="GS6" s="54"/>
      <c r="GT6" s="54"/>
      <c r="GU6" s="54"/>
      <c r="GV6" s="54"/>
      <c r="GW6" s="54"/>
      <c r="GX6" s="54"/>
      <c r="GY6" s="54"/>
      <c r="GZ6" s="54"/>
      <c r="HA6" s="54"/>
      <c r="HB6" s="54"/>
      <c r="HC6" s="54"/>
      <c r="HD6" s="54"/>
      <c r="HE6" s="54"/>
      <c r="HF6" s="54"/>
      <c r="HG6" s="54"/>
      <c r="HH6" s="54"/>
      <c r="HI6" s="54"/>
      <c r="HJ6" s="54"/>
      <c r="HK6" s="54"/>
      <c r="HL6" s="54"/>
      <c r="HM6" s="54"/>
      <c r="HN6" s="54"/>
      <c r="HO6" s="54"/>
      <c r="HP6" s="54"/>
      <c r="HQ6" s="54"/>
      <c r="HR6" s="54"/>
      <c r="HS6" s="54"/>
      <c r="HT6" s="54"/>
      <c r="HU6" s="54"/>
      <c r="HV6" s="54"/>
      <c r="HW6" s="54"/>
      <c r="HX6" s="54"/>
      <c r="HY6" s="54"/>
      <c r="HZ6" s="54"/>
      <c r="IA6" s="54"/>
      <c r="IB6" s="54"/>
      <c r="IC6" s="54"/>
      <c r="ID6" s="54"/>
      <c r="IE6" s="54"/>
      <c r="IF6" s="54"/>
      <c r="IG6" s="54"/>
      <c r="IH6" s="54"/>
      <c r="II6" s="54"/>
      <c r="IJ6" s="54"/>
      <c r="IK6" s="54"/>
      <c r="IL6" s="54"/>
      <c r="IM6" s="54"/>
      <c r="IN6" s="54"/>
      <c r="IO6" s="54"/>
      <c r="IP6" s="54"/>
      <c r="IQ6" s="54"/>
      <c r="IR6" s="54"/>
      <c r="IS6" s="54"/>
      <c r="IT6" s="54"/>
      <c r="IU6" s="54"/>
      <c r="IV6" s="54"/>
      <c r="IW6" s="54"/>
      <c r="IX6" s="54"/>
      <c r="IY6" s="54"/>
      <c r="IZ6" s="54"/>
      <c r="JA6" s="54"/>
      <c r="JB6" s="54"/>
      <c r="JC6" s="54"/>
      <c r="JD6" s="54"/>
      <c r="JE6" s="54"/>
      <c r="JF6" s="54"/>
      <c r="JG6" s="54"/>
      <c r="JH6" s="54"/>
      <c r="JI6" s="54"/>
      <c r="JJ6" s="54"/>
      <c r="JK6" s="54"/>
      <c r="JL6" s="54"/>
      <c r="JM6" s="54"/>
      <c r="JN6" s="54"/>
      <c r="JO6" s="54"/>
      <c r="JP6" s="54"/>
      <c r="JQ6" s="54"/>
      <c r="JR6" s="54"/>
      <c r="JS6" s="54"/>
      <c r="JT6" s="54"/>
      <c r="JU6" s="54"/>
      <c r="JV6" s="54"/>
      <c r="JW6" s="54"/>
      <c r="JX6" s="54"/>
      <c r="JY6" s="54"/>
      <c r="JZ6" s="54"/>
      <c r="KA6" s="54"/>
      <c r="KB6" s="54"/>
      <c r="KC6" s="54"/>
      <c r="KD6" s="54"/>
      <c r="KE6" s="54"/>
      <c r="KF6" s="54"/>
      <c r="KG6" s="54"/>
      <c r="KH6" s="54"/>
      <c r="KI6" s="54"/>
      <c r="KJ6" s="54"/>
      <c r="KK6" s="54"/>
      <c r="KL6" s="54"/>
      <c r="KM6" s="54"/>
      <c r="KN6" s="54"/>
      <c r="KO6" s="54"/>
      <c r="KP6" s="54"/>
      <c r="KQ6" s="54"/>
      <c r="KR6" s="54"/>
      <c r="KS6" s="54"/>
      <c r="KT6" s="54"/>
      <c r="KU6" s="54"/>
      <c r="KV6" s="54"/>
      <c r="KW6" s="54"/>
      <c r="KX6" s="54"/>
    </row>
    <row r="7" ht="5.25" customHeight="1">
      <c r="A7" s="54"/>
      <c r="B7" s="54"/>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7" t="s">
        <v>56</v>
      </c>
      <c r="DE7" s="58"/>
      <c r="DF7" s="58"/>
      <c r="DG7" s="58"/>
      <c r="DH7" s="58"/>
      <c r="DI7" s="58"/>
      <c r="DJ7" s="58"/>
      <c r="DK7" s="58"/>
      <c r="DL7" s="58"/>
      <c r="DM7" s="58"/>
      <c r="DN7" s="58"/>
      <c r="DO7" s="58"/>
      <c r="DP7" s="58"/>
      <c r="DQ7" s="58"/>
      <c r="DR7" s="58"/>
      <c r="DS7" s="58"/>
      <c r="DT7" s="58"/>
      <c r="DU7" s="58"/>
      <c r="DV7" s="58"/>
      <c r="DW7" s="58"/>
      <c r="DX7" s="58"/>
      <c r="DY7" s="58"/>
      <c r="DZ7" s="58"/>
      <c r="EA7" s="58"/>
      <c r="EB7" s="58"/>
      <c r="EC7" s="58"/>
      <c r="ED7" s="58"/>
      <c r="EE7" s="58"/>
      <c r="EF7" s="58"/>
      <c r="EG7" s="58"/>
      <c r="EH7" s="58"/>
      <c r="EI7" s="58"/>
      <c r="EJ7" s="58"/>
      <c r="EK7" s="58"/>
      <c r="EL7" s="58"/>
      <c r="EM7" s="58"/>
      <c r="EN7" s="58"/>
      <c r="EO7" s="58"/>
      <c r="EP7" s="58"/>
      <c r="EQ7" s="58"/>
      <c r="ER7" s="58"/>
      <c r="ES7" s="58"/>
      <c r="ET7" s="58"/>
      <c r="EU7" s="58"/>
      <c r="EV7" s="58"/>
      <c r="EW7" s="58"/>
      <c r="EX7" s="58"/>
      <c r="EY7" s="58"/>
      <c r="EZ7" s="58"/>
      <c r="FA7" s="58"/>
      <c r="FB7" s="58"/>
      <c r="FC7" s="58"/>
      <c r="FD7" s="58"/>
      <c r="FE7" s="58"/>
      <c r="FF7" s="58"/>
      <c r="FG7" s="58"/>
      <c r="FH7" s="58"/>
      <c r="FI7" s="58"/>
      <c r="FJ7" s="58"/>
      <c r="FK7" s="59"/>
      <c r="FL7" s="54"/>
      <c r="FM7" s="54"/>
      <c r="FN7" s="54"/>
      <c r="FO7" s="54"/>
      <c r="FP7" s="54"/>
      <c r="FQ7" s="54"/>
      <c r="FR7" s="54"/>
      <c r="FS7" s="54"/>
      <c r="FT7" s="54"/>
      <c r="FU7" s="54"/>
      <c r="FV7" s="54"/>
      <c r="FW7" s="54"/>
      <c r="FX7" s="54"/>
      <c r="FY7" s="54"/>
      <c r="FZ7" s="54"/>
      <c r="GA7" s="54"/>
      <c r="GB7" s="54"/>
      <c r="GC7" s="54"/>
      <c r="GD7" s="54"/>
      <c r="GE7" s="54"/>
      <c r="GF7" s="54"/>
      <c r="GG7" s="54"/>
      <c r="GH7" s="54"/>
      <c r="GI7" s="54"/>
      <c r="GJ7" s="54"/>
      <c r="GK7" s="54"/>
      <c r="GL7" s="54"/>
      <c r="GM7" s="54"/>
      <c r="GN7" s="54"/>
      <c r="GO7" s="54"/>
      <c r="GP7" s="54"/>
      <c r="GQ7" s="54"/>
      <c r="GR7" s="54"/>
      <c r="GS7" s="54"/>
      <c r="GT7" s="54"/>
      <c r="GU7" s="54"/>
      <c r="GV7" s="54"/>
      <c r="GW7" s="54"/>
      <c r="GX7" s="54"/>
      <c r="GY7" s="54"/>
      <c r="GZ7" s="54"/>
      <c r="HA7" s="54"/>
      <c r="HB7" s="54"/>
      <c r="HC7" s="54"/>
      <c r="HD7" s="54"/>
      <c r="HE7" s="54"/>
      <c r="HF7" s="54"/>
      <c r="HG7" s="54"/>
      <c r="HH7" s="54"/>
      <c r="HI7" s="54"/>
      <c r="HJ7" s="54"/>
      <c r="HK7" s="54"/>
      <c r="HL7" s="54"/>
      <c r="HM7" s="54"/>
      <c r="HN7" s="54"/>
      <c r="HO7" s="54"/>
      <c r="HP7" s="54"/>
      <c r="HQ7" s="54"/>
      <c r="HR7" s="54"/>
      <c r="HS7" s="54"/>
      <c r="HT7" s="54"/>
      <c r="HU7" s="54"/>
      <c r="HV7" s="54"/>
      <c r="HW7" s="54"/>
      <c r="HX7" s="54"/>
      <c r="HY7" s="54"/>
      <c r="HZ7" s="54"/>
      <c r="IA7" s="54"/>
      <c r="IB7" s="54"/>
      <c r="IC7" s="54"/>
      <c r="ID7" s="54"/>
      <c r="IE7" s="54"/>
      <c r="IF7" s="54"/>
      <c r="IG7" s="54"/>
      <c r="IH7" s="54"/>
      <c r="II7" s="54"/>
      <c r="IJ7" s="54"/>
      <c r="IK7" s="54"/>
      <c r="IL7" s="54"/>
      <c r="IM7" s="54"/>
      <c r="IN7" s="54"/>
      <c r="IO7" s="54"/>
      <c r="IP7" s="54"/>
      <c r="IQ7" s="54"/>
      <c r="IR7" s="54"/>
      <c r="IS7" s="54"/>
      <c r="IT7" s="54"/>
      <c r="IU7" s="54"/>
      <c r="IV7" s="54"/>
      <c r="IW7" s="54"/>
      <c r="IX7" s="54"/>
      <c r="IY7" s="54"/>
      <c r="IZ7" s="54"/>
      <c r="JA7" s="54"/>
      <c r="JB7" s="54"/>
      <c r="JC7" s="54"/>
      <c r="JD7" s="54"/>
      <c r="JE7" s="54"/>
      <c r="JF7" s="54"/>
      <c r="JG7" s="54"/>
      <c r="JH7" s="54"/>
      <c r="JI7" s="54"/>
      <c r="JJ7" s="54"/>
      <c r="JK7" s="54"/>
      <c r="JL7" s="54"/>
      <c r="JM7" s="54"/>
      <c r="JN7" s="54"/>
      <c r="JO7" s="54"/>
      <c r="JP7" s="54"/>
      <c r="JQ7" s="54"/>
      <c r="JR7" s="54"/>
      <c r="JS7" s="54"/>
      <c r="JT7" s="54"/>
      <c r="JU7" s="54"/>
      <c r="JV7" s="54"/>
      <c r="JW7" s="54"/>
      <c r="JX7" s="54"/>
      <c r="JY7" s="54"/>
      <c r="JZ7" s="54"/>
      <c r="KA7" s="54"/>
      <c r="KB7" s="54"/>
      <c r="KC7" s="54"/>
      <c r="KD7" s="54"/>
      <c r="KE7" s="54"/>
      <c r="KF7" s="54"/>
      <c r="KG7" s="54"/>
      <c r="KH7" s="54"/>
      <c r="KI7" s="54"/>
      <c r="KJ7" s="54"/>
      <c r="KK7" s="54"/>
      <c r="KL7" s="54"/>
      <c r="KM7" s="54"/>
      <c r="KN7" s="54"/>
      <c r="KO7" s="54"/>
      <c r="KP7" s="54"/>
      <c r="KQ7" s="54"/>
      <c r="KR7" s="54"/>
      <c r="KS7" s="54"/>
      <c r="KT7" s="54"/>
      <c r="KU7" s="54"/>
      <c r="KV7" s="54"/>
      <c r="KW7" s="54"/>
      <c r="KX7" s="54"/>
    </row>
    <row r="8" ht="5.25" customHeight="1">
      <c r="A8" s="54"/>
      <c r="B8" s="54"/>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60"/>
      <c r="FK8" s="61"/>
      <c r="FL8" s="54"/>
      <c r="FM8" s="54"/>
      <c r="FN8" s="54"/>
      <c r="FO8" s="54"/>
      <c r="FP8" s="54"/>
      <c r="FQ8" s="54"/>
      <c r="FR8" s="54"/>
      <c r="FS8" s="54"/>
      <c r="FT8" s="54"/>
      <c r="FU8" s="54"/>
      <c r="FV8" s="54"/>
      <c r="FW8" s="54"/>
      <c r="FX8" s="54"/>
      <c r="FY8" s="54"/>
      <c r="FZ8" s="54"/>
      <c r="GA8" s="54"/>
      <c r="GB8" s="54"/>
      <c r="GC8" s="54"/>
      <c r="GD8" s="54"/>
      <c r="GE8" s="54"/>
      <c r="GF8" s="54"/>
      <c r="GG8" s="54"/>
      <c r="GH8" s="54"/>
      <c r="GI8" s="54"/>
      <c r="GJ8" s="54"/>
      <c r="GK8" s="54"/>
      <c r="GL8" s="54"/>
      <c r="GM8" s="54"/>
      <c r="GN8" s="54"/>
      <c r="GO8" s="54"/>
      <c r="GP8" s="54"/>
      <c r="GQ8" s="54"/>
      <c r="GR8" s="54"/>
      <c r="GS8" s="54"/>
      <c r="GT8" s="54"/>
      <c r="GU8" s="54"/>
      <c r="GV8" s="54"/>
      <c r="GW8" s="54"/>
      <c r="GX8" s="54"/>
      <c r="GY8" s="54"/>
      <c r="GZ8" s="54"/>
      <c r="HA8" s="54"/>
      <c r="HB8" s="54"/>
      <c r="HC8" s="54"/>
      <c r="HD8" s="54"/>
      <c r="HE8" s="54"/>
      <c r="HF8" s="54"/>
      <c r="HG8" s="54"/>
      <c r="HH8" s="54"/>
      <c r="HI8" s="54"/>
      <c r="HJ8" s="54"/>
      <c r="HK8" s="54"/>
      <c r="HL8" s="54"/>
      <c r="HM8" s="54"/>
      <c r="HN8" s="54"/>
      <c r="HO8" s="54"/>
      <c r="HP8" s="54"/>
      <c r="HQ8" s="54"/>
      <c r="HR8" s="54"/>
      <c r="HS8" s="54"/>
      <c r="HT8" s="54"/>
      <c r="HU8" s="54"/>
      <c r="HV8" s="54"/>
      <c r="HW8" s="54"/>
      <c r="HX8" s="54"/>
      <c r="HY8" s="54"/>
      <c r="HZ8" s="54"/>
      <c r="IA8" s="54"/>
      <c r="IB8" s="54"/>
      <c r="IC8" s="54"/>
      <c r="ID8" s="54"/>
      <c r="IE8" s="54"/>
      <c r="IF8" s="54"/>
      <c r="IG8" s="54"/>
      <c r="IH8" s="54"/>
      <c r="II8" s="54"/>
      <c r="IJ8" s="54"/>
      <c r="IK8" s="54"/>
      <c r="IL8" s="54"/>
      <c r="IM8" s="54"/>
      <c r="IN8" s="54"/>
      <c r="IO8" s="54"/>
      <c r="IP8" s="54"/>
      <c r="IQ8" s="54"/>
      <c r="IR8" s="54"/>
      <c r="IS8" s="54"/>
      <c r="IT8" s="54"/>
      <c r="IU8" s="54"/>
      <c r="IV8" s="54"/>
      <c r="IW8" s="54"/>
      <c r="IX8" s="54"/>
      <c r="IY8" s="54"/>
      <c r="IZ8" s="54"/>
      <c r="JA8" s="54"/>
      <c r="JB8" s="54"/>
      <c r="JC8" s="54"/>
      <c r="JD8" s="54"/>
      <c r="JE8" s="54"/>
      <c r="JF8" s="54"/>
      <c r="JG8" s="54"/>
      <c r="JH8" s="54"/>
      <c r="JI8" s="54"/>
      <c r="JJ8" s="54"/>
      <c r="JK8" s="54"/>
      <c r="JL8" s="54"/>
      <c r="JM8" s="54"/>
      <c r="JN8" s="54"/>
      <c r="JO8" s="54"/>
      <c r="JP8" s="54"/>
      <c r="JQ8" s="54"/>
      <c r="JR8" s="54"/>
      <c r="JS8" s="54"/>
      <c r="JT8" s="54"/>
      <c r="JU8" s="54"/>
      <c r="JV8" s="54"/>
      <c r="JW8" s="54"/>
      <c r="JX8" s="54"/>
      <c r="JY8" s="54"/>
      <c r="JZ8" s="54"/>
      <c r="KA8" s="54"/>
      <c r="KB8" s="54"/>
      <c r="KC8" s="54"/>
      <c r="KD8" s="54"/>
      <c r="KE8" s="54"/>
      <c r="KF8" s="54"/>
      <c r="KG8" s="54"/>
      <c r="KH8" s="54"/>
      <c r="KI8" s="54"/>
      <c r="KJ8" s="54"/>
      <c r="KK8" s="54"/>
      <c r="KL8" s="54"/>
      <c r="KM8" s="54"/>
      <c r="KN8" s="54"/>
      <c r="KO8" s="54"/>
      <c r="KP8" s="54"/>
      <c r="KQ8" s="54"/>
      <c r="KR8" s="54"/>
      <c r="KS8" s="54"/>
      <c r="KT8" s="54"/>
      <c r="KU8" s="54"/>
      <c r="KV8" s="54"/>
      <c r="KW8" s="54"/>
      <c r="KX8" s="54"/>
    </row>
    <row r="9" ht="5.25" customHeight="1">
      <c r="A9" s="54"/>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c r="CS9" s="54"/>
      <c r="CT9" s="54"/>
      <c r="CU9" s="54"/>
      <c r="CV9" s="54"/>
      <c r="CW9" s="54"/>
      <c r="CX9" s="54"/>
      <c r="CY9" s="54"/>
      <c r="CZ9" s="54"/>
      <c r="DA9" s="54"/>
      <c r="DB9" s="54"/>
      <c r="DC9" s="54"/>
      <c r="DD9" s="60"/>
      <c r="FK9" s="61"/>
      <c r="FL9" s="54"/>
      <c r="FM9" s="54"/>
      <c r="FN9" s="54"/>
      <c r="FO9" s="54"/>
      <c r="FP9" s="54"/>
      <c r="FQ9" s="54"/>
      <c r="FR9" s="54"/>
      <c r="FS9" s="54"/>
      <c r="FT9" s="54"/>
      <c r="FU9" s="54"/>
      <c r="FV9" s="54"/>
      <c r="FW9" s="54"/>
      <c r="FX9" s="54"/>
      <c r="FY9" s="54"/>
      <c r="FZ9" s="54"/>
      <c r="GA9" s="54"/>
      <c r="GB9" s="54"/>
      <c r="GC9" s="54"/>
      <c r="GD9" s="54"/>
      <c r="GE9" s="54"/>
      <c r="GF9" s="54"/>
      <c r="GG9" s="54"/>
      <c r="GH9" s="54"/>
      <c r="GI9" s="54"/>
      <c r="GJ9" s="54"/>
      <c r="GK9" s="54"/>
      <c r="GL9" s="54"/>
      <c r="GM9" s="54"/>
      <c r="GN9" s="54"/>
      <c r="GO9" s="54"/>
      <c r="GP9" s="54"/>
      <c r="GQ9" s="54"/>
      <c r="GR9" s="54"/>
      <c r="GS9" s="54"/>
      <c r="GT9" s="54"/>
      <c r="GU9" s="54"/>
      <c r="GV9" s="54"/>
      <c r="GW9" s="54"/>
      <c r="GX9" s="54"/>
      <c r="GY9" s="54"/>
      <c r="GZ9" s="54"/>
      <c r="HA9" s="54"/>
      <c r="HB9" s="54"/>
      <c r="HC9" s="54"/>
      <c r="HD9" s="54"/>
      <c r="HE9" s="54"/>
      <c r="HF9" s="54"/>
      <c r="HG9" s="54"/>
      <c r="HH9" s="54"/>
      <c r="HI9" s="54"/>
      <c r="HJ9" s="54"/>
      <c r="HK9" s="54"/>
      <c r="HL9" s="54"/>
      <c r="HM9" s="54"/>
      <c r="HN9" s="54"/>
      <c r="HO9" s="54"/>
      <c r="HP9" s="54"/>
      <c r="HQ9" s="54"/>
      <c r="HR9" s="54"/>
      <c r="HS9" s="54"/>
      <c r="HT9" s="54"/>
      <c r="HU9" s="54"/>
      <c r="HV9" s="54"/>
      <c r="HW9" s="54"/>
      <c r="HX9" s="54"/>
      <c r="HY9" s="54"/>
      <c r="HZ9" s="54"/>
      <c r="IA9" s="54"/>
      <c r="IB9" s="54"/>
      <c r="IC9" s="54"/>
      <c r="ID9" s="54"/>
      <c r="IE9" s="54"/>
      <c r="IF9" s="54"/>
      <c r="IG9" s="54"/>
      <c r="IH9" s="54"/>
      <c r="II9" s="54"/>
      <c r="IJ9" s="54"/>
      <c r="IK9" s="54"/>
      <c r="IL9" s="54"/>
      <c r="IM9" s="54"/>
      <c r="IN9" s="54"/>
      <c r="IO9" s="54"/>
      <c r="IP9" s="54"/>
      <c r="IQ9" s="54"/>
      <c r="IR9" s="54"/>
      <c r="IS9" s="54"/>
      <c r="IT9" s="54"/>
      <c r="IU9" s="54"/>
      <c r="IV9" s="54"/>
      <c r="IW9" s="54"/>
      <c r="IX9" s="54"/>
      <c r="IY9" s="54"/>
      <c r="IZ9" s="54"/>
      <c r="JA9" s="54"/>
      <c r="JB9" s="54"/>
      <c r="JC9" s="54"/>
      <c r="JD9" s="54"/>
      <c r="JE9" s="54"/>
      <c r="JF9" s="54"/>
      <c r="JG9" s="54"/>
      <c r="JH9" s="54"/>
      <c r="JI9" s="54"/>
      <c r="JJ9" s="54"/>
      <c r="JK9" s="54"/>
      <c r="JL9" s="54"/>
      <c r="JM9" s="54"/>
      <c r="JN9" s="54"/>
      <c r="JO9" s="54"/>
      <c r="JP9" s="54"/>
      <c r="JQ9" s="54"/>
      <c r="JR9" s="54"/>
      <c r="JS9" s="54"/>
      <c r="JT9" s="54"/>
      <c r="JU9" s="54"/>
      <c r="JV9" s="54"/>
      <c r="JW9" s="54"/>
      <c r="JX9" s="54"/>
      <c r="JY9" s="54"/>
      <c r="JZ9" s="54"/>
      <c r="KA9" s="54"/>
      <c r="KB9" s="54"/>
      <c r="KC9" s="54"/>
      <c r="KD9" s="54"/>
      <c r="KE9" s="54"/>
      <c r="KF9" s="54"/>
      <c r="KG9" s="54"/>
      <c r="KH9" s="54"/>
      <c r="KI9" s="54"/>
      <c r="KJ9" s="54"/>
      <c r="KK9" s="54"/>
      <c r="KL9" s="54"/>
      <c r="KM9" s="54"/>
      <c r="KN9" s="54"/>
      <c r="KO9" s="54"/>
      <c r="KP9" s="54"/>
      <c r="KQ9" s="54"/>
      <c r="KR9" s="54"/>
      <c r="KS9" s="54"/>
      <c r="KT9" s="54"/>
      <c r="KU9" s="54"/>
      <c r="KV9" s="54"/>
      <c r="KW9" s="54"/>
      <c r="KX9" s="54"/>
    </row>
    <row r="10" ht="5.25" customHeight="1">
      <c r="A10" s="54"/>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c r="CA10" s="54"/>
      <c r="CB10" s="54"/>
      <c r="CC10" s="54"/>
      <c r="CD10" s="54"/>
      <c r="CE10" s="54"/>
      <c r="CF10" s="54"/>
      <c r="CG10" s="54"/>
      <c r="CH10" s="54"/>
      <c r="CI10" s="54"/>
      <c r="CJ10" s="54"/>
      <c r="CK10" s="54"/>
      <c r="CL10" s="54"/>
      <c r="CM10" s="54"/>
      <c r="CN10" s="54"/>
      <c r="CO10" s="54"/>
      <c r="CP10" s="54"/>
      <c r="CQ10" s="54"/>
      <c r="CR10" s="54"/>
      <c r="CS10" s="54"/>
      <c r="CT10" s="54"/>
      <c r="CU10" s="54"/>
      <c r="CV10" s="54"/>
      <c r="CW10" s="54"/>
      <c r="CX10" s="54"/>
      <c r="CY10" s="54"/>
      <c r="CZ10" s="54"/>
      <c r="DA10" s="54"/>
      <c r="DB10" s="54"/>
      <c r="DC10" s="54"/>
      <c r="DD10" s="60"/>
      <c r="FK10" s="61"/>
      <c r="FL10" s="54"/>
      <c r="FM10" s="54"/>
      <c r="FN10" s="54"/>
      <c r="FO10" s="54"/>
      <c r="FP10" s="54"/>
      <c r="FQ10" s="54"/>
      <c r="FR10" s="54"/>
      <c r="FS10" s="54"/>
      <c r="FT10" s="54"/>
      <c r="FU10" s="54"/>
      <c r="FV10" s="54"/>
      <c r="FW10" s="54"/>
      <c r="FX10" s="54"/>
      <c r="FY10" s="54"/>
      <c r="FZ10" s="54"/>
      <c r="GA10" s="54"/>
      <c r="GB10" s="54"/>
      <c r="GC10" s="54"/>
      <c r="GD10" s="54"/>
      <c r="GE10" s="54"/>
      <c r="GF10" s="54"/>
      <c r="GG10" s="54"/>
      <c r="GH10" s="54"/>
      <c r="GI10" s="54"/>
      <c r="GJ10" s="54"/>
      <c r="GK10" s="54"/>
      <c r="GL10" s="54"/>
      <c r="GM10" s="54"/>
      <c r="GN10" s="54"/>
      <c r="GO10" s="54"/>
      <c r="GP10" s="54"/>
      <c r="GQ10" s="54"/>
      <c r="GR10" s="54"/>
      <c r="GS10" s="54"/>
      <c r="GT10" s="54"/>
      <c r="GU10" s="54"/>
      <c r="GV10" s="54"/>
      <c r="GW10" s="54"/>
      <c r="GX10" s="54"/>
      <c r="GY10" s="54"/>
      <c r="GZ10" s="54"/>
      <c r="HA10" s="54"/>
      <c r="HB10" s="54"/>
      <c r="HC10" s="54"/>
      <c r="HD10" s="54"/>
      <c r="HE10" s="54"/>
      <c r="HF10" s="54"/>
      <c r="HG10" s="54"/>
      <c r="HH10" s="54"/>
      <c r="HI10" s="54"/>
      <c r="HJ10" s="54"/>
      <c r="HK10" s="54"/>
      <c r="HL10" s="54"/>
      <c r="HM10" s="54"/>
      <c r="HN10" s="54"/>
      <c r="HO10" s="54"/>
      <c r="HP10" s="54"/>
      <c r="HQ10" s="54"/>
      <c r="HR10" s="54"/>
      <c r="HS10" s="54"/>
      <c r="HT10" s="54"/>
      <c r="HU10" s="54"/>
      <c r="HV10" s="54"/>
      <c r="HW10" s="54"/>
      <c r="HX10" s="54"/>
      <c r="HY10" s="54"/>
      <c r="HZ10" s="54"/>
      <c r="IA10" s="54"/>
      <c r="IB10" s="54"/>
      <c r="IC10" s="54"/>
      <c r="ID10" s="54"/>
      <c r="IE10" s="54"/>
      <c r="IF10" s="54"/>
      <c r="IG10" s="54"/>
      <c r="IH10" s="54"/>
      <c r="II10" s="54"/>
      <c r="IJ10" s="54"/>
      <c r="IK10" s="54"/>
      <c r="IL10" s="54"/>
      <c r="IM10" s="54"/>
      <c r="IN10" s="54"/>
      <c r="IO10" s="54"/>
      <c r="IP10" s="54"/>
      <c r="IQ10" s="54"/>
      <c r="IR10" s="54"/>
      <c r="IS10" s="54"/>
      <c r="IT10" s="54"/>
      <c r="IU10" s="54"/>
      <c r="IV10" s="54"/>
      <c r="IW10" s="54"/>
      <c r="IX10" s="54"/>
      <c r="IY10" s="54"/>
      <c r="IZ10" s="54"/>
      <c r="JA10" s="54"/>
      <c r="JB10" s="54"/>
      <c r="JC10" s="54"/>
      <c r="JD10" s="54"/>
      <c r="JE10" s="54"/>
      <c r="JF10" s="54"/>
      <c r="JG10" s="54"/>
      <c r="JH10" s="54"/>
      <c r="JI10" s="54"/>
      <c r="JJ10" s="54"/>
      <c r="JK10" s="54"/>
      <c r="JL10" s="54"/>
      <c r="JM10" s="54"/>
      <c r="JN10" s="54"/>
      <c r="JO10" s="54"/>
      <c r="JP10" s="54"/>
      <c r="JQ10" s="54"/>
      <c r="JR10" s="54"/>
      <c r="JS10" s="54"/>
      <c r="JT10" s="54"/>
      <c r="JU10" s="54"/>
      <c r="JV10" s="54"/>
      <c r="JW10" s="54"/>
      <c r="JX10" s="54"/>
      <c r="JY10" s="54"/>
      <c r="JZ10" s="54"/>
      <c r="KA10" s="54"/>
      <c r="KB10" s="54"/>
      <c r="KC10" s="54"/>
      <c r="KD10" s="54"/>
      <c r="KE10" s="54"/>
      <c r="KF10" s="54"/>
      <c r="KG10" s="54"/>
      <c r="KH10" s="54"/>
      <c r="KI10" s="54"/>
      <c r="KJ10" s="54"/>
      <c r="KK10" s="54"/>
      <c r="KL10" s="54"/>
      <c r="KM10" s="54"/>
      <c r="KN10" s="54"/>
      <c r="KO10" s="54"/>
      <c r="KP10" s="54"/>
      <c r="KQ10" s="54"/>
      <c r="KR10" s="54"/>
      <c r="KS10" s="54"/>
      <c r="KT10" s="54"/>
      <c r="KU10" s="54"/>
      <c r="KV10" s="54"/>
      <c r="KW10" s="54"/>
      <c r="KX10" s="54"/>
    </row>
    <row r="11" ht="5.25" customHeight="1">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c r="CC11" s="54"/>
      <c r="CD11" s="54"/>
      <c r="CE11" s="54"/>
      <c r="CF11" s="54"/>
      <c r="CG11" s="54"/>
      <c r="CH11" s="54"/>
      <c r="CI11" s="54"/>
      <c r="CJ11" s="54"/>
      <c r="CK11" s="54"/>
      <c r="CL11" s="54"/>
      <c r="CM11" s="54"/>
      <c r="CN11" s="54"/>
      <c r="CO11" s="54"/>
      <c r="CP11" s="54"/>
      <c r="CQ11" s="54"/>
      <c r="CR11" s="54"/>
      <c r="CS11" s="54"/>
      <c r="CT11" s="54"/>
      <c r="CU11" s="54"/>
      <c r="CV11" s="54"/>
      <c r="CW11" s="54"/>
      <c r="CX11" s="54"/>
      <c r="CY11" s="54"/>
      <c r="CZ11" s="54"/>
      <c r="DA11" s="54"/>
      <c r="DB11" s="54"/>
      <c r="DC11" s="54"/>
      <c r="DD11" s="60"/>
      <c r="FK11" s="61"/>
      <c r="FL11" s="54"/>
      <c r="FM11" s="54"/>
      <c r="FN11" s="54"/>
      <c r="FO11" s="54"/>
      <c r="FP11" s="54"/>
      <c r="FQ11" s="54"/>
      <c r="FR11" s="54"/>
      <c r="FS11" s="54"/>
      <c r="FT11" s="54"/>
      <c r="FU11" s="54"/>
      <c r="FV11" s="54"/>
      <c r="FW11" s="54"/>
      <c r="FX11" s="54"/>
      <c r="FY11" s="54"/>
      <c r="FZ11" s="54"/>
      <c r="GA11" s="54"/>
      <c r="GB11" s="54"/>
      <c r="GC11" s="54"/>
      <c r="GD11" s="54"/>
      <c r="GE11" s="54"/>
      <c r="GF11" s="54"/>
      <c r="GG11" s="54"/>
      <c r="GH11" s="54"/>
      <c r="GI11" s="54"/>
      <c r="GJ11" s="54"/>
      <c r="GK11" s="54"/>
      <c r="GL11" s="54"/>
      <c r="GM11" s="54"/>
      <c r="GN11" s="54"/>
      <c r="GO11" s="54"/>
      <c r="GP11" s="54"/>
      <c r="GQ11" s="54"/>
      <c r="GR11" s="54"/>
      <c r="GS11" s="54"/>
      <c r="GT11" s="54"/>
      <c r="GU11" s="54"/>
      <c r="GV11" s="54"/>
      <c r="GW11" s="54"/>
      <c r="GX11" s="54"/>
      <c r="GY11" s="54"/>
      <c r="GZ11" s="54"/>
      <c r="HA11" s="54"/>
      <c r="HB11" s="54"/>
      <c r="HC11" s="54"/>
      <c r="HD11" s="54"/>
      <c r="HE11" s="54"/>
      <c r="HF11" s="54"/>
      <c r="HG11" s="54"/>
      <c r="HH11" s="54"/>
      <c r="HI11" s="54"/>
      <c r="HJ11" s="54"/>
      <c r="HK11" s="54"/>
      <c r="HL11" s="54"/>
      <c r="HM11" s="54"/>
      <c r="HN11" s="54"/>
      <c r="HO11" s="54"/>
      <c r="HP11" s="54"/>
      <c r="HQ11" s="54"/>
      <c r="HR11" s="54"/>
      <c r="HS11" s="54"/>
      <c r="HT11" s="54"/>
      <c r="HU11" s="54"/>
      <c r="HV11" s="54"/>
      <c r="HW11" s="54"/>
      <c r="HX11" s="54"/>
      <c r="HY11" s="54"/>
      <c r="HZ11" s="54"/>
      <c r="IA11" s="54"/>
      <c r="IB11" s="54"/>
      <c r="IC11" s="54"/>
      <c r="ID11" s="54"/>
      <c r="IE11" s="54"/>
      <c r="IF11" s="54"/>
      <c r="IG11" s="54"/>
      <c r="IH11" s="54"/>
      <c r="II11" s="54"/>
      <c r="IJ11" s="54"/>
      <c r="IK11" s="54"/>
      <c r="IL11" s="54"/>
      <c r="IM11" s="54"/>
      <c r="IN11" s="54"/>
      <c r="IO11" s="54"/>
      <c r="IP11" s="54"/>
      <c r="IQ11" s="54"/>
      <c r="IR11" s="54"/>
      <c r="IS11" s="54"/>
      <c r="IT11" s="54"/>
      <c r="IU11" s="54"/>
      <c r="IV11" s="54"/>
      <c r="IW11" s="54"/>
      <c r="IX11" s="54"/>
      <c r="IY11" s="54"/>
      <c r="IZ11" s="54"/>
      <c r="JA11" s="54"/>
      <c r="JB11" s="54"/>
      <c r="JC11" s="54"/>
      <c r="JD11" s="54"/>
      <c r="JE11" s="54"/>
      <c r="JF11" s="54"/>
      <c r="JG11" s="54"/>
      <c r="JH11" s="54"/>
      <c r="JI11" s="54"/>
      <c r="JJ11" s="54"/>
      <c r="JK11" s="54"/>
      <c r="JL11" s="54"/>
      <c r="JM11" s="54"/>
      <c r="JN11" s="54"/>
      <c r="JO11" s="54"/>
      <c r="JP11" s="54"/>
      <c r="JQ11" s="54"/>
      <c r="JR11" s="54"/>
      <c r="JS11" s="54"/>
      <c r="JT11" s="54"/>
      <c r="JU11" s="54"/>
      <c r="JV11" s="54"/>
      <c r="JW11" s="54"/>
      <c r="JX11" s="54"/>
      <c r="JY11" s="54"/>
      <c r="JZ11" s="54"/>
      <c r="KA11" s="54"/>
      <c r="KB11" s="54"/>
      <c r="KC11" s="54"/>
      <c r="KD11" s="54"/>
      <c r="KE11" s="54"/>
      <c r="KF11" s="54"/>
      <c r="KG11" s="54"/>
      <c r="KH11" s="54"/>
      <c r="KI11" s="54"/>
      <c r="KJ11" s="54"/>
      <c r="KK11" s="54"/>
      <c r="KL11" s="54"/>
      <c r="KM11" s="54"/>
      <c r="KN11" s="54"/>
      <c r="KO11" s="54"/>
      <c r="KP11" s="54"/>
      <c r="KQ11" s="54"/>
      <c r="KR11" s="54"/>
      <c r="KS11" s="54"/>
      <c r="KT11" s="54"/>
      <c r="KU11" s="54"/>
      <c r="KV11" s="54"/>
      <c r="KW11" s="54"/>
      <c r="KX11" s="54"/>
    </row>
    <row r="12" ht="5.25" customHeight="1">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c r="CC12" s="54"/>
      <c r="CD12" s="54"/>
      <c r="CE12" s="54"/>
      <c r="CF12" s="54"/>
      <c r="CG12" s="54"/>
      <c r="CH12" s="54"/>
      <c r="CI12" s="54"/>
      <c r="CJ12" s="54"/>
      <c r="CK12" s="54"/>
      <c r="CL12" s="54"/>
      <c r="CM12" s="54"/>
      <c r="CN12" s="54"/>
      <c r="CO12" s="54"/>
      <c r="CP12" s="54"/>
      <c r="CQ12" s="54"/>
      <c r="CR12" s="54"/>
      <c r="CS12" s="54"/>
      <c r="CT12" s="54"/>
      <c r="CU12" s="54"/>
      <c r="CV12" s="54"/>
      <c r="CW12" s="54"/>
      <c r="CX12" s="54"/>
      <c r="CY12" s="54"/>
      <c r="CZ12" s="54"/>
      <c r="DA12" s="54"/>
      <c r="DB12" s="54"/>
      <c r="DC12" s="55"/>
      <c r="DD12" s="62" t="s">
        <v>2</v>
      </c>
      <c r="EH12" s="63" t="s">
        <v>4</v>
      </c>
      <c r="FK12" s="61"/>
      <c r="FL12" s="55"/>
      <c r="FM12" s="54"/>
      <c r="FN12" s="54"/>
      <c r="FO12" s="54"/>
      <c r="FP12" s="54"/>
      <c r="FQ12" s="54"/>
      <c r="FR12" s="54"/>
      <c r="FS12" s="54"/>
      <c r="FT12" s="54"/>
      <c r="FU12" s="54"/>
      <c r="FV12" s="54"/>
      <c r="FW12" s="54"/>
      <c r="FX12" s="54"/>
      <c r="FY12" s="54"/>
      <c r="FZ12" s="54"/>
      <c r="GA12" s="54"/>
      <c r="GB12" s="54"/>
      <c r="GC12" s="54"/>
      <c r="GD12" s="54"/>
      <c r="GE12" s="54"/>
      <c r="GF12" s="54"/>
      <c r="GG12" s="54"/>
      <c r="GH12" s="54"/>
      <c r="GI12" s="54"/>
      <c r="GJ12" s="54"/>
      <c r="GK12" s="54"/>
      <c r="GL12" s="54"/>
      <c r="GM12" s="54"/>
      <c r="GN12" s="54"/>
      <c r="GO12" s="54"/>
      <c r="GP12" s="54"/>
      <c r="GQ12" s="54"/>
      <c r="GR12" s="54"/>
      <c r="GS12" s="54"/>
      <c r="GT12" s="54"/>
      <c r="GU12" s="54"/>
      <c r="GV12" s="54"/>
      <c r="GW12" s="54"/>
      <c r="GX12" s="54"/>
      <c r="GY12" s="54"/>
      <c r="GZ12" s="54"/>
      <c r="HA12" s="54"/>
      <c r="HB12" s="54"/>
      <c r="HC12" s="54"/>
      <c r="HD12" s="54"/>
      <c r="HE12" s="54"/>
      <c r="HF12" s="54"/>
      <c r="HG12" s="54"/>
      <c r="HH12" s="54"/>
      <c r="HI12" s="54"/>
      <c r="HJ12" s="54"/>
      <c r="HK12" s="54"/>
      <c r="HL12" s="54"/>
      <c r="HM12" s="54"/>
      <c r="HN12" s="54"/>
      <c r="HO12" s="54"/>
      <c r="HP12" s="54"/>
      <c r="HQ12" s="54"/>
      <c r="HR12" s="54"/>
      <c r="HS12" s="54"/>
      <c r="HT12" s="54"/>
      <c r="HU12" s="54"/>
      <c r="HV12" s="54"/>
      <c r="HW12" s="54"/>
      <c r="HX12" s="54"/>
      <c r="HY12" s="54"/>
      <c r="HZ12" s="54"/>
      <c r="IA12" s="54"/>
      <c r="IB12" s="54"/>
      <c r="IC12" s="54"/>
      <c r="ID12" s="54"/>
      <c r="IE12" s="54"/>
      <c r="IF12" s="54"/>
      <c r="IG12" s="54"/>
      <c r="IH12" s="54"/>
      <c r="II12" s="54"/>
      <c r="IJ12" s="54"/>
      <c r="IK12" s="54"/>
      <c r="IL12" s="54"/>
      <c r="IM12" s="54"/>
      <c r="IN12" s="54"/>
      <c r="IO12" s="54"/>
      <c r="IP12" s="54"/>
      <c r="IQ12" s="54"/>
      <c r="IR12" s="54"/>
      <c r="IS12" s="54"/>
      <c r="IT12" s="54"/>
      <c r="IU12" s="54"/>
      <c r="IV12" s="54"/>
      <c r="IW12" s="54"/>
      <c r="IX12" s="54"/>
      <c r="IY12" s="54"/>
      <c r="IZ12" s="54"/>
      <c r="JA12" s="54"/>
      <c r="JB12" s="54"/>
      <c r="JC12" s="54"/>
      <c r="JD12" s="54"/>
      <c r="JE12" s="54"/>
      <c r="JF12" s="54"/>
      <c r="JG12" s="54"/>
      <c r="JH12" s="54"/>
      <c r="JI12" s="54"/>
      <c r="JJ12" s="54"/>
      <c r="JK12" s="54"/>
      <c r="JL12" s="54"/>
      <c r="JM12" s="54"/>
      <c r="JN12" s="54"/>
      <c r="JO12" s="54"/>
      <c r="JP12" s="54"/>
      <c r="JQ12" s="54"/>
      <c r="JR12" s="54"/>
      <c r="JS12" s="54"/>
      <c r="JT12" s="54"/>
      <c r="JU12" s="54"/>
      <c r="JV12" s="54"/>
      <c r="JW12" s="54"/>
      <c r="JX12" s="54"/>
      <c r="JY12" s="54"/>
      <c r="JZ12" s="54"/>
      <c r="KA12" s="54"/>
      <c r="KB12" s="54"/>
      <c r="KC12" s="54"/>
      <c r="KD12" s="54"/>
      <c r="KE12" s="54"/>
      <c r="KF12" s="54"/>
      <c r="KG12" s="54"/>
      <c r="KH12" s="54"/>
      <c r="KI12" s="54"/>
      <c r="KJ12" s="54"/>
      <c r="KK12" s="54"/>
      <c r="KL12" s="54"/>
      <c r="KM12" s="54"/>
      <c r="KN12" s="54"/>
      <c r="KO12" s="54"/>
      <c r="KP12" s="54"/>
      <c r="KQ12" s="54"/>
      <c r="KR12" s="54"/>
      <c r="KS12" s="54"/>
      <c r="KT12" s="54"/>
      <c r="KU12" s="54"/>
      <c r="KV12" s="54"/>
      <c r="KW12" s="54"/>
      <c r="KX12" s="54"/>
    </row>
    <row r="13" ht="5.25" customHeight="1">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c r="CC13" s="54"/>
      <c r="CD13" s="54"/>
      <c r="CE13" s="54"/>
      <c r="CF13" s="54"/>
      <c r="CG13" s="54"/>
      <c r="CH13" s="54"/>
      <c r="CI13" s="54"/>
      <c r="CJ13" s="54"/>
      <c r="CK13" s="54"/>
      <c r="CL13" s="54"/>
      <c r="CM13" s="54"/>
      <c r="CN13" s="54"/>
      <c r="CO13" s="54"/>
      <c r="CP13" s="54"/>
      <c r="CQ13" s="54"/>
      <c r="CR13" s="54"/>
      <c r="CS13" s="54"/>
      <c r="CT13" s="54"/>
      <c r="CU13" s="54"/>
      <c r="CV13" s="54"/>
      <c r="CW13" s="54"/>
      <c r="CX13" s="54"/>
      <c r="CY13" s="54"/>
      <c r="CZ13" s="54"/>
      <c r="DA13" s="54"/>
      <c r="DB13" s="54"/>
      <c r="DC13" s="55"/>
      <c r="DD13" s="60"/>
      <c r="FK13" s="61"/>
      <c r="FL13" s="55"/>
      <c r="FM13" s="54"/>
      <c r="FN13" s="54"/>
      <c r="FO13" s="54"/>
      <c r="FP13" s="54"/>
      <c r="FQ13" s="54"/>
      <c r="FR13" s="54"/>
      <c r="FS13" s="54"/>
      <c r="FT13" s="54"/>
      <c r="FU13" s="54"/>
      <c r="FV13" s="54"/>
      <c r="FW13" s="54"/>
      <c r="FX13" s="54"/>
      <c r="FY13" s="54"/>
      <c r="FZ13" s="54"/>
      <c r="GA13" s="54"/>
      <c r="GB13" s="54"/>
      <c r="GC13" s="54"/>
      <c r="GD13" s="54"/>
      <c r="GE13" s="54"/>
      <c r="GF13" s="54"/>
      <c r="GG13" s="54"/>
      <c r="GH13" s="54"/>
      <c r="GI13" s="54"/>
      <c r="GJ13" s="54"/>
      <c r="GK13" s="54"/>
      <c r="GL13" s="54"/>
      <c r="GM13" s="54"/>
      <c r="GN13" s="54"/>
      <c r="GO13" s="54"/>
      <c r="GP13" s="54"/>
      <c r="GQ13" s="54"/>
      <c r="GR13" s="54"/>
      <c r="GS13" s="54"/>
      <c r="GT13" s="54"/>
      <c r="GU13" s="54"/>
      <c r="GV13" s="54"/>
      <c r="GW13" s="54"/>
      <c r="GX13" s="54"/>
      <c r="GY13" s="54"/>
      <c r="GZ13" s="54"/>
      <c r="HA13" s="54"/>
      <c r="HB13" s="54"/>
      <c r="HC13" s="54"/>
      <c r="HD13" s="54"/>
      <c r="HE13" s="54"/>
      <c r="HF13" s="54"/>
      <c r="HG13" s="54"/>
      <c r="HH13" s="54"/>
      <c r="HI13" s="54"/>
      <c r="HJ13" s="54"/>
      <c r="HK13" s="54"/>
      <c r="HL13" s="54"/>
      <c r="HM13" s="54"/>
      <c r="HN13" s="54"/>
      <c r="HO13" s="54"/>
      <c r="HP13" s="54"/>
      <c r="HQ13" s="54"/>
      <c r="HR13" s="54"/>
      <c r="HS13" s="54"/>
      <c r="HT13" s="54"/>
      <c r="HU13" s="54"/>
      <c r="HV13" s="54"/>
      <c r="HW13" s="54"/>
      <c r="HX13" s="54"/>
      <c r="HY13" s="54"/>
      <c r="HZ13" s="54"/>
      <c r="IA13" s="54"/>
      <c r="IB13" s="54"/>
      <c r="IC13" s="54"/>
      <c r="ID13" s="54"/>
      <c r="IE13" s="54"/>
      <c r="IF13" s="54"/>
      <c r="IG13" s="54"/>
      <c r="IH13" s="54"/>
      <c r="II13" s="54"/>
      <c r="IJ13" s="54"/>
      <c r="IK13" s="54"/>
      <c r="IL13" s="54"/>
      <c r="IM13" s="54"/>
      <c r="IN13" s="54"/>
      <c r="IO13" s="54"/>
      <c r="IP13" s="54"/>
      <c r="IQ13" s="54"/>
      <c r="IR13" s="54"/>
      <c r="IS13" s="54"/>
      <c r="IT13" s="54"/>
      <c r="IU13" s="54"/>
      <c r="IV13" s="54"/>
      <c r="IW13" s="54"/>
      <c r="IX13" s="54"/>
      <c r="IY13" s="54"/>
      <c r="IZ13" s="54"/>
      <c r="JA13" s="54"/>
      <c r="JB13" s="54"/>
      <c r="JC13" s="54"/>
      <c r="JD13" s="54"/>
      <c r="JE13" s="54"/>
      <c r="JF13" s="54"/>
      <c r="JG13" s="54"/>
      <c r="JH13" s="54"/>
      <c r="JI13" s="54"/>
      <c r="JJ13" s="54"/>
      <c r="JK13" s="54"/>
      <c r="JL13" s="54"/>
      <c r="JM13" s="54"/>
      <c r="JN13" s="54"/>
      <c r="JO13" s="54"/>
      <c r="JP13" s="54"/>
      <c r="JQ13" s="54"/>
      <c r="JR13" s="54"/>
      <c r="JS13" s="54"/>
      <c r="JT13" s="54"/>
      <c r="JU13" s="54"/>
      <c r="JV13" s="54"/>
      <c r="JW13" s="54"/>
      <c r="JX13" s="54"/>
      <c r="JY13" s="54"/>
      <c r="JZ13" s="54"/>
      <c r="KA13" s="54"/>
      <c r="KB13" s="54"/>
      <c r="KC13" s="54"/>
      <c r="KD13" s="54"/>
      <c r="KE13" s="54"/>
      <c r="KF13" s="54"/>
      <c r="KG13" s="54"/>
      <c r="KH13" s="54"/>
      <c r="KI13" s="54"/>
      <c r="KJ13" s="54"/>
      <c r="KK13" s="54"/>
      <c r="KL13" s="54"/>
      <c r="KM13" s="54"/>
      <c r="KN13" s="54"/>
      <c r="KO13" s="54"/>
      <c r="KP13" s="54"/>
      <c r="KQ13" s="54"/>
      <c r="KR13" s="54"/>
      <c r="KS13" s="54"/>
      <c r="KT13" s="54"/>
      <c r="KU13" s="54"/>
      <c r="KV13" s="54"/>
      <c r="KW13" s="54"/>
      <c r="KX13" s="54"/>
    </row>
    <row r="14" ht="5.25" customHeight="1">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c r="BU14" s="54"/>
      <c r="BV14" s="54"/>
      <c r="BW14" s="54"/>
      <c r="BX14" s="54"/>
      <c r="BY14" s="54"/>
      <c r="BZ14" s="54"/>
      <c r="CA14" s="54"/>
      <c r="CB14" s="54"/>
      <c r="CC14" s="54"/>
      <c r="CD14" s="54"/>
      <c r="CE14" s="54"/>
      <c r="CF14" s="54"/>
      <c r="CG14" s="54"/>
      <c r="CH14" s="54"/>
      <c r="CI14" s="54"/>
      <c r="CJ14" s="54"/>
      <c r="CK14" s="54"/>
      <c r="CL14" s="54"/>
      <c r="CM14" s="54"/>
      <c r="CN14" s="54"/>
      <c r="CO14" s="54"/>
      <c r="CP14" s="54"/>
      <c r="CQ14" s="54"/>
      <c r="CR14" s="54"/>
      <c r="CS14" s="54"/>
      <c r="CT14" s="54"/>
      <c r="CU14" s="54"/>
      <c r="CV14" s="54"/>
      <c r="CW14" s="54"/>
      <c r="CX14" s="54"/>
      <c r="CY14" s="54"/>
      <c r="CZ14" s="54"/>
      <c r="DA14" s="54"/>
      <c r="DB14" s="54"/>
      <c r="DC14" s="55"/>
      <c r="DD14" s="60"/>
      <c r="FK14" s="61"/>
      <c r="FL14" s="55"/>
      <c r="FM14" s="54"/>
      <c r="FN14" s="54"/>
      <c r="FO14" s="54"/>
      <c r="FP14" s="54"/>
      <c r="FQ14" s="54"/>
      <c r="FR14" s="54"/>
      <c r="FS14" s="54"/>
      <c r="FT14" s="54"/>
      <c r="FU14" s="54"/>
      <c r="FV14" s="54"/>
      <c r="FW14" s="54"/>
      <c r="FX14" s="54"/>
      <c r="FY14" s="54"/>
      <c r="FZ14" s="54"/>
      <c r="GA14" s="54"/>
      <c r="GB14" s="54"/>
      <c r="GC14" s="54"/>
      <c r="GD14" s="54"/>
      <c r="GE14" s="54"/>
      <c r="GF14" s="54"/>
      <c r="GG14" s="54"/>
      <c r="GH14" s="54"/>
      <c r="GI14" s="54"/>
      <c r="GJ14" s="54"/>
      <c r="GK14" s="54"/>
      <c r="GL14" s="54"/>
      <c r="GM14" s="54"/>
      <c r="GN14" s="54"/>
      <c r="GO14" s="54"/>
      <c r="GP14" s="54"/>
      <c r="GQ14" s="54"/>
      <c r="GR14" s="54"/>
      <c r="GS14" s="54"/>
      <c r="GT14" s="54"/>
      <c r="GU14" s="54"/>
      <c r="GV14" s="54"/>
      <c r="GW14" s="54"/>
      <c r="GX14" s="54"/>
      <c r="GY14" s="54"/>
      <c r="GZ14" s="54"/>
      <c r="HA14" s="54"/>
      <c r="HB14" s="54"/>
      <c r="HC14" s="54"/>
      <c r="HD14" s="54"/>
      <c r="HE14" s="54"/>
      <c r="HF14" s="54"/>
      <c r="HG14" s="54"/>
      <c r="HH14" s="54"/>
      <c r="HI14" s="54"/>
      <c r="HJ14" s="54"/>
      <c r="HK14" s="54"/>
      <c r="HL14" s="54"/>
      <c r="HM14" s="54"/>
      <c r="HN14" s="54"/>
      <c r="HO14" s="54"/>
      <c r="HP14" s="54"/>
      <c r="HQ14" s="54"/>
      <c r="HR14" s="54"/>
      <c r="HS14" s="54"/>
      <c r="HT14" s="54"/>
      <c r="HU14" s="54"/>
      <c r="HV14" s="54"/>
      <c r="HW14" s="54"/>
      <c r="HX14" s="54"/>
      <c r="HY14" s="54"/>
      <c r="HZ14" s="54"/>
      <c r="IA14" s="54"/>
      <c r="IB14" s="54"/>
      <c r="IC14" s="54"/>
      <c r="ID14" s="54"/>
      <c r="IE14" s="54"/>
      <c r="IF14" s="54"/>
      <c r="IG14" s="54"/>
      <c r="IH14" s="54"/>
      <c r="II14" s="54"/>
      <c r="IJ14" s="54"/>
      <c r="IK14" s="54"/>
      <c r="IL14" s="54"/>
      <c r="IM14" s="54"/>
      <c r="IN14" s="54"/>
      <c r="IO14" s="54"/>
      <c r="IP14" s="54"/>
      <c r="IQ14" s="54"/>
      <c r="IR14" s="54"/>
      <c r="IS14" s="54"/>
      <c r="IT14" s="54"/>
      <c r="IU14" s="54"/>
      <c r="IV14" s="54"/>
      <c r="IW14" s="54"/>
      <c r="IX14" s="54"/>
      <c r="IY14" s="54"/>
      <c r="IZ14" s="54"/>
      <c r="JA14" s="54"/>
      <c r="JB14" s="54"/>
      <c r="JC14" s="54"/>
      <c r="JD14" s="54"/>
      <c r="JE14" s="54"/>
      <c r="JF14" s="54"/>
      <c r="JG14" s="54"/>
      <c r="JH14" s="54"/>
      <c r="JI14" s="54"/>
      <c r="JJ14" s="54"/>
      <c r="JK14" s="54"/>
      <c r="JL14" s="54"/>
      <c r="JM14" s="54"/>
      <c r="JN14" s="54"/>
      <c r="JO14" s="54"/>
      <c r="JP14" s="54"/>
      <c r="JQ14" s="54"/>
      <c r="JR14" s="54"/>
      <c r="JS14" s="54"/>
      <c r="JT14" s="54"/>
      <c r="JU14" s="54"/>
      <c r="JV14" s="54"/>
      <c r="JW14" s="54"/>
      <c r="JX14" s="54"/>
      <c r="JY14" s="54"/>
      <c r="JZ14" s="54"/>
      <c r="KA14" s="54"/>
      <c r="KB14" s="54"/>
      <c r="KC14" s="54"/>
      <c r="KD14" s="54"/>
      <c r="KE14" s="54"/>
      <c r="KF14" s="54"/>
      <c r="KG14" s="54"/>
      <c r="KH14" s="54"/>
      <c r="KI14" s="54"/>
      <c r="KJ14" s="54"/>
      <c r="KK14" s="54"/>
      <c r="KL14" s="54"/>
      <c r="KM14" s="54"/>
      <c r="KN14" s="54"/>
      <c r="KO14" s="54"/>
      <c r="KP14" s="54"/>
      <c r="KQ14" s="54"/>
      <c r="KR14" s="54"/>
      <c r="KS14" s="54"/>
      <c r="KT14" s="54"/>
      <c r="KU14" s="54"/>
      <c r="KV14" s="54"/>
      <c r="KW14" s="54"/>
      <c r="KX14" s="54"/>
    </row>
    <row r="15" ht="5.25" customHeight="1">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4"/>
      <c r="BZ15" s="54"/>
      <c r="CA15" s="54"/>
      <c r="CB15" s="54"/>
      <c r="CC15" s="54"/>
      <c r="CD15" s="54"/>
      <c r="CE15" s="54"/>
      <c r="CF15" s="54"/>
      <c r="CG15" s="54"/>
      <c r="CH15" s="54"/>
      <c r="CI15" s="54"/>
      <c r="CJ15" s="54"/>
      <c r="CK15" s="54"/>
      <c r="CL15" s="54"/>
      <c r="CM15" s="54"/>
      <c r="CN15" s="54"/>
      <c r="CO15" s="54"/>
      <c r="CP15" s="54"/>
      <c r="CQ15" s="54"/>
      <c r="CR15" s="54"/>
      <c r="CS15" s="54"/>
      <c r="CT15" s="54"/>
      <c r="CU15" s="54"/>
      <c r="CV15" s="54"/>
      <c r="CW15" s="54"/>
      <c r="CX15" s="54"/>
      <c r="CY15" s="54"/>
      <c r="CZ15" s="54"/>
      <c r="DA15" s="54"/>
      <c r="DB15" s="54"/>
      <c r="DC15" s="55"/>
      <c r="DD15" s="64"/>
      <c r="DL15" s="65" t="s">
        <v>57</v>
      </c>
      <c r="DN15" s="11"/>
      <c r="DO15" s="66" t="s">
        <v>58</v>
      </c>
      <c r="DQ15" s="11"/>
      <c r="DR15" s="66" t="s">
        <v>59</v>
      </c>
      <c r="DU15" s="54"/>
      <c r="ED15" s="67" t="s">
        <v>3</v>
      </c>
      <c r="EL15" s="54"/>
      <c r="EM15" s="54"/>
      <c r="EN15" s="54"/>
      <c r="EO15" s="54"/>
      <c r="EP15" s="54"/>
      <c r="EQ15" s="54"/>
      <c r="ER15" s="54"/>
      <c r="ES15" s="54"/>
      <c r="ET15" s="54"/>
      <c r="EU15" s="65" t="s">
        <v>59</v>
      </c>
      <c r="EW15" s="11"/>
      <c r="EX15" s="66" t="s">
        <v>58</v>
      </c>
      <c r="EZ15" s="11"/>
      <c r="FA15" s="66" t="s">
        <v>57</v>
      </c>
      <c r="FD15" s="68"/>
      <c r="FE15" s="54"/>
      <c r="FF15" s="54"/>
      <c r="FG15" s="54"/>
      <c r="FH15" s="54"/>
      <c r="FI15" s="54"/>
      <c r="FJ15" s="54"/>
      <c r="FK15" s="69"/>
      <c r="FL15" s="55"/>
      <c r="FM15" s="54"/>
      <c r="FN15" s="54"/>
      <c r="FO15" s="54"/>
      <c r="FP15" s="54"/>
      <c r="FQ15" s="54"/>
      <c r="FR15" s="54"/>
      <c r="FS15" s="54"/>
      <c r="FT15" s="54"/>
      <c r="FU15" s="54"/>
      <c r="FV15" s="54"/>
      <c r="FW15" s="54"/>
      <c r="FX15" s="54"/>
      <c r="FY15" s="54"/>
      <c r="FZ15" s="54"/>
      <c r="GA15" s="54"/>
      <c r="GB15" s="54"/>
      <c r="GC15" s="54"/>
      <c r="GD15" s="54"/>
      <c r="GE15" s="54"/>
      <c r="GF15" s="54"/>
      <c r="GG15" s="54"/>
      <c r="GH15" s="54"/>
      <c r="GI15" s="54"/>
      <c r="GJ15" s="54"/>
      <c r="GK15" s="54"/>
      <c r="GL15" s="54"/>
      <c r="GM15" s="54"/>
      <c r="GN15" s="54"/>
      <c r="GO15" s="54"/>
      <c r="GP15" s="54"/>
      <c r="GQ15" s="54"/>
      <c r="GR15" s="54"/>
      <c r="GS15" s="54"/>
      <c r="GT15" s="54"/>
      <c r="GU15" s="54"/>
      <c r="GV15" s="54"/>
      <c r="GW15" s="54"/>
      <c r="GX15" s="54"/>
      <c r="GY15" s="54"/>
      <c r="GZ15" s="54"/>
      <c r="HA15" s="54"/>
      <c r="HB15" s="54"/>
      <c r="HC15" s="54"/>
      <c r="HD15" s="54"/>
      <c r="HE15" s="54"/>
      <c r="HF15" s="54"/>
      <c r="HG15" s="54"/>
      <c r="HH15" s="54"/>
      <c r="HI15" s="54"/>
      <c r="HJ15" s="54"/>
      <c r="HK15" s="54"/>
      <c r="HL15" s="54"/>
      <c r="HM15" s="54"/>
      <c r="HN15" s="54"/>
      <c r="HO15" s="54"/>
      <c r="HP15" s="54"/>
      <c r="HQ15" s="54"/>
      <c r="HR15" s="54"/>
      <c r="HS15" s="54"/>
      <c r="HT15" s="54"/>
      <c r="HU15" s="54"/>
      <c r="HV15" s="54"/>
      <c r="HW15" s="54"/>
      <c r="HX15" s="54"/>
      <c r="HY15" s="54"/>
      <c r="HZ15" s="54"/>
      <c r="IA15" s="54"/>
      <c r="IB15" s="54"/>
      <c r="IC15" s="54"/>
      <c r="ID15" s="54"/>
      <c r="IE15" s="54"/>
      <c r="IF15" s="54"/>
      <c r="IG15" s="54"/>
      <c r="IH15" s="54"/>
      <c r="II15" s="54"/>
      <c r="IJ15" s="54"/>
      <c r="IK15" s="54"/>
      <c r="IL15" s="54"/>
      <c r="IM15" s="54"/>
      <c r="IN15" s="54"/>
      <c r="IO15" s="54"/>
      <c r="IP15" s="54"/>
      <c r="IQ15" s="54"/>
      <c r="IR15" s="54"/>
      <c r="IS15" s="54"/>
      <c r="IT15" s="54"/>
      <c r="IU15" s="54"/>
      <c r="IV15" s="54"/>
      <c r="IW15" s="54"/>
      <c r="IX15" s="54"/>
      <c r="IY15" s="54"/>
      <c r="IZ15" s="54"/>
      <c r="JA15" s="54"/>
      <c r="JB15" s="54"/>
      <c r="JC15" s="54"/>
      <c r="JD15" s="54"/>
      <c r="JE15" s="54"/>
      <c r="JF15" s="54"/>
      <c r="JG15" s="54"/>
      <c r="JH15" s="54"/>
      <c r="JI15" s="54"/>
      <c r="JJ15" s="54"/>
      <c r="JK15" s="54"/>
      <c r="JL15" s="54"/>
      <c r="JM15" s="54"/>
      <c r="JN15" s="54"/>
      <c r="JO15" s="54"/>
      <c r="JP15" s="54"/>
      <c r="JQ15" s="54"/>
      <c r="JR15" s="54"/>
      <c r="JS15" s="54"/>
      <c r="JT15" s="54"/>
      <c r="JU15" s="54"/>
      <c r="JV15" s="54"/>
      <c r="JW15" s="54"/>
      <c r="JX15" s="54"/>
      <c r="JY15" s="54"/>
      <c r="JZ15" s="54"/>
      <c r="KA15" s="54"/>
      <c r="KB15" s="54"/>
      <c r="KC15" s="54"/>
      <c r="KD15" s="54"/>
      <c r="KE15" s="54"/>
      <c r="KF15" s="54"/>
      <c r="KG15" s="54"/>
      <c r="KH15" s="54"/>
      <c r="KI15" s="54"/>
      <c r="KJ15" s="54"/>
      <c r="KK15" s="54"/>
      <c r="KL15" s="54"/>
      <c r="KM15" s="54"/>
      <c r="KN15" s="54"/>
      <c r="KO15" s="54"/>
      <c r="KP15" s="54"/>
      <c r="KQ15" s="54"/>
      <c r="KR15" s="54"/>
      <c r="KS15" s="54"/>
      <c r="KT15" s="54"/>
      <c r="KU15" s="54"/>
      <c r="KV15" s="54"/>
      <c r="KW15" s="54"/>
      <c r="KX15" s="54"/>
    </row>
    <row r="16" ht="5.25" customHeight="1">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c r="DA16" s="54"/>
      <c r="DB16" s="54"/>
      <c r="DC16" s="55"/>
      <c r="DD16" s="60"/>
      <c r="DN16" s="11"/>
      <c r="DO16" s="10"/>
      <c r="DQ16" s="11"/>
      <c r="DR16" s="10"/>
      <c r="EL16" s="54"/>
      <c r="EM16" s="54"/>
      <c r="EN16" s="54"/>
      <c r="EO16" s="54"/>
      <c r="EP16" s="54"/>
      <c r="EQ16" s="54"/>
      <c r="ER16" s="54"/>
      <c r="ES16" s="54"/>
      <c r="ET16" s="54"/>
      <c r="EW16" s="11"/>
      <c r="EX16" s="10"/>
      <c r="EZ16" s="11"/>
      <c r="FA16" s="10"/>
      <c r="FD16" s="68"/>
      <c r="FE16" s="54"/>
      <c r="FF16" s="54"/>
      <c r="FG16" s="54"/>
      <c r="FH16" s="54"/>
      <c r="FI16" s="54"/>
      <c r="FJ16" s="54"/>
      <c r="FK16" s="69"/>
      <c r="FL16" s="55"/>
      <c r="FM16" s="54"/>
      <c r="FN16" s="54"/>
      <c r="FO16" s="54"/>
      <c r="FP16" s="54"/>
      <c r="FQ16" s="54"/>
      <c r="FR16" s="54"/>
      <c r="FS16" s="54"/>
      <c r="FT16" s="54"/>
      <c r="FU16" s="54"/>
      <c r="FV16" s="54"/>
      <c r="FW16" s="54"/>
      <c r="FX16" s="54"/>
      <c r="FY16" s="54"/>
      <c r="FZ16" s="54"/>
      <c r="GA16" s="54"/>
      <c r="GB16" s="54"/>
      <c r="GC16" s="54"/>
      <c r="GD16" s="54"/>
      <c r="GE16" s="54"/>
      <c r="GF16" s="54"/>
      <c r="GG16" s="54"/>
      <c r="GH16" s="54"/>
      <c r="GI16" s="54"/>
      <c r="GJ16" s="54"/>
      <c r="GK16" s="54"/>
      <c r="GL16" s="54"/>
      <c r="GM16" s="54"/>
      <c r="GN16" s="54"/>
      <c r="GO16" s="54"/>
      <c r="GP16" s="54"/>
      <c r="GQ16" s="54"/>
      <c r="GR16" s="54"/>
      <c r="GS16" s="54"/>
      <c r="GT16" s="54"/>
      <c r="GU16" s="54"/>
      <c r="GV16" s="54"/>
      <c r="GW16" s="54"/>
      <c r="GX16" s="54"/>
      <c r="GY16" s="54"/>
      <c r="GZ16" s="54"/>
      <c r="HA16" s="54"/>
      <c r="HB16" s="54"/>
      <c r="HC16" s="54"/>
      <c r="HD16" s="54"/>
      <c r="HE16" s="54"/>
      <c r="HF16" s="54"/>
      <c r="HG16" s="54"/>
      <c r="HH16" s="54"/>
      <c r="HI16" s="54"/>
      <c r="HJ16" s="54"/>
      <c r="HK16" s="54"/>
      <c r="HL16" s="54"/>
      <c r="HM16" s="54"/>
      <c r="HN16" s="54"/>
      <c r="HO16" s="54"/>
      <c r="HP16" s="54"/>
      <c r="HQ16" s="54"/>
      <c r="HR16" s="54"/>
      <c r="HS16" s="54"/>
      <c r="HT16" s="54"/>
      <c r="HU16" s="54"/>
      <c r="HV16" s="54"/>
      <c r="HW16" s="54"/>
      <c r="HX16" s="54"/>
      <c r="HY16" s="54"/>
      <c r="HZ16" s="54"/>
      <c r="IA16" s="54"/>
      <c r="IB16" s="54"/>
      <c r="IC16" s="54"/>
      <c r="ID16" s="54"/>
      <c r="IE16" s="54"/>
      <c r="IF16" s="54"/>
      <c r="IG16" s="54"/>
      <c r="IH16" s="54"/>
      <c r="II16" s="54"/>
      <c r="IJ16" s="54"/>
      <c r="IK16" s="54"/>
      <c r="IL16" s="54"/>
      <c r="IM16" s="54"/>
      <c r="IN16" s="54"/>
      <c r="IO16" s="54"/>
      <c r="IP16" s="54"/>
      <c r="IQ16" s="54"/>
      <c r="IR16" s="54"/>
      <c r="IS16" s="54"/>
      <c r="IT16" s="54"/>
      <c r="IU16" s="54"/>
      <c r="IV16" s="54"/>
      <c r="IW16" s="54"/>
      <c r="IX16" s="54"/>
      <c r="IY16" s="54"/>
      <c r="IZ16" s="54"/>
      <c r="JA16" s="54"/>
      <c r="JB16" s="54"/>
      <c r="JC16" s="54"/>
      <c r="JD16" s="54"/>
      <c r="JE16" s="54"/>
      <c r="JF16" s="54"/>
      <c r="JG16" s="54"/>
      <c r="JH16" s="54"/>
      <c r="JI16" s="54"/>
      <c r="JJ16" s="54"/>
      <c r="JK16" s="54"/>
      <c r="JL16" s="54"/>
      <c r="JM16" s="54"/>
      <c r="JN16" s="54"/>
      <c r="JO16" s="54"/>
      <c r="JP16" s="54"/>
      <c r="JQ16" s="54"/>
      <c r="JR16" s="54"/>
      <c r="JS16" s="54"/>
      <c r="JT16" s="54"/>
      <c r="JU16" s="54"/>
      <c r="JV16" s="54"/>
      <c r="JW16" s="54"/>
      <c r="JX16" s="54"/>
      <c r="JY16" s="54"/>
      <c r="JZ16" s="54"/>
      <c r="KA16" s="54"/>
      <c r="KB16" s="54"/>
      <c r="KC16" s="54"/>
      <c r="KD16" s="54"/>
      <c r="KE16" s="54"/>
      <c r="KF16" s="54"/>
      <c r="KG16" s="54"/>
      <c r="KH16" s="54"/>
      <c r="KI16" s="54"/>
      <c r="KJ16" s="54"/>
      <c r="KK16" s="54"/>
      <c r="KL16" s="54"/>
      <c r="KM16" s="54"/>
      <c r="KN16" s="54"/>
      <c r="KO16" s="54"/>
      <c r="KP16" s="54"/>
      <c r="KQ16" s="54"/>
      <c r="KR16" s="54"/>
      <c r="KS16" s="54"/>
      <c r="KT16" s="54"/>
      <c r="KU16" s="54"/>
      <c r="KV16" s="54"/>
      <c r="KW16" s="54"/>
      <c r="KX16" s="54"/>
    </row>
    <row r="17" ht="5.25" customHeight="1">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L17" s="54"/>
      <c r="CM17" s="54"/>
      <c r="CN17" s="54"/>
      <c r="CO17" s="54"/>
      <c r="CP17" s="54"/>
      <c r="CQ17" s="54"/>
      <c r="CR17" s="54"/>
      <c r="CS17" s="54"/>
      <c r="CT17" s="54"/>
      <c r="CU17" s="54"/>
      <c r="CV17" s="54"/>
      <c r="CW17" s="54"/>
      <c r="CX17" s="54"/>
      <c r="CY17" s="54"/>
      <c r="CZ17" s="54"/>
      <c r="DA17" s="54"/>
      <c r="DB17" s="54"/>
      <c r="DC17" s="55"/>
      <c r="DD17" s="70"/>
      <c r="DE17" s="71"/>
      <c r="DF17" s="71"/>
      <c r="DG17" s="71"/>
      <c r="DH17" s="71"/>
      <c r="DI17" s="71"/>
      <c r="DJ17" s="71"/>
      <c r="DK17" s="71"/>
      <c r="DL17" s="71"/>
      <c r="DM17" s="71"/>
      <c r="DN17" s="72"/>
      <c r="DO17" s="73"/>
      <c r="DP17" s="71"/>
      <c r="DQ17" s="72"/>
      <c r="DR17" s="73"/>
      <c r="DS17" s="71"/>
      <c r="DT17" s="71"/>
      <c r="DU17" s="71"/>
      <c r="DV17" s="71"/>
      <c r="DW17" s="71"/>
      <c r="DX17" s="71"/>
      <c r="DY17" s="71"/>
      <c r="DZ17" s="71"/>
      <c r="EA17" s="71"/>
      <c r="EB17" s="71"/>
      <c r="EC17" s="71"/>
      <c r="ED17" s="71"/>
      <c r="EE17" s="71"/>
      <c r="EF17" s="71"/>
      <c r="EG17" s="71"/>
      <c r="EH17" s="71"/>
      <c r="EI17" s="71"/>
      <c r="EJ17" s="71"/>
      <c r="EK17" s="71"/>
      <c r="EL17" s="74"/>
      <c r="EM17" s="74"/>
      <c r="EN17" s="74"/>
      <c r="EO17" s="74"/>
      <c r="EP17" s="74"/>
      <c r="EQ17" s="74"/>
      <c r="ER17" s="74"/>
      <c r="ES17" s="74"/>
      <c r="ET17" s="74"/>
      <c r="EU17" s="71"/>
      <c r="EV17" s="71"/>
      <c r="EW17" s="72"/>
      <c r="EX17" s="73"/>
      <c r="EY17" s="71"/>
      <c r="EZ17" s="72"/>
      <c r="FA17" s="73"/>
      <c r="FB17" s="71"/>
      <c r="FC17" s="71"/>
      <c r="FD17" s="75"/>
      <c r="FE17" s="74"/>
      <c r="FF17" s="74"/>
      <c r="FG17" s="74"/>
      <c r="FH17" s="74"/>
      <c r="FI17" s="74"/>
      <c r="FJ17" s="74"/>
      <c r="FK17" s="76"/>
      <c r="FL17" s="55"/>
      <c r="FM17" s="54"/>
      <c r="FN17" s="54"/>
      <c r="FO17" s="54"/>
      <c r="FP17" s="54"/>
      <c r="FQ17" s="54"/>
      <c r="FR17" s="54"/>
      <c r="FS17" s="54"/>
      <c r="FT17" s="54"/>
      <c r="FU17" s="54"/>
      <c r="FV17" s="54"/>
      <c r="FW17" s="54"/>
      <c r="FX17" s="54"/>
      <c r="FY17" s="54"/>
      <c r="FZ17" s="54"/>
      <c r="GA17" s="54"/>
      <c r="GB17" s="54"/>
      <c r="GC17" s="54"/>
      <c r="GD17" s="54"/>
      <c r="GE17" s="54"/>
      <c r="GF17" s="54"/>
      <c r="GG17" s="54"/>
      <c r="GH17" s="54"/>
      <c r="GI17" s="54"/>
      <c r="GJ17" s="54"/>
      <c r="GK17" s="54"/>
      <c r="GL17" s="54"/>
      <c r="GM17" s="54"/>
      <c r="GN17" s="54"/>
      <c r="GO17" s="54"/>
      <c r="GP17" s="54"/>
      <c r="GQ17" s="54"/>
      <c r="GR17" s="54"/>
      <c r="GS17" s="54"/>
      <c r="GT17" s="54"/>
      <c r="GU17" s="54"/>
      <c r="GV17" s="54"/>
      <c r="GW17" s="54"/>
      <c r="GX17" s="54"/>
      <c r="GY17" s="54"/>
      <c r="GZ17" s="54"/>
      <c r="HA17" s="54"/>
      <c r="HB17" s="54"/>
      <c r="HC17" s="54"/>
      <c r="HD17" s="54"/>
      <c r="HE17" s="54"/>
      <c r="HF17" s="54"/>
      <c r="HG17" s="54"/>
      <c r="HH17" s="54"/>
      <c r="HI17" s="54"/>
      <c r="HJ17" s="54"/>
      <c r="HK17" s="54"/>
      <c r="HL17" s="54"/>
      <c r="HM17" s="54"/>
      <c r="HN17" s="54"/>
      <c r="HO17" s="54"/>
      <c r="HP17" s="54"/>
      <c r="HQ17" s="54"/>
      <c r="HR17" s="54"/>
      <c r="HS17" s="54"/>
      <c r="HT17" s="54"/>
      <c r="HU17" s="54"/>
      <c r="HV17" s="54"/>
      <c r="HW17" s="54"/>
      <c r="HX17" s="54"/>
      <c r="HY17" s="54"/>
      <c r="HZ17" s="54"/>
      <c r="IA17" s="54"/>
      <c r="IB17" s="54"/>
      <c r="IC17" s="54"/>
      <c r="ID17" s="54"/>
      <c r="IE17" s="54"/>
      <c r="IF17" s="54"/>
      <c r="IG17" s="54"/>
      <c r="IH17" s="54"/>
      <c r="II17" s="54"/>
      <c r="IJ17" s="54"/>
      <c r="IK17" s="54"/>
      <c r="IL17" s="54"/>
      <c r="IM17" s="54"/>
      <c r="IN17" s="54"/>
      <c r="IO17" s="54"/>
      <c r="IP17" s="54"/>
      <c r="IQ17" s="54"/>
      <c r="IR17" s="54"/>
      <c r="IS17" s="54"/>
      <c r="IT17" s="54"/>
      <c r="IU17" s="54"/>
      <c r="IV17" s="54"/>
      <c r="IW17" s="54"/>
      <c r="IX17" s="54"/>
      <c r="IY17" s="54"/>
      <c r="IZ17" s="54"/>
      <c r="JA17" s="54"/>
      <c r="JB17" s="54"/>
      <c r="JC17" s="54"/>
      <c r="JD17" s="54"/>
      <c r="JE17" s="54"/>
      <c r="JF17" s="54"/>
      <c r="JG17" s="54"/>
      <c r="JH17" s="54"/>
      <c r="JI17" s="54"/>
      <c r="JJ17" s="54"/>
      <c r="JK17" s="54"/>
      <c r="JL17" s="54"/>
      <c r="JM17" s="54"/>
      <c r="JN17" s="54"/>
      <c r="JO17" s="54"/>
      <c r="JP17" s="54"/>
      <c r="JQ17" s="54"/>
      <c r="JR17" s="54"/>
      <c r="JS17" s="54"/>
      <c r="JT17" s="54"/>
      <c r="JU17" s="54"/>
      <c r="JV17" s="54"/>
      <c r="JW17" s="54"/>
      <c r="JX17" s="54"/>
      <c r="JY17" s="54"/>
      <c r="JZ17" s="54"/>
      <c r="KA17" s="54"/>
      <c r="KB17" s="54"/>
      <c r="KC17" s="54"/>
      <c r="KD17" s="54"/>
      <c r="KE17" s="54"/>
      <c r="KF17" s="54"/>
      <c r="KG17" s="54"/>
      <c r="KH17" s="54"/>
      <c r="KI17" s="54"/>
      <c r="KJ17" s="54"/>
      <c r="KK17" s="54"/>
      <c r="KL17" s="54"/>
      <c r="KM17" s="54"/>
      <c r="KN17" s="54"/>
      <c r="KO17" s="54"/>
      <c r="KP17" s="54"/>
      <c r="KQ17" s="54"/>
      <c r="KR17" s="54"/>
      <c r="KS17" s="54"/>
      <c r="KT17" s="54"/>
      <c r="KU17" s="54"/>
      <c r="KV17" s="54"/>
      <c r="KW17" s="54"/>
      <c r="KX17" s="54"/>
    </row>
    <row r="18" ht="5.25" customHeight="1">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4"/>
      <c r="CY18" s="54"/>
      <c r="CZ18" s="54"/>
      <c r="DA18" s="54"/>
      <c r="DB18" s="56"/>
      <c r="DC18" s="77">
        <f>'Choose matchups (Contender)'!Q5</f>
        <v>1</v>
      </c>
      <c r="DD18" s="78" t="str">
        <f t="array" ref="DD18">xlookup(DC18,qualdata!$M$2:$M$17,qualdata!$O$2:$O$17,"")</f>
        <v/>
      </c>
      <c r="DH18" s="79" t="str">
        <f t="array" ref="DH18">xlookup(DC18,qualdata!$M$2:$M$17,qualdata!$N$2:$N$17,"")</f>
        <v>Team 1 (Group 1)</v>
      </c>
      <c r="ED18" s="67"/>
      <c r="EG18" s="11"/>
      <c r="EH18" s="80"/>
      <c r="EL18" s="81" t="str">
        <f t="array" ref="EL18">xlookup(FL18,qualdata!$M$2:$M$17,qualdata!$N$2:$N$17,"")</f>
        <v>Team 16 (Group 1)</v>
      </c>
      <c r="FH18" s="82" t="str">
        <f t="array" ref="FH18">xlookup(FL18,qualdata!$M$2:$M$17,qualdata!$O$2:$O$17,"")</f>
        <v/>
      </c>
      <c r="FK18" s="61"/>
      <c r="FL18" s="77">
        <f t="array" ref="FL18">xlookup(DC18,qualdata!$M$2:$M$17,qualdata!$P$2:$P$17,"")</f>
        <v>16</v>
      </c>
      <c r="FM18" s="56"/>
      <c r="FN18" s="54"/>
      <c r="FO18" s="54"/>
      <c r="FP18" s="54"/>
      <c r="FQ18" s="54"/>
      <c r="FR18" s="54"/>
      <c r="FS18" s="54"/>
      <c r="FT18" s="54"/>
      <c r="FU18" s="54"/>
      <c r="FV18" s="54"/>
      <c r="FW18" s="54"/>
      <c r="FX18" s="54"/>
      <c r="FY18" s="54"/>
      <c r="FZ18" s="54"/>
      <c r="GA18" s="54"/>
      <c r="GB18" s="54"/>
      <c r="GC18" s="54"/>
      <c r="GD18" s="54"/>
      <c r="GE18" s="54"/>
      <c r="GF18" s="54"/>
      <c r="GG18" s="54"/>
      <c r="GH18" s="54"/>
      <c r="GI18" s="54"/>
      <c r="GJ18" s="54"/>
      <c r="GK18" s="54"/>
      <c r="GL18" s="54"/>
      <c r="GM18" s="54"/>
      <c r="GN18" s="54"/>
      <c r="GO18" s="54"/>
      <c r="GP18" s="54"/>
      <c r="GQ18" s="54"/>
      <c r="GR18" s="54"/>
      <c r="GS18" s="54"/>
      <c r="GT18" s="54"/>
      <c r="GU18" s="54"/>
      <c r="GV18" s="54"/>
      <c r="GW18" s="54"/>
      <c r="GX18" s="54"/>
      <c r="GY18" s="54"/>
      <c r="GZ18" s="54"/>
      <c r="HA18" s="54"/>
      <c r="HB18" s="54"/>
      <c r="HC18" s="54"/>
      <c r="HD18" s="54"/>
      <c r="HE18" s="54"/>
      <c r="HF18" s="54"/>
      <c r="HG18" s="54"/>
      <c r="HH18" s="54"/>
      <c r="HI18" s="54"/>
      <c r="HJ18" s="54"/>
      <c r="HK18" s="54"/>
      <c r="HL18" s="54"/>
      <c r="HM18" s="54"/>
      <c r="HN18" s="54"/>
      <c r="HO18" s="54"/>
      <c r="HP18" s="54"/>
      <c r="HQ18" s="54"/>
      <c r="HR18" s="54"/>
      <c r="HS18" s="54"/>
      <c r="HT18" s="54"/>
      <c r="HU18" s="54"/>
      <c r="HV18" s="54"/>
      <c r="HW18" s="54"/>
      <c r="HX18" s="54"/>
      <c r="HY18" s="54"/>
      <c r="HZ18" s="54"/>
      <c r="IA18" s="54"/>
      <c r="IB18" s="54"/>
      <c r="IC18" s="54"/>
      <c r="ID18" s="54"/>
      <c r="IE18" s="54"/>
      <c r="IF18" s="54"/>
      <c r="IG18" s="54"/>
      <c r="IH18" s="54"/>
      <c r="II18" s="54"/>
      <c r="IJ18" s="54"/>
      <c r="IK18" s="54"/>
      <c r="IL18" s="54"/>
      <c r="IM18" s="54"/>
      <c r="IN18" s="54"/>
      <c r="IO18" s="54"/>
      <c r="IP18" s="54"/>
      <c r="IQ18" s="54"/>
      <c r="IR18" s="54"/>
      <c r="IS18" s="54"/>
      <c r="IT18" s="54"/>
      <c r="IU18" s="54"/>
      <c r="IV18" s="54"/>
      <c r="IW18" s="54"/>
      <c r="IX18" s="54"/>
      <c r="IY18" s="54"/>
      <c r="IZ18" s="54"/>
      <c r="JA18" s="54"/>
      <c r="JB18" s="54"/>
      <c r="JC18" s="54"/>
      <c r="JD18" s="54"/>
      <c r="JE18" s="54"/>
      <c r="JF18" s="54"/>
      <c r="JG18" s="54"/>
      <c r="JH18" s="54"/>
      <c r="JI18" s="54"/>
      <c r="JJ18" s="54"/>
      <c r="JK18" s="54"/>
      <c r="JL18" s="54"/>
      <c r="JM18" s="54"/>
      <c r="JN18" s="54"/>
      <c r="JO18" s="54"/>
      <c r="JP18" s="54"/>
      <c r="JQ18" s="54"/>
      <c r="JR18" s="54"/>
      <c r="JS18" s="54"/>
      <c r="JT18" s="54"/>
      <c r="JU18" s="54"/>
      <c r="JV18" s="54"/>
      <c r="JW18" s="54"/>
      <c r="JX18" s="54"/>
      <c r="JY18" s="54"/>
      <c r="JZ18" s="54"/>
      <c r="KA18" s="54"/>
      <c r="KB18" s="54"/>
      <c r="KC18" s="54"/>
      <c r="KD18" s="54"/>
      <c r="KE18" s="54"/>
      <c r="KF18" s="54"/>
      <c r="KG18" s="54"/>
      <c r="KH18" s="54"/>
      <c r="KI18" s="54"/>
      <c r="KJ18" s="54"/>
      <c r="KK18" s="54"/>
      <c r="KL18" s="54"/>
      <c r="KM18" s="54"/>
      <c r="KN18" s="54"/>
      <c r="KO18" s="54"/>
      <c r="KP18" s="54"/>
      <c r="KQ18" s="54"/>
      <c r="KR18" s="54"/>
      <c r="KS18" s="54"/>
      <c r="KT18" s="54"/>
      <c r="KU18" s="54"/>
      <c r="KV18" s="54"/>
      <c r="KW18" s="54"/>
      <c r="KX18" s="54"/>
    </row>
    <row r="19" ht="5.25" customHeight="1">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4"/>
      <c r="CY19" s="54"/>
      <c r="CZ19" s="54"/>
      <c r="DA19" s="54"/>
      <c r="DB19" s="56"/>
      <c r="DC19" s="56"/>
      <c r="DD19" s="60"/>
      <c r="EG19" s="11"/>
      <c r="EH19" s="10"/>
      <c r="FK19" s="61"/>
      <c r="FL19" s="56"/>
      <c r="FM19" s="56"/>
      <c r="FN19" s="54"/>
      <c r="FO19" s="54"/>
      <c r="FP19" s="54"/>
      <c r="FQ19" s="54"/>
      <c r="FR19" s="54"/>
      <c r="FS19" s="54"/>
      <c r="FT19" s="54"/>
      <c r="FU19" s="54"/>
      <c r="FV19" s="54"/>
      <c r="FW19" s="54"/>
      <c r="FX19" s="54"/>
      <c r="FY19" s="54"/>
      <c r="FZ19" s="54"/>
      <c r="GA19" s="54"/>
      <c r="GB19" s="54"/>
      <c r="GC19" s="54"/>
      <c r="GD19" s="54"/>
      <c r="GE19" s="54"/>
      <c r="GF19" s="54"/>
      <c r="GG19" s="54"/>
      <c r="GH19" s="54"/>
      <c r="GI19" s="54"/>
      <c r="GJ19" s="54"/>
      <c r="GK19" s="54"/>
      <c r="GL19" s="54"/>
      <c r="GM19" s="54"/>
      <c r="GN19" s="54"/>
      <c r="GO19" s="54"/>
      <c r="GP19" s="54"/>
      <c r="GQ19" s="54"/>
      <c r="GR19" s="54"/>
      <c r="GS19" s="54"/>
      <c r="GT19" s="54"/>
      <c r="GU19" s="54"/>
      <c r="GV19" s="54"/>
      <c r="GW19" s="54"/>
      <c r="GX19" s="54"/>
      <c r="GY19" s="54"/>
      <c r="GZ19" s="54"/>
      <c r="HA19" s="54"/>
      <c r="HB19" s="54"/>
      <c r="HC19" s="54"/>
      <c r="HD19" s="54"/>
      <c r="HE19" s="54"/>
      <c r="HF19" s="54"/>
      <c r="HG19" s="54"/>
      <c r="HH19" s="54"/>
      <c r="HI19" s="54"/>
      <c r="HJ19" s="54"/>
      <c r="HK19" s="54"/>
      <c r="HL19" s="54"/>
      <c r="HM19" s="54"/>
      <c r="HN19" s="54"/>
      <c r="HO19" s="54"/>
      <c r="HP19" s="54"/>
      <c r="HQ19" s="54"/>
      <c r="HR19" s="54"/>
      <c r="HS19" s="54"/>
      <c r="HT19" s="54"/>
      <c r="HU19" s="54"/>
      <c r="HV19" s="54"/>
      <c r="HW19" s="54"/>
      <c r="HX19" s="54"/>
      <c r="HY19" s="54"/>
      <c r="HZ19" s="54"/>
      <c r="IA19" s="54"/>
      <c r="IB19" s="54"/>
      <c r="IC19" s="54"/>
      <c r="ID19" s="54"/>
      <c r="IE19" s="54"/>
      <c r="IF19" s="54"/>
      <c r="IG19" s="54"/>
      <c r="IH19" s="54"/>
      <c r="II19" s="54"/>
      <c r="IJ19" s="54"/>
      <c r="IK19" s="54"/>
      <c r="IL19" s="54"/>
      <c r="IM19" s="54"/>
      <c r="IN19" s="54"/>
      <c r="IO19" s="54"/>
      <c r="IP19" s="54"/>
      <c r="IQ19" s="54"/>
      <c r="IR19" s="54"/>
      <c r="IS19" s="54"/>
      <c r="IT19" s="54"/>
      <c r="IU19" s="54"/>
      <c r="IV19" s="54"/>
      <c r="IW19" s="54"/>
      <c r="IX19" s="54"/>
      <c r="IY19" s="54"/>
      <c r="IZ19" s="54"/>
      <c r="JA19" s="54"/>
      <c r="JB19" s="54"/>
      <c r="JC19" s="54"/>
      <c r="JD19" s="54"/>
      <c r="JE19" s="54"/>
      <c r="JF19" s="54"/>
      <c r="JG19" s="54"/>
      <c r="JH19" s="54"/>
      <c r="JI19" s="54"/>
      <c r="JJ19" s="54"/>
      <c r="JK19" s="54"/>
      <c r="JL19" s="54"/>
      <c r="JM19" s="54"/>
      <c r="JN19" s="54"/>
      <c r="JO19" s="54"/>
      <c r="JP19" s="54"/>
      <c r="JQ19" s="54"/>
      <c r="JR19" s="54"/>
      <c r="JS19" s="54"/>
      <c r="JT19" s="54"/>
      <c r="JU19" s="54"/>
      <c r="JV19" s="54"/>
      <c r="JW19" s="54"/>
      <c r="JX19" s="54"/>
      <c r="JY19" s="54"/>
      <c r="JZ19" s="54"/>
      <c r="KA19" s="54"/>
      <c r="KB19" s="54"/>
      <c r="KC19" s="54"/>
      <c r="KD19" s="54"/>
      <c r="KE19" s="54"/>
      <c r="KF19" s="54"/>
      <c r="KG19" s="54"/>
      <c r="KH19" s="54"/>
      <c r="KI19" s="54"/>
      <c r="KJ19" s="54"/>
      <c r="KK19" s="54"/>
      <c r="KL19" s="54"/>
      <c r="KM19" s="54"/>
      <c r="KN19" s="54"/>
      <c r="KO19" s="54"/>
      <c r="KP19" s="54"/>
      <c r="KQ19" s="54"/>
      <c r="KR19" s="54"/>
      <c r="KS19" s="54"/>
      <c r="KT19" s="54"/>
      <c r="KU19" s="54"/>
      <c r="KV19" s="54"/>
      <c r="KW19" s="54"/>
      <c r="KX19" s="54"/>
    </row>
    <row r="20" ht="5.25" customHeight="1">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M20" s="54"/>
      <c r="CN20" s="54"/>
      <c r="CO20" s="54"/>
      <c r="CP20" s="54"/>
      <c r="CQ20" s="54"/>
      <c r="CR20" s="54"/>
      <c r="CS20" s="54"/>
      <c r="CT20" s="54"/>
      <c r="CU20" s="54"/>
      <c r="CV20" s="54"/>
      <c r="CW20" s="54"/>
      <c r="CX20" s="54"/>
      <c r="CY20" s="54"/>
      <c r="CZ20" s="54"/>
      <c r="DA20" s="54"/>
      <c r="DB20" s="56"/>
      <c r="DC20" s="56"/>
      <c r="DD20" s="60"/>
      <c r="EG20" s="11"/>
      <c r="EH20" s="10"/>
      <c r="FK20" s="61"/>
      <c r="FL20" s="56"/>
      <c r="FM20" s="56"/>
      <c r="FN20" s="54"/>
      <c r="FO20" s="54"/>
      <c r="FP20" s="54"/>
      <c r="FQ20" s="54"/>
      <c r="FR20" s="54"/>
      <c r="FS20" s="54"/>
      <c r="FT20" s="54"/>
      <c r="FU20" s="54"/>
      <c r="FV20" s="54"/>
      <c r="FW20" s="54"/>
      <c r="FX20" s="54"/>
      <c r="FY20" s="54"/>
      <c r="FZ20" s="54"/>
      <c r="GA20" s="54"/>
      <c r="GB20" s="54"/>
      <c r="GC20" s="54"/>
      <c r="GD20" s="54"/>
      <c r="GE20" s="54"/>
      <c r="GF20" s="54"/>
      <c r="GG20" s="54"/>
      <c r="GH20" s="54"/>
      <c r="GI20" s="54"/>
      <c r="GJ20" s="54"/>
      <c r="GK20" s="54"/>
      <c r="GL20" s="54"/>
      <c r="GM20" s="54"/>
      <c r="GN20" s="54"/>
      <c r="GO20" s="54"/>
      <c r="GP20" s="54"/>
      <c r="GQ20" s="54"/>
      <c r="GR20" s="54"/>
      <c r="GS20" s="54"/>
      <c r="GT20" s="54"/>
      <c r="GU20" s="54"/>
      <c r="GV20" s="54"/>
      <c r="GW20" s="54"/>
      <c r="GX20" s="54"/>
      <c r="GY20" s="54"/>
      <c r="GZ20" s="54"/>
      <c r="HA20" s="54"/>
      <c r="HB20" s="54"/>
      <c r="HC20" s="54"/>
      <c r="HD20" s="54"/>
      <c r="HE20" s="54"/>
      <c r="HF20" s="54"/>
      <c r="HG20" s="54"/>
      <c r="HH20" s="54"/>
      <c r="HI20" s="54"/>
      <c r="HJ20" s="54"/>
      <c r="HK20" s="54"/>
      <c r="HL20" s="54"/>
      <c r="HM20" s="54"/>
      <c r="HN20" s="54"/>
      <c r="HO20" s="54"/>
      <c r="HP20" s="54"/>
      <c r="HQ20" s="54"/>
      <c r="HR20" s="54"/>
      <c r="HS20" s="54"/>
      <c r="HT20" s="54"/>
      <c r="HU20" s="54"/>
      <c r="HV20" s="54"/>
      <c r="HW20" s="54"/>
      <c r="HX20" s="54"/>
      <c r="HY20" s="54"/>
      <c r="HZ20" s="54"/>
      <c r="IA20" s="54"/>
      <c r="IB20" s="54"/>
      <c r="IC20" s="54"/>
      <c r="ID20" s="54"/>
      <c r="IE20" s="54"/>
      <c r="IF20" s="54"/>
      <c r="IG20" s="54"/>
      <c r="IH20" s="54"/>
      <c r="II20" s="54"/>
      <c r="IJ20" s="54"/>
      <c r="IK20" s="54"/>
      <c r="IL20" s="54"/>
      <c r="IM20" s="54"/>
      <c r="IN20" s="54"/>
      <c r="IO20" s="54"/>
      <c r="IP20" s="54"/>
      <c r="IQ20" s="54"/>
      <c r="IR20" s="54"/>
      <c r="IS20" s="54"/>
      <c r="IT20" s="54"/>
      <c r="IU20" s="54"/>
      <c r="IV20" s="54"/>
      <c r="IW20" s="54"/>
      <c r="IX20" s="54"/>
      <c r="IY20" s="54"/>
      <c r="IZ20" s="54"/>
      <c r="JA20" s="54"/>
      <c r="JB20" s="54"/>
      <c r="JC20" s="54"/>
      <c r="JD20" s="54"/>
      <c r="JE20" s="54"/>
      <c r="JF20" s="54"/>
      <c r="JG20" s="54"/>
      <c r="JH20" s="54"/>
      <c r="JI20" s="54"/>
      <c r="JJ20" s="54"/>
      <c r="JK20" s="54"/>
      <c r="JL20" s="54"/>
      <c r="JM20" s="54"/>
      <c r="JN20" s="54"/>
      <c r="JO20" s="54"/>
      <c r="JP20" s="54"/>
      <c r="JQ20" s="54"/>
      <c r="JR20" s="54"/>
      <c r="JS20" s="54"/>
      <c r="JT20" s="54"/>
      <c r="JU20" s="54"/>
      <c r="JV20" s="54"/>
      <c r="JW20" s="54"/>
      <c r="JX20" s="54"/>
      <c r="JY20" s="54"/>
      <c r="JZ20" s="54"/>
      <c r="KA20" s="54"/>
      <c r="KB20" s="54"/>
      <c r="KC20" s="54"/>
      <c r="KD20" s="54"/>
      <c r="KE20" s="54"/>
      <c r="KF20" s="54"/>
      <c r="KG20" s="54"/>
      <c r="KH20" s="54"/>
      <c r="KI20" s="54"/>
      <c r="KJ20" s="54"/>
      <c r="KK20" s="54"/>
      <c r="KL20" s="54"/>
      <c r="KM20" s="54"/>
      <c r="KN20" s="54"/>
      <c r="KO20" s="54"/>
      <c r="KP20" s="54"/>
      <c r="KQ20" s="54"/>
      <c r="KR20" s="54"/>
      <c r="KS20" s="54"/>
      <c r="KT20" s="54"/>
      <c r="KU20" s="54"/>
      <c r="KV20" s="54"/>
      <c r="KW20" s="54"/>
      <c r="KX20" s="54"/>
    </row>
    <row r="21" ht="5.25" customHeight="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c r="CO21" s="54"/>
      <c r="CP21" s="54"/>
      <c r="CQ21" s="54"/>
      <c r="CR21" s="54"/>
      <c r="CS21" s="54"/>
      <c r="CT21" s="54"/>
      <c r="CU21" s="54"/>
      <c r="CV21" s="54"/>
      <c r="CW21" s="54"/>
      <c r="CX21" s="54"/>
      <c r="CY21" s="54"/>
      <c r="CZ21" s="54"/>
      <c r="DA21" s="54"/>
      <c r="DB21" s="56"/>
      <c r="DC21" s="56"/>
      <c r="DD21" s="60"/>
      <c r="EG21" s="11"/>
      <c r="EH21" s="10"/>
      <c r="FK21" s="61"/>
      <c r="FL21" s="56"/>
      <c r="FM21" s="56"/>
      <c r="FN21" s="54"/>
      <c r="FO21" s="54"/>
      <c r="FP21" s="54"/>
      <c r="FQ21" s="54"/>
      <c r="FR21" s="54"/>
      <c r="FS21" s="54"/>
      <c r="FT21" s="54"/>
      <c r="FU21" s="54"/>
      <c r="FV21" s="54"/>
      <c r="FW21" s="54"/>
      <c r="FX21" s="54"/>
      <c r="FY21" s="54"/>
      <c r="FZ21" s="54"/>
      <c r="GA21" s="54"/>
      <c r="GB21" s="54"/>
      <c r="GC21" s="54"/>
      <c r="GD21" s="54"/>
      <c r="GE21" s="54"/>
      <c r="GF21" s="54"/>
      <c r="GG21" s="54"/>
      <c r="GH21" s="54"/>
      <c r="GI21" s="54"/>
      <c r="GJ21" s="54"/>
      <c r="GK21" s="54"/>
      <c r="GL21" s="54"/>
      <c r="GM21" s="54"/>
      <c r="GN21" s="54"/>
      <c r="GO21" s="54"/>
      <c r="GP21" s="54"/>
      <c r="GQ21" s="54"/>
      <c r="GR21" s="54"/>
      <c r="GS21" s="54"/>
      <c r="GT21" s="54"/>
      <c r="GU21" s="54"/>
      <c r="GV21" s="54"/>
      <c r="GW21" s="54"/>
      <c r="GX21" s="54"/>
      <c r="GY21" s="54"/>
      <c r="GZ21" s="54"/>
      <c r="HA21" s="54"/>
      <c r="HB21" s="54"/>
      <c r="HC21" s="54"/>
      <c r="HD21" s="54"/>
      <c r="HE21" s="54"/>
      <c r="HF21" s="54"/>
      <c r="HG21" s="54"/>
      <c r="HH21" s="54"/>
      <c r="HI21" s="54"/>
      <c r="HJ21" s="54"/>
      <c r="HK21" s="54"/>
      <c r="HL21" s="54"/>
      <c r="HM21" s="54"/>
      <c r="HN21" s="54"/>
      <c r="HO21" s="54"/>
      <c r="HP21" s="54"/>
      <c r="HQ21" s="54"/>
      <c r="HR21" s="54"/>
      <c r="HS21" s="54"/>
      <c r="HT21" s="54"/>
      <c r="HU21" s="54"/>
      <c r="HV21" s="54"/>
      <c r="HW21" s="54"/>
      <c r="HX21" s="54"/>
      <c r="HY21" s="54"/>
      <c r="HZ21" s="54"/>
      <c r="IA21" s="54"/>
      <c r="IB21" s="54"/>
      <c r="IC21" s="54"/>
      <c r="ID21" s="54"/>
      <c r="IE21" s="54"/>
      <c r="IF21" s="54"/>
      <c r="IG21" s="54"/>
      <c r="IH21" s="54"/>
      <c r="II21" s="54"/>
      <c r="IJ21" s="54"/>
      <c r="IK21" s="54"/>
      <c r="IL21" s="54"/>
      <c r="IM21" s="54"/>
      <c r="IN21" s="54"/>
      <c r="IO21" s="54"/>
      <c r="IP21" s="54"/>
      <c r="IQ21" s="54"/>
      <c r="IR21" s="54"/>
      <c r="IS21" s="54"/>
      <c r="IT21" s="54"/>
      <c r="IU21" s="54"/>
      <c r="IV21" s="54"/>
      <c r="IW21" s="54"/>
      <c r="IX21" s="54"/>
      <c r="IY21" s="54"/>
      <c r="IZ21" s="54"/>
      <c r="JA21" s="54"/>
      <c r="JB21" s="54"/>
      <c r="JC21" s="54"/>
      <c r="JD21" s="54"/>
      <c r="JE21" s="54"/>
      <c r="JF21" s="54"/>
      <c r="JG21" s="54"/>
      <c r="JH21" s="54"/>
      <c r="JI21" s="54"/>
      <c r="JJ21" s="54"/>
      <c r="JK21" s="54"/>
      <c r="JL21" s="54"/>
      <c r="JM21" s="54"/>
      <c r="JN21" s="54"/>
      <c r="JO21" s="54"/>
      <c r="JP21" s="54"/>
      <c r="JQ21" s="54"/>
      <c r="JR21" s="54"/>
      <c r="JS21" s="54"/>
      <c r="JT21" s="54"/>
      <c r="JU21" s="54"/>
      <c r="JV21" s="54"/>
      <c r="JW21" s="54"/>
      <c r="JX21" s="54"/>
      <c r="JY21" s="54"/>
      <c r="JZ21" s="54"/>
      <c r="KA21" s="54"/>
      <c r="KB21" s="54"/>
      <c r="KC21" s="54"/>
      <c r="KD21" s="54"/>
      <c r="KE21" s="54"/>
      <c r="KF21" s="54"/>
      <c r="KG21" s="54"/>
      <c r="KH21" s="54"/>
      <c r="KI21" s="54"/>
      <c r="KJ21" s="54"/>
      <c r="KK21" s="54"/>
      <c r="KL21" s="54"/>
      <c r="KM21" s="54"/>
      <c r="KN21" s="54"/>
      <c r="KO21" s="54"/>
      <c r="KP21" s="54"/>
      <c r="KQ21" s="54"/>
      <c r="KR21" s="54"/>
      <c r="KS21" s="54"/>
      <c r="KT21" s="54"/>
      <c r="KU21" s="54"/>
      <c r="KV21" s="54"/>
      <c r="KW21" s="54"/>
      <c r="KX21" s="54"/>
    </row>
    <row r="22" ht="5.25" customHeight="1">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M22" s="54"/>
      <c r="CN22" s="54"/>
      <c r="CO22" s="54"/>
      <c r="CP22" s="54"/>
      <c r="CQ22" s="54"/>
      <c r="CR22" s="54"/>
      <c r="CS22" s="54"/>
      <c r="CT22" s="54"/>
      <c r="CU22" s="54"/>
      <c r="CV22" s="54"/>
      <c r="CW22" s="54"/>
      <c r="CX22" s="54"/>
      <c r="CY22" s="54"/>
      <c r="CZ22" s="54"/>
      <c r="DA22" s="54"/>
      <c r="DB22" s="56"/>
      <c r="DC22" s="56">
        <f>DC18</f>
        <v>1</v>
      </c>
      <c r="DD22" s="64"/>
      <c r="DL22" s="83"/>
      <c r="DN22" s="11"/>
      <c r="DO22" s="84"/>
      <c r="DQ22" s="11"/>
      <c r="DR22" s="84"/>
      <c r="DU22" s="54"/>
      <c r="ED22" s="85">
        <f>sum(DL22:DT24)</f>
        <v>0</v>
      </c>
      <c r="EG22" s="11"/>
      <c r="EH22" s="86">
        <f>sum(EU22:FC24)</f>
        <v>0</v>
      </c>
      <c r="EL22" s="54"/>
      <c r="EM22" s="54"/>
      <c r="EN22" s="54"/>
      <c r="EO22" s="54"/>
      <c r="EP22" s="54"/>
      <c r="EQ22" s="54"/>
      <c r="ER22" s="54"/>
      <c r="ES22" s="54"/>
      <c r="ET22" s="54"/>
      <c r="EU22" s="83"/>
      <c r="EW22" s="11"/>
      <c r="EX22" s="87"/>
      <c r="EZ22" s="11"/>
      <c r="FA22" s="84"/>
      <c r="FD22" s="68"/>
      <c r="FE22" s="54"/>
      <c r="FF22" s="54"/>
      <c r="FG22" s="54"/>
      <c r="FH22" s="54"/>
      <c r="FI22" s="54"/>
      <c r="FJ22" s="54"/>
      <c r="FK22" s="69"/>
      <c r="FL22" s="56">
        <f>FL18</f>
        <v>16</v>
      </c>
      <c r="FM22" s="56"/>
      <c r="FN22" s="54"/>
      <c r="FO22" s="54"/>
      <c r="FP22" s="54"/>
      <c r="FQ22" s="54"/>
      <c r="FR22" s="54"/>
      <c r="FS22" s="54"/>
      <c r="FT22" s="54"/>
      <c r="FU22" s="54"/>
      <c r="FV22" s="54"/>
      <c r="FW22" s="54"/>
      <c r="FX22" s="54"/>
      <c r="FY22" s="54"/>
      <c r="FZ22" s="54"/>
      <c r="GA22" s="54"/>
      <c r="GB22" s="54"/>
      <c r="GC22" s="54"/>
      <c r="GD22" s="54"/>
      <c r="GE22" s="54"/>
      <c r="GF22" s="54"/>
      <c r="GG22" s="54"/>
      <c r="GH22" s="54"/>
      <c r="GI22" s="54"/>
      <c r="GJ22" s="54"/>
      <c r="GK22" s="54"/>
      <c r="GL22" s="54"/>
      <c r="GM22" s="54"/>
      <c r="GN22" s="54"/>
      <c r="GO22" s="54"/>
      <c r="GP22" s="54"/>
      <c r="GQ22" s="54"/>
      <c r="GR22" s="54"/>
      <c r="GS22" s="54"/>
      <c r="GT22" s="54"/>
      <c r="GU22" s="54"/>
      <c r="GV22" s="54"/>
      <c r="GW22" s="54"/>
      <c r="GX22" s="54"/>
      <c r="GY22" s="54"/>
      <c r="GZ22" s="54"/>
      <c r="HA22" s="54"/>
      <c r="HB22" s="54"/>
      <c r="HC22" s="54"/>
      <c r="HD22" s="54"/>
      <c r="HE22" s="54"/>
      <c r="HF22" s="54"/>
      <c r="HG22" s="54"/>
      <c r="HH22" s="54"/>
      <c r="HI22" s="54"/>
      <c r="HJ22" s="54"/>
      <c r="HK22" s="54"/>
      <c r="HL22" s="54"/>
      <c r="HM22" s="54"/>
      <c r="HN22" s="54"/>
      <c r="HO22" s="54"/>
      <c r="HP22" s="54"/>
      <c r="HQ22" s="54"/>
      <c r="HR22" s="54"/>
      <c r="HS22" s="54"/>
      <c r="HT22" s="54"/>
      <c r="HU22" s="54"/>
      <c r="HV22" s="54"/>
      <c r="HW22" s="54"/>
      <c r="HX22" s="54"/>
      <c r="HY22" s="54"/>
      <c r="HZ22" s="54"/>
      <c r="IA22" s="54"/>
      <c r="IB22" s="54"/>
      <c r="IC22" s="54"/>
      <c r="ID22" s="54"/>
      <c r="IE22" s="54"/>
      <c r="IF22" s="54"/>
      <c r="IG22" s="54"/>
      <c r="IH22" s="54"/>
      <c r="II22" s="54"/>
      <c r="IJ22" s="54"/>
      <c r="IK22" s="54"/>
      <c r="IL22" s="54"/>
      <c r="IM22" s="54"/>
      <c r="IN22" s="54"/>
      <c r="IO22" s="54"/>
      <c r="IP22" s="54"/>
      <c r="IQ22" s="54"/>
      <c r="IR22" s="54"/>
      <c r="IS22" s="54"/>
      <c r="IT22" s="54"/>
      <c r="IU22" s="54"/>
      <c r="IV22" s="54"/>
      <c r="IW22" s="54"/>
      <c r="IX22" s="54"/>
      <c r="IY22" s="54"/>
      <c r="IZ22" s="54"/>
      <c r="JA22" s="54"/>
      <c r="JB22" s="54"/>
      <c r="JC22" s="54"/>
      <c r="JD22" s="54"/>
      <c r="JE22" s="54"/>
      <c r="JF22" s="54"/>
      <c r="JG22" s="54"/>
      <c r="JH22" s="54"/>
      <c r="JI22" s="54"/>
      <c r="JJ22" s="54"/>
      <c r="JK22" s="54"/>
      <c r="JL22" s="54"/>
      <c r="JM22" s="54"/>
      <c r="JN22" s="54"/>
      <c r="JO22" s="54"/>
      <c r="JP22" s="54"/>
      <c r="JQ22" s="54"/>
      <c r="JR22" s="54"/>
      <c r="JS22" s="54"/>
      <c r="JT22" s="54"/>
      <c r="JU22" s="54"/>
      <c r="JV22" s="54"/>
      <c r="JW22" s="54"/>
      <c r="JX22" s="54"/>
      <c r="JY22" s="54"/>
      <c r="JZ22" s="54"/>
      <c r="KA22" s="54"/>
      <c r="KB22" s="54"/>
      <c r="KC22" s="54"/>
      <c r="KD22" s="54"/>
      <c r="KE22" s="54"/>
      <c r="KF22" s="54"/>
      <c r="KG22" s="54"/>
      <c r="KH22" s="54"/>
      <c r="KI22" s="54"/>
      <c r="KJ22" s="54"/>
      <c r="KK22" s="54"/>
      <c r="KL22" s="54"/>
      <c r="KM22" s="54"/>
      <c r="KN22" s="54"/>
      <c r="KO22" s="54"/>
      <c r="KP22" s="54"/>
      <c r="KQ22" s="54"/>
      <c r="KR22" s="54"/>
      <c r="KS22" s="54"/>
      <c r="KT22" s="54"/>
      <c r="KU22" s="54"/>
      <c r="KV22" s="54"/>
      <c r="KW22" s="54"/>
      <c r="KX22" s="54"/>
    </row>
    <row r="23" ht="5.25" customHeight="1">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6"/>
      <c r="DC23" s="56"/>
      <c r="DD23" s="60"/>
      <c r="DN23" s="11"/>
      <c r="DO23" s="10"/>
      <c r="DQ23" s="11"/>
      <c r="DR23" s="10"/>
      <c r="EG23" s="11"/>
      <c r="EH23" s="10"/>
      <c r="EL23" s="54"/>
      <c r="EM23" s="54"/>
      <c r="EN23" s="54"/>
      <c r="EO23" s="54"/>
      <c r="EP23" s="54"/>
      <c r="EQ23" s="54"/>
      <c r="ER23" s="54"/>
      <c r="ES23" s="54"/>
      <c r="ET23" s="54"/>
      <c r="EW23" s="11"/>
      <c r="EX23" s="10"/>
      <c r="EZ23" s="11"/>
      <c r="FA23" s="10"/>
      <c r="FD23" s="68"/>
      <c r="FE23" s="54"/>
      <c r="FF23" s="54"/>
      <c r="FG23" s="54"/>
      <c r="FH23" s="54"/>
      <c r="FI23" s="54"/>
      <c r="FJ23" s="54"/>
      <c r="FK23" s="69"/>
      <c r="FL23" s="56"/>
      <c r="FM23" s="56"/>
      <c r="FN23" s="54"/>
      <c r="FO23" s="54"/>
      <c r="FP23" s="54"/>
      <c r="FQ23" s="54"/>
      <c r="FR23" s="54"/>
      <c r="FS23" s="54"/>
      <c r="FT23" s="54"/>
      <c r="FU23" s="54"/>
      <c r="FV23" s="54"/>
      <c r="FW23" s="54"/>
      <c r="FX23" s="54"/>
      <c r="FY23" s="54"/>
      <c r="FZ23" s="54"/>
      <c r="GA23" s="54"/>
      <c r="GB23" s="54"/>
      <c r="GC23" s="54"/>
      <c r="GD23" s="54"/>
      <c r="GE23" s="54"/>
      <c r="GF23" s="54"/>
      <c r="GG23" s="54"/>
      <c r="GH23" s="54"/>
      <c r="GI23" s="54"/>
      <c r="GJ23" s="54"/>
      <c r="GK23" s="54"/>
      <c r="GL23" s="54"/>
      <c r="GM23" s="54"/>
      <c r="GN23" s="54"/>
      <c r="GO23" s="54"/>
      <c r="GP23" s="54"/>
      <c r="GQ23" s="54"/>
      <c r="GR23" s="54"/>
      <c r="GS23" s="54"/>
      <c r="GT23" s="54"/>
      <c r="GU23" s="54"/>
      <c r="GV23" s="54"/>
      <c r="GW23" s="54"/>
      <c r="GX23" s="54"/>
      <c r="GY23" s="54"/>
      <c r="GZ23" s="54"/>
      <c r="HA23" s="54"/>
      <c r="HB23" s="54"/>
      <c r="HC23" s="54"/>
      <c r="HD23" s="54"/>
      <c r="HE23" s="54"/>
      <c r="HF23" s="54"/>
      <c r="HG23" s="54"/>
      <c r="HH23" s="54"/>
      <c r="HI23" s="54"/>
      <c r="HJ23" s="54"/>
      <c r="HK23" s="54"/>
      <c r="HL23" s="54"/>
      <c r="HM23" s="54"/>
      <c r="HN23" s="54"/>
      <c r="HO23" s="54"/>
      <c r="HP23" s="54"/>
      <c r="HQ23" s="54"/>
      <c r="HR23" s="54"/>
      <c r="HS23" s="54"/>
      <c r="HT23" s="54"/>
      <c r="HU23" s="54"/>
      <c r="HV23" s="54"/>
      <c r="HW23" s="54"/>
      <c r="HX23" s="54"/>
      <c r="HY23" s="54"/>
      <c r="HZ23" s="54"/>
      <c r="IA23" s="54"/>
      <c r="IB23" s="54"/>
      <c r="IC23" s="54"/>
      <c r="ID23" s="54"/>
      <c r="IE23" s="54"/>
      <c r="IF23" s="54"/>
      <c r="IG23" s="54"/>
      <c r="IH23" s="54"/>
      <c r="II23" s="54"/>
      <c r="IJ23" s="54"/>
      <c r="IK23" s="54"/>
      <c r="IL23" s="54"/>
      <c r="IM23" s="54"/>
      <c r="IN23" s="54"/>
      <c r="IO23" s="54"/>
      <c r="IP23" s="54"/>
      <c r="IQ23" s="54"/>
      <c r="IR23" s="54"/>
      <c r="IS23" s="54"/>
      <c r="IT23" s="54"/>
      <c r="IU23" s="54"/>
      <c r="IV23" s="54"/>
      <c r="IW23" s="54"/>
      <c r="IX23" s="54"/>
      <c r="IY23" s="54"/>
      <c r="IZ23" s="54"/>
      <c r="JA23" s="54"/>
      <c r="JB23" s="54"/>
      <c r="JC23" s="54"/>
      <c r="JD23" s="54"/>
      <c r="JE23" s="54"/>
      <c r="JF23" s="54"/>
      <c r="JG23" s="54"/>
      <c r="JH23" s="54"/>
      <c r="JI23" s="54"/>
      <c r="JJ23" s="54"/>
      <c r="JK23" s="54"/>
      <c r="JL23" s="54"/>
      <c r="JM23" s="54"/>
      <c r="JN23" s="54"/>
      <c r="JO23" s="54"/>
      <c r="JP23" s="54"/>
      <c r="JQ23" s="54"/>
      <c r="JR23" s="54"/>
      <c r="JS23" s="54"/>
      <c r="JT23" s="54"/>
      <c r="JU23" s="54"/>
      <c r="JV23" s="54"/>
      <c r="JW23" s="54"/>
      <c r="JX23" s="54"/>
      <c r="JY23" s="54"/>
      <c r="JZ23" s="54"/>
      <c r="KA23" s="54"/>
      <c r="KB23" s="54"/>
      <c r="KC23" s="54"/>
      <c r="KD23" s="54"/>
      <c r="KE23" s="54"/>
      <c r="KF23" s="54"/>
      <c r="KG23" s="54"/>
      <c r="KH23" s="54"/>
      <c r="KI23" s="54"/>
      <c r="KJ23" s="54"/>
      <c r="KK23" s="54"/>
      <c r="KL23" s="54"/>
      <c r="KM23" s="54"/>
      <c r="KN23" s="54"/>
      <c r="KO23" s="54"/>
      <c r="KP23" s="54"/>
      <c r="KQ23" s="54"/>
      <c r="KR23" s="54"/>
      <c r="KS23" s="54"/>
      <c r="KT23" s="54"/>
      <c r="KU23" s="54"/>
      <c r="KV23" s="54"/>
      <c r="KW23" s="54"/>
      <c r="KX23" s="54"/>
    </row>
    <row r="24" ht="5.25" customHeight="1">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M24" s="54"/>
      <c r="CN24" s="54"/>
      <c r="CO24" s="54"/>
      <c r="CP24" s="54"/>
      <c r="CQ24" s="54"/>
      <c r="CR24" s="54"/>
      <c r="CS24" s="54"/>
      <c r="CT24" s="54"/>
      <c r="CU24" s="54"/>
      <c r="CV24" s="54"/>
      <c r="CW24" s="54"/>
      <c r="CX24" s="54"/>
      <c r="CY24" s="54"/>
      <c r="CZ24" s="54"/>
      <c r="DA24" s="54"/>
      <c r="DB24" s="56"/>
      <c r="DC24" s="56"/>
      <c r="DD24" s="88"/>
      <c r="DE24" s="13"/>
      <c r="DF24" s="13"/>
      <c r="DG24" s="13"/>
      <c r="DH24" s="13"/>
      <c r="DI24" s="13"/>
      <c r="DJ24" s="13"/>
      <c r="DK24" s="13"/>
      <c r="DL24" s="13"/>
      <c r="DM24" s="13"/>
      <c r="DN24" s="14"/>
      <c r="DO24" s="12"/>
      <c r="DP24" s="13"/>
      <c r="DQ24" s="14"/>
      <c r="DR24" s="12"/>
      <c r="DS24" s="13"/>
      <c r="DT24" s="13"/>
      <c r="DU24" s="13"/>
      <c r="DV24" s="13"/>
      <c r="DW24" s="13"/>
      <c r="DX24" s="13"/>
      <c r="DY24" s="13"/>
      <c r="DZ24" s="13"/>
      <c r="EA24" s="13"/>
      <c r="EB24" s="13"/>
      <c r="EC24" s="13"/>
      <c r="ED24" s="13"/>
      <c r="EE24" s="13"/>
      <c r="EF24" s="13"/>
      <c r="EG24" s="14"/>
      <c r="EH24" s="12"/>
      <c r="EI24" s="13"/>
      <c r="EJ24" s="13"/>
      <c r="EK24" s="13"/>
      <c r="EL24" s="89"/>
      <c r="EM24" s="89"/>
      <c r="EN24" s="89"/>
      <c r="EO24" s="89"/>
      <c r="EP24" s="89"/>
      <c r="EQ24" s="89"/>
      <c r="ER24" s="89"/>
      <c r="ES24" s="89"/>
      <c r="ET24" s="89"/>
      <c r="EU24" s="13"/>
      <c r="EV24" s="13"/>
      <c r="EW24" s="14"/>
      <c r="EX24" s="12"/>
      <c r="EY24" s="13"/>
      <c r="EZ24" s="14"/>
      <c r="FA24" s="12"/>
      <c r="FB24" s="13"/>
      <c r="FC24" s="13"/>
      <c r="FD24" s="90"/>
      <c r="FE24" s="89"/>
      <c r="FF24" s="89"/>
      <c r="FG24" s="89"/>
      <c r="FH24" s="89"/>
      <c r="FI24" s="89"/>
      <c r="FJ24" s="89"/>
      <c r="FK24" s="91"/>
      <c r="FL24" s="56"/>
      <c r="FM24" s="56"/>
      <c r="FN24" s="54"/>
      <c r="FO24" s="54"/>
      <c r="FP24" s="54"/>
      <c r="FQ24" s="54"/>
      <c r="FR24" s="54"/>
      <c r="FS24" s="54"/>
      <c r="FT24" s="54"/>
      <c r="FU24" s="54"/>
      <c r="FV24" s="54"/>
      <c r="FW24" s="54"/>
      <c r="FX24" s="54"/>
      <c r="FY24" s="54"/>
      <c r="FZ24" s="54"/>
      <c r="GA24" s="54"/>
      <c r="GB24" s="54"/>
      <c r="GC24" s="54"/>
      <c r="GD24" s="54"/>
      <c r="GE24" s="54"/>
      <c r="GF24" s="54"/>
      <c r="GG24" s="54"/>
      <c r="GH24" s="54"/>
      <c r="GI24" s="54"/>
      <c r="GJ24" s="54"/>
      <c r="GK24" s="54"/>
      <c r="GL24" s="54"/>
      <c r="GM24" s="54"/>
      <c r="GN24" s="54"/>
      <c r="GO24" s="54"/>
      <c r="GP24" s="54"/>
      <c r="GQ24" s="54"/>
      <c r="GR24" s="54"/>
      <c r="GS24" s="54"/>
      <c r="GT24" s="54"/>
      <c r="GU24" s="54"/>
      <c r="GV24" s="54"/>
      <c r="GW24" s="54"/>
      <c r="GX24" s="54"/>
      <c r="GY24" s="54"/>
      <c r="GZ24" s="54"/>
      <c r="HA24" s="54"/>
      <c r="HB24" s="54"/>
      <c r="HC24" s="54"/>
      <c r="HD24" s="54"/>
      <c r="HE24" s="54"/>
      <c r="HF24" s="54"/>
      <c r="HG24" s="54"/>
      <c r="HH24" s="54"/>
      <c r="HI24" s="54"/>
      <c r="HJ24" s="54"/>
      <c r="HK24" s="54"/>
      <c r="HL24" s="54"/>
      <c r="HM24" s="54"/>
      <c r="HN24" s="54"/>
      <c r="HO24" s="54"/>
      <c r="HP24" s="54"/>
      <c r="HQ24" s="54"/>
      <c r="HR24" s="54"/>
      <c r="HS24" s="54"/>
      <c r="HT24" s="54"/>
      <c r="HU24" s="54"/>
      <c r="HV24" s="54"/>
      <c r="HW24" s="54"/>
      <c r="HX24" s="54"/>
      <c r="HY24" s="54"/>
      <c r="HZ24" s="54"/>
      <c r="IA24" s="54"/>
      <c r="IB24" s="54"/>
      <c r="IC24" s="54"/>
      <c r="ID24" s="54"/>
      <c r="IE24" s="54"/>
      <c r="IF24" s="54"/>
      <c r="IG24" s="54"/>
      <c r="IH24" s="54"/>
      <c r="II24" s="54"/>
      <c r="IJ24" s="54"/>
      <c r="IK24" s="54"/>
      <c r="IL24" s="54"/>
      <c r="IM24" s="54"/>
      <c r="IN24" s="54"/>
      <c r="IO24" s="54"/>
      <c r="IP24" s="54"/>
      <c r="IQ24" s="54"/>
      <c r="IR24" s="54"/>
      <c r="IS24" s="54"/>
      <c r="IT24" s="54"/>
      <c r="IU24" s="54"/>
      <c r="IV24" s="54"/>
      <c r="IW24" s="54"/>
      <c r="IX24" s="54"/>
      <c r="IY24" s="54"/>
      <c r="IZ24" s="54"/>
      <c r="JA24" s="54"/>
      <c r="JB24" s="54"/>
      <c r="JC24" s="54"/>
      <c r="JD24" s="54"/>
      <c r="JE24" s="54"/>
      <c r="JF24" s="54"/>
      <c r="JG24" s="54"/>
      <c r="JH24" s="54"/>
      <c r="JI24" s="54"/>
      <c r="JJ24" s="54"/>
      <c r="JK24" s="54"/>
      <c r="JL24" s="54"/>
      <c r="JM24" s="54"/>
      <c r="JN24" s="54"/>
      <c r="JO24" s="54"/>
      <c r="JP24" s="54"/>
      <c r="JQ24" s="54"/>
      <c r="JR24" s="54"/>
      <c r="JS24" s="54"/>
      <c r="JT24" s="54"/>
      <c r="JU24" s="54"/>
      <c r="JV24" s="54"/>
      <c r="JW24" s="54"/>
      <c r="JX24" s="54"/>
      <c r="JY24" s="54"/>
      <c r="JZ24" s="54"/>
      <c r="KA24" s="54"/>
      <c r="KB24" s="54"/>
      <c r="KC24" s="54"/>
      <c r="KD24" s="54"/>
      <c r="KE24" s="54"/>
      <c r="KF24" s="54"/>
      <c r="KG24" s="54"/>
      <c r="KH24" s="54"/>
      <c r="KI24" s="54"/>
      <c r="KJ24" s="54"/>
      <c r="KK24" s="54"/>
      <c r="KL24" s="54"/>
      <c r="KM24" s="54"/>
      <c r="KN24" s="54"/>
      <c r="KO24" s="54"/>
      <c r="KP24" s="54"/>
      <c r="KQ24" s="54"/>
      <c r="KR24" s="54"/>
      <c r="KS24" s="54"/>
      <c r="KT24" s="54"/>
      <c r="KU24" s="54"/>
      <c r="KV24" s="54"/>
      <c r="KW24" s="54"/>
      <c r="KX24" s="54"/>
    </row>
    <row r="25" ht="5.25" customHeight="1">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M25" s="54"/>
      <c r="CN25" s="54"/>
      <c r="CO25" s="54"/>
      <c r="CP25" s="54"/>
      <c r="CQ25" s="54"/>
      <c r="CR25" s="54"/>
      <c r="CS25" s="54"/>
      <c r="CT25" s="54"/>
      <c r="CU25" s="54"/>
      <c r="CV25" s="54"/>
      <c r="CW25" s="54"/>
      <c r="CX25" s="54"/>
      <c r="CY25" s="54"/>
      <c r="CZ25" s="54"/>
      <c r="DA25" s="54"/>
      <c r="DB25" s="56"/>
      <c r="DC25" s="56">
        <f>'Choose matchups (Contender)'!Q6</f>
        <v>2</v>
      </c>
      <c r="DD25" s="92" t="str">
        <f t="array" ref="DD25">xlookup(DC25,qualdata!$M$2:$M$17,qualdata!$O$2:$O$17,"")</f>
        <v/>
      </c>
      <c r="DE25" s="8"/>
      <c r="DF25" s="8"/>
      <c r="DG25" s="8"/>
      <c r="DH25" s="93" t="str">
        <f t="array" ref="DH25">xlookup(DC25,qualdata!$M$2:$M$17,qualdata!$N$2:$N$17,"")</f>
        <v>Team 2 (Group 1)</v>
      </c>
      <c r="DI25" s="8"/>
      <c r="DJ25" s="8"/>
      <c r="DK25" s="8"/>
      <c r="DL25" s="8"/>
      <c r="DM25" s="8"/>
      <c r="DN25" s="8"/>
      <c r="DO25" s="8"/>
      <c r="DP25" s="8"/>
      <c r="DQ25" s="8"/>
      <c r="DR25" s="8"/>
      <c r="DS25" s="8"/>
      <c r="DT25" s="8"/>
      <c r="DU25" s="8"/>
      <c r="DV25" s="8"/>
      <c r="DW25" s="8"/>
      <c r="DX25" s="8"/>
      <c r="DY25" s="8"/>
      <c r="DZ25" s="8"/>
      <c r="EA25" s="8"/>
      <c r="EB25" s="8"/>
      <c r="EC25" s="8"/>
      <c r="ED25" s="94"/>
      <c r="EE25" s="8"/>
      <c r="EF25" s="8"/>
      <c r="EG25" s="9"/>
      <c r="EH25" s="95"/>
      <c r="EI25" s="8"/>
      <c r="EJ25" s="8"/>
      <c r="EK25" s="8"/>
      <c r="EL25" s="96" t="str">
        <f t="array" ref="EL25">xlookup(FL25,qualdata!$M$2:$M$17,qualdata!$N$2:$N$17,"")</f>
        <v>Team 15 (Group 1)</v>
      </c>
      <c r="EM25" s="8"/>
      <c r="EN25" s="8"/>
      <c r="EO25" s="8"/>
      <c r="EP25" s="8"/>
      <c r="EQ25" s="8"/>
      <c r="ER25" s="8"/>
      <c r="ES25" s="8"/>
      <c r="ET25" s="8"/>
      <c r="EU25" s="8"/>
      <c r="EV25" s="8"/>
      <c r="EW25" s="8"/>
      <c r="EX25" s="8"/>
      <c r="EY25" s="8"/>
      <c r="EZ25" s="8"/>
      <c r="FA25" s="8"/>
      <c r="FB25" s="8"/>
      <c r="FC25" s="8"/>
      <c r="FD25" s="8"/>
      <c r="FE25" s="8"/>
      <c r="FF25" s="8"/>
      <c r="FG25" s="8"/>
      <c r="FH25" s="97" t="str">
        <f t="array" ref="FH25">xlookup(FL25,qualdata!$M$2:$M$17,qualdata!$O$2:$O$17,"")</f>
        <v/>
      </c>
      <c r="FI25" s="8"/>
      <c r="FJ25" s="8"/>
      <c r="FK25" s="98"/>
      <c r="FL25" s="77">
        <f t="array" ref="FL25">xlookup(DC25,qualdata!$M$2:$M$17,qualdata!$P$2:$P$17,"")</f>
        <v>15</v>
      </c>
      <c r="FM25" s="56"/>
      <c r="FN25" s="54"/>
      <c r="FO25" s="54"/>
      <c r="FP25" s="54"/>
      <c r="FQ25" s="54"/>
      <c r="FR25" s="54"/>
      <c r="FS25" s="54"/>
      <c r="FT25" s="54"/>
      <c r="FU25" s="54"/>
      <c r="FV25" s="54"/>
      <c r="FW25" s="54"/>
      <c r="FX25" s="54"/>
      <c r="FY25" s="54"/>
      <c r="FZ25" s="54"/>
      <c r="GA25" s="54"/>
      <c r="GB25" s="54"/>
      <c r="GC25" s="54"/>
      <c r="GD25" s="54"/>
      <c r="GE25" s="54"/>
      <c r="GF25" s="54"/>
      <c r="GG25" s="54"/>
      <c r="GH25" s="54"/>
      <c r="GI25" s="54"/>
      <c r="GJ25" s="54"/>
      <c r="GK25" s="54"/>
      <c r="GL25" s="54"/>
      <c r="GM25" s="54"/>
      <c r="GN25" s="54"/>
      <c r="GO25" s="54"/>
      <c r="GP25" s="54"/>
      <c r="GQ25" s="54"/>
      <c r="GR25" s="54"/>
      <c r="GS25" s="54"/>
      <c r="GT25" s="54"/>
      <c r="GU25" s="54"/>
      <c r="GV25" s="54"/>
      <c r="GW25" s="54"/>
      <c r="GX25" s="54"/>
      <c r="GY25" s="54"/>
      <c r="GZ25" s="54"/>
      <c r="HA25" s="54"/>
      <c r="HB25" s="54"/>
      <c r="HC25" s="54"/>
      <c r="HD25" s="54"/>
      <c r="HE25" s="54"/>
      <c r="HF25" s="54"/>
      <c r="HG25" s="54"/>
      <c r="HH25" s="54"/>
      <c r="HI25" s="54"/>
      <c r="HJ25" s="54"/>
      <c r="HK25" s="54"/>
      <c r="HL25" s="54"/>
      <c r="HM25" s="54"/>
      <c r="HN25" s="54"/>
      <c r="HO25" s="54"/>
      <c r="HP25" s="54"/>
      <c r="HQ25" s="54"/>
      <c r="HR25" s="54"/>
      <c r="HS25" s="54"/>
      <c r="HT25" s="54"/>
      <c r="HU25" s="54"/>
      <c r="HV25" s="54"/>
      <c r="HW25" s="54"/>
      <c r="HX25" s="54"/>
      <c r="HY25" s="54"/>
      <c r="HZ25" s="54"/>
      <c r="IA25" s="54"/>
      <c r="IB25" s="54"/>
      <c r="IC25" s="54"/>
      <c r="ID25" s="54"/>
      <c r="IE25" s="54"/>
      <c r="IF25" s="54"/>
      <c r="IG25" s="54"/>
      <c r="IH25" s="54"/>
      <c r="II25" s="54"/>
      <c r="IJ25" s="54"/>
      <c r="IK25" s="54"/>
      <c r="IL25" s="54"/>
      <c r="IM25" s="54"/>
      <c r="IN25" s="54"/>
      <c r="IO25" s="54"/>
      <c r="IP25" s="54"/>
      <c r="IQ25" s="54"/>
      <c r="IR25" s="54"/>
      <c r="IS25" s="54"/>
      <c r="IT25" s="54"/>
      <c r="IU25" s="54"/>
      <c r="IV25" s="54"/>
      <c r="IW25" s="54"/>
      <c r="IX25" s="54"/>
      <c r="IY25" s="54"/>
      <c r="IZ25" s="54"/>
      <c r="JA25" s="54"/>
      <c r="JB25" s="54"/>
      <c r="JC25" s="54"/>
      <c r="JD25" s="54"/>
      <c r="JE25" s="54"/>
      <c r="JF25" s="54"/>
      <c r="JG25" s="54"/>
      <c r="JH25" s="54"/>
      <c r="JI25" s="54"/>
      <c r="JJ25" s="54"/>
      <c r="JK25" s="54"/>
      <c r="JL25" s="54"/>
      <c r="JM25" s="54"/>
      <c r="JN25" s="54"/>
      <c r="JO25" s="54"/>
      <c r="JP25" s="54"/>
      <c r="JQ25" s="54"/>
      <c r="JR25" s="54"/>
      <c r="JS25" s="54"/>
      <c r="JT25" s="54"/>
      <c r="JU25" s="54"/>
      <c r="JV25" s="54"/>
      <c r="JW25" s="54"/>
      <c r="JX25" s="54"/>
      <c r="JY25" s="54"/>
      <c r="JZ25" s="54"/>
      <c r="KA25" s="54"/>
      <c r="KB25" s="54"/>
      <c r="KC25" s="54"/>
      <c r="KD25" s="54"/>
      <c r="KE25" s="54"/>
      <c r="KF25" s="54"/>
      <c r="KG25" s="54"/>
      <c r="KH25" s="54"/>
      <c r="KI25" s="54"/>
      <c r="KJ25" s="54"/>
      <c r="KK25" s="54"/>
      <c r="KL25" s="54"/>
      <c r="KM25" s="54"/>
      <c r="KN25" s="54"/>
      <c r="KO25" s="54"/>
      <c r="KP25" s="54"/>
      <c r="KQ25" s="54"/>
      <c r="KR25" s="54"/>
      <c r="KS25" s="54"/>
      <c r="KT25" s="54"/>
      <c r="KU25" s="54"/>
      <c r="KV25" s="54"/>
      <c r="KW25" s="54"/>
      <c r="KX25" s="54"/>
    </row>
    <row r="26" ht="5.25" customHeight="1">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M26" s="54"/>
      <c r="CN26" s="54"/>
      <c r="CO26" s="54"/>
      <c r="CP26" s="54"/>
      <c r="CQ26" s="54"/>
      <c r="CR26" s="54"/>
      <c r="CS26" s="54"/>
      <c r="CT26" s="54"/>
      <c r="CU26" s="54"/>
      <c r="CV26" s="54"/>
      <c r="CW26" s="54"/>
      <c r="CX26" s="54"/>
      <c r="CY26" s="54"/>
      <c r="CZ26" s="54"/>
      <c r="DA26" s="54"/>
      <c r="DB26" s="56"/>
      <c r="DC26" s="56"/>
      <c r="DD26" s="60"/>
      <c r="EG26" s="11"/>
      <c r="EH26" s="10"/>
      <c r="FK26" s="61"/>
      <c r="FL26" s="56"/>
      <c r="FM26" s="56"/>
      <c r="FN26" s="54"/>
      <c r="FO26" s="54"/>
      <c r="FP26" s="54"/>
      <c r="FQ26" s="54"/>
      <c r="FR26" s="54"/>
      <c r="FS26" s="54"/>
      <c r="FT26" s="54"/>
      <c r="FU26" s="54"/>
      <c r="FV26" s="54"/>
      <c r="FW26" s="54"/>
      <c r="FX26" s="54"/>
      <c r="FY26" s="54"/>
      <c r="FZ26" s="54"/>
      <c r="GA26" s="54"/>
      <c r="GB26" s="54"/>
      <c r="GC26" s="54"/>
      <c r="GD26" s="54"/>
      <c r="GE26" s="54"/>
      <c r="GF26" s="54"/>
      <c r="GG26" s="54"/>
      <c r="GH26" s="54"/>
      <c r="GI26" s="54"/>
      <c r="GJ26" s="54"/>
      <c r="GK26" s="54"/>
      <c r="GL26" s="54"/>
      <c r="GM26" s="54"/>
      <c r="GN26" s="54"/>
      <c r="GO26" s="54"/>
      <c r="GP26" s="54"/>
      <c r="GQ26" s="54"/>
      <c r="GR26" s="54"/>
      <c r="GS26" s="54"/>
      <c r="GT26" s="54"/>
      <c r="GU26" s="54"/>
      <c r="GV26" s="54"/>
      <c r="GW26" s="54"/>
      <c r="GX26" s="54"/>
      <c r="GY26" s="54"/>
      <c r="GZ26" s="54"/>
      <c r="HA26" s="54"/>
      <c r="HB26" s="54"/>
      <c r="HC26" s="54"/>
      <c r="HD26" s="54"/>
      <c r="HE26" s="54"/>
      <c r="HF26" s="54"/>
      <c r="HG26" s="54"/>
      <c r="HH26" s="54"/>
      <c r="HI26" s="54"/>
      <c r="HJ26" s="54"/>
      <c r="HK26" s="54"/>
      <c r="HL26" s="54"/>
      <c r="HM26" s="54"/>
      <c r="HN26" s="54"/>
      <c r="HO26" s="54"/>
      <c r="HP26" s="54"/>
      <c r="HQ26" s="54"/>
      <c r="HR26" s="54"/>
      <c r="HS26" s="54"/>
      <c r="HT26" s="54"/>
      <c r="HU26" s="54"/>
      <c r="HV26" s="54"/>
      <c r="HW26" s="54"/>
      <c r="HX26" s="54"/>
      <c r="HY26" s="54"/>
      <c r="HZ26" s="54"/>
      <c r="IA26" s="54"/>
      <c r="IB26" s="54"/>
      <c r="IC26" s="54"/>
      <c r="ID26" s="54"/>
      <c r="IE26" s="54"/>
      <c r="IF26" s="54"/>
      <c r="IG26" s="54"/>
      <c r="IH26" s="54"/>
      <c r="II26" s="54"/>
      <c r="IJ26" s="54"/>
      <c r="IK26" s="54"/>
      <c r="IL26" s="54"/>
      <c r="IM26" s="54"/>
      <c r="IN26" s="54"/>
      <c r="IO26" s="54"/>
      <c r="IP26" s="54"/>
      <c r="IQ26" s="54"/>
      <c r="IR26" s="54"/>
      <c r="IS26" s="54"/>
      <c r="IT26" s="54"/>
      <c r="IU26" s="54"/>
      <c r="IV26" s="54"/>
      <c r="IW26" s="54"/>
      <c r="IX26" s="54"/>
      <c r="IY26" s="54"/>
      <c r="IZ26" s="54"/>
      <c r="JA26" s="54"/>
      <c r="JB26" s="54"/>
      <c r="JC26" s="54"/>
      <c r="JD26" s="54"/>
      <c r="JE26" s="54"/>
      <c r="JF26" s="54"/>
      <c r="JG26" s="54"/>
      <c r="JH26" s="54"/>
      <c r="JI26" s="54"/>
      <c r="JJ26" s="54"/>
      <c r="JK26" s="54"/>
      <c r="JL26" s="54"/>
      <c r="JM26" s="54"/>
      <c r="JN26" s="54"/>
      <c r="JO26" s="54"/>
      <c r="JP26" s="54"/>
      <c r="JQ26" s="54"/>
      <c r="JR26" s="54"/>
      <c r="JS26" s="54"/>
      <c r="JT26" s="54"/>
      <c r="JU26" s="54"/>
      <c r="JV26" s="54"/>
      <c r="JW26" s="54"/>
      <c r="JX26" s="54"/>
      <c r="JY26" s="54"/>
      <c r="JZ26" s="54"/>
      <c r="KA26" s="54"/>
      <c r="KB26" s="54"/>
      <c r="KC26" s="54"/>
      <c r="KD26" s="54"/>
      <c r="KE26" s="54"/>
      <c r="KF26" s="54"/>
      <c r="KG26" s="54"/>
      <c r="KH26" s="54"/>
      <c r="KI26" s="54"/>
      <c r="KJ26" s="54"/>
      <c r="KK26" s="54"/>
      <c r="KL26" s="54"/>
      <c r="KM26" s="54"/>
      <c r="KN26" s="54"/>
      <c r="KO26" s="54"/>
      <c r="KP26" s="54"/>
      <c r="KQ26" s="54"/>
      <c r="KR26" s="54"/>
      <c r="KS26" s="54"/>
      <c r="KT26" s="54"/>
      <c r="KU26" s="54"/>
      <c r="KV26" s="54"/>
      <c r="KW26" s="54"/>
      <c r="KX26" s="54"/>
    </row>
    <row r="27" ht="5.25" customHeight="1">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M27" s="54"/>
      <c r="CN27" s="54"/>
      <c r="CO27" s="54"/>
      <c r="CP27" s="54"/>
      <c r="CQ27" s="54"/>
      <c r="CR27" s="54"/>
      <c r="CS27" s="54"/>
      <c r="CT27" s="54"/>
      <c r="CU27" s="54"/>
      <c r="CV27" s="54"/>
      <c r="CW27" s="54"/>
      <c r="CX27" s="54"/>
      <c r="CY27" s="54"/>
      <c r="CZ27" s="54"/>
      <c r="DA27" s="54"/>
      <c r="DB27" s="56"/>
      <c r="DC27" s="56"/>
      <c r="DD27" s="60"/>
      <c r="EG27" s="11"/>
      <c r="EH27" s="10"/>
      <c r="FK27" s="61"/>
      <c r="FL27" s="56"/>
      <c r="FM27" s="56"/>
      <c r="FN27" s="54"/>
      <c r="FO27" s="54"/>
      <c r="FP27" s="54"/>
      <c r="FQ27" s="54"/>
      <c r="FR27" s="54"/>
      <c r="FS27" s="54"/>
      <c r="FT27" s="54"/>
      <c r="FU27" s="54"/>
      <c r="FV27" s="54"/>
      <c r="FW27" s="54"/>
      <c r="FX27" s="54"/>
      <c r="FY27" s="54"/>
      <c r="FZ27" s="54"/>
      <c r="GA27" s="54"/>
      <c r="GB27" s="54"/>
      <c r="GC27" s="54"/>
      <c r="GD27" s="54"/>
      <c r="GE27" s="54"/>
      <c r="GF27" s="54"/>
      <c r="GG27" s="54"/>
      <c r="GH27" s="54"/>
      <c r="GI27" s="54"/>
      <c r="GJ27" s="54"/>
      <c r="GK27" s="54"/>
      <c r="GL27" s="54"/>
      <c r="GM27" s="54"/>
      <c r="GN27" s="54"/>
      <c r="GO27" s="54"/>
      <c r="GP27" s="54"/>
      <c r="GQ27" s="54"/>
      <c r="GR27" s="54"/>
      <c r="GS27" s="54"/>
      <c r="GT27" s="54"/>
      <c r="GU27" s="54"/>
      <c r="GV27" s="54"/>
      <c r="GW27" s="54"/>
      <c r="GX27" s="54"/>
      <c r="GY27" s="54"/>
      <c r="GZ27" s="54"/>
      <c r="HA27" s="54"/>
      <c r="HB27" s="54"/>
      <c r="HC27" s="54"/>
      <c r="HD27" s="54"/>
      <c r="HE27" s="54"/>
      <c r="HF27" s="54"/>
      <c r="HG27" s="54"/>
      <c r="HH27" s="54"/>
      <c r="HI27" s="54"/>
      <c r="HJ27" s="54"/>
      <c r="HK27" s="54"/>
      <c r="HL27" s="54"/>
      <c r="HM27" s="54"/>
      <c r="HN27" s="54"/>
      <c r="HO27" s="54"/>
      <c r="HP27" s="54"/>
      <c r="HQ27" s="54"/>
      <c r="HR27" s="54"/>
      <c r="HS27" s="54"/>
      <c r="HT27" s="54"/>
      <c r="HU27" s="54"/>
      <c r="HV27" s="54"/>
      <c r="HW27" s="54"/>
      <c r="HX27" s="54"/>
      <c r="HY27" s="54"/>
      <c r="HZ27" s="54"/>
      <c r="IA27" s="54"/>
      <c r="IB27" s="54"/>
      <c r="IC27" s="54"/>
      <c r="ID27" s="54"/>
      <c r="IE27" s="54"/>
      <c r="IF27" s="54"/>
      <c r="IG27" s="54"/>
      <c r="IH27" s="54"/>
      <c r="II27" s="54"/>
      <c r="IJ27" s="54"/>
      <c r="IK27" s="54"/>
      <c r="IL27" s="54"/>
      <c r="IM27" s="54"/>
      <c r="IN27" s="54"/>
      <c r="IO27" s="54"/>
      <c r="IP27" s="54"/>
      <c r="IQ27" s="54"/>
      <c r="IR27" s="54"/>
      <c r="IS27" s="54"/>
      <c r="IT27" s="54"/>
      <c r="IU27" s="54"/>
      <c r="IV27" s="54"/>
      <c r="IW27" s="54"/>
      <c r="IX27" s="54"/>
      <c r="IY27" s="54"/>
      <c r="IZ27" s="54"/>
      <c r="JA27" s="54"/>
      <c r="JB27" s="54"/>
      <c r="JC27" s="54"/>
      <c r="JD27" s="54"/>
      <c r="JE27" s="54"/>
      <c r="JF27" s="54"/>
      <c r="JG27" s="54"/>
      <c r="JH27" s="54"/>
      <c r="JI27" s="54"/>
      <c r="JJ27" s="54"/>
      <c r="JK27" s="54"/>
      <c r="JL27" s="54"/>
      <c r="JM27" s="54"/>
      <c r="JN27" s="54"/>
      <c r="JO27" s="54"/>
      <c r="JP27" s="54"/>
      <c r="JQ27" s="54"/>
      <c r="JR27" s="54"/>
      <c r="JS27" s="54"/>
      <c r="JT27" s="54"/>
      <c r="JU27" s="54"/>
      <c r="JV27" s="54"/>
      <c r="JW27" s="54"/>
      <c r="JX27" s="54"/>
      <c r="JY27" s="54"/>
      <c r="JZ27" s="54"/>
      <c r="KA27" s="54"/>
      <c r="KB27" s="54"/>
      <c r="KC27" s="54"/>
      <c r="KD27" s="54"/>
      <c r="KE27" s="54"/>
      <c r="KF27" s="54"/>
      <c r="KG27" s="54"/>
      <c r="KH27" s="54"/>
      <c r="KI27" s="54"/>
      <c r="KJ27" s="54"/>
      <c r="KK27" s="54"/>
      <c r="KL27" s="54"/>
      <c r="KM27" s="54"/>
      <c r="KN27" s="54"/>
      <c r="KO27" s="54"/>
      <c r="KP27" s="54"/>
      <c r="KQ27" s="54"/>
      <c r="KR27" s="54"/>
      <c r="KS27" s="54"/>
      <c r="KT27" s="54"/>
      <c r="KU27" s="54"/>
      <c r="KV27" s="54"/>
      <c r="KW27" s="54"/>
      <c r="KX27" s="54"/>
    </row>
    <row r="28" ht="5.25" customHeight="1">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M28" s="54"/>
      <c r="CN28" s="54"/>
      <c r="CO28" s="54"/>
      <c r="CP28" s="54"/>
      <c r="CQ28" s="54"/>
      <c r="CR28" s="54"/>
      <c r="CS28" s="54"/>
      <c r="CT28" s="54"/>
      <c r="CU28" s="54"/>
      <c r="CV28" s="54"/>
      <c r="CW28" s="54"/>
      <c r="CX28" s="54"/>
      <c r="CY28" s="54"/>
      <c r="CZ28" s="54"/>
      <c r="DA28" s="54"/>
      <c r="DB28" s="56"/>
      <c r="DC28" s="56"/>
      <c r="DD28" s="60"/>
      <c r="EG28" s="11"/>
      <c r="EH28" s="10"/>
      <c r="FK28" s="61"/>
      <c r="FL28" s="56"/>
      <c r="FM28" s="56"/>
      <c r="FN28" s="54"/>
      <c r="FO28" s="54"/>
      <c r="FP28" s="54"/>
      <c r="FQ28" s="54"/>
      <c r="FR28" s="54"/>
      <c r="FS28" s="54"/>
      <c r="FT28" s="54"/>
      <c r="FU28" s="54"/>
      <c r="FV28" s="54"/>
      <c r="FW28" s="54"/>
      <c r="FX28" s="54"/>
      <c r="FY28" s="54"/>
      <c r="FZ28" s="54"/>
      <c r="GA28" s="54"/>
      <c r="GB28" s="54"/>
      <c r="GC28" s="54"/>
      <c r="GD28" s="54"/>
      <c r="GE28" s="54"/>
      <c r="GF28" s="54"/>
      <c r="GG28" s="54"/>
      <c r="GH28" s="54"/>
      <c r="GI28" s="54"/>
      <c r="GJ28" s="54"/>
      <c r="GK28" s="54"/>
      <c r="GL28" s="54"/>
      <c r="GM28" s="54"/>
      <c r="GN28" s="54"/>
      <c r="GO28" s="54"/>
      <c r="GP28" s="54"/>
      <c r="GQ28" s="54"/>
      <c r="GR28" s="54"/>
      <c r="GS28" s="54"/>
      <c r="GT28" s="54"/>
      <c r="GU28" s="54"/>
      <c r="GV28" s="54"/>
      <c r="GW28" s="54"/>
      <c r="GX28" s="54"/>
      <c r="GY28" s="54"/>
      <c r="GZ28" s="54"/>
      <c r="HA28" s="54"/>
      <c r="HB28" s="54"/>
      <c r="HC28" s="54"/>
      <c r="HD28" s="54"/>
      <c r="HE28" s="54"/>
      <c r="HF28" s="54"/>
      <c r="HG28" s="54"/>
      <c r="HH28" s="54"/>
      <c r="HI28" s="54"/>
      <c r="HJ28" s="54"/>
      <c r="HK28" s="54"/>
      <c r="HL28" s="54"/>
      <c r="HM28" s="54"/>
      <c r="HN28" s="54"/>
      <c r="HO28" s="54"/>
      <c r="HP28" s="54"/>
      <c r="HQ28" s="54"/>
      <c r="HR28" s="54"/>
      <c r="HS28" s="54"/>
      <c r="HT28" s="54"/>
      <c r="HU28" s="54"/>
      <c r="HV28" s="54"/>
      <c r="HW28" s="54"/>
      <c r="HX28" s="54"/>
      <c r="HY28" s="54"/>
      <c r="HZ28" s="54"/>
      <c r="IA28" s="54"/>
      <c r="IB28" s="54"/>
      <c r="IC28" s="54"/>
      <c r="ID28" s="54"/>
      <c r="IE28" s="54"/>
      <c r="IF28" s="54"/>
      <c r="IG28" s="54"/>
      <c r="IH28" s="54"/>
      <c r="II28" s="54"/>
      <c r="IJ28" s="54"/>
      <c r="IK28" s="54"/>
      <c r="IL28" s="54"/>
      <c r="IM28" s="54"/>
      <c r="IN28" s="54"/>
      <c r="IO28" s="54"/>
      <c r="IP28" s="54"/>
      <c r="IQ28" s="54"/>
      <c r="IR28" s="54"/>
      <c r="IS28" s="54"/>
      <c r="IT28" s="54"/>
      <c r="IU28" s="54"/>
      <c r="IV28" s="54"/>
      <c r="IW28" s="54"/>
      <c r="IX28" s="54"/>
      <c r="IY28" s="54"/>
      <c r="IZ28" s="54"/>
      <c r="JA28" s="54"/>
      <c r="JB28" s="54"/>
      <c r="JC28" s="54"/>
      <c r="JD28" s="54"/>
      <c r="JE28" s="54"/>
      <c r="JF28" s="54"/>
      <c r="JG28" s="54"/>
      <c r="JH28" s="54"/>
      <c r="JI28" s="54"/>
      <c r="JJ28" s="54"/>
      <c r="JK28" s="54"/>
      <c r="JL28" s="54"/>
      <c r="JM28" s="54"/>
      <c r="JN28" s="54"/>
      <c r="JO28" s="54"/>
      <c r="JP28" s="54"/>
      <c r="JQ28" s="54"/>
      <c r="JR28" s="54"/>
      <c r="JS28" s="54"/>
      <c r="JT28" s="54"/>
      <c r="JU28" s="54"/>
      <c r="JV28" s="54"/>
      <c r="JW28" s="54"/>
      <c r="JX28" s="54"/>
      <c r="JY28" s="54"/>
      <c r="JZ28" s="54"/>
      <c r="KA28" s="54"/>
      <c r="KB28" s="54"/>
      <c r="KC28" s="54"/>
      <c r="KD28" s="54"/>
      <c r="KE28" s="54"/>
      <c r="KF28" s="54"/>
      <c r="KG28" s="54"/>
      <c r="KH28" s="54"/>
      <c r="KI28" s="54"/>
      <c r="KJ28" s="54"/>
      <c r="KK28" s="54"/>
      <c r="KL28" s="54"/>
      <c r="KM28" s="54"/>
      <c r="KN28" s="54"/>
      <c r="KO28" s="54"/>
      <c r="KP28" s="54"/>
      <c r="KQ28" s="54"/>
      <c r="KR28" s="54"/>
      <c r="KS28" s="54"/>
      <c r="KT28" s="54"/>
      <c r="KU28" s="54"/>
      <c r="KV28" s="54"/>
      <c r="KW28" s="54"/>
      <c r="KX28" s="54"/>
    </row>
    <row r="29" ht="5.25" customHeight="1">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6"/>
      <c r="DC29" s="56">
        <f>DC25</f>
        <v>2</v>
      </c>
      <c r="DD29" s="64"/>
      <c r="DL29" s="99"/>
      <c r="DN29" s="11"/>
      <c r="DO29" s="84"/>
      <c r="DQ29" s="11"/>
      <c r="DR29" s="84"/>
      <c r="DU29" s="54"/>
      <c r="ED29" s="85">
        <f>sum(DL29:DT31)</f>
        <v>0</v>
      </c>
      <c r="EG29" s="11"/>
      <c r="EH29" s="86">
        <f>sum(EU29:FC31)</f>
        <v>0</v>
      </c>
      <c r="EL29" s="54"/>
      <c r="EM29" s="54"/>
      <c r="EN29" s="54"/>
      <c r="EO29" s="54"/>
      <c r="EP29" s="54"/>
      <c r="EQ29" s="54"/>
      <c r="ER29" s="54"/>
      <c r="ES29" s="54"/>
      <c r="ET29" s="54"/>
      <c r="EU29" s="99"/>
      <c r="EW29" s="11"/>
      <c r="EX29" s="87"/>
      <c r="EZ29" s="11"/>
      <c r="FA29" s="84"/>
      <c r="FD29" s="68"/>
      <c r="FE29" s="54"/>
      <c r="FF29" s="54"/>
      <c r="FG29" s="54"/>
      <c r="FH29" s="54"/>
      <c r="FI29" s="54"/>
      <c r="FJ29" s="54"/>
      <c r="FK29" s="69"/>
      <c r="FL29" s="56">
        <f>FL25</f>
        <v>15</v>
      </c>
      <c r="FM29" s="56"/>
      <c r="FN29" s="54"/>
      <c r="FO29" s="54"/>
      <c r="FP29" s="54"/>
      <c r="FQ29" s="54"/>
      <c r="FR29" s="54"/>
      <c r="FS29" s="54"/>
      <c r="FT29" s="54"/>
      <c r="FU29" s="54"/>
      <c r="FV29" s="54"/>
      <c r="FW29" s="54"/>
      <c r="FX29" s="54"/>
      <c r="FY29" s="54"/>
      <c r="FZ29" s="54"/>
      <c r="GA29" s="54"/>
      <c r="GB29" s="54"/>
      <c r="GC29" s="54"/>
      <c r="GD29" s="54"/>
      <c r="GE29" s="54"/>
      <c r="GF29" s="54"/>
      <c r="GG29" s="54"/>
      <c r="GH29" s="54"/>
      <c r="GI29" s="54"/>
      <c r="GJ29" s="54"/>
      <c r="GK29" s="54"/>
      <c r="GL29" s="54"/>
      <c r="GM29" s="54"/>
      <c r="GN29" s="54"/>
      <c r="GO29" s="54"/>
      <c r="GP29" s="54"/>
      <c r="GQ29" s="54"/>
      <c r="GR29" s="54"/>
      <c r="GS29" s="54"/>
      <c r="GT29" s="54"/>
      <c r="GU29" s="54"/>
      <c r="GV29" s="54"/>
      <c r="GW29" s="54"/>
      <c r="GX29" s="54"/>
      <c r="GY29" s="54"/>
      <c r="GZ29" s="54"/>
      <c r="HA29" s="54"/>
      <c r="HB29" s="54"/>
      <c r="HC29" s="54"/>
      <c r="HD29" s="54"/>
      <c r="HE29" s="54"/>
      <c r="HF29" s="54"/>
      <c r="HG29" s="54"/>
      <c r="HH29" s="54"/>
      <c r="HI29" s="54"/>
      <c r="HJ29" s="54"/>
      <c r="HK29" s="54"/>
      <c r="HL29" s="54"/>
      <c r="HM29" s="54"/>
      <c r="HN29" s="54"/>
      <c r="HO29" s="54"/>
      <c r="HP29" s="54"/>
      <c r="HQ29" s="54"/>
      <c r="HR29" s="54"/>
      <c r="HS29" s="54"/>
      <c r="HT29" s="54"/>
      <c r="HU29" s="54"/>
      <c r="HV29" s="54"/>
      <c r="HW29" s="54"/>
      <c r="HX29" s="54"/>
      <c r="HY29" s="54"/>
      <c r="HZ29" s="54"/>
      <c r="IA29" s="54"/>
      <c r="IB29" s="54"/>
      <c r="IC29" s="54"/>
      <c r="ID29" s="54"/>
      <c r="IE29" s="54"/>
      <c r="IF29" s="54"/>
      <c r="IG29" s="54"/>
      <c r="IH29" s="54"/>
      <c r="II29" s="54"/>
      <c r="IJ29" s="54"/>
      <c r="IK29" s="54"/>
      <c r="IL29" s="54"/>
      <c r="IM29" s="54"/>
      <c r="IN29" s="54"/>
      <c r="IO29" s="54"/>
      <c r="IP29" s="54"/>
      <c r="IQ29" s="54"/>
      <c r="IR29" s="54"/>
      <c r="IS29" s="54"/>
      <c r="IT29" s="54"/>
      <c r="IU29" s="54"/>
      <c r="IV29" s="54"/>
      <c r="IW29" s="54"/>
      <c r="IX29" s="54"/>
      <c r="IY29" s="54"/>
      <c r="IZ29" s="54"/>
      <c r="JA29" s="54"/>
      <c r="JB29" s="54"/>
      <c r="JC29" s="54"/>
      <c r="JD29" s="54"/>
      <c r="JE29" s="54"/>
      <c r="JF29" s="54"/>
      <c r="JG29" s="54"/>
      <c r="JH29" s="54"/>
      <c r="JI29" s="54"/>
      <c r="JJ29" s="54"/>
      <c r="JK29" s="54"/>
      <c r="JL29" s="54"/>
      <c r="JM29" s="54"/>
      <c r="JN29" s="54"/>
      <c r="JO29" s="54"/>
      <c r="JP29" s="54"/>
      <c r="JQ29" s="54"/>
      <c r="JR29" s="54"/>
      <c r="JS29" s="54"/>
      <c r="JT29" s="54"/>
      <c r="JU29" s="54"/>
      <c r="JV29" s="54"/>
      <c r="JW29" s="54"/>
      <c r="JX29" s="54"/>
      <c r="JY29" s="54"/>
      <c r="JZ29" s="54"/>
      <c r="KA29" s="54"/>
      <c r="KB29" s="54"/>
      <c r="KC29" s="54"/>
      <c r="KD29" s="54"/>
      <c r="KE29" s="54"/>
      <c r="KF29" s="54"/>
      <c r="KG29" s="54"/>
      <c r="KH29" s="54"/>
      <c r="KI29" s="54"/>
      <c r="KJ29" s="54"/>
      <c r="KK29" s="54"/>
      <c r="KL29" s="54"/>
      <c r="KM29" s="54"/>
      <c r="KN29" s="54"/>
      <c r="KO29" s="54"/>
      <c r="KP29" s="54"/>
      <c r="KQ29" s="54"/>
      <c r="KR29" s="54"/>
      <c r="KS29" s="54"/>
      <c r="KT29" s="54"/>
      <c r="KU29" s="54"/>
      <c r="KV29" s="54"/>
      <c r="KW29" s="54"/>
      <c r="KX29" s="54"/>
    </row>
    <row r="30" ht="5.25" customHeight="1">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M30" s="54"/>
      <c r="CN30" s="54"/>
      <c r="CO30" s="54"/>
      <c r="CP30" s="54"/>
      <c r="CQ30" s="54"/>
      <c r="CR30" s="54"/>
      <c r="CS30" s="54"/>
      <c r="CT30" s="54"/>
      <c r="CU30" s="54"/>
      <c r="CV30" s="54"/>
      <c r="CW30" s="54"/>
      <c r="CX30" s="54"/>
      <c r="CY30" s="54"/>
      <c r="CZ30" s="54"/>
      <c r="DA30" s="54"/>
      <c r="DB30" s="56"/>
      <c r="DC30" s="56"/>
      <c r="DD30" s="60"/>
      <c r="DN30" s="11"/>
      <c r="DO30" s="10"/>
      <c r="DQ30" s="11"/>
      <c r="DR30" s="10"/>
      <c r="EG30" s="11"/>
      <c r="EH30" s="10"/>
      <c r="EL30" s="54"/>
      <c r="EM30" s="54"/>
      <c r="EN30" s="54"/>
      <c r="EO30" s="54"/>
      <c r="EP30" s="54"/>
      <c r="EQ30" s="54"/>
      <c r="ER30" s="54"/>
      <c r="ES30" s="54"/>
      <c r="ET30" s="54"/>
      <c r="EW30" s="11"/>
      <c r="EX30" s="10"/>
      <c r="EZ30" s="11"/>
      <c r="FA30" s="10"/>
      <c r="FD30" s="68"/>
      <c r="FE30" s="54"/>
      <c r="FF30" s="54"/>
      <c r="FG30" s="54"/>
      <c r="FH30" s="54"/>
      <c r="FI30" s="54"/>
      <c r="FJ30" s="54"/>
      <c r="FK30" s="69"/>
      <c r="FL30" s="56"/>
      <c r="FM30" s="56"/>
      <c r="FN30" s="54"/>
      <c r="FO30" s="54"/>
      <c r="FP30" s="54"/>
      <c r="FQ30" s="54"/>
      <c r="FR30" s="54"/>
      <c r="FS30" s="54"/>
      <c r="FT30" s="54"/>
      <c r="FU30" s="54"/>
      <c r="FV30" s="54"/>
      <c r="FW30" s="54"/>
      <c r="FX30" s="54"/>
      <c r="FY30" s="54"/>
      <c r="FZ30" s="54"/>
      <c r="GA30" s="54"/>
      <c r="GB30" s="54"/>
      <c r="GC30" s="54"/>
      <c r="GD30" s="54"/>
      <c r="GE30" s="54"/>
      <c r="GF30" s="54"/>
      <c r="GG30" s="54"/>
      <c r="GH30" s="54"/>
      <c r="GI30" s="54"/>
      <c r="GJ30" s="54"/>
      <c r="GK30" s="54"/>
      <c r="GL30" s="54"/>
      <c r="GM30" s="54"/>
      <c r="GN30" s="54"/>
      <c r="GO30" s="54"/>
      <c r="GP30" s="54"/>
      <c r="GQ30" s="54"/>
      <c r="GR30" s="54"/>
      <c r="GS30" s="54"/>
      <c r="GT30" s="54"/>
      <c r="GU30" s="54"/>
      <c r="GV30" s="54"/>
      <c r="GW30" s="54"/>
      <c r="GX30" s="54"/>
      <c r="GY30" s="54"/>
      <c r="GZ30" s="54"/>
      <c r="HA30" s="54"/>
      <c r="HB30" s="54"/>
      <c r="HC30" s="54"/>
      <c r="HD30" s="54"/>
      <c r="HE30" s="54"/>
      <c r="HF30" s="54"/>
      <c r="HG30" s="54"/>
      <c r="HH30" s="54"/>
      <c r="HI30" s="54"/>
      <c r="HJ30" s="54"/>
      <c r="HK30" s="54"/>
      <c r="HL30" s="54"/>
      <c r="HM30" s="54"/>
      <c r="HN30" s="54"/>
      <c r="HO30" s="54"/>
      <c r="HP30" s="54"/>
      <c r="HQ30" s="54"/>
      <c r="HR30" s="54"/>
      <c r="HS30" s="54"/>
      <c r="HT30" s="54"/>
      <c r="HU30" s="54"/>
      <c r="HV30" s="54"/>
      <c r="HW30" s="54"/>
      <c r="HX30" s="54"/>
      <c r="HY30" s="54"/>
      <c r="HZ30" s="54"/>
      <c r="IA30" s="54"/>
      <c r="IB30" s="54"/>
      <c r="IC30" s="54"/>
      <c r="ID30" s="54"/>
      <c r="IE30" s="54"/>
      <c r="IF30" s="54"/>
      <c r="IG30" s="54"/>
      <c r="IH30" s="54"/>
      <c r="II30" s="54"/>
      <c r="IJ30" s="54"/>
      <c r="IK30" s="54"/>
      <c r="IL30" s="54"/>
      <c r="IM30" s="54"/>
      <c r="IN30" s="54"/>
      <c r="IO30" s="54"/>
      <c r="IP30" s="54"/>
      <c r="IQ30" s="54"/>
      <c r="IR30" s="54"/>
      <c r="IS30" s="54"/>
      <c r="IT30" s="54"/>
      <c r="IU30" s="54"/>
      <c r="IV30" s="54"/>
      <c r="IW30" s="54"/>
      <c r="IX30" s="54"/>
      <c r="IY30" s="54"/>
      <c r="IZ30" s="54"/>
      <c r="JA30" s="54"/>
      <c r="JB30" s="54"/>
      <c r="JC30" s="54"/>
      <c r="JD30" s="54"/>
      <c r="JE30" s="54"/>
      <c r="JF30" s="54"/>
      <c r="JG30" s="54"/>
      <c r="JH30" s="54"/>
      <c r="JI30" s="54"/>
      <c r="JJ30" s="54"/>
      <c r="JK30" s="54"/>
      <c r="JL30" s="54"/>
      <c r="JM30" s="54"/>
      <c r="JN30" s="54"/>
      <c r="JO30" s="54"/>
      <c r="JP30" s="54"/>
      <c r="JQ30" s="54"/>
      <c r="JR30" s="54"/>
      <c r="JS30" s="54"/>
      <c r="JT30" s="54"/>
      <c r="JU30" s="54"/>
      <c r="JV30" s="54"/>
      <c r="JW30" s="54"/>
      <c r="JX30" s="54"/>
      <c r="JY30" s="54"/>
      <c r="JZ30" s="54"/>
      <c r="KA30" s="54"/>
      <c r="KB30" s="54"/>
      <c r="KC30" s="54"/>
      <c r="KD30" s="54"/>
      <c r="KE30" s="54"/>
      <c r="KF30" s="54"/>
      <c r="KG30" s="54"/>
      <c r="KH30" s="54"/>
      <c r="KI30" s="54"/>
      <c r="KJ30" s="54"/>
      <c r="KK30" s="54"/>
      <c r="KL30" s="54"/>
      <c r="KM30" s="54"/>
      <c r="KN30" s="54"/>
      <c r="KO30" s="54"/>
      <c r="KP30" s="54"/>
      <c r="KQ30" s="54"/>
      <c r="KR30" s="54"/>
      <c r="KS30" s="54"/>
      <c r="KT30" s="54"/>
      <c r="KU30" s="54"/>
      <c r="KV30" s="54"/>
      <c r="KW30" s="54"/>
      <c r="KX30" s="54"/>
    </row>
    <row r="31" ht="5.25" customHeight="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M31" s="54"/>
      <c r="CN31" s="54"/>
      <c r="CO31" s="54"/>
      <c r="CP31" s="54"/>
      <c r="CQ31" s="54"/>
      <c r="CR31" s="54"/>
      <c r="CS31" s="54"/>
      <c r="CT31" s="54"/>
      <c r="CU31" s="54"/>
      <c r="CV31" s="54"/>
      <c r="CW31" s="54"/>
      <c r="CX31" s="54"/>
      <c r="CY31" s="54"/>
      <c r="CZ31" s="54"/>
      <c r="DA31" s="54"/>
      <c r="DB31" s="56"/>
      <c r="DC31" s="56"/>
      <c r="DD31" s="88"/>
      <c r="DE31" s="13"/>
      <c r="DF31" s="13"/>
      <c r="DG31" s="13"/>
      <c r="DH31" s="13"/>
      <c r="DI31" s="13"/>
      <c r="DJ31" s="13"/>
      <c r="DK31" s="13"/>
      <c r="DL31" s="13"/>
      <c r="DM31" s="13"/>
      <c r="DN31" s="14"/>
      <c r="DO31" s="12"/>
      <c r="DP31" s="13"/>
      <c r="DQ31" s="14"/>
      <c r="DR31" s="12"/>
      <c r="DS31" s="13"/>
      <c r="DT31" s="13"/>
      <c r="DU31" s="13"/>
      <c r="DV31" s="13"/>
      <c r="DW31" s="13"/>
      <c r="DX31" s="13"/>
      <c r="DY31" s="13"/>
      <c r="DZ31" s="13"/>
      <c r="EA31" s="13"/>
      <c r="EB31" s="13"/>
      <c r="EC31" s="13"/>
      <c r="ED31" s="13"/>
      <c r="EE31" s="13"/>
      <c r="EF31" s="13"/>
      <c r="EG31" s="14"/>
      <c r="EH31" s="12"/>
      <c r="EI31" s="13"/>
      <c r="EJ31" s="13"/>
      <c r="EK31" s="13"/>
      <c r="EL31" s="89"/>
      <c r="EM31" s="89"/>
      <c r="EN31" s="89"/>
      <c r="EO31" s="89"/>
      <c r="EP31" s="89"/>
      <c r="EQ31" s="89"/>
      <c r="ER31" s="89"/>
      <c r="ES31" s="89"/>
      <c r="ET31" s="89"/>
      <c r="EU31" s="13"/>
      <c r="EV31" s="13"/>
      <c r="EW31" s="14"/>
      <c r="EX31" s="12"/>
      <c r="EY31" s="13"/>
      <c r="EZ31" s="14"/>
      <c r="FA31" s="12"/>
      <c r="FB31" s="13"/>
      <c r="FC31" s="13"/>
      <c r="FD31" s="90"/>
      <c r="FE31" s="89"/>
      <c r="FF31" s="89"/>
      <c r="FG31" s="89"/>
      <c r="FH31" s="89"/>
      <c r="FI31" s="89"/>
      <c r="FJ31" s="89"/>
      <c r="FK31" s="91"/>
      <c r="FL31" s="56"/>
      <c r="FM31" s="56"/>
      <c r="FN31" s="54"/>
      <c r="FO31" s="54"/>
      <c r="FP31" s="54"/>
      <c r="FQ31" s="54"/>
      <c r="FR31" s="54"/>
      <c r="FS31" s="54"/>
      <c r="FT31" s="54"/>
      <c r="FU31" s="54"/>
      <c r="FV31" s="54"/>
      <c r="FW31" s="54"/>
      <c r="FX31" s="54"/>
      <c r="FY31" s="54"/>
      <c r="FZ31" s="54"/>
      <c r="GA31" s="54"/>
      <c r="GB31" s="54"/>
      <c r="GC31" s="54"/>
      <c r="GD31" s="54"/>
      <c r="GE31" s="54"/>
      <c r="GF31" s="54"/>
      <c r="GG31" s="54"/>
      <c r="GH31" s="54"/>
      <c r="GI31" s="54"/>
      <c r="GJ31" s="54"/>
      <c r="GK31" s="54"/>
      <c r="GL31" s="54"/>
      <c r="GM31" s="54"/>
      <c r="GN31" s="54"/>
      <c r="GO31" s="54"/>
      <c r="GP31" s="54"/>
      <c r="GQ31" s="54"/>
      <c r="GR31" s="54"/>
      <c r="GS31" s="54"/>
      <c r="GT31" s="54"/>
      <c r="GU31" s="54"/>
      <c r="GV31" s="54"/>
      <c r="GW31" s="54"/>
      <c r="GX31" s="54"/>
      <c r="GY31" s="54"/>
      <c r="GZ31" s="54"/>
      <c r="HA31" s="54"/>
      <c r="HB31" s="54"/>
      <c r="HC31" s="54"/>
      <c r="HD31" s="54"/>
      <c r="HE31" s="54"/>
      <c r="HF31" s="54"/>
      <c r="HG31" s="54"/>
      <c r="HH31" s="54"/>
      <c r="HI31" s="54"/>
      <c r="HJ31" s="54"/>
      <c r="HK31" s="54"/>
      <c r="HL31" s="54"/>
      <c r="HM31" s="54"/>
      <c r="HN31" s="54"/>
      <c r="HO31" s="54"/>
      <c r="HP31" s="54"/>
      <c r="HQ31" s="54"/>
      <c r="HR31" s="54"/>
      <c r="HS31" s="54"/>
      <c r="HT31" s="54"/>
      <c r="HU31" s="54"/>
      <c r="HV31" s="54"/>
      <c r="HW31" s="54"/>
      <c r="HX31" s="54"/>
      <c r="HY31" s="54"/>
      <c r="HZ31" s="54"/>
      <c r="IA31" s="54"/>
      <c r="IB31" s="54"/>
      <c r="IC31" s="54"/>
      <c r="ID31" s="54"/>
      <c r="IE31" s="54"/>
      <c r="IF31" s="54"/>
      <c r="IG31" s="54"/>
      <c r="IH31" s="54"/>
      <c r="II31" s="54"/>
      <c r="IJ31" s="54"/>
      <c r="IK31" s="54"/>
      <c r="IL31" s="54"/>
      <c r="IM31" s="54"/>
      <c r="IN31" s="54"/>
      <c r="IO31" s="54"/>
      <c r="IP31" s="54"/>
      <c r="IQ31" s="54"/>
      <c r="IR31" s="54"/>
      <c r="IS31" s="54"/>
      <c r="IT31" s="54"/>
      <c r="IU31" s="54"/>
      <c r="IV31" s="54"/>
      <c r="IW31" s="54"/>
      <c r="IX31" s="54"/>
      <c r="IY31" s="54"/>
      <c r="IZ31" s="54"/>
      <c r="JA31" s="54"/>
      <c r="JB31" s="54"/>
      <c r="JC31" s="54"/>
      <c r="JD31" s="54"/>
      <c r="JE31" s="54"/>
      <c r="JF31" s="54"/>
      <c r="JG31" s="54"/>
      <c r="JH31" s="54"/>
      <c r="JI31" s="54"/>
      <c r="JJ31" s="54"/>
      <c r="JK31" s="54"/>
      <c r="JL31" s="54"/>
      <c r="JM31" s="54"/>
      <c r="JN31" s="54"/>
      <c r="JO31" s="54"/>
      <c r="JP31" s="54"/>
      <c r="JQ31" s="54"/>
      <c r="JR31" s="54"/>
      <c r="JS31" s="54"/>
      <c r="JT31" s="54"/>
      <c r="JU31" s="54"/>
      <c r="JV31" s="54"/>
      <c r="JW31" s="54"/>
      <c r="JX31" s="54"/>
      <c r="JY31" s="54"/>
      <c r="JZ31" s="54"/>
      <c r="KA31" s="54"/>
      <c r="KB31" s="54"/>
      <c r="KC31" s="54"/>
      <c r="KD31" s="54"/>
      <c r="KE31" s="54"/>
      <c r="KF31" s="54"/>
      <c r="KG31" s="54"/>
      <c r="KH31" s="54"/>
      <c r="KI31" s="54"/>
      <c r="KJ31" s="54"/>
      <c r="KK31" s="54"/>
      <c r="KL31" s="54"/>
      <c r="KM31" s="54"/>
      <c r="KN31" s="54"/>
      <c r="KO31" s="54"/>
      <c r="KP31" s="54"/>
      <c r="KQ31" s="54"/>
      <c r="KR31" s="54"/>
      <c r="KS31" s="54"/>
      <c r="KT31" s="54"/>
      <c r="KU31" s="54"/>
      <c r="KV31" s="54"/>
      <c r="KW31" s="54"/>
      <c r="KX31" s="54"/>
    </row>
    <row r="32" ht="5.25" customHeight="1">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54"/>
      <c r="CE32" s="54"/>
      <c r="CF32" s="54"/>
      <c r="CG32" s="54"/>
      <c r="CH32" s="54"/>
      <c r="CI32" s="54"/>
      <c r="CJ32" s="54"/>
      <c r="CK32" s="54"/>
      <c r="CL32" s="54"/>
      <c r="CM32" s="54"/>
      <c r="CN32" s="54"/>
      <c r="CO32" s="54"/>
      <c r="CP32" s="54"/>
      <c r="CQ32" s="54"/>
      <c r="CR32" s="54"/>
      <c r="CS32" s="54"/>
      <c r="CT32" s="54"/>
      <c r="CU32" s="54"/>
      <c r="CV32" s="54"/>
      <c r="CW32" s="54"/>
      <c r="CX32" s="54"/>
      <c r="CY32" s="54"/>
      <c r="CZ32" s="54"/>
      <c r="DA32" s="54"/>
      <c r="DB32" s="56"/>
      <c r="DC32" s="56">
        <f>'Choose matchups (Contender)'!Q7</f>
        <v>3</v>
      </c>
      <c r="DD32" s="92" t="str">
        <f t="array" ref="DD32">xlookup(DC32,qualdata!$M$2:$M$17,qualdata!$O$2:$O$17,"")</f>
        <v/>
      </c>
      <c r="DE32" s="8"/>
      <c r="DF32" s="8"/>
      <c r="DG32" s="8"/>
      <c r="DH32" s="93" t="str">
        <f t="array" ref="DH32">xlookup(DC32,qualdata!$M$2:$M$17,qualdata!$N$2:$N$17,"")</f>
        <v>Team 3 (Group 1)</v>
      </c>
      <c r="DI32" s="8"/>
      <c r="DJ32" s="8"/>
      <c r="DK32" s="8"/>
      <c r="DL32" s="8"/>
      <c r="DM32" s="8"/>
      <c r="DN32" s="8"/>
      <c r="DO32" s="8"/>
      <c r="DP32" s="8"/>
      <c r="DQ32" s="8"/>
      <c r="DR32" s="8"/>
      <c r="DS32" s="8"/>
      <c r="DT32" s="8"/>
      <c r="DU32" s="8"/>
      <c r="DV32" s="8"/>
      <c r="DW32" s="8"/>
      <c r="DX32" s="8"/>
      <c r="DY32" s="8"/>
      <c r="DZ32" s="8"/>
      <c r="EA32" s="8"/>
      <c r="EB32" s="8"/>
      <c r="EC32" s="8"/>
      <c r="ED32" s="94"/>
      <c r="EE32" s="8"/>
      <c r="EF32" s="8"/>
      <c r="EG32" s="9"/>
      <c r="EH32" s="95"/>
      <c r="EI32" s="8"/>
      <c r="EJ32" s="8"/>
      <c r="EK32" s="8"/>
      <c r="EL32" s="96" t="str">
        <f t="array" ref="EL32">xlookup(FL32,qualdata!$M$2:$M$17,qualdata!$N$2:$N$17,"")</f>
        <v>Team 14 (Group 1)</v>
      </c>
      <c r="EM32" s="8"/>
      <c r="EN32" s="8"/>
      <c r="EO32" s="8"/>
      <c r="EP32" s="8"/>
      <c r="EQ32" s="8"/>
      <c r="ER32" s="8"/>
      <c r="ES32" s="8"/>
      <c r="ET32" s="8"/>
      <c r="EU32" s="8"/>
      <c r="EV32" s="8"/>
      <c r="EW32" s="8"/>
      <c r="EX32" s="8"/>
      <c r="EY32" s="8"/>
      <c r="EZ32" s="8"/>
      <c r="FA32" s="8"/>
      <c r="FB32" s="8"/>
      <c r="FC32" s="8"/>
      <c r="FD32" s="8"/>
      <c r="FE32" s="8"/>
      <c r="FF32" s="8"/>
      <c r="FG32" s="8"/>
      <c r="FH32" s="97" t="str">
        <f t="array" ref="FH32">xlookup(FL32,qualdata!$M$2:$M$17,qualdata!$O$2:$O$17,"")</f>
        <v/>
      </c>
      <c r="FI32" s="8"/>
      <c r="FJ32" s="8"/>
      <c r="FK32" s="98"/>
      <c r="FL32" s="77">
        <f t="array" ref="FL32">xlookup(DC32,qualdata!$M$2:$M$17,qualdata!$P$2:$P$17,"")</f>
        <v>14</v>
      </c>
      <c r="FM32" s="56"/>
      <c r="FN32" s="54"/>
      <c r="FO32" s="54"/>
      <c r="FP32" s="54"/>
      <c r="FQ32" s="54"/>
      <c r="FR32" s="54"/>
      <c r="FS32" s="54"/>
      <c r="FT32" s="54"/>
      <c r="FU32" s="54"/>
      <c r="FV32" s="54"/>
      <c r="FW32" s="54"/>
      <c r="FX32" s="54"/>
      <c r="FY32" s="54"/>
      <c r="FZ32" s="54"/>
      <c r="GA32" s="54"/>
      <c r="GB32" s="54"/>
      <c r="GC32" s="54"/>
      <c r="GD32" s="54"/>
      <c r="GE32" s="54"/>
      <c r="GF32" s="54"/>
      <c r="GG32" s="54"/>
      <c r="GH32" s="54"/>
      <c r="GI32" s="54"/>
      <c r="GJ32" s="54"/>
      <c r="GK32" s="54"/>
      <c r="GL32" s="54"/>
      <c r="GM32" s="54"/>
      <c r="GN32" s="54"/>
      <c r="GO32" s="54"/>
      <c r="GP32" s="54"/>
      <c r="GQ32" s="54"/>
      <c r="GR32" s="54"/>
      <c r="GS32" s="54"/>
      <c r="GT32" s="54"/>
      <c r="GU32" s="54"/>
      <c r="GV32" s="54"/>
      <c r="GW32" s="54"/>
      <c r="GX32" s="54"/>
      <c r="GY32" s="54"/>
      <c r="GZ32" s="54"/>
      <c r="HA32" s="54"/>
      <c r="HB32" s="54"/>
      <c r="HC32" s="54"/>
      <c r="HD32" s="54"/>
      <c r="HE32" s="54"/>
      <c r="HF32" s="54"/>
      <c r="HG32" s="54"/>
      <c r="HH32" s="54"/>
      <c r="HI32" s="54"/>
      <c r="HJ32" s="54"/>
      <c r="HK32" s="54"/>
      <c r="HL32" s="54"/>
      <c r="HM32" s="54"/>
      <c r="HN32" s="54"/>
      <c r="HO32" s="54"/>
      <c r="HP32" s="54"/>
      <c r="HQ32" s="54"/>
      <c r="HR32" s="54"/>
      <c r="HS32" s="54"/>
      <c r="HT32" s="54"/>
      <c r="HU32" s="54"/>
      <c r="HV32" s="54"/>
      <c r="HW32" s="54"/>
      <c r="HX32" s="54"/>
      <c r="HY32" s="54"/>
      <c r="HZ32" s="54"/>
      <c r="IA32" s="54"/>
      <c r="IB32" s="54"/>
      <c r="IC32" s="54"/>
      <c r="ID32" s="54"/>
      <c r="IE32" s="54"/>
      <c r="IF32" s="54"/>
      <c r="IG32" s="54"/>
      <c r="IH32" s="54"/>
      <c r="II32" s="54"/>
      <c r="IJ32" s="54"/>
      <c r="IK32" s="54"/>
      <c r="IL32" s="54"/>
      <c r="IM32" s="54"/>
      <c r="IN32" s="54"/>
      <c r="IO32" s="54"/>
      <c r="IP32" s="54"/>
      <c r="IQ32" s="54"/>
      <c r="IR32" s="54"/>
      <c r="IS32" s="54"/>
      <c r="IT32" s="54"/>
      <c r="IU32" s="54"/>
      <c r="IV32" s="54"/>
      <c r="IW32" s="54"/>
      <c r="IX32" s="54"/>
      <c r="IY32" s="54"/>
      <c r="IZ32" s="54"/>
      <c r="JA32" s="54"/>
      <c r="JB32" s="54"/>
      <c r="JC32" s="54"/>
      <c r="JD32" s="54"/>
      <c r="JE32" s="54"/>
      <c r="JF32" s="54"/>
      <c r="JG32" s="54"/>
      <c r="JH32" s="54"/>
      <c r="JI32" s="54"/>
      <c r="JJ32" s="54"/>
      <c r="JK32" s="54"/>
      <c r="JL32" s="54"/>
      <c r="JM32" s="54"/>
      <c r="JN32" s="54"/>
      <c r="JO32" s="54"/>
      <c r="JP32" s="54"/>
      <c r="JQ32" s="54"/>
      <c r="JR32" s="54"/>
      <c r="JS32" s="54"/>
      <c r="JT32" s="54"/>
      <c r="JU32" s="54"/>
      <c r="JV32" s="54"/>
      <c r="JW32" s="54"/>
      <c r="JX32" s="54"/>
      <c r="JY32" s="54"/>
      <c r="JZ32" s="54"/>
      <c r="KA32" s="54"/>
      <c r="KB32" s="54"/>
      <c r="KC32" s="54"/>
      <c r="KD32" s="54"/>
      <c r="KE32" s="54"/>
      <c r="KF32" s="54"/>
      <c r="KG32" s="54"/>
      <c r="KH32" s="54"/>
      <c r="KI32" s="54"/>
      <c r="KJ32" s="54"/>
      <c r="KK32" s="54"/>
      <c r="KL32" s="54"/>
      <c r="KM32" s="54"/>
      <c r="KN32" s="54"/>
      <c r="KO32" s="54"/>
      <c r="KP32" s="54"/>
      <c r="KQ32" s="54"/>
      <c r="KR32" s="54"/>
      <c r="KS32" s="54"/>
      <c r="KT32" s="54"/>
      <c r="KU32" s="54"/>
      <c r="KV32" s="54"/>
      <c r="KW32" s="54"/>
      <c r="KX32" s="54"/>
    </row>
    <row r="33" ht="5.25" customHeight="1">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M33" s="54"/>
      <c r="CN33" s="54"/>
      <c r="CO33" s="54"/>
      <c r="CP33" s="54"/>
      <c r="CQ33" s="54"/>
      <c r="CR33" s="54"/>
      <c r="CS33" s="54"/>
      <c r="CT33" s="54"/>
      <c r="CU33" s="54"/>
      <c r="CV33" s="54"/>
      <c r="CW33" s="54"/>
      <c r="CX33" s="54"/>
      <c r="CY33" s="54"/>
      <c r="CZ33" s="54"/>
      <c r="DA33" s="54"/>
      <c r="DB33" s="56"/>
      <c r="DC33" s="56"/>
      <c r="DD33" s="60"/>
      <c r="EG33" s="11"/>
      <c r="EH33" s="10"/>
      <c r="FK33" s="61"/>
      <c r="FL33" s="56"/>
      <c r="FM33" s="56"/>
      <c r="FN33" s="54"/>
      <c r="FO33" s="54"/>
      <c r="FP33" s="54"/>
      <c r="FQ33" s="54"/>
      <c r="FR33" s="54"/>
      <c r="FS33" s="54"/>
      <c r="FT33" s="54"/>
      <c r="FU33" s="54"/>
      <c r="FV33" s="54"/>
      <c r="FW33" s="54"/>
      <c r="FX33" s="54"/>
      <c r="FY33" s="54"/>
      <c r="FZ33" s="54"/>
      <c r="GA33" s="54"/>
      <c r="GB33" s="54"/>
      <c r="GC33" s="54"/>
      <c r="GD33" s="54"/>
      <c r="GE33" s="54"/>
      <c r="GF33" s="54"/>
      <c r="GG33" s="54"/>
      <c r="GH33" s="54"/>
      <c r="GI33" s="54"/>
      <c r="GJ33" s="54"/>
      <c r="GK33" s="54"/>
      <c r="GL33" s="54"/>
      <c r="GM33" s="54"/>
      <c r="GN33" s="54"/>
      <c r="GO33" s="54"/>
      <c r="GP33" s="54"/>
      <c r="GQ33" s="54"/>
      <c r="GR33" s="54"/>
      <c r="GS33" s="54"/>
      <c r="GT33" s="54"/>
      <c r="GU33" s="54"/>
      <c r="GV33" s="54"/>
      <c r="GW33" s="54"/>
      <c r="GX33" s="54"/>
      <c r="GY33" s="54"/>
      <c r="GZ33" s="54"/>
      <c r="HA33" s="54"/>
      <c r="HB33" s="54"/>
      <c r="HC33" s="54"/>
      <c r="HD33" s="54"/>
      <c r="HE33" s="54"/>
      <c r="HF33" s="54"/>
      <c r="HG33" s="54"/>
      <c r="HH33" s="54"/>
      <c r="HI33" s="54"/>
      <c r="HJ33" s="54"/>
      <c r="HK33" s="54"/>
      <c r="HL33" s="54"/>
      <c r="HM33" s="54"/>
      <c r="HN33" s="54"/>
      <c r="HO33" s="54"/>
      <c r="HP33" s="54"/>
      <c r="HQ33" s="54"/>
      <c r="HR33" s="54"/>
      <c r="HS33" s="54"/>
      <c r="HT33" s="54"/>
      <c r="HU33" s="54"/>
      <c r="HV33" s="54"/>
      <c r="HW33" s="54"/>
      <c r="HX33" s="54"/>
      <c r="HY33" s="54"/>
      <c r="HZ33" s="54"/>
      <c r="IA33" s="54"/>
      <c r="IB33" s="54"/>
      <c r="IC33" s="54"/>
      <c r="ID33" s="54"/>
      <c r="IE33" s="54"/>
      <c r="IF33" s="54"/>
      <c r="IG33" s="54"/>
      <c r="IH33" s="54"/>
      <c r="II33" s="54"/>
      <c r="IJ33" s="54"/>
      <c r="IK33" s="54"/>
      <c r="IL33" s="54"/>
      <c r="IM33" s="54"/>
      <c r="IN33" s="54"/>
      <c r="IO33" s="54"/>
      <c r="IP33" s="54"/>
      <c r="IQ33" s="54"/>
      <c r="IR33" s="54"/>
      <c r="IS33" s="54"/>
      <c r="IT33" s="54"/>
      <c r="IU33" s="54"/>
      <c r="IV33" s="54"/>
      <c r="IW33" s="54"/>
      <c r="IX33" s="54"/>
      <c r="IY33" s="54"/>
      <c r="IZ33" s="54"/>
      <c r="JA33" s="54"/>
      <c r="JB33" s="54"/>
      <c r="JC33" s="54"/>
      <c r="JD33" s="54"/>
      <c r="JE33" s="54"/>
      <c r="JF33" s="54"/>
      <c r="JG33" s="54"/>
      <c r="JH33" s="54"/>
      <c r="JI33" s="54"/>
      <c r="JJ33" s="54"/>
      <c r="JK33" s="54"/>
      <c r="JL33" s="54"/>
      <c r="JM33" s="54"/>
      <c r="JN33" s="54"/>
      <c r="JO33" s="54"/>
      <c r="JP33" s="54"/>
      <c r="JQ33" s="54"/>
      <c r="JR33" s="54"/>
      <c r="JS33" s="54"/>
      <c r="JT33" s="54"/>
      <c r="JU33" s="54"/>
      <c r="JV33" s="54"/>
      <c r="JW33" s="54"/>
      <c r="JX33" s="54"/>
      <c r="JY33" s="54"/>
      <c r="JZ33" s="54"/>
      <c r="KA33" s="54"/>
      <c r="KB33" s="54"/>
      <c r="KC33" s="54"/>
      <c r="KD33" s="54"/>
      <c r="KE33" s="54"/>
      <c r="KF33" s="54"/>
      <c r="KG33" s="54"/>
      <c r="KH33" s="54"/>
      <c r="KI33" s="54"/>
      <c r="KJ33" s="54"/>
      <c r="KK33" s="54"/>
      <c r="KL33" s="54"/>
      <c r="KM33" s="54"/>
      <c r="KN33" s="54"/>
      <c r="KO33" s="54"/>
      <c r="KP33" s="54"/>
      <c r="KQ33" s="54"/>
      <c r="KR33" s="54"/>
      <c r="KS33" s="54"/>
      <c r="KT33" s="54"/>
      <c r="KU33" s="54"/>
      <c r="KV33" s="54"/>
      <c r="KW33" s="54"/>
      <c r="KX33" s="54"/>
    </row>
    <row r="34" ht="5.25" customHeight="1">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c r="CO34" s="54"/>
      <c r="CP34" s="54"/>
      <c r="CQ34" s="54"/>
      <c r="CR34" s="54"/>
      <c r="CS34" s="54"/>
      <c r="CT34" s="54"/>
      <c r="CU34" s="54"/>
      <c r="CV34" s="54"/>
      <c r="CW34" s="54"/>
      <c r="CX34" s="54"/>
      <c r="CY34" s="54"/>
      <c r="CZ34" s="54"/>
      <c r="DA34" s="54"/>
      <c r="DB34" s="56"/>
      <c r="DC34" s="56"/>
      <c r="DD34" s="60"/>
      <c r="EG34" s="11"/>
      <c r="EH34" s="10"/>
      <c r="FK34" s="61"/>
      <c r="FL34" s="56"/>
      <c r="FM34" s="56"/>
      <c r="FN34" s="54"/>
      <c r="FO34" s="54"/>
      <c r="FP34" s="54"/>
      <c r="FQ34" s="54"/>
      <c r="FR34" s="54"/>
      <c r="FS34" s="54"/>
      <c r="FT34" s="54"/>
      <c r="FU34" s="54"/>
      <c r="FV34" s="54"/>
      <c r="FW34" s="54"/>
      <c r="FX34" s="54"/>
      <c r="FY34" s="54"/>
      <c r="FZ34" s="54"/>
      <c r="GA34" s="54"/>
      <c r="GB34" s="54"/>
      <c r="GC34" s="54"/>
      <c r="GD34" s="54"/>
      <c r="GE34" s="54"/>
      <c r="GF34" s="54"/>
      <c r="GG34" s="54"/>
      <c r="GH34" s="54"/>
      <c r="GI34" s="54"/>
      <c r="GJ34" s="54"/>
      <c r="GK34" s="54"/>
      <c r="GL34" s="54"/>
      <c r="GM34" s="54"/>
      <c r="GN34" s="54"/>
      <c r="GO34" s="54"/>
      <c r="GP34" s="54"/>
      <c r="GQ34" s="54"/>
      <c r="GR34" s="54"/>
      <c r="GS34" s="54"/>
      <c r="GT34" s="54"/>
      <c r="GU34" s="54"/>
      <c r="GV34" s="54"/>
      <c r="GW34" s="54"/>
      <c r="GX34" s="54"/>
      <c r="GY34" s="54"/>
      <c r="GZ34" s="54"/>
      <c r="HA34" s="54"/>
      <c r="HB34" s="54"/>
      <c r="HC34" s="54"/>
      <c r="HD34" s="54"/>
      <c r="HE34" s="54"/>
      <c r="HF34" s="54"/>
      <c r="HG34" s="54"/>
      <c r="HH34" s="54"/>
      <c r="HI34" s="54"/>
      <c r="HJ34" s="54"/>
      <c r="HK34" s="54"/>
      <c r="HL34" s="54"/>
      <c r="HM34" s="54"/>
      <c r="HN34" s="54"/>
      <c r="HO34" s="54"/>
      <c r="HP34" s="54"/>
      <c r="HQ34" s="54"/>
      <c r="HR34" s="54"/>
      <c r="HS34" s="54"/>
      <c r="HT34" s="54"/>
      <c r="HU34" s="54"/>
      <c r="HV34" s="54"/>
      <c r="HW34" s="54"/>
      <c r="HX34" s="54"/>
      <c r="HY34" s="54"/>
      <c r="HZ34" s="54"/>
      <c r="IA34" s="54"/>
      <c r="IB34" s="54"/>
      <c r="IC34" s="54"/>
      <c r="ID34" s="54"/>
      <c r="IE34" s="54"/>
      <c r="IF34" s="54"/>
      <c r="IG34" s="54"/>
      <c r="IH34" s="54"/>
      <c r="II34" s="54"/>
      <c r="IJ34" s="54"/>
      <c r="IK34" s="54"/>
      <c r="IL34" s="54"/>
      <c r="IM34" s="54"/>
      <c r="IN34" s="54"/>
      <c r="IO34" s="54"/>
      <c r="IP34" s="54"/>
      <c r="IQ34" s="54"/>
      <c r="IR34" s="54"/>
      <c r="IS34" s="54"/>
      <c r="IT34" s="54"/>
      <c r="IU34" s="54"/>
      <c r="IV34" s="54"/>
      <c r="IW34" s="54"/>
      <c r="IX34" s="54"/>
      <c r="IY34" s="54"/>
      <c r="IZ34" s="54"/>
      <c r="JA34" s="54"/>
      <c r="JB34" s="54"/>
      <c r="JC34" s="54"/>
      <c r="JD34" s="54"/>
      <c r="JE34" s="54"/>
      <c r="JF34" s="54"/>
      <c r="JG34" s="54"/>
      <c r="JH34" s="54"/>
      <c r="JI34" s="54"/>
      <c r="JJ34" s="54"/>
      <c r="JK34" s="54"/>
      <c r="JL34" s="54"/>
      <c r="JM34" s="54"/>
      <c r="JN34" s="54"/>
      <c r="JO34" s="54"/>
      <c r="JP34" s="54"/>
      <c r="JQ34" s="54"/>
      <c r="JR34" s="54"/>
      <c r="JS34" s="54"/>
      <c r="JT34" s="54"/>
      <c r="JU34" s="54"/>
      <c r="JV34" s="54"/>
      <c r="JW34" s="54"/>
      <c r="JX34" s="54"/>
      <c r="JY34" s="54"/>
      <c r="JZ34" s="54"/>
      <c r="KA34" s="54"/>
      <c r="KB34" s="54"/>
      <c r="KC34" s="54"/>
      <c r="KD34" s="54"/>
      <c r="KE34" s="54"/>
      <c r="KF34" s="54"/>
      <c r="KG34" s="54"/>
      <c r="KH34" s="54"/>
      <c r="KI34" s="54"/>
      <c r="KJ34" s="54"/>
      <c r="KK34" s="54"/>
      <c r="KL34" s="54"/>
      <c r="KM34" s="54"/>
      <c r="KN34" s="54"/>
      <c r="KO34" s="54"/>
      <c r="KP34" s="54"/>
      <c r="KQ34" s="54"/>
      <c r="KR34" s="54"/>
      <c r="KS34" s="54"/>
      <c r="KT34" s="54"/>
      <c r="KU34" s="54"/>
      <c r="KV34" s="54"/>
      <c r="KW34" s="54"/>
      <c r="KX34" s="54"/>
    </row>
    <row r="35" ht="5.25" customHeight="1">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c r="DA35" s="54"/>
      <c r="DB35" s="56"/>
      <c r="DC35" s="56"/>
      <c r="DD35" s="60"/>
      <c r="EG35" s="11"/>
      <c r="EH35" s="10"/>
      <c r="FK35" s="61"/>
      <c r="FL35" s="56"/>
      <c r="FM35" s="56"/>
      <c r="FN35" s="54"/>
      <c r="FO35" s="54"/>
      <c r="FP35" s="54"/>
      <c r="FQ35" s="54"/>
      <c r="FR35" s="54"/>
      <c r="FS35" s="54"/>
      <c r="FT35" s="54"/>
      <c r="FU35" s="54"/>
      <c r="FV35" s="54"/>
      <c r="FW35" s="54"/>
      <c r="FX35" s="54"/>
      <c r="FY35" s="54"/>
      <c r="FZ35" s="54"/>
      <c r="GA35" s="54"/>
      <c r="GB35" s="54"/>
      <c r="GC35" s="54"/>
      <c r="GD35" s="54"/>
      <c r="GE35" s="54"/>
      <c r="GF35" s="54"/>
      <c r="GG35" s="54"/>
      <c r="GH35" s="54"/>
      <c r="GI35" s="54"/>
      <c r="GJ35" s="54"/>
      <c r="GK35" s="54"/>
      <c r="GL35" s="54"/>
      <c r="GM35" s="54"/>
      <c r="GN35" s="54"/>
      <c r="GO35" s="54"/>
      <c r="GP35" s="54"/>
      <c r="GQ35" s="54"/>
      <c r="GR35" s="54"/>
      <c r="GS35" s="54"/>
      <c r="GT35" s="54"/>
      <c r="GU35" s="54"/>
      <c r="GV35" s="54"/>
      <c r="GW35" s="54"/>
      <c r="GX35" s="54"/>
      <c r="GY35" s="54"/>
      <c r="GZ35" s="54"/>
      <c r="HA35" s="54"/>
      <c r="HB35" s="54"/>
      <c r="HC35" s="54"/>
      <c r="HD35" s="54"/>
      <c r="HE35" s="54"/>
      <c r="HF35" s="54"/>
      <c r="HG35" s="54"/>
      <c r="HH35" s="54"/>
      <c r="HI35" s="54"/>
      <c r="HJ35" s="54"/>
      <c r="HK35" s="54"/>
      <c r="HL35" s="54"/>
      <c r="HM35" s="54"/>
      <c r="HN35" s="54"/>
      <c r="HO35" s="54"/>
      <c r="HP35" s="54"/>
      <c r="HQ35" s="54"/>
      <c r="HR35" s="54"/>
      <c r="HS35" s="54"/>
      <c r="HT35" s="54"/>
      <c r="HU35" s="54"/>
      <c r="HV35" s="54"/>
      <c r="HW35" s="54"/>
      <c r="HX35" s="54"/>
      <c r="HY35" s="54"/>
      <c r="HZ35" s="54"/>
      <c r="IA35" s="54"/>
      <c r="IB35" s="54"/>
      <c r="IC35" s="54"/>
      <c r="ID35" s="54"/>
      <c r="IE35" s="54"/>
      <c r="IF35" s="54"/>
      <c r="IG35" s="54"/>
      <c r="IH35" s="54"/>
      <c r="II35" s="54"/>
      <c r="IJ35" s="54"/>
      <c r="IK35" s="54"/>
      <c r="IL35" s="54"/>
      <c r="IM35" s="54"/>
      <c r="IN35" s="54"/>
      <c r="IO35" s="54"/>
      <c r="IP35" s="54"/>
      <c r="IQ35" s="54"/>
      <c r="IR35" s="54"/>
      <c r="IS35" s="54"/>
      <c r="IT35" s="54"/>
      <c r="IU35" s="54"/>
      <c r="IV35" s="54"/>
      <c r="IW35" s="54"/>
      <c r="IX35" s="54"/>
      <c r="IY35" s="54"/>
      <c r="IZ35" s="54"/>
      <c r="JA35" s="54"/>
      <c r="JB35" s="54"/>
      <c r="JC35" s="54"/>
      <c r="JD35" s="54"/>
      <c r="JE35" s="54"/>
      <c r="JF35" s="54"/>
      <c r="JG35" s="54"/>
      <c r="JH35" s="54"/>
      <c r="JI35" s="54"/>
      <c r="JJ35" s="54"/>
      <c r="JK35" s="54"/>
      <c r="JL35" s="54"/>
      <c r="JM35" s="54"/>
      <c r="JN35" s="54"/>
      <c r="JO35" s="54"/>
      <c r="JP35" s="54"/>
      <c r="JQ35" s="54"/>
      <c r="JR35" s="54"/>
      <c r="JS35" s="54"/>
      <c r="JT35" s="54"/>
      <c r="JU35" s="54"/>
      <c r="JV35" s="54"/>
      <c r="JW35" s="54"/>
      <c r="JX35" s="54"/>
      <c r="JY35" s="54"/>
      <c r="JZ35" s="54"/>
      <c r="KA35" s="54"/>
      <c r="KB35" s="54"/>
      <c r="KC35" s="54"/>
      <c r="KD35" s="54"/>
      <c r="KE35" s="54"/>
      <c r="KF35" s="54"/>
      <c r="KG35" s="54"/>
      <c r="KH35" s="54"/>
      <c r="KI35" s="54"/>
      <c r="KJ35" s="54"/>
      <c r="KK35" s="54"/>
      <c r="KL35" s="54"/>
      <c r="KM35" s="54"/>
      <c r="KN35" s="54"/>
      <c r="KO35" s="54"/>
      <c r="KP35" s="54"/>
      <c r="KQ35" s="54"/>
      <c r="KR35" s="54"/>
      <c r="KS35" s="54"/>
      <c r="KT35" s="54"/>
      <c r="KU35" s="54"/>
      <c r="KV35" s="54"/>
      <c r="KW35" s="54"/>
      <c r="KX35" s="54"/>
    </row>
    <row r="36" ht="5.25" customHeight="1">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54"/>
      <c r="CE36" s="54"/>
      <c r="CF36" s="54"/>
      <c r="CG36" s="54"/>
      <c r="CH36" s="54"/>
      <c r="CI36" s="54"/>
      <c r="CJ36" s="54"/>
      <c r="CK36" s="54"/>
      <c r="CL36" s="54"/>
      <c r="CM36" s="54"/>
      <c r="CN36" s="54"/>
      <c r="CO36" s="54"/>
      <c r="CP36" s="54"/>
      <c r="CQ36" s="54"/>
      <c r="CR36" s="54"/>
      <c r="CS36" s="54"/>
      <c r="CT36" s="54"/>
      <c r="CU36" s="54"/>
      <c r="CV36" s="54"/>
      <c r="CW36" s="54"/>
      <c r="CX36" s="54"/>
      <c r="CY36" s="54"/>
      <c r="CZ36" s="54"/>
      <c r="DA36" s="54"/>
      <c r="DB36" s="56"/>
      <c r="DC36" s="56">
        <f>DC32</f>
        <v>3</v>
      </c>
      <c r="DD36" s="64"/>
      <c r="DL36" s="83"/>
      <c r="DN36" s="11"/>
      <c r="DO36" s="84"/>
      <c r="DQ36" s="11"/>
      <c r="DR36" s="84"/>
      <c r="DU36" s="54"/>
      <c r="ED36" s="85">
        <f>sum(DL36:DT38)</f>
        <v>0</v>
      </c>
      <c r="EG36" s="11"/>
      <c r="EH36" s="86">
        <f>sum(EU36:FC38)</f>
        <v>0</v>
      </c>
      <c r="EL36" s="54"/>
      <c r="EM36" s="54"/>
      <c r="EN36" s="54"/>
      <c r="EO36" s="54"/>
      <c r="EP36" s="54"/>
      <c r="EQ36" s="54"/>
      <c r="ER36" s="54"/>
      <c r="ES36" s="54"/>
      <c r="ET36" s="54"/>
      <c r="EU36" s="83"/>
      <c r="EW36" s="11"/>
      <c r="EX36" s="87"/>
      <c r="EZ36" s="11"/>
      <c r="FA36" s="84"/>
      <c r="FD36" s="68"/>
      <c r="FE36" s="54"/>
      <c r="FF36" s="54"/>
      <c r="FG36" s="54"/>
      <c r="FH36" s="54"/>
      <c r="FI36" s="54"/>
      <c r="FJ36" s="54"/>
      <c r="FK36" s="69"/>
      <c r="FL36" s="56">
        <f>FL32</f>
        <v>14</v>
      </c>
      <c r="FM36" s="56"/>
      <c r="FN36" s="54"/>
      <c r="FO36" s="54"/>
      <c r="FP36" s="54"/>
      <c r="FQ36" s="54"/>
      <c r="FR36" s="54"/>
      <c r="FS36" s="54"/>
      <c r="FT36" s="54"/>
      <c r="FU36" s="54"/>
      <c r="FV36" s="54"/>
      <c r="FW36" s="54"/>
      <c r="FX36" s="54"/>
      <c r="FY36" s="54"/>
      <c r="FZ36" s="54"/>
      <c r="GA36" s="54"/>
      <c r="GB36" s="54"/>
      <c r="GC36" s="54"/>
      <c r="GD36" s="54"/>
      <c r="GE36" s="54"/>
      <c r="GF36" s="54"/>
      <c r="GG36" s="54"/>
      <c r="GH36" s="54"/>
      <c r="GI36" s="54"/>
      <c r="GJ36" s="54"/>
      <c r="GK36" s="54"/>
      <c r="GL36" s="54"/>
      <c r="GM36" s="54"/>
      <c r="GN36" s="54"/>
      <c r="GO36" s="54"/>
      <c r="GP36" s="54"/>
      <c r="GQ36" s="54"/>
      <c r="GR36" s="54"/>
      <c r="GS36" s="54"/>
      <c r="GT36" s="54"/>
      <c r="GU36" s="54"/>
      <c r="GV36" s="54"/>
      <c r="GW36" s="54"/>
      <c r="GX36" s="54"/>
      <c r="GY36" s="54"/>
      <c r="GZ36" s="54"/>
      <c r="HA36" s="54"/>
      <c r="HB36" s="54"/>
      <c r="HC36" s="54"/>
      <c r="HD36" s="54"/>
      <c r="HE36" s="54"/>
      <c r="HF36" s="54"/>
      <c r="HG36" s="54"/>
      <c r="HH36" s="54"/>
      <c r="HI36" s="54"/>
      <c r="HJ36" s="54"/>
      <c r="HK36" s="54"/>
      <c r="HL36" s="54"/>
      <c r="HM36" s="54"/>
      <c r="HN36" s="54"/>
      <c r="HO36" s="54"/>
      <c r="HP36" s="54"/>
      <c r="HQ36" s="54"/>
      <c r="HR36" s="54"/>
      <c r="HS36" s="54"/>
      <c r="HT36" s="54"/>
      <c r="HU36" s="54"/>
      <c r="HV36" s="54"/>
      <c r="HW36" s="54"/>
      <c r="HX36" s="54"/>
      <c r="HY36" s="54"/>
      <c r="HZ36" s="54"/>
      <c r="IA36" s="54"/>
      <c r="IB36" s="54"/>
      <c r="IC36" s="54"/>
      <c r="ID36" s="54"/>
      <c r="IE36" s="54"/>
      <c r="IF36" s="54"/>
      <c r="IG36" s="54"/>
      <c r="IH36" s="54"/>
      <c r="II36" s="54"/>
      <c r="IJ36" s="54"/>
      <c r="IK36" s="54"/>
      <c r="IL36" s="54"/>
      <c r="IM36" s="54"/>
      <c r="IN36" s="54"/>
      <c r="IO36" s="54"/>
      <c r="IP36" s="54"/>
      <c r="IQ36" s="54"/>
      <c r="IR36" s="54"/>
      <c r="IS36" s="54"/>
      <c r="IT36" s="54"/>
      <c r="IU36" s="54"/>
      <c r="IV36" s="54"/>
      <c r="IW36" s="54"/>
      <c r="IX36" s="54"/>
      <c r="IY36" s="54"/>
      <c r="IZ36" s="54"/>
      <c r="JA36" s="54"/>
      <c r="JB36" s="54"/>
      <c r="JC36" s="54"/>
      <c r="JD36" s="54"/>
      <c r="JE36" s="54"/>
      <c r="JF36" s="54"/>
      <c r="JG36" s="54"/>
      <c r="JH36" s="54"/>
      <c r="JI36" s="54"/>
      <c r="JJ36" s="54"/>
      <c r="JK36" s="54"/>
      <c r="JL36" s="54"/>
      <c r="JM36" s="54"/>
      <c r="JN36" s="54"/>
      <c r="JO36" s="54"/>
      <c r="JP36" s="54"/>
      <c r="JQ36" s="54"/>
      <c r="JR36" s="54"/>
      <c r="JS36" s="54"/>
      <c r="JT36" s="54"/>
      <c r="JU36" s="54"/>
      <c r="JV36" s="54"/>
      <c r="JW36" s="54"/>
      <c r="JX36" s="54"/>
      <c r="JY36" s="54"/>
      <c r="JZ36" s="54"/>
      <c r="KA36" s="54"/>
      <c r="KB36" s="54"/>
      <c r="KC36" s="54"/>
      <c r="KD36" s="54"/>
      <c r="KE36" s="54"/>
      <c r="KF36" s="54"/>
      <c r="KG36" s="54"/>
      <c r="KH36" s="54"/>
      <c r="KI36" s="54"/>
      <c r="KJ36" s="54"/>
      <c r="KK36" s="54"/>
      <c r="KL36" s="54"/>
      <c r="KM36" s="54"/>
      <c r="KN36" s="54"/>
      <c r="KO36" s="54"/>
      <c r="KP36" s="54"/>
      <c r="KQ36" s="54"/>
      <c r="KR36" s="54"/>
      <c r="KS36" s="54"/>
      <c r="KT36" s="54"/>
      <c r="KU36" s="54"/>
      <c r="KV36" s="54"/>
      <c r="KW36" s="54"/>
      <c r="KX36" s="54"/>
    </row>
    <row r="37" ht="5.25" customHeight="1">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c r="CA37" s="54"/>
      <c r="CB37" s="54"/>
      <c r="CC37" s="54"/>
      <c r="CD37" s="54"/>
      <c r="CE37" s="54"/>
      <c r="CF37" s="54"/>
      <c r="CG37" s="54"/>
      <c r="CH37" s="54"/>
      <c r="CI37" s="54"/>
      <c r="CJ37" s="54"/>
      <c r="CK37" s="54"/>
      <c r="CL37" s="54"/>
      <c r="CM37" s="54"/>
      <c r="CN37" s="54"/>
      <c r="CO37" s="54"/>
      <c r="CP37" s="54"/>
      <c r="CQ37" s="54"/>
      <c r="CR37" s="54"/>
      <c r="CS37" s="54"/>
      <c r="CT37" s="54"/>
      <c r="CU37" s="54"/>
      <c r="CV37" s="54"/>
      <c r="CW37" s="54"/>
      <c r="CX37" s="54"/>
      <c r="CY37" s="54"/>
      <c r="CZ37" s="54"/>
      <c r="DA37" s="54"/>
      <c r="DB37" s="56"/>
      <c r="DC37" s="56"/>
      <c r="DD37" s="60"/>
      <c r="DN37" s="11"/>
      <c r="DO37" s="10"/>
      <c r="DQ37" s="11"/>
      <c r="DR37" s="10"/>
      <c r="EG37" s="11"/>
      <c r="EH37" s="10"/>
      <c r="EL37" s="54"/>
      <c r="EM37" s="54"/>
      <c r="EN37" s="54"/>
      <c r="EO37" s="54"/>
      <c r="EP37" s="54"/>
      <c r="EQ37" s="54"/>
      <c r="ER37" s="54"/>
      <c r="ES37" s="54"/>
      <c r="ET37" s="54"/>
      <c r="EW37" s="11"/>
      <c r="EX37" s="10"/>
      <c r="EZ37" s="11"/>
      <c r="FA37" s="10"/>
      <c r="FD37" s="68"/>
      <c r="FE37" s="54"/>
      <c r="FF37" s="54"/>
      <c r="FG37" s="54"/>
      <c r="FH37" s="54"/>
      <c r="FI37" s="54"/>
      <c r="FJ37" s="54"/>
      <c r="FK37" s="69"/>
      <c r="FL37" s="56"/>
      <c r="FM37" s="56"/>
      <c r="FN37" s="54"/>
      <c r="FO37" s="54"/>
      <c r="FP37" s="54"/>
      <c r="FQ37" s="54"/>
      <c r="FR37" s="54"/>
      <c r="FS37" s="54"/>
      <c r="FT37" s="54"/>
      <c r="FU37" s="54"/>
      <c r="FV37" s="54"/>
      <c r="FW37" s="54"/>
      <c r="FX37" s="54"/>
      <c r="FY37" s="54"/>
      <c r="FZ37" s="54"/>
      <c r="GA37" s="54"/>
      <c r="GB37" s="54"/>
      <c r="GC37" s="54"/>
      <c r="GD37" s="54"/>
      <c r="GE37" s="54"/>
      <c r="GF37" s="54"/>
      <c r="GG37" s="54"/>
      <c r="GH37" s="54"/>
      <c r="GI37" s="54"/>
      <c r="GJ37" s="54"/>
      <c r="GK37" s="54"/>
      <c r="GL37" s="54"/>
      <c r="GM37" s="54"/>
      <c r="GN37" s="54"/>
      <c r="GO37" s="54"/>
      <c r="GP37" s="54"/>
      <c r="GQ37" s="54"/>
      <c r="GR37" s="54"/>
      <c r="GS37" s="54"/>
      <c r="GT37" s="54"/>
      <c r="GU37" s="54"/>
      <c r="GV37" s="54"/>
      <c r="GW37" s="54"/>
      <c r="GX37" s="54"/>
      <c r="GY37" s="54"/>
      <c r="GZ37" s="54"/>
      <c r="HA37" s="54"/>
      <c r="HB37" s="54"/>
      <c r="HC37" s="54"/>
      <c r="HD37" s="54"/>
      <c r="HE37" s="54"/>
      <c r="HF37" s="54"/>
      <c r="HG37" s="54"/>
      <c r="HH37" s="54"/>
      <c r="HI37" s="54"/>
      <c r="HJ37" s="54"/>
      <c r="HK37" s="54"/>
      <c r="HL37" s="54"/>
      <c r="HM37" s="54"/>
      <c r="HN37" s="54"/>
      <c r="HO37" s="54"/>
      <c r="HP37" s="54"/>
      <c r="HQ37" s="54"/>
      <c r="HR37" s="54"/>
      <c r="HS37" s="54"/>
      <c r="HT37" s="54"/>
      <c r="HU37" s="54"/>
      <c r="HV37" s="54"/>
      <c r="HW37" s="54"/>
      <c r="HX37" s="54"/>
      <c r="HY37" s="54"/>
      <c r="HZ37" s="54"/>
      <c r="IA37" s="54"/>
      <c r="IB37" s="54"/>
      <c r="IC37" s="54"/>
      <c r="ID37" s="54"/>
      <c r="IE37" s="54"/>
      <c r="IF37" s="54"/>
      <c r="IG37" s="54"/>
      <c r="IH37" s="54"/>
      <c r="II37" s="54"/>
      <c r="IJ37" s="54"/>
      <c r="IK37" s="54"/>
      <c r="IL37" s="54"/>
      <c r="IM37" s="54"/>
      <c r="IN37" s="54"/>
      <c r="IO37" s="54"/>
      <c r="IP37" s="54"/>
      <c r="IQ37" s="54"/>
      <c r="IR37" s="54"/>
      <c r="IS37" s="54"/>
      <c r="IT37" s="54"/>
      <c r="IU37" s="54"/>
      <c r="IV37" s="54"/>
      <c r="IW37" s="54"/>
      <c r="IX37" s="54"/>
      <c r="IY37" s="54"/>
      <c r="IZ37" s="54"/>
      <c r="JA37" s="54"/>
      <c r="JB37" s="54"/>
      <c r="JC37" s="54"/>
      <c r="JD37" s="54"/>
      <c r="JE37" s="54"/>
      <c r="JF37" s="54"/>
      <c r="JG37" s="54"/>
      <c r="JH37" s="54"/>
      <c r="JI37" s="54"/>
      <c r="JJ37" s="54"/>
      <c r="JK37" s="54"/>
      <c r="JL37" s="54"/>
      <c r="JM37" s="54"/>
      <c r="JN37" s="54"/>
      <c r="JO37" s="54"/>
      <c r="JP37" s="54"/>
      <c r="JQ37" s="54"/>
      <c r="JR37" s="54"/>
      <c r="JS37" s="54"/>
      <c r="JT37" s="54"/>
      <c r="JU37" s="54"/>
      <c r="JV37" s="54"/>
      <c r="JW37" s="54"/>
      <c r="JX37" s="54"/>
      <c r="JY37" s="54"/>
      <c r="JZ37" s="54"/>
      <c r="KA37" s="54"/>
      <c r="KB37" s="54"/>
      <c r="KC37" s="54"/>
      <c r="KD37" s="54"/>
      <c r="KE37" s="54"/>
      <c r="KF37" s="54"/>
      <c r="KG37" s="54"/>
      <c r="KH37" s="54"/>
      <c r="KI37" s="54"/>
      <c r="KJ37" s="54"/>
      <c r="KK37" s="54"/>
      <c r="KL37" s="54"/>
      <c r="KM37" s="54"/>
      <c r="KN37" s="54"/>
      <c r="KO37" s="54"/>
      <c r="KP37" s="54"/>
      <c r="KQ37" s="54"/>
      <c r="KR37" s="54"/>
      <c r="KS37" s="54"/>
      <c r="KT37" s="54"/>
      <c r="KU37" s="54"/>
      <c r="KV37" s="54"/>
      <c r="KW37" s="54"/>
      <c r="KX37" s="54"/>
    </row>
    <row r="38" ht="5.25" customHeight="1">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c r="CC38" s="54"/>
      <c r="CD38" s="54"/>
      <c r="CE38" s="54"/>
      <c r="CF38" s="54"/>
      <c r="CG38" s="54"/>
      <c r="CH38" s="54"/>
      <c r="CI38" s="54"/>
      <c r="CJ38" s="54"/>
      <c r="CK38" s="54"/>
      <c r="CL38" s="54"/>
      <c r="CM38" s="54"/>
      <c r="CN38" s="54"/>
      <c r="CO38" s="54"/>
      <c r="CP38" s="54"/>
      <c r="CQ38" s="54"/>
      <c r="CR38" s="54"/>
      <c r="CS38" s="54"/>
      <c r="CT38" s="54"/>
      <c r="CU38" s="54"/>
      <c r="CV38" s="54"/>
      <c r="CW38" s="54"/>
      <c r="CX38" s="54"/>
      <c r="CY38" s="54"/>
      <c r="CZ38" s="54"/>
      <c r="DA38" s="54"/>
      <c r="DB38" s="56"/>
      <c r="DC38" s="56"/>
      <c r="DD38" s="88"/>
      <c r="DE38" s="13"/>
      <c r="DF38" s="13"/>
      <c r="DG38" s="13"/>
      <c r="DH38" s="13"/>
      <c r="DI38" s="13"/>
      <c r="DJ38" s="13"/>
      <c r="DK38" s="13"/>
      <c r="DL38" s="13"/>
      <c r="DM38" s="13"/>
      <c r="DN38" s="14"/>
      <c r="DO38" s="12"/>
      <c r="DP38" s="13"/>
      <c r="DQ38" s="14"/>
      <c r="DR38" s="12"/>
      <c r="DS38" s="13"/>
      <c r="DT38" s="13"/>
      <c r="DU38" s="13"/>
      <c r="DV38" s="13"/>
      <c r="DW38" s="13"/>
      <c r="DX38" s="13"/>
      <c r="DY38" s="13"/>
      <c r="DZ38" s="13"/>
      <c r="EA38" s="13"/>
      <c r="EB38" s="13"/>
      <c r="EC38" s="13"/>
      <c r="ED38" s="13"/>
      <c r="EE38" s="13"/>
      <c r="EF38" s="13"/>
      <c r="EG38" s="14"/>
      <c r="EH38" s="12"/>
      <c r="EI38" s="13"/>
      <c r="EJ38" s="13"/>
      <c r="EK38" s="13"/>
      <c r="EL38" s="89"/>
      <c r="EM38" s="89"/>
      <c r="EN38" s="89"/>
      <c r="EO38" s="89"/>
      <c r="EP38" s="89"/>
      <c r="EQ38" s="89"/>
      <c r="ER38" s="89"/>
      <c r="ES38" s="89"/>
      <c r="ET38" s="89"/>
      <c r="EU38" s="13"/>
      <c r="EV38" s="13"/>
      <c r="EW38" s="14"/>
      <c r="EX38" s="12"/>
      <c r="EY38" s="13"/>
      <c r="EZ38" s="14"/>
      <c r="FA38" s="12"/>
      <c r="FB38" s="13"/>
      <c r="FC38" s="13"/>
      <c r="FD38" s="90"/>
      <c r="FE38" s="89"/>
      <c r="FF38" s="89"/>
      <c r="FG38" s="89"/>
      <c r="FH38" s="89"/>
      <c r="FI38" s="89"/>
      <c r="FJ38" s="89"/>
      <c r="FK38" s="91"/>
      <c r="FL38" s="56"/>
      <c r="FM38" s="56"/>
      <c r="FN38" s="54"/>
      <c r="FO38" s="54"/>
      <c r="FP38" s="54"/>
      <c r="FQ38" s="54"/>
      <c r="FR38" s="54"/>
      <c r="FS38" s="54"/>
      <c r="FT38" s="54"/>
      <c r="FU38" s="54"/>
      <c r="FV38" s="54"/>
      <c r="FW38" s="54"/>
      <c r="FX38" s="54"/>
      <c r="FY38" s="54"/>
      <c r="FZ38" s="54"/>
      <c r="GA38" s="54"/>
      <c r="GB38" s="54"/>
      <c r="GC38" s="54"/>
      <c r="GD38" s="54"/>
      <c r="GE38" s="54"/>
      <c r="GF38" s="54"/>
      <c r="GG38" s="54"/>
      <c r="GH38" s="54"/>
      <c r="GI38" s="54"/>
      <c r="GJ38" s="54"/>
      <c r="GK38" s="54"/>
      <c r="GL38" s="54"/>
      <c r="GM38" s="54"/>
      <c r="GN38" s="54"/>
      <c r="GO38" s="54"/>
      <c r="GP38" s="54"/>
      <c r="GQ38" s="54"/>
      <c r="GR38" s="54"/>
      <c r="GS38" s="54"/>
      <c r="GT38" s="54"/>
      <c r="GU38" s="54"/>
      <c r="GV38" s="54"/>
      <c r="GW38" s="54"/>
      <c r="GX38" s="54"/>
      <c r="GY38" s="54"/>
      <c r="GZ38" s="54"/>
      <c r="HA38" s="54"/>
      <c r="HB38" s="54"/>
      <c r="HC38" s="54"/>
      <c r="HD38" s="54"/>
      <c r="HE38" s="54"/>
      <c r="HF38" s="54"/>
      <c r="HG38" s="54"/>
      <c r="HH38" s="54"/>
      <c r="HI38" s="54"/>
      <c r="HJ38" s="54"/>
      <c r="HK38" s="54"/>
      <c r="HL38" s="54"/>
      <c r="HM38" s="54"/>
      <c r="HN38" s="54"/>
      <c r="HO38" s="54"/>
      <c r="HP38" s="54"/>
      <c r="HQ38" s="54"/>
      <c r="HR38" s="54"/>
      <c r="HS38" s="54"/>
      <c r="HT38" s="54"/>
      <c r="HU38" s="54"/>
      <c r="HV38" s="54"/>
      <c r="HW38" s="54"/>
      <c r="HX38" s="54"/>
      <c r="HY38" s="54"/>
      <c r="HZ38" s="54"/>
      <c r="IA38" s="54"/>
      <c r="IB38" s="54"/>
      <c r="IC38" s="54"/>
      <c r="ID38" s="54"/>
      <c r="IE38" s="54"/>
      <c r="IF38" s="54"/>
      <c r="IG38" s="54"/>
      <c r="IH38" s="54"/>
      <c r="II38" s="54"/>
      <c r="IJ38" s="54"/>
      <c r="IK38" s="54"/>
      <c r="IL38" s="54"/>
      <c r="IM38" s="54"/>
      <c r="IN38" s="54"/>
      <c r="IO38" s="54"/>
      <c r="IP38" s="54"/>
      <c r="IQ38" s="54"/>
      <c r="IR38" s="54"/>
      <c r="IS38" s="54"/>
      <c r="IT38" s="54"/>
      <c r="IU38" s="54"/>
      <c r="IV38" s="54"/>
      <c r="IW38" s="54"/>
      <c r="IX38" s="54"/>
      <c r="IY38" s="54"/>
      <c r="IZ38" s="54"/>
      <c r="JA38" s="54"/>
      <c r="JB38" s="54"/>
      <c r="JC38" s="54"/>
      <c r="JD38" s="54"/>
      <c r="JE38" s="54"/>
      <c r="JF38" s="54"/>
      <c r="JG38" s="54"/>
      <c r="JH38" s="54"/>
      <c r="JI38" s="54"/>
      <c r="JJ38" s="54"/>
      <c r="JK38" s="54"/>
      <c r="JL38" s="54"/>
      <c r="JM38" s="54"/>
      <c r="JN38" s="54"/>
      <c r="JO38" s="54"/>
      <c r="JP38" s="54"/>
      <c r="JQ38" s="54"/>
      <c r="JR38" s="54"/>
      <c r="JS38" s="54"/>
      <c r="JT38" s="54"/>
      <c r="JU38" s="54"/>
      <c r="JV38" s="54"/>
      <c r="JW38" s="54"/>
      <c r="JX38" s="54"/>
      <c r="JY38" s="54"/>
      <c r="JZ38" s="54"/>
      <c r="KA38" s="54"/>
      <c r="KB38" s="54"/>
      <c r="KC38" s="54"/>
      <c r="KD38" s="54"/>
      <c r="KE38" s="54"/>
      <c r="KF38" s="54"/>
      <c r="KG38" s="54"/>
      <c r="KH38" s="54"/>
      <c r="KI38" s="54"/>
      <c r="KJ38" s="54"/>
      <c r="KK38" s="54"/>
      <c r="KL38" s="54"/>
      <c r="KM38" s="54"/>
      <c r="KN38" s="54"/>
      <c r="KO38" s="54"/>
      <c r="KP38" s="54"/>
      <c r="KQ38" s="54"/>
      <c r="KR38" s="54"/>
      <c r="KS38" s="54"/>
      <c r="KT38" s="54"/>
      <c r="KU38" s="54"/>
      <c r="KV38" s="54"/>
      <c r="KW38" s="54"/>
      <c r="KX38" s="54"/>
    </row>
    <row r="39" ht="5.25" customHeight="1">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c r="CC39" s="54"/>
      <c r="CD39" s="54"/>
      <c r="CE39" s="54"/>
      <c r="CF39" s="54"/>
      <c r="CG39" s="54"/>
      <c r="CH39" s="54"/>
      <c r="CI39" s="54"/>
      <c r="CJ39" s="54"/>
      <c r="CK39" s="54"/>
      <c r="CL39" s="54"/>
      <c r="CM39" s="54"/>
      <c r="CN39" s="54"/>
      <c r="CO39" s="54"/>
      <c r="CP39" s="54"/>
      <c r="CQ39" s="54"/>
      <c r="CR39" s="54"/>
      <c r="CS39" s="54"/>
      <c r="CT39" s="54"/>
      <c r="CU39" s="54"/>
      <c r="CV39" s="54"/>
      <c r="CW39" s="54"/>
      <c r="CX39" s="54"/>
      <c r="CY39" s="54"/>
      <c r="CZ39" s="54"/>
      <c r="DA39" s="54"/>
      <c r="DB39" s="56"/>
      <c r="DC39" s="56">
        <f>'Choose matchups (Contender)'!Q8</f>
        <v>4</v>
      </c>
      <c r="DD39" s="92" t="str">
        <f t="array" ref="DD39">xlookup(DC39,qualdata!$M$2:$M$17,qualdata!$O$2:$O$17,"")</f>
        <v/>
      </c>
      <c r="DE39" s="8"/>
      <c r="DF39" s="8"/>
      <c r="DG39" s="8"/>
      <c r="DH39" s="93" t="str">
        <f t="array" ref="DH39">xlookup(DC39,qualdata!$M$2:$M$17,qualdata!$N$2:$N$17,"")</f>
        <v>Team 4 (Group 1)</v>
      </c>
      <c r="DI39" s="8"/>
      <c r="DJ39" s="8"/>
      <c r="DK39" s="8"/>
      <c r="DL39" s="8"/>
      <c r="DM39" s="8"/>
      <c r="DN39" s="8"/>
      <c r="DO39" s="8"/>
      <c r="DP39" s="8"/>
      <c r="DQ39" s="8"/>
      <c r="DR39" s="8"/>
      <c r="DS39" s="8"/>
      <c r="DT39" s="8"/>
      <c r="DU39" s="8"/>
      <c r="DV39" s="8"/>
      <c r="DW39" s="8"/>
      <c r="DX39" s="8"/>
      <c r="DY39" s="8"/>
      <c r="DZ39" s="8"/>
      <c r="EA39" s="8"/>
      <c r="EB39" s="8"/>
      <c r="EC39" s="8"/>
      <c r="ED39" s="94"/>
      <c r="EE39" s="8"/>
      <c r="EF39" s="8"/>
      <c r="EG39" s="9"/>
      <c r="EH39" s="95"/>
      <c r="EI39" s="8"/>
      <c r="EJ39" s="8"/>
      <c r="EK39" s="8"/>
      <c r="EL39" s="96" t="str">
        <f t="array" ref="EL39">xlookup(FL39,qualdata!$M$2:$M$17,qualdata!$N$2:$N$17,"")</f>
        <v>Team 13 (Group 1)</v>
      </c>
      <c r="EM39" s="8"/>
      <c r="EN39" s="8"/>
      <c r="EO39" s="8"/>
      <c r="EP39" s="8"/>
      <c r="EQ39" s="8"/>
      <c r="ER39" s="8"/>
      <c r="ES39" s="8"/>
      <c r="ET39" s="8"/>
      <c r="EU39" s="8"/>
      <c r="EV39" s="8"/>
      <c r="EW39" s="8"/>
      <c r="EX39" s="8"/>
      <c r="EY39" s="8"/>
      <c r="EZ39" s="8"/>
      <c r="FA39" s="8"/>
      <c r="FB39" s="8"/>
      <c r="FC39" s="8"/>
      <c r="FD39" s="8"/>
      <c r="FE39" s="8"/>
      <c r="FF39" s="8"/>
      <c r="FG39" s="8"/>
      <c r="FH39" s="97" t="str">
        <f t="array" ref="FH39">xlookup(FL39,qualdata!$M$2:$M$17,qualdata!$O$2:$O$17,"")</f>
        <v/>
      </c>
      <c r="FI39" s="8"/>
      <c r="FJ39" s="8"/>
      <c r="FK39" s="98"/>
      <c r="FL39" s="77">
        <f t="array" ref="FL39">xlookup(DC39,qualdata!$M$2:$M$17,qualdata!$P$2:$P$17,"")</f>
        <v>13</v>
      </c>
      <c r="FM39" s="56"/>
      <c r="FN39" s="54"/>
      <c r="FO39" s="54"/>
      <c r="FP39" s="54"/>
      <c r="FQ39" s="54"/>
      <c r="FR39" s="54"/>
      <c r="FS39" s="54"/>
      <c r="FT39" s="54"/>
      <c r="FU39" s="54"/>
      <c r="FV39" s="54"/>
      <c r="FW39" s="54"/>
      <c r="FX39" s="54"/>
      <c r="FY39" s="54"/>
      <c r="FZ39" s="54"/>
      <c r="GA39" s="54"/>
      <c r="GB39" s="54"/>
      <c r="GC39" s="54"/>
      <c r="GD39" s="54"/>
      <c r="GE39" s="54"/>
      <c r="GF39" s="54"/>
      <c r="GG39" s="54"/>
      <c r="GH39" s="54"/>
      <c r="GI39" s="54"/>
      <c r="GJ39" s="54"/>
      <c r="GK39" s="54"/>
      <c r="GL39" s="54"/>
      <c r="GM39" s="54"/>
      <c r="GN39" s="54"/>
      <c r="GO39" s="54"/>
      <c r="GP39" s="54"/>
      <c r="GQ39" s="54"/>
      <c r="GR39" s="54"/>
      <c r="GS39" s="54"/>
      <c r="GT39" s="54"/>
      <c r="GU39" s="54"/>
      <c r="GV39" s="54"/>
      <c r="GW39" s="54"/>
      <c r="GX39" s="54"/>
      <c r="GY39" s="54"/>
      <c r="GZ39" s="54"/>
      <c r="HA39" s="54"/>
      <c r="HB39" s="54"/>
      <c r="HC39" s="54"/>
      <c r="HD39" s="54"/>
      <c r="HE39" s="54"/>
      <c r="HF39" s="54"/>
      <c r="HG39" s="54"/>
      <c r="HH39" s="54"/>
      <c r="HI39" s="54"/>
      <c r="HJ39" s="54"/>
      <c r="HK39" s="54"/>
      <c r="HL39" s="54"/>
      <c r="HM39" s="54"/>
      <c r="HN39" s="54"/>
      <c r="HO39" s="54"/>
      <c r="HP39" s="54"/>
      <c r="HQ39" s="54"/>
      <c r="HR39" s="54"/>
      <c r="HS39" s="54"/>
      <c r="HT39" s="54"/>
      <c r="HU39" s="54"/>
      <c r="HV39" s="54"/>
      <c r="HW39" s="54"/>
      <c r="HX39" s="54"/>
      <c r="HY39" s="54"/>
      <c r="HZ39" s="54"/>
      <c r="IA39" s="54"/>
      <c r="IB39" s="54"/>
      <c r="IC39" s="54"/>
      <c r="ID39" s="54"/>
      <c r="IE39" s="54"/>
      <c r="IF39" s="54"/>
      <c r="IG39" s="54"/>
      <c r="IH39" s="54"/>
      <c r="II39" s="54"/>
      <c r="IJ39" s="54"/>
      <c r="IK39" s="54"/>
      <c r="IL39" s="54"/>
      <c r="IM39" s="54"/>
      <c r="IN39" s="54"/>
      <c r="IO39" s="54"/>
      <c r="IP39" s="54"/>
      <c r="IQ39" s="54"/>
      <c r="IR39" s="54"/>
      <c r="IS39" s="54"/>
      <c r="IT39" s="54"/>
      <c r="IU39" s="54"/>
      <c r="IV39" s="54"/>
      <c r="IW39" s="54"/>
      <c r="IX39" s="54"/>
      <c r="IY39" s="54"/>
      <c r="IZ39" s="54"/>
      <c r="JA39" s="54"/>
      <c r="JB39" s="54"/>
      <c r="JC39" s="54"/>
      <c r="JD39" s="54"/>
      <c r="JE39" s="54"/>
      <c r="JF39" s="54"/>
      <c r="JG39" s="54"/>
      <c r="JH39" s="54"/>
      <c r="JI39" s="54"/>
      <c r="JJ39" s="54"/>
      <c r="JK39" s="54"/>
      <c r="JL39" s="54"/>
      <c r="JM39" s="54"/>
      <c r="JN39" s="54"/>
      <c r="JO39" s="54"/>
      <c r="JP39" s="54"/>
      <c r="JQ39" s="54"/>
      <c r="JR39" s="54"/>
      <c r="JS39" s="54"/>
      <c r="JT39" s="54"/>
      <c r="JU39" s="54"/>
      <c r="JV39" s="54"/>
      <c r="JW39" s="54"/>
      <c r="JX39" s="54"/>
      <c r="JY39" s="54"/>
      <c r="JZ39" s="54"/>
      <c r="KA39" s="54"/>
      <c r="KB39" s="54"/>
      <c r="KC39" s="54"/>
      <c r="KD39" s="54"/>
      <c r="KE39" s="54"/>
      <c r="KF39" s="54"/>
      <c r="KG39" s="54"/>
      <c r="KH39" s="54"/>
      <c r="KI39" s="54"/>
      <c r="KJ39" s="54"/>
      <c r="KK39" s="54"/>
      <c r="KL39" s="54"/>
      <c r="KM39" s="54"/>
      <c r="KN39" s="54"/>
      <c r="KO39" s="54"/>
      <c r="KP39" s="54"/>
      <c r="KQ39" s="54"/>
      <c r="KR39" s="54"/>
      <c r="KS39" s="54"/>
      <c r="KT39" s="54"/>
      <c r="KU39" s="54"/>
      <c r="KV39" s="54"/>
      <c r="KW39" s="54"/>
      <c r="KX39" s="54"/>
    </row>
    <row r="40" ht="5.25" customHeight="1">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c r="CA40" s="54"/>
      <c r="CB40" s="54"/>
      <c r="CC40" s="54"/>
      <c r="CD40" s="54"/>
      <c r="CE40" s="54"/>
      <c r="CF40" s="54"/>
      <c r="CG40" s="54"/>
      <c r="CH40" s="54"/>
      <c r="CI40" s="54"/>
      <c r="CJ40" s="54"/>
      <c r="CK40" s="54"/>
      <c r="CL40" s="54"/>
      <c r="CM40" s="54"/>
      <c r="CN40" s="54"/>
      <c r="CO40" s="54"/>
      <c r="CP40" s="54"/>
      <c r="CQ40" s="54"/>
      <c r="CR40" s="54"/>
      <c r="CS40" s="54"/>
      <c r="CT40" s="54"/>
      <c r="CU40" s="54"/>
      <c r="CV40" s="54"/>
      <c r="CW40" s="54"/>
      <c r="CX40" s="54"/>
      <c r="CY40" s="54"/>
      <c r="CZ40" s="54"/>
      <c r="DA40" s="54"/>
      <c r="DB40" s="56"/>
      <c r="DC40" s="56"/>
      <c r="DD40" s="60"/>
      <c r="EG40" s="11"/>
      <c r="EH40" s="10"/>
      <c r="FK40" s="61"/>
      <c r="FL40" s="56"/>
      <c r="FM40" s="56"/>
      <c r="FN40" s="54"/>
      <c r="FO40" s="54"/>
      <c r="FP40" s="54"/>
      <c r="FQ40" s="54"/>
      <c r="FR40" s="54"/>
      <c r="FS40" s="54"/>
      <c r="FT40" s="54"/>
      <c r="FU40" s="54"/>
      <c r="FV40" s="54"/>
      <c r="FW40" s="54"/>
      <c r="FX40" s="54"/>
      <c r="FY40" s="54"/>
      <c r="FZ40" s="54"/>
      <c r="GA40" s="54"/>
      <c r="GB40" s="54"/>
      <c r="GC40" s="54"/>
      <c r="GD40" s="54"/>
      <c r="GE40" s="54"/>
      <c r="GF40" s="54"/>
      <c r="GG40" s="54"/>
      <c r="GH40" s="54"/>
      <c r="GI40" s="54"/>
      <c r="GJ40" s="54"/>
      <c r="GK40" s="54"/>
      <c r="GL40" s="54"/>
      <c r="GM40" s="54"/>
      <c r="GN40" s="54"/>
      <c r="GO40" s="54"/>
      <c r="GP40" s="54"/>
      <c r="GQ40" s="54"/>
      <c r="GR40" s="54"/>
      <c r="GS40" s="54"/>
      <c r="GT40" s="54"/>
      <c r="GU40" s="54"/>
      <c r="GV40" s="54"/>
      <c r="GW40" s="54"/>
      <c r="GX40" s="54"/>
      <c r="GY40" s="54"/>
      <c r="GZ40" s="54"/>
      <c r="HA40" s="54"/>
      <c r="HB40" s="54"/>
      <c r="HC40" s="54"/>
      <c r="HD40" s="54"/>
      <c r="HE40" s="54"/>
      <c r="HF40" s="54"/>
      <c r="HG40" s="54"/>
      <c r="HH40" s="54"/>
      <c r="HI40" s="54"/>
      <c r="HJ40" s="54"/>
      <c r="HK40" s="54"/>
      <c r="HL40" s="54"/>
      <c r="HM40" s="54"/>
      <c r="HN40" s="54"/>
      <c r="HO40" s="54"/>
      <c r="HP40" s="54"/>
      <c r="HQ40" s="54"/>
      <c r="HR40" s="54"/>
      <c r="HS40" s="54"/>
      <c r="HT40" s="54"/>
      <c r="HU40" s="54"/>
      <c r="HV40" s="54"/>
      <c r="HW40" s="54"/>
      <c r="HX40" s="54"/>
      <c r="HY40" s="54"/>
      <c r="HZ40" s="54"/>
      <c r="IA40" s="54"/>
      <c r="IB40" s="54"/>
      <c r="IC40" s="54"/>
      <c r="ID40" s="54"/>
      <c r="IE40" s="54"/>
      <c r="IF40" s="54"/>
      <c r="IG40" s="54"/>
      <c r="IH40" s="54"/>
      <c r="II40" s="54"/>
      <c r="IJ40" s="54"/>
      <c r="IK40" s="54"/>
      <c r="IL40" s="54"/>
      <c r="IM40" s="54"/>
      <c r="IN40" s="54"/>
      <c r="IO40" s="54"/>
      <c r="IP40" s="54"/>
      <c r="IQ40" s="54"/>
      <c r="IR40" s="54"/>
      <c r="IS40" s="54"/>
      <c r="IT40" s="54"/>
      <c r="IU40" s="54"/>
      <c r="IV40" s="54"/>
      <c r="IW40" s="54"/>
      <c r="IX40" s="54"/>
      <c r="IY40" s="54"/>
      <c r="IZ40" s="54"/>
      <c r="JA40" s="54"/>
      <c r="JB40" s="54"/>
      <c r="JC40" s="54"/>
      <c r="JD40" s="54"/>
      <c r="JE40" s="54"/>
      <c r="JF40" s="54"/>
      <c r="JG40" s="54"/>
      <c r="JH40" s="54"/>
      <c r="JI40" s="54"/>
      <c r="JJ40" s="54"/>
      <c r="JK40" s="54"/>
      <c r="JL40" s="54"/>
      <c r="JM40" s="54"/>
      <c r="JN40" s="54"/>
      <c r="JO40" s="54"/>
      <c r="JP40" s="54"/>
      <c r="JQ40" s="54"/>
      <c r="JR40" s="54"/>
      <c r="JS40" s="54"/>
      <c r="JT40" s="54"/>
      <c r="JU40" s="54"/>
      <c r="JV40" s="54"/>
      <c r="JW40" s="54"/>
      <c r="JX40" s="54"/>
      <c r="JY40" s="54"/>
      <c r="JZ40" s="54"/>
      <c r="KA40" s="54"/>
      <c r="KB40" s="54"/>
      <c r="KC40" s="54"/>
      <c r="KD40" s="54"/>
      <c r="KE40" s="54"/>
      <c r="KF40" s="54"/>
      <c r="KG40" s="54"/>
      <c r="KH40" s="54"/>
      <c r="KI40" s="54"/>
      <c r="KJ40" s="54"/>
      <c r="KK40" s="54"/>
      <c r="KL40" s="54"/>
      <c r="KM40" s="54"/>
      <c r="KN40" s="54"/>
      <c r="KO40" s="54"/>
      <c r="KP40" s="54"/>
      <c r="KQ40" s="54"/>
      <c r="KR40" s="54"/>
      <c r="KS40" s="54"/>
      <c r="KT40" s="54"/>
      <c r="KU40" s="54"/>
      <c r="KV40" s="54"/>
      <c r="KW40" s="54"/>
      <c r="KX40" s="54"/>
    </row>
    <row r="41" ht="5.25" customHeight="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6"/>
      <c r="DC41" s="56"/>
      <c r="DD41" s="60"/>
      <c r="EG41" s="11"/>
      <c r="EH41" s="10"/>
      <c r="FK41" s="61"/>
      <c r="FL41" s="56"/>
      <c r="FM41" s="56"/>
      <c r="FN41" s="54"/>
      <c r="FO41" s="54"/>
      <c r="FP41" s="54"/>
      <c r="FQ41" s="54"/>
      <c r="FR41" s="54"/>
      <c r="FS41" s="54"/>
      <c r="FT41" s="54"/>
      <c r="FU41" s="54"/>
      <c r="FV41" s="54"/>
      <c r="FW41" s="54"/>
      <c r="FX41" s="54"/>
      <c r="FY41" s="54"/>
      <c r="FZ41" s="54"/>
      <c r="GA41" s="54"/>
      <c r="GB41" s="54"/>
      <c r="GC41" s="54"/>
      <c r="GD41" s="54"/>
      <c r="GE41" s="54"/>
      <c r="GF41" s="54"/>
      <c r="GG41" s="54"/>
      <c r="GH41" s="54"/>
      <c r="GI41" s="54"/>
      <c r="GJ41" s="54"/>
      <c r="GK41" s="54"/>
      <c r="GL41" s="54"/>
      <c r="GM41" s="54"/>
      <c r="GN41" s="54"/>
      <c r="GO41" s="54"/>
      <c r="GP41" s="54"/>
      <c r="GQ41" s="54"/>
      <c r="GR41" s="54"/>
      <c r="GS41" s="54"/>
      <c r="GT41" s="54"/>
      <c r="GU41" s="54"/>
      <c r="GV41" s="54"/>
      <c r="GW41" s="54"/>
      <c r="GX41" s="54"/>
      <c r="GY41" s="54"/>
      <c r="GZ41" s="54"/>
      <c r="HA41" s="54"/>
      <c r="HB41" s="54"/>
      <c r="HC41" s="54"/>
      <c r="HD41" s="54"/>
      <c r="HE41" s="54"/>
      <c r="HF41" s="54"/>
      <c r="HG41" s="54"/>
      <c r="HH41" s="54"/>
      <c r="HI41" s="54"/>
      <c r="HJ41" s="54"/>
      <c r="HK41" s="54"/>
      <c r="HL41" s="54"/>
      <c r="HM41" s="54"/>
      <c r="HN41" s="54"/>
      <c r="HO41" s="54"/>
      <c r="HP41" s="54"/>
      <c r="HQ41" s="54"/>
      <c r="HR41" s="54"/>
      <c r="HS41" s="54"/>
      <c r="HT41" s="54"/>
      <c r="HU41" s="54"/>
      <c r="HV41" s="54"/>
      <c r="HW41" s="54"/>
      <c r="HX41" s="54"/>
      <c r="HY41" s="54"/>
      <c r="HZ41" s="54"/>
      <c r="IA41" s="54"/>
      <c r="IB41" s="54"/>
      <c r="IC41" s="54"/>
      <c r="ID41" s="54"/>
      <c r="IE41" s="54"/>
      <c r="IF41" s="54"/>
      <c r="IG41" s="54"/>
      <c r="IH41" s="54"/>
      <c r="II41" s="54"/>
      <c r="IJ41" s="54"/>
      <c r="IK41" s="54"/>
      <c r="IL41" s="54"/>
      <c r="IM41" s="54"/>
      <c r="IN41" s="54"/>
      <c r="IO41" s="54"/>
      <c r="IP41" s="54"/>
      <c r="IQ41" s="54"/>
      <c r="IR41" s="54"/>
      <c r="IS41" s="54"/>
      <c r="IT41" s="54"/>
      <c r="IU41" s="54"/>
      <c r="IV41" s="54"/>
      <c r="IW41" s="54"/>
      <c r="IX41" s="54"/>
      <c r="IY41" s="54"/>
      <c r="IZ41" s="54"/>
      <c r="JA41" s="54"/>
      <c r="JB41" s="54"/>
      <c r="JC41" s="54"/>
      <c r="JD41" s="54"/>
      <c r="JE41" s="54"/>
      <c r="JF41" s="54"/>
      <c r="JG41" s="54"/>
      <c r="JH41" s="54"/>
      <c r="JI41" s="54"/>
      <c r="JJ41" s="54"/>
      <c r="JK41" s="54"/>
      <c r="JL41" s="54"/>
      <c r="JM41" s="54"/>
      <c r="JN41" s="54"/>
      <c r="JO41" s="54"/>
      <c r="JP41" s="54"/>
      <c r="JQ41" s="54"/>
      <c r="JR41" s="54"/>
      <c r="JS41" s="54"/>
      <c r="JT41" s="54"/>
      <c r="JU41" s="54"/>
      <c r="JV41" s="54"/>
      <c r="JW41" s="54"/>
      <c r="JX41" s="54"/>
      <c r="JY41" s="54"/>
      <c r="JZ41" s="54"/>
      <c r="KA41" s="54"/>
      <c r="KB41" s="54"/>
      <c r="KC41" s="54"/>
      <c r="KD41" s="54"/>
      <c r="KE41" s="54"/>
      <c r="KF41" s="54"/>
      <c r="KG41" s="54"/>
      <c r="KH41" s="54"/>
      <c r="KI41" s="54"/>
      <c r="KJ41" s="54"/>
      <c r="KK41" s="54"/>
      <c r="KL41" s="54"/>
      <c r="KM41" s="54"/>
      <c r="KN41" s="54"/>
      <c r="KO41" s="54"/>
      <c r="KP41" s="54"/>
      <c r="KQ41" s="54"/>
      <c r="KR41" s="54"/>
      <c r="KS41" s="54"/>
      <c r="KT41" s="54"/>
      <c r="KU41" s="54"/>
      <c r="KV41" s="54"/>
      <c r="KW41" s="54"/>
      <c r="KX41" s="54"/>
    </row>
    <row r="42" ht="5.25" customHeight="1">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54"/>
      <c r="CE42" s="54"/>
      <c r="CF42" s="54"/>
      <c r="CG42" s="54"/>
      <c r="CH42" s="54"/>
      <c r="CI42" s="54"/>
      <c r="CJ42" s="54"/>
      <c r="CK42" s="54"/>
      <c r="CL42" s="54"/>
      <c r="CM42" s="54"/>
      <c r="CN42" s="54"/>
      <c r="CO42" s="54"/>
      <c r="CP42" s="54"/>
      <c r="CQ42" s="54"/>
      <c r="CR42" s="54"/>
      <c r="CS42" s="54"/>
      <c r="CT42" s="54"/>
      <c r="CU42" s="54"/>
      <c r="CV42" s="54"/>
      <c r="CW42" s="54"/>
      <c r="CX42" s="54"/>
      <c r="CY42" s="54"/>
      <c r="CZ42" s="54"/>
      <c r="DA42" s="54"/>
      <c r="DB42" s="56"/>
      <c r="DC42" s="56"/>
      <c r="DD42" s="60"/>
      <c r="EG42" s="11"/>
      <c r="EH42" s="10"/>
      <c r="FK42" s="61"/>
      <c r="FL42" s="56"/>
      <c r="FM42" s="56"/>
      <c r="FN42" s="54"/>
      <c r="FO42" s="54"/>
      <c r="FP42" s="54"/>
      <c r="FQ42" s="54"/>
      <c r="FR42" s="54"/>
      <c r="FS42" s="54"/>
      <c r="FT42" s="54"/>
      <c r="FU42" s="54"/>
      <c r="FV42" s="54"/>
      <c r="FW42" s="54"/>
      <c r="FX42" s="54"/>
      <c r="FY42" s="54"/>
      <c r="FZ42" s="54"/>
      <c r="GA42" s="54"/>
      <c r="GB42" s="54"/>
      <c r="GC42" s="54"/>
      <c r="GD42" s="54"/>
      <c r="GE42" s="54"/>
      <c r="GF42" s="54"/>
      <c r="GG42" s="54"/>
      <c r="GH42" s="54"/>
      <c r="GI42" s="54"/>
      <c r="GJ42" s="54"/>
      <c r="GK42" s="54"/>
      <c r="GL42" s="54"/>
      <c r="GM42" s="54"/>
      <c r="GN42" s="54"/>
      <c r="GO42" s="54"/>
      <c r="GP42" s="54"/>
      <c r="GQ42" s="54"/>
      <c r="GR42" s="54"/>
      <c r="GS42" s="54"/>
      <c r="GT42" s="54"/>
      <c r="GU42" s="54"/>
      <c r="GV42" s="54"/>
      <c r="GW42" s="54"/>
      <c r="GX42" s="54"/>
      <c r="GY42" s="54"/>
      <c r="GZ42" s="54"/>
      <c r="HA42" s="54"/>
      <c r="HB42" s="54"/>
      <c r="HC42" s="54"/>
      <c r="HD42" s="54"/>
      <c r="HE42" s="54"/>
      <c r="HF42" s="54"/>
      <c r="HG42" s="54"/>
      <c r="HH42" s="54"/>
      <c r="HI42" s="54"/>
      <c r="HJ42" s="54"/>
      <c r="HK42" s="54"/>
      <c r="HL42" s="54"/>
      <c r="HM42" s="54"/>
      <c r="HN42" s="54"/>
      <c r="HO42" s="54"/>
      <c r="HP42" s="54"/>
      <c r="HQ42" s="54"/>
      <c r="HR42" s="54"/>
      <c r="HS42" s="54"/>
      <c r="HT42" s="54"/>
      <c r="HU42" s="54"/>
      <c r="HV42" s="54"/>
      <c r="HW42" s="54"/>
      <c r="HX42" s="54"/>
      <c r="HY42" s="54"/>
      <c r="HZ42" s="54"/>
      <c r="IA42" s="54"/>
      <c r="IB42" s="54"/>
      <c r="IC42" s="54"/>
      <c r="ID42" s="54"/>
      <c r="IE42" s="54"/>
      <c r="IF42" s="54"/>
      <c r="IG42" s="54"/>
      <c r="IH42" s="54"/>
      <c r="II42" s="54"/>
      <c r="IJ42" s="54"/>
      <c r="IK42" s="54"/>
      <c r="IL42" s="54"/>
      <c r="IM42" s="54"/>
      <c r="IN42" s="54"/>
      <c r="IO42" s="54"/>
      <c r="IP42" s="54"/>
      <c r="IQ42" s="54"/>
      <c r="IR42" s="54"/>
      <c r="IS42" s="54"/>
      <c r="IT42" s="54"/>
      <c r="IU42" s="54"/>
      <c r="IV42" s="54"/>
      <c r="IW42" s="54"/>
      <c r="IX42" s="54"/>
      <c r="IY42" s="54"/>
      <c r="IZ42" s="54"/>
      <c r="JA42" s="54"/>
      <c r="JB42" s="54"/>
      <c r="JC42" s="54"/>
      <c r="JD42" s="54"/>
      <c r="JE42" s="54"/>
      <c r="JF42" s="54"/>
      <c r="JG42" s="54"/>
      <c r="JH42" s="54"/>
      <c r="JI42" s="54"/>
      <c r="JJ42" s="54"/>
      <c r="JK42" s="54"/>
      <c r="JL42" s="54"/>
      <c r="JM42" s="54"/>
      <c r="JN42" s="54"/>
      <c r="JO42" s="54"/>
      <c r="JP42" s="54"/>
      <c r="JQ42" s="54"/>
      <c r="JR42" s="54"/>
      <c r="JS42" s="54"/>
      <c r="JT42" s="54"/>
      <c r="JU42" s="54"/>
      <c r="JV42" s="54"/>
      <c r="JW42" s="54"/>
      <c r="JX42" s="54"/>
      <c r="JY42" s="54"/>
      <c r="JZ42" s="54"/>
      <c r="KA42" s="54"/>
      <c r="KB42" s="54"/>
      <c r="KC42" s="54"/>
      <c r="KD42" s="54"/>
      <c r="KE42" s="54"/>
      <c r="KF42" s="54"/>
      <c r="KG42" s="54"/>
      <c r="KH42" s="54"/>
      <c r="KI42" s="54"/>
      <c r="KJ42" s="54"/>
      <c r="KK42" s="54"/>
      <c r="KL42" s="54"/>
      <c r="KM42" s="54"/>
      <c r="KN42" s="54"/>
      <c r="KO42" s="54"/>
      <c r="KP42" s="54"/>
      <c r="KQ42" s="54"/>
      <c r="KR42" s="54"/>
      <c r="KS42" s="54"/>
      <c r="KT42" s="54"/>
      <c r="KU42" s="54"/>
      <c r="KV42" s="54"/>
      <c r="KW42" s="54"/>
      <c r="KX42" s="54"/>
    </row>
    <row r="43" ht="5.25" customHeight="1">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54"/>
      <c r="CE43" s="54"/>
      <c r="CF43" s="54"/>
      <c r="CG43" s="54"/>
      <c r="CH43" s="54"/>
      <c r="CI43" s="54"/>
      <c r="CJ43" s="54"/>
      <c r="CK43" s="54"/>
      <c r="CL43" s="54"/>
      <c r="CM43" s="54"/>
      <c r="CN43" s="54"/>
      <c r="CO43" s="54"/>
      <c r="CP43" s="54"/>
      <c r="CQ43" s="54"/>
      <c r="CR43" s="54"/>
      <c r="CS43" s="54"/>
      <c r="CT43" s="54"/>
      <c r="CU43" s="54"/>
      <c r="CV43" s="54"/>
      <c r="CW43" s="54"/>
      <c r="CX43" s="54"/>
      <c r="CY43" s="54"/>
      <c r="CZ43" s="54"/>
      <c r="DA43" s="54"/>
      <c r="DB43" s="56"/>
      <c r="DC43" s="56">
        <f>DC39</f>
        <v>4</v>
      </c>
      <c r="DD43" s="64"/>
      <c r="DL43" s="83"/>
      <c r="DN43" s="11"/>
      <c r="DO43" s="84"/>
      <c r="DQ43" s="11"/>
      <c r="DR43" s="84"/>
      <c r="DU43" s="54"/>
      <c r="ED43" s="85">
        <f>sum(DL43:DT45)</f>
        <v>0</v>
      </c>
      <c r="EG43" s="11"/>
      <c r="EH43" s="86">
        <f>sum(EU43:FC45)</f>
        <v>0</v>
      </c>
      <c r="EL43" s="54"/>
      <c r="EM43" s="54"/>
      <c r="EN43" s="54"/>
      <c r="EO43" s="54"/>
      <c r="EP43" s="54"/>
      <c r="EQ43" s="54"/>
      <c r="ER43" s="54"/>
      <c r="ES43" s="54"/>
      <c r="ET43" s="54"/>
      <c r="EU43" s="99"/>
      <c r="EW43" s="11"/>
      <c r="EX43" s="84"/>
      <c r="EZ43" s="11"/>
      <c r="FA43" s="87"/>
      <c r="FD43" s="68"/>
      <c r="FE43" s="54"/>
      <c r="FF43" s="54"/>
      <c r="FG43" s="54"/>
      <c r="FH43" s="54"/>
      <c r="FI43" s="54"/>
      <c r="FJ43" s="54"/>
      <c r="FK43" s="69"/>
      <c r="FL43" s="56">
        <f>FL39</f>
        <v>13</v>
      </c>
      <c r="FM43" s="56"/>
      <c r="FN43" s="54"/>
      <c r="FO43" s="54"/>
      <c r="FP43" s="54"/>
      <c r="FQ43" s="54"/>
      <c r="FR43" s="54"/>
      <c r="FS43" s="54"/>
      <c r="FT43" s="54"/>
      <c r="FU43" s="54"/>
      <c r="FV43" s="54"/>
      <c r="FW43" s="54"/>
      <c r="FX43" s="54"/>
      <c r="FY43" s="54"/>
      <c r="FZ43" s="54"/>
      <c r="GA43" s="54"/>
      <c r="GB43" s="54"/>
      <c r="GC43" s="54"/>
      <c r="GD43" s="54"/>
      <c r="GE43" s="54"/>
      <c r="GF43" s="54"/>
      <c r="GG43" s="54"/>
      <c r="GH43" s="54"/>
      <c r="GI43" s="54"/>
      <c r="GJ43" s="54"/>
      <c r="GK43" s="54"/>
      <c r="GL43" s="54"/>
      <c r="GM43" s="54"/>
      <c r="GN43" s="54"/>
      <c r="GO43" s="54"/>
      <c r="GP43" s="54"/>
      <c r="GQ43" s="54"/>
      <c r="GR43" s="54"/>
      <c r="GS43" s="54"/>
      <c r="GT43" s="54"/>
      <c r="GU43" s="54"/>
      <c r="GV43" s="54"/>
      <c r="GW43" s="54"/>
      <c r="GX43" s="54"/>
      <c r="GY43" s="54"/>
      <c r="GZ43" s="54"/>
      <c r="HA43" s="54"/>
      <c r="HB43" s="54"/>
      <c r="HC43" s="54"/>
      <c r="HD43" s="54"/>
      <c r="HE43" s="54"/>
      <c r="HF43" s="54"/>
      <c r="HG43" s="54"/>
      <c r="HH43" s="54"/>
      <c r="HI43" s="54"/>
      <c r="HJ43" s="54"/>
      <c r="HK43" s="54"/>
      <c r="HL43" s="54"/>
      <c r="HM43" s="54"/>
      <c r="HN43" s="54"/>
      <c r="HO43" s="54"/>
      <c r="HP43" s="54"/>
      <c r="HQ43" s="54"/>
      <c r="HR43" s="54"/>
      <c r="HS43" s="54"/>
      <c r="HT43" s="54"/>
      <c r="HU43" s="54"/>
      <c r="HV43" s="54"/>
      <c r="HW43" s="54"/>
      <c r="HX43" s="54"/>
      <c r="HY43" s="54"/>
      <c r="HZ43" s="54"/>
      <c r="IA43" s="54"/>
      <c r="IB43" s="54"/>
      <c r="IC43" s="54"/>
      <c r="ID43" s="54"/>
      <c r="IE43" s="54"/>
      <c r="IF43" s="54"/>
      <c r="IG43" s="54"/>
      <c r="IH43" s="54"/>
      <c r="II43" s="54"/>
      <c r="IJ43" s="54"/>
      <c r="IK43" s="54"/>
      <c r="IL43" s="54"/>
      <c r="IM43" s="54"/>
      <c r="IN43" s="54"/>
      <c r="IO43" s="54"/>
      <c r="IP43" s="54"/>
      <c r="IQ43" s="54"/>
      <c r="IR43" s="54"/>
      <c r="IS43" s="54"/>
      <c r="IT43" s="54"/>
      <c r="IU43" s="54"/>
      <c r="IV43" s="54"/>
      <c r="IW43" s="54"/>
      <c r="IX43" s="54"/>
      <c r="IY43" s="54"/>
      <c r="IZ43" s="54"/>
      <c r="JA43" s="54"/>
      <c r="JB43" s="54"/>
      <c r="JC43" s="54"/>
      <c r="JD43" s="54"/>
      <c r="JE43" s="54"/>
      <c r="JF43" s="54"/>
      <c r="JG43" s="54"/>
      <c r="JH43" s="54"/>
      <c r="JI43" s="54"/>
      <c r="JJ43" s="54"/>
      <c r="JK43" s="54"/>
      <c r="JL43" s="54"/>
      <c r="JM43" s="54"/>
      <c r="JN43" s="54"/>
      <c r="JO43" s="54"/>
      <c r="JP43" s="54"/>
      <c r="JQ43" s="54"/>
      <c r="JR43" s="54"/>
      <c r="JS43" s="54"/>
      <c r="JT43" s="54"/>
      <c r="JU43" s="54"/>
      <c r="JV43" s="54"/>
      <c r="JW43" s="54"/>
      <c r="JX43" s="54"/>
      <c r="JY43" s="54"/>
      <c r="JZ43" s="54"/>
      <c r="KA43" s="54"/>
      <c r="KB43" s="54"/>
      <c r="KC43" s="54"/>
      <c r="KD43" s="54"/>
      <c r="KE43" s="54"/>
      <c r="KF43" s="54"/>
      <c r="KG43" s="54"/>
      <c r="KH43" s="54"/>
      <c r="KI43" s="54"/>
      <c r="KJ43" s="54"/>
      <c r="KK43" s="54"/>
      <c r="KL43" s="54"/>
      <c r="KM43" s="54"/>
      <c r="KN43" s="54"/>
      <c r="KO43" s="54"/>
      <c r="KP43" s="54"/>
      <c r="KQ43" s="54"/>
      <c r="KR43" s="54"/>
      <c r="KS43" s="54"/>
      <c r="KT43" s="54"/>
      <c r="KU43" s="54"/>
      <c r="KV43" s="54"/>
      <c r="KW43" s="54"/>
      <c r="KX43" s="54"/>
    </row>
    <row r="44" ht="5.25" customHeight="1">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c r="BY44" s="54"/>
      <c r="BZ44" s="54"/>
      <c r="CA44" s="54"/>
      <c r="CB44" s="54"/>
      <c r="CC44" s="54"/>
      <c r="CD44" s="54"/>
      <c r="CE44" s="54"/>
      <c r="CF44" s="54"/>
      <c r="CG44" s="54"/>
      <c r="CH44" s="54"/>
      <c r="CI44" s="54"/>
      <c r="CJ44" s="54"/>
      <c r="CK44" s="54"/>
      <c r="CL44" s="54"/>
      <c r="CM44" s="54"/>
      <c r="CN44" s="54"/>
      <c r="CO44" s="54"/>
      <c r="CP44" s="54"/>
      <c r="CQ44" s="54"/>
      <c r="CR44" s="54"/>
      <c r="CS44" s="54"/>
      <c r="CT44" s="54"/>
      <c r="CU44" s="54"/>
      <c r="CV44" s="54"/>
      <c r="CW44" s="54"/>
      <c r="CX44" s="54"/>
      <c r="CY44" s="54"/>
      <c r="CZ44" s="54"/>
      <c r="DA44" s="54"/>
      <c r="DB44" s="56"/>
      <c r="DC44" s="56"/>
      <c r="DD44" s="60"/>
      <c r="DN44" s="11"/>
      <c r="DO44" s="10"/>
      <c r="DQ44" s="11"/>
      <c r="DR44" s="10"/>
      <c r="EG44" s="11"/>
      <c r="EH44" s="10"/>
      <c r="EL44" s="54"/>
      <c r="EM44" s="54"/>
      <c r="EN44" s="54"/>
      <c r="EO44" s="54"/>
      <c r="EP44" s="54"/>
      <c r="EQ44" s="54"/>
      <c r="ER44" s="54"/>
      <c r="ES44" s="54"/>
      <c r="ET44" s="54"/>
      <c r="EW44" s="11"/>
      <c r="EX44" s="10"/>
      <c r="EZ44" s="11"/>
      <c r="FA44" s="10"/>
      <c r="FD44" s="68"/>
      <c r="FE44" s="54"/>
      <c r="FF44" s="54"/>
      <c r="FG44" s="54"/>
      <c r="FH44" s="54"/>
      <c r="FI44" s="54"/>
      <c r="FJ44" s="54"/>
      <c r="FK44" s="69"/>
      <c r="FL44" s="56"/>
      <c r="FM44" s="56"/>
      <c r="FN44" s="54"/>
      <c r="FO44" s="54"/>
      <c r="FP44" s="54"/>
      <c r="FQ44" s="54"/>
      <c r="FR44" s="54"/>
      <c r="FS44" s="54"/>
      <c r="FT44" s="54"/>
      <c r="FU44" s="54"/>
      <c r="FV44" s="54"/>
      <c r="FW44" s="54"/>
      <c r="FX44" s="54"/>
      <c r="FY44" s="54"/>
      <c r="FZ44" s="54"/>
      <c r="GA44" s="54"/>
      <c r="GB44" s="54"/>
      <c r="GC44" s="54"/>
      <c r="GD44" s="54"/>
      <c r="GE44" s="54"/>
      <c r="GF44" s="54"/>
      <c r="GG44" s="54"/>
      <c r="GH44" s="54"/>
      <c r="GI44" s="54"/>
      <c r="GJ44" s="54"/>
      <c r="GK44" s="54"/>
      <c r="GL44" s="54"/>
      <c r="GM44" s="54"/>
      <c r="GN44" s="54"/>
      <c r="GO44" s="54"/>
      <c r="GP44" s="54"/>
      <c r="GQ44" s="54"/>
      <c r="GR44" s="54"/>
      <c r="GS44" s="54"/>
      <c r="GT44" s="54"/>
      <c r="GU44" s="54"/>
      <c r="GV44" s="54"/>
      <c r="GW44" s="54"/>
      <c r="GX44" s="54"/>
      <c r="GY44" s="54"/>
      <c r="GZ44" s="54"/>
      <c r="HA44" s="54"/>
      <c r="HB44" s="54"/>
      <c r="HC44" s="54"/>
      <c r="HD44" s="54"/>
      <c r="HE44" s="54"/>
      <c r="HF44" s="54"/>
      <c r="HG44" s="54"/>
      <c r="HH44" s="54"/>
      <c r="HI44" s="54"/>
      <c r="HJ44" s="54"/>
      <c r="HK44" s="54"/>
      <c r="HL44" s="54"/>
      <c r="HM44" s="54"/>
      <c r="HN44" s="54"/>
      <c r="HO44" s="54"/>
      <c r="HP44" s="54"/>
      <c r="HQ44" s="54"/>
      <c r="HR44" s="54"/>
      <c r="HS44" s="54"/>
      <c r="HT44" s="54"/>
      <c r="HU44" s="54"/>
      <c r="HV44" s="54"/>
      <c r="HW44" s="54"/>
      <c r="HX44" s="54"/>
      <c r="HY44" s="54"/>
      <c r="HZ44" s="54"/>
      <c r="IA44" s="54"/>
      <c r="IB44" s="54"/>
      <c r="IC44" s="54"/>
      <c r="ID44" s="54"/>
      <c r="IE44" s="54"/>
      <c r="IF44" s="54"/>
      <c r="IG44" s="54"/>
      <c r="IH44" s="54"/>
      <c r="II44" s="54"/>
      <c r="IJ44" s="54"/>
      <c r="IK44" s="54"/>
      <c r="IL44" s="54"/>
      <c r="IM44" s="54"/>
      <c r="IN44" s="54"/>
      <c r="IO44" s="54"/>
      <c r="IP44" s="54"/>
      <c r="IQ44" s="54"/>
      <c r="IR44" s="54"/>
      <c r="IS44" s="54"/>
      <c r="IT44" s="54"/>
      <c r="IU44" s="54"/>
      <c r="IV44" s="54"/>
      <c r="IW44" s="54"/>
      <c r="IX44" s="54"/>
      <c r="IY44" s="54"/>
      <c r="IZ44" s="54"/>
      <c r="JA44" s="54"/>
      <c r="JB44" s="54"/>
      <c r="JC44" s="54"/>
      <c r="JD44" s="54"/>
      <c r="JE44" s="54"/>
      <c r="JF44" s="54"/>
      <c r="JG44" s="54"/>
      <c r="JH44" s="54"/>
      <c r="JI44" s="54"/>
      <c r="JJ44" s="54"/>
      <c r="JK44" s="54"/>
      <c r="JL44" s="54"/>
      <c r="JM44" s="54"/>
      <c r="JN44" s="54"/>
      <c r="JO44" s="54"/>
      <c r="JP44" s="54"/>
      <c r="JQ44" s="54"/>
      <c r="JR44" s="54"/>
      <c r="JS44" s="54"/>
      <c r="JT44" s="54"/>
      <c r="JU44" s="54"/>
      <c r="JV44" s="54"/>
      <c r="JW44" s="54"/>
      <c r="JX44" s="54"/>
      <c r="JY44" s="54"/>
      <c r="JZ44" s="54"/>
      <c r="KA44" s="54"/>
      <c r="KB44" s="54"/>
      <c r="KC44" s="54"/>
      <c r="KD44" s="54"/>
      <c r="KE44" s="54"/>
      <c r="KF44" s="54"/>
      <c r="KG44" s="54"/>
      <c r="KH44" s="54"/>
      <c r="KI44" s="54"/>
      <c r="KJ44" s="54"/>
      <c r="KK44" s="54"/>
      <c r="KL44" s="54"/>
      <c r="KM44" s="54"/>
      <c r="KN44" s="54"/>
      <c r="KO44" s="54"/>
      <c r="KP44" s="54"/>
      <c r="KQ44" s="54"/>
      <c r="KR44" s="54"/>
      <c r="KS44" s="54"/>
      <c r="KT44" s="54"/>
      <c r="KU44" s="54"/>
      <c r="KV44" s="54"/>
      <c r="KW44" s="54"/>
      <c r="KX44" s="54"/>
    </row>
    <row r="45" ht="5.25" customHeight="1">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c r="CA45" s="54"/>
      <c r="CB45" s="54"/>
      <c r="CC45" s="54"/>
      <c r="CD45" s="54"/>
      <c r="CE45" s="54"/>
      <c r="CF45" s="54"/>
      <c r="CG45" s="54"/>
      <c r="CH45" s="54"/>
      <c r="CI45" s="54"/>
      <c r="CJ45" s="54"/>
      <c r="CK45" s="54"/>
      <c r="CL45" s="54"/>
      <c r="CM45" s="54"/>
      <c r="CN45" s="54"/>
      <c r="CO45" s="54"/>
      <c r="CP45" s="54"/>
      <c r="CQ45" s="54"/>
      <c r="CR45" s="54"/>
      <c r="CS45" s="54"/>
      <c r="CT45" s="54"/>
      <c r="CU45" s="54"/>
      <c r="CV45" s="54"/>
      <c r="CW45" s="54"/>
      <c r="CX45" s="54"/>
      <c r="CY45" s="54"/>
      <c r="CZ45" s="54"/>
      <c r="DA45" s="54"/>
      <c r="DB45" s="56"/>
      <c r="DC45" s="56"/>
      <c r="DD45" s="88"/>
      <c r="DE45" s="13"/>
      <c r="DF45" s="13"/>
      <c r="DG45" s="13"/>
      <c r="DH45" s="13"/>
      <c r="DI45" s="13"/>
      <c r="DJ45" s="13"/>
      <c r="DK45" s="13"/>
      <c r="DL45" s="13"/>
      <c r="DM45" s="13"/>
      <c r="DN45" s="14"/>
      <c r="DO45" s="12"/>
      <c r="DP45" s="13"/>
      <c r="DQ45" s="14"/>
      <c r="DR45" s="12"/>
      <c r="DS45" s="13"/>
      <c r="DT45" s="13"/>
      <c r="DU45" s="13"/>
      <c r="DV45" s="13"/>
      <c r="DW45" s="13"/>
      <c r="DX45" s="13"/>
      <c r="DY45" s="13"/>
      <c r="DZ45" s="13"/>
      <c r="EA45" s="13"/>
      <c r="EB45" s="13"/>
      <c r="EC45" s="13"/>
      <c r="ED45" s="13"/>
      <c r="EE45" s="13"/>
      <c r="EF45" s="13"/>
      <c r="EG45" s="14"/>
      <c r="EH45" s="12"/>
      <c r="EI45" s="13"/>
      <c r="EJ45" s="13"/>
      <c r="EK45" s="13"/>
      <c r="EL45" s="89"/>
      <c r="EM45" s="89"/>
      <c r="EN45" s="89"/>
      <c r="EO45" s="89"/>
      <c r="EP45" s="89"/>
      <c r="EQ45" s="89"/>
      <c r="ER45" s="89"/>
      <c r="ES45" s="89"/>
      <c r="ET45" s="89"/>
      <c r="EU45" s="13"/>
      <c r="EV45" s="13"/>
      <c r="EW45" s="14"/>
      <c r="EX45" s="12"/>
      <c r="EY45" s="13"/>
      <c r="EZ45" s="14"/>
      <c r="FA45" s="12"/>
      <c r="FB45" s="13"/>
      <c r="FC45" s="13"/>
      <c r="FD45" s="90"/>
      <c r="FE45" s="89"/>
      <c r="FF45" s="89"/>
      <c r="FG45" s="89"/>
      <c r="FH45" s="89"/>
      <c r="FI45" s="89"/>
      <c r="FJ45" s="89"/>
      <c r="FK45" s="91"/>
      <c r="FL45" s="56"/>
      <c r="FM45" s="56"/>
      <c r="FN45" s="54"/>
      <c r="FO45" s="54"/>
      <c r="FP45" s="54"/>
      <c r="FQ45" s="54"/>
      <c r="FR45" s="54"/>
      <c r="FS45" s="54"/>
      <c r="FT45" s="54"/>
      <c r="FU45" s="54"/>
      <c r="FV45" s="54"/>
      <c r="FW45" s="54"/>
      <c r="FX45" s="54"/>
      <c r="FY45" s="54"/>
      <c r="FZ45" s="54"/>
      <c r="GA45" s="54"/>
      <c r="GB45" s="54"/>
      <c r="GC45" s="54"/>
      <c r="GD45" s="54"/>
      <c r="GE45" s="54"/>
      <c r="GF45" s="54"/>
      <c r="GG45" s="54"/>
      <c r="GH45" s="54"/>
      <c r="GI45" s="54"/>
      <c r="GJ45" s="54"/>
      <c r="GK45" s="54"/>
      <c r="GL45" s="54"/>
      <c r="GM45" s="54"/>
      <c r="GN45" s="54"/>
      <c r="GO45" s="54"/>
      <c r="GP45" s="54"/>
      <c r="GQ45" s="54"/>
      <c r="GR45" s="54"/>
      <c r="GS45" s="54"/>
      <c r="GT45" s="54"/>
      <c r="GU45" s="54"/>
      <c r="GV45" s="54"/>
      <c r="GW45" s="54"/>
      <c r="GX45" s="54"/>
      <c r="GY45" s="54"/>
      <c r="GZ45" s="54"/>
      <c r="HA45" s="54"/>
      <c r="HB45" s="54"/>
      <c r="HC45" s="54"/>
      <c r="HD45" s="54"/>
      <c r="HE45" s="54"/>
      <c r="HF45" s="54"/>
      <c r="HG45" s="54"/>
      <c r="HH45" s="54"/>
      <c r="HI45" s="54"/>
      <c r="HJ45" s="54"/>
      <c r="HK45" s="54"/>
      <c r="HL45" s="54"/>
      <c r="HM45" s="54"/>
      <c r="HN45" s="54"/>
      <c r="HO45" s="54"/>
      <c r="HP45" s="54"/>
      <c r="HQ45" s="54"/>
      <c r="HR45" s="54"/>
      <c r="HS45" s="54"/>
      <c r="HT45" s="54"/>
      <c r="HU45" s="54"/>
      <c r="HV45" s="54"/>
      <c r="HW45" s="54"/>
      <c r="HX45" s="54"/>
      <c r="HY45" s="54"/>
      <c r="HZ45" s="54"/>
      <c r="IA45" s="54"/>
      <c r="IB45" s="54"/>
      <c r="IC45" s="54"/>
      <c r="ID45" s="54"/>
      <c r="IE45" s="54"/>
      <c r="IF45" s="54"/>
      <c r="IG45" s="54"/>
      <c r="IH45" s="54"/>
      <c r="II45" s="54"/>
      <c r="IJ45" s="54"/>
      <c r="IK45" s="54"/>
      <c r="IL45" s="54"/>
      <c r="IM45" s="54"/>
      <c r="IN45" s="54"/>
      <c r="IO45" s="54"/>
      <c r="IP45" s="54"/>
      <c r="IQ45" s="54"/>
      <c r="IR45" s="54"/>
      <c r="IS45" s="54"/>
      <c r="IT45" s="54"/>
      <c r="IU45" s="54"/>
      <c r="IV45" s="54"/>
      <c r="IW45" s="54"/>
      <c r="IX45" s="54"/>
      <c r="IY45" s="54"/>
      <c r="IZ45" s="54"/>
      <c r="JA45" s="54"/>
      <c r="JB45" s="54"/>
      <c r="JC45" s="54"/>
      <c r="JD45" s="54"/>
      <c r="JE45" s="54"/>
      <c r="JF45" s="54"/>
      <c r="JG45" s="54"/>
      <c r="JH45" s="54"/>
      <c r="JI45" s="54"/>
      <c r="JJ45" s="54"/>
      <c r="JK45" s="54"/>
      <c r="JL45" s="54"/>
      <c r="JM45" s="54"/>
      <c r="JN45" s="54"/>
      <c r="JO45" s="54"/>
      <c r="JP45" s="54"/>
      <c r="JQ45" s="54"/>
      <c r="JR45" s="54"/>
      <c r="JS45" s="54"/>
      <c r="JT45" s="54"/>
      <c r="JU45" s="54"/>
      <c r="JV45" s="54"/>
      <c r="JW45" s="54"/>
      <c r="JX45" s="54"/>
      <c r="JY45" s="54"/>
      <c r="JZ45" s="54"/>
      <c r="KA45" s="54"/>
      <c r="KB45" s="54"/>
      <c r="KC45" s="54"/>
      <c r="KD45" s="54"/>
      <c r="KE45" s="54"/>
      <c r="KF45" s="54"/>
      <c r="KG45" s="54"/>
      <c r="KH45" s="54"/>
      <c r="KI45" s="54"/>
      <c r="KJ45" s="54"/>
      <c r="KK45" s="54"/>
      <c r="KL45" s="54"/>
      <c r="KM45" s="54"/>
      <c r="KN45" s="54"/>
      <c r="KO45" s="54"/>
      <c r="KP45" s="54"/>
      <c r="KQ45" s="54"/>
      <c r="KR45" s="54"/>
      <c r="KS45" s="54"/>
      <c r="KT45" s="54"/>
      <c r="KU45" s="54"/>
      <c r="KV45" s="54"/>
      <c r="KW45" s="54"/>
      <c r="KX45" s="54"/>
    </row>
    <row r="46" ht="5.25" customHeight="1">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c r="BY46" s="54"/>
      <c r="BZ46" s="54"/>
      <c r="CA46" s="54"/>
      <c r="CB46" s="54"/>
      <c r="CC46" s="54"/>
      <c r="CD46" s="54"/>
      <c r="CE46" s="54"/>
      <c r="CF46" s="54"/>
      <c r="CG46" s="54"/>
      <c r="CH46" s="54"/>
      <c r="CI46" s="54"/>
      <c r="CJ46" s="54"/>
      <c r="CK46" s="54"/>
      <c r="CL46" s="54"/>
      <c r="CM46" s="54"/>
      <c r="CN46" s="54"/>
      <c r="CO46" s="54"/>
      <c r="CP46" s="54"/>
      <c r="CQ46" s="54"/>
      <c r="CR46" s="54"/>
      <c r="CS46" s="54"/>
      <c r="CT46" s="54"/>
      <c r="CU46" s="54"/>
      <c r="CV46" s="54"/>
      <c r="CW46" s="54"/>
      <c r="CX46" s="54"/>
      <c r="CY46" s="54"/>
      <c r="CZ46" s="54"/>
      <c r="DA46" s="54"/>
      <c r="DB46" s="56"/>
      <c r="DC46" s="56">
        <f>'Choose matchups (Contender)'!Q9</f>
        <v>5</v>
      </c>
      <c r="DD46" s="92" t="str">
        <f t="array" ref="DD46">xlookup(DC46,qualdata!$M$2:$M$17,qualdata!$O$2:$O$17,"")</f>
        <v/>
      </c>
      <c r="DE46" s="8"/>
      <c r="DF46" s="8"/>
      <c r="DG46" s="8"/>
      <c r="DH46" s="93" t="str">
        <f t="array" ref="DH46">xlookup(DC46,qualdata!$M$2:$M$17,qualdata!$N$2:$N$17,"")</f>
        <v>Team 5 (Group 1)</v>
      </c>
      <c r="DI46" s="8"/>
      <c r="DJ46" s="8"/>
      <c r="DK46" s="8"/>
      <c r="DL46" s="8"/>
      <c r="DM46" s="8"/>
      <c r="DN46" s="8"/>
      <c r="DO46" s="8"/>
      <c r="DP46" s="8"/>
      <c r="DQ46" s="8"/>
      <c r="DR46" s="8"/>
      <c r="DS46" s="8"/>
      <c r="DT46" s="8"/>
      <c r="DU46" s="8"/>
      <c r="DV46" s="8"/>
      <c r="DW46" s="8"/>
      <c r="DX46" s="8"/>
      <c r="DY46" s="8"/>
      <c r="DZ46" s="8"/>
      <c r="EA46" s="8"/>
      <c r="EB46" s="8"/>
      <c r="EC46" s="8"/>
      <c r="ED46" s="94"/>
      <c r="EE46" s="8"/>
      <c r="EF46" s="8"/>
      <c r="EG46" s="9"/>
      <c r="EH46" s="95"/>
      <c r="EI46" s="8"/>
      <c r="EJ46" s="8"/>
      <c r="EK46" s="8"/>
      <c r="EL46" s="96" t="str">
        <f t="array" ref="EL46">xlookup(FL46,qualdata!$M$2:$M$17,qualdata!$N$2:$N$17,"")</f>
        <v>Team 12 (Group 1)</v>
      </c>
      <c r="EM46" s="8"/>
      <c r="EN46" s="8"/>
      <c r="EO46" s="8"/>
      <c r="EP46" s="8"/>
      <c r="EQ46" s="8"/>
      <c r="ER46" s="8"/>
      <c r="ES46" s="8"/>
      <c r="ET46" s="8"/>
      <c r="EU46" s="8"/>
      <c r="EV46" s="8"/>
      <c r="EW46" s="8"/>
      <c r="EX46" s="8"/>
      <c r="EY46" s="8"/>
      <c r="EZ46" s="8"/>
      <c r="FA46" s="8"/>
      <c r="FB46" s="8"/>
      <c r="FC46" s="8"/>
      <c r="FD46" s="8"/>
      <c r="FE46" s="8"/>
      <c r="FF46" s="8"/>
      <c r="FG46" s="8"/>
      <c r="FH46" s="97" t="str">
        <f t="array" ref="FH46">xlookup(FL46,qualdata!$M$2:$M$17,qualdata!$O$2:$O$17,"")</f>
        <v/>
      </c>
      <c r="FI46" s="8"/>
      <c r="FJ46" s="8"/>
      <c r="FK46" s="98"/>
      <c r="FL46" s="77">
        <f t="array" ref="FL46">xlookup(DC46,qualdata!$M$2:$M$17,qualdata!$P$2:$P$17,"")</f>
        <v>12</v>
      </c>
      <c r="FM46" s="56"/>
      <c r="FN46" s="54"/>
      <c r="FO46" s="54"/>
      <c r="FP46" s="54"/>
      <c r="FQ46" s="54"/>
      <c r="FR46" s="54"/>
      <c r="FS46" s="54"/>
      <c r="FT46" s="54"/>
      <c r="FU46" s="54"/>
      <c r="FV46" s="54"/>
      <c r="FW46" s="54"/>
      <c r="FX46" s="54"/>
      <c r="FY46" s="54"/>
      <c r="FZ46" s="54"/>
      <c r="GA46" s="54"/>
      <c r="GB46" s="54"/>
      <c r="GC46" s="54"/>
      <c r="GD46" s="54"/>
      <c r="GE46" s="54"/>
      <c r="GF46" s="54"/>
      <c r="GG46" s="54"/>
      <c r="GH46" s="54"/>
      <c r="GI46" s="54"/>
      <c r="GJ46" s="54"/>
      <c r="GK46" s="54"/>
      <c r="GL46" s="54"/>
      <c r="GM46" s="54"/>
      <c r="GN46" s="54"/>
      <c r="GO46" s="54"/>
      <c r="GP46" s="54"/>
      <c r="GQ46" s="54"/>
      <c r="GR46" s="54"/>
      <c r="GS46" s="54"/>
      <c r="GT46" s="54"/>
      <c r="GU46" s="54"/>
      <c r="GV46" s="54"/>
      <c r="GW46" s="54"/>
      <c r="GX46" s="54"/>
      <c r="GY46" s="54"/>
      <c r="GZ46" s="54"/>
      <c r="HA46" s="54"/>
      <c r="HB46" s="54"/>
      <c r="HC46" s="54"/>
      <c r="HD46" s="54"/>
      <c r="HE46" s="54"/>
      <c r="HF46" s="54"/>
      <c r="HG46" s="54"/>
      <c r="HH46" s="54"/>
      <c r="HI46" s="54"/>
      <c r="HJ46" s="54"/>
      <c r="HK46" s="54"/>
      <c r="HL46" s="54"/>
      <c r="HM46" s="54"/>
      <c r="HN46" s="54"/>
      <c r="HO46" s="54"/>
      <c r="HP46" s="54"/>
      <c r="HQ46" s="54"/>
      <c r="HR46" s="54"/>
      <c r="HS46" s="54"/>
      <c r="HT46" s="54"/>
      <c r="HU46" s="54"/>
      <c r="HV46" s="54"/>
      <c r="HW46" s="54"/>
      <c r="HX46" s="54"/>
      <c r="HY46" s="54"/>
      <c r="HZ46" s="54"/>
      <c r="IA46" s="54"/>
      <c r="IB46" s="54"/>
      <c r="IC46" s="54"/>
      <c r="ID46" s="54"/>
      <c r="IE46" s="54"/>
      <c r="IF46" s="54"/>
      <c r="IG46" s="54"/>
      <c r="IH46" s="54"/>
      <c r="II46" s="54"/>
      <c r="IJ46" s="54"/>
      <c r="IK46" s="54"/>
      <c r="IL46" s="54"/>
      <c r="IM46" s="54"/>
      <c r="IN46" s="54"/>
      <c r="IO46" s="54"/>
      <c r="IP46" s="54"/>
      <c r="IQ46" s="54"/>
      <c r="IR46" s="54"/>
      <c r="IS46" s="54"/>
      <c r="IT46" s="54"/>
      <c r="IU46" s="54"/>
      <c r="IV46" s="54"/>
      <c r="IW46" s="54"/>
      <c r="IX46" s="54"/>
      <c r="IY46" s="54"/>
      <c r="IZ46" s="54"/>
      <c r="JA46" s="54"/>
      <c r="JB46" s="54"/>
      <c r="JC46" s="54"/>
      <c r="JD46" s="54"/>
      <c r="JE46" s="54"/>
      <c r="JF46" s="54"/>
      <c r="JG46" s="54"/>
      <c r="JH46" s="54"/>
      <c r="JI46" s="54"/>
      <c r="JJ46" s="54"/>
      <c r="JK46" s="54"/>
      <c r="JL46" s="54"/>
      <c r="JM46" s="54"/>
      <c r="JN46" s="54"/>
      <c r="JO46" s="54"/>
      <c r="JP46" s="54"/>
      <c r="JQ46" s="54"/>
      <c r="JR46" s="54"/>
      <c r="JS46" s="54"/>
      <c r="JT46" s="54"/>
      <c r="JU46" s="54"/>
      <c r="JV46" s="54"/>
      <c r="JW46" s="54"/>
      <c r="JX46" s="54"/>
      <c r="JY46" s="54"/>
      <c r="JZ46" s="54"/>
      <c r="KA46" s="54"/>
      <c r="KB46" s="54"/>
      <c r="KC46" s="54"/>
      <c r="KD46" s="54"/>
      <c r="KE46" s="54"/>
      <c r="KF46" s="54"/>
      <c r="KG46" s="54"/>
      <c r="KH46" s="54"/>
      <c r="KI46" s="54"/>
      <c r="KJ46" s="54"/>
      <c r="KK46" s="54"/>
      <c r="KL46" s="54"/>
      <c r="KM46" s="54"/>
      <c r="KN46" s="54"/>
      <c r="KO46" s="54"/>
      <c r="KP46" s="54"/>
      <c r="KQ46" s="54"/>
      <c r="KR46" s="54"/>
      <c r="KS46" s="54"/>
      <c r="KT46" s="54"/>
      <c r="KU46" s="54"/>
      <c r="KV46" s="54"/>
      <c r="KW46" s="54"/>
      <c r="KX46" s="54"/>
    </row>
    <row r="47" ht="5.25" customHeight="1">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c r="DA47" s="54"/>
      <c r="DB47" s="56"/>
      <c r="DC47" s="56"/>
      <c r="DD47" s="60"/>
      <c r="EG47" s="11"/>
      <c r="EH47" s="10"/>
      <c r="FK47" s="61"/>
      <c r="FL47" s="56"/>
      <c r="FM47" s="56"/>
      <c r="FN47" s="54"/>
      <c r="FO47" s="54"/>
      <c r="FP47" s="54"/>
      <c r="FQ47" s="54"/>
      <c r="FR47" s="54"/>
      <c r="FS47" s="54"/>
      <c r="FT47" s="54"/>
      <c r="FU47" s="54"/>
      <c r="FV47" s="54"/>
      <c r="FW47" s="54"/>
      <c r="FX47" s="54"/>
      <c r="FY47" s="54"/>
      <c r="FZ47" s="54"/>
      <c r="GA47" s="54"/>
      <c r="GB47" s="54"/>
      <c r="GC47" s="54"/>
      <c r="GD47" s="54"/>
      <c r="GE47" s="54"/>
      <c r="GF47" s="54"/>
      <c r="GG47" s="54"/>
      <c r="GH47" s="54"/>
      <c r="GI47" s="54"/>
      <c r="GJ47" s="54"/>
      <c r="GK47" s="54"/>
      <c r="GL47" s="54"/>
      <c r="GM47" s="54"/>
      <c r="GN47" s="54"/>
      <c r="GO47" s="54"/>
      <c r="GP47" s="54"/>
      <c r="GQ47" s="54"/>
      <c r="GR47" s="54"/>
      <c r="GS47" s="54"/>
      <c r="GT47" s="54"/>
      <c r="GU47" s="54"/>
      <c r="GV47" s="54"/>
      <c r="GW47" s="54"/>
      <c r="GX47" s="54"/>
      <c r="GY47" s="54"/>
      <c r="GZ47" s="54"/>
      <c r="HA47" s="54"/>
      <c r="HB47" s="54"/>
      <c r="HC47" s="54"/>
      <c r="HD47" s="54"/>
      <c r="HE47" s="54"/>
      <c r="HF47" s="54"/>
      <c r="HG47" s="54"/>
      <c r="HH47" s="54"/>
      <c r="HI47" s="54"/>
      <c r="HJ47" s="54"/>
      <c r="HK47" s="54"/>
      <c r="HL47" s="54"/>
      <c r="HM47" s="54"/>
      <c r="HN47" s="54"/>
      <c r="HO47" s="54"/>
      <c r="HP47" s="54"/>
      <c r="HQ47" s="54"/>
      <c r="HR47" s="54"/>
      <c r="HS47" s="54"/>
      <c r="HT47" s="54"/>
      <c r="HU47" s="54"/>
      <c r="HV47" s="54"/>
      <c r="HW47" s="54"/>
      <c r="HX47" s="54"/>
      <c r="HY47" s="54"/>
      <c r="HZ47" s="54"/>
      <c r="IA47" s="54"/>
      <c r="IB47" s="54"/>
      <c r="IC47" s="54"/>
      <c r="ID47" s="54"/>
      <c r="IE47" s="54"/>
      <c r="IF47" s="54"/>
      <c r="IG47" s="54"/>
      <c r="IH47" s="54"/>
      <c r="II47" s="54"/>
      <c r="IJ47" s="54"/>
      <c r="IK47" s="54"/>
      <c r="IL47" s="54"/>
      <c r="IM47" s="54"/>
      <c r="IN47" s="54"/>
      <c r="IO47" s="54"/>
      <c r="IP47" s="54"/>
      <c r="IQ47" s="54"/>
      <c r="IR47" s="54"/>
      <c r="IS47" s="54"/>
      <c r="IT47" s="54"/>
      <c r="IU47" s="54"/>
      <c r="IV47" s="54"/>
      <c r="IW47" s="54"/>
      <c r="IX47" s="54"/>
      <c r="IY47" s="54"/>
      <c r="IZ47" s="54"/>
      <c r="JA47" s="54"/>
      <c r="JB47" s="54"/>
      <c r="JC47" s="54"/>
      <c r="JD47" s="54"/>
      <c r="JE47" s="54"/>
      <c r="JF47" s="54"/>
      <c r="JG47" s="54"/>
      <c r="JH47" s="54"/>
      <c r="JI47" s="54"/>
      <c r="JJ47" s="54"/>
      <c r="JK47" s="54"/>
      <c r="JL47" s="54"/>
      <c r="JM47" s="54"/>
      <c r="JN47" s="54"/>
      <c r="JO47" s="54"/>
      <c r="JP47" s="54"/>
      <c r="JQ47" s="54"/>
      <c r="JR47" s="54"/>
      <c r="JS47" s="54"/>
      <c r="JT47" s="54"/>
      <c r="JU47" s="54"/>
      <c r="JV47" s="54"/>
      <c r="JW47" s="54"/>
      <c r="JX47" s="54"/>
      <c r="JY47" s="54"/>
      <c r="JZ47" s="54"/>
      <c r="KA47" s="54"/>
      <c r="KB47" s="54"/>
      <c r="KC47" s="54"/>
      <c r="KD47" s="54"/>
      <c r="KE47" s="54"/>
      <c r="KF47" s="54"/>
      <c r="KG47" s="54"/>
      <c r="KH47" s="54"/>
      <c r="KI47" s="54"/>
      <c r="KJ47" s="54"/>
      <c r="KK47" s="54"/>
      <c r="KL47" s="54"/>
      <c r="KM47" s="54"/>
      <c r="KN47" s="54"/>
      <c r="KO47" s="54"/>
      <c r="KP47" s="54"/>
      <c r="KQ47" s="54"/>
      <c r="KR47" s="54"/>
      <c r="KS47" s="54"/>
      <c r="KT47" s="54"/>
      <c r="KU47" s="54"/>
      <c r="KV47" s="54"/>
      <c r="KW47" s="54"/>
      <c r="KX47" s="54"/>
    </row>
    <row r="48" ht="5.25" customHeight="1">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c r="CA48" s="54"/>
      <c r="CB48" s="54"/>
      <c r="CC48" s="54"/>
      <c r="CD48" s="54"/>
      <c r="CE48" s="54"/>
      <c r="CF48" s="54"/>
      <c r="CG48" s="54"/>
      <c r="CH48" s="54"/>
      <c r="CI48" s="54"/>
      <c r="CJ48" s="54"/>
      <c r="CK48" s="54"/>
      <c r="CL48" s="54"/>
      <c r="CM48" s="54"/>
      <c r="CN48" s="54"/>
      <c r="CO48" s="54"/>
      <c r="CP48" s="54"/>
      <c r="CQ48" s="54"/>
      <c r="CR48" s="54"/>
      <c r="CS48" s="54"/>
      <c r="CT48" s="54"/>
      <c r="CU48" s="54"/>
      <c r="CV48" s="54"/>
      <c r="CW48" s="54"/>
      <c r="CX48" s="54"/>
      <c r="CY48" s="54"/>
      <c r="CZ48" s="54"/>
      <c r="DA48" s="54"/>
      <c r="DB48" s="56"/>
      <c r="DC48" s="56"/>
      <c r="DD48" s="60"/>
      <c r="EG48" s="11"/>
      <c r="EH48" s="10"/>
      <c r="FK48" s="61"/>
      <c r="FL48" s="56"/>
      <c r="FM48" s="56"/>
      <c r="FN48" s="54"/>
      <c r="FO48" s="54"/>
      <c r="FP48" s="54"/>
      <c r="FQ48" s="54"/>
      <c r="FR48" s="54"/>
      <c r="FS48" s="54"/>
      <c r="FT48" s="54"/>
      <c r="FU48" s="54"/>
      <c r="FV48" s="54"/>
      <c r="FW48" s="54"/>
      <c r="FX48" s="54"/>
      <c r="FY48" s="54"/>
      <c r="FZ48" s="54"/>
      <c r="GA48" s="54"/>
      <c r="GB48" s="54"/>
      <c r="GC48" s="54"/>
      <c r="GD48" s="54"/>
      <c r="GE48" s="54"/>
      <c r="GF48" s="54"/>
      <c r="GG48" s="54"/>
      <c r="GH48" s="54"/>
      <c r="GI48" s="54"/>
      <c r="GJ48" s="54"/>
      <c r="GK48" s="54"/>
      <c r="GL48" s="54"/>
      <c r="GM48" s="54"/>
      <c r="GN48" s="54"/>
      <c r="GO48" s="54"/>
      <c r="GP48" s="54"/>
      <c r="GQ48" s="54"/>
      <c r="GR48" s="54"/>
      <c r="GS48" s="54"/>
      <c r="GT48" s="54"/>
      <c r="GU48" s="54"/>
      <c r="GV48" s="54"/>
      <c r="GW48" s="54"/>
      <c r="GX48" s="54"/>
      <c r="GY48" s="54"/>
      <c r="GZ48" s="54"/>
      <c r="HA48" s="54"/>
      <c r="HB48" s="54"/>
      <c r="HC48" s="54"/>
      <c r="HD48" s="54"/>
      <c r="HE48" s="54"/>
      <c r="HF48" s="54"/>
      <c r="HG48" s="54"/>
      <c r="HH48" s="54"/>
      <c r="HI48" s="54"/>
      <c r="HJ48" s="54"/>
      <c r="HK48" s="54"/>
      <c r="HL48" s="54"/>
      <c r="HM48" s="54"/>
      <c r="HN48" s="54"/>
      <c r="HO48" s="54"/>
      <c r="HP48" s="54"/>
      <c r="HQ48" s="54"/>
      <c r="HR48" s="54"/>
      <c r="HS48" s="54"/>
      <c r="HT48" s="54"/>
      <c r="HU48" s="54"/>
      <c r="HV48" s="54"/>
      <c r="HW48" s="54"/>
      <c r="HX48" s="54"/>
      <c r="HY48" s="54"/>
      <c r="HZ48" s="54"/>
      <c r="IA48" s="54"/>
      <c r="IB48" s="54"/>
      <c r="IC48" s="54"/>
      <c r="ID48" s="54"/>
      <c r="IE48" s="54"/>
      <c r="IF48" s="54"/>
      <c r="IG48" s="54"/>
      <c r="IH48" s="54"/>
      <c r="II48" s="54"/>
      <c r="IJ48" s="54"/>
      <c r="IK48" s="54"/>
      <c r="IL48" s="54"/>
      <c r="IM48" s="54"/>
      <c r="IN48" s="54"/>
      <c r="IO48" s="54"/>
      <c r="IP48" s="54"/>
      <c r="IQ48" s="54"/>
      <c r="IR48" s="54"/>
      <c r="IS48" s="54"/>
      <c r="IT48" s="54"/>
      <c r="IU48" s="54"/>
      <c r="IV48" s="54"/>
      <c r="IW48" s="54"/>
      <c r="IX48" s="54"/>
      <c r="IY48" s="54"/>
      <c r="IZ48" s="54"/>
      <c r="JA48" s="54"/>
      <c r="JB48" s="54"/>
      <c r="JC48" s="54"/>
      <c r="JD48" s="54"/>
      <c r="JE48" s="54"/>
      <c r="JF48" s="54"/>
      <c r="JG48" s="54"/>
      <c r="JH48" s="54"/>
      <c r="JI48" s="54"/>
      <c r="JJ48" s="54"/>
      <c r="JK48" s="54"/>
      <c r="JL48" s="54"/>
      <c r="JM48" s="54"/>
      <c r="JN48" s="54"/>
      <c r="JO48" s="54"/>
      <c r="JP48" s="54"/>
      <c r="JQ48" s="54"/>
      <c r="JR48" s="54"/>
      <c r="JS48" s="54"/>
      <c r="JT48" s="54"/>
      <c r="JU48" s="54"/>
      <c r="JV48" s="54"/>
      <c r="JW48" s="54"/>
      <c r="JX48" s="54"/>
      <c r="JY48" s="54"/>
      <c r="JZ48" s="54"/>
      <c r="KA48" s="54"/>
      <c r="KB48" s="54"/>
      <c r="KC48" s="54"/>
      <c r="KD48" s="54"/>
      <c r="KE48" s="54"/>
      <c r="KF48" s="54"/>
      <c r="KG48" s="54"/>
      <c r="KH48" s="54"/>
      <c r="KI48" s="54"/>
      <c r="KJ48" s="54"/>
      <c r="KK48" s="54"/>
      <c r="KL48" s="54"/>
      <c r="KM48" s="54"/>
      <c r="KN48" s="54"/>
      <c r="KO48" s="54"/>
      <c r="KP48" s="54"/>
      <c r="KQ48" s="54"/>
      <c r="KR48" s="54"/>
      <c r="KS48" s="54"/>
      <c r="KT48" s="54"/>
      <c r="KU48" s="54"/>
      <c r="KV48" s="54"/>
      <c r="KW48" s="54"/>
      <c r="KX48" s="54"/>
    </row>
    <row r="49" ht="5.25" customHeight="1">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c r="CA49" s="54"/>
      <c r="CB49" s="54"/>
      <c r="CC49" s="54"/>
      <c r="CD49" s="54"/>
      <c r="CE49" s="54"/>
      <c r="CF49" s="54"/>
      <c r="CG49" s="54"/>
      <c r="CH49" s="54"/>
      <c r="CI49" s="54"/>
      <c r="CJ49" s="54"/>
      <c r="CK49" s="54"/>
      <c r="CL49" s="54"/>
      <c r="CM49" s="54"/>
      <c r="CN49" s="54"/>
      <c r="CO49" s="54"/>
      <c r="CP49" s="54"/>
      <c r="CQ49" s="54"/>
      <c r="CR49" s="54"/>
      <c r="CS49" s="54"/>
      <c r="CT49" s="54"/>
      <c r="CU49" s="54"/>
      <c r="CV49" s="54"/>
      <c r="CW49" s="54"/>
      <c r="CX49" s="54"/>
      <c r="CY49" s="54"/>
      <c r="CZ49" s="54"/>
      <c r="DA49" s="54"/>
      <c r="DB49" s="56"/>
      <c r="DC49" s="56"/>
      <c r="DD49" s="60"/>
      <c r="EG49" s="11"/>
      <c r="EH49" s="10"/>
      <c r="FK49" s="61"/>
      <c r="FL49" s="56"/>
      <c r="FM49" s="56"/>
      <c r="FN49" s="54"/>
      <c r="FO49" s="54"/>
      <c r="FP49" s="54"/>
      <c r="FQ49" s="54"/>
      <c r="FR49" s="54"/>
      <c r="FS49" s="54"/>
      <c r="FT49" s="54"/>
      <c r="FU49" s="54"/>
      <c r="FV49" s="54"/>
      <c r="FW49" s="54"/>
      <c r="FX49" s="54"/>
      <c r="FY49" s="54"/>
      <c r="FZ49" s="54"/>
      <c r="GA49" s="54"/>
      <c r="GB49" s="54"/>
      <c r="GC49" s="54"/>
      <c r="GD49" s="54"/>
      <c r="GE49" s="54"/>
      <c r="GF49" s="54"/>
      <c r="GG49" s="54"/>
      <c r="GH49" s="54"/>
      <c r="GI49" s="54"/>
      <c r="GJ49" s="54"/>
      <c r="GK49" s="54"/>
      <c r="GL49" s="54"/>
      <c r="GM49" s="54"/>
      <c r="GN49" s="54"/>
      <c r="GO49" s="54"/>
      <c r="GP49" s="54"/>
      <c r="GQ49" s="54"/>
      <c r="GR49" s="54"/>
      <c r="GS49" s="54"/>
      <c r="GT49" s="54"/>
      <c r="GU49" s="54"/>
      <c r="GV49" s="54"/>
      <c r="GW49" s="54"/>
      <c r="GX49" s="54"/>
      <c r="GY49" s="54"/>
      <c r="GZ49" s="54"/>
      <c r="HA49" s="54"/>
      <c r="HB49" s="54"/>
      <c r="HC49" s="54"/>
      <c r="HD49" s="54"/>
      <c r="HE49" s="54"/>
      <c r="HF49" s="54"/>
      <c r="HG49" s="54"/>
      <c r="HH49" s="54"/>
      <c r="HI49" s="54"/>
      <c r="HJ49" s="54"/>
      <c r="HK49" s="54"/>
      <c r="HL49" s="54"/>
      <c r="HM49" s="54"/>
      <c r="HN49" s="54"/>
      <c r="HO49" s="54"/>
      <c r="HP49" s="54"/>
      <c r="HQ49" s="54"/>
      <c r="HR49" s="54"/>
      <c r="HS49" s="54"/>
      <c r="HT49" s="54"/>
      <c r="HU49" s="54"/>
      <c r="HV49" s="54"/>
      <c r="HW49" s="54"/>
      <c r="HX49" s="54"/>
      <c r="HY49" s="54"/>
      <c r="HZ49" s="54"/>
      <c r="IA49" s="54"/>
      <c r="IB49" s="54"/>
      <c r="IC49" s="54"/>
      <c r="ID49" s="54"/>
      <c r="IE49" s="54"/>
      <c r="IF49" s="54"/>
      <c r="IG49" s="54"/>
      <c r="IH49" s="54"/>
      <c r="II49" s="54"/>
      <c r="IJ49" s="54"/>
      <c r="IK49" s="54"/>
      <c r="IL49" s="54"/>
      <c r="IM49" s="54"/>
      <c r="IN49" s="54"/>
      <c r="IO49" s="54"/>
      <c r="IP49" s="54"/>
      <c r="IQ49" s="54"/>
      <c r="IR49" s="54"/>
      <c r="IS49" s="54"/>
      <c r="IT49" s="54"/>
      <c r="IU49" s="54"/>
      <c r="IV49" s="54"/>
      <c r="IW49" s="54"/>
      <c r="IX49" s="54"/>
      <c r="IY49" s="54"/>
      <c r="IZ49" s="54"/>
      <c r="JA49" s="54"/>
      <c r="JB49" s="54"/>
      <c r="JC49" s="54"/>
      <c r="JD49" s="54"/>
      <c r="JE49" s="54"/>
      <c r="JF49" s="54"/>
      <c r="JG49" s="54"/>
      <c r="JH49" s="54"/>
      <c r="JI49" s="54"/>
      <c r="JJ49" s="54"/>
      <c r="JK49" s="54"/>
      <c r="JL49" s="54"/>
      <c r="JM49" s="54"/>
      <c r="JN49" s="54"/>
      <c r="JO49" s="54"/>
      <c r="JP49" s="54"/>
      <c r="JQ49" s="54"/>
      <c r="JR49" s="54"/>
      <c r="JS49" s="54"/>
      <c r="JT49" s="54"/>
      <c r="JU49" s="54"/>
      <c r="JV49" s="54"/>
      <c r="JW49" s="54"/>
      <c r="JX49" s="54"/>
      <c r="JY49" s="54"/>
      <c r="JZ49" s="54"/>
      <c r="KA49" s="54"/>
      <c r="KB49" s="54"/>
      <c r="KC49" s="54"/>
      <c r="KD49" s="54"/>
      <c r="KE49" s="54"/>
      <c r="KF49" s="54"/>
      <c r="KG49" s="54"/>
      <c r="KH49" s="54"/>
      <c r="KI49" s="54"/>
      <c r="KJ49" s="54"/>
      <c r="KK49" s="54"/>
      <c r="KL49" s="54"/>
      <c r="KM49" s="54"/>
      <c r="KN49" s="54"/>
      <c r="KO49" s="54"/>
      <c r="KP49" s="54"/>
      <c r="KQ49" s="54"/>
      <c r="KR49" s="54"/>
      <c r="KS49" s="54"/>
      <c r="KT49" s="54"/>
      <c r="KU49" s="54"/>
      <c r="KV49" s="54"/>
      <c r="KW49" s="54"/>
      <c r="KX49" s="54"/>
    </row>
    <row r="50" ht="5.25" customHeight="1">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4"/>
      <c r="CB50" s="54"/>
      <c r="CC50" s="54"/>
      <c r="CD50" s="54"/>
      <c r="CE50" s="54"/>
      <c r="CF50" s="54"/>
      <c r="CG50" s="54"/>
      <c r="CH50" s="54"/>
      <c r="CI50" s="54"/>
      <c r="CJ50" s="54"/>
      <c r="CK50" s="54"/>
      <c r="CL50" s="54"/>
      <c r="CM50" s="54"/>
      <c r="CN50" s="54"/>
      <c r="CO50" s="54"/>
      <c r="CP50" s="54"/>
      <c r="CQ50" s="54"/>
      <c r="CR50" s="54"/>
      <c r="CS50" s="54"/>
      <c r="CT50" s="54"/>
      <c r="CU50" s="54"/>
      <c r="CV50" s="54"/>
      <c r="CW50" s="54"/>
      <c r="CX50" s="54"/>
      <c r="CY50" s="54"/>
      <c r="CZ50" s="54"/>
      <c r="DA50" s="54"/>
      <c r="DB50" s="56"/>
      <c r="DC50" s="56">
        <f>DC46</f>
        <v>5</v>
      </c>
      <c r="DD50" s="64"/>
      <c r="DL50" s="83"/>
      <c r="DN50" s="11"/>
      <c r="DO50" s="84"/>
      <c r="DQ50" s="11"/>
      <c r="DR50" s="84"/>
      <c r="DU50" s="54"/>
      <c r="ED50" s="85">
        <f>sum(DL50:DT52)</f>
        <v>0</v>
      </c>
      <c r="EG50" s="11"/>
      <c r="EH50" s="86">
        <f>sum(EU50:FC52)</f>
        <v>0</v>
      </c>
      <c r="EL50" s="54"/>
      <c r="EM50" s="54"/>
      <c r="EN50" s="54"/>
      <c r="EO50" s="54"/>
      <c r="EP50" s="54"/>
      <c r="EQ50" s="54"/>
      <c r="ER50" s="54"/>
      <c r="ES50" s="54"/>
      <c r="ET50" s="54"/>
      <c r="EU50" s="83"/>
      <c r="EW50" s="11"/>
      <c r="EX50" s="84"/>
      <c r="EZ50" s="11"/>
      <c r="FA50" s="84"/>
      <c r="FD50" s="68"/>
      <c r="FE50" s="54"/>
      <c r="FF50" s="54"/>
      <c r="FG50" s="54"/>
      <c r="FH50" s="54"/>
      <c r="FI50" s="54"/>
      <c r="FJ50" s="54"/>
      <c r="FK50" s="69"/>
      <c r="FL50" s="56">
        <f>FL46</f>
        <v>12</v>
      </c>
      <c r="FM50" s="56"/>
      <c r="FN50" s="54"/>
      <c r="FO50" s="54"/>
      <c r="FP50" s="54"/>
      <c r="FQ50" s="54"/>
      <c r="FR50" s="54"/>
      <c r="FS50" s="54"/>
      <c r="FT50" s="54"/>
      <c r="FU50" s="54"/>
      <c r="FV50" s="54"/>
      <c r="FW50" s="54"/>
      <c r="FX50" s="54"/>
      <c r="FY50" s="54"/>
      <c r="FZ50" s="54"/>
      <c r="GA50" s="54"/>
      <c r="GB50" s="54"/>
      <c r="GC50" s="54"/>
      <c r="GD50" s="54"/>
      <c r="GE50" s="54"/>
      <c r="GF50" s="54"/>
      <c r="GG50" s="54"/>
      <c r="GH50" s="54"/>
      <c r="GI50" s="54"/>
      <c r="GJ50" s="54"/>
      <c r="GK50" s="54"/>
      <c r="GL50" s="54"/>
      <c r="GM50" s="54"/>
      <c r="GN50" s="54"/>
      <c r="GO50" s="54"/>
      <c r="GP50" s="54"/>
      <c r="GQ50" s="54"/>
      <c r="GR50" s="54"/>
      <c r="GS50" s="54"/>
      <c r="GT50" s="54"/>
      <c r="GU50" s="54"/>
      <c r="GV50" s="54"/>
      <c r="GW50" s="54"/>
      <c r="GX50" s="54"/>
      <c r="GY50" s="54"/>
      <c r="GZ50" s="54"/>
      <c r="HA50" s="54"/>
      <c r="HB50" s="54"/>
      <c r="HC50" s="54"/>
      <c r="HD50" s="54"/>
      <c r="HE50" s="54"/>
      <c r="HF50" s="54"/>
      <c r="HG50" s="54"/>
      <c r="HH50" s="54"/>
      <c r="HI50" s="54"/>
      <c r="HJ50" s="54"/>
      <c r="HK50" s="54"/>
      <c r="HL50" s="54"/>
      <c r="HM50" s="54"/>
      <c r="HN50" s="54"/>
      <c r="HO50" s="54"/>
      <c r="HP50" s="54"/>
      <c r="HQ50" s="54"/>
      <c r="HR50" s="54"/>
      <c r="HS50" s="54"/>
      <c r="HT50" s="54"/>
      <c r="HU50" s="54"/>
      <c r="HV50" s="54"/>
      <c r="HW50" s="54"/>
      <c r="HX50" s="54"/>
      <c r="HY50" s="54"/>
      <c r="HZ50" s="54"/>
      <c r="IA50" s="54"/>
      <c r="IB50" s="54"/>
      <c r="IC50" s="54"/>
      <c r="ID50" s="54"/>
      <c r="IE50" s="54"/>
      <c r="IF50" s="54"/>
      <c r="IG50" s="54"/>
      <c r="IH50" s="54"/>
      <c r="II50" s="54"/>
      <c r="IJ50" s="54"/>
      <c r="IK50" s="54"/>
      <c r="IL50" s="54"/>
      <c r="IM50" s="54"/>
      <c r="IN50" s="54"/>
      <c r="IO50" s="54"/>
      <c r="IP50" s="54"/>
      <c r="IQ50" s="54"/>
      <c r="IR50" s="54"/>
      <c r="IS50" s="54"/>
      <c r="IT50" s="54"/>
      <c r="IU50" s="54"/>
      <c r="IV50" s="54"/>
      <c r="IW50" s="54"/>
      <c r="IX50" s="54"/>
      <c r="IY50" s="54"/>
      <c r="IZ50" s="54"/>
      <c r="JA50" s="54"/>
      <c r="JB50" s="54"/>
      <c r="JC50" s="54"/>
      <c r="JD50" s="54"/>
      <c r="JE50" s="54"/>
      <c r="JF50" s="54"/>
      <c r="JG50" s="54"/>
      <c r="JH50" s="54"/>
      <c r="JI50" s="54"/>
      <c r="JJ50" s="54"/>
      <c r="JK50" s="54"/>
      <c r="JL50" s="54"/>
      <c r="JM50" s="54"/>
      <c r="JN50" s="54"/>
      <c r="JO50" s="54"/>
      <c r="JP50" s="54"/>
      <c r="JQ50" s="54"/>
      <c r="JR50" s="54"/>
      <c r="JS50" s="54"/>
      <c r="JT50" s="54"/>
      <c r="JU50" s="54"/>
      <c r="JV50" s="54"/>
      <c r="JW50" s="54"/>
      <c r="JX50" s="54"/>
      <c r="JY50" s="54"/>
      <c r="JZ50" s="54"/>
      <c r="KA50" s="54"/>
      <c r="KB50" s="54"/>
      <c r="KC50" s="54"/>
      <c r="KD50" s="54"/>
      <c r="KE50" s="54"/>
      <c r="KF50" s="54"/>
      <c r="KG50" s="54"/>
      <c r="KH50" s="54"/>
      <c r="KI50" s="54"/>
      <c r="KJ50" s="54"/>
      <c r="KK50" s="54"/>
      <c r="KL50" s="54"/>
      <c r="KM50" s="54"/>
      <c r="KN50" s="54"/>
      <c r="KO50" s="54"/>
      <c r="KP50" s="54"/>
      <c r="KQ50" s="54"/>
      <c r="KR50" s="54"/>
      <c r="KS50" s="54"/>
      <c r="KT50" s="54"/>
      <c r="KU50" s="54"/>
      <c r="KV50" s="54"/>
      <c r="KW50" s="54"/>
      <c r="KX50" s="54"/>
    </row>
    <row r="51" ht="5.25"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c r="CC51" s="54"/>
      <c r="CD51" s="54"/>
      <c r="CE51" s="54"/>
      <c r="CF51" s="54"/>
      <c r="CG51" s="54"/>
      <c r="CH51" s="54"/>
      <c r="CI51" s="54"/>
      <c r="CJ51" s="54"/>
      <c r="CK51" s="54"/>
      <c r="CL51" s="54"/>
      <c r="CM51" s="54"/>
      <c r="CN51" s="54"/>
      <c r="CO51" s="54"/>
      <c r="CP51" s="54"/>
      <c r="CQ51" s="54"/>
      <c r="CR51" s="54"/>
      <c r="CS51" s="54"/>
      <c r="CT51" s="54"/>
      <c r="CU51" s="54"/>
      <c r="CV51" s="54"/>
      <c r="CW51" s="54"/>
      <c r="CX51" s="54"/>
      <c r="CY51" s="54"/>
      <c r="CZ51" s="54"/>
      <c r="DA51" s="54"/>
      <c r="DB51" s="56"/>
      <c r="DC51" s="56"/>
      <c r="DD51" s="60"/>
      <c r="DN51" s="11"/>
      <c r="DO51" s="10"/>
      <c r="DQ51" s="11"/>
      <c r="DR51" s="10"/>
      <c r="EG51" s="11"/>
      <c r="EH51" s="10"/>
      <c r="EL51" s="54"/>
      <c r="EM51" s="54"/>
      <c r="EN51" s="54"/>
      <c r="EO51" s="54"/>
      <c r="EP51" s="54"/>
      <c r="EQ51" s="54"/>
      <c r="ER51" s="54"/>
      <c r="ES51" s="54"/>
      <c r="ET51" s="54"/>
      <c r="EW51" s="11"/>
      <c r="EX51" s="10"/>
      <c r="EZ51" s="11"/>
      <c r="FA51" s="10"/>
      <c r="FD51" s="68"/>
      <c r="FE51" s="54"/>
      <c r="FF51" s="54"/>
      <c r="FG51" s="54"/>
      <c r="FH51" s="54"/>
      <c r="FI51" s="54"/>
      <c r="FJ51" s="54"/>
      <c r="FK51" s="69"/>
      <c r="FL51" s="56"/>
      <c r="FM51" s="56"/>
      <c r="FN51" s="54"/>
      <c r="FO51" s="54"/>
      <c r="FP51" s="54"/>
      <c r="FQ51" s="54"/>
      <c r="FR51" s="54"/>
      <c r="FS51" s="54"/>
      <c r="FT51" s="54"/>
      <c r="FU51" s="54"/>
      <c r="FV51" s="54"/>
      <c r="FW51" s="54"/>
      <c r="FX51" s="54"/>
      <c r="FY51" s="54"/>
      <c r="FZ51" s="54"/>
      <c r="GA51" s="54"/>
      <c r="GB51" s="54"/>
      <c r="GC51" s="54"/>
      <c r="GD51" s="54"/>
      <c r="GE51" s="54"/>
      <c r="GF51" s="54"/>
      <c r="GG51" s="54"/>
      <c r="GH51" s="54"/>
      <c r="GI51" s="54"/>
      <c r="GJ51" s="54"/>
      <c r="GK51" s="54"/>
      <c r="GL51" s="54"/>
      <c r="GM51" s="54"/>
      <c r="GN51" s="54"/>
      <c r="GO51" s="54"/>
      <c r="GP51" s="54"/>
      <c r="GQ51" s="54"/>
      <c r="GR51" s="54"/>
      <c r="GS51" s="54"/>
      <c r="GT51" s="54"/>
      <c r="GU51" s="54"/>
      <c r="GV51" s="54"/>
      <c r="GW51" s="54"/>
      <c r="GX51" s="54"/>
      <c r="GY51" s="54"/>
      <c r="GZ51" s="54"/>
      <c r="HA51" s="54"/>
      <c r="HB51" s="54"/>
      <c r="HC51" s="54"/>
      <c r="HD51" s="54"/>
      <c r="HE51" s="54"/>
      <c r="HF51" s="54"/>
      <c r="HG51" s="54"/>
      <c r="HH51" s="54"/>
      <c r="HI51" s="54"/>
      <c r="HJ51" s="54"/>
      <c r="HK51" s="54"/>
      <c r="HL51" s="54"/>
      <c r="HM51" s="54"/>
      <c r="HN51" s="54"/>
      <c r="HO51" s="54"/>
      <c r="HP51" s="54"/>
      <c r="HQ51" s="54"/>
      <c r="HR51" s="54"/>
      <c r="HS51" s="54"/>
      <c r="HT51" s="54"/>
      <c r="HU51" s="54"/>
      <c r="HV51" s="54"/>
      <c r="HW51" s="54"/>
      <c r="HX51" s="54"/>
      <c r="HY51" s="54"/>
      <c r="HZ51" s="54"/>
      <c r="IA51" s="54"/>
      <c r="IB51" s="54"/>
      <c r="IC51" s="54"/>
      <c r="ID51" s="54"/>
      <c r="IE51" s="54"/>
      <c r="IF51" s="54"/>
      <c r="IG51" s="54"/>
      <c r="IH51" s="54"/>
      <c r="II51" s="54"/>
      <c r="IJ51" s="54"/>
      <c r="IK51" s="54"/>
      <c r="IL51" s="54"/>
      <c r="IM51" s="54"/>
      <c r="IN51" s="54"/>
      <c r="IO51" s="54"/>
      <c r="IP51" s="54"/>
      <c r="IQ51" s="54"/>
      <c r="IR51" s="54"/>
      <c r="IS51" s="54"/>
      <c r="IT51" s="54"/>
      <c r="IU51" s="54"/>
      <c r="IV51" s="54"/>
      <c r="IW51" s="54"/>
      <c r="IX51" s="54"/>
      <c r="IY51" s="54"/>
      <c r="IZ51" s="54"/>
      <c r="JA51" s="54"/>
      <c r="JB51" s="54"/>
      <c r="JC51" s="54"/>
      <c r="JD51" s="54"/>
      <c r="JE51" s="54"/>
      <c r="JF51" s="54"/>
      <c r="JG51" s="54"/>
      <c r="JH51" s="54"/>
      <c r="JI51" s="54"/>
      <c r="JJ51" s="54"/>
      <c r="JK51" s="54"/>
      <c r="JL51" s="54"/>
      <c r="JM51" s="54"/>
      <c r="JN51" s="54"/>
      <c r="JO51" s="54"/>
      <c r="JP51" s="54"/>
      <c r="JQ51" s="54"/>
      <c r="JR51" s="54"/>
      <c r="JS51" s="54"/>
      <c r="JT51" s="54"/>
      <c r="JU51" s="54"/>
      <c r="JV51" s="54"/>
      <c r="JW51" s="54"/>
      <c r="JX51" s="54"/>
      <c r="JY51" s="54"/>
      <c r="JZ51" s="54"/>
      <c r="KA51" s="54"/>
      <c r="KB51" s="54"/>
      <c r="KC51" s="54"/>
      <c r="KD51" s="54"/>
      <c r="KE51" s="54"/>
      <c r="KF51" s="54"/>
      <c r="KG51" s="54"/>
      <c r="KH51" s="54"/>
      <c r="KI51" s="54"/>
      <c r="KJ51" s="54"/>
      <c r="KK51" s="54"/>
      <c r="KL51" s="54"/>
      <c r="KM51" s="54"/>
      <c r="KN51" s="54"/>
      <c r="KO51" s="54"/>
      <c r="KP51" s="54"/>
      <c r="KQ51" s="54"/>
      <c r="KR51" s="54"/>
      <c r="KS51" s="54"/>
      <c r="KT51" s="54"/>
      <c r="KU51" s="54"/>
      <c r="KV51" s="54"/>
      <c r="KW51" s="54"/>
      <c r="KX51" s="54"/>
    </row>
    <row r="52" ht="5.25"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c r="CA52" s="54"/>
      <c r="CB52" s="54"/>
      <c r="CC52" s="54"/>
      <c r="CD52" s="54"/>
      <c r="CE52" s="54"/>
      <c r="CF52" s="54"/>
      <c r="CG52" s="54"/>
      <c r="CH52" s="54"/>
      <c r="CI52" s="54"/>
      <c r="CJ52" s="54"/>
      <c r="CK52" s="54"/>
      <c r="CL52" s="54"/>
      <c r="CM52" s="54"/>
      <c r="CN52" s="54"/>
      <c r="CO52" s="54"/>
      <c r="CP52" s="54"/>
      <c r="CQ52" s="54"/>
      <c r="CR52" s="54"/>
      <c r="CS52" s="54"/>
      <c r="CT52" s="54"/>
      <c r="CU52" s="54"/>
      <c r="CV52" s="54"/>
      <c r="CW52" s="54"/>
      <c r="CX52" s="54"/>
      <c r="CY52" s="54"/>
      <c r="CZ52" s="54"/>
      <c r="DA52" s="54"/>
      <c r="DB52" s="56"/>
      <c r="DC52" s="56"/>
      <c r="DD52" s="88"/>
      <c r="DE52" s="13"/>
      <c r="DF52" s="13"/>
      <c r="DG52" s="13"/>
      <c r="DH52" s="13"/>
      <c r="DI52" s="13"/>
      <c r="DJ52" s="13"/>
      <c r="DK52" s="13"/>
      <c r="DL52" s="13"/>
      <c r="DM52" s="13"/>
      <c r="DN52" s="14"/>
      <c r="DO52" s="12"/>
      <c r="DP52" s="13"/>
      <c r="DQ52" s="14"/>
      <c r="DR52" s="12"/>
      <c r="DS52" s="13"/>
      <c r="DT52" s="13"/>
      <c r="DU52" s="13"/>
      <c r="DV52" s="13"/>
      <c r="DW52" s="13"/>
      <c r="DX52" s="13"/>
      <c r="DY52" s="13"/>
      <c r="DZ52" s="13"/>
      <c r="EA52" s="13"/>
      <c r="EB52" s="13"/>
      <c r="EC52" s="13"/>
      <c r="ED52" s="13"/>
      <c r="EE52" s="13"/>
      <c r="EF52" s="13"/>
      <c r="EG52" s="14"/>
      <c r="EH52" s="12"/>
      <c r="EI52" s="13"/>
      <c r="EJ52" s="13"/>
      <c r="EK52" s="13"/>
      <c r="EL52" s="89"/>
      <c r="EM52" s="89"/>
      <c r="EN52" s="89"/>
      <c r="EO52" s="89"/>
      <c r="EP52" s="89"/>
      <c r="EQ52" s="89"/>
      <c r="ER52" s="89"/>
      <c r="ES52" s="89"/>
      <c r="ET52" s="89"/>
      <c r="EU52" s="13"/>
      <c r="EV52" s="13"/>
      <c r="EW52" s="14"/>
      <c r="EX52" s="12"/>
      <c r="EY52" s="13"/>
      <c r="EZ52" s="14"/>
      <c r="FA52" s="12"/>
      <c r="FB52" s="13"/>
      <c r="FC52" s="13"/>
      <c r="FD52" s="90"/>
      <c r="FE52" s="89"/>
      <c r="FF52" s="89"/>
      <c r="FG52" s="89"/>
      <c r="FH52" s="89"/>
      <c r="FI52" s="89"/>
      <c r="FJ52" s="89"/>
      <c r="FK52" s="91"/>
      <c r="FL52" s="56"/>
      <c r="FM52" s="56"/>
      <c r="FN52" s="54"/>
      <c r="FO52" s="54"/>
      <c r="FP52" s="54"/>
      <c r="FQ52" s="54"/>
      <c r="FR52" s="54"/>
      <c r="FS52" s="54"/>
      <c r="FT52" s="54"/>
      <c r="FU52" s="54"/>
      <c r="FV52" s="54"/>
      <c r="FW52" s="54"/>
      <c r="FX52" s="54"/>
      <c r="FY52" s="54"/>
      <c r="FZ52" s="54"/>
      <c r="GA52" s="54"/>
      <c r="GB52" s="54"/>
      <c r="GC52" s="54"/>
      <c r="GD52" s="54"/>
      <c r="GE52" s="54"/>
      <c r="GF52" s="54"/>
      <c r="GG52" s="54"/>
      <c r="GH52" s="54"/>
      <c r="GI52" s="54"/>
      <c r="GJ52" s="54"/>
      <c r="GK52" s="54"/>
      <c r="GL52" s="54"/>
      <c r="GM52" s="54"/>
      <c r="GN52" s="54"/>
      <c r="GO52" s="54"/>
      <c r="GP52" s="54"/>
      <c r="GQ52" s="54"/>
      <c r="GR52" s="54"/>
      <c r="GS52" s="54"/>
      <c r="GT52" s="54"/>
      <c r="GU52" s="54"/>
      <c r="GV52" s="54"/>
      <c r="GW52" s="54"/>
      <c r="GX52" s="54"/>
      <c r="GY52" s="54"/>
      <c r="GZ52" s="54"/>
      <c r="HA52" s="54"/>
      <c r="HB52" s="54"/>
      <c r="HC52" s="54"/>
      <c r="HD52" s="54"/>
      <c r="HE52" s="54"/>
      <c r="HF52" s="54"/>
      <c r="HG52" s="54"/>
      <c r="HH52" s="54"/>
      <c r="HI52" s="54"/>
      <c r="HJ52" s="54"/>
      <c r="HK52" s="54"/>
      <c r="HL52" s="54"/>
      <c r="HM52" s="54"/>
      <c r="HN52" s="54"/>
      <c r="HO52" s="54"/>
      <c r="HP52" s="54"/>
      <c r="HQ52" s="54"/>
      <c r="HR52" s="54"/>
      <c r="HS52" s="54"/>
      <c r="HT52" s="54"/>
      <c r="HU52" s="54"/>
      <c r="HV52" s="54"/>
      <c r="HW52" s="54"/>
      <c r="HX52" s="54"/>
      <c r="HY52" s="54"/>
      <c r="HZ52" s="54"/>
      <c r="IA52" s="54"/>
      <c r="IB52" s="54"/>
      <c r="IC52" s="54"/>
      <c r="ID52" s="54"/>
      <c r="IE52" s="54"/>
      <c r="IF52" s="54"/>
      <c r="IG52" s="54"/>
      <c r="IH52" s="54"/>
      <c r="II52" s="54"/>
      <c r="IJ52" s="54"/>
      <c r="IK52" s="54"/>
      <c r="IL52" s="54"/>
      <c r="IM52" s="54"/>
      <c r="IN52" s="54"/>
      <c r="IO52" s="54"/>
      <c r="IP52" s="54"/>
      <c r="IQ52" s="54"/>
      <c r="IR52" s="54"/>
      <c r="IS52" s="54"/>
      <c r="IT52" s="54"/>
      <c r="IU52" s="54"/>
      <c r="IV52" s="54"/>
      <c r="IW52" s="54"/>
      <c r="IX52" s="54"/>
      <c r="IY52" s="54"/>
      <c r="IZ52" s="54"/>
      <c r="JA52" s="54"/>
      <c r="JB52" s="54"/>
      <c r="JC52" s="54"/>
      <c r="JD52" s="54"/>
      <c r="JE52" s="54"/>
      <c r="JF52" s="54"/>
      <c r="JG52" s="54"/>
      <c r="JH52" s="54"/>
      <c r="JI52" s="54"/>
      <c r="JJ52" s="54"/>
      <c r="JK52" s="54"/>
      <c r="JL52" s="54"/>
      <c r="JM52" s="54"/>
      <c r="JN52" s="54"/>
      <c r="JO52" s="54"/>
      <c r="JP52" s="54"/>
      <c r="JQ52" s="54"/>
      <c r="JR52" s="54"/>
      <c r="JS52" s="54"/>
      <c r="JT52" s="54"/>
      <c r="JU52" s="54"/>
      <c r="JV52" s="54"/>
      <c r="JW52" s="54"/>
      <c r="JX52" s="54"/>
      <c r="JY52" s="54"/>
      <c r="JZ52" s="54"/>
      <c r="KA52" s="54"/>
      <c r="KB52" s="54"/>
      <c r="KC52" s="54"/>
      <c r="KD52" s="54"/>
      <c r="KE52" s="54"/>
      <c r="KF52" s="54"/>
      <c r="KG52" s="54"/>
      <c r="KH52" s="54"/>
      <c r="KI52" s="54"/>
      <c r="KJ52" s="54"/>
      <c r="KK52" s="54"/>
      <c r="KL52" s="54"/>
      <c r="KM52" s="54"/>
      <c r="KN52" s="54"/>
      <c r="KO52" s="54"/>
      <c r="KP52" s="54"/>
      <c r="KQ52" s="54"/>
      <c r="KR52" s="54"/>
      <c r="KS52" s="54"/>
      <c r="KT52" s="54"/>
      <c r="KU52" s="54"/>
      <c r="KV52" s="54"/>
      <c r="KW52" s="54"/>
      <c r="KX52" s="54"/>
    </row>
    <row r="53" ht="5.25"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c r="DA53" s="54"/>
      <c r="DB53" s="56"/>
      <c r="DC53" s="56">
        <f>'Choose matchups (Contender)'!Q10</f>
        <v>6</v>
      </c>
      <c r="DD53" s="92" t="str">
        <f t="array" ref="DD53">xlookup(DC53,qualdata!$M$2:$M$17,qualdata!$O$2:$O$17,"")</f>
        <v/>
      </c>
      <c r="DE53" s="8"/>
      <c r="DF53" s="8"/>
      <c r="DG53" s="8"/>
      <c r="DH53" s="93" t="str">
        <f t="array" ref="DH53">xlookup(DC53,qualdata!$M$2:$M$17,qualdata!$N$2:$N$17,"")</f>
        <v>Team 6 (Group 1)</v>
      </c>
      <c r="DI53" s="8"/>
      <c r="DJ53" s="8"/>
      <c r="DK53" s="8"/>
      <c r="DL53" s="8"/>
      <c r="DM53" s="8"/>
      <c r="DN53" s="8"/>
      <c r="DO53" s="8"/>
      <c r="DP53" s="8"/>
      <c r="DQ53" s="8"/>
      <c r="DR53" s="8"/>
      <c r="DS53" s="8"/>
      <c r="DT53" s="8"/>
      <c r="DU53" s="8"/>
      <c r="DV53" s="8"/>
      <c r="DW53" s="8"/>
      <c r="DX53" s="8"/>
      <c r="DY53" s="8"/>
      <c r="DZ53" s="8"/>
      <c r="EA53" s="8"/>
      <c r="EB53" s="8"/>
      <c r="EC53" s="8"/>
      <c r="ED53" s="94"/>
      <c r="EE53" s="8"/>
      <c r="EF53" s="8"/>
      <c r="EG53" s="9"/>
      <c r="EH53" s="95"/>
      <c r="EI53" s="8"/>
      <c r="EJ53" s="8"/>
      <c r="EK53" s="8"/>
      <c r="EL53" s="96" t="str">
        <f t="array" ref="EL53">xlookup(FL53,qualdata!$M$2:$M$17,qualdata!$N$2:$N$17,"")</f>
        <v>Team 11 (Group 1)</v>
      </c>
      <c r="EM53" s="8"/>
      <c r="EN53" s="8"/>
      <c r="EO53" s="8"/>
      <c r="EP53" s="8"/>
      <c r="EQ53" s="8"/>
      <c r="ER53" s="8"/>
      <c r="ES53" s="8"/>
      <c r="ET53" s="8"/>
      <c r="EU53" s="8"/>
      <c r="EV53" s="8"/>
      <c r="EW53" s="8"/>
      <c r="EX53" s="8"/>
      <c r="EY53" s="8"/>
      <c r="EZ53" s="8"/>
      <c r="FA53" s="8"/>
      <c r="FB53" s="8"/>
      <c r="FC53" s="8"/>
      <c r="FD53" s="8"/>
      <c r="FE53" s="8"/>
      <c r="FF53" s="8"/>
      <c r="FG53" s="8"/>
      <c r="FH53" s="97" t="str">
        <f t="array" ref="FH53">xlookup(FL53,qualdata!$M$2:$M$17,qualdata!$O$2:$O$17,"")</f>
        <v/>
      </c>
      <c r="FI53" s="8"/>
      <c r="FJ53" s="8"/>
      <c r="FK53" s="98"/>
      <c r="FL53" s="77">
        <f t="array" ref="FL53">xlookup(DC53,qualdata!$M$2:$M$17,qualdata!$P$2:$P$17,"")</f>
        <v>11</v>
      </c>
      <c r="FM53" s="56"/>
      <c r="FN53" s="54"/>
      <c r="FO53" s="54"/>
      <c r="FP53" s="54"/>
      <c r="FQ53" s="54"/>
      <c r="FR53" s="54"/>
      <c r="FS53" s="54"/>
      <c r="FT53" s="54"/>
      <c r="FU53" s="54"/>
      <c r="FV53" s="54"/>
      <c r="FW53" s="54"/>
      <c r="FX53" s="54"/>
      <c r="FY53" s="54"/>
      <c r="FZ53" s="54"/>
      <c r="GA53" s="54"/>
      <c r="GB53" s="54"/>
      <c r="GC53" s="54"/>
      <c r="GD53" s="54"/>
      <c r="GE53" s="54"/>
      <c r="GF53" s="54"/>
      <c r="GG53" s="54"/>
      <c r="GH53" s="54"/>
      <c r="GI53" s="54"/>
      <c r="GJ53" s="54"/>
      <c r="GK53" s="54"/>
      <c r="GL53" s="54"/>
      <c r="GM53" s="54"/>
      <c r="GN53" s="54"/>
      <c r="GO53" s="54"/>
      <c r="GP53" s="54"/>
      <c r="GQ53" s="54"/>
      <c r="GR53" s="54"/>
      <c r="GS53" s="54"/>
      <c r="GT53" s="54"/>
      <c r="GU53" s="54"/>
      <c r="GV53" s="54"/>
      <c r="GW53" s="54"/>
      <c r="GX53" s="54"/>
      <c r="GY53" s="54"/>
      <c r="GZ53" s="54"/>
      <c r="HA53" s="54"/>
      <c r="HB53" s="54"/>
      <c r="HC53" s="54"/>
      <c r="HD53" s="54"/>
      <c r="HE53" s="54"/>
      <c r="HF53" s="54"/>
      <c r="HG53" s="54"/>
      <c r="HH53" s="54"/>
      <c r="HI53" s="54"/>
      <c r="HJ53" s="54"/>
      <c r="HK53" s="54"/>
      <c r="HL53" s="54"/>
      <c r="HM53" s="54"/>
      <c r="HN53" s="54"/>
      <c r="HO53" s="54"/>
      <c r="HP53" s="54"/>
      <c r="HQ53" s="54"/>
      <c r="HR53" s="54"/>
      <c r="HS53" s="54"/>
      <c r="HT53" s="54"/>
      <c r="HU53" s="54"/>
      <c r="HV53" s="54"/>
      <c r="HW53" s="54"/>
      <c r="HX53" s="54"/>
      <c r="HY53" s="54"/>
      <c r="HZ53" s="54"/>
      <c r="IA53" s="54"/>
      <c r="IB53" s="54"/>
      <c r="IC53" s="54"/>
      <c r="ID53" s="54"/>
      <c r="IE53" s="54"/>
      <c r="IF53" s="54"/>
      <c r="IG53" s="54"/>
      <c r="IH53" s="54"/>
      <c r="II53" s="54"/>
      <c r="IJ53" s="54"/>
      <c r="IK53" s="54"/>
      <c r="IL53" s="54"/>
      <c r="IM53" s="54"/>
      <c r="IN53" s="54"/>
      <c r="IO53" s="54"/>
      <c r="IP53" s="54"/>
      <c r="IQ53" s="54"/>
      <c r="IR53" s="54"/>
      <c r="IS53" s="54"/>
      <c r="IT53" s="54"/>
      <c r="IU53" s="54"/>
      <c r="IV53" s="54"/>
      <c r="IW53" s="54"/>
      <c r="IX53" s="54"/>
      <c r="IY53" s="54"/>
      <c r="IZ53" s="54"/>
      <c r="JA53" s="54"/>
      <c r="JB53" s="54"/>
      <c r="JC53" s="54"/>
      <c r="JD53" s="54"/>
      <c r="JE53" s="54"/>
      <c r="JF53" s="54"/>
      <c r="JG53" s="54"/>
      <c r="JH53" s="54"/>
      <c r="JI53" s="54"/>
      <c r="JJ53" s="54"/>
      <c r="JK53" s="54"/>
      <c r="JL53" s="54"/>
      <c r="JM53" s="54"/>
      <c r="JN53" s="54"/>
      <c r="JO53" s="54"/>
      <c r="JP53" s="54"/>
      <c r="JQ53" s="54"/>
      <c r="JR53" s="54"/>
      <c r="JS53" s="54"/>
      <c r="JT53" s="54"/>
      <c r="JU53" s="54"/>
      <c r="JV53" s="54"/>
      <c r="JW53" s="54"/>
      <c r="JX53" s="54"/>
      <c r="JY53" s="54"/>
      <c r="JZ53" s="54"/>
      <c r="KA53" s="54"/>
      <c r="KB53" s="54"/>
      <c r="KC53" s="54"/>
      <c r="KD53" s="54"/>
      <c r="KE53" s="54"/>
      <c r="KF53" s="54"/>
      <c r="KG53" s="54"/>
      <c r="KH53" s="54"/>
      <c r="KI53" s="54"/>
      <c r="KJ53" s="54"/>
      <c r="KK53" s="54"/>
      <c r="KL53" s="54"/>
      <c r="KM53" s="54"/>
      <c r="KN53" s="54"/>
      <c r="KO53" s="54"/>
      <c r="KP53" s="54"/>
      <c r="KQ53" s="54"/>
      <c r="KR53" s="54"/>
      <c r="KS53" s="54"/>
      <c r="KT53" s="54"/>
      <c r="KU53" s="54"/>
      <c r="KV53" s="54"/>
      <c r="KW53" s="54"/>
      <c r="KX53" s="54"/>
    </row>
    <row r="54" ht="5.25"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4"/>
      <c r="BZ54" s="54"/>
      <c r="CA54" s="54"/>
      <c r="CB54" s="54"/>
      <c r="CC54" s="54"/>
      <c r="CD54" s="54"/>
      <c r="CE54" s="54"/>
      <c r="CF54" s="54"/>
      <c r="CG54" s="54"/>
      <c r="CH54" s="54"/>
      <c r="CI54" s="54"/>
      <c r="CJ54" s="54"/>
      <c r="CK54" s="54"/>
      <c r="CL54" s="54"/>
      <c r="CM54" s="54"/>
      <c r="CN54" s="54"/>
      <c r="CO54" s="54"/>
      <c r="CP54" s="54"/>
      <c r="CQ54" s="54"/>
      <c r="CR54" s="54"/>
      <c r="CS54" s="54"/>
      <c r="CT54" s="54"/>
      <c r="CU54" s="54"/>
      <c r="CV54" s="54"/>
      <c r="CW54" s="54"/>
      <c r="CX54" s="54"/>
      <c r="CY54" s="54"/>
      <c r="CZ54" s="54"/>
      <c r="DA54" s="54"/>
      <c r="DB54" s="56"/>
      <c r="DC54" s="56"/>
      <c r="DD54" s="60"/>
      <c r="EG54" s="11"/>
      <c r="EH54" s="10"/>
      <c r="FK54" s="61"/>
      <c r="FL54" s="56"/>
      <c r="FM54" s="56"/>
      <c r="FN54" s="54"/>
      <c r="FO54" s="54"/>
      <c r="FP54" s="54"/>
      <c r="FQ54" s="54"/>
      <c r="FR54" s="54"/>
      <c r="FS54" s="54"/>
      <c r="FT54" s="54"/>
      <c r="FU54" s="54"/>
      <c r="FV54" s="54"/>
      <c r="FW54" s="54"/>
      <c r="FX54" s="54"/>
      <c r="FY54" s="54"/>
      <c r="FZ54" s="54"/>
      <c r="GA54" s="54"/>
      <c r="GB54" s="54"/>
      <c r="GC54" s="54"/>
      <c r="GD54" s="54"/>
      <c r="GE54" s="54"/>
      <c r="GF54" s="54"/>
      <c r="GG54" s="54"/>
      <c r="GH54" s="54"/>
      <c r="GI54" s="54"/>
      <c r="GJ54" s="54"/>
      <c r="GK54" s="54"/>
      <c r="GL54" s="54"/>
      <c r="GM54" s="54"/>
      <c r="GN54" s="54"/>
      <c r="GO54" s="54"/>
      <c r="GP54" s="54"/>
      <c r="GQ54" s="54"/>
      <c r="GR54" s="54"/>
      <c r="GS54" s="54"/>
      <c r="GT54" s="54"/>
      <c r="GU54" s="54"/>
      <c r="GV54" s="54"/>
      <c r="GW54" s="54"/>
      <c r="GX54" s="54"/>
      <c r="GY54" s="54"/>
      <c r="GZ54" s="54"/>
      <c r="HA54" s="54"/>
      <c r="HB54" s="54"/>
      <c r="HC54" s="54"/>
      <c r="HD54" s="54"/>
      <c r="HE54" s="54"/>
      <c r="HF54" s="54"/>
      <c r="HG54" s="54"/>
      <c r="HH54" s="54"/>
      <c r="HI54" s="54"/>
      <c r="HJ54" s="54"/>
      <c r="HK54" s="54"/>
      <c r="HL54" s="54"/>
      <c r="HM54" s="54"/>
      <c r="HN54" s="54"/>
      <c r="HO54" s="54"/>
      <c r="HP54" s="54"/>
      <c r="HQ54" s="54"/>
      <c r="HR54" s="54"/>
      <c r="HS54" s="54"/>
      <c r="HT54" s="54"/>
      <c r="HU54" s="54"/>
      <c r="HV54" s="54"/>
      <c r="HW54" s="54"/>
      <c r="HX54" s="54"/>
      <c r="HY54" s="54"/>
      <c r="HZ54" s="54"/>
      <c r="IA54" s="54"/>
      <c r="IB54" s="54"/>
      <c r="IC54" s="54"/>
      <c r="ID54" s="54"/>
      <c r="IE54" s="54"/>
      <c r="IF54" s="54"/>
      <c r="IG54" s="54"/>
      <c r="IH54" s="54"/>
      <c r="II54" s="54"/>
      <c r="IJ54" s="54"/>
      <c r="IK54" s="54"/>
      <c r="IL54" s="54"/>
      <c r="IM54" s="54"/>
      <c r="IN54" s="54"/>
      <c r="IO54" s="54"/>
      <c r="IP54" s="54"/>
      <c r="IQ54" s="54"/>
      <c r="IR54" s="54"/>
      <c r="IS54" s="54"/>
      <c r="IT54" s="54"/>
      <c r="IU54" s="54"/>
      <c r="IV54" s="54"/>
      <c r="IW54" s="54"/>
      <c r="IX54" s="54"/>
      <c r="IY54" s="54"/>
      <c r="IZ54" s="54"/>
      <c r="JA54" s="54"/>
      <c r="JB54" s="54"/>
      <c r="JC54" s="54"/>
      <c r="JD54" s="54"/>
      <c r="JE54" s="54"/>
      <c r="JF54" s="54"/>
      <c r="JG54" s="54"/>
      <c r="JH54" s="54"/>
      <c r="JI54" s="54"/>
      <c r="JJ54" s="54"/>
      <c r="JK54" s="54"/>
      <c r="JL54" s="54"/>
      <c r="JM54" s="54"/>
      <c r="JN54" s="54"/>
      <c r="JO54" s="54"/>
      <c r="JP54" s="54"/>
      <c r="JQ54" s="54"/>
      <c r="JR54" s="54"/>
      <c r="JS54" s="54"/>
      <c r="JT54" s="54"/>
      <c r="JU54" s="54"/>
      <c r="JV54" s="54"/>
      <c r="JW54" s="54"/>
      <c r="JX54" s="54"/>
      <c r="JY54" s="54"/>
      <c r="JZ54" s="54"/>
      <c r="KA54" s="54"/>
      <c r="KB54" s="54"/>
      <c r="KC54" s="54"/>
      <c r="KD54" s="54"/>
      <c r="KE54" s="54"/>
      <c r="KF54" s="54"/>
      <c r="KG54" s="54"/>
      <c r="KH54" s="54"/>
      <c r="KI54" s="54"/>
      <c r="KJ54" s="54"/>
      <c r="KK54" s="54"/>
      <c r="KL54" s="54"/>
      <c r="KM54" s="54"/>
      <c r="KN54" s="54"/>
      <c r="KO54" s="54"/>
      <c r="KP54" s="54"/>
      <c r="KQ54" s="54"/>
      <c r="KR54" s="54"/>
      <c r="KS54" s="54"/>
      <c r="KT54" s="54"/>
      <c r="KU54" s="54"/>
      <c r="KV54" s="54"/>
      <c r="KW54" s="54"/>
      <c r="KX54" s="54"/>
    </row>
    <row r="55" ht="5.25"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c r="CA55" s="54"/>
      <c r="CB55" s="54"/>
      <c r="CC55" s="54"/>
      <c r="CD55" s="54"/>
      <c r="CE55" s="54"/>
      <c r="CF55" s="54"/>
      <c r="CG55" s="54"/>
      <c r="CH55" s="54"/>
      <c r="CI55" s="54"/>
      <c r="CJ55" s="54"/>
      <c r="CK55" s="54"/>
      <c r="CL55" s="54"/>
      <c r="CM55" s="54"/>
      <c r="CN55" s="54"/>
      <c r="CO55" s="54"/>
      <c r="CP55" s="54"/>
      <c r="CQ55" s="54"/>
      <c r="CR55" s="54"/>
      <c r="CS55" s="54"/>
      <c r="CT55" s="54"/>
      <c r="CU55" s="54"/>
      <c r="CV55" s="54"/>
      <c r="CW55" s="54"/>
      <c r="CX55" s="54"/>
      <c r="CY55" s="54"/>
      <c r="CZ55" s="54"/>
      <c r="DA55" s="54"/>
      <c r="DB55" s="56"/>
      <c r="DC55" s="56"/>
      <c r="DD55" s="60"/>
      <c r="EG55" s="11"/>
      <c r="EH55" s="10"/>
      <c r="FK55" s="61"/>
      <c r="FL55" s="56"/>
      <c r="FM55" s="56"/>
      <c r="FN55" s="54"/>
      <c r="FO55" s="54"/>
      <c r="FP55" s="54"/>
      <c r="FQ55" s="54"/>
      <c r="FR55" s="54"/>
      <c r="FS55" s="54"/>
      <c r="FT55" s="54"/>
      <c r="FU55" s="54"/>
      <c r="FV55" s="54"/>
      <c r="FW55" s="54"/>
      <c r="FX55" s="54"/>
      <c r="FY55" s="54"/>
      <c r="FZ55" s="54"/>
      <c r="GA55" s="54"/>
      <c r="GB55" s="54"/>
      <c r="GC55" s="54"/>
      <c r="GD55" s="54"/>
      <c r="GE55" s="54"/>
      <c r="GF55" s="54"/>
      <c r="GG55" s="54"/>
      <c r="GH55" s="54"/>
      <c r="GI55" s="54"/>
      <c r="GJ55" s="54"/>
      <c r="GK55" s="54"/>
      <c r="GL55" s="54"/>
      <c r="GM55" s="54"/>
      <c r="GN55" s="54"/>
      <c r="GO55" s="54"/>
      <c r="GP55" s="54"/>
      <c r="GQ55" s="54"/>
      <c r="GR55" s="54"/>
      <c r="GS55" s="54"/>
      <c r="GT55" s="54"/>
      <c r="GU55" s="54"/>
      <c r="GV55" s="54"/>
      <c r="GW55" s="54"/>
      <c r="GX55" s="54"/>
      <c r="GY55" s="54"/>
      <c r="GZ55" s="54"/>
      <c r="HA55" s="54"/>
      <c r="HB55" s="54"/>
      <c r="HC55" s="54"/>
      <c r="HD55" s="54"/>
      <c r="HE55" s="54"/>
      <c r="HF55" s="54"/>
      <c r="HG55" s="54"/>
      <c r="HH55" s="54"/>
      <c r="HI55" s="54"/>
      <c r="HJ55" s="54"/>
      <c r="HK55" s="54"/>
      <c r="HL55" s="54"/>
      <c r="HM55" s="54"/>
      <c r="HN55" s="54"/>
      <c r="HO55" s="54"/>
      <c r="HP55" s="54"/>
      <c r="HQ55" s="54"/>
      <c r="HR55" s="54"/>
      <c r="HS55" s="54"/>
      <c r="HT55" s="54"/>
      <c r="HU55" s="54"/>
      <c r="HV55" s="54"/>
      <c r="HW55" s="54"/>
      <c r="HX55" s="54"/>
      <c r="HY55" s="54"/>
      <c r="HZ55" s="54"/>
      <c r="IA55" s="54"/>
      <c r="IB55" s="54"/>
      <c r="IC55" s="54"/>
      <c r="ID55" s="54"/>
      <c r="IE55" s="54"/>
      <c r="IF55" s="54"/>
      <c r="IG55" s="54"/>
      <c r="IH55" s="54"/>
      <c r="II55" s="54"/>
      <c r="IJ55" s="54"/>
      <c r="IK55" s="54"/>
      <c r="IL55" s="54"/>
      <c r="IM55" s="54"/>
      <c r="IN55" s="54"/>
      <c r="IO55" s="54"/>
      <c r="IP55" s="54"/>
      <c r="IQ55" s="54"/>
      <c r="IR55" s="54"/>
      <c r="IS55" s="54"/>
      <c r="IT55" s="54"/>
      <c r="IU55" s="54"/>
      <c r="IV55" s="54"/>
      <c r="IW55" s="54"/>
      <c r="IX55" s="54"/>
      <c r="IY55" s="54"/>
      <c r="IZ55" s="54"/>
      <c r="JA55" s="54"/>
      <c r="JB55" s="54"/>
      <c r="JC55" s="54"/>
      <c r="JD55" s="54"/>
      <c r="JE55" s="54"/>
      <c r="JF55" s="54"/>
      <c r="JG55" s="54"/>
      <c r="JH55" s="54"/>
      <c r="JI55" s="54"/>
      <c r="JJ55" s="54"/>
      <c r="JK55" s="54"/>
      <c r="JL55" s="54"/>
      <c r="JM55" s="54"/>
      <c r="JN55" s="54"/>
      <c r="JO55" s="54"/>
      <c r="JP55" s="54"/>
      <c r="JQ55" s="54"/>
      <c r="JR55" s="54"/>
      <c r="JS55" s="54"/>
      <c r="JT55" s="54"/>
      <c r="JU55" s="54"/>
      <c r="JV55" s="54"/>
      <c r="JW55" s="54"/>
      <c r="JX55" s="54"/>
      <c r="JY55" s="54"/>
      <c r="JZ55" s="54"/>
      <c r="KA55" s="54"/>
      <c r="KB55" s="54"/>
      <c r="KC55" s="54"/>
      <c r="KD55" s="54"/>
      <c r="KE55" s="54"/>
      <c r="KF55" s="54"/>
      <c r="KG55" s="54"/>
      <c r="KH55" s="54"/>
      <c r="KI55" s="54"/>
      <c r="KJ55" s="54"/>
      <c r="KK55" s="54"/>
      <c r="KL55" s="54"/>
      <c r="KM55" s="54"/>
      <c r="KN55" s="54"/>
      <c r="KO55" s="54"/>
      <c r="KP55" s="54"/>
      <c r="KQ55" s="54"/>
      <c r="KR55" s="54"/>
      <c r="KS55" s="54"/>
      <c r="KT55" s="54"/>
      <c r="KU55" s="54"/>
      <c r="KV55" s="54"/>
      <c r="KW55" s="54"/>
      <c r="KX55" s="54"/>
    </row>
    <row r="56" ht="5.25"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c r="CA56" s="54"/>
      <c r="CB56" s="54"/>
      <c r="CC56" s="54"/>
      <c r="CD56" s="54"/>
      <c r="CE56" s="54"/>
      <c r="CF56" s="54"/>
      <c r="CG56" s="54"/>
      <c r="CH56" s="54"/>
      <c r="CI56" s="54"/>
      <c r="CJ56" s="54"/>
      <c r="CK56" s="54"/>
      <c r="CL56" s="54"/>
      <c r="CM56" s="54"/>
      <c r="CN56" s="54"/>
      <c r="CO56" s="54"/>
      <c r="CP56" s="54"/>
      <c r="CQ56" s="54"/>
      <c r="CR56" s="54"/>
      <c r="CS56" s="54"/>
      <c r="CT56" s="54"/>
      <c r="CU56" s="54"/>
      <c r="CV56" s="54"/>
      <c r="CW56" s="54"/>
      <c r="CX56" s="54"/>
      <c r="CY56" s="54"/>
      <c r="CZ56" s="54"/>
      <c r="DA56" s="54"/>
      <c r="DB56" s="56"/>
      <c r="DC56" s="56"/>
      <c r="DD56" s="60"/>
      <c r="EG56" s="11"/>
      <c r="EH56" s="10"/>
      <c r="FK56" s="61"/>
      <c r="FL56" s="56"/>
      <c r="FM56" s="56"/>
      <c r="FN56" s="54"/>
      <c r="FO56" s="54"/>
      <c r="FP56" s="54"/>
      <c r="FQ56" s="54"/>
      <c r="FR56" s="54"/>
      <c r="FS56" s="54"/>
      <c r="FT56" s="54"/>
      <c r="FU56" s="54"/>
      <c r="FV56" s="54"/>
      <c r="FW56" s="54"/>
      <c r="FX56" s="54"/>
      <c r="FY56" s="54"/>
      <c r="FZ56" s="54"/>
      <c r="GA56" s="54"/>
      <c r="GB56" s="54"/>
      <c r="GC56" s="54"/>
      <c r="GD56" s="54"/>
      <c r="GE56" s="54"/>
      <c r="GF56" s="54"/>
      <c r="GG56" s="54"/>
      <c r="GH56" s="54"/>
      <c r="GI56" s="54"/>
      <c r="GJ56" s="54"/>
      <c r="GK56" s="54"/>
      <c r="GL56" s="54"/>
      <c r="GM56" s="54"/>
      <c r="GN56" s="54"/>
      <c r="GO56" s="54"/>
      <c r="GP56" s="54"/>
      <c r="GQ56" s="54"/>
      <c r="GR56" s="54"/>
      <c r="GS56" s="54"/>
      <c r="GT56" s="54"/>
      <c r="GU56" s="54"/>
      <c r="GV56" s="54"/>
      <c r="GW56" s="54"/>
      <c r="GX56" s="54"/>
      <c r="GY56" s="54"/>
      <c r="GZ56" s="54"/>
      <c r="HA56" s="54"/>
      <c r="HB56" s="54"/>
      <c r="HC56" s="54"/>
      <c r="HD56" s="54"/>
      <c r="HE56" s="54"/>
      <c r="HF56" s="54"/>
      <c r="HG56" s="54"/>
      <c r="HH56" s="54"/>
      <c r="HI56" s="54"/>
      <c r="HJ56" s="54"/>
      <c r="HK56" s="54"/>
      <c r="HL56" s="54"/>
      <c r="HM56" s="54"/>
      <c r="HN56" s="54"/>
      <c r="HO56" s="54"/>
      <c r="HP56" s="54"/>
      <c r="HQ56" s="54"/>
      <c r="HR56" s="54"/>
      <c r="HS56" s="54"/>
      <c r="HT56" s="54"/>
      <c r="HU56" s="54"/>
      <c r="HV56" s="54"/>
      <c r="HW56" s="54"/>
      <c r="HX56" s="54"/>
      <c r="HY56" s="54"/>
      <c r="HZ56" s="54"/>
      <c r="IA56" s="54"/>
      <c r="IB56" s="54"/>
      <c r="IC56" s="54"/>
      <c r="ID56" s="54"/>
      <c r="IE56" s="54"/>
      <c r="IF56" s="54"/>
      <c r="IG56" s="54"/>
      <c r="IH56" s="54"/>
      <c r="II56" s="54"/>
      <c r="IJ56" s="54"/>
      <c r="IK56" s="54"/>
      <c r="IL56" s="54"/>
      <c r="IM56" s="54"/>
      <c r="IN56" s="54"/>
      <c r="IO56" s="54"/>
      <c r="IP56" s="54"/>
      <c r="IQ56" s="54"/>
      <c r="IR56" s="54"/>
      <c r="IS56" s="54"/>
      <c r="IT56" s="54"/>
      <c r="IU56" s="54"/>
      <c r="IV56" s="54"/>
      <c r="IW56" s="54"/>
      <c r="IX56" s="54"/>
      <c r="IY56" s="54"/>
      <c r="IZ56" s="54"/>
      <c r="JA56" s="54"/>
      <c r="JB56" s="54"/>
      <c r="JC56" s="54"/>
      <c r="JD56" s="54"/>
      <c r="JE56" s="54"/>
      <c r="JF56" s="54"/>
      <c r="JG56" s="54"/>
      <c r="JH56" s="54"/>
      <c r="JI56" s="54"/>
      <c r="JJ56" s="54"/>
      <c r="JK56" s="54"/>
      <c r="JL56" s="54"/>
      <c r="JM56" s="54"/>
      <c r="JN56" s="54"/>
      <c r="JO56" s="54"/>
      <c r="JP56" s="54"/>
      <c r="JQ56" s="54"/>
      <c r="JR56" s="54"/>
      <c r="JS56" s="54"/>
      <c r="JT56" s="54"/>
      <c r="JU56" s="54"/>
      <c r="JV56" s="54"/>
      <c r="JW56" s="54"/>
      <c r="JX56" s="54"/>
      <c r="JY56" s="54"/>
      <c r="JZ56" s="54"/>
      <c r="KA56" s="54"/>
      <c r="KB56" s="54"/>
      <c r="KC56" s="54"/>
      <c r="KD56" s="54"/>
      <c r="KE56" s="54"/>
      <c r="KF56" s="54"/>
      <c r="KG56" s="54"/>
      <c r="KH56" s="54"/>
      <c r="KI56" s="54"/>
      <c r="KJ56" s="54"/>
      <c r="KK56" s="54"/>
      <c r="KL56" s="54"/>
      <c r="KM56" s="54"/>
      <c r="KN56" s="54"/>
      <c r="KO56" s="54"/>
      <c r="KP56" s="54"/>
      <c r="KQ56" s="54"/>
      <c r="KR56" s="54"/>
      <c r="KS56" s="54"/>
      <c r="KT56" s="54"/>
      <c r="KU56" s="54"/>
      <c r="KV56" s="54"/>
      <c r="KW56" s="54"/>
      <c r="KX56" s="54"/>
    </row>
    <row r="57" ht="5.2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c r="BU57" s="54"/>
      <c r="BV57" s="54"/>
      <c r="BW57" s="54"/>
      <c r="BX57" s="54"/>
      <c r="BY57" s="54"/>
      <c r="BZ57" s="54"/>
      <c r="CA57" s="54"/>
      <c r="CB57" s="54"/>
      <c r="CC57" s="54"/>
      <c r="CD57" s="54"/>
      <c r="CE57" s="54"/>
      <c r="CF57" s="54"/>
      <c r="CG57" s="54"/>
      <c r="CH57" s="54"/>
      <c r="CI57" s="54"/>
      <c r="CJ57" s="54"/>
      <c r="CK57" s="54"/>
      <c r="CL57" s="54"/>
      <c r="CM57" s="54"/>
      <c r="CN57" s="54"/>
      <c r="CO57" s="54"/>
      <c r="CP57" s="54"/>
      <c r="CQ57" s="54"/>
      <c r="CR57" s="54"/>
      <c r="CS57" s="54"/>
      <c r="CT57" s="54"/>
      <c r="CU57" s="54"/>
      <c r="CV57" s="54"/>
      <c r="CW57" s="54"/>
      <c r="CX57" s="54"/>
      <c r="CY57" s="54"/>
      <c r="CZ57" s="54"/>
      <c r="DA57" s="54"/>
      <c r="DB57" s="56"/>
      <c r="DC57" s="56">
        <f>DC53</f>
        <v>6</v>
      </c>
      <c r="DD57" s="64"/>
      <c r="DL57" s="83"/>
      <c r="DN57" s="11"/>
      <c r="DO57" s="84"/>
      <c r="DQ57" s="11"/>
      <c r="DR57" s="84"/>
      <c r="DU57" s="54"/>
      <c r="ED57" s="85">
        <f>sum(DL57:DT59)</f>
        <v>0</v>
      </c>
      <c r="EG57" s="11"/>
      <c r="EH57" s="86">
        <f>sum(EU57:FC59)</f>
        <v>0</v>
      </c>
      <c r="EL57" s="54"/>
      <c r="EM57" s="54"/>
      <c r="EN57" s="54"/>
      <c r="EO57" s="54"/>
      <c r="EP57" s="54"/>
      <c r="EQ57" s="54"/>
      <c r="ER57" s="54"/>
      <c r="ES57" s="54"/>
      <c r="ET57" s="54"/>
      <c r="EU57" s="83"/>
      <c r="EW57" s="11"/>
      <c r="EX57" s="84"/>
      <c r="EZ57" s="11"/>
      <c r="FA57" s="84"/>
      <c r="FD57" s="68"/>
      <c r="FE57" s="54"/>
      <c r="FF57" s="54"/>
      <c r="FG57" s="54"/>
      <c r="FH57" s="54"/>
      <c r="FI57" s="54"/>
      <c r="FJ57" s="54"/>
      <c r="FK57" s="69"/>
      <c r="FL57" s="56">
        <f>FL53</f>
        <v>11</v>
      </c>
      <c r="FM57" s="56"/>
      <c r="FN57" s="54"/>
      <c r="FO57" s="54"/>
      <c r="FP57" s="54"/>
      <c r="FQ57" s="54"/>
      <c r="FR57" s="54"/>
      <c r="FS57" s="54"/>
      <c r="FT57" s="54"/>
      <c r="FU57" s="54"/>
      <c r="FV57" s="54"/>
      <c r="FW57" s="54"/>
      <c r="FX57" s="54"/>
      <c r="FY57" s="54"/>
      <c r="FZ57" s="54"/>
      <c r="GA57" s="54"/>
      <c r="GB57" s="54"/>
      <c r="GC57" s="54"/>
      <c r="GD57" s="54"/>
      <c r="GE57" s="54"/>
      <c r="GF57" s="54"/>
      <c r="GG57" s="54"/>
      <c r="GH57" s="54"/>
      <c r="GI57" s="54"/>
      <c r="GJ57" s="54"/>
      <c r="GK57" s="54"/>
      <c r="GL57" s="54"/>
      <c r="GM57" s="54"/>
      <c r="GN57" s="54"/>
      <c r="GO57" s="54"/>
      <c r="GP57" s="54"/>
      <c r="GQ57" s="54"/>
      <c r="GR57" s="54"/>
      <c r="GS57" s="54"/>
      <c r="GT57" s="54"/>
      <c r="GU57" s="54"/>
      <c r="GV57" s="54"/>
      <c r="GW57" s="54"/>
      <c r="GX57" s="54"/>
      <c r="GY57" s="54"/>
      <c r="GZ57" s="54"/>
      <c r="HA57" s="54"/>
      <c r="HB57" s="54"/>
      <c r="HC57" s="54"/>
      <c r="HD57" s="54"/>
      <c r="HE57" s="54"/>
      <c r="HF57" s="54"/>
      <c r="HG57" s="54"/>
      <c r="HH57" s="54"/>
      <c r="HI57" s="54"/>
      <c r="HJ57" s="54"/>
      <c r="HK57" s="54"/>
      <c r="HL57" s="54"/>
      <c r="HM57" s="54"/>
      <c r="HN57" s="54"/>
      <c r="HO57" s="54"/>
      <c r="HP57" s="54"/>
      <c r="HQ57" s="54"/>
      <c r="HR57" s="54"/>
      <c r="HS57" s="54"/>
      <c r="HT57" s="54"/>
      <c r="HU57" s="54"/>
      <c r="HV57" s="54"/>
      <c r="HW57" s="54"/>
      <c r="HX57" s="54"/>
      <c r="HY57" s="54"/>
      <c r="HZ57" s="54"/>
      <c r="IA57" s="54"/>
      <c r="IB57" s="54"/>
      <c r="IC57" s="54"/>
      <c r="ID57" s="54"/>
      <c r="IE57" s="54"/>
      <c r="IF57" s="54"/>
      <c r="IG57" s="54"/>
      <c r="IH57" s="54"/>
      <c r="II57" s="54"/>
      <c r="IJ57" s="54"/>
      <c r="IK57" s="54"/>
      <c r="IL57" s="54"/>
      <c r="IM57" s="54"/>
      <c r="IN57" s="54"/>
      <c r="IO57" s="54"/>
      <c r="IP57" s="54"/>
      <c r="IQ57" s="54"/>
      <c r="IR57" s="54"/>
      <c r="IS57" s="54"/>
      <c r="IT57" s="54"/>
      <c r="IU57" s="54"/>
      <c r="IV57" s="54"/>
      <c r="IW57" s="54"/>
      <c r="IX57" s="54"/>
      <c r="IY57" s="54"/>
      <c r="IZ57" s="54"/>
      <c r="JA57" s="54"/>
      <c r="JB57" s="54"/>
      <c r="JC57" s="54"/>
      <c r="JD57" s="54"/>
      <c r="JE57" s="54"/>
      <c r="JF57" s="54"/>
      <c r="JG57" s="54"/>
      <c r="JH57" s="54"/>
      <c r="JI57" s="54"/>
      <c r="JJ57" s="54"/>
      <c r="JK57" s="54"/>
      <c r="JL57" s="54"/>
      <c r="JM57" s="54"/>
      <c r="JN57" s="54"/>
      <c r="JO57" s="54"/>
      <c r="JP57" s="54"/>
      <c r="JQ57" s="54"/>
      <c r="JR57" s="54"/>
      <c r="JS57" s="54"/>
      <c r="JT57" s="54"/>
      <c r="JU57" s="54"/>
      <c r="JV57" s="54"/>
      <c r="JW57" s="54"/>
      <c r="JX57" s="54"/>
      <c r="JY57" s="54"/>
      <c r="JZ57" s="54"/>
      <c r="KA57" s="54"/>
      <c r="KB57" s="54"/>
      <c r="KC57" s="54"/>
      <c r="KD57" s="54"/>
      <c r="KE57" s="54"/>
      <c r="KF57" s="54"/>
      <c r="KG57" s="54"/>
      <c r="KH57" s="54"/>
      <c r="KI57" s="54"/>
      <c r="KJ57" s="54"/>
      <c r="KK57" s="54"/>
      <c r="KL57" s="54"/>
      <c r="KM57" s="54"/>
      <c r="KN57" s="54"/>
      <c r="KO57" s="54"/>
      <c r="KP57" s="54"/>
      <c r="KQ57" s="54"/>
      <c r="KR57" s="54"/>
      <c r="KS57" s="54"/>
      <c r="KT57" s="54"/>
      <c r="KU57" s="54"/>
      <c r="KV57" s="54"/>
      <c r="KW57" s="54"/>
      <c r="KX57" s="54"/>
    </row>
    <row r="58" ht="5.2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c r="CA58" s="54"/>
      <c r="CB58" s="54"/>
      <c r="CC58" s="54"/>
      <c r="CD58" s="54"/>
      <c r="CE58" s="54"/>
      <c r="CF58" s="54"/>
      <c r="CG58" s="54"/>
      <c r="CH58" s="54"/>
      <c r="CI58" s="54"/>
      <c r="CJ58" s="54"/>
      <c r="CK58" s="54"/>
      <c r="CL58" s="54"/>
      <c r="CM58" s="54"/>
      <c r="CN58" s="54"/>
      <c r="CO58" s="54"/>
      <c r="CP58" s="54"/>
      <c r="CQ58" s="54"/>
      <c r="CR58" s="54"/>
      <c r="CS58" s="54"/>
      <c r="CT58" s="54"/>
      <c r="CU58" s="54"/>
      <c r="CV58" s="54"/>
      <c r="CW58" s="54"/>
      <c r="CX58" s="54"/>
      <c r="CY58" s="54"/>
      <c r="CZ58" s="54"/>
      <c r="DA58" s="54"/>
      <c r="DB58" s="56"/>
      <c r="DC58" s="56"/>
      <c r="DD58" s="60"/>
      <c r="DN58" s="11"/>
      <c r="DO58" s="10"/>
      <c r="DQ58" s="11"/>
      <c r="DR58" s="10"/>
      <c r="EG58" s="11"/>
      <c r="EH58" s="10"/>
      <c r="EL58" s="54"/>
      <c r="EM58" s="54"/>
      <c r="EN58" s="54"/>
      <c r="EO58" s="54"/>
      <c r="EP58" s="54"/>
      <c r="EQ58" s="54"/>
      <c r="ER58" s="54"/>
      <c r="ES58" s="54"/>
      <c r="ET58" s="54"/>
      <c r="EW58" s="11"/>
      <c r="EX58" s="10"/>
      <c r="EZ58" s="11"/>
      <c r="FA58" s="10"/>
      <c r="FD58" s="68"/>
      <c r="FE58" s="54"/>
      <c r="FF58" s="54"/>
      <c r="FG58" s="54"/>
      <c r="FH58" s="54"/>
      <c r="FI58" s="54"/>
      <c r="FJ58" s="54"/>
      <c r="FK58" s="69"/>
      <c r="FL58" s="56"/>
      <c r="FM58" s="56"/>
      <c r="FN58" s="54"/>
      <c r="FO58" s="54"/>
      <c r="FP58" s="54"/>
      <c r="FQ58" s="54"/>
      <c r="FR58" s="54"/>
      <c r="FS58" s="54"/>
      <c r="FT58" s="54"/>
      <c r="FU58" s="54"/>
      <c r="FV58" s="54"/>
      <c r="FW58" s="54"/>
      <c r="FX58" s="54"/>
      <c r="FY58" s="54"/>
      <c r="FZ58" s="54"/>
      <c r="GA58" s="54"/>
      <c r="GB58" s="54"/>
      <c r="GC58" s="54"/>
      <c r="GD58" s="54"/>
      <c r="GE58" s="54"/>
      <c r="GF58" s="54"/>
      <c r="GG58" s="54"/>
      <c r="GH58" s="54"/>
      <c r="GI58" s="54"/>
      <c r="GJ58" s="54"/>
      <c r="GK58" s="54"/>
      <c r="GL58" s="54"/>
      <c r="GM58" s="54"/>
      <c r="GN58" s="54"/>
      <c r="GO58" s="54"/>
      <c r="GP58" s="54"/>
      <c r="GQ58" s="54"/>
      <c r="GR58" s="54"/>
      <c r="GS58" s="54"/>
      <c r="GT58" s="54"/>
      <c r="GU58" s="54"/>
      <c r="GV58" s="54"/>
      <c r="GW58" s="54"/>
      <c r="GX58" s="54"/>
      <c r="GY58" s="54"/>
      <c r="GZ58" s="54"/>
      <c r="HA58" s="54"/>
      <c r="HB58" s="54"/>
      <c r="HC58" s="54"/>
      <c r="HD58" s="54"/>
      <c r="HE58" s="54"/>
      <c r="HF58" s="54"/>
      <c r="HG58" s="54"/>
      <c r="HH58" s="54"/>
      <c r="HI58" s="54"/>
      <c r="HJ58" s="54"/>
      <c r="HK58" s="54"/>
      <c r="HL58" s="54"/>
      <c r="HM58" s="54"/>
      <c r="HN58" s="54"/>
      <c r="HO58" s="54"/>
      <c r="HP58" s="54"/>
      <c r="HQ58" s="54"/>
      <c r="HR58" s="54"/>
      <c r="HS58" s="54"/>
      <c r="HT58" s="54"/>
      <c r="HU58" s="54"/>
      <c r="HV58" s="54"/>
      <c r="HW58" s="54"/>
      <c r="HX58" s="54"/>
      <c r="HY58" s="54"/>
      <c r="HZ58" s="54"/>
      <c r="IA58" s="54"/>
      <c r="IB58" s="54"/>
      <c r="IC58" s="54"/>
      <c r="ID58" s="54"/>
      <c r="IE58" s="54"/>
      <c r="IF58" s="54"/>
      <c r="IG58" s="54"/>
      <c r="IH58" s="54"/>
      <c r="II58" s="54"/>
      <c r="IJ58" s="54"/>
      <c r="IK58" s="54"/>
      <c r="IL58" s="54"/>
      <c r="IM58" s="54"/>
      <c r="IN58" s="54"/>
      <c r="IO58" s="54"/>
      <c r="IP58" s="54"/>
      <c r="IQ58" s="54"/>
      <c r="IR58" s="54"/>
      <c r="IS58" s="54"/>
      <c r="IT58" s="54"/>
      <c r="IU58" s="54"/>
      <c r="IV58" s="54"/>
      <c r="IW58" s="54"/>
      <c r="IX58" s="54"/>
      <c r="IY58" s="54"/>
      <c r="IZ58" s="54"/>
      <c r="JA58" s="54"/>
      <c r="JB58" s="54"/>
      <c r="JC58" s="54"/>
      <c r="JD58" s="54"/>
      <c r="JE58" s="54"/>
      <c r="JF58" s="54"/>
      <c r="JG58" s="54"/>
      <c r="JH58" s="54"/>
      <c r="JI58" s="54"/>
      <c r="JJ58" s="54"/>
      <c r="JK58" s="54"/>
      <c r="JL58" s="54"/>
      <c r="JM58" s="54"/>
      <c r="JN58" s="54"/>
      <c r="JO58" s="54"/>
      <c r="JP58" s="54"/>
      <c r="JQ58" s="54"/>
      <c r="JR58" s="54"/>
      <c r="JS58" s="54"/>
      <c r="JT58" s="54"/>
      <c r="JU58" s="54"/>
      <c r="JV58" s="54"/>
      <c r="JW58" s="54"/>
      <c r="JX58" s="54"/>
      <c r="JY58" s="54"/>
      <c r="JZ58" s="54"/>
      <c r="KA58" s="54"/>
      <c r="KB58" s="54"/>
      <c r="KC58" s="54"/>
      <c r="KD58" s="54"/>
      <c r="KE58" s="54"/>
      <c r="KF58" s="54"/>
      <c r="KG58" s="54"/>
      <c r="KH58" s="54"/>
      <c r="KI58" s="54"/>
      <c r="KJ58" s="54"/>
      <c r="KK58" s="54"/>
      <c r="KL58" s="54"/>
      <c r="KM58" s="54"/>
      <c r="KN58" s="54"/>
      <c r="KO58" s="54"/>
      <c r="KP58" s="54"/>
      <c r="KQ58" s="54"/>
      <c r="KR58" s="54"/>
      <c r="KS58" s="54"/>
      <c r="KT58" s="54"/>
      <c r="KU58" s="54"/>
      <c r="KV58" s="54"/>
      <c r="KW58" s="54"/>
      <c r="KX58" s="54"/>
    </row>
    <row r="59" ht="5.2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c r="CC59" s="54"/>
      <c r="CD59" s="54"/>
      <c r="CE59" s="54"/>
      <c r="CF59" s="54"/>
      <c r="CG59" s="54"/>
      <c r="CH59" s="54"/>
      <c r="CI59" s="54"/>
      <c r="CJ59" s="54"/>
      <c r="CK59" s="54"/>
      <c r="CL59" s="54"/>
      <c r="CM59" s="54"/>
      <c r="CN59" s="54"/>
      <c r="CO59" s="54"/>
      <c r="CP59" s="54"/>
      <c r="CQ59" s="54"/>
      <c r="CR59" s="54"/>
      <c r="CS59" s="54"/>
      <c r="CT59" s="54"/>
      <c r="CU59" s="54"/>
      <c r="CV59" s="54"/>
      <c r="CW59" s="54"/>
      <c r="CX59" s="54"/>
      <c r="CY59" s="54"/>
      <c r="CZ59" s="54"/>
      <c r="DA59" s="54"/>
      <c r="DB59" s="56"/>
      <c r="DC59" s="56"/>
      <c r="DD59" s="60"/>
      <c r="DN59" s="11"/>
      <c r="DO59" s="10"/>
      <c r="DQ59" s="11"/>
      <c r="DR59" s="10"/>
      <c r="EG59" s="11"/>
      <c r="EH59" s="12"/>
      <c r="EI59" s="13"/>
      <c r="EJ59" s="13"/>
      <c r="EK59" s="13"/>
      <c r="EL59" s="89"/>
      <c r="EM59" s="89"/>
      <c r="EN59" s="89"/>
      <c r="EO59" s="89"/>
      <c r="EP59" s="89"/>
      <c r="EQ59" s="89"/>
      <c r="ER59" s="89"/>
      <c r="ES59" s="89"/>
      <c r="ET59" s="89"/>
      <c r="EU59" s="13"/>
      <c r="EV59" s="13"/>
      <c r="EW59" s="14"/>
      <c r="EX59" s="12"/>
      <c r="EY59" s="13"/>
      <c r="EZ59" s="14"/>
      <c r="FA59" s="12"/>
      <c r="FB59" s="13"/>
      <c r="FC59" s="13"/>
      <c r="FD59" s="90"/>
      <c r="FE59" s="89"/>
      <c r="FF59" s="89"/>
      <c r="FG59" s="89"/>
      <c r="FH59" s="89"/>
      <c r="FI59" s="89"/>
      <c r="FJ59" s="89"/>
      <c r="FK59" s="91"/>
      <c r="FL59" s="56"/>
      <c r="FM59" s="56"/>
      <c r="FN59" s="54"/>
      <c r="FO59" s="54"/>
      <c r="FP59" s="54"/>
      <c r="FQ59" s="54"/>
      <c r="FR59" s="54"/>
      <c r="FS59" s="54"/>
      <c r="FT59" s="54"/>
      <c r="FU59" s="54"/>
      <c r="FV59" s="54"/>
      <c r="FW59" s="54"/>
      <c r="FX59" s="54"/>
      <c r="FY59" s="54"/>
      <c r="FZ59" s="54"/>
      <c r="GA59" s="54"/>
      <c r="GB59" s="54"/>
      <c r="GC59" s="54"/>
      <c r="GD59" s="54"/>
      <c r="GE59" s="54"/>
      <c r="GF59" s="54"/>
      <c r="GG59" s="54"/>
      <c r="GH59" s="54"/>
      <c r="GI59" s="54"/>
      <c r="GJ59" s="54"/>
      <c r="GK59" s="54"/>
      <c r="GL59" s="54"/>
      <c r="GM59" s="54"/>
      <c r="GN59" s="54"/>
      <c r="GO59" s="54"/>
      <c r="GP59" s="54"/>
      <c r="GQ59" s="54"/>
      <c r="GR59" s="54"/>
      <c r="GS59" s="54"/>
      <c r="GT59" s="54"/>
      <c r="GU59" s="54"/>
      <c r="GV59" s="54"/>
      <c r="GW59" s="54"/>
      <c r="GX59" s="54"/>
      <c r="GY59" s="54"/>
      <c r="GZ59" s="54"/>
      <c r="HA59" s="54"/>
      <c r="HB59" s="54"/>
      <c r="HC59" s="54"/>
      <c r="HD59" s="54"/>
      <c r="HE59" s="54"/>
      <c r="HF59" s="54"/>
      <c r="HG59" s="54"/>
      <c r="HH59" s="54"/>
      <c r="HI59" s="54"/>
      <c r="HJ59" s="54"/>
      <c r="HK59" s="54"/>
      <c r="HL59" s="54"/>
      <c r="HM59" s="54"/>
      <c r="HN59" s="54"/>
      <c r="HO59" s="54"/>
      <c r="HP59" s="54"/>
      <c r="HQ59" s="54"/>
      <c r="HR59" s="54"/>
      <c r="HS59" s="54"/>
      <c r="HT59" s="54"/>
      <c r="HU59" s="54"/>
      <c r="HV59" s="54"/>
      <c r="HW59" s="54"/>
      <c r="HX59" s="54"/>
      <c r="HY59" s="54"/>
      <c r="HZ59" s="54"/>
      <c r="IA59" s="54"/>
      <c r="IB59" s="54"/>
      <c r="IC59" s="54"/>
      <c r="ID59" s="54"/>
      <c r="IE59" s="54"/>
      <c r="IF59" s="54"/>
      <c r="IG59" s="54"/>
      <c r="IH59" s="54"/>
      <c r="II59" s="54"/>
      <c r="IJ59" s="54"/>
      <c r="IK59" s="54"/>
      <c r="IL59" s="54"/>
      <c r="IM59" s="54"/>
      <c r="IN59" s="54"/>
      <c r="IO59" s="54"/>
      <c r="IP59" s="54"/>
      <c r="IQ59" s="54"/>
      <c r="IR59" s="54"/>
      <c r="IS59" s="54"/>
      <c r="IT59" s="54"/>
      <c r="IU59" s="54"/>
      <c r="IV59" s="54"/>
      <c r="IW59" s="54"/>
      <c r="IX59" s="54"/>
      <c r="IY59" s="54"/>
      <c r="IZ59" s="54"/>
      <c r="JA59" s="54"/>
      <c r="JB59" s="54"/>
      <c r="JC59" s="54"/>
      <c r="JD59" s="54"/>
      <c r="JE59" s="54"/>
      <c r="JF59" s="54"/>
      <c r="JG59" s="54"/>
      <c r="JH59" s="54"/>
      <c r="JI59" s="54"/>
      <c r="JJ59" s="54"/>
      <c r="JK59" s="54"/>
      <c r="JL59" s="54"/>
      <c r="JM59" s="54"/>
      <c r="JN59" s="54"/>
      <c r="JO59" s="54"/>
      <c r="JP59" s="54"/>
      <c r="JQ59" s="54"/>
      <c r="JR59" s="54"/>
      <c r="JS59" s="54"/>
      <c r="JT59" s="54"/>
      <c r="JU59" s="54"/>
      <c r="JV59" s="54"/>
      <c r="JW59" s="54"/>
      <c r="JX59" s="54"/>
      <c r="JY59" s="54"/>
      <c r="JZ59" s="54"/>
      <c r="KA59" s="54"/>
      <c r="KB59" s="54"/>
      <c r="KC59" s="54"/>
      <c r="KD59" s="54"/>
      <c r="KE59" s="54"/>
      <c r="KF59" s="54"/>
      <c r="KG59" s="54"/>
      <c r="KH59" s="54"/>
      <c r="KI59" s="54"/>
      <c r="KJ59" s="54"/>
      <c r="KK59" s="54"/>
      <c r="KL59" s="54"/>
      <c r="KM59" s="54"/>
      <c r="KN59" s="54"/>
      <c r="KO59" s="54"/>
      <c r="KP59" s="54"/>
      <c r="KQ59" s="54"/>
      <c r="KR59" s="54"/>
      <c r="KS59" s="54"/>
      <c r="KT59" s="54"/>
      <c r="KU59" s="54"/>
      <c r="KV59" s="54"/>
      <c r="KW59" s="54"/>
      <c r="KX59" s="54"/>
    </row>
    <row r="60" ht="5.2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c r="CA60" s="54"/>
      <c r="CB60" s="54"/>
      <c r="CC60" s="54"/>
      <c r="CD60" s="54"/>
      <c r="CE60" s="54"/>
      <c r="CF60" s="54"/>
      <c r="CG60" s="54"/>
      <c r="CH60" s="54"/>
      <c r="CI60" s="54"/>
      <c r="CJ60" s="54"/>
      <c r="CK60" s="54"/>
      <c r="CL60" s="54"/>
      <c r="CM60" s="54"/>
      <c r="CN60" s="54"/>
      <c r="CO60" s="54"/>
      <c r="CP60" s="54"/>
      <c r="CQ60" s="54"/>
      <c r="CR60" s="54"/>
      <c r="CS60" s="54"/>
      <c r="CT60" s="54"/>
      <c r="CU60" s="54"/>
      <c r="CV60" s="54"/>
      <c r="CW60" s="54"/>
      <c r="CX60" s="54"/>
      <c r="CY60" s="54"/>
      <c r="CZ60" s="54"/>
      <c r="DA60" s="54"/>
      <c r="DB60" s="56"/>
      <c r="DC60" s="56">
        <f>'Choose matchups (Contender)'!Q11</f>
        <v>7</v>
      </c>
      <c r="DD60" s="92" t="str">
        <f t="array" ref="DD60">xlookup(DC60,qualdata!$M$2:$M$17,qualdata!$O$2:$O$17,"")</f>
        <v/>
      </c>
      <c r="DE60" s="8"/>
      <c r="DF60" s="8"/>
      <c r="DG60" s="8"/>
      <c r="DH60" s="93" t="str">
        <f t="array" ref="DH60">xlookup(DC60,qualdata!$M$2:$M$17,qualdata!$N$2:$N$17,"")</f>
        <v>Team 7 (Group 1)</v>
      </c>
      <c r="DI60" s="8"/>
      <c r="DJ60" s="8"/>
      <c r="DK60" s="8"/>
      <c r="DL60" s="8"/>
      <c r="DM60" s="8"/>
      <c r="DN60" s="8"/>
      <c r="DO60" s="8"/>
      <c r="DP60" s="8"/>
      <c r="DQ60" s="8"/>
      <c r="DR60" s="8"/>
      <c r="DS60" s="8"/>
      <c r="DT60" s="8"/>
      <c r="DU60" s="8"/>
      <c r="DV60" s="8"/>
      <c r="DW60" s="8"/>
      <c r="DX60" s="8"/>
      <c r="DY60" s="8"/>
      <c r="DZ60" s="8"/>
      <c r="EA60" s="8"/>
      <c r="EB60" s="8"/>
      <c r="EC60" s="8"/>
      <c r="ED60" s="94"/>
      <c r="EE60" s="8"/>
      <c r="EF60" s="8"/>
      <c r="EG60" s="9"/>
      <c r="EH60" s="94"/>
      <c r="EI60" s="8"/>
      <c r="EJ60" s="8"/>
      <c r="EK60" s="8"/>
      <c r="EL60" s="96" t="str">
        <f t="array" ref="EL60">xlookup(FL60,qualdata!$M$2:$M$17,qualdata!$N$2:$N$17,"")</f>
        <v>Team 10 (Group 1)</v>
      </c>
      <c r="EM60" s="8"/>
      <c r="EN60" s="8"/>
      <c r="EO60" s="8"/>
      <c r="EP60" s="8"/>
      <c r="EQ60" s="8"/>
      <c r="ER60" s="8"/>
      <c r="ES60" s="8"/>
      <c r="ET60" s="8"/>
      <c r="EU60" s="8"/>
      <c r="EV60" s="8"/>
      <c r="EW60" s="8"/>
      <c r="EX60" s="8"/>
      <c r="EY60" s="8"/>
      <c r="EZ60" s="8"/>
      <c r="FA60" s="8"/>
      <c r="FB60" s="8"/>
      <c r="FC60" s="8"/>
      <c r="FD60" s="8"/>
      <c r="FE60" s="8"/>
      <c r="FF60" s="8"/>
      <c r="FG60" s="8"/>
      <c r="FH60" s="97" t="str">
        <f t="array" ref="FH60">xlookup(FL60,qualdata!$M$2:$M$17,qualdata!$O$2:$O$17,"")</f>
        <v/>
      </c>
      <c r="FI60" s="8"/>
      <c r="FJ60" s="8"/>
      <c r="FK60" s="98"/>
      <c r="FL60" s="77">
        <f t="array" ref="FL60">xlookup(DC60,qualdata!$M$2:$M$17,qualdata!$P$2:$P$17,"")</f>
        <v>10</v>
      </c>
      <c r="FM60" s="56"/>
      <c r="FN60" s="54"/>
      <c r="FO60" s="54"/>
      <c r="FP60" s="54"/>
      <c r="FQ60" s="54"/>
      <c r="FR60" s="54"/>
      <c r="FS60" s="54"/>
      <c r="FT60" s="54"/>
      <c r="FU60" s="54"/>
      <c r="FV60" s="54"/>
      <c r="FW60" s="54"/>
      <c r="FX60" s="54"/>
      <c r="FY60" s="54"/>
      <c r="FZ60" s="54"/>
      <c r="GA60" s="54"/>
      <c r="GB60" s="54"/>
      <c r="GC60" s="54"/>
      <c r="GD60" s="54"/>
      <c r="GE60" s="54"/>
      <c r="GF60" s="54"/>
      <c r="GG60" s="54"/>
      <c r="GH60" s="54"/>
      <c r="GI60" s="54"/>
      <c r="GJ60" s="54"/>
      <c r="GK60" s="54"/>
      <c r="GL60" s="54"/>
      <c r="GM60" s="54"/>
      <c r="GN60" s="54"/>
      <c r="GO60" s="54"/>
      <c r="GP60" s="54"/>
      <c r="GQ60" s="54"/>
      <c r="GR60" s="54"/>
      <c r="GS60" s="54"/>
      <c r="GT60" s="54"/>
      <c r="GU60" s="54"/>
      <c r="GV60" s="54"/>
      <c r="GW60" s="54"/>
      <c r="GX60" s="54"/>
      <c r="GY60" s="54"/>
      <c r="GZ60" s="54"/>
      <c r="HA60" s="54"/>
      <c r="HB60" s="54"/>
      <c r="HC60" s="54"/>
      <c r="HD60" s="54"/>
      <c r="HE60" s="54"/>
      <c r="HF60" s="54"/>
      <c r="HG60" s="54"/>
      <c r="HH60" s="54"/>
      <c r="HI60" s="54"/>
      <c r="HJ60" s="54"/>
      <c r="HK60" s="54"/>
      <c r="HL60" s="54"/>
      <c r="HM60" s="54"/>
      <c r="HN60" s="54"/>
      <c r="HO60" s="54"/>
      <c r="HP60" s="54"/>
      <c r="HQ60" s="54"/>
      <c r="HR60" s="54"/>
      <c r="HS60" s="54"/>
      <c r="HT60" s="54"/>
      <c r="HU60" s="54"/>
      <c r="HV60" s="54"/>
      <c r="HW60" s="54"/>
      <c r="HX60" s="54"/>
      <c r="HY60" s="54"/>
      <c r="HZ60" s="54"/>
      <c r="IA60" s="54"/>
      <c r="IB60" s="54"/>
      <c r="IC60" s="54"/>
      <c r="ID60" s="54"/>
      <c r="IE60" s="54"/>
      <c r="IF60" s="54"/>
      <c r="IG60" s="54"/>
      <c r="IH60" s="54"/>
      <c r="II60" s="54"/>
      <c r="IJ60" s="54"/>
      <c r="IK60" s="54"/>
      <c r="IL60" s="54"/>
      <c r="IM60" s="54"/>
      <c r="IN60" s="54"/>
      <c r="IO60" s="54"/>
      <c r="IP60" s="54"/>
      <c r="IQ60" s="54"/>
      <c r="IR60" s="54"/>
      <c r="IS60" s="54"/>
      <c r="IT60" s="54"/>
      <c r="IU60" s="54"/>
      <c r="IV60" s="54"/>
      <c r="IW60" s="54"/>
      <c r="IX60" s="54"/>
      <c r="IY60" s="54"/>
      <c r="IZ60" s="54"/>
      <c r="JA60" s="54"/>
      <c r="JB60" s="54"/>
      <c r="JC60" s="54"/>
      <c r="JD60" s="54"/>
      <c r="JE60" s="54"/>
      <c r="JF60" s="54"/>
      <c r="JG60" s="54"/>
      <c r="JH60" s="54"/>
      <c r="JI60" s="54"/>
      <c r="JJ60" s="54"/>
      <c r="JK60" s="54"/>
      <c r="JL60" s="54"/>
      <c r="JM60" s="54"/>
      <c r="JN60" s="54"/>
      <c r="JO60" s="54"/>
      <c r="JP60" s="54"/>
      <c r="JQ60" s="54"/>
      <c r="JR60" s="54"/>
      <c r="JS60" s="54"/>
      <c r="JT60" s="54"/>
      <c r="JU60" s="54"/>
      <c r="JV60" s="54"/>
      <c r="JW60" s="54"/>
      <c r="JX60" s="54"/>
      <c r="JY60" s="54"/>
      <c r="JZ60" s="54"/>
      <c r="KA60" s="54"/>
      <c r="KB60" s="54"/>
      <c r="KC60" s="54"/>
      <c r="KD60" s="54"/>
      <c r="KE60" s="54"/>
      <c r="KF60" s="54"/>
      <c r="KG60" s="54"/>
      <c r="KH60" s="54"/>
      <c r="KI60" s="54"/>
      <c r="KJ60" s="54"/>
      <c r="KK60" s="54"/>
      <c r="KL60" s="54"/>
      <c r="KM60" s="54"/>
      <c r="KN60" s="54"/>
      <c r="KO60" s="54"/>
      <c r="KP60" s="54"/>
      <c r="KQ60" s="54"/>
      <c r="KR60" s="54"/>
      <c r="KS60" s="54"/>
      <c r="KT60" s="54"/>
      <c r="KU60" s="54"/>
      <c r="KV60" s="54"/>
      <c r="KW60" s="54"/>
      <c r="KX60" s="54"/>
    </row>
    <row r="61" ht="5.2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c r="BU61" s="54"/>
      <c r="BV61" s="54"/>
      <c r="BW61" s="54"/>
      <c r="BX61" s="54"/>
      <c r="BY61" s="54"/>
      <c r="BZ61" s="54"/>
      <c r="CA61" s="54"/>
      <c r="CB61" s="54"/>
      <c r="CC61" s="54"/>
      <c r="CD61" s="54"/>
      <c r="CE61" s="54"/>
      <c r="CF61" s="54"/>
      <c r="CG61" s="54"/>
      <c r="CH61" s="54"/>
      <c r="CI61" s="54"/>
      <c r="CJ61" s="54"/>
      <c r="CK61" s="54"/>
      <c r="CL61" s="54"/>
      <c r="CM61" s="54"/>
      <c r="CN61" s="54"/>
      <c r="CO61" s="54"/>
      <c r="CP61" s="54"/>
      <c r="CQ61" s="54"/>
      <c r="CR61" s="54"/>
      <c r="CS61" s="54"/>
      <c r="CT61" s="54"/>
      <c r="CU61" s="54"/>
      <c r="CV61" s="54"/>
      <c r="CW61" s="54"/>
      <c r="CX61" s="54"/>
      <c r="CY61" s="54"/>
      <c r="CZ61" s="54"/>
      <c r="DA61" s="54"/>
      <c r="DB61" s="56"/>
      <c r="DC61" s="56"/>
      <c r="DD61" s="60"/>
      <c r="EG61" s="11"/>
      <c r="FK61" s="61"/>
      <c r="FL61" s="56"/>
      <c r="FM61" s="56"/>
      <c r="FN61" s="54"/>
      <c r="FO61" s="54"/>
      <c r="FP61" s="54"/>
      <c r="FQ61" s="54"/>
      <c r="FR61" s="54"/>
      <c r="FS61" s="54"/>
      <c r="FT61" s="54"/>
      <c r="FU61" s="54"/>
      <c r="FV61" s="54"/>
      <c r="FW61" s="54"/>
      <c r="FX61" s="54"/>
      <c r="FY61" s="54"/>
      <c r="FZ61" s="54"/>
      <c r="GA61" s="54"/>
      <c r="GB61" s="54"/>
      <c r="GC61" s="54"/>
      <c r="GD61" s="54"/>
      <c r="GE61" s="54"/>
      <c r="GF61" s="54"/>
      <c r="GG61" s="54"/>
      <c r="GH61" s="54"/>
      <c r="GI61" s="54"/>
      <c r="GJ61" s="54"/>
      <c r="GK61" s="54"/>
      <c r="GL61" s="54"/>
      <c r="GM61" s="54"/>
      <c r="GN61" s="54"/>
      <c r="GO61" s="54"/>
      <c r="GP61" s="54"/>
      <c r="GQ61" s="54"/>
      <c r="GR61" s="54"/>
      <c r="GS61" s="54"/>
      <c r="GT61" s="54"/>
      <c r="GU61" s="54"/>
      <c r="GV61" s="54"/>
      <c r="GW61" s="54"/>
      <c r="GX61" s="54"/>
      <c r="GY61" s="54"/>
      <c r="GZ61" s="54"/>
      <c r="HA61" s="54"/>
      <c r="HB61" s="54"/>
      <c r="HC61" s="54"/>
      <c r="HD61" s="54"/>
      <c r="HE61" s="54"/>
      <c r="HF61" s="54"/>
      <c r="HG61" s="54"/>
      <c r="HH61" s="54"/>
      <c r="HI61" s="54"/>
      <c r="HJ61" s="54"/>
      <c r="HK61" s="54"/>
      <c r="HL61" s="54"/>
      <c r="HM61" s="54"/>
      <c r="HN61" s="54"/>
      <c r="HO61" s="54"/>
      <c r="HP61" s="54"/>
      <c r="HQ61" s="54"/>
      <c r="HR61" s="54"/>
      <c r="HS61" s="54"/>
      <c r="HT61" s="54"/>
      <c r="HU61" s="54"/>
      <c r="HV61" s="54"/>
      <c r="HW61" s="54"/>
      <c r="HX61" s="54"/>
      <c r="HY61" s="54"/>
      <c r="HZ61" s="54"/>
      <c r="IA61" s="54"/>
      <c r="IB61" s="54"/>
      <c r="IC61" s="54"/>
      <c r="ID61" s="54"/>
      <c r="IE61" s="54"/>
      <c r="IF61" s="54"/>
      <c r="IG61" s="54"/>
      <c r="IH61" s="54"/>
      <c r="II61" s="54"/>
      <c r="IJ61" s="54"/>
      <c r="IK61" s="54"/>
      <c r="IL61" s="54"/>
      <c r="IM61" s="54"/>
      <c r="IN61" s="54"/>
      <c r="IO61" s="54"/>
      <c r="IP61" s="54"/>
      <c r="IQ61" s="54"/>
      <c r="IR61" s="54"/>
      <c r="IS61" s="54"/>
      <c r="IT61" s="54"/>
      <c r="IU61" s="54"/>
      <c r="IV61" s="54"/>
      <c r="IW61" s="54"/>
      <c r="IX61" s="54"/>
      <c r="IY61" s="54"/>
      <c r="IZ61" s="54"/>
      <c r="JA61" s="54"/>
      <c r="JB61" s="54"/>
      <c r="JC61" s="54"/>
      <c r="JD61" s="54"/>
      <c r="JE61" s="54"/>
      <c r="JF61" s="54"/>
      <c r="JG61" s="54"/>
      <c r="JH61" s="54"/>
      <c r="JI61" s="54"/>
      <c r="JJ61" s="54"/>
      <c r="JK61" s="54"/>
      <c r="JL61" s="54"/>
      <c r="JM61" s="54"/>
      <c r="JN61" s="54"/>
      <c r="JO61" s="54"/>
      <c r="JP61" s="54"/>
      <c r="JQ61" s="54"/>
      <c r="JR61" s="54"/>
      <c r="JS61" s="54"/>
      <c r="JT61" s="54"/>
      <c r="JU61" s="54"/>
      <c r="JV61" s="54"/>
      <c r="JW61" s="54"/>
      <c r="JX61" s="54"/>
      <c r="JY61" s="54"/>
      <c r="JZ61" s="54"/>
      <c r="KA61" s="54"/>
      <c r="KB61" s="54"/>
      <c r="KC61" s="54"/>
      <c r="KD61" s="54"/>
      <c r="KE61" s="54"/>
      <c r="KF61" s="54"/>
      <c r="KG61" s="54"/>
      <c r="KH61" s="54"/>
      <c r="KI61" s="54"/>
      <c r="KJ61" s="54"/>
      <c r="KK61" s="54"/>
      <c r="KL61" s="54"/>
      <c r="KM61" s="54"/>
      <c r="KN61" s="54"/>
      <c r="KO61" s="54"/>
      <c r="KP61" s="54"/>
      <c r="KQ61" s="54"/>
      <c r="KR61" s="54"/>
      <c r="KS61" s="54"/>
      <c r="KT61" s="54"/>
      <c r="KU61" s="54"/>
      <c r="KV61" s="54"/>
      <c r="KW61" s="54"/>
      <c r="KX61" s="54"/>
    </row>
    <row r="62" ht="5.2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c r="BU62" s="54"/>
      <c r="BV62" s="54"/>
      <c r="BW62" s="54"/>
      <c r="BX62" s="54"/>
      <c r="BY62" s="54"/>
      <c r="BZ62" s="54"/>
      <c r="CA62" s="54"/>
      <c r="CB62" s="54"/>
      <c r="CC62" s="54"/>
      <c r="CD62" s="54"/>
      <c r="CE62" s="54"/>
      <c r="CF62" s="54"/>
      <c r="CG62" s="54"/>
      <c r="CH62" s="54"/>
      <c r="CI62" s="54"/>
      <c r="CJ62" s="54"/>
      <c r="CK62" s="54"/>
      <c r="CL62" s="54"/>
      <c r="CM62" s="54"/>
      <c r="CN62" s="54"/>
      <c r="CO62" s="54"/>
      <c r="CP62" s="54"/>
      <c r="CQ62" s="54"/>
      <c r="CR62" s="54"/>
      <c r="CS62" s="54"/>
      <c r="CT62" s="54"/>
      <c r="CU62" s="54"/>
      <c r="CV62" s="54"/>
      <c r="CW62" s="54"/>
      <c r="CX62" s="54"/>
      <c r="CY62" s="54"/>
      <c r="CZ62" s="54"/>
      <c r="DA62" s="54"/>
      <c r="DB62" s="56"/>
      <c r="DC62" s="56"/>
      <c r="DD62" s="60"/>
      <c r="EG62" s="11"/>
      <c r="FK62" s="61"/>
      <c r="FL62" s="56"/>
      <c r="FM62" s="56"/>
      <c r="FN62" s="54"/>
      <c r="FO62" s="54"/>
      <c r="FP62" s="54"/>
      <c r="FQ62" s="54"/>
      <c r="FR62" s="54"/>
      <c r="FS62" s="54"/>
      <c r="FT62" s="54"/>
      <c r="FU62" s="54"/>
      <c r="FV62" s="54"/>
      <c r="FW62" s="54"/>
      <c r="FX62" s="54"/>
      <c r="FY62" s="54"/>
      <c r="FZ62" s="54"/>
      <c r="GA62" s="54"/>
      <c r="GB62" s="54"/>
      <c r="GC62" s="54"/>
      <c r="GD62" s="54"/>
      <c r="GE62" s="54"/>
      <c r="GF62" s="54"/>
      <c r="GG62" s="54"/>
      <c r="GH62" s="54"/>
      <c r="GI62" s="54"/>
      <c r="GJ62" s="54"/>
      <c r="GK62" s="54"/>
      <c r="GL62" s="54"/>
      <c r="GM62" s="54"/>
      <c r="GN62" s="54"/>
      <c r="GO62" s="54"/>
      <c r="GP62" s="54"/>
      <c r="GQ62" s="54"/>
      <c r="GR62" s="54"/>
      <c r="GS62" s="54"/>
      <c r="GT62" s="54"/>
      <c r="GU62" s="54"/>
      <c r="GV62" s="54"/>
      <c r="GW62" s="54"/>
      <c r="GX62" s="54"/>
      <c r="GY62" s="54"/>
      <c r="GZ62" s="54"/>
      <c r="HA62" s="54"/>
      <c r="HB62" s="54"/>
      <c r="HC62" s="54"/>
      <c r="HD62" s="54"/>
      <c r="HE62" s="54"/>
      <c r="HF62" s="54"/>
      <c r="HG62" s="54"/>
      <c r="HH62" s="54"/>
      <c r="HI62" s="54"/>
      <c r="HJ62" s="54"/>
      <c r="HK62" s="54"/>
      <c r="HL62" s="54"/>
      <c r="HM62" s="54"/>
      <c r="HN62" s="54"/>
      <c r="HO62" s="54"/>
      <c r="HP62" s="54"/>
      <c r="HQ62" s="54"/>
      <c r="HR62" s="54"/>
      <c r="HS62" s="54"/>
      <c r="HT62" s="54"/>
      <c r="HU62" s="54"/>
      <c r="HV62" s="54"/>
      <c r="HW62" s="54"/>
      <c r="HX62" s="54"/>
      <c r="HY62" s="54"/>
      <c r="HZ62" s="54"/>
      <c r="IA62" s="54"/>
      <c r="IB62" s="54"/>
      <c r="IC62" s="54"/>
      <c r="ID62" s="54"/>
      <c r="IE62" s="54"/>
      <c r="IF62" s="54"/>
      <c r="IG62" s="54"/>
      <c r="IH62" s="54"/>
      <c r="II62" s="54"/>
      <c r="IJ62" s="54"/>
      <c r="IK62" s="54"/>
      <c r="IL62" s="54"/>
      <c r="IM62" s="54"/>
      <c r="IN62" s="54"/>
      <c r="IO62" s="54"/>
      <c r="IP62" s="54"/>
      <c r="IQ62" s="54"/>
      <c r="IR62" s="54"/>
      <c r="IS62" s="54"/>
      <c r="IT62" s="54"/>
      <c r="IU62" s="54"/>
      <c r="IV62" s="54"/>
      <c r="IW62" s="54"/>
      <c r="IX62" s="54"/>
      <c r="IY62" s="54"/>
      <c r="IZ62" s="54"/>
      <c r="JA62" s="54"/>
      <c r="JB62" s="54"/>
      <c r="JC62" s="54"/>
      <c r="JD62" s="54"/>
      <c r="JE62" s="54"/>
      <c r="JF62" s="54"/>
      <c r="JG62" s="54"/>
      <c r="JH62" s="54"/>
      <c r="JI62" s="54"/>
      <c r="JJ62" s="54"/>
      <c r="JK62" s="54"/>
      <c r="JL62" s="54"/>
      <c r="JM62" s="54"/>
      <c r="JN62" s="54"/>
      <c r="JO62" s="54"/>
      <c r="JP62" s="54"/>
      <c r="JQ62" s="54"/>
      <c r="JR62" s="54"/>
      <c r="JS62" s="54"/>
      <c r="JT62" s="54"/>
      <c r="JU62" s="54"/>
      <c r="JV62" s="54"/>
      <c r="JW62" s="54"/>
      <c r="JX62" s="54"/>
      <c r="JY62" s="54"/>
      <c r="JZ62" s="54"/>
      <c r="KA62" s="54"/>
      <c r="KB62" s="54"/>
      <c r="KC62" s="54"/>
      <c r="KD62" s="54"/>
      <c r="KE62" s="54"/>
      <c r="KF62" s="54"/>
      <c r="KG62" s="54"/>
      <c r="KH62" s="54"/>
      <c r="KI62" s="54"/>
      <c r="KJ62" s="54"/>
      <c r="KK62" s="54"/>
      <c r="KL62" s="54"/>
      <c r="KM62" s="54"/>
      <c r="KN62" s="54"/>
      <c r="KO62" s="54"/>
      <c r="KP62" s="54"/>
      <c r="KQ62" s="54"/>
      <c r="KR62" s="54"/>
      <c r="KS62" s="54"/>
      <c r="KT62" s="54"/>
      <c r="KU62" s="54"/>
      <c r="KV62" s="54"/>
      <c r="KW62" s="54"/>
      <c r="KX62" s="54"/>
    </row>
    <row r="63" ht="5.2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c r="BU63" s="54"/>
      <c r="BV63" s="54"/>
      <c r="BW63" s="54"/>
      <c r="BX63" s="54"/>
      <c r="BY63" s="54"/>
      <c r="BZ63" s="54"/>
      <c r="CA63" s="54"/>
      <c r="CB63" s="54"/>
      <c r="CC63" s="54"/>
      <c r="CD63" s="54"/>
      <c r="CE63" s="54"/>
      <c r="CF63" s="54"/>
      <c r="CG63" s="54"/>
      <c r="CH63" s="54"/>
      <c r="CI63" s="54"/>
      <c r="CJ63" s="54"/>
      <c r="CK63" s="54"/>
      <c r="CL63" s="54"/>
      <c r="CM63" s="54"/>
      <c r="CN63" s="54"/>
      <c r="CO63" s="54"/>
      <c r="CP63" s="54"/>
      <c r="CQ63" s="54"/>
      <c r="CR63" s="54"/>
      <c r="CS63" s="54"/>
      <c r="CT63" s="54"/>
      <c r="CU63" s="54"/>
      <c r="CV63" s="54"/>
      <c r="CW63" s="54"/>
      <c r="CX63" s="54"/>
      <c r="CY63" s="54"/>
      <c r="CZ63" s="54"/>
      <c r="DA63" s="54"/>
      <c r="DB63" s="56"/>
      <c r="DC63" s="56"/>
      <c r="DD63" s="60"/>
      <c r="EG63" s="11"/>
      <c r="FK63" s="61"/>
      <c r="FL63" s="56"/>
      <c r="FM63" s="56"/>
      <c r="FN63" s="54"/>
      <c r="FO63" s="54"/>
      <c r="FP63" s="54"/>
      <c r="FQ63" s="54"/>
      <c r="FR63" s="54"/>
      <c r="FS63" s="54"/>
      <c r="FT63" s="54"/>
      <c r="FU63" s="54"/>
      <c r="FV63" s="54"/>
      <c r="FW63" s="54"/>
      <c r="FX63" s="54"/>
      <c r="FY63" s="54"/>
      <c r="FZ63" s="54"/>
      <c r="GA63" s="54"/>
      <c r="GB63" s="54"/>
      <c r="GC63" s="54"/>
      <c r="GD63" s="54"/>
      <c r="GE63" s="54"/>
      <c r="GF63" s="54"/>
      <c r="GG63" s="54"/>
      <c r="GH63" s="54"/>
      <c r="GI63" s="54"/>
      <c r="GJ63" s="54"/>
      <c r="GK63" s="54"/>
      <c r="GL63" s="54"/>
      <c r="GM63" s="54"/>
      <c r="GN63" s="54"/>
      <c r="GO63" s="54"/>
      <c r="GP63" s="54"/>
      <c r="GQ63" s="54"/>
      <c r="GR63" s="54"/>
      <c r="GS63" s="54"/>
      <c r="GT63" s="54"/>
      <c r="GU63" s="54"/>
      <c r="GV63" s="54"/>
      <c r="GW63" s="54"/>
      <c r="GX63" s="54"/>
      <c r="GY63" s="54"/>
      <c r="GZ63" s="54"/>
      <c r="HA63" s="54"/>
      <c r="HB63" s="54"/>
      <c r="HC63" s="54"/>
      <c r="HD63" s="54"/>
      <c r="HE63" s="54"/>
      <c r="HF63" s="54"/>
      <c r="HG63" s="54"/>
      <c r="HH63" s="54"/>
      <c r="HI63" s="54"/>
      <c r="HJ63" s="54"/>
      <c r="HK63" s="54"/>
      <c r="HL63" s="54"/>
      <c r="HM63" s="54"/>
      <c r="HN63" s="54"/>
      <c r="HO63" s="54"/>
      <c r="HP63" s="54"/>
      <c r="HQ63" s="54"/>
      <c r="HR63" s="54"/>
      <c r="HS63" s="54"/>
      <c r="HT63" s="54"/>
      <c r="HU63" s="54"/>
      <c r="HV63" s="54"/>
      <c r="HW63" s="54"/>
      <c r="HX63" s="54"/>
      <c r="HY63" s="54"/>
      <c r="HZ63" s="54"/>
      <c r="IA63" s="54"/>
      <c r="IB63" s="54"/>
      <c r="IC63" s="54"/>
      <c r="ID63" s="54"/>
      <c r="IE63" s="54"/>
      <c r="IF63" s="54"/>
      <c r="IG63" s="54"/>
      <c r="IH63" s="54"/>
      <c r="II63" s="54"/>
      <c r="IJ63" s="54"/>
      <c r="IK63" s="54"/>
      <c r="IL63" s="54"/>
      <c r="IM63" s="54"/>
      <c r="IN63" s="54"/>
      <c r="IO63" s="54"/>
      <c r="IP63" s="54"/>
      <c r="IQ63" s="54"/>
      <c r="IR63" s="54"/>
      <c r="IS63" s="54"/>
      <c r="IT63" s="54"/>
      <c r="IU63" s="54"/>
      <c r="IV63" s="54"/>
      <c r="IW63" s="54"/>
      <c r="IX63" s="54"/>
      <c r="IY63" s="54"/>
      <c r="IZ63" s="54"/>
      <c r="JA63" s="54"/>
      <c r="JB63" s="54"/>
      <c r="JC63" s="54"/>
      <c r="JD63" s="54"/>
      <c r="JE63" s="54"/>
      <c r="JF63" s="54"/>
      <c r="JG63" s="54"/>
      <c r="JH63" s="54"/>
      <c r="JI63" s="54"/>
      <c r="JJ63" s="54"/>
      <c r="JK63" s="54"/>
      <c r="JL63" s="54"/>
      <c r="JM63" s="54"/>
      <c r="JN63" s="54"/>
      <c r="JO63" s="54"/>
      <c r="JP63" s="54"/>
      <c r="JQ63" s="54"/>
      <c r="JR63" s="54"/>
      <c r="JS63" s="54"/>
      <c r="JT63" s="54"/>
      <c r="JU63" s="54"/>
      <c r="JV63" s="54"/>
      <c r="JW63" s="54"/>
      <c r="JX63" s="54"/>
      <c r="JY63" s="54"/>
      <c r="JZ63" s="54"/>
      <c r="KA63" s="54"/>
      <c r="KB63" s="54"/>
      <c r="KC63" s="54"/>
      <c r="KD63" s="54"/>
      <c r="KE63" s="54"/>
      <c r="KF63" s="54"/>
      <c r="KG63" s="54"/>
      <c r="KH63" s="54"/>
      <c r="KI63" s="54"/>
      <c r="KJ63" s="54"/>
      <c r="KK63" s="54"/>
      <c r="KL63" s="54"/>
      <c r="KM63" s="54"/>
      <c r="KN63" s="54"/>
      <c r="KO63" s="54"/>
      <c r="KP63" s="54"/>
      <c r="KQ63" s="54"/>
      <c r="KR63" s="54"/>
      <c r="KS63" s="54"/>
      <c r="KT63" s="54"/>
      <c r="KU63" s="54"/>
      <c r="KV63" s="54"/>
      <c r="KW63" s="54"/>
      <c r="KX63" s="54"/>
    </row>
    <row r="64" ht="5.2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c r="BS64" s="54"/>
      <c r="BT64" s="54"/>
      <c r="BU64" s="54"/>
      <c r="BV64" s="54"/>
      <c r="BW64" s="54"/>
      <c r="BX64" s="54"/>
      <c r="BY64" s="54"/>
      <c r="BZ64" s="54"/>
      <c r="CA64" s="54"/>
      <c r="CB64" s="54"/>
      <c r="CC64" s="54"/>
      <c r="CD64" s="54"/>
      <c r="CE64" s="54"/>
      <c r="CF64" s="54"/>
      <c r="CG64" s="54"/>
      <c r="CH64" s="54"/>
      <c r="CI64" s="54"/>
      <c r="CJ64" s="54"/>
      <c r="CK64" s="54"/>
      <c r="CL64" s="54"/>
      <c r="CM64" s="54"/>
      <c r="CN64" s="54"/>
      <c r="CO64" s="54"/>
      <c r="CP64" s="54"/>
      <c r="CQ64" s="54"/>
      <c r="CR64" s="54"/>
      <c r="CS64" s="54"/>
      <c r="CT64" s="54"/>
      <c r="CU64" s="54"/>
      <c r="CV64" s="54"/>
      <c r="CW64" s="54"/>
      <c r="CX64" s="54"/>
      <c r="CY64" s="54"/>
      <c r="CZ64" s="54"/>
      <c r="DA64" s="54"/>
      <c r="DB64" s="56"/>
      <c r="DC64" s="56">
        <f>DC60</f>
        <v>7</v>
      </c>
      <c r="DD64" s="64"/>
      <c r="DL64" s="83"/>
      <c r="DN64" s="11"/>
      <c r="DO64" s="87"/>
      <c r="DQ64" s="11"/>
      <c r="DR64" s="84"/>
      <c r="DU64" s="54"/>
      <c r="ED64" s="85">
        <f>sum(DL64:DT66)</f>
        <v>0</v>
      </c>
      <c r="EG64" s="11"/>
      <c r="EH64" s="85">
        <f>sum(EU64:FC66)</f>
        <v>0</v>
      </c>
      <c r="EL64" s="54"/>
      <c r="EM64" s="54"/>
      <c r="EN64" s="54"/>
      <c r="EO64" s="54"/>
      <c r="EP64" s="54"/>
      <c r="EQ64" s="54"/>
      <c r="ER64" s="54"/>
      <c r="ES64" s="54"/>
      <c r="ET64" s="54"/>
      <c r="EU64" s="83"/>
      <c r="EW64" s="11"/>
      <c r="EX64" s="84"/>
      <c r="EZ64" s="11"/>
      <c r="FA64" s="84"/>
      <c r="FD64" s="68"/>
      <c r="FE64" s="54"/>
      <c r="FF64" s="54"/>
      <c r="FG64" s="54"/>
      <c r="FH64" s="54"/>
      <c r="FI64" s="54"/>
      <c r="FJ64" s="54"/>
      <c r="FK64" s="69"/>
      <c r="FL64" s="56">
        <f>FL60</f>
        <v>10</v>
      </c>
      <c r="FM64" s="56"/>
      <c r="FN64" s="54"/>
      <c r="FO64" s="54"/>
      <c r="FP64" s="54"/>
      <c r="FQ64" s="54"/>
      <c r="FR64" s="54"/>
      <c r="FS64" s="54"/>
      <c r="FT64" s="54"/>
      <c r="FU64" s="54"/>
      <c r="FV64" s="54"/>
      <c r="FW64" s="54"/>
      <c r="FX64" s="54"/>
      <c r="FY64" s="54"/>
      <c r="FZ64" s="54"/>
      <c r="GA64" s="54"/>
      <c r="GB64" s="54"/>
      <c r="GC64" s="54"/>
      <c r="GD64" s="54"/>
      <c r="GE64" s="54"/>
      <c r="GF64" s="54"/>
      <c r="GG64" s="54"/>
      <c r="GH64" s="54"/>
      <c r="GI64" s="54"/>
      <c r="GJ64" s="54"/>
      <c r="GK64" s="54"/>
      <c r="GL64" s="54"/>
      <c r="GM64" s="54"/>
      <c r="GN64" s="54"/>
      <c r="GO64" s="54"/>
      <c r="GP64" s="54"/>
      <c r="GQ64" s="54"/>
      <c r="GR64" s="54"/>
      <c r="GS64" s="54"/>
      <c r="GT64" s="54"/>
      <c r="GU64" s="54"/>
      <c r="GV64" s="54"/>
      <c r="GW64" s="54"/>
      <c r="GX64" s="54"/>
      <c r="GY64" s="54"/>
      <c r="GZ64" s="54"/>
      <c r="HA64" s="54"/>
      <c r="HB64" s="54"/>
      <c r="HC64" s="54"/>
      <c r="HD64" s="54"/>
      <c r="HE64" s="54"/>
      <c r="HF64" s="54"/>
      <c r="HG64" s="54"/>
      <c r="HH64" s="54"/>
      <c r="HI64" s="54"/>
      <c r="HJ64" s="54"/>
      <c r="HK64" s="54"/>
      <c r="HL64" s="54"/>
      <c r="HM64" s="54"/>
      <c r="HN64" s="54"/>
      <c r="HO64" s="54"/>
      <c r="HP64" s="54"/>
      <c r="HQ64" s="54"/>
      <c r="HR64" s="54"/>
      <c r="HS64" s="54"/>
      <c r="HT64" s="54"/>
      <c r="HU64" s="54"/>
      <c r="HV64" s="54"/>
      <c r="HW64" s="54"/>
      <c r="HX64" s="54"/>
      <c r="HY64" s="54"/>
      <c r="HZ64" s="54"/>
      <c r="IA64" s="54"/>
      <c r="IB64" s="54"/>
      <c r="IC64" s="54"/>
      <c r="ID64" s="54"/>
      <c r="IE64" s="54"/>
      <c r="IF64" s="54"/>
      <c r="IG64" s="54"/>
      <c r="IH64" s="54"/>
      <c r="II64" s="54"/>
      <c r="IJ64" s="54"/>
      <c r="IK64" s="54"/>
      <c r="IL64" s="54"/>
      <c r="IM64" s="54"/>
      <c r="IN64" s="54"/>
      <c r="IO64" s="54"/>
      <c r="IP64" s="54"/>
      <c r="IQ64" s="54"/>
      <c r="IR64" s="54"/>
      <c r="IS64" s="54"/>
      <c r="IT64" s="54"/>
      <c r="IU64" s="54"/>
      <c r="IV64" s="54"/>
      <c r="IW64" s="54"/>
      <c r="IX64" s="54"/>
      <c r="IY64" s="54"/>
      <c r="IZ64" s="54"/>
      <c r="JA64" s="54"/>
      <c r="JB64" s="54"/>
      <c r="JC64" s="54"/>
      <c r="JD64" s="54"/>
      <c r="JE64" s="54"/>
      <c r="JF64" s="54"/>
      <c r="JG64" s="54"/>
      <c r="JH64" s="54"/>
      <c r="JI64" s="54"/>
      <c r="JJ64" s="54"/>
      <c r="JK64" s="54"/>
      <c r="JL64" s="54"/>
      <c r="JM64" s="54"/>
      <c r="JN64" s="54"/>
      <c r="JO64" s="54"/>
      <c r="JP64" s="54"/>
      <c r="JQ64" s="54"/>
      <c r="JR64" s="54"/>
      <c r="JS64" s="54"/>
      <c r="JT64" s="54"/>
      <c r="JU64" s="54"/>
      <c r="JV64" s="54"/>
      <c r="JW64" s="54"/>
      <c r="JX64" s="54"/>
      <c r="JY64" s="54"/>
      <c r="JZ64" s="54"/>
      <c r="KA64" s="54"/>
      <c r="KB64" s="54"/>
      <c r="KC64" s="54"/>
      <c r="KD64" s="54"/>
      <c r="KE64" s="54"/>
      <c r="KF64" s="54"/>
      <c r="KG64" s="54"/>
      <c r="KH64" s="54"/>
      <c r="KI64" s="54"/>
      <c r="KJ64" s="54"/>
      <c r="KK64" s="54"/>
      <c r="KL64" s="54"/>
      <c r="KM64" s="54"/>
      <c r="KN64" s="54"/>
      <c r="KO64" s="54"/>
      <c r="KP64" s="54"/>
      <c r="KQ64" s="54"/>
      <c r="KR64" s="54"/>
      <c r="KS64" s="54"/>
      <c r="KT64" s="54"/>
      <c r="KU64" s="54"/>
      <c r="KV64" s="54"/>
      <c r="KW64" s="54"/>
      <c r="KX64" s="54"/>
    </row>
    <row r="65" ht="5.2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c r="BU65" s="54"/>
      <c r="BV65" s="54"/>
      <c r="BW65" s="54"/>
      <c r="BX65" s="54"/>
      <c r="BY65" s="54"/>
      <c r="BZ65" s="54"/>
      <c r="CA65" s="54"/>
      <c r="CB65" s="54"/>
      <c r="CC65" s="54"/>
      <c r="CD65" s="54"/>
      <c r="CE65" s="54"/>
      <c r="CF65" s="54"/>
      <c r="CG65" s="54"/>
      <c r="CH65" s="54"/>
      <c r="CI65" s="54"/>
      <c r="CJ65" s="54"/>
      <c r="CK65" s="54"/>
      <c r="CL65" s="54"/>
      <c r="CM65" s="54"/>
      <c r="CN65" s="54"/>
      <c r="CO65" s="54"/>
      <c r="CP65" s="54"/>
      <c r="CQ65" s="54"/>
      <c r="CR65" s="54"/>
      <c r="CS65" s="54"/>
      <c r="CT65" s="54"/>
      <c r="CU65" s="54"/>
      <c r="CV65" s="54"/>
      <c r="CW65" s="54"/>
      <c r="CX65" s="54"/>
      <c r="CY65" s="54"/>
      <c r="CZ65" s="54"/>
      <c r="DA65" s="54"/>
      <c r="DB65" s="56"/>
      <c r="DC65" s="56"/>
      <c r="DD65" s="60"/>
      <c r="DN65" s="11"/>
      <c r="DO65" s="10"/>
      <c r="DQ65" s="11"/>
      <c r="DR65" s="10"/>
      <c r="EG65" s="11"/>
      <c r="EL65" s="54"/>
      <c r="EM65" s="54"/>
      <c r="EN65" s="54"/>
      <c r="EO65" s="54"/>
      <c r="EP65" s="54"/>
      <c r="EQ65" s="54"/>
      <c r="ER65" s="54"/>
      <c r="ES65" s="54"/>
      <c r="ET65" s="54"/>
      <c r="EW65" s="11"/>
      <c r="EX65" s="10"/>
      <c r="EZ65" s="11"/>
      <c r="FA65" s="10"/>
      <c r="FD65" s="68"/>
      <c r="FE65" s="54"/>
      <c r="FF65" s="54"/>
      <c r="FG65" s="54"/>
      <c r="FH65" s="54"/>
      <c r="FI65" s="54"/>
      <c r="FJ65" s="54"/>
      <c r="FK65" s="69"/>
      <c r="FL65" s="56"/>
      <c r="FM65" s="56"/>
      <c r="FN65" s="54"/>
      <c r="FO65" s="54"/>
      <c r="FP65" s="54"/>
      <c r="FQ65" s="54"/>
      <c r="FR65" s="54"/>
      <c r="FS65" s="54"/>
      <c r="FT65" s="54"/>
      <c r="FU65" s="54"/>
      <c r="FV65" s="54"/>
      <c r="FW65" s="54"/>
      <c r="FX65" s="54"/>
      <c r="FY65" s="54"/>
      <c r="FZ65" s="54"/>
      <c r="GA65" s="54"/>
      <c r="GB65" s="54"/>
      <c r="GC65" s="54"/>
      <c r="GD65" s="54"/>
      <c r="GE65" s="54"/>
      <c r="GF65" s="54"/>
      <c r="GG65" s="54"/>
      <c r="GH65" s="54"/>
      <c r="GI65" s="54"/>
      <c r="GJ65" s="54"/>
      <c r="GK65" s="54"/>
      <c r="GL65" s="54"/>
      <c r="GM65" s="54"/>
      <c r="GN65" s="54"/>
      <c r="GO65" s="54"/>
      <c r="GP65" s="54"/>
      <c r="GQ65" s="54"/>
      <c r="GR65" s="54"/>
      <c r="GS65" s="54"/>
      <c r="GT65" s="54"/>
      <c r="GU65" s="54"/>
      <c r="GV65" s="54"/>
      <c r="GW65" s="54"/>
      <c r="GX65" s="54"/>
      <c r="GY65" s="54"/>
      <c r="GZ65" s="54"/>
      <c r="HA65" s="54"/>
      <c r="HB65" s="54"/>
      <c r="HC65" s="54"/>
      <c r="HD65" s="54"/>
      <c r="HE65" s="54"/>
      <c r="HF65" s="54"/>
      <c r="HG65" s="54"/>
      <c r="HH65" s="54"/>
      <c r="HI65" s="54"/>
      <c r="HJ65" s="54"/>
      <c r="HK65" s="54"/>
      <c r="HL65" s="54"/>
      <c r="HM65" s="54"/>
      <c r="HN65" s="54"/>
      <c r="HO65" s="54"/>
      <c r="HP65" s="54"/>
      <c r="HQ65" s="54"/>
      <c r="HR65" s="54"/>
      <c r="HS65" s="54"/>
      <c r="HT65" s="54"/>
      <c r="HU65" s="54"/>
      <c r="HV65" s="54"/>
      <c r="HW65" s="54"/>
      <c r="HX65" s="54"/>
      <c r="HY65" s="54"/>
      <c r="HZ65" s="54"/>
      <c r="IA65" s="54"/>
      <c r="IB65" s="54"/>
      <c r="IC65" s="54"/>
      <c r="ID65" s="54"/>
      <c r="IE65" s="54"/>
      <c r="IF65" s="54"/>
      <c r="IG65" s="54"/>
      <c r="IH65" s="54"/>
      <c r="II65" s="54"/>
      <c r="IJ65" s="54"/>
      <c r="IK65" s="54"/>
      <c r="IL65" s="54"/>
      <c r="IM65" s="54"/>
      <c r="IN65" s="54"/>
      <c r="IO65" s="54"/>
      <c r="IP65" s="54"/>
      <c r="IQ65" s="54"/>
      <c r="IR65" s="54"/>
      <c r="IS65" s="54"/>
      <c r="IT65" s="54"/>
      <c r="IU65" s="54"/>
      <c r="IV65" s="54"/>
      <c r="IW65" s="54"/>
      <c r="IX65" s="54"/>
      <c r="IY65" s="54"/>
      <c r="IZ65" s="54"/>
      <c r="JA65" s="54"/>
      <c r="JB65" s="54"/>
      <c r="JC65" s="54"/>
      <c r="JD65" s="54"/>
      <c r="JE65" s="54"/>
      <c r="JF65" s="54"/>
      <c r="JG65" s="54"/>
      <c r="JH65" s="54"/>
      <c r="JI65" s="54"/>
      <c r="JJ65" s="54"/>
      <c r="JK65" s="54"/>
      <c r="JL65" s="54"/>
      <c r="JM65" s="54"/>
      <c r="JN65" s="54"/>
      <c r="JO65" s="54"/>
      <c r="JP65" s="54"/>
      <c r="JQ65" s="54"/>
      <c r="JR65" s="54"/>
      <c r="JS65" s="54"/>
      <c r="JT65" s="54"/>
      <c r="JU65" s="54"/>
      <c r="JV65" s="54"/>
      <c r="JW65" s="54"/>
      <c r="JX65" s="54"/>
      <c r="JY65" s="54"/>
      <c r="JZ65" s="54"/>
      <c r="KA65" s="54"/>
      <c r="KB65" s="54"/>
      <c r="KC65" s="54"/>
      <c r="KD65" s="54"/>
      <c r="KE65" s="54"/>
      <c r="KF65" s="54"/>
      <c r="KG65" s="54"/>
      <c r="KH65" s="54"/>
      <c r="KI65" s="54"/>
      <c r="KJ65" s="54"/>
      <c r="KK65" s="54"/>
      <c r="KL65" s="54"/>
      <c r="KM65" s="54"/>
      <c r="KN65" s="54"/>
      <c r="KO65" s="54"/>
      <c r="KP65" s="54"/>
      <c r="KQ65" s="54"/>
      <c r="KR65" s="54"/>
      <c r="KS65" s="54"/>
      <c r="KT65" s="54"/>
      <c r="KU65" s="54"/>
      <c r="KV65" s="54"/>
      <c r="KW65" s="54"/>
      <c r="KX65" s="54"/>
    </row>
    <row r="66" ht="5.2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4"/>
      <c r="CY66" s="54"/>
      <c r="CZ66" s="54"/>
      <c r="DA66" s="54"/>
      <c r="DB66" s="56"/>
      <c r="DC66" s="56"/>
      <c r="DD66" s="88"/>
      <c r="DE66" s="13"/>
      <c r="DF66" s="13"/>
      <c r="DG66" s="13"/>
      <c r="DH66" s="13"/>
      <c r="DI66" s="13"/>
      <c r="DJ66" s="13"/>
      <c r="DK66" s="13"/>
      <c r="DL66" s="13"/>
      <c r="DM66" s="13"/>
      <c r="DN66" s="14"/>
      <c r="DO66" s="12"/>
      <c r="DP66" s="13"/>
      <c r="DQ66" s="14"/>
      <c r="DR66" s="12"/>
      <c r="DS66" s="13"/>
      <c r="DT66" s="13"/>
      <c r="DU66" s="13"/>
      <c r="DV66" s="13"/>
      <c r="DW66" s="13"/>
      <c r="DX66" s="13"/>
      <c r="DY66" s="13"/>
      <c r="DZ66" s="13"/>
      <c r="EA66" s="13"/>
      <c r="EB66" s="13"/>
      <c r="EC66" s="13"/>
      <c r="ED66" s="13"/>
      <c r="EE66" s="13"/>
      <c r="EF66" s="13"/>
      <c r="EG66" s="14"/>
      <c r="EH66" s="13"/>
      <c r="EI66" s="13"/>
      <c r="EJ66" s="13"/>
      <c r="EK66" s="13"/>
      <c r="EL66" s="89"/>
      <c r="EM66" s="89"/>
      <c r="EN66" s="89"/>
      <c r="EO66" s="89"/>
      <c r="EP66" s="89"/>
      <c r="EQ66" s="89"/>
      <c r="ER66" s="89"/>
      <c r="ES66" s="89"/>
      <c r="ET66" s="89"/>
      <c r="EU66" s="13"/>
      <c r="EV66" s="13"/>
      <c r="EW66" s="14"/>
      <c r="EX66" s="12"/>
      <c r="EY66" s="13"/>
      <c r="EZ66" s="14"/>
      <c r="FA66" s="12"/>
      <c r="FB66" s="13"/>
      <c r="FC66" s="13"/>
      <c r="FD66" s="90"/>
      <c r="FE66" s="89"/>
      <c r="FF66" s="89"/>
      <c r="FG66" s="89"/>
      <c r="FH66" s="89"/>
      <c r="FI66" s="89"/>
      <c r="FJ66" s="89"/>
      <c r="FK66" s="91"/>
      <c r="FL66" s="56"/>
      <c r="FM66" s="56"/>
      <c r="FN66" s="54"/>
      <c r="FO66" s="54"/>
      <c r="FP66" s="54"/>
      <c r="FQ66" s="54"/>
      <c r="FR66" s="54"/>
      <c r="FS66" s="54"/>
      <c r="FT66" s="54"/>
      <c r="FU66" s="54"/>
      <c r="FV66" s="54"/>
      <c r="FW66" s="54"/>
      <c r="FX66" s="54"/>
      <c r="FY66" s="54"/>
      <c r="FZ66" s="54"/>
      <c r="GA66" s="54"/>
      <c r="GB66" s="54"/>
      <c r="GC66" s="54"/>
      <c r="GD66" s="54"/>
      <c r="GE66" s="54"/>
      <c r="GF66" s="54"/>
      <c r="GG66" s="54"/>
      <c r="GH66" s="54"/>
      <c r="GI66" s="54"/>
      <c r="GJ66" s="54"/>
      <c r="GK66" s="54"/>
      <c r="GL66" s="54"/>
      <c r="GM66" s="54"/>
      <c r="GN66" s="54"/>
      <c r="GO66" s="54"/>
      <c r="GP66" s="54"/>
      <c r="GQ66" s="54"/>
      <c r="GR66" s="54"/>
      <c r="GS66" s="54"/>
      <c r="GT66" s="54"/>
      <c r="GU66" s="54"/>
      <c r="GV66" s="54"/>
      <c r="GW66" s="54"/>
      <c r="GX66" s="54"/>
      <c r="GY66" s="54"/>
      <c r="GZ66" s="54"/>
      <c r="HA66" s="54"/>
      <c r="HB66" s="54"/>
      <c r="HC66" s="54"/>
      <c r="HD66" s="54"/>
      <c r="HE66" s="54"/>
      <c r="HF66" s="54"/>
      <c r="HG66" s="54"/>
      <c r="HH66" s="54"/>
      <c r="HI66" s="54"/>
      <c r="HJ66" s="54"/>
      <c r="HK66" s="54"/>
      <c r="HL66" s="54"/>
      <c r="HM66" s="54"/>
      <c r="HN66" s="54"/>
      <c r="HO66" s="54"/>
      <c r="HP66" s="54"/>
      <c r="HQ66" s="54"/>
      <c r="HR66" s="54"/>
      <c r="HS66" s="54"/>
      <c r="HT66" s="54"/>
      <c r="HU66" s="54"/>
      <c r="HV66" s="54"/>
      <c r="HW66" s="54"/>
      <c r="HX66" s="54"/>
      <c r="HY66" s="54"/>
      <c r="HZ66" s="54"/>
      <c r="IA66" s="54"/>
      <c r="IB66" s="54"/>
      <c r="IC66" s="54"/>
      <c r="ID66" s="54"/>
      <c r="IE66" s="54"/>
      <c r="IF66" s="54"/>
      <c r="IG66" s="54"/>
      <c r="IH66" s="54"/>
      <c r="II66" s="54"/>
      <c r="IJ66" s="54"/>
      <c r="IK66" s="54"/>
      <c r="IL66" s="54"/>
      <c r="IM66" s="54"/>
      <c r="IN66" s="54"/>
      <c r="IO66" s="54"/>
      <c r="IP66" s="54"/>
      <c r="IQ66" s="54"/>
      <c r="IR66" s="54"/>
      <c r="IS66" s="54"/>
      <c r="IT66" s="54"/>
      <c r="IU66" s="54"/>
      <c r="IV66" s="54"/>
      <c r="IW66" s="54"/>
      <c r="IX66" s="54"/>
      <c r="IY66" s="54"/>
      <c r="IZ66" s="54"/>
      <c r="JA66" s="54"/>
      <c r="JB66" s="54"/>
      <c r="JC66" s="54"/>
      <c r="JD66" s="54"/>
      <c r="JE66" s="54"/>
      <c r="JF66" s="54"/>
      <c r="JG66" s="54"/>
      <c r="JH66" s="54"/>
      <c r="JI66" s="54"/>
      <c r="JJ66" s="54"/>
      <c r="JK66" s="54"/>
      <c r="JL66" s="54"/>
      <c r="JM66" s="54"/>
      <c r="JN66" s="54"/>
      <c r="JO66" s="54"/>
      <c r="JP66" s="54"/>
      <c r="JQ66" s="54"/>
      <c r="JR66" s="54"/>
      <c r="JS66" s="54"/>
      <c r="JT66" s="54"/>
      <c r="JU66" s="54"/>
      <c r="JV66" s="54"/>
      <c r="JW66" s="54"/>
      <c r="JX66" s="54"/>
      <c r="JY66" s="54"/>
      <c r="JZ66" s="54"/>
      <c r="KA66" s="54"/>
      <c r="KB66" s="54"/>
      <c r="KC66" s="54"/>
      <c r="KD66" s="54"/>
      <c r="KE66" s="54"/>
      <c r="KF66" s="54"/>
      <c r="KG66" s="54"/>
      <c r="KH66" s="54"/>
      <c r="KI66" s="54"/>
      <c r="KJ66" s="54"/>
      <c r="KK66" s="54"/>
      <c r="KL66" s="54"/>
      <c r="KM66" s="54"/>
      <c r="KN66" s="54"/>
      <c r="KO66" s="54"/>
      <c r="KP66" s="54"/>
      <c r="KQ66" s="54"/>
      <c r="KR66" s="54"/>
      <c r="KS66" s="54"/>
      <c r="KT66" s="54"/>
      <c r="KU66" s="54"/>
      <c r="KV66" s="54"/>
      <c r="KW66" s="54"/>
      <c r="KX66" s="54"/>
    </row>
    <row r="67" ht="5.2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c r="BU67" s="54"/>
      <c r="BV67" s="54"/>
      <c r="BW67" s="54"/>
      <c r="BX67" s="54"/>
      <c r="BY67" s="54"/>
      <c r="BZ67" s="54"/>
      <c r="CA67" s="54"/>
      <c r="CB67" s="54"/>
      <c r="CC67" s="54"/>
      <c r="CD67" s="54"/>
      <c r="CE67" s="54"/>
      <c r="CF67" s="54"/>
      <c r="CG67" s="54"/>
      <c r="CH67" s="54"/>
      <c r="CI67" s="54"/>
      <c r="CJ67" s="54"/>
      <c r="CK67" s="54"/>
      <c r="CL67" s="54"/>
      <c r="CM67" s="54"/>
      <c r="CN67" s="54"/>
      <c r="CO67" s="54"/>
      <c r="CP67" s="54"/>
      <c r="CQ67" s="54"/>
      <c r="CR67" s="54"/>
      <c r="CS67" s="54"/>
      <c r="CT67" s="54"/>
      <c r="CU67" s="54"/>
      <c r="CV67" s="54"/>
      <c r="CW67" s="54"/>
      <c r="CX67" s="54"/>
      <c r="CY67" s="54"/>
      <c r="CZ67" s="54"/>
      <c r="DA67" s="54"/>
      <c r="DB67" s="56"/>
      <c r="DC67" s="56">
        <f>'Choose matchups (Contender)'!Q12</f>
        <v>8</v>
      </c>
      <c r="DD67" s="100" t="str">
        <f t="array" ref="DD67">xlookup(DC67,qualdata!$M$2:$M$17,qualdata!$O$2:$O$17,"")</f>
        <v/>
      </c>
      <c r="DH67" s="79" t="str">
        <f t="array" ref="DH67">xlookup(DC67,qualdata!$M$2:$M$17,qualdata!$N$2:$N$17,"")</f>
        <v>Team 8 (Group 1)</v>
      </c>
      <c r="ED67" s="67"/>
      <c r="EG67" s="11"/>
      <c r="EH67" s="95"/>
      <c r="EI67" s="8"/>
      <c r="EJ67" s="8"/>
      <c r="EK67" s="8"/>
      <c r="EL67" s="96" t="str">
        <f t="array" ref="EL67">xlookup(FL67,qualdata!$M$2:$M$17,qualdata!$N$2:$N$17,"")</f>
        <v>Team 9 (Group 1)</v>
      </c>
      <c r="EM67" s="8"/>
      <c r="EN67" s="8"/>
      <c r="EO67" s="8"/>
      <c r="EP67" s="8"/>
      <c r="EQ67" s="8"/>
      <c r="ER67" s="8"/>
      <c r="ES67" s="8"/>
      <c r="ET67" s="8"/>
      <c r="EU67" s="8"/>
      <c r="EV67" s="8"/>
      <c r="EW67" s="8"/>
      <c r="EX67" s="8"/>
      <c r="EY67" s="8"/>
      <c r="EZ67" s="8"/>
      <c r="FA67" s="8"/>
      <c r="FB67" s="8"/>
      <c r="FC67" s="8"/>
      <c r="FD67" s="8"/>
      <c r="FE67" s="8"/>
      <c r="FF67" s="8"/>
      <c r="FG67" s="8"/>
      <c r="FH67" s="97" t="str">
        <f t="array" ref="FH67">xlookup(FL67,qualdata!$M$2:$M$17,qualdata!$O$2:$O$17,"")</f>
        <v/>
      </c>
      <c r="FI67" s="8"/>
      <c r="FJ67" s="8"/>
      <c r="FK67" s="98"/>
      <c r="FL67" s="77">
        <f t="array" ref="FL67">xlookup(DC67,qualdata!$M$2:$M$17,qualdata!$P$2:$P$17,"")</f>
        <v>9</v>
      </c>
      <c r="FM67" s="56"/>
      <c r="FN67" s="54"/>
      <c r="FO67" s="54"/>
      <c r="FP67" s="54"/>
      <c r="FQ67" s="54"/>
      <c r="FR67" s="54"/>
      <c r="FS67" s="54"/>
      <c r="FT67" s="54"/>
      <c r="FU67" s="54"/>
      <c r="FV67" s="54"/>
      <c r="FW67" s="54"/>
      <c r="FX67" s="54"/>
      <c r="FY67" s="54"/>
      <c r="FZ67" s="54"/>
      <c r="GA67" s="54"/>
      <c r="GB67" s="54"/>
      <c r="GC67" s="54"/>
      <c r="GD67" s="54"/>
      <c r="GE67" s="54"/>
      <c r="GF67" s="54"/>
      <c r="GG67" s="54"/>
      <c r="GH67" s="54"/>
      <c r="GI67" s="54"/>
      <c r="GJ67" s="54"/>
      <c r="GK67" s="54"/>
      <c r="GL67" s="54"/>
      <c r="GM67" s="54"/>
      <c r="GN67" s="54"/>
      <c r="GO67" s="54"/>
      <c r="GP67" s="54"/>
      <c r="GQ67" s="54"/>
      <c r="GR67" s="54"/>
      <c r="GS67" s="54"/>
      <c r="GT67" s="54"/>
      <c r="GU67" s="54"/>
      <c r="GV67" s="54"/>
      <c r="GW67" s="54"/>
      <c r="GX67" s="54"/>
      <c r="GY67" s="54"/>
      <c r="GZ67" s="54"/>
      <c r="HA67" s="54"/>
      <c r="HB67" s="54"/>
      <c r="HC67" s="54"/>
      <c r="HD67" s="54"/>
      <c r="HE67" s="54"/>
      <c r="HF67" s="54"/>
      <c r="HG67" s="54"/>
      <c r="HH67" s="54"/>
      <c r="HI67" s="54"/>
      <c r="HJ67" s="54"/>
      <c r="HK67" s="54"/>
      <c r="HL67" s="54"/>
      <c r="HM67" s="54"/>
      <c r="HN67" s="54"/>
      <c r="HO67" s="54"/>
      <c r="HP67" s="54"/>
      <c r="HQ67" s="54"/>
      <c r="HR67" s="54"/>
      <c r="HS67" s="54"/>
      <c r="HT67" s="54"/>
      <c r="HU67" s="54"/>
      <c r="HV67" s="54"/>
      <c r="HW67" s="54"/>
      <c r="HX67" s="54"/>
      <c r="HY67" s="54"/>
      <c r="HZ67" s="54"/>
      <c r="IA67" s="54"/>
      <c r="IB67" s="54"/>
      <c r="IC67" s="54"/>
      <c r="ID67" s="54"/>
      <c r="IE67" s="54"/>
      <c r="IF67" s="54"/>
      <c r="IG67" s="54"/>
      <c r="IH67" s="54"/>
      <c r="II67" s="54"/>
      <c r="IJ67" s="54"/>
      <c r="IK67" s="54"/>
      <c r="IL67" s="54"/>
      <c r="IM67" s="54"/>
      <c r="IN67" s="54"/>
      <c r="IO67" s="54"/>
      <c r="IP67" s="54"/>
      <c r="IQ67" s="54"/>
      <c r="IR67" s="54"/>
      <c r="IS67" s="54"/>
      <c r="IT67" s="54"/>
      <c r="IU67" s="54"/>
      <c r="IV67" s="54"/>
      <c r="IW67" s="54"/>
      <c r="IX67" s="54"/>
      <c r="IY67" s="54"/>
      <c r="IZ67" s="54"/>
      <c r="JA67" s="54"/>
      <c r="JB67" s="54"/>
      <c r="JC67" s="54"/>
      <c r="JD67" s="54"/>
      <c r="JE67" s="54"/>
      <c r="JF67" s="54"/>
      <c r="JG67" s="54"/>
      <c r="JH67" s="54"/>
      <c r="JI67" s="54"/>
      <c r="JJ67" s="54"/>
      <c r="JK67" s="54"/>
      <c r="JL67" s="54"/>
      <c r="JM67" s="54"/>
      <c r="JN67" s="54"/>
      <c r="JO67" s="54"/>
      <c r="JP67" s="54"/>
      <c r="JQ67" s="54"/>
      <c r="JR67" s="54"/>
      <c r="JS67" s="54"/>
      <c r="JT67" s="54"/>
      <c r="JU67" s="54"/>
      <c r="JV67" s="54"/>
      <c r="JW67" s="54"/>
      <c r="JX67" s="54"/>
      <c r="JY67" s="54"/>
      <c r="JZ67" s="54"/>
      <c r="KA67" s="54"/>
      <c r="KB67" s="54"/>
      <c r="KC67" s="54"/>
      <c r="KD67" s="54"/>
      <c r="KE67" s="54"/>
      <c r="KF67" s="54"/>
      <c r="KG67" s="54"/>
      <c r="KH67" s="54"/>
      <c r="KI67" s="54"/>
      <c r="KJ67" s="54"/>
      <c r="KK67" s="54"/>
      <c r="KL67" s="54"/>
      <c r="KM67" s="54"/>
      <c r="KN67" s="54"/>
      <c r="KO67" s="54"/>
      <c r="KP67" s="54"/>
      <c r="KQ67" s="54"/>
      <c r="KR67" s="54"/>
      <c r="KS67" s="54"/>
      <c r="KT67" s="54"/>
      <c r="KU67" s="54"/>
      <c r="KV67" s="54"/>
      <c r="KW67" s="54"/>
      <c r="KX67" s="54"/>
    </row>
    <row r="68" ht="5.2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c r="CC68" s="54"/>
      <c r="CD68" s="54"/>
      <c r="CE68" s="54"/>
      <c r="CF68" s="54"/>
      <c r="CG68" s="54"/>
      <c r="CH68" s="54"/>
      <c r="CI68" s="54"/>
      <c r="CJ68" s="54"/>
      <c r="CK68" s="54"/>
      <c r="CL68" s="54"/>
      <c r="CM68" s="54"/>
      <c r="CN68" s="54"/>
      <c r="CO68" s="54"/>
      <c r="CP68" s="54"/>
      <c r="CQ68" s="54"/>
      <c r="CR68" s="54"/>
      <c r="CS68" s="54"/>
      <c r="CT68" s="54"/>
      <c r="CU68" s="54"/>
      <c r="CV68" s="54"/>
      <c r="CW68" s="54"/>
      <c r="CX68" s="54"/>
      <c r="CY68" s="54"/>
      <c r="CZ68" s="54"/>
      <c r="DA68" s="54"/>
      <c r="DB68" s="56"/>
      <c r="DC68" s="56"/>
      <c r="DD68" s="60"/>
      <c r="EG68" s="11"/>
      <c r="EH68" s="10"/>
      <c r="FK68" s="61"/>
      <c r="FL68" s="56"/>
      <c r="FM68" s="56"/>
      <c r="FN68" s="54"/>
      <c r="FO68" s="54"/>
      <c r="FP68" s="54"/>
      <c r="FQ68" s="54"/>
      <c r="FR68" s="54"/>
      <c r="FS68" s="54"/>
      <c r="FT68" s="54"/>
      <c r="FU68" s="54"/>
      <c r="FV68" s="54"/>
      <c r="FW68" s="54"/>
      <c r="FX68" s="54"/>
      <c r="FY68" s="54"/>
      <c r="FZ68" s="54"/>
      <c r="GA68" s="54"/>
      <c r="GB68" s="54"/>
      <c r="GC68" s="54"/>
      <c r="GD68" s="54"/>
      <c r="GE68" s="54"/>
      <c r="GF68" s="54"/>
      <c r="GG68" s="54"/>
      <c r="GH68" s="54"/>
      <c r="GI68" s="54"/>
      <c r="GJ68" s="54"/>
      <c r="GK68" s="54"/>
      <c r="GL68" s="54"/>
      <c r="GM68" s="54"/>
      <c r="GN68" s="54"/>
      <c r="GO68" s="54"/>
      <c r="GP68" s="54"/>
      <c r="GQ68" s="54"/>
      <c r="GR68" s="54"/>
      <c r="GS68" s="54"/>
      <c r="GT68" s="54"/>
      <c r="GU68" s="54"/>
      <c r="GV68" s="54"/>
      <c r="GW68" s="54"/>
      <c r="GX68" s="54"/>
      <c r="GY68" s="54"/>
      <c r="GZ68" s="54"/>
      <c r="HA68" s="54"/>
      <c r="HB68" s="54"/>
      <c r="HC68" s="54"/>
      <c r="HD68" s="54"/>
      <c r="HE68" s="54"/>
      <c r="HF68" s="54"/>
      <c r="HG68" s="54"/>
      <c r="HH68" s="54"/>
      <c r="HI68" s="54"/>
      <c r="HJ68" s="54"/>
      <c r="HK68" s="54"/>
      <c r="HL68" s="54"/>
      <c r="HM68" s="54"/>
      <c r="HN68" s="54"/>
      <c r="HO68" s="54"/>
      <c r="HP68" s="54"/>
      <c r="HQ68" s="54"/>
      <c r="HR68" s="54"/>
      <c r="HS68" s="54"/>
      <c r="HT68" s="54"/>
      <c r="HU68" s="54"/>
      <c r="HV68" s="54"/>
      <c r="HW68" s="54"/>
      <c r="HX68" s="54"/>
      <c r="HY68" s="54"/>
      <c r="HZ68" s="54"/>
      <c r="IA68" s="54"/>
      <c r="IB68" s="54"/>
      <c r="IC68" s="54"/>
      <c r="ID68" s="54"/>
      <c r="IE68" s="54"/>
      <c r="IF68" s="54"/>
      <c r="IG68" s="54"/>
      <c r="IH68" s="54"/>
      <c r="II68" s="54"/>
      <c r="IJ68" s="54"/>
      <c r="IK68" s="54"/>
      <c r="IL68" s="54"/>
      <c r="IM68" s="54"/>
      <c r="IN68" s="54"/>
      <c r="IO68" s="54"/>
      <c r="IP68" s="54"/>
      <c r="IQ68" s="54"/>
      <c r="IR68" s="54"/>
      <c r="IS68" s="54"/>
      <c r="IT68" s="54"/>
      <c r="IU68" s="54"/>
      <c r="IV68" s="54"/>
      <c r="IW68" s="54"/>
      <c r="IX68" s="54"/>
      <c r="IY68" s="54"/>
      <c r="IZ68" s="54"/>
      <c r="JA68" s="54"/>
      <c r="JB68" s="54"/>
      <c r="JC68" s="54"/>
      <c r="JD68" s="54"/>
      <c r="JE68" s="54"/>
      <c r="JF68" s="54"/>
      <c r="JG68" s="54"/>
      <c r="JH68" s="54"/>
      <c r="JI68" s="54"/>
      <c r="JJ68" s="54"/>
      <c r="JK68" s="54"/>
      <c r="JL68" s="54"/>
      <c r="JM68" s="54"/>
      <c r="JN68" s="54"/>
      <c r="JO68" s="54"/>
      <c r="JP68" s="54"/>
      <c r="JQ68" s="54"/>
      <c r="JR68" s="54"/>
      <c r="JS68" s="54"/>
      <c r="JT68" s="54"/>
      <c r="JU68" s="54"/>
      <c r="JV68" s="54"/>
      <c r="JW68" s="54"/>
      <c r="JX68" s="54"/>
      <c r="JY68" s="54"/>
      <c r="JZ68" s="54"/>
      <c r="KA68" s="54"/>
      <c r="KB68" s="54"/>
      <c r="KC68" s="54"/>
      <c r="KD68" s="54"/>
      <c r="KE68" s="54"/>
      <c r="KF68" s="54"/>
      <c r="KG68" s="54"/>
      <c r="KH68" s="54"/>
      <c r="KI68" s="54"/>
      <c r="KJ68" s="54"/>
      <c r="KK68" s="54"/>
      <c r="KL68" s="54"/>
      <c r="KM68" s="54"/>
      <c r="KN68" s="54"/>
      <c r="KO68" s="54"/>
      <c r="KP68" s="54"/>
      <c r="KQ68" s="54"/>
      <c r="KR68" s="54"/>
      <c r="KS68" s="54"/>
      <c r="KT68" s="54"/>
      <c r="KU68" s="54"/>
      <c r="KV68" s="54"/>
      <c r="KW68" s="54"/>
      <c r="KX68" s="54"/>
    </row>
    <row r="69" ht="5.2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c r="CA69" s="54"/>
      <c r="CB69" s="54"/>
      <c r="CC69" s="54"/>
      <c r="CD69" s="54"/>
      <c r="CE69" s="54"/>
      <c r="CF69" s="54"/>
      <c r="CG69" s="54"/>
      <c r="CH69" s="54"/>
      <c r="CI69" s="54"/>
      <c r="CJ69" s="54"/>
      <c r="CK69" s="54"/>
      <c r="CL69" s="54"/>
      <c r="CM69" s="54"/>
      <c r="CN69" s="54"/>
      <c r="CO69" s="54"/>
      <c r="CP69" s="54"/>
      <c r="CQ69" s="54"/>
      <c r="CR69" s="54"/>
      <c r="CS69" s="54"/>
      <c r="CT69" s="54"/>
      <c r="CU69" s="54"/>
      <c r="CV69" s="54"/>
      <c r="CW69" s="54"/>
      <c r="CX69" s="54"/>
      <c r="CY69" s="54"/>
      <c r="CZ69" s="54"/>
      <c r="DA69" s="54"/>
      <c r="DB69" s="56"/>
      <c r="DC69" s="56"/>
      <c r="DD69" s="60"/>
      <c r="EG69" s="11"/>
      <c r="EH69" s="10"/>
      <c r="FK69" s="61"/>
      <c r="FL69" s="56"/>
      <c r="FM69" s="56"/>
      <c r="FN69" s="54"/>
      <c r="FO69" s="54"/>
      <c r="FP69" s="54"/>
      <c r="FQ69" s="54"/>
      <c r="FR69" s="54"/>
      <c r="FS69" s="54"/>
      <c r="FT69" s="54"/>
      <c r="FU69" s="54"/>
      <c r="FV69" s="54"/>
      <c r="FW69" s="54"/>
      <c r="FX69" s="54"/>
      <c r="FY69" s="54"/>
      <c r="FZ69" s="54"/>
      <c r="GA69" s="54"/>
      <c r="GB69" s="54"/>
      <c r="GC69" s="54"/>
      <c r="GD69" s="54"/>
      <c r="GE69" s="54"/>
      <c r="GF69" s="54"/>
      <c r="GG69" s="54"/>
      <c r="GH69" s="54"/>
      <c r="GI69" s="54"/>
      <c r="GJ69" s="54"/>
      <c r="GK69" s="54"/>
      <c r="GL69" s="54"/>
      <c r="GM69" s="54"/>
      <c r="GN69" s="54"/>
      <c r="GO69" s="54"/>
      <c r="GP69" s="54"/>
      <c r="GQ69" s="54"/>
      <c r="GR69" s="54"/>
      <c r="GS69" s="54"/>
      <c r="GT69" s="54"/>
      <c r="GU69" s="54"/>
      <c r="GV69" s="54"/>
      <c r="GW69" s="54"/>
      <c r="GX69" s="54"/>
      <c r="GY69" s="54"/>
      <c r="GZ69" s="54"/>
      <c r="HA69" s="54"/>
      <c r="HB69" s="54"/>
      <c r="HC69" s="54"/>
      <c r="HD69" s="54"/>
      <c r="HE69" s="54"/>
      <c r="HF69" s="54"/>
      <c r="HG69" s="54"/>
      <c r="HH69" s="54"/>
      <c r="HI69" s="54"/>
      <c r="HJ69" s="54"/>
      <c r="HK69" s="54"/>
      <c r="HL69" s="54"/>
      <c r="HM69" s="54"/>
      <c r="HN69" s="54"/>
      <c r="HO69" s="54"/>
      <c r="HP69" s="54"/>
      <c r="HQ69" s="54"/>
      <c r="HR69" s="54"/>
      <c r="HS69" s="54"/>
      <c r="HT69" s="54"/>
      <c r="HU69" s="54"/>
      <c r="HV69" s="54"/>
      <c r="HW69" s="54"/>
      <c r="HX69" s="54"/>
      <c r="HY69" s="54"/>
      <c r="HZ69" s="54"/>
      <c r="IA69" s="54"/>
      <c r="IB69" s="54"/>
      <c r="IC69" s="54"/>
      <c r="ID69" s="54"/>
      <c r="IE69" s="54"/>
      <c r="IF69" s="54"/>
      <c r="IG69" s="54"/>
      <c r="IH69" s="54"/>
      <c r="II69" s="54"/>
      <c r="IJ69" s="54"/>
      <c r="IK69" s="54"/>
      <c r="IL69" s="54"/>
      <c r="IM69" s="54"/>
      <c r="IN69" s="54"/>
      <c r="IO69" s="54"/>
      <c r="IP69" s="54"/>
      <c r="IQ69" s="54"/>
      <c r="IR69" s="54"/>
      <c r="IS69" s="54"/>
      <c r="IT69" s="54"/>
      <c r="IU69" s="54"/>
      <c r="IV69" s="54"/>
      <c r="IW69" s="54"/>
      <c r="IX69" s="54"/>
      <c r="IY69" s="54"/>
      <c r="IZ69" s="54"/>
      <c r="JA69" s="54"/>
      <c r="JB69" s="54"/>
      <c r="JC69" s="54"/>
      <c r="JD69" s="54"/>
      <c r="JE69" s="54"/>
      <c r="JF69" s="54"/>
      <c r="JG69" s="54"/>
      <c r="JH69" s="54"/>
      <c r="JI69" s="54"/>
      <c r="JJ69" s="54"/>
      <c r="JK69" s="54"/>
      <c r="JL69" s="54"/>
      <c r="JM69" s="54"/>
      <c r="JN69" s="54"/>
      <c r="JO69" s="54"/>
      <c r="JP69" s="54"/>
      <c r="JQ69" s="54"/>
      <c r="JR69" s="54"/>
      <c r="JS69" s="54"/>
      <c r="JT69" s="54"/>
      <c r="JU69" s="54"/>
      <c r="JV69" s="54"/>
      <c r="JW69" s="54"/>
      <c r="JX69" s="54"/>
      <c r="JY69" s="54"/>
      <c r="JZ69" s="54"/>
      <c r="KA69" s="54"/>
      <c r="KB69" s="54"/>
      <c r="KC69" s="54"/>
      <c r="KD69" s="54"/>
      <c r="KE69" s="54"/>
      <c r="KF69" s="54"/>
      <c r="KG69" s="54"/>
      <c r="KH69" s="54"/>
      <c r="KI69" s="54"/>
      <c r="KJ69" s="54"/>
      <c r="KK69" s="54"/>
      <c r="KL69" s="54"/>
      <c r="KM69" s="54"/>
      <c r="KN69" s="54"/>
      <c r="KO69" s="54"/>
      <c r="KP69" s="54"/>
      <c r="KQ69" s="54"/>
      <c r="KR69" s="54"/>
      <c r="KS69" s="54"/>
      <c r="KT69" s="54"/>
      <c r="KU69" s="54"/>
      <c r="KV69" s="54"/>
      <c r="KW69" s="54"/>
      <c r="KX69" s="54"/>
    </row>
    <row r="70" ht="5.2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c r="CA70" s="54"/>
      <c r="CB70" s="54"/>
      <c r="CC70" s="54"/>
      <c r="CD70" s="54"/>
      <c r="CE70" s="54"/>
      <c r="CF70" s="54"/>
      <c r="CG70" s="54"/>
      <c r="CH70" s="54"/>
      <c r="CI70" s="54"/>
      <c r="CJ70" s="54"/>
      <c r="CK70" s="54"/>
      <c r="CL70" s="54"/>
      <c r="CM70" s="54"/>
      <c r="CN70" s="54"/>
      <c r="CO70" s="54"/>
      <c r="CP70" s="54"/>
      <c r="CQ70" s="54"/>
      <c r="CR70" s="54"/>
      <c r="CS70" s="54"/>
      <c r="CT70" s="54"/>
      <c r="CU70" s="54"/>
      <c r="CV70" s="54"/>
      <c r="CW70" s="54"/>
      <c r="CX70" s="54"/>
      <c r="CY70" s="54"/>
      <c r="CZ70" s="54"/>
      <c r="DA70" s="54"/>
      <c r="DB70" s="56"/>
      <c r="DC70" s="56"/>
      <c r="DD70" s="60"/>
      <c r="EG70" s="11"/>
      <c r="EH70" s="10"/>
      <c r="FK70" s="61"/>
      <c r="FL70" s="56"/>
      <c r="FM70" s="56"/>
      <c r="FN70" s="54"/>
      <c r="FO70" s="54"/>
      <c r="FP70" s="54"/>
      <c r="FQ70" s="54"/>
      <c r="FR70" s="54"/>
      <c r="FS70" s="54"/>
      <c r="FT70" s="54"/>
      <c r="FU70" s="54"/>
      <c r="FV70" s="54"/>
      <c r="FW70" s="54"/>
      <c r="FX70" s="54"/>
      <c r="FY70" s="54"/>
      <c r="FZ70" s="54"/>
      <c r="GA70" s="54"/>
      <c r="GB70" s="54"/>
      <c r="GC70" s="54"/>
      <c r="GD70" s="54"/>
      <c r="GE70" s="54"/>
      <c r="GF70" s="54"/>
      <c r="GG70" s="54"/>
      <c r="GH70" s="54"/>
      <c r="GI70" s="54"/>
      <c r="GJ70" s="54"/>
      <c r="GK70" s="54"/>
      <c r="GL70" s="54"/>
      <c r="GM70" s="54"/>
      <c r="GN70" s="54"/>
      <c r="GO70" s="54"/>
      <c r="GP70" s="54"/>
      <c r="GQ70" s="54"/>
      <c r="GR70" s="54"/>
      <c r="GS70" s="54"/>
      <c r="GT70" s="54"/>
      <c r="GU70" s="54"/>
      <c r="GV70" s="54"/>
      <c r="GW70" s="54"/>
      <c r="GX70" s="54"/>
      <c r="GY70" s="54"/>
      <c r="GZ70" s="54"/>
      <c r="HA70" s="54"/>
      <c r="HB70" s="54"/>
      <c r="HC70" s="54"/>
      <c r="HD70" s="54"/>
      <c r="HE70" s="54"/>
      <c r="HF70" s="54"/>
      <c r="HG70" s="54"/>
      <c r="HH70" s="54"/>
      <c r="HI70" s="54"/>
      <c r="HJ70" s="54"/>
      <c r="HK70" s="54"/>
      <c r="HL70" s="54"/>
      <c r="HM70" s="54"/>
      <c r="HN70" s="54"/>
      <c r="HO70" s="54"/>
      <c r="HP70" s="54"/>
      <c r="HQ70" s="54"/>
      <c r="HR70" s="54"/>
      <c r="HS70" s="54"/>
      <c r="HT70" s="54"/>
      <c r="HU70" s="54"/>
      <c r="HV70" s="54"/>
      <c r="HW70" s="54"/>
      <c r="HX70" s="54"/>
      <c r="HY70" s="54"/>
      <c r="HZ70" s="54"/>
      <c r="IA70" s="54"/>
      <c r="IB70" s="54"/>
      <c r="IC70" s="54"/>
      <c r="ID70" s="54"/>
      <c r="IE70" s="54"/>
      <c r="IF70" s="54"/>
      <c r="IG70" s="54"/>
      <c r="IH70" s="54"/>
      <c r="II70" s="54"/>
      <c r="IJ70" s="54"/>
      <c r="IK70" s="54"/>
      <c r="IL70" s="54"/>
      <c r="IM70" s="54"/>
      <c r="IN70" s="54"/>
      <c r="IO70" s="54"/>
      <c r="IP70" s="54"/>
      <c r="IQ70" s="54"/>
      <c r="IR70" s="54"/>
      <c r="IS70" s="54"/>
      <c r="IT70" s="54"/>
      <c r="IU70" s="54"/>
      <c r="IV70" s="54"/>
      <c r="IW70" s="54"/>
      <c r="IX70" s="54"/>
      <c r="IY70" s="54"/>
      <c r="IZ70" s="54"/>
      <c r="JA70" s="54"/>
      <c r="JB70" s="54"/>
      <c r="JC70" s="54"/>
      <c r="JD70" s="54"/>
      <c r="JE70" s="54"/>
      <c r="JF70" s="54"/>
      <c r="JG70" s="54"/>
      <c r="JH70" s="54"/>
      <c r="JI70" s="54"/>
      <c r="JJ70" s="54"/>
      <c r="JK70" s="54"/>
      <c r="JL70" s="54"/>
      <c r="JM70" s="54"/>
      <c r="JN70" s="54"/>
      <c r="JO70" s="54"/>
      <c r="JP70" s="54"/>
      <c r="JQ70" s="54"/>
      <c r="JR70" s="54"/>
      <c r="JS70" s="54"/>
      <c r="JT70" s="54"/>
      <c r="JU70" s="54"/>
      <c r="JV70" s="54"/>
      <c r="JW70" s="54"/>
      <c r="JX70" s="54"/>
      <c r="JY70" s="54"/>
      <c r="JZ70" s="54"/>
      <c r="KA70" s="54"/>
      <c r="KB70" s="54"/>
      <c r="KC70" s="54"/>
      <c r="KD70" s="54"/>
      <c r="KE70" s="54"/>
      <c r="KF70" s="54"/>
      <c r="KG70" s="54"/>
      <c r="KH70" s="54"/>
      <c r="KI70" s="54"/>
      <c r="KJ70" s="54"/>
      <c r="KK70" s="54"/>
      <c r="KL70" s="54"/>
      <c r="KM70" s="54"/>
      <c r="KN70" s="54"/>
      <c r="KO70" s="54"/>
      <c r="KP70" s="54"/>
      <c r="KQ70" s="54"/>
      <c r="KR70" s="54"/>
      <c r="KS70" s="54"/>
      <c r="KT70" s="54"/>
      <c r="KU70" s="54"/>
      <c r="KV70" s="54"/>
      <c r="KW70" s="54"/>
      <c r="KX70" s="54"/>
    </row>
    <row r="71" ht="5.2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c r="CA71" s="54"/>
      <c r="CB71" s="54"/>
      <c r="CC71" s="54"/>
      <c r="CD71" s="54"/>
      <c r="CE71" s="54"/>
      <c r="CF71" s="54"/>
      <c r="CG71" s="54"/>
      <c r="CH71" s="54"/>
      <c r="CI71" s="54"/>
      <c r="CJ71" s="54"/>
      <c r="CK71" s="54"/>
      <c r="CL71" s="54"/>
      <c r="CM71" s="54"/>
      <c r="CN71" s="54"/>
      <c r="CO71" s="54"/>
      <c r="CP71" s="54"/>
      <c r="CQ71" s="54"/>
      <c r="CR71" s="54"/>
      <c r="CS71" s="54"/>
      <c r="CT71" s="54"/>
      <c r="CU71" s="54"/>
      <c r="CV71" s="54"/>
      <c r="CW71" s="54"/>
      <c r="CX71" s="54"/>
      <c r="CY71" s="54"/>
      <c r="CZ71" s="54"/>
      <c r="DA71" s="54"/>
      <c r="DB71" s="56"/>
      <c r="DC71" s="56">
        <f>DC67</f>
        <v>8</v>
      </c>
      <c r="DD71" s="64"/>
      <c r="DL71" s="83"/>
      <c r="DN71" s="11"/>
      <c r="DO71" s="84"/>
      <c r="DQ71" s="11"/>
      <c r="DR71" s="84"/>
      <c r="DU71" s="54"/>
      <c r="ED71" s="85">
        <f>sum(DL71:DT73)</f>
        <v>0</v>
      </c>
      <c r="EG71" s="11"/>
      <c r="EH71" s="86">
        <f>sum(EU71:FC73)</f>
        <v>0</v>
      </c>
      <c r="EL71" s="54"/>
      <c r="EM71" s="54"/>
      <c r="EN71" s="54"/>
      <c r="EO71" s="54"/>
      <c r="EP71" s="54"/>
      <c r="EQ71" s="54"/>
      <c r="ER71" s="54"/>
      <c r="ES71" s="54"/>
      <c r="ET71" s="54"/>
      <c r="EU71" s="83"/>
      <c r="EW71" s="11"/>
      <c r="EX71" s="84"/>
      <c r="EZ71" s="11"/>
      <c r="FA71" s="84"/>
      <c r="FD71" s="68"/>
      <c r="FE71" s="54"/>
      <c r="FF71" s="54"/>
      <c r="FG71" s="54"/>
      <c r="FH71" s="54"/>
      <c r="FI71" s="54"/>
      <c r="FJ71" s="54"/>
      <c r="FK71" s="69"/>
      <c r="FL71" s="56">
        <f>FL67</f>
        <v>9</v>
      </c>
      <c r="FM71" s="56"/>
      <c r="FN71" s="54"/>
      <c r="FO71" s="54"/>
      <c r="FP71" s="54"/>
      <c r="FQ71" s="54"/>
      <c r="FR71" s="54"/>
      <c r="FS71" s="54"/>
      <c r="FT71" s="54"/>
      <c r="FU71" s="54"/>
      <c r="FV71" s="54"/>
      <c r="FW71" s="54"/>
      <c r="FX71" s="54"/>
      <c r="FY71" s="54"/>
      <c r="FZ71" s="54"/>
      <c r="GA71" s="54"/>
      <c r="GB71" s="54"/>
      <c r="GC71" s="54"/>
      <c r="GD71" s="54"/>
      <c r="GE71" s="54"/>
      <c r="GF71" s="54"/>
      <c r="GG71" s="54"/>
      <c r="GH71" s="54"/>
      <c r="GI71" s="54"/>
      <c r="GJ71" s="54"/>
      <c r="GK71" s="54"/>
      <c r="GL71" s="54"/>
      <c r="GM71" s="54"/>
      <c r="GN71" s="54"/>
      <c r="GO71" s="54"/>
      <c r="GP71" s="54"/>
      <c r="GQ71" s="54"/>
      <c r="GR71" s="54"/>
      <c r="GS71" s="54"/>
      <c r="GT71" s="54"/>
      <c r="GU71" s="54"/>
      <c r="GV71" s="54"/>
      <c r="GW71" s="54"/>
      <c r="GX71" s="54"/>
      <c r="GY71" s="54"/>
      <c r="GZ71" s="54"/>
      <c r="HA71" s="54"/>
      <c r="HB71" s="54"/>
      <c r="HC71" s="54"/>
      <c r="HD71" s="54"/>
      <c r="HE71" s="54"/>
      <c r="HF71" s="54"/>
      <c r="HG71" s="54"/>
      <c r="HH71" s="54"/>
      <c r="HI71" s="54"/>
      <c r="HJ71" s="54"/>
      <c r="HK71" s="54"/>
      <c r="HL71" s="54"/>
      <c r="HM71" s="54"/>
      <c r="HN71" s="54"/>
      <c r="HO71" s="54"/>
      <c r="HP71" s="54"/>
      <c r="HQ71" s="54"/>
      <c r="HR71" s="54"/>
      <c r="HS71" s="54"/>
      <c r="HT71" s="54"/>
      <c r="HU71" s="54"/>
      <c r="HV71" s="54"/>
      <c r="HW71" s="54"/>
      <c r="HX71" s="54"/>
      <c r="HY71" s="54"/>
      <c r="HZ71" s="54"/>
      <c r="IA71" s="54"/>
      <c r="IB71" s="54"/>
      <c r="IC71" s="54"/>
      <c r="ID71" s="54"/>
      <c r="IE71" s="54"/>
      <c r="IF71" s="54"/>
      <c r="IG71" s="54"/>
      <c r="IH71" s="54"/>
      <c r="II71" s="54"/>
      <c r="IJ71" s="54"/>
      <c r="IK71" s="54"/>
      <c r="IL71" s="54"/>
      <c r="IM71" s="54"/>
      <c r="IN71" s="54"/>
      <c r="IO71" s="54"/>
      <c r="IP71" s="54"/>
      <c r="IQ71" s="54"/>
      <c r="IR71" s="54"/>
      <c r="IS71" s="54"/>
      <c r="IT71" s="54"/>
      <c r="IU71" s="54"/>
      <c r="IV71" s="54"/>
      <c r="IW71" s="54"/>
      <c r="IX71" s="54"/>
      <c r="IY71" s="54"/>
      <c r="IZ71" s="54"/>
      <c r="JA71" s="54"/>
      <c r="JB71" s="54"/>
      <c r="JC71" s="54"/>
      <c r="JD71" s="54"/>
      <c r="JE71" s="54"/>
      <c r="JF71" s="54"/>
      <c r="JG71" s="54"/>
      <c r="JH71" s="54"/>
      <c r="JI71" s="54"/>
      <c r="JJ71" s="54"/>
      <c r="JK71" s="54"/>
      <c r="JL71" s="54"/>
      <c r="JM71" s="54"/>
      <c r="JN71" s="54"/>
      <c r="JO71" s="54"/>
      <c r="JP71" s="54"/>
      <c r="JQ71" s="54"/>
      <c r="JR71" s="54"/>
      <c r="JS71" s="54"/>
      <c r="JT71" s="54"/>
      <c r="JU71" s="54"/>
      <c r="JV71" s="54"/>
      <c r="JW71" s="54"/>
      <c r="JX71" s="54"/>
      <c r="JY71" s="54"/>
      <c r="JZ71" s="54"/>
      <c r="KA71" s="54"/>
      <c r="KB71" s="54"/>
      <c r="KC71" s="54"/>
      <c r="KD71" s="54"/>
      <c r="KE71" s="54"/>
      <c r="KF71" s="54"/>
      <c r="KG71" s="54"/>
      <c r="KH71" s="54"/>
      <c r="KI71" s="54"/>
      <c r="KJ71" s="54"/>
      <c r="KK71" s="54"/>
      <c r="KL71" s="54"/>
      <c r="KM71" s="54"/>
      <c r="KN71" s="54"/>
      <c r="KO71" s="54"/>
      <c r="KP71" s="54"/>
      <c r="KQ71" s="54"/>
      <c r="KR71" s="54"/>
      <c r="KS71" s="54"/>
      <c r="KT71" s="54"/>
      <c r="KU71" s="54"/>
      <c r="KV71" s="54"/>
      <c r="KW71" s="54"/>
      <c r="KX71" s="54"/>
    </row>
    <row r="72" ht="5.2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54"/>
      <c r="CB72" s="54"/>
      <c r="CC72" s="54"/>
      <c r="CD72" s="54"/>
      <c r="CE72" s="54"/>
      <c r="CF72" s="54"/>
      <c r="CG72" s="54"/>
      <c r="CH72" s="54"/>
      <c r="CI72" s="54"/>
      <c r="CJ72" s="54"/>
      <c r="CK72" s="54"/>
      <c r="CL72" s="54"/>
      <c r="CM72" s="54"/>
      <c r="CN72" s="54"/>
      <c r="CO72" s="54"/>
      <c r="CP72" s="54"/>
      <c r="CQ72" s="54"/>
      <c r="CR72" s="54"/>
      <c r="CS72" s="54"/>
      <c r="CT72" s="54"/>
      <c r="CU72" s="54"/>
      <c r="CV72" s="54"/>
      <c r="CW72" s="54"/>
      <c r="CX72" s="54"/>
      <c r="CY72" s="54"/>
      <c r="CZ72" s="54"/>
      <c r="DA72" s="54"/>
      <c r="DB72" s="56"/>
      <c r="DC72" s="56"/>
      <c r="DD72" s="60"/>
      <c r="DN72" s="11"/>
      <c r="DO72" s="10"/>
      <c r="DQ72" s="11"/>
      <c r="DR72" s="10"/>
      <c r="EG72" s="11"/>
      <c r="EH72" s="10"/>
      <c r="EL72" s="54"/>
      <c r="EM72" s="54"/>
      <c r="EN72" s="54"/>
      <c r="EO72" s="54"/>
      <c r="EP72" s="54"/>
      <c r="EQ72" s="54"/>
      <c r="ER72" s="54"/>
      <c r="ES72" s="54"/>
      <c r="ET72" s="54"/>
      <c r="EW72" s="11"/>
      <c r="EX72" s="10"/>
      <c r="EZ72" s="11"/>
      <c r="FA72" s="10"/>
      <c r="FD72" s="68"/>
      <c r="FE72" s="54"/>
      <c r="FF72" s="54"/>
      <c r="FG72" s="54"/>
      <c r="FH72" s="54"/>
      <c r="FI72" s="54"/>
      <c r="FJ72" s="54"/>
      <c r="FK72" s="69"/>
      <c r="FL72" s="56"/>
      <c r="FM72" s="56"/>
      <c r="FN72" s="54"/>
      <c r="FO72" s="54"/>
      <c r="FP72" s="54"/>
      <c r="FQ72" s="54"/>
      <c r="FR72" s="54"/>
      <c r="FS72" s="54"/>
      <c r="FT72" s="54"/>
      <c r="FU72" s="54"/>
      <c r="FV72" s="54"/>
      <c r="FW72" s="54"/>
      <c r="FX72" s="54"/>
      <c r="FY72" s="54"/>
      <c r="FZ72" s="54"/>
      <c r="GA72" s="54"/>
      <c r="GB72" s="54"/>
      <c r="GC72" s="54"/>
      <c r="GD72" s="54"/>
      <c r="GE72" s="54"/>
      <c r="GF72" s="54"/>
      <c r="GG72" s="54"/>
      <c r="GH72" s="54"/>
      <c r="GI72" s="54"/>
      <c r="GJ72" s="54"/>
      <c r="GK72" s="54"/>
      <c r="GL72" s="54"/>
      <c r="GM72" s="54"/>
      <c r="GN72" s="54"/>
      <c r="GO72" s="54"/>
      <c r="GP72" s="54"/>
      <c r="GQ72" s="54"/>
      <c r="GR72" s="54"/>
      <c r="GS72" s="54"/>
      <c r="GT72" s="54"/>
      <c r="GU72" s="54"/>
      <c r="GV72" s="54"/>
      <c r="GW72" s="54"/>
      <c r="GX72" s="54"/>
      <c r="GY72" s="54"/>
      <c r="GZ72" s="54"/>
      <c r="HA72" s="54"/>
      <c r="HB72" s="54"/>
      <c r="HC72" s="54"/>
      <c r="HD72" s="54"/>
      <c r="HE72" s="54"/>
      <c r="HF72" s="54"/>
      <c r="HG72" s="54"/>
      <c r="HH72" s="54"/>
      <c r="HI72" s="54"/>
      <c r="HJ72" s="54"/>
      <c r="HK72" s="54"/>
      <c r="HL72" s="54"/>
      <c r="HM72" s="54"/>
      <c r="HN72" s="54"/>
      <c r="HO72" s="54"/>
      <c r="HP72" s="54"/>
      <c r="HQ72" s="54"/>
      <c r="HR72" s="54"/>
      <c r="HS72" s="54"/>
      <c r="HT72" s="54"/>
      <c r="HU72" s="54"/>
      <c r="HV72" s="54"/>
      <c r="HW72" s="54"/>
      <c r="HX72" s="54"/>
      <c r="HY72" s="54"/>
      <c r="HZ72" s="54"/>
      <c r="IA72" s="54"/>
      <c r="IB72" s="54"/>
      <c r="IC72" s="54"/>
      <c r="ID72" s="54"/>
      <c r="IE72" s="54"/>
      <c r="IF72" s="54"/>
      <c r="IG72" s="54"/>
      <c r="IH72" s="54"/>
      <c r="II72" s="54"/>
      <c r="IJ72" s="54"/>
      <c r="IK72" s="54"/>
      <c r="IL72" s="54"/>
      <c r="IM72" s="54"/>
      <c r="IN72" s="54"/>
      <c r="IO72" s="54"/>
      <c r="IP72" s="54"/>
      <c r="IQ72" s="54"/>
      <c r="IR72" s="54"/>
      <c r="IS72" s="54"/>
      <c r="IT72" s="54"/>
      <c r="IU72" s="54"/>
      <c r="IV72" s="54"/>
      <c r="IW72" s="54"/>
      <c r="IX72" s="54"/>
      <c r="IY72" s="54"/>
      <c r="IZ72" s="54"/>
      <c r="JA72" s="54"/>
      <c r="JB72" s="54"/>
      <c r="JC72" s="54"/>
      <c r="JD72" s="54"/>
      <c r="JE72" s="54"/>
      <c r="JF72" s="54"/>
      <c r="JG72" s="54"/>
      <c r="JH72" s="54"/>
      <c r="JI72" s="54"/>
      <c r="JJ72" s="54"/>
      <c r="JK72" s="54"/>
      <c r="JL72" s="54"/>
      <c r="JM72" s="54"/>
      <c r="JN72" s="54"/>
      <c r="JO72" s="54"/>
      <c r="JP72" s="54"/>
      <c r="JQ72" s="54"/>
      <c r="JR72" s="54"/>
      <c r="JS72" s="54"/>
      <c r="JT72" s="54"/>
      <c r="JU72" s="54"/>
      <c r="JV72" s="54"/>
      <c r="JW72" s="54"/>
      <c r="JX72" s="54"/>
      <c r="JY72" s="54"/>
      <c r="JZ72" s="54"/>
      <c r="KA72" s="54"/>
      <c r="KB72" s="54"/>
      <c r="KC72" s="54"/>
      <c r="KD72" s="54"/>
      <c r="KE72" s="54"/>
      <c r="KF72" s="54"/>
      <c r="KG72" s="54"/>
      <c r="KH72" s="54"/>
      <c r="KI72" s="54"/>
      <c r="KJ72" s="54"/>
      <c r="KK72" s="54"/>
      <c r="KL72" s="54"/>
      <c r="KM72" s="54"/>
      <c r="KN72" s="54"/>
      <c r="KO72" s="54"/>
      <c r="KP72" s="54"/>
      <c r="KQ72" s="54"/>
      <c r="KR72" s="54"/>
      <c r="KS72" s="54"/>
      <c r="KT72" s="54"/>
      <c r="KU72" s="54"/>
      <c r="KV72" s="54"/>
      <c r="KW72" s="54"/>
      <c r="KX72" s="54"/>
    </row>
    <row r="73" ht="5.2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54"/>
      <c r="BU73" s="54"/>
      <c r="BV73" s="54"/>
      <c r="BW73" s="54"/>
      <c r="BX73" s="54"/>
      <c r="BY73" s="54"/>
      <c r="BZ73" s="54"/>
      <c r="CA73" s="54"/>
      <c r="CB73" s="54"/>
      <c r="CC73" s="54"/>
      <c r="CD73" s="54"/>
      <c r="CE73" s="54"/>
      <c r="CF73" s="54"/>
      <c r="CG73" s="54"/>
      <c r="CH73" s="54"/>
      <c r="CI73" s="54"/>
      <c r="CJ73" s="54"/>
      <c r="CK73" s="54"/>
      <c r="CL73" s="54"/>
      <c r="CM73" s="54"/>
      <c r="CN73" s="54"/>
      <c r="CO73" s="54"/>
      <c r="CP73" s="54"/>
      <c r="CQ73" s="54"/>
      <c r="CR73" s="54"/>
      <c r="CS73" s="54"/>
      <c r="CT73" s="54"/>
      <c r="CU73" s="54"/>
      <c r="CV73" s="54"/>
      <c r="CW73" s="54"/>
      <c r="CX73" s="54"/>
      <c r="CY73" s="54"/>
      <c r="CZ73" s="54"/>
      <c r="DA73" s="54"/>
      <c r="DB73" s="56"/>
      <c r="DC73" s="56"/>
      <c r="DD73" s="101"/>
      <c r="DE73" s="102"/>
      <c r="DF73" s="102"/>
      <c r="DG73" s="102"/>
      <c r="DH73" s="102"/>
      <c r="DI73" s="102"/>
      <c r="DJ73" s="102"/>
      <c r="DK73" s="102"/>
      <c r="DL73" s="102"/>
      <c r="DM73" s="102"/>
      <c r="DN73" s="103"/>
      <c r="DO73" s="104"/>
      <c r="DP73" s="102"/>
      <c r="DQ73" s="103"/>
      <c r="DR73" s="104"/>
      <c r="DS73" s="102"/>
      <c r="DT73" s="102"/>
      <c r="DU73" s="102"/>
      <c r="DV73" s="102"/>
      <c r="DW73" s="102"/>
      <c r="DX73" s="102"/>
      <c r="DY73" s="102"/>
      <c r="DZ73" s="102"/>
      <c r="EA73" s="102"/>
      <c r="EB73" s="102"/>
      <c r="EC73" s="102"/>
      <c r="ED73" s="102"/>
      <c r="EE73" s="102"/>
      <c r="EF73" s="102"/>
      <c r="EG73" s="103"/>
      <c r="EH73" s="104"/>
      <c r="EI73" s="102"/>
      <c r="EJ73" s="102"/>
      <c r="EK73" s="102"/>
      <c r="EL73" s="105"/>
      <c r="EM73" s="105"/>
      <c r="EN73" s="105"/>
      <c r="EO73" s="105"/>
      <c r="EP73" s="105"/>
      <c r="EQ73" s="105"/>
      <c r="ER73" s="105"/>
      <c r="ES73" s="105"/>
      <c r="ET73" s="105"/>
      <c r="EU73" s="102"/>
      <c r="EV73" s="102"/>
      <c r="EW73" s="103"/>
      <c r="EX73" s="104"/>
      <c r="EY73" s="102"/>
      <c r="EZ73" s="103"/>
      <c r="FA73" s="104"/>
      <c r="FB73" s="102"/>
      <c r="FC73" s="102"/>
      <c r="FD73" s="106"/>
      <c r="FE73" s="105"/>
      <c r="FF73" s="105"/>
      <c r="FG73" s="105"/>
      <c r="FH73" s="105"/>
      <c r="FI73" s="105"/>
      <c r="FJ73" s="105"/>
      <c r="FK73" s="107"/>
      <c r="FL73" s="56"/>
      <c r="FM73" s="56"/>
      <c r="FN73" s="54"/>
      <c r="FO73" s="54"/>
      <c r="FP73" s="54"/>
      <c r="FQ73" s="54"/>
      <c r="FR73" s="54"/>
      <c r="FS73" s="54"/>
      <c r="FT73" s="54"/>
      <c r="FU73" s="54"/>
      <c r="FV73" s="54"/>
      <c r="FW73" s="54"/>
      <c r="FX73" s="54"/>
      <c r="FY73" s="54"/>
      <c r="FZ73" s="54"/>
      <c r="GA73" s="54"/>
      <c r="GB73" s="54"/>
      <c r="GC73" s="54"/>
      <c r="GD73" s="54"/>
      <c r="GE73" s="54"/>
      <c r="GF73" s="54"/>
      <c r="GG73" s="54"/>
      <c r="GH73" s="54"/>
      <c r="GI73" s="54"/>
      <c r="GJ73" s="54"/>
      <c r="GK73" s="54"/>
      <c r="GL73" s="54"/>
      <c r="GM73" s="54"/>
      <c r="GN73" s="54"/>
      <c r="GO73" s="54"/>
      <c r="GP73" s="54"/>
      <c r="GQ73" s="54"/>
      <c r="GR73" s="54"/>
      <c r="GS73" s="54"/>
      <c r="GT73" s="54"/>
      <c r="GU73" s="54"/>
      <c r="GV73" s="54"/>
      <c r="GW73" s="54"/>
      <c r="GX73" s="54"/>
      <c r="GY73" s="54"/>
      <c r="GZ73" s="54"/>
      <c r="HA73" s="54"/>
      <c r="HB73" s="54"/>
      <c r="HC73" s="54"/>
      <c r="HD73" s="54"/>
      <c r="HE73" s="54"/>
      <c r="HF73" s="54"/>
      <c r="HG73" s="54"/>
      <c r="HH73" s="54"/>
      <c r="HI73" s="54"/>
      <c r="HJ73" s="54"/>
      <c r="HK73" s="54"/>
      <c r="HL73" s="54"/>
      <c r="HM73" s="54"/>
      <c r="HN73" s="54"/>
      <c r="HO73" s="54"/>
      <c r="HP73" s="54"/>
      <c r="HQ73" s="54"/>
      <c r="HR73" s="54"/>
      <c r="HS73" s="54"/>
      <c r="HT73" s="54"/>
      <c r="HU73" s="54"/>
      <c r="HV73" s="54"/>
      <c r="HW73" s="54"/>
      <c r="HX73" s="54"/>
      <c r="HY73" s="54"/>
      <c r="HZ73" s="54"/>
      <c r="IA73" s="54"/>
      <c r="IB73" s="54"/>
      <c r="IC73" s="54"/>
      <c r="ID73" s="54"/>
      <c r="IE73" s="54"/>
      <c r="IF73" s="54"/>
      <c r="IG73" s="54"/>
      <c r="IH73" s="54"/>
      <c r="II73" s="54"/>
      <c r="IJ73" s="54"/>
      <c r="IK73" s="54"/>
      <c r="IL73" s="54"/>
      <c r="IM73" s="54"/>
      <c r="IN73" s="54"/>
      <c r="IO73" s="54"/>
      <c r="IP73" s="54"/>
      <c r="IQ73" s="54"/>
      <c r="IR73" s="54"/>
      <c r="IS73" s="54"/>
      <c r="IT73" s="54"/>
      <c r="IU73" s="54"/>
      <c r="IV73" s="54"/>
      <c r="IW73" s="54"/>
      <c r="IX73" s="54"/>
      <c r="IY73" s="54"/>
      <c r="IZ73" s="54"/>
      <c r="JA73" s="54"/>
      <c r="JB73" s="54"/>
      <c r="JC73" s="54"/>
      <c r="JD73" s="54"/>
      <c r="JE73" s="54"/>
      <c r="JF73" s="54"/>
      <c r="JG73" s="54"/>
      <c r="JH73" s="54"/>
      <c r="JI73" s="54"/>
      <c r="JJ73" s="54"/>
      <c r="JK73" s="54"/>
      <c r="JL73" s="54"/>
      <c r="JM73" s="54"/>
      <c r="JN73" s="54"/>
      <c r="JO73" s="54"/>
      <c r="JP73" s="54"/>
      <c r="JQ73" s="54"/>
      <c r="JR73" s="54"/>
      <c r="JS73" s="54"/>
      <c r="JT73" s="54"/>
      <c r="JU73" s="54"/>
      <c r="JV73" s="54"/>
      <c r="JW73" s="54"/>
      <c r="JX73" s="54"/>
      <c r="JY73" s="54"/>
      <c r="JZ73" s="54"/>
      <c r="KA73" s="54"/>
      <c r="KB73" s="54"/>
      <c r="KC73" s="54"/>
      <c r="KD73" s="54"/>
      <c r="KE73" s="54"/>
      <c r="KF73" s="54"/>
      <c r="KG73" s="54"/>
      <c r="KH73" s="54"/>
      <c r="KI73" s="54"/>
      <c r="KJ73" s="54"/>
      <c r="KK73" s="54"/>
      <c r="KL73" s="54"/>
      <c r="KM73" s="54"/>
      <c r="KN73" s="54"/>
      <c r="KO73" s="54"/>
      <c r="KP73" s="54"/>
      <c r="KQ73" s="54"/>
      <c r="KR73" s="54"/>
      <c r="KS73" s="54"/>
      <c r="KT73" s="54"/>
      <c r="KU73" s="54"/>
      <c r="KV73" s="54"/>
      <c r="KW73" s="54"/>
      <c r="KX73" s="54"/>
    </row>
    <row r="74" ht="5.2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c r="CA74" s="54"/>
      <c r="CB74" s="54"/>
      <c r="CC74" s="54"/>
      <c r="CD74" s="54"/>
      <c r="CE74" s="54"/>
      <c r="CF74" s="54"/>
      <c r="CG74" s="54"/>
      <c r="CH74" s="54"/>
      <c r="CI74" s="54"/>
      <c r="CJ74" s="54"/>
      <c r="CK74" s="54"/>
      <c r="CL74" s="54"/>
      <c r="CM74" s="54"/>
      <c r="CN74" s="54"/>
      <c r="CO74" s="54"/>
      <c r="CP74" s="54"/>
      <c r="CQ74" s="54"/>
      <c r="CR74" s="54"/>
      <c r="CS74" s="54"/>
      <c r="CT74" s="54"/>
      <c r="CU74" s="54"/>
      <c r="CV74" s="54"/>
      <c r="CW74" s="54"/>
      <c r="CX74" s="54"/>
      <c r="CY74" s="54"/>
      <c r="CZ74" s="54"/>
      <c r="DA74" s="54"/>
      <c r="DB74" s="56"/>
      <c r="DC74" s="56"/>
      <c r="DD74" s="54"/>
      <c r="DE74" s="54"/>
      <c r="DF74" s="54"/>
      <c r="DG74" s="54"/>
      <c r="DH74" s="54"/>
      <c r="DI74" s="54"/>
      <c r="DJ74" s="54"/>
      <c r="DK74" s="54"/>
      <c r="DL74" s="54"/>
      <c r="DM74" s="54"/>
      <c r="DN74" s="54"/>
      <c r="DO74" s="54"/>
      <c r="DP74" s="54"/>
      <c r="DQ74" s="54"/>
      <c r="DR74" s="54"/>
      <c r="DS74" s="54"/>
      <c r="DT74" s="54"/>
      <c r="DU74" s="54"/>
      <c r="DV74" s="54"/>
      <c r="DW74" s="54"/>
      <c r="DX74" s="54"/>
      <c r="DY74" s="54"/>
      <c r="DZ74" s="54"/>
      <c r="EA74" s="54"/>
      <c r="EB74" s="54"/>
      <c r="EC74" s="54"/>
      <c r="ED74" s="54"/>
      <c r="EE74" s="54"/>
      <c r="EF74" s="54"/>
      <c r="EG74" s="54"/>
      <c r="EH74" s="54"/>
      <c r="EI74" s="54"/>
      <c r="EJ74" s="54"/>
      <c r="EK74" s="54"/>
      <c r="EL74" s="54"/>
      <c r="EM74" s="54"/>
      <c r="EN74" s="54"/>
      <c r="EO74" s="54"/>
      <c r="EP74" s="54"/>
      <c r="EQ74" s="54"/>
      <c r="ER74" s="54"/>
      <c r="ES74" s="54"/>
      <c r="ET74" s="54"/>
      <c r="EU74" s="54"/>
      <c r="EV74" s="54"/>
      <c r="EW74" s="54"/>
      <c r="EX74" s="54"/>
      <c r="EY74" s="54"/>
      <c r="EZ74" s="54"/>
      <c r="FA74" s="54"/>
      <c r="FB74" s="54"/>
      <c r="FC74" s="54"/>
      <c r="FD74" s="54"/>
      <c r="FE74" s="54"/>
      <c r="FF74" s="54"/>
      <c r="FG74" s="54"/>
      <c r="FH74" s="54"/>
      <c r="FI74" s="54"/>
      <c r="FJ74" s="54"/>
      <c r="FK74" s="54"/>
      <c r="FL74" s="56"/>
      <c r="FM74" s="56"/>
      <c r="FN74" s="54"/>
      <c r="FO74" s="54"/>
      <c r="FP74" s="54"/>
      <c r="FQ74" s="54"/>
      <c r="FR74" s="54"/>
      <c r="FS74" s="54"/>
      <c r="FT74" s="54"/>
      <c r="FU74" s="54"/>
      <c r="FV74" s="54"/>
      <c r="FW74" s="54"/>
      <c r="FX74" s="54"/>
      <c r="FY74" s="54"/>
      <c r="FZ74" s="54"/>
      <c r="GA74" s="54"/>
      <c r="GB74" s="54"/>
      <c r="GC74" s="54"/>
      <c r="GD74" s="54"/>
      <c r="GE74" s="54"/>
      <c r="GF74" s="54"/>
      <c r="GG74" s="54"/>
      <c r="GH74" s="54"/>
      <c r="GI74" s="54"/>
      <c r="GJ74" s="54"/>
      <c r="GK74" s="54"/>
      <c r="GL74" s="54"/>
      <c r="GM74" s="54"/>
      <c r="GN74" s="54"/>
      <c r="GO74" s="54"/>
      <c r="GP74" s="54"/>
      <c r="GQ74" s="54"/>
      <c r="GR74" s="54"/>
      <c r="GS74" s="54"/>
      <c r="GT74" s="54"/>
      <c r="GU74" s="54"/>
      <c r="GV74" s="54"/>
      <c r="GW74" s="54"/>
      <c r="GX74" s="54"/>
      <c r="GY74" s="54"/>
      <c r="GZ74" s="54"/>
      <c r="HA74" s="54"/>
      <c r="HB74" s="54"/>
      <c r="HC74" s="54"/>
      <c r="HD74" s="54"/>
      <c r="HE74" s="54"/>
      <c r="HF74" s="54"/>
      <c r="HG74" s="54"/>
      <c r="HH74" s="54"/>
      <c r="HI74" s="54"/>
      <c r="HJ74" s="54"/>
      <c r="HK74" s="54"/>
      <c r="HL74" s="54"/>
      <c r="HM74" s="54"/>
      <c r="HN74" s="54"/>
      <c r="HO74" s="54"/>
      <c r="HP74" s="54"/>
      <c r="HQ74" s="54"/>
      <c r="HR74" s="54"/>
      <c r="HS74" s="54"/>
      <c r="HT74" s="54"/>
      <c r="HU74" s="54"/>
      <c r="HV74" s="54"/>
      <c r="HW74" s="54"/>
      <c r="HX74" s="54"/>
      <c r="HY74" s="54"/>
      <c r="HZ74" s="54"/>
      <c r="IA74" s="54"/>
      <c r="IB74" s="54"/>
      <c r="IC74" s="54"/>
      <c r="ID74" s="54"/>
      <c r="IE74" s="54"/>
      <c r="IF74" s="54"/>
      <c r="IG74" s="54"/>
      <c r="IH74" s="54"/>
      <c r="II74" s="54"/>
      <c r="IJ74" s="54"/>
      <c r="IK74" s="54"/>
      <c r="IL74" s="54"/>
      <c r="IM74" s="54"/>
      <c r="IN74" s="54"/>
      <c r="IO74" s="54"/>
      <c r="IP74" s="54"/>
      <c r="IQ74" s="54"/>
      <c r="IR74" s="54"/>
      <c r="IS74" s="54"/>
      <c r="IT74" s="54"/>
      <c r="IU74" s="54"/>
      <c r="IV74" s="54"/>
      <c r="IW74" s="54"/>
      <c r="IX74" s="54"/>
      <c r="IY74" s="54"/>
      <c r="IZ74" s="54"/>
      <c r="JA74" s="54"/>
      <c r="JB74" s="54"/>
      <c r="JC74" s="54"/>
      <c r="JD74" s="54"/>
      <c r="JE74" s="54"/>
      <c r="JF74" s="54"/>
      <c r="JG74" s="54"/>
      <c r="JH74" s="54"/>
      <c r="JI74" s="54"/>
      <c r="JJ74" s="54"/>
      <c r="JK74" s="54"/>
      <c r="JL74" s="54"/>
      <c r="JM74" s="54"/>
      <c r="JN74" s="54"/>
      <c r="JO74" s="54"/>
      <c r="JP74" s="54"/>
      <c r="JQ74" s="54"/>
      <c r="JR74" s="54"/>
      <c r="JS74" s="54"/>
      <c r="JT74" s="54"/>
      <c r="JU74" s="54"/>
      <c r="JV74" s="54"/>
      <c r="JW74" s="54"/>
      <c r="JX74" s="54"/>
      <c r="JY74" s="54"/>
      <c r="JZ74" s="54"/>
      <c r="KA74" s="54"/>
      <c r="KB74" s="54"/>
      <c r="KC74" s="54"/>
      <c r="KD74" s="54"/>
      <c r="KE74" s="54"/>
      <c r="KF74" s="54"/>
      <c r="KG74" s="54"/>
      <c r="KH74" s="54"/>
      <c r="KI74" s="54"/>
      <c r="KJ74" s="54"/>
      <c r="KK74" s="54"/>
      <c r="KL74" s="54"/>
      <c r="KM74" s="54"/>
      <c r="KN74" s="54"/>
      <c r="KO74" s="54"/>
      <c r="KP74" s="54"/>
      <c r="KQ74" s="54"/>
      <c r="KR74" s="54"/>
      <c r="KS74" s="54"/>
      <c r="KT74" s="54"/>
      <c r="KU74" s="54"/>
      <c r="KV74" s="54"/>
      <c r="KW74" s="54"/>
      <c r="KX74" s="54"/>
    </row>
    <row r="75" ht="5.2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c r="BU75" s="54"/>
      <c r="BV75" s="54"/>
      <c r="BW75" s="54"/>
      <c r="BX75" s="54"/>
      <c r="BY75" s="54"/>
      <c r="BZ75" s="54"/>
      <c r="CA75" s="54"/>
      <c r="CB75" s="54"/>
      <c r="CC75" s="54"/>
      <c r="CD75" s="54"/>
      <c r="CE75" s="54"/>
      <c r="CF75" s="54"/>
      <c r="CG75" s="54"/>
      <c r="CH75" s="54"/>
      <c r="CI75" s="54"/>
      <c r="CJ75" s="54"/>
      <c r="CK75" s="54"/>
      <c r="CL75" s="54"/>
      <c r="CM75" s="54"/>
      <c r="CN75" s="54"/>
      <c r="CO75" s="54"/>
      <c r="CP75" s="54"/>
      <c r="CQ75" s="54"/>
      <c r="CR75" s="54"/>
      <c r="CS75" s="54"/>
      <c r="CT75" s="54"/>
      <c r="CU75" s="54"/>
      <c r="CV75" s="54"/>
      <c r="CW75" s="54"/>
      <c r="CX75" s="54"/>
      <c r="CY75" s="54"/>
      <c r="CZ75" s="54"/>
      <c r="DA75" s="54"/>
      <c r="DB75" s="54"/>
      <c r="DC75" s="54"/>
      <c r="DD75" s="54"/>
      <c r="DE75" s="54"/>
      <c r="DF75" s="54"/>
      <c r="DG75" s="54"/>
      <c r="DH75" s="54"/>
      <c r="DI75" s="54"/>
      <c r="DJ75" s="54"/>
      <c r="DK75" s="54"/>
      <c r="DL75" s="54"/>
      <c r="DM75" s="54"/>
      <c r="DN75" s="54"/>
      <c r="DO75" s="54"/>
      <c r="DP75" s="54"/>
      <c r="DQ75" s="54"/>
      <c r="DR75" s="54"/>
      <c r="DS75" s="54"/>
      <c r="DT75" s="54"/>
      <c r="DU75" s="54"/>
      <c r="DV75" s="54"/>
      <c r="DW75" s="54"/>
      <c r="DX75" s="54"/>
      <c r="DY75" s="54"/>
      <c r="DZ75" s="54"/>
      <c r="EA75" s="54"/>
      <c r="EB75" s="54"/>
      <c r="EC75" s="54"/>
      <c r="ED75" s="54"/>
      <c r="EE75" s="54"/>
      <c r="EF75" s="54"/>
      <c r="EG75" s="54"/>
      <c r="EH75" s="54"/>
      <c r="EI75" s="54"/>
      <c r="EJ75" s="54"/>
      <c r="EK75" s="54"/>
      <c r="EL75" s="54"/>
      <c r="EM75" s="54"/>
      <c r="EN75" s="54"/>
      <c r="EO75" s="54"/>
      <c r="EP75" s="54"/>
      <c r="EQ75" s="54"/>
      <c r="ER75" s="54"/>
      <c r="ES75" s="54"/>
      <c r="ET75" s="54"/>
      <c r="EU75" s="54"/>
      <c r="EV75" s="54"/>
      <c r="EW75" s="54"/>
      <c r="EX75" s="54"/>
      <c r="EY75" s="54"/>
      <c r="EZ75" s="54"/>
      <c r="FA75" s="54"/>
      <c r="FB75" s="54"/>
      <c r="FC75" s="54"/>
      <c r="FD75" s="54"/>
      <c r="FE75" s="54"/>
      <c r="FF75" s="54"/>
      <c r="FG75" s="54"/>
      <c r="FH75" s="54"/>
      <c r="FI75" s="54"/>
      <c r="FJ75" s="54"/>
      <c r="FK75" s="54"/>
      <c r="FL75" s="54"/>
      <c r="FM75" s="54"/>
      <c r="FN75" s="54"/>
      <c r="FO75" s="54"/>
      <c r="FP75" s="54"/>
      <c r="FQ75" s="54"/>
      <c r="FR75" s="54"/>
      <c r="FS75" s="54"/>
      <c r="FT75" s="54"/>
      <c r="FU75" s="54"/>
      <c r="FV75" s="54"/>
      <c r="FW75" s="54"/>
      <c r="FX75" s="54"/>
      <c r="FY75" s="54"/>
      <c r="FZ75" s="54"/>
      <c r="GA75" s="54"/>
      <c r="GB75" s="54"/>
      <c r="GC75" s="54"/>
      <c r="GD75" s="54"/>
      <c r="GE75" s="54"/>
      <c r="GF75" s="54"/>
      <c r="GG75" s="54"/>
      <c r="GH75" s="54"/>
      <c r="GI75" s="54"/>
      <c r="GJ75" s="54"/>
      <c r="GK75" s="54"/>
      <c r="GL75" s="54"/>
      <c r="GM75" s="54"/>
      <c r="GN75" s="54"/>
      <c r="GO75" s="54"/>
      <c r="GP75" s="54"/>
      <c r="GQ75" s="54"/>
      <c r="GR75" s="54"/>
      <c r="GS75" s="54"/>
      <c r="GT75" s="54"/>
      <c r="GU75" s="54"/>
      <c r="GV75" s="54"/>
      <c r="GW75" s="54"/>
      <c r="GX75" s="54"/>
      <c r="GY75" s="54"/>
      <c r="GZ75" s="54"/>
      <c r="HA75" s="54"/>
      <c r="HB75" s="54"/>
      <c r="HC75" s="54"/>
      <c r="HD75" s="54"/>
      <c r="HE75" s="54"/>
      <c r="HF75" s="54"/>
      <c r="HG75" s="54"/>
      <c r="HH75" s="54"/>
      <c r="HI75" s="54"/>
      <c r="HJ75" s="54"/>
      <c r="HK75" s="54"/>
      <c r="HL75" s="54"/>
      <c r="HM75" s="54"/>
      <c r="HN75" s="54"/>
      <c r="HO75" s="54"/>
      <c r="HP75" s="54"/>
      <c r="HQ75" s="54"/>
      <c r="HR75" s="54"/>
      <c r="HS75" s="54"/>
      <c r="HT75" s="54"/>
      <c r="HU75" s="54"/>
      <c r="HV75" s="54"/>
      <c r="HW75" s="54"/>
      <c r="HX75" s="54"/>
      <c r="HY75" s="54"/>
      <c r="HZ75" s="54"/>
      <c r="IA75" s="54"/>
      <c r="IB75" s="54"/>
      <c r="IC75" s="54"/>
      <c r="ID75" s="54"/>
      <c r="IE75" s="54"/>
      <c r="IF75" s="54"/>
      <c r="IG75" s="54"/>
      <c r="IH75" s="54"/>
      <c r="II75" s="54"/>
      <c r="IJ75" s="54"/>
      <c r="IK75" s="54"/>
      <c r="IL75" s="54"/>
      <c r="IM75" s="54"/>
      <c r="IN75" s="54"/>
      <c r="IO75" s="54"/>
      <c r="IP75" s="54"/>
      <c r="IQ75" s="54"/>
      <c r="IR75" s="54"/>
      <c r="IS75" s="54"/>
      <c r="IT75" s="54"/>
      <c r="IU75" s="54"/>
      <c r="IV75" s="54"/>
      <c r="IW75" s="54"/>
      <c r="IX75" s="54"/>
      <c r="IY75" s="54"/>
      <c r="IZ75" s="54"/>
      <c r="JA75" s="54"/>
      <c r="JB75" s="54"/>
      <c r="JC75" s="54"/>
      <c r="JD75" s="54"/>
      <c r="JE75" s="54"/>
      <c r="JF75" s="54"/>
      <c r="JG75" s="54"/>
      <c r="JH75" s="54"/>
      <c r="JI75" s="54"/>
      <c r="JJ75" s="54"/>
      <c r="JK75" s="54"/>
      <c r="JL75" s="54"/>
      <c r="JM75" s="54"/>
      <c r="JN75" s="54"/>
      <c r="JO75" s="54"/>
      <c r="JP75" s="54"/>
      <c r="JQ75" s="54"/>
      <c r="JR75" s="54"/>
      <c r="JS75" s="54"/>
      <c r="JT75" s="54"/>
      <c r="JU75" s="54"/>
      <c r="JV75" s="54"/>
      <c r="JW75" s="54"/>
      <c r="JX75" s="54"/>
      <c r="JY75" s="54"/>
      <c r="JZ75" s="54"/>
      <c r="KA75" s="54"/>
      <c r="KB75" s="54"/>
      <c r="KC75" s="54"/>
      <c r="KD75" s="54"/>
      <c r="KE75" s="54"/>
      <c r="KF75" s="54"/>
      <c r="KG75" s="54"/>
      <c r="KH75" s="54"/>
      <c r="KI75" s="54"/>
      <c r="KJ75" s="54"/>
      <c r="KK75" s="54"/>
      <c r="KL75" s="54"/>
      <c r="KM75" s="54"/>
      <c r="KN75" s="54"/>
      <c r="KO75" s="54"/>
      <c r="KP75" s="54"/>
      <c r="KQ75" s="54"/>
      <c r="KR75" s="54"/>
      <c r="KS75" s="54"/>
      <c r="KT75" s="54"/>
      <c r="KU75" s="54"/>
      <c r="KV75" s="54"/>
      <c r="KW75" s="54"/>
      <c r="KX75" s="54"/>
    </row>
    <row r="76" ht="5.2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c r="BS76" s="54"/>
      <c r="BT76" s="54"/>
      <c r="BU76" s="54"/>
      <c r="BV76" s="54"/>
      <c r="BW76" s="54"/>
      <c r="BX76" s="54"/>
      <c r="BY76" s="54"/>
      <c r="BZ76" s="54"/>
      <c r="CA76" s="54"/>
      <c r="CB76" s="54"/>
      <c r="CC76" s="54"/>
      <c r="CD76" s="54"/>
      <c r="CE76" s="54"/>
      <c r="CF76" s="54"/>
      <c r="CG76" s="54"/>
      <c r="CH76" s="54"/>
      <c r="CI76" s="54"/>
      <c r="CJ76" s="54"/>
      <c r="CK76" s="54"/>
      <c r="CL76" s="54"/>
      <c r="CM76" s="54"/>
      <c r="CN76" s="54"/>
      <c r="CO76" s="54"/>
      <c r="CP76" s="54"/>
      <c r="CQ76" s="54"/>
      <c r="CR76" s="54"/>
      <c r="CS76" s="54"/>
      <c r="CT76" s="54"/>
      <c r="CU76" s="54"/>
      <c r="CV76" s="54"/>
      <c r="CW76" s="54"/>
      <c r="CX76" s="54"/>
      <c r="CY76" s="54"/>
      <c r="CZ76" s="54"/>
      <c r="DA76" s="54"/>
      <c r="DB76" s="54"/>
      <c r="DC76" s="54"/>
      <c r="DD76" s="54"/>
      <c r="DE76" s="54"/>
      <c r="DF76" s="54"/>
      <c r="DG76" s="54"/>
      <c r="DH76" s="54"/>
      <c r="DI76" s="54"/>
      <c r="DJ76" s="54"/>
      <c r="DK76" s="54"/>
      <c r="DL76" s="54"/>
      <c r="DM76" s="54"/>
      <c r="DN76" s="54"/>
      <c r="DO76" s="54"/>
      <c r="DP76" s="54"/>
      <c r="DQ76" s="54"/>
      <c r="DR76" s="54"/>
      <c r="DS76" s="54"/>
      <c r="DT76" s="54"/>
      <c r="DU76" s="54"/>
      <c r="DV76" s="54"/>
      <c r="DW76" s="54"/>
      <c r="DX76" s="54"/>
      <c r="DY76" s="54"/>
      <c r="DZ76" s="54"/>
      <c r="EA76" s="54"/>
      <c r="EB76" s="54"/>
      <c r="EC76" s="54"/>
      <c r="ED76" s="54"/>
      <c r="EE76" s="54"/>
      <c r="EF76" s="54"/>
      <c r="EG76" s="54"/>
      <c r="EH76" s="54"/>
      <c r="EI76" s="54"/>
      <c r="EJ76" s="54"/>
      <c r="EK76" s="54"/>
      <c r="EL76" s="54"/>
      <c r="EM76" s="54"/>
      <c r="EN76" s="54"/>
      <c r="EO76" s="54"/>
      <c r="EP76" s="54"/>
      <c r="EQ76" s="54"/>
      <c r="ER76" s="54"/>
      <c r="ES76" s="54"/>
      <c r="ET76" s="54"/>
      <c r="EU76" s="54"/>
      <c r="EV76" s="54"/>
      <c r="EW76" s="54"/>
      <c r="EX76" s="54"/>
      <c r="EY76" s="54"/>
      <c r="EZ76" s="54"/>
      <c r="FA76" s="54"/>
      <c r="FB76" s="54"/>
      <c r="FC76" s="54"/>
      <c r="FD76" s="54"/>
      <c r="FE76" s="54"/>
      <c r="FF76" s="54"/>
      <c r="FG76" s="54"/>
      <c r="FH76" s="54"/>
      <c r="FI76" s="54"/>
      <c r="FJ76" s="54"/>
      <c r="FK76" s="54"/>
      <c r="FL76" s="54"/>
      <c r="FM76" s="54"/>
      <c r="FN76" s="54"/>
      <c r="FO76" s="54"/>
      <c r="FP76" s="54"/>
      <c r="FQ76" s="54"/>
      <c r="FR76" s="54"/>
      <c r="FS76" s="54"/>
      <c r="FT76" s="54"/>
      <c r="FU76" s="54"/>
      <c r="FV76" s="54"/>
      <c r="FW76" s="54"/>
      <c r="FX76" s="54"/>
      <c r="FY76" s="54"/>
      <c r="FZ76" s="54"/>
      <c r="GA76" s="54"/>
      <c r="GB76" s="54"/>
      <c r="GC76" s="54"/>
      <c r="GD76" s="54"/>
      <c r="GE76" s="54"/>
      <c r="GF76" s="54"/>
      <c r="GG76" s="54"/>
      <c r="GH76" s="54"/>
      <c r="GI76" s="54"/>
      <c r="GJ76" s="54"/>
      <c r="GK76" s="54"/>
      <c r="GL76" s="54"/>
      <c r="GM76" s="54"/>
      <c r="GN76" s="54"/>
      <c r="GO76" s="54"/>
      <c r="GP76" s="54"/>
      <c r="GQ76" s="54"/>
      <c r="GR76" s="54"/>
      <c r="GS76" s="54"/>
      <c r="GT76" s="54"/>
      <c r="GU76" s="54"/>
      <c r="GV76" s="54"/>
      <c r="GW76" s="54"/>
      <c r="GX76" s="54"/>
      <c r="GY76" s="54"/>
      <c r="GZ76" s="54"/>
      <c r="HA76" s="54"/>
      <c r="HB76" s="54"/>
      <c r="HC76" s="54"/>
      <c r="HD76" s="54"/>
      <c r="HE76" s="54"/>
      <c r="HF76" s="54"/>
      <c r="HG76" s="54"/>
      <c r="HH76" s="54"/>
      <c r="HI76" s="54"/>
      <c r="HJ76" s="54"/>
      <c r="HK76" s="54"/>
      <c r="HL76" s="54"/>
      <c r="HM76" s="54"/>
      <c r="HN76" s="54"/>
      <c r="HO76" s="54"/>
      <c r="HP76" s="54"/>
      <c r="HQ76" s="54"/>
      <c r="HR76" s="54"/>
      <c r="HS76" s="54"/>
      <c r="HT76" s="54"/>
      <c r="HU76" s="54"/>
      <c r="HV76" s="54"/>
      <c r="HW76" s="54"/>
      <c r="HX76" s="54"/>
      <c r="HY76" s="54"/>
      <c r="HZ76" s="54"/>
      <c r="IA76" s="54"/>
      <c r="IB76" s="54"/>
      <c r="IC76" s="54"/>
      <c r="ID76" s="54"/>
      <c r="IE76" s="54"/>
      <c r="IF76" s="54"/>
      <c r="IG76" s="54"/>
      <c r="IH76" s="54"/>
      <c r="II76" s="54"/>
      <c r="IJ76" s="54"/>
      <c r="IK76" s="54"/>
      <c r="IL76" s="54"/>
      <c r="IM76" s="54"/>
      <c r="IN76" s="54"/>
      <c r="IO76" s="54"/>
      <c r="IP76" s="54"/>
      <c r="IQ76" s="54"/>
      <c r="IR76" s="54"/>
      <c r="IS76" s="54"/>
      <c r="IT76" s="54"/>
      <c r="IU76" s="54"/>
      <c r="IV76" s="54"/>
      <c r="IW76" s="54"/>
      <c r="IX76" s="54"/>
      <c r="IY76" s="54"/>
      <c r="IZ76" s="54"/>
      <c r="JA76" s="54"/>
      <c r="JB76" s="54"/>
      <c r="JC76" s="54"/>
      <c r="JD76" s="54"/>
      <c r="JE76" s="54"/>
      <c r="JF76" s="54"/>
      <c r="JG76" s="54"/>
      <c r="JH76" s="54"/>
      <c r="JI76" s="54"/>
      <c r="JJ76" s="54"/>
      <c r="JK76" s="54"/>
      <c r="JL76" s="54"/>
      <c r="JM76" s="54"/>
      <c r="JN76" s="54"/>
      <c r="JO76" s="54"/>
      <c r="JP76" s="54"/>
      <c r="JQ76" s="54"/>
      <c r="JR76" s="54"/>
      <c r="JS76" s="54"/>
      <c r="JT76" s="54"/>
      <c r="JU76" s="54"/>
      <c r="JV76" s="54"/>
      <c r="JW76" s="54"/>
      <c r="JX76" s="54"/>
      <c r="JY76" s="54"/>
      <c r="JZ76" s="54"/>
      <c r="KA76" s="54"/>
      <c r="KB76" s="54"/>
      <c r="KC76" s="54"/>
      <c r="KD76" s="54"/>
      <c r="KE76" s="54"/>
      <c r="KF76" s="54"/>
      <c r="KG76" s="54"/>
      <c r="KH76" s="54"/>
      <c r="KI76" s="54"/>
      <c r="KJ76" s="54"/>
      <c r="KK76" s="54"/>
      <c r="KL76" s="54"/>
      <c r="KM76" s="54"/>
      <c r="KN76" s="54"/>
      <c r="KO76" s="54"/>
      <c r="KP76" s="54"/>
      <c r="KQ76" s="54"/>
      <c r="KR76" s="54"/>
      <c r="KS76" s="54"/>
      <c r="KT76" s="54"/>
      <c r="KU76" s="54"/>
      <c r="KV76" s="54"/>
      <c r="KW76" s="54"/>
      <c r="KX76" s="54"/>
    </row>
    <row r="77" ht="5.2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c r="BU77" s="54"/>
      <c r="BV77" s="54"/>
      <c r="BW77" s="54"/>
      <c r="BX77" s="54">
        <f>if(or(CX89="",DB89="",CX96="",DB96="",CX103="",DB103="",CX110="",DB110=""),0,1)</f>
        <v>0</v>
      </c>
      <c r="BY77" s="54"/>
      <c r="BZ77" s="54"/>
      <c r="CA77" s="54"/>
      <c r="CB77" s="54"/>
      <c r="CC77" s="54"/>
      <c r="CD77" s="54"/>
      <c r="CE77" s="54"/>
      <c r="CF77" s="54"/>
      <c r="CG77" s="54"/>
      <c r="CH77" s="54"/>
      <c r="CI77" s="54"/>
      <c r="CJ77" s="54"/>
      <c r="CK77" s="54"/>
      <c r="CL77" s="54"/>
      <c r="CM77" s="54"/>
      <c r="CN77" s="54"/>
      <c r="CO77" s="54"/>
      <c r="CP77" s="54"/>
      <c r="CQ77" s="54"/>
      <c r="CR77" s="54"/>
      <c r="CS77" s="54"/>
      <c r="CT77" s="54"/>
      <c r="CU77" s="54"/>
      <c r="CV77" s="54"/>
      <c r="CW77" s="54"/>
      <c r="CX77" s="54"/>
      <c r="CY77" s="54"/>
      <c r="CZ77" s="54"/>
      <c r="DA77" s="54"/>
      <c r="DB77" s="54"/>
      <c r="DC77" s="54"/>
      <c r="DD77" s="54"/>
      <c r="DE77" s="54"/>
      <c r="DF77" s="54"/>
      <c r="DG77" s="54"/>
      <c r="DH77" s="54"/>
      <c r="DI77" s="54"/>
      <c r="DJ77" s="54"/>
      <c r="DK77" s="54"/>
      <c r="DL77" s="54"/>
      <c r="DM77" s="54"/>
      <c r="DN77" s="54"/>
      <c r="DO77" s="54"/>
      <c r="DP77" s="54"/>
      <c r="DQ77" s="54"/>
      <c r="DR77" s="54"/>
      <c r="DS77" s="54"/>
      <c r="DT77" s="54"/>
      <c r="DU77" s="54"/>
      <c r="DV77" s="54"/>
      <c r="DW77" s="54"/>
      <c r="DX77" s="54"/>
      <c r="DY77" s="54"/>
      <c r="DZ77" s="54"/>
      <c r="EA77" s="54"/>
      <c r="EB77" s="54"/>
      <c r="EC77" s="54"/>
      <c r="ED77" s="54"/>
      <c r="EE77" s="54"/>
      <c r="EF77" s="54"/>
      <c r="EG77" s="54"/>
      <c r="EH77" s="54"/>
      <c r="EI77" s="54"/>
      <c r="EJ77" s="54">
        <f>if(or(FJ89="",FN89="",FJ96="",FN96="",FJ103="",FN103="",FJ110="",FN110=""),0,1)</f>
        <v>0</v>
      </c>
      <c r="EK77" s="54"/>
      <c r="EL77" s="54"/>
      <c r="EM77" s="54"/>
      <c r="EN77" s="54"/>
      <c r="EO77" s="54"/>
      <c r="EP77" s="54"/>
      <c r="EQ77" s="54"/>
      <c r="ER77" s="54"/>
      <c r="ES77" s="54"/>
      <c r="ET77" s="54"/>
      <c r="EU77" s="54"/>
      <c r="EV77" s="54"/>
      <c r="EW77" s="54"/>
      <c r="EX77" s="54"/>
      <c r="EY77" s="54"/>
      <c r="EZ77" s="54"/>
      <c r="FA77" s="54"/>
      <c r="FB77" s="54"/>
      <c r="FC77" s="54"/>
      <c r="FD77" s="54"/>
      <c r="FE77" s="54"/>
      <c r="FF77" s="54"/>
      <c r="FG77" s="54"/>
      <c r="FH77" s="54"/>
      <c r="FI77" s="54"/>
      <c r="FJ77" s="54"/>
      <c r="FK77" s="54"/>
      <c r="FL77" s="54"/>
      <c r="FM77" s="54"/>
      <c r="FN77" s="54"/>
      <c r="FO77" s="54"/>
      <c r="FP77" s="54"/>
      <c r="FQ77" s="54"/>
      <c r="FR77" s="54"/>
      <c r="FS77" s="54"/>
      <c r="FT77" s="54"/>
      <c r="FU77" s="54"/>
      <c r="FV77" s="54"/>
      <c r="FW77" s="54"/>
      <c r="FX77" s="54"/>
      <c r="FY77" s="54"/>
      <c r="FZ77" s="54"/>
      <c r="GA77" s="54"/>
      <c r="GB77" s="54"/>
      <c r="GC77" s="54"/>
      <c r="GD77" s="54"/>
      <c r="GE77" s="54"/>
      <c r="GF77" s="54"/>
      <c r="GG77" s="54"/>
      <c r="GH77" s="54"/>
      <c r="GI77" s="54"/>
      <c r="GJ77" s="54"/>
      <c r="GK77" s="54"/>
      <c r="GL77" s="54"/>
      <c r="GM77" s="54"/>
      <c r="GN77" s="54"/>
      <c r="GO77" s="54"/>
      <c r="GP77" s="54"/>
      <c r="GQ77" s="54"/>
      <c r="GR77" s="54"/>
      <c r="GS77" s="54"/>
      <c r="GT77" s="54"/>
      <c r="GU77" s="54"/>
      <c r="GV77" s="54"/>
      <c r="GW77" s="54"/>
      <c r="GX77" s="54"/>
      <c r="GY77" s="54"/>
      <c r="GZ77" s="54"/>
      <c r="HA77" s="54"/>
      <c r="HB77" s="54"/>
      <c r="HC77" s="54"/>
      <c r="HD77" s="54"/>
      <c r="HE77" s="54"/>
      <c r="HF77" s="54"/>
      <c r="HG77" s="54"/>
      <c r="HH77" s="54"/>
      <c r="HI77" s="54"/>
      <c r="HJ77" s="54"/>
      <c r="HK77" s="54"/>
      <c r="HL77" s="54"/>
      <c r="HM77" s="54"/>
      <c r="HN77" s="54"/>
      <c r="HO77" s="54"/>
      <c r="HP77" s="54"/>
      <c r="HQ77" s="54"/>
      <c r="HR77" s="54"/>
      <c r="HS77" s="54"/>
      <c r="HT77" s="54"/>
      <c r="HU77" s="54"/>
      <c r="HV77" s="54"/>
      <c r="HW77" s="54"/>
      <c r="HX77" s="54"/>
      <c r="HY77" s="54"/>
      <c r="HZ77" s="54"/>
      <c r="IA77" s="54"/>
      <c r="IB77" s="54"/>
      <c r="IC77" s="54"/>
      <c r="ID77" s="54"/>
      <c r="IE77" s="54"/>
      <c r="IF77" s="54"/>
      <c r="IG77" s="54"/>
      <c r="IH77" s="54"/>
      <c r="II77" s="54"/>
      <c r="IJ77" s="54"/>
      <c r="IK77" s="54"/>
      <c r="IL77" s="54"/>
      <c r="IM77" s="54"/>
      <c r="IN77" s="54"/>
      <c r="IO77" s="54"/>
      <c r="IP77" s="54"/>
      <c r="IQ77" s="54"/>
      <c r="IR77" s="54"/>
      <c r="IS77" s="54"/>
      <c r="IT77" s="54"/>
      <c r="IU77" s="54"/>
      <c r="IV77" s="54"/>
      <c r="IW77" s="54"/>
      <c r="IX77" s="54"/>
      <c r="IY77" s="54"/>
      <c r="IZ77" s="54"/>
      <c r="JA77" s="54"/>
      <c r="JB77" s="54"/>
      <c r="JC77" s="54"/>
      <c r="JD77" s="54"/>
      <c r="JE77" s="54"/>
      <c r="JF77" s="54"/>
      <c r="JG77" s="54"/>
      <c r="JH77" s="54"/>
      <c r="JI77" s="54"/>
      <c r="JJ77" s="54"/>
      <c r="JK77" s="54"/>
      <c r="JL77" s="54"/>
      <c r="JM77" s="54"/>
      <c r="JN77" s="54"/>
      <c r="JO77" s="54"/>
      <c r="JP77" s="54"/>
      <c r="JQ77" s="54"/>
      <c r="JR77" s="54"/>
      <c r="JS77" s="54"/>
      <c r="JT77" s="54"/>
      <c r="JU77" s="54"/>
      <c r="JV77" s="54"/>
      <c r="JW77" s="54"/>
      <c r="JX77" s="54"/>
      <c r="JY77" s="54"/>
      <c r="JZ77" s="54"/>
      <c r="KA77" s="54"/>
      <c r="KB77" s="54"/>
      <c r="KC77" s="54"/>
      <c r="KD77" s="54"/>
      <c r="KE77" s="54"/>
      <c r="KF77" s="54"/>
      <c r="KG77" s="54"/>
      <c r="KH77" s="54"/>
      <c r="KI77" s="54"/>
      <c r="KJ77" s="54"/>
      <c r="KK77" s="54"/>
      <c r="KL77" s="54"/>
      <c r="KM77" s="54"/>
      <c r="KN77" s="54"/>
      <c r="KO77" s="54"/>
      <c r="KP77" s="54"/>
      <c r="KQ77" s="54"/>
      <c r="KR77" s="54"/>
      <c r="KS77" s="54"/>
      <c r="KT77" s="54"/>
      <c r="KU77" s="54"/>
      <c r="KV77" s="54"/>
      <c r="KW77" s="54"/>
      <c r="KX77" s="54"/>
    </row>
    <row r="78" ht="5.2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108"/>
      <c r="BX78" s="109" t="s">
        <v>60</v>
      </c>
      <c r="BY78" s="58"/>
      <c r="BZ78" s="58"/>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58"/>
      <c r="DR78" s="58"/>
      <c r="DS78" s="58"/>
      <c r="DT78" s="58"/>
      <c r="DU78" s="58"/>
      <c r="DV78" s="58"/>
      <c r="DW78" s="58"/>
      <c r="DX78" s="58"/>
      <c r="DY78" s="58"/>
      <c r="DZ78" s="58"/>
      <c r="EA78" s="58"/>
      <c r="EB78" s="58"/>
      <c r="EC78" s="58"/>
      <c r="ED78" s="58"/>
      <c r="EE78" s="59"/>
      <c r="EF78" s="108"/>
      <c r="EG78" s="54"/>
      <c r="EH78" s="54"/>
      <c r="EI78" s="108"/>
      <c r="EJ78" s="57" t="s">
        <v>61</v>
      </c>
      <c r="EK78" s="58"/>
      <c r="EL78" s="58"/>
      <c r="EM78" s="58"/>
      <c r="EN78" s="58"/>
      <c r="EO78" s="58"/>
      <c r="EP78" s="58"/>
      <c r="EQ78" s="58"/>
      <c r="ER78" s="58"/>
      <c r="ES78" s="58"/>
      <c r="ET78" s="58"/>
      <c r="EU78" s="58"/>
      <c r="EV78" s="58"/>
      <c r="EW78" s="58"/>
      <c r="EX78" s="58"/>
      <c r="EY78" s="58"/>
      <c r="EZ78" s="58"/>
      <c r="FA78" s="58"/>
      <c r="FB78" s="58"/>
      <c r="FC78" s="58"/>
      <c r="FD78" s="58"/>
      <c r="FE78" s="58"/>
      <c r="FF78" s="58"/>
      <c r="FG78" s="58"/>
      <c r="FH78" s="58"/>
      <c r="FI78" s="58"/>
      <c r="FJ78" s="58"/>
      <c r="FK78" s="58"/>
      <c r="FL78" s="58"/>
      <c r="FM78" s="58"/>
      <c r="FN78" s="58"/>
      <c r="FO78" s="58"/>
      <c r="FP78" s="58"/>
      <c r="FQ78" s="58"/>
      <c r="FR78" s="58"/>
      <c r="FS78" s="58"/>
      <c r="FT78" s="58"/>
      <c r="FU78" s="58"/>
      <c r="FV78" s="58"/>
      <c r="FW78" s="58"/>
      <c r="FX78" s="58"/>
      <c r="FY78" s="58"/>
      <c r="FZ78" s="58"/>
      <c r="GA78" s="58"/>
      <c r="GB78" s="58"/>
      <c r="GC78" s="58"/>
      <c r="GD78" s="58"/>
      <c r="GE78" s="58"/>
      <c r="GF78" s="58"/>
      <c r="GG78" s="58"/>
      <c r="GH78" s="58"/>
      <c r="GI78" s="58"/>
      <c r="GJ78" s="58"/>
      <c r="GK78" s="58"/>
      <c r="GL78" s="58"/>
      <c r="GM78" s="58"/>
      <c r="GN78" s="58"/>
      <c r="GO78" s="58"/>
      <c r="GP78" s="58"/>
      <c r="GQ78" s="59"/>
      <c r="GR78" s="108"/>
      <c r="GS78" s="54"/>
      <c r="GT78" s="54"/>
      <c r="GU78" s="54"/>
      <c r="GV78" s="54"/>
      <c r="GW78" s="54"/>
      <c r="GX78" s="54"/>
      <c r="GY78" s="54"/>
      <c r="GZ78" s="54"/>
      <c r="HA78" s="54"/>
      <c r="HB78" s="54"/>
      <c r="HC78" s="54"/>
      <c r="HD78" s="54"/>
      <c r="HE78" s="54"/>
      <c r="HF78" s="54"/>
      <c r="HG78" s="54"/>
      <c r="HH78" s="54"/>
      <c r="HI78" s="54"/>
      <c r="HJ78" s="54"/>
      <c r="HK78" s="54"/>
      <c r="HL78" s="54"/>
      <c r="HM78" s="54"/>
      <c r="HN78" s="54"/>
      <c r="HO78" s="54"/>
      <c r="HP78" s="54"/>
      <c r="HQ78" s="54"/>
      <c r="HR78" s="54"/>
      <c r="HS78" s="54"/>
      <c r="HT78" s="54"/>
      <c r="HU78" s="54"/>
      <c r="HV78" s="54"/>
      <c r="HW78" s="54"/>
      <c r="HX78" s="54"/>
      <c r="HY78" s="54"/>
      <c r="HZ78" s="54"/>
      <c r="IA78" s="54"/>
      <c r="IB78" s="54"/>
      <c r="IC78" s="54"/>
      <c r="ID78" s="54"/>
      <c r="IE78" s="54"/>
      <c r="IF78" s="54"/>
      <c r="IG78" s="54"/>
      <c r="IH78" s="54"/>
      <c r="II78" s="54"/>
      <c r="IJ78" s="54"/>
      <c r="IK78" s="54"/>
      <c r="IL78" s="54"/>
      <c r="IM78" s="54"/>
      <c r="IN78" s="54"/>
      <c r="IO78" s="54"/>
      <c r="IP78" s="54"/>
      <c r="IQ78" s="54"/>
      <c r="IR78" s="54"/>
      <c r="IS78" s="54"/>
      <c r="IT78" s="54"/>
      <c r="IU78" s="54"/>
      <c r="IV78" s="54"/>
      <c r="IW78" s="54"/>
      <c r="IX78" s="54"/>
      <c r="IY78" s="54"/>
      <c r="IZ78" s="54"/>
      <c r="JA78" s="54"/>
      <c r="JB78" s="54"/>
      <c r="JC78" s="54"/>
      <c r="JD78" s="54"/>
      <c r="JE78" s="54"/>
      <c r="JF78" s="54"/>
      <c r="JG78" s="54"/>
      <c r="JH78" s="54"/>
      <c r="JI78" s="54"/>
      <c r="JJ78" s="54"/>
      <c r="JK78" s="54"/>
      <c r="JL78" s="54"/>
      <c r="JM78" s="54"/>
      <c r="JN78" s="54"/>
      <c r="JO78" s="54"/>
      <c r="JP78" s="54"/>
      <c r="JQ78" s="54"/>
      <c r="JR78" s="54"/>
      <c r="JS78" s="54"/>
      <c r="JT78" s="54"/>
      <c r="JU78" s="54"/>
      <c r="JV78" s="54"/>
      <c r="JW78" s="54"/>
      <c r="JX78" s="54"/>
      <c r="JY78" s="54"/>
      <c r="JZ78" s="54"/>
      <c r="KA78" s="54"/>
      <c r="KB78" s="54"/>
      <c r="KC78" s="54"/>
      <c r="KD78" s="54"/>
      <c r="KE78" s="54"/>
      <c r="KF78" s="54"/>
      <c r="KG78" s="54"/>
      <c r="KH78" s="54"/>
      <c r="KI78" s="54"/>
      <c r="KJ78" s="54"/>
      <c r="KK78" s="54"/>
      <c r="KL78" s="54"/>
      <c r="KM78" s="54"/>
      <c r="KN78" s="54"/>
      <c r="KO78" s="54"/>
      <c r="KP78" s="54"/>
      <c r="KQ78" s="54"/>
      <c r="KR78" s="54"/>
      <c r="KS78" s="54"/>
      <c r="KT78" s="54"/>
      <c r="KU78" s="54"/>
      <c r="KV78" s="54"/>
      <c r="KW78" s="54"/>
      <c r="KX78" s="54"/>
    </row>
    <row r="79" ht="5.2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c r="BS79" s="54"/>
      <c r="BT79" s="54"/>
      <c r="BU79" s="54"/>
      <c r="BV79" s="54"/>
      <c r="BW79" s="108"/>
      <c r="BX79" s="60"/>
      <c r="EE79" s="61"/>
      <c r="EF79" s="108"/>
      <c r="EG79" s="54"/>
      <c r="EH79" s="54"/>
      <c r="EI79" s="108"/>
      <c r="EJ79" s="60"/>
      <c r="GQ79" s="61"/>
      <c r="GR79" s="108"/>
      <c r="GS79" s="54"/>
      <c r="GT79" s="54"/>
      <c r="GU79" s="54"/>
      <c r="GV79" s="54"/>
      <c r="GW79" s="54"/>
      <c r="GX79" s="54"/>
      <c r="GY79" s="54"/>
      <c r="GZ79" s="54"/>
      <c r="HA79" s="54"/>
      <c r="HB79" s="54"/>
      <c r="HC79" s="54"/>
      <c r="HD79" s="54"/>
      <c r="HE79" s="54"/>
      <c r="HF79" s="54"/>
      <c r="HG79" s="54"/>
      <c r="HH79" s="54"/>
      <c r="HI79" s="54"/>
      <c r="HJ79" s="54"/>
      <c r="HK79" s="54"/>
      <c r="HL79" s="54"/>
      <c r="HM79" s="54"/>
      <c r="HN79" s="54"/>
      <c r="HO79" s="54"/>
      <c r="HP79" s="54"/>
      <c r="HQ79" s="54"/>
      <c r="HR79" s="54"/>
      <c r="HS79" s="54"/>
      <c r="HT79" s="54"/>
      <c r="HU79" s="54"/>
      <c r="HV79" s="54"/>
      <c r="HW79" s="54"/>
      <c r="HX79" s="54"/>
      <c r="HY79" s="54"/>
      <c r="HZ79" s="54"/>
      <c r="IA79" s="54"/>
      <c r="IB79" s="54"/>
      <c r="IC79" s="54"/>
      <c r="ID79" s="54"/>
      <c r="IE79" s="54"/>
      <c r="IF79" s="54"/>
      <c r="IG79" s="54"/>
      <c r="IH79" s="54"/>
      <c r="II79" s="54"/>
      <c r="IJ79" s="54"/>
      <c r="IK79" s="54"/>
      <c r="IL79" s="54"/>
      <c r="IM79" s="54"/>
      <c r="IN79" s="54"/>
      <c r="IO79" s="54"/>
      <c r="IP79" s="54"/>
      <c r="IQ79" s="54"/>
      <c r="IR79" s="54"/>
      <c r="IS79" s="54"/>
      <c r="IT79" s="54"/>
      <c r="IU79" s="54"/>
      <c r="IV79" s="54"/>
      <c r="IW79" s="54"/>
      <c r="IX79" s="54"/>
      <c r="IY79" s="54"/>
      <c r="IZ79" s="54"/>
      <c r="JA79" s="54"/>
      <c r="JB79" s="54"/>
      <c r="JC79" s="54"/>
      <c r="JD79" s="54"/>
      <c r="JE79" s="54"/>
      <c r="JF79" s="54"/>
      <c r="JG79" s="54"/>
      <c r="JH79" s="54"/>
      <c r="JI79" s="54"/>
      <c r="JJ79" s="54"/>
      <c r="JK79" s="54"/>
      <c r="JL79" s="54"/>
      <c r="JM79" s="54"/>
      <c r="JN79" s="54"/>
      <c r="JO79" s="54"/>
      <c r="JP79" s="54"/>
      <c r="JQ79" s="54"/>
      <c r="JR79" s="54"/>
      <c r="JS79" s="54"/>
      <c r="JT79" s="54"/>
      <c r="JU79" s="54"/>
      <c r="JV79" s="54"/>
      <c r="JW79" s="54"/>
      <c r="JX79" s="54"/>
      <c r="JY79" s="54"/>
      <c r="JZ79" s="54"/>
      <c r="KA79" s="54"/>
      <c r="KB79" s="54"/>
      <c r="KC79" s="54"/>
      <c r="KD79" s="54"/>
      <c r="KE79" s="54"/>
      <c r="KF79" s="54"/>
      <c r="KG79" s="54"/>
      <c r="KH79" s="54"/>
      <c r="KI79" s="54"/>
      <c r="KJ79" s="54"/>
      <c r="KK79" s="54"/>
      <c r="KL79" s="54"/>
      <c r="KM79" s="54"/>
      <c r="KN79" s="54"/>
      <c r="KO79" s="54"/>
      <c r="KP79" s="54"/>
      <c r="KQ79" s="54"/>
      <c r="KR79" s="54"/>
      <c r="KS79" s="54"/>
      <c r="KT79" s="54"/>
      <c r="KU79" s="54"/>
      <c r="KV79" s="54"/>
      <c r="KW79" s="54"/>
      <c r="KX79" s="54"/>
    </row>
    <row r="80" ht="5.2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c r="BS80" s="54"/>
      <c r="BT80" s="54"/>
      <c r="BU80" s="54"/>
      <c r="BV80" s="54"/>
      <c r="BW80" s="108"/>
      <c r="BX80" s="60"/>
      <c r="EE80" s="61"/>
      <c r="EF80" s="108"/>
      <c r="EG80" s="54"/>
      <c r="EH80" s="54"/>
      <c r="EI80" s="108"/>
      <c r="EJ80" s="60"/>
      <c r="GQ80" s="61"/>
      <c r="GR80" s="108"/>
      <c r="GS80" s="54"/>
      <c r="GT80" s="54"/>
      <c r="GU80" s="54"/>
      <c r="GV80" s="54"/>
      <c r="GW80" s="54"/>
      <c r="GX80" s="54"/>
      <c r="GY80" s="54"/>
      <c r="GZ80" s="54"/>
      <c r="HA80" s="54"/>
      <c r="HB80" s="54"/>
      <c r="HC80" s="54"/>
      <c r="HD80" s="54"/>
      <c r="HE80" s="54"/>
      <c r="HF80" s="54"/>
      <c r="HG80" s="54"/>
      <c r="HH80" s="54"/>
      <c r="HI80" s="54"/>
      <c r="HJ80" s="54"/>
      <c r="HK80" s="54"/>
      <c r="HL80" s="54"/>
      <c r="HM80" s="54"/>
      <c r="HN80" s="54"/>
      <c r="HO80" s="54"/>
      <c r="HP80" s="54"/>
      <c r="HQ80" s="54"/>
      <c r="HR80" s="54"/>
      <c r="HS80" s="54"/>
      <c r="HT80" s="54"/>
      <c r="HU80" s="54"/>
      <c r="HV80" s="54"/>
      <c r="HW80" s="54"/>
      <c r="HX80" s="54"/>
      <c r="HY80" s="54"/>
      <c r="HZ80" s="54"/>
      <c r="IA80" s="54"/>
      <c r="IB80" s="54"/>
      <c r="IC80" s="54"/>
      <c r="ID80" s="54"/>
      <c r="IE80" s="54"/>
      <c r="IF80" s="54"/>
      <c r="IG80" s="54"/>
      <c r="IH80" s="54"/>
      <c r="II80" s="54"/>
      <c r="IJ80" s="54"/>
      <c r="IK80" s="54"/>
      <c r="IL80" s="54"/>
      <c r="IM80" s="54"/>
      <c r="IN80" s="54"/>
      <c r="IO80" s="54"/>
      <c r="IP80" s="54"/>
      <c r="IQ80" s="54"/>
      <c r="IR80" s="54"/>
      <c r="IS80" s="54"/>
      <c r="IT80" s="54"/>
      <c r="IU80" s="54"/>
      <c r="IV80" s="54"/>
      <c r="IW80" s="54"/>
      <c r="IX80" s="54"/>
      <c r="IY80" s="54"/>
      <c r="IZ80" s="54"/>
      <c r="JA80" s="54"/>
      <c r="JB80" s="54"/>
      <c r="JC80" s="54"/>
      <c r="JD80" s="54"/>
      <c r="JE80" s="54"/>
      <c r="JF80" s="54"/>
      <c r="JG80" s="54"/>
      <c r="JH80" s="54"/>
      <c r="JI80" s="54"/>
      <c r="JJ80" s="54"/>
      <c r="JK80" s="54"/>
      <c r="JL80" s="54"/>
      <c r="JM80" s="54"/>
      <c r="JN80" s="54"/>
      <c r="JO80" s="54"/>
      <c r="JP80" s="54"/>
      <c r="JQ80" s="54"/>
      <c r="JR80" s="54"/>
      <c r="JS80" s="54"/>
      <c r="JT80" s="54"/>
      <c r="JU80" s="54"/>
      <c r="JV80" s="54"/>
      <c r="JW80" s="54"/>
      <c r="JX80" s="54"/>
      <c r="JY80" s="54"/>
      <c r="JZ80" s="54"/>
      <c r="KA80" s="54"/>
      <c r="KB80" s="54"/>
      <c r="KC80" s="54"/>
      <c r="KD80" s="54"/>
      <c r="KE80" s="54"/>
      <c r="KF80" s="54"/>
      <c r="KG80" s="54"/>
      <c r="KH80" s="54"/>
      <c r="KI80" s="54"/>
      <c r="KJ80" s="54"/>
      <c r="KK80" s="54"/>
      <c r="KL80" s="54"/>
      <c r="KM80" s="54"/>
      <c r="KN80" s="54"/>
      <c r="KO80" s="54"/>
      <c r="KP80" s="54"/>
      <c r="KQ80" s="54"/>
      <c r="KR80" s="54"/>
      <c r="KS80" s="54"/>
      <c r="KT80" s="54"/>
      <c r="KU80" s="54"/>
      <c r="KV80" s="54"/>
      <c r="KW80" s="54"/>
      <c r="KX80" s="54"/>
    </row>
    <row r="81" ht="5.2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c r="BS81" s="54"/>
      <c r="BT81" s="54"/>
      <c r="BU81" s="54"/>
      <c r="BV81" s="54"/>
      <c r="BW81" s="108"/>
      <c r="BX81" s="60"/>
      <c r="EE81" s="61"/>
      <c r="EF81" s="108"/>
      <c r="EG81" s="54"/>
      <c r="EH81" s="54"/>
      <c r="EI81" s="108"/>
      <c r="EJ81" s="60"/>
      <c r="GQ81" s="61"/>
      <c r="GR81" s="108"/>
      <c r="GS81" s="54"/>
      <c r="GT81" s="54"/>
      <c r="GU81" s="54"/>
      <c r="GV81" s="54"/>
      <c r="GW81" s="54"/>
      <c r="GX81" s="54"/>
      <c r="GY81" s="54"/>
      <c r="GZ81" s="54"/>
      <c r="HA81" s="54"/>
      <c r="HB81" s="54"/>
      <c r="HC81" s="54"/>
      <c r="HD81" s="54"/>
      <c r="HE81" s="54"/>
      <c r="HF81" s="54"/>
      <c r="HG81" s="54"/>
      <c r="HH81" s="54"/>
      <c r="HI81" s="54"/>
      <c r="HJ81" s="54"/>
      <c r="HK81" s="54"/>
      <c r="HL81" s="54"/>
      <c r="HM81" s="54"/>
      <c r="HN81" s="54"/>
      <c r="HO81" s="54"/>
      <c r="HP81" s="54"/>
      <c r="HQ81" s="54"/>
      <c r="HR81" s="54"/>
      <c r="HS81" s="54"/>
      <c r="HT81" s="54"/>
      <c r="HU81" s="54"/>
      <c r="HV81" s="54"/>
      <c r="HW81" s="54"/>
      <c r="HX81" s="54"/>
      <c r="HY81" s="54"/>
      <c r="HZ81" s="54"/>
      <c r="IA81" s="54"/>
      <c r="IB81" s="54"/>
      <c r="IC81" s="54"/>
      <c r="ID81" s="54"/>
      <c r="IE81" s="54"/>
      <c r="IF81" s="54"/>
      <c r="IG81" s="54"/>
      <c r="IH81" s="54"/>
      <c r="II81" s="54"/>
      <c r="IJ81" s="54"/>
      <c r="IK81" s="54"/>
      <c r="IL81" s="54"/>
      <c r="IM81" s="54"/>
      <c r="IN81" s="54"/>
      <c r="IO81" s="54"/>
      <c r="IP81" s="54"/>
      <c r="IQ81" s="54"/>
      <c r="IR81" s="54"/>
      <c r="IS81" s="54"/>
      <c r="IT81" s="54"/>
      <c r="IU81" s="54"/>
      <c r="IV81" s="54"/>
      <c r="IW81" s="54"/>
      <c r="IX81" s="54"/>
      <c r="IY81" s="54"/>
      <c r="IZ81" s="54"/>
      <c r="JA81" s="54"/>
      <c r="JB81" s="54"/>
      <c r="JC81" s="54"/>
      <c r="JD81" s="54"/>
      <c r="JE81" s="54"/>
      <c r="JF81" s="54"/>
      <c r="JG81" s="54"/>
      <c r="JH81" s="54"/>
      <c r="JI81" s="54"/>
      <c r="JJ81" s="54"/>
      <c r="JK81" s="54"/>
      <c r="JL81" s="54"/>
      <c r="JM81" s="54"/>
      <c r="JN81" s="54"/>
      <c r="JO81" s="54"/>
      <c r="JP81" s="54"/>
      <c r="JQ81" s="54"/>
      <c r="JR81" s="54"/>
      <c r="JS81" s="54"/>
      <c r="JT81" s="54"/>
      <c r="JU81" s="54"/>
      <c r="JV81" s="54"/>
      <c r="JW81" s="54"/>
      <c r="JX81" s="54"/>
      <c r="JY81" s="54"/>
      <c r="JZ81" s="54"/>
      <c r="KA81" s="54"/>
      <c r="KB81" s="54"/>
      <c r="KC81" s="54"/>
      <c r="KD81" s="54"/>
      <c r="KE81" s="54"/>
      <c r="KF81" s="54"/>
      <c r="KG81" s="54"/>
      <c r="KH81" s="54"/>
      <c r="KI81" s="54"/>
      <c r="KJ81" s="54"/>
      <c r="KK81" s="54"/>
      <c r="KL81" s="54"/>
      <c r="KM81" s="54"/>
      <c r="KN81" s="54"/>
      <c r="KO81" s="54"/>
      <c r="KP81" s="54"/>
      <c r="KQ81" s="54"/>
      <c r="KR81" s="54"/>
      <c r="KS81" s="54"/>
      <c r="KT81" s="54"/>
      <c r="KU81" s="54"/>
      <c r="KV81" s="54"/>
      <c r="KW81" s="54"/>
      <c r="KX81" s="54"/>
    </row>
    <row r="82" ht="5.2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c r="BS82" s="54"/>
      <c r="BT82" s="54"/>
      <c r="BU82" s="54"/>
      <c r="BV82" s="54"/>
      <c r="BW82" s="108"/>
      <c r="BX82" s="60"/>
      <c r="EE82" s="61"/>
      <c r="EF82" s="108"/>
      <c r="EG82" s="54"/>
      <c r="EH82" s="54"/>
      <c r="EI82" s="108"/>
      <c r="EJ82" s="60"/>
      <c r="GQ82" s="61"/>
      <c r="GR82" s="108"/>
      <c r="GS82" s="54"/>
      <c r="GT82" s="54"/>
      <c r="GU82" s="54"/>
      <c r="GV82" s="54"/>
      <c r="GW82" s="54"/>
      <c r="GX82" s="54"/>
      <c r="GY82" s="54"/>
      <c r="GZ82" s="54"/>
      <c r="HA82" s="54"/>
      <c r="HB82" s="54"/>
      <c r="HC82" s="54"/>
      <c r="HD82" s="54"/>
      <c r="HE82" s="54"/>
      <c r="HF82" s="54"/>
      <c r="HG82" s="54"/>
      <c r="HH82" s="54"/>
      <c r="HI82" s="54"/>
      <c r="HJ82" s="54"/>
      <c r="HK82" s="54"/>
      <c r="HL82" s="54"/>
      <c r="HM82" s="54"/>
      <c r="HN82" s="54"/>
      <c r="HO82" s="54"/>
      <c r="HP82" s="54"/>
      <c r="HQ82" s="54"/>
      <c r="HR82" s="54"/>
      <c r="HS82" s="54"/>
      <c r="HT82" s="54"/>
      <c r="HU82" s="54"/>
      <c r="HV82" s="54"/>
      <c r="HW82" s="54"/>
      <c r="HX82" s="54"/>
      <c r="HY82" s="54"/>
      <c r="HZ82" s="54"/>
      <c r="IA82" s="54"/>
      <c r="IB82" s="54"/>
      <c r="IC82" s="54"/>
      <c r="ID82" s="54"/>
      <c r="IE82" s="54"/>
      <c r="IF82" s="54"/>
      <c r="IG82" s="54"/>
      <c r="IH82" s="54"/>
      <c r="II82" s="54"/>
      <c r="IJ82" s="54"/>
      <c r="IK82" s="54"/>
      <c r="IL82" s="54"/>
      <c r="IM82" s="54"/>
      <c r="IN82" s="54"/>
      <c r="IO82" s="54"/>
      <c r="IP82" s="54"/>
      <c r="IQ82" s="54"/>
      <c r="IR82" s="54"/>
      <c r="IS82" s="54"/>
      <c r="IT82" s="54"/>
      <c r="IU82" s="54"/>
      <c r="IV82" s="54"/>
      <c r="IW82" s="54"/>
      <c r="IX82" s="54"/>
      <c r="IY82" s="54"/>
      <c r="IZ82" s="54"/>
      <c r="JA82" s="54"/>
      <c r="JB82" s="54"/>
      <c r="JC82" s="54"/>
      <c r="JD82" s="54"/>
      <c r="JE82" s="54"/>
      <c r="JF82" s="54"/>
      <c r="JG82" s="54"/>
      <c r="JH82" s="54"/>
      <c r="JI82" s="54"/>
      <c r="JJ82" s="54"/>
      <c r="JK82" s="54"/>
      <c r="JL82" s="54"/>
      <c r="JM82" s="54"/>
      <c r="JN82" s="54"/>
      <c r="JO82" s="54"/>
      <c r="JP82" s="54"/>
      <c r="JQ82" s="54"/>
      <c r="JR82" s="54"/>
      <c r="JS82" s="54"/>
      <c r="JT82" s="54"/>
      <c r="JU82" s="54"/>
      <c r="JV82" s="54"/>
      <c r="JW82" s="54"/>
      <c r="JX82" s="54"/>
      <c r="JY82" s="54"/>
      <c r="JZ82" s="54"/>
      <c r="KA82" s="54"/>
      <c r="KB82" s="54"/>
      <c r="KC82" s="54"/>
      <c r="KD82" s="54"/>
      <c r="KE82" s="54"/>
      <c r="KF82" s="54"/>
      <c r="KG82" s="54"/>
      <c r="KH82" s="54"/>
      <c r="KI82" s="54"/>
      <c r="KJ82" s="54"/>
      <c r="KK82" s="54"/>
      <c r="KL82" s="54"/>
      <c r="KM82" s="54"/>
      <c r="KN82" s="54"/>
      <c r="KO82" s="54"/>
      <c r="KP82" s="54"/>
      <c r="KQ82" s="54"/>
      <c r="KR82" s="54"/>
      <c r="KS82" s="54"/>
      <c r="KT82" s="54"/>
      <c r="KU82" s="54"/>
      <c r="KV82" s="54"/>
      <c r="KW82" s="54"/>
      <c r="KX82" s="54"/>
    </row>
    <row r="83" ht="5.2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c r="BU83" s="54"/>
      <c r="BV83" s="54"/>
      <c r="BW83" s="108"/>
      <c r="BX83" s="110" t="s">
        <v>2</v>
      </c>
      <c r="DB83" s="111" t="s">
        <v>4</v>
      </c>
      <c r="EE83" s="61"/>
      <c r="EF83" s="108"/>
      <c r="EG83" s="54"/>
      <c r="EH83" s="54"/>
      <c r="EI83" s="108"/>
      <c r="EJ83" s="110" t="s">
        <v>2</v>
      </c>
      <c r="FN83" s="111" t="s">
        <v>4</v>
      </c>
      <c r="GQ83" s="61"/>
      <c r="GR83" s="108"/>
      <c r="GS83" s="54"/>
      <c r="GT83" s="54"/>
      <c r="GU83" s="54"/>
      <c r="GV83" s="54"/>
      <c r="GW83" s="54"/>
      <c r="GX83" s="54"/>
      <c r="GY83" s="54"/>
      <c r="GZ83" s="54"/>
      <c r="HA83" s="54"/>
      <c r="HB83" s="54"/>
      <c r="HC83" s="54"/>
      <c r="HD83" s="54"/>
      <c r="HE83" s="54"/>
      <c r="HF83" s="54"/>
      <c r="HG83" s="54"/>
      <c r="HH83" s="54"/>
      <c r="HI83" s="54"/>
      <c r="HJ83" s="54"/>
      <c r="HK83" s="54"/>
      <c r="HL83" s="54"/>
      <c r="HM83" s="54"/>
      <c r="HN83" s="54"/>
      <c r="HO83" s="54"/>
      <c r="HP83" s="54"/>
      <c r="HQ83" s="54"/>
      <c r="HR83" s="54"/>
      <c r="HS83" s="54"/>
      <c r="HT83" s="54"/>
      <c r="HU83" s="54"/>
      <c r="HV83" s="54"/>
      <c r="HW83" s="54"/>
      <c r="HX83" s="54"/>
      <c r="HY83" s="54"/>
      <c r="HZ83" s="54"/>
      <c r="IA83" s="54"/>
      <c r="IB83" s="54"/>
      <c r="IC83" s="54"/>
      <c r="ID83" s="54"/>
      <c r="IE83" s="54"/>
      <c r="IF83" s="54"/>
      <c r="IG83" s="54"/>
      <c r="IH83" s="54"/>
      <c r="II83" s="54"/>
      <c r="IJ83" s="54"/>
      <c r="IK83" s="54"/>
      <c r="IL83" s="54"/>
      <c r="IM83" s="54"/>
      <c r="IN83" s="54"/>
      <c r="IO83" s="54"/>
      <c r="IP83" s="54"/>
      <c r="IQ83" s="54"/>
      <c r="IR83" s="54"/>
      <c r="IS83" s="54"/>
      <c r="IT83" s="54"/>
      <c r="IU83" s="54"/>
      <c r="IV83" s="54"/>
      <c r="IW83" s="54"/>
      <c r="IX83" s="54"/>
      <c r="IY83" s="54"/>
      <c r="IZ83" s="54"/>
      <c r="JA83" s="54"/>
      <c r="JB83" s="54"/>
      <c r="JC83" s="54"/>
      <c r="JD83" s="54"/>
      <c r="JE83" s="54"/>
      <c r="JF83" s="54"/>
      <c r="JG83" s="54"/>
      <c r="JH83" s="54"/>
      <c r="JI83" s="54"/>
      <c r="JJ83" s="54"/>
      <c r="JK83" s="54"/>
      <c r="JL83" s="54"/>
      <c r="JM83" s="54"/>
      <c r="JN83" s="54"/>
      <c r="JO83" s="54"/>
      <c r="JP83" s="54"/>
      <c r="JQ83" s="54"/>
      <c r="JR83" s="54"/>
      <c r="JS83" s="54"/>
      <c r="JT83" s="54"/>
      <c r="JU83" s="54"/>
      <c r="JV83" s="54"/>
      <c r="JW83" s="54"/>
      <c r="JX83" s="54"/>
      <c r="JY83" s="54"/>
      <c r="JZ83" s="54"/>
      <c r="KA83" s="54"/>
      <c r="KB83" s="54"/>
      <c r="KC83" s="54"/>
      <c r="KD83" s="54"/>
      <c r="KE83" s="54"/>
      <c r="KF83" s="54"/>
      <c r="KG83" s="54"/>
      <c r="KH83" s="54"/>
      <c r="KI83" s="54"/>
      <c r="KJ83" s="54"/>
      <c r="KK83" s="54"/>
      <c r="KL83" s="54"/>
      <c r="KM83" s="54"/>
      <c r="KN83" s="54"/>
      <c r="KO83" s="54"/>
      <c r="KP83" s="54"/>
      <c r="KQ83" s="54"/>
      <c r="KR83" s="54"/>
      <c r="KS83" s="54"/>
      <c r="KT83" s="54"/>
      <c r="KU83" s="54"/>
      <c r="KV83" s="54"/>
      <c r="KW83" s="54"/>
      <c r="KX83" s="54"/>
    </row>
    <row r="84" ht="5.2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108"/>
      <c r="BX84" s="60"/>
      <c r="EE84" s="61"/>
      <c r="EF84" s="108"/>
      <c r="EG84" s="54"/>
      <c r="EH84" s="54"/>
      <c r="EI84" s="108"/>
      <c r="EJ84" s="60"/>
      <c r="GQ84" s="61"/>
      <c r="GR84" s="108"/>
      <c r="GS84" s="54"/>
      <c r="GT84" s="54"/>
      <c r="GU84" s="54"/>
      <c r="GV84" s="54"/>
      <c r="GW84" s="54"/>
      <c r="GX84" s="54"/>
      <c r="GY84" s="54"/>
      <c r="GZ84" s="54"/>
      <c r="HA84" s="54"/>
      <c r="HB84" s="54"/>
      <c r="HC84" s="54"/>
      <c r="HD84" s="54"/>
      <c r="HE84" s="54"/>
      <c r="HF84" s="54"/>
      <c r="HG84" s="54"/>
      <c r="HH84" s="54"/>
      <c r="HI84" s="54"/>
      <c r="HJ84" s="54"/>
      <c r="HK84" s="54"/>
      <c r="HL84" s="54"/>
      <c r="HM84" s="54"/>
      <c r="HN84" s="54"/>
      <c r="HO84" s="54"/>
      <c r="HP84" s="54"/>
      <c r="HQ84" s="54"/>
      <c r="HR84" s="54"/>
      <c r="HS84" s="54"/>
      <c r="HT84" s="54"/>
      <c r="HU84" s="54"/>
      <c r="HV84" s="54"/>
      <c r="HW84" s="54"/>
      <c r="HX84" s="54"/>
      <c r="HY84" s="54"/>
      <c r="HZ84" s="54"/>
      <c r="IA84" s="54"/>
      <c r="IB84" s="54"/>
      <c r="IC84" s="54"/>
      <c r="ID84" s="54"/>
      <c r="IE84" s="54"/>
      <c r="IF84" s="54"/>
      <c r="IG84" s="54"/>
      <c r="IH84" s="54"/>
      <c r="II84" s="54"/>
      <c r="IJ84" s="54"/>
      <c r="IK84" s="54"/>
      <c r="IL84" s="54"/>
      <c r="IM84" s="54"/>
      <c r="IN84" s="54"/>
      <c r="IO84" s="54"/>
      <c r="IP84" s="54"/>
      <c r="IQ84" s="54"/>
      <c r="IR84" s="54"/>
      <c r="IS84" s="54"/>
      <c r="IT84" s="54"/>
      <c r="IU84" s="54"/>
      <c r="IV84" s="54"/>
      <c r="IW84" s="54"/>
      <c r="IX84" s="54"/>
      <c r="IY84" s="54"/>
      <c r="IZ84" s="54"/>
      <c r="JA84" s="54"/>
      <c r="JB84" s="54"/>
      <c r="JC84" s="54"/>
      <c r="JD84" s="54"/>
      <c r="JE84" s="54"/>
      <c r="JF84" s="54"/>
      <c r="JG84" s="54"/>
      <c r="JH84" s="54"/>
      <c r="JI84" s="54"/>
      <c r="JJ84" s="54"/>
      <c r="JK84" s="54"/>
      <c r="JL84" s="54"/>
      <c r="JM84" s="54"/>
      <c r="JN84" s="54"/>
      <c r="JO84" s="54"/>
      <c r="JP84" s="54"/>
      <c r="JQ84" s="54"/>
      <c r="JR84" s="54"/>
      <c r="JS84" s="54"/>
      <c r="JT84" s="54"/>
      <c r="JU84" s="54"/>
      <c r="JV84" s="54"/>
      <c r="JW84" s="54"/>
      <c r="JX84" s="54"/>
      <c r="JY84" s="54"/>
      <c r="JZ84" s="54"/>
      <c r="KA84" s="54"/>
      <c r="KB84" s="54"/>
      <c r="KC84" s="54"/>
      <c r="KD84" s="54"/>
      <c r="KE84" s="54"/>
      <c r="KF84" s="54"/>
      <c r="KG84" s="54"/>
      <c r="KH84" s="54"/>
      <c r="KI84" s="54"/>
      <c r="KJ84" s="54"/>
      <c r="KK84" s="54"/>
      <c r="KL84" s="54"/>
      <c r="KM84" s="54"/>
      <c r="KN84" s="54"/>
      <c r="KO84" s="54"/>
      <c r="KP84" s="54"/>
      <c r="KQ84" s="54"/>
      <c r="KR84" s="54"/>
      <c r="KS84" s="54"/>
      <c r="KT84" s="54"/>
      <c r="KU84" s="54"/>
      <c r="KV84" s="54"/>
      <c r="KW84" s="54"/>
      <c r="KX84" s="54"/>
    </row>
    <row r="85" ht="5.2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c r="BS85" s="54"/>
      <c r="BT85" s="54"/>
      <c r="BU85" s="54"/>
      <c r="BV85" s="54"/>
      <c r="BW85" s="108"/>
      <c r="BX85" s="60"/>
      <c r="EE85" s="61"/>
      <c r="EF85" s="108"/>
      <c r="EG85" s="54"/>
      <c r="EH85" s="54"/>
      <c r="EI85" s="108"/>
      <c r="EJ85" s="60"/>
      <c r="GQ85" s="61"/>
      <c r="GR85" s="108"/>
      <c r="GS85" s="54"/>
      <c r="GT85" s="54"/>
      <c r="GU85" s="54"/>
      <c r="GV85" s="54"/>
      <c r="GW85" s="54"/>
      <c r="GX85" s="54"/>
      <c r="GY85" s="54"/>
      <c r="GZ85" s="54"/>
      <c r="HA85" s="54"/>
      <c r="HB85" s="54"/>
      <c r="HC85" s="54"/>
      <c r="HD85" s="54"/>
      <c r="HE85" s="54"/>
      <c r="HF85" s="54"/>
      <c r="HG85" s="54"/>
      <c r="HH85" s="54"/>
      <c r="HI85" s="54"/>
      <c r="HJ85" s="54"/>
      <c r="HK85" s="54"/>
      <c r="HL85" s="54"/>
      <c r="HM85" s="54"/>
      <c r="HN85" s="54"/>
      <c r="HO85" s="54"/>
      <c r="HP85" s="54"/>
      <c r="HQ85" s="54"/>
      <c r="HR85" s="54"/>
      <c r="HS85" s="54"/>
      <c r="HT85" s="54"/>
      <c r="HU85" s="54"/>
      <c r="HV85" s="54"/>
      <c r="HW85" s="54"/>
      <c r="HX85" s="54"/>
      <c r="HY85" s="54"/>
      <c r="HZ85" s="54"/>
      <c r="IA85" s="54"/>
      <c r="IB85" s="54"/>
      <c r="IC85" s="54"/>
      <c r="ID85" s="54"/>
      <c r="IE85" s="54"/>
      <c r="IF85" s="54"/>
      <c r="IG85" s="54"/>
      <c r="IH85" s="54"/>
      <c r="II85" s="54"/>
      <c r="IJ85" s="54"/>
      <c r="IK85" s="54"/>
      <c r="IL85" s="54"/>
      <c r="IM85" s="54"/>
      <c r="IN85" s="54"/>
      <c r="IO85" s="54"/>
      <c r="IP85" s="54"/>
      <c r="IQ85" s="54"/>
      <c r="IR85" s="54"/>
      <c r="IS85" s="54"/>
      <c r="IT85" s="54"/>
      <c r="IU85" s="54"/>
      <c r="IV85" s="54"/>
      <c r="IW85" s="54"/>
      <c r="IX85" s="54"/>
      <c r="IY85" s="54"/>
      <c r="IZ85" s="54"/>
      <c r="JA85" s="54"/>
      <c r="JB85" s="54"/>
      <c r="JC85" s="54"/>
      <c r="JD85" s="54"/>
      <c r="JE85" s="54"/>
      <c r="JF85" s="54"/>
      <c r="JG85" s="54"/>
      <c r="JH85" s="54"/>
      <c r="JI85" s="54"/>
      <c r="JJ85" s="54"/>
      <c r="JK85" s="54"/>
      <c r="JL85" s="54"/>
      <c r="JM85" s="54"/>
      <c r="JN85" s="54"/>
      <c r="JO85" s="54"/>
      <c r="JP85" s="54"/>
      <c r="JQ85" s="54"/>
      <c r="JR85" s="54"/>
      <c r="JS85" s="54"/>
      <c r="JT85" s="54"/>
      <c r="JU85" s="54"/>
      <c r="JV85" s="54"/>
      <c r="JW85" s="54"/>
      <c r="JX85" s="54"/>
      <c r="JY85" s="54"/>
      <c r="JZ85" s="54"/>
      <c r="KA85" s="54"/>
      <c r="KB85" s="54"/>
      <c r="KC85" s="54"/>
      <c r="KD85" s="54"/>
      <c r="KE85" s="54"/>
      <c r="KF85" s="54"/>
      <c r="KG85" s="54"/>
      <c r="KH85" s="54"/>
      <c r="KI85" s="54"/>
      <c r="KJ85" s="54"/>
      <c r="KK85" s="54"/>
      <c r="KL85" s="54"/>
      <c r="KM85" s="54"/>
      <c r="KN85" s="54"/>
      <c r="KO85" s="54"/>
      <c r="KP85" s="54"/>
      <c r="KQ85" s="54"/>
      <c r="KR85" s="54"/>
      <c r="KS85" s="54"/>
      <c r="KT85" s="54"/>
      <c r="KU85" s="54"/>
      <c r="KV85" s="54"/>
      <c r="KW85" s="54"/>
      <c r="KX85" s="54"/>
    </row>
    <row r="86" ht="5.2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c r="BS86" s="54"/>
      <c r="BT86" s="54"/>
      <c r="BU86" s="54"/>
      <c r="BV86" s="54"/>
      <c r="BW86" s="108"/>
      <c r="BX86" s="112"/>
      <c r="CF86" s="113" t="s">
        <v>57</v>
      </c>
      <c r="CH86" s="11"/>
      <c r="CI86" s="114" t="s">
        <v>58</v>
      </c>
      <c r="CK86" s="11"/>
      <c r="CL86" s="114" t="s">
        <v>59</v>
      </c>
      <c r="CO86" s="108"/>
      <c r="CX86" s="115" t="s">
        <v>3</v>
      </c>
      <c r="DF86" s="108"/>
      <c r="DG86" s="108"/>
      <c r="DH86" s="108"/>
      <c r="DI86" s="108"/>
      <c r="DJ86" s="108"/>
      <c r="DK86" s="108"/>
      <c r="DL86" s="108"/>
      <c r="DM86" s="108"/>
      <c r="DN86" s="108"/>
      <c r="DO86" s="113" t="s">
        <v>59</v>
      </c>
      <c r="DQ86" s="11"/>
      <c r="DR86" s="114" t="s">
        <v>58</v>
      </c>
      <c r="DT86" s="11"/>
      <c r="DU86" s="114" t="s">
        <v>57</v>
      </c>
      <c r="DX86" s="108"/>
      <c r="DY86" s="108"/>
      <c r="DZ86" s="108"/>
      <c r="EA86" s="108"/>
      <c r="EB86" s="108"/>
      <c r="EC86" s="108"/>
      <c r="ED86" s="108"/>
      <c r="EE86" s="116"/>
      <c r="EF86" s="108"/>
      <c r="EG86" s="54"/>
      <c r="EH86" s="54"/>
      <c r="EI86" s="108"/>
      <c r="EJ86" s="112"/>
      <c r="ER86" s="113" t="s">
        <v>57</v>
      </c>
      <c r="ET86" s="11"/>
      <c r="EU86" s="114" t="s">
        <v>58</v>
      </c>
      <c r="EW86" s="11"/>
      <c r="EX86" s="114" t="s">
        <v>59</v>
      </c>
      <c r="FA86" s="108"/>
      <c r="FJ86" s="115" t="s">
        <v>3</v>
      </c>
      <c r="FR86" s="108"/>
      <c r="FS86" s="108"/>
      <c r="FT86" s="108"/>
      <c r="FU86" s="108"/>
      <c r="FV86" s="108"/>
      <c r="FW86" s="108"/>
      <c r="FX86" s="108"/>
      <c r="FY86" s="108"/>
      <c r="FZ86" s="108"/>
      <c r="GA86" s="113" t="s">
        <v>59</v>
      </c>
      <c r="GC86" s="11"/>
      <c r="GD86" s="114" t="s">
        <v>58</v>
      </c>
      <c r="GF86" s="11"/>
      <c r="GG86" s="114" t="s">
        <v>57</v>
      </c>
      <c r="GJ86" s="108"/>
      <c r="GK86" s="108"/>
      <c r="GL86" s="108"/>
      <c r="GM86" s="108"/>
      <c r="GN86" s="108"/>
      <c r="GO86" s="108"/>
      <c r="GP86" s="108"/>
      <c r="GQ86" s="116"/>
      <c r="GR86" s="108"/>
      <c r="GS86" s="54"/>
      <c r="GT86" s="54"/>
      <c r="GU86" s="54"/>
      <c r="GV86" s="54"/>
      <c r="GW86" s="54"/>
      <c r="GX86" s="54"/>
      <c r="GY86" s="54"/>
      <c r="GZ86" s="54"/>
      <c r="HA86" s="54"/>
      <c r="HB86" s="54"/>
      <c r="HC86" s="54"/>
      <c r="HD86" s="54"/>
      <c r="HE86" s="54"/>
      <c r="HF86" s="54"/>
      <c r="HG86" s="54"/>
      <c r="HH86" s="54"/>
      <c r="HI86" s="54"/>
      <c r="HJ86" s="54"/>
      <c r="HK86" s="54"/>
      <c r="HL86" s="54"/>
      <c r="HM86" s="54"/>
      <c r="HN86" s="54"/>
      <c r="HO86" s="54"/>
      <c r="HP86" s="54"/>
      <c r="HQ86" s="54"/>
      <c r="HR86" s="54"/>
      <c r="HS86" s="54"/>
      <c r="HT86" s="54"/>
      <c r="HU86" s="54"/>
      <c r="HV86" s="54"/>
      <c r="HW86" s="54"/>
      <c r="HX86" s="54"/>
      <c r="HY86" s="54"/>
      <c r="HZ86" s="54"/>
      <c r="IA86" s="54"/>
      <c r="IB86" s="54"/>
      <c r="IC86" s="54"/>
      <c r="ID86" s="54"/>
      <c r="IE86" s="54"/>
      <c r="IF86" s="54"/>
      <c r="IG86" s="54"/>
      <c r="IH86" s="54"/>
      <c r="II86" s="54"/>
      <c r="IJ86" s="54"/>
      <c r="IK86" s="54"/>
      <c r="IL86" s="54"/>
      <c r="IM86" s="54"/>
      <c r="IN86" s="54"/>
      <c r="IO86" s="54"/>
      <c r="IP86" s="54"/>
      <c r="IQ86" s="54"/>
      <c r="IR86" s="54"/>
      <c r="IS86" s="54"/>
      <c r="IT86" s="54"/>
      <c r="IU86" s="54"/>
      <c r="IV86" s="54"/>
      <c r="IW86" s="54"/>
      <c r="IX86" s="54"/>
      <c r="IY86" s="54"/>
      <c r="IZ86" s="54"/>
      <c r="JA86" s="54"/>
      <c r="JB86" s="54"/>
      <c r="JC86" s="54"/>
      <c r="JD86" s="54"/>
      <c r="JE86" s="54"/>
      <c r="JF86" s="54"/>
      <c r="JG86" s="54"/>
      <c r="JH86" s="54"/>
      <c r="JI86" s="54"/>
      <c r="JJ86" s="54"/>
      <c r="JK86" s="54"/>
      <c r="JL86" s="54"/>
      <c r="JM86" s="54"/>
      <c r="JN86" s="54"/>
      <c r="JO86" s="54"/>
      <c r="JP86" s="54"/>
      <c r="JQ86" s="54"/>
      <c r="JR86" s="54"/>
      <c r="JS86" s="54"/>
      <c r="JT86" s="54"/>
      <c r="JU86" s="54"/>
      <c r="JV86" s="54"/>
      <c r="JW86" s="54"/>
      <c r="JX86" s="54"/>
      <c r="JY86" s="54"/>
      <c r="JZ86" s="54"/>
      <c r="KA86" s="54"/>
      <c r="KB86" s="54"/>
      <c r="KC86" s="54"/>
      <c r="KD86" s="54"/>
      <c r="KE86" s="54"/>
      <c r="KF86" s="54"/>
      <c r="KG86" s="54"/>
      <c r="KH86" s="54"/>
      <c r="KI86" s="54"/>
      <c r="KJ86" s="54"/>
      <c r="KK86" s="54"/>
      <c r="KL86" s="54"/>
      <c r="KM86" s="54"/>
      <c r="KN86" s="54"/>
      <c r="KO86" s="54"/>
      <c r="KP86" s="54"/>
      <c r="KQ86" s="54"/>
      <c r="KR86" s="54"/>
      <c r="KS86" s="54"/>
      <c r="KT86" s="54"/>
      <c r="KU86" s="54"/>
      <c r="KV86" s="54"/>
      <c r="KW86" s="54"/>
      <c r="KX86" s="54"/>
    </row>
    <row r="87" ht="5.2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54"/>
      <c r="BU87" s="54"/>
      <c r="BV87" s="54"/>
      <c r="BW87" s="108"/>
      <c r="BX87" s="60"/>
      <c r="CH87" s="11"/>
      <c r="CI87" s="10"/>
      <c r="CK87" s="11"/>
      <c r="CL87" s="10"/>
      <c r="DF87" s="108"/>
      <c r="DG87" s="108"/>
      <c r="DH87" s="108"/>
      <c r="DI87" s="108"/>
      <c r="DJ87" s="108"/>
      <c r="DK87" s="108"/>
      <c r="DL87" s="108"/>
      <c r="DM87" s="108"/>
      <c r="DN87" s="108"/>
      <c r="DQ87" s="11"/>
      <c r="DR87" s="10"/>
      <c r="DT87" s="11"/>
      <c r="DU87" s="10"/>
      <c r="DX87" s="108"/>
      <c r="DY87" s="108"/>
      <c r="DZ87" s="108"/>
      <c r="EA87" s="108"/>
      <c r="EB87" s="108"/>
      <c r="EC87" s="108"/>
      <c r="ED87" s="108"/>
      <c r="EE87" s="116"/>
      <c r="EF87" s="108"/>
      <c r="EG87" s="54"/>
      <c r="EH87" s="54"/>
      <c r="EI87" s="108"/>
      <c r="EJ87" s="60"/>
      <c r="ET87" s="11"/>
      <c r="EU87" s="10"/>
      <c r="EW87" s="11"/>
      <c r="EX87" s="10"/>
      <c r="FR87" s="108"/>
      <c r="FS87" s="108"/>
      <c r="FT87" s="108"/>
      <c r="FU87" s="108"/>
      <c r="FV87" s="108"/>
      <c r="FW87" s="108"/>
      <c r="FX87" s="108"/>
      <c r="FY87" s="108"/>
      <c r="FZ87" s="108"/>
      <c r="GC87" s="11"/>
      <c r="GD87" s="10"/>
      <c r="GF87" s="11"/>
      <c r="GG87" s="10"/>
      <c r="GJ87" s="108"/>
      <c r="GK87" s="108"/>
      <c r="GL87" s="108"/>
      <c r="GM87" s="108"/>
      <c r="GN87" s="108"/>
      <c r="GO87" s="108"/>
      <c r="GP87" s="108"/>
      <c r="GQ87" s="116"/>
      <c r="GR87" s="108"/>
      <c r="GS87" s="54"/>
      <c r="GT87" s="54"/>
      <c r="GU87" s="54"/>
      <c r="GV87" s="54"/>
      <c r="GW87" s="54"/>
      <c r="GX87" s="54"/>
      <c r="GY87" s="54"/>
      <c r="GZ87" s="54"/>
      <c r="HA87" s="54"/>
      <c r="HB87" s="54"/>
      <c r="HC87" s="54"/>
      <c r="HD87" s="54"/>
      <c r="HE87" s="54"/>
      <c r="HF87" s="54"/>
      <c r="HG87" s="54"/>
      <c r="HH87" s="54"/>
      <c r="HI87" s="54"/>
      <c r="HJ87" s="54"/>
      <c r="HK87" s="54"/>
      <c r="HL87" s="54"/>
      <c r="HM87" s="54"/>
      <c r="HN87" s="54"/>
      <c r="HO87" s="54"/>
      <c r="HP87" s="54"/>
      <c r="HQ87" s="54"/>
      <c r="HR87" s="54"/>
      <c r="HS87" s="54"/>
      <c r="HT87" s="54"/>
      <c r="HU87" s="54"/>
      <c r="HV87" s="54"/>
      <c r="HW87" s="54"/>
      <c r="HX87" s="54"/>
      <c r="HY87" s="54"/>
      <c r="HZ87" s="54"/>
      <c r="IA87" s="54"/>
      <c r="IB87" s="54"/>
      <c r="IC87" s="54"/>
      <c r="ID87" s="54"/>
      <c r="IE87" s="54"/>
      <c r="IF87" s="54"/>
      <c r="IG87" s="54"/>
      <c r="IH87" s="54"/>
      <c r="II87" s="54"/>
      <c r="IJ87" s="54"/>
      <c r="IK87" s="54"/>
      <c r="IL87" s="54"/>
      <c r="IM87" s="54"/>
      <c r="IN87" s="54"/>
      <c r="IO87" s="54"/>
      <c r="IP87" s="54"/>
      <c r="IQ87" s="54"/>
      <c r="IR87" s="54"/>
      <c r="IS87" s="54"/>
      <c r="IT87" s="54"/>
      <c r="IU87" s="54"/>
      <c r="IV87" s="54"/>
      <c r="IW87" s="54"/>
      <c r="IX87" s="54"/>
      <c r="IY87" s="54"/>
      <c r="IZ87" s="54"/>
      <c r="JA87" s="54"/>
      <c r="JB87" s="54"/>
      <c r="JC87" s="54"/>
      <c r="JD87" s="54"/>
      <c r="JE87" s="54"/>
      <c r="JF87" s="54"/>
      <c r="JG87" s="54"/>
      <c r="JH87" s="54"/>
      <c r="JI87" s="54"/>
      <c r="JJ87" s="54"/>
      <c r="JK87" s="54"/>
      <c r="JL87" s="54"/>
      <c r="JM87" s="54"/>
      <c r="JN87" s="54"/>
      <c r="JO87" s="54"/>
      <c r="JP87" s="54"/>
      <c r="JQ87" s="54"/>
      <c r="JR87" s="54"/>
      <c r="JS87" s="54"/>
      <c r="JT87" s="54"/>
      <c r="JU87" s="54"/>
      <c r="JV87" s="54"/>
      <c r="JW87" s="54"/>
      <c r="JX87" s="54"/>
      <c r="JY87" s="54"/>
      <c r="JZ87" s="54"/>
      <c r="KA87" s="54"/>
      <c r="KB87" s="54"/>
      <c r="KC87" s="54"/>
      <c r="KD87" s="54"/>
      <c r="KE87" s="54"/>
      <c r="KF87" s="54"/>
      <c r="KG87" s="54"/>
      <c r="KH87" s="54"/>
      <c r="KI87" s="54"/>
      <c r="KJ87" s="54"/>
      <c r="KK87" s="54"/>
      <c r="KL87" s="54"/>
      <c r="KM87" s="54"/>
      <c r="KN87" s="54"/>
      <c r="KO87" s="54"/>
      <c r="KP87" s="54"/>
      <c r="KQ87" s="54"/>
      <c r="KR87" s="54"/>
      <c r="KS87" s="54"/>
      <c r="KT87" s="54"/>
      <c r="KU87" s="54"/>
      <c r="KV87" s="54"/>
      <c r="KW87" s="54"/>
      <c r="KX87" s="54"/>
    </row>
    <row r="88" ht="5.2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c r="BS88" s="54"/>
      <c r="BT88" s="54"/>
      <c r="BU88" s="54"/>
      <c r="BV88" s="54"/>
      <c r="BW88" s="108"/>
      <c r="BX88" s="70"/>
      <c r="BY88" s="71"/>
      <c r="BZ88" s="71"/>
      <c r="CA88" s="71"/>
      <c r="CB88" s="71"/>
      <c r="CC88" s="71"/>
      <c r="CD88" s="71"/>
      <c r="CE88" s="71"/>
      <c r="CF88" s="71"/>
      <c r="CG88" s="71"/>
      <c r="CH88" s="72"/>
      <c r="CI88" s="73"/>
      <c r="CJ88" s="71"/>
      <c r="CK88" s="72"/>
      <c r="CL88" s="73"/>
      <c r="CM88" s="71"/>
      <c r="CN88" s="71"/>
      <c r="CO88" s="71"/>
      <c r="CP88" s="71"/>
      <c r="CQ88" s="71"/>
      <c r="CR88" s="71"/>
      <c r="CS88" s="71"/>
      <c r="CT88" s="71"/>
      <c r="CU88" s="71"/>
      <c r="CV88" s="71"/>
      <c r="CW88" s="71"/>
      <c r="CX88" s="71"/>
      <c r="CY88" s="71"/>
      <c r="CZ88" s="71"/>
      <c r="DA88" s="71"/>
      <c r="DB88" s="71"/>
      <c r="DC88" s="71"/>
      <c r="DD88" s="71"/>
      <c r="DE88" s="71"/>
      <c r="DF88" s="117"/>
      <c r="DG88" s="117"/>
      <c r="DH88" s="117"/>
      <c r="DI88" s="117"/>
      <c r="DJ88" s="117"/>
      <c r="DK88" s="117"/>
      <c r="DL88" s="117"/>
      <c r="DM88" s="117"/>
      <c r="DN88" s="117"/>
      <c r="DO88" s="71"/>
      <c r="DP88" s="71"/>
      <c r="DQ88" s="72"/>
      <c r="DR88" s="73"/>
      <c r="DS88" s="71"/>
      <c r="DT88" s="72"/>
      <c r="DU88" s="73"/>
      <c r="DV88" s="71"/>
      <c r="DW88" s="71"/>
      <c r="DX88" s="117"/>
      <c r="DY88" s="117"/>
      <c r="DZ88" s="117"/>
      <c r="EA88" s="117"/>
      <c r="EB88" s="117"/>
      <c r="EC88" s="117"/>
      <c r="ED88" s="117"/>
      <c r="EE88" s="118"/>
      <c r="EF88" s="108"/>
      <c r="EG88" s="54"/>
      <c r="EH88" s="54"/>
      <c r="EI88" s="108"/>
      <c r="EJ88" s="70"/>
      <c r="EK88" s="71"/>
      <c r="EL88" s="71"/>
      <c r="EM88" s="71"/>
      <c r="EN88" s="71"/>
      <c r="EO88" s="71"/>
      <c r="EP88" s="71"/>
      <c r="EQ88" s="71"/>
      <c r="ER88" s="71"/>
      <c r="ES88" s="71"/>
      <c r="ET88" s="72"/>
      <c r="EU88" s="73"/>
      <c r="EV88" s="71"/>
      <c r="EW88" s="72"/>
      <c r="EX88" s="73"/>
      <c r="EY88" s="71"/>
      <c r="EZ88" s="71"/>
      <c r="FA88" s="71"/>
      <c r="FB88" s="71"/>
      <c r="FC88" s="71"/>
      <c r="FD88" s="71"/>
      <c r="FE88" s="71"/>
      <c r="FF88" s="71"/>
      <c r="FG88" s="71"/>
      <c r="FH88" s="71"/>
      <c r="FI88" s="71"/>
      <c r="FJ88" s="71"/>
      <c r="FK88" s="71"/>
      <c r="FL88" s="71"/>
      <c r="FM88" s="71"/>
      <c r="FN88" s="71"/>
      <c r="FO88" s="71"/>
      <c r="FP88" s="71"/>
      <c r="FQ88" s="71"/>
      <c r="FR88" s="117"/>
      <c r="FS88" s="117"/>
      <c r="FT88" s="117"/>
      <c r="FU88" s="117"/>
      <c r="FV88" s="117"/>
      <c r="FW88" s="117"/>
      <c r="FX88" s="117"/>
      <c r="FY88" s="117"/>
      <c r="FZ88" s="117"/>
      <c r="GA88" s="71"/>
      <c r="GB88" s="71"/>
      <c r="GC88" s="72"/>
      <c r="GD88" s="73"/>
      <c r="GE88" s="71"/>
      <c r="GF88" s="72"/>
      <c r="GG88" s="73"/>
      <c r="GH88" s="71"/>
      <c r="GI88" s="71"/>
      <c r="GJ88" s="117"/>
      <c r="GK88" s="117"/>
      <c r="GL88" s="117"/>
      <c r="GM88" s="117"/>
      <c r="GN88" s="117"/>
      <c r="GO88" s="117"/>
      <c r="GP88" s="117"/>
      <c r="GQ88" s="118"/>
      <c r="GR88" s="108"/>
      <c r="GS88" s="54"/>
      <c r="GT88" s="54"/>
      <c r="GU88" s="54"/>
      <c r="GV88" s="54"/>
      <c r="GW88" s="54"/>
      <c r="GX88" s="54"/>
      <c r="GY88" s="54"/>
      <c r="GZ88" s="54"/>
      <c r="HA88" s="54"/>
      <c r="HB88" s="54"/>
      <c r="HC88" s="54"/>
      <c r="HD88" s="54"/>
      <c r="HE88" s="54"/>
      <c r="HF88" s="54"/>
      <c r="HG88" s="54"/>
      <c r="HH88" s="54"/>
      <c r="HI88" s="54"/>
      <c r="HJ88" s="54"/>
      <c r="HK88" s="54"/>
      <c r="HL88" s="54"/>
      <c r="HM88" s="54"/>
      <c r="HN88" s="54"/>
      <c r="HO88" s="54"/>
      <c r="HP88" s="54"/>
      <c r="HQ88" s="54"/>
      <c r="HR88" s="54"/>
      <c r="HS88" s="54"/>
      <c r="HT88" s="54"/>
      <c r="HU88" s="54"/>
      <c r="HV88" s="54"/>
      <c r="HW88" s="54"/>
      <c r="HX88" s="54"/>
      <c r="HY88" s="54"/>
      <c r="HZ88" s="54"/>
      <c r="IA88" s="54"/>
      <c r="IB88" s="54"/>
      <c r="IC88" s="54"/>
      <c r="ID88" s="54"/>
      <c r="IE88" s="54"/>
      <c r="IF88" s="54"/>
      <c r="IG88" s="54"/>
      <c r="IH88" s="54"/>
      <c r="II88" s="54"/>
      <c r="IJ88" s="54"/>
      <c r="IK88" s="54"/>
      <c r="IL88" s="54"/>
      <c r="IM88" s="54"/>
      <c r="IN88" s="54"/>
      <c r="IO88" s="54"/>
      <c r="IP88" s="54"/>
      <c r="IQ88" s="54"/>
      <c r="IR88" s="54"/>
      <c r="IS88" s="54"/>
      <c r="IT88" s="54"/>
      <c r="IU88" s="54"/>
      <c r="IV88" s="54"/>
      <c r="IW88" s="54"/>
      <c r="IX88" s="54"/>
      <c r="IY88" s="54"/>
      <c r="IZ88" s="54"/>
      <c r="JA88" s="54"/>
      <c r="JB88" s="54"/>
      <c r="JC88" s="54"/>
      <c r="JD88" s="54"/>
      <c r="JE88" s="54"/>
      <c r="JF88" s="54"/>
      <c r="JG88" s="54"/>
      <c r="JH88" s="54"/>
      <c r="JI88" s="54"/>
      <c r="JJ88" s="54"/>
      <c r="JK88" s="54"/>
      <c r="JL88" s="54"/>
      <c r="JM88" s="54"/>
      <c r="JN88" s="54"/>
      <c r="JO88" s="54"/>
      <c r="JP88" s="54"/>
      <c r="JQ88" s="54"/>
      <c r="JR88" s="54"/>
      <c r="JS88" s="54"/>
      <c r="JT88" s="54"/>
      <c r="JU88" s="54"/>
      <c r="JV88" s="54"/>
      <c r="JW88" s="54"/>
      <c r="JX88" s="54"/>
      <c r="JY88" s="54"/>
      <c r="JZ88" s="54"/>
      <c r="KA88" s="54"/>
      <c r="KB88" s="54"/>
      <c r="KC88" s="54"/>
      <c r="KD88" s="54"/>
      <c r="KE88" s="54"/>
      <c r="KF88" s="54"/>
      <c r="KG88" s="54"/>
      <c r="KH88" s="54"/>
      <c r="KI88" s="54"/>
      <c r="KJ88" s="54"/>
      <c r="KK88" s="54"/>
      <c r="KL88" s="54"/>
      <c r="KM88" s="54"/>
      <c r="KN88" s="54"/>
      <c r="KO88" s="54"/>
      <c r="KP88" s="54"/>
      <c r="KQ88" s="54"/>
      <c r="KR88" s="54"/>
      <c r="KS88" s="54"/>
      <c r="KT88" s="54"/>
      <c r="KU88" s="54"/>
      <c r="KV88" s="54"/>
      <c r="KW88" s="54"/>
      <c r="KX88" s="54"/>
    </row>
    <row r="89" ht="5.2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119" t="str">
        <f>if($DD$6=0,"",qualreseeding!AC2)</f>
        <v/>
      </c>
      <c r="BX89" s="120" t="str">
        <f t="array" ref="BX89">xlookup(BW89,qualdata!$M$2:$M$17,qualdata!$O$2:$O$17,"")</f>
        <v/>
      </c>
      <c r="CB89" s="79" t="str">
        <f t="array" ref="CB89">xlookup(BW89,qualdata!$M$2:$M$17,qualdata!$N$2:$N$17,"")</f>
        <v/>
      </c>
      <c r="CX89" s="67"/>
      <c r="DA89" s="11"/>
      <c r="DB89" s="80"/>
      <c r="DF89" s="81" t="str">
        <f t="array" ref="DF89">xlookup(EF89,qualdata!$M$2:$M$17,qualdata!$N$2:$N$17,"")</f>
        <v/>
      </c>
      <c r="EB89" s="121" t="str">
        <f t="array" ref="EB89">xlookup(EF89,qualdata!$M$2:$M$17,qualdata!$O$2:$O$17,"")</f>
        <v/>
      </c>
      <c r="EE89" s="61"/>
      <c r="EF89" s="119" t="str">
        <f>if($DD$6=0,"",qualreseeding!AD2)</f>
        <v/>
      </c>
      <c r="EG89" s="54"/>
      <c r="EH89" s="54"/>
      <c r="EI89" s="119" t="str">
        <f>if($DD$6=0,"",qualreseeding!AC11)</f>
        <v/>
      </c>
      <c r="EJ89" s="120" t="str">
        <f t="array" ref="EJ89">xlookup(EI89,qualdata!$M$2:$M$17,qualdata!$O$2:$O$17,"")</f>
        <v/>
      </c>
      <c r="EN89" s="79" t="str">
        <f t="array" ref="EN89">xlookup(EI89,qualdata!$M$2:$M$17,qualdata!$N$2:$N$17,"")</f>
        <v/>
      </c>
      <c r="FJ89" s="67"/>
      <c r="FM89" s="11"/>
      <c r="FN89" s="80"/>
      <c r="FR89" s="81" t="str">
        <f t="array" ref="FR89">xlookup(GR89,qualdata!$M$2:$M$17,qualdata!$N$2:$N$17,"")</f>
        <v/>
      </c>
      <c r="GN89" s="121" t="str">
        <f t="array" ref="GN89">xlookup(GR89,qualdata!$M$2:$M$17,qualdata!$O$2:$O$17,"")</f>
        <v/>
      </c>
      <c r="GQ89" s="61"/>
      <c r="GR89" s="119" t="str">
        <f>if($DD$6=0,"",qualreseeding!AD11)</f>
        <v/>
      </c>
      <c r="GS89" s="54"/>
      <c r="GT89" s="54"/>
      <c r="GU89" s="54"/>
      <c r="GV89" s="54"/>
      <c r="GW89" s="54"/>
      <c r="GX89" s="54"/>
      <c r="GY89" s="54"/>
      <c r="GZ89" s="54"/>
      <c r="HA89" s="54"/>
      <c r="HB89" s="54"/>
      <c r="HC89" s="54"/>
      <c r="HD89" s="54"/>
      <c r="HE89" s="54"/>
      <c r="HF89" s="54"/>
      <c r="HG89" s="54"/>
      <c r="HH89" s="54"/>
      <c r="HI89" s="54"/>
      <c r="HJ89" s="54"/>
      <c r="HK89" s="54"/>
      <c r="HL89" s="54"/>
      <c r="HM89" s="54"/>
      <c r="HN89" s="54"/>
      <c r="HO89" s="54"/>
      <c r="HP89" s="54"/>
      <c r="HQ89" s="54"/>
      <c r="HR89" s="54"/>
      <c r="HS89" s="54"/>
      <c r="HT89" s="54"/>
      <c r="HU89" s="54"/>
      <c r="HV89" s="54"/>
      <c r="HW89" s="54"/>
      <c r="HX89" s="54"/>
      <c r="HY89" s="54"/>
      <c r="HZ89" s="54"/>
      <c r="IA89" s="54"/>
      <c r="IB89" s="54"/>
      <c r="IC89" s="54"/>
      <c r="ID89" s="54"/>
      <c r="IE89" s="54"/>
      <c r="IF89" s="54"/>
      <c r="IG89" s="54"/>
      <c r="IH89" s="54"/>
      <c r="II89" s="54"/>
      <c r="IJ89" s="54"/>
      <c r="IK89" s="54"/>
      <c r="IL89" s="54"/>
      <c r="IM89" s="54"/>
      <c r="IN89" s="54"/>
      <c r="IO89" s="54"/>
      <c r="IP89" s="54"/>
      <c r="IQ89" s="54"/>
      <c r="IR89" s="54"/>
      <c r="IS89" s="54"/>
      <c r="IT89" s="54"/>
      <c r="IU89" s="54"/>
      <c r="IV89" s="54"/>
      <c r="IW89" s="54"/>
      <c r="IX89" s="54"/>
      <c r="IY89" s="54"/>
      <c r="IZ89" s="54"/>
      <c r="JA89" s="54"/>
      <c r="JB89" s="54"/>
      <c r="JC89" s="54"/>
      <c r="JD89" s="54"/>
      <c r="JE89" s="54"/>
      <c r="JF89" s="54"/>
      <c r="JG89" s="54"/>
      <c r="JH89" s="54"/>
      <c r="JI89" s="54"/>
      <c r="JJ89" s="54"/>
      <c r="JK89" s="54"/>
      <c r="JL89" s="54"/>
      <c r="JM89" s="54"/>
      <c r="JN89" s="54"/>
      <c r="JO89" s="54"/>
      <c r="JP89" s="54"/>
      <c r="JQ89" s="54"/>
      <c r="JR89" s="54"/>
      <c r="JS89" s="54"/>
      <c r="JT89" s="54"/>
      <c r="JU89" s="54"/>
      <c r="JV89" s="54"/>
      <c r="JW89" s="54"/>
      <c r="JX89" s="54"/>
      <c r="JY89" s="54"/>
      <c r="JZ89" s="54"/>
      <c r="KA89" s="54"/>
      <c r="KB89" s="54"/>
      <c r="KC89" s="54"/>
      <c r="KD89" s="54"/>
      <c r="KE89" s="54"/>
      <c r="KF89" s="54"/>
      <c r="KG89" s="54"/>
      <c r="KH89" s="54"/>
      <c r="KI89" s="54"/>
      <c r="KJ89" s="54"/>
      <c r="KK89" s="54"/>
      <c r="KL89" s="54"/>
      <c r="KM89" s="54"/>
      <c r="KN89" s="54"/>
      <c r="KO89" s="54"/>
      <c r="KP89" s="54"/>
      <c r="KQ89" s="54"/>
      <c r="KR89" s="54"/>
      <c r="KS89" s="54"/>
      <c r="KT89" s="54"/>
      <c r="KU89" s="54"/>
      <c r="KV89" s="54"/>
      <c r="KW89" s="54"/>
      <c r="KX89" s="54"/>
    </row>
    <row r="90" ht="5.2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c r="BS90" s="54"/>
      <c r="BT90" s="54"/>
      <c r="BU90" s="54"/>
      <c r="BV90" s="54"/>
      <c r="BW90" s="108"/>
      <c r="BX90" s="60"/>
      <c r="DA90" s="11"/>
      <c r="DB90" s="10"/>
      <c r="EE90" s="61"/>
      <c r="EF90" s="108"/>
      <c r="EG90" s="54"/>
      <c r="EH90" s="54"/>
      <c r="EI90" s="108"/>
      <c r="EJ90" s="60"/>
      <c r="FM90" s="11"/>
      <c r="FN90" s="10"/>
      <c r="GQ90" s="61"/>
      <c r="GR90" s="108"/>
      <c r="GS90" s="54"/>
      <c r="GT90" s="54"/>
      <c r="GU90" s="54"/>
      <c r="GV90" s="54"/>
      <c r="GW90" s="54"/>
      <c r="GX90" s="54"/>
      <c r="GY90" s="54"/>
      <c r="GZ90" s="54"/>
      <c r="HA90" s="54"/>
      <c r="HB90" s="54"/>
      <c r="HC90" s="54"/>
      <c r="HD90" s="54"/>
      <c r="HE90" s="54"/>
      <c r="HF90" s="54"/>
      <c r="HG90" s="54"/>
      <c r="HH90" s="54"/>
      <c r="HI90" s="54"/>
      <c r="HJ90" s="54"/>
      <c r="HK90" s="54"/>
      <c r="HL90" s="54"/>
      <c r="HM90" s="54"/>
      <c r="HN90" s="54"/>
      <c r="HO90" s="54"/>
      <c r="HP90" s="54"/>
      <c r="HQ90" s="54"/>
      <c r="HR90" s="54"/>
      <c r="HS90" s="54"/>
      <c r="HT90" s="54"/>
      <c r="HU90" s="54"/>
      <c r="HV90" s="54"/>
      <c r="HW90" s="54"/>
      <c r="HX90" s="54"/>
      <c r="HY90" s="54"/>
      <c r="HZ90" s="54"/>
      <c r="IA90" s="54"/>
      <c r="IB90" s="54"/>
      <c r="IC90" s="54"/>
      <c r="ID90" s="54"/>
      <c r="IE90" s="54"/>
      <c r="IF90" s="54"/>
      <c r="IG90" s="54"/>
      <c r="IH90" s="54"/>
      <c r="II90" s="54"/>
      <c r="IJ90" s="54"/>
      <c r="IK90" s="54"/>
      <c r="IL90" s="54"/>
      <c r="IM90" s="54"/>
      <c r="IN90" s="54"/>
      <c r="IO90" s="54"/>
      <c r="IP90" s="54"/>
      <c r="IQ90" s="54"/>
      <c r="IR90" s="54"/>
      <c r="IS90" s="54"/>
      <c r="IT90" s="54"/>
      <c r="IU90" s="54"/>
      <c r="IV90" s="54"/>
      <c r="IW90" s="54"/>
      <c r="IX90" s="54"/>
      <c r="IY90" s="54"/>
      <c r="IZ90" s="54"/>
      <c r="JA90" s="54"/>
      <c r="JB90" s="54"/>
      <c r="JC90" s="54"/>
      <c r="JD90" s="54"/>
      <c r="JE90" s="54"/>
      <c r="JF90" s="54"/>
      <c r="JG90" s="54"/>
      <c r="JH90" s="54"/>
      <c r="JI90" s="54"/>
      <c r="JJ90" s="54"/>
      <c r="JK90" s="54"/>
      <c r="JL90" s="54"/>
      <c r="JM90" s="54"/>
      <c r="JN90" s="54"/>
      <c r="JO90" s="54"/>
      <c r="JP90" s="54"/>
      <c r="JQ90" s="54"/>
      <c r="JR90" s="54"/>
      <c r="JS90" s="54"/>
      <c r="JT90" s="54"/>
      <c r="JU90" s="54"/>
      <c r="JV90" s="54"/>
      <c r="JW90" s="54"/>
      <c r="JX90" s="54"/>
      <c r="JY90" s="54"/>
      <c r="JZ90" s="54"/>
      <c r="KA90" s="54"/>
      <c r="KB90" s="54"/>
      <c r="KC90" s="54"/>
      <c r="KD90" s="54"/>
      <c r="KE90" s="54"/>
      <c r="KF90" s="54"/>
      <c r="KG90" s="54"/>
      <c r="KH90" s="54"/>
      <c r="KI90" s="54"/>
      <c r="KJ90" s="54"/>
      <c r="KK90" s="54"/>
      <c r="KL90" s="54"/>
      <c r="KM90" s="54"/>
      <c r="KN90" s="54"/>
      <c r="KO90" s="54"/>
      <c r="KP90" s="54"/>
      <c r="KQ90" s="54"/>
      <c r="KR90" s="54"/>
      <c r="KS90" s="54"/>
      <c r="KT90" s="54"/>
      <c r="KU90" s="54"/>
      <c r="KV90" s="54"/>
      <c r="KW90" s="54"/>
      <c r="KX90" s="54"/>
    </row>
    <row r="91" ht="5.2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108"/>
      <c r="BX91" s="60"/>
      <c r="DA91" s="11"/>
      <c r="DB91" s="10"/>
      <c r="EE91" s="61"/>
      <c r="EF91" s="108"/>
      <c r="EG91" s="54"/>
      <c r="EH91" s="54"/>
      <c r="EI91" s="108"/>
      <c r="EJ91" s="60"/>
      <c r="FM91" s="11"/>
      <c r="FN91" s="10"/>
      <c r="GQ91" s="61"/>
      <c r="GR91" s="108"/>
      <c r="GS91" s="54"/>
      <c r="GT91" s="54"/>
      <c r="GU91" s="54"/>
      <c r="GV91" s="54"/>
      <c r="GW91" s="54"/>
      <c r="GX91" s="54"/>
      <c r="GY91" s="54"/>
      <c r="GZ91" s="54"/>
      <c r="HA91" s="54"/>
      <c r="HB91" s="54"/>
      <c r="HC91" s="54"/>
      <c r="HD91" s="54"/>
      <c r="HE91" s="54"/>
      <c r="HF91" s="54"/>
      <c r="HG91" s="54"/>
      <c r="HH91" s="54"/>
      <c r="HI91" s="54"/>
      <c r="HJ91" s="54"/>
      <c r="HK91" s="54"/>
      <c r="HL91" s="54"/>
      <c r="HM91" s="54"/>
      <c r="HN91" s="54"/>
      <c r="HO91" s="54"/>
      <c r="HP91" s="54"/>
      <c r="HQ91" s="54"/>
      <c r="HR91" s="54"/>
      <c r="HS91" s="54"/>
      <c r="HT91" s="54"/>
      <c r="HU91" s="54"/>
      <c r="HV91" s="54"/>
      <c r="HW91" s="54"/>
      <c r="HX91" s="54"/>
      <c r="HY91" s="54"/>
      <c r="HZ91" s="54"/>
      <c r="IA91" s="54"/>
      <c r="IB91" s="54"/>
      <c r="IC91" s="54"/>
      <c r="ID91" s="54"/>
      <c r="IE91" s="54"/>
      <c r="IF91" s="54"/>
      <c r="IG91" s="54"/>
      <c r="IH91" s="54"/>
      <c r="II91" s="54"/>
      <c r="IJ91" s="54"/>
      <c r="IK91" s="54"/>
      <c r="IL91" s="54"/>
      <c r="IM91" s="54"/>
      <c r="IN91" s="54"/>
      <c r="IO91" s="54"/>
      <c r="IP91" s="54"/>
      <c r="IQ91" s="54"/>
      <c r="IR91" s="54"/>
      <c r="IS91" s="54"/>
      <c r="IT91" s="54"/>
      <c r="IU91" s="54"/>
      <c r="IV91" s="54"/>
      <c r="IW91" s="54"/>
      <c r="IX91" s="54"/>
      <c r="IY91" s="54"/>
      <c r="IZ91" s="54"/>
      <c r="JA91" s="54"/>
      <c r="JB91" s="54"/>
      <c r="JC91" s="54"/>
      <c r="JD91" s="54"/>
      <c r="JE91" s="54"/>
      <c r="JF91" s="54"/>
      <c r="JG91" s="54"/>
      <c r="JH91" s="54"/>
      <c r="JI91" s="54"/>
      <c r="JJ91" s="54"/>
      <c r="JK91" s="54"/>
      <c r="JL91" s="54"/>
      <c r="JM91" s="54"/>
      <c r="JN91" s="54"/>
      <c r="JO91" s="54"/>
      <c r="JP91" s="54"/>
      <c r="JQ91" s="54"/>
      <c r="JR91" s="54"/>
      <c r="JS91" s="54"/>
      <c r="JT91" s="54"/>
      <c r="JU91" s="54"/>
      <c r="JV91" s="54"/>
      <c r="JW91" s="54"/>
      <c r="JX91" s="54"/>
      <c r="JY91" s="54"/>
      <c r="JZ91" s="54"/>
      <c r="KA91" s="54"/>
      <c r="KB91" s="54"/>
      <c r="KC91" s="54"/>
      <c r="KD91" s="54"/>
      <c r="KE91" s="54"/>
      <c r="KF91" s="54"/>
      <c r="KG91" s="54"/>
      <c r="KH91" s="54"/>
      <c r="KI91" s="54"/>
      <c r="KJ91" s="54"/>
      <c r="KK91" s="54"/>
      <c r="KL91" s="54"/>
      <c r="KM91" s="54"/>
      <c r="KN91" s="54"/>
      <c r="KO91" s="54"/>
      <c r="KP91" s="54"/>
      <c r="KQ91" s="54"/>
      <c r="KR91" s="54"/>
      <c r="KS91" s="54"/>
      <c r="KT91" s="54"/>
      <c r="KU91" s="54"/>
      <c r="KV91" s="54"/>
      <c r="KW91" s="54"/>
      <c r="KX91" s="54"/>
    </row>
    <row r="92" ht="5.2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c r="BS92" s="54"/>
      <c r="BT92" s="54"/>
      <c r="BU92" s="54"/>
      <c r="BV92" s="54"/>
      <c r="BW92" s="108"/>
      <c r="BX92" s="60"/>
      <c r="DA92" s="11"/>
      <c r="DB92" s="10"/>
      <c r="EE92" s="61"/>
      <c r="EF92" s="108"/>
      <c r="EG92" s="54"/>
      <c r="EH92" s="54"/>
      <c r="EI92" s="108"/>
      <c r="EJ92" s="60"/>
      <c r="FM92" s="11"/>
      <c r="FN92" s="10"/>
      <c r="GQ92" s="61"/>
      <c r="GR92" s="108"/>
      <c r="GS92" s="54"/>
      <c r="GT92" s="54"/>
      <c r="GU92" s="54"/>
      <c r="GV92" s="54"/>
      <c r="GW92" s="54"/>
      <c r="GX92" s="54"/>
      <c r="GY92" s="54"/>
      <c r="GZ92" s="54"/>
      <c r="HA92" s="54"/>
      <c r="HB92" s="54"/>
      <c r="HC92" s="54"/>
      <c r="HD92" s="54"/>
      <c r="HE92" s="54"/>
      <c r="HF92" s="54"/>
      <c r="HG92" s="54"/>
      <c r="HH92" s="54"/>
      <c r="HI92" s="54"/>
      <c r="HJ92" s="54"/>
      <c r="HK92" s="54"/>
      <c r="HL92" s="54"/>
      <c r="HM92" s="54"/>
      <c r="HN92" s="54"/>
      <c r="HO92" s="54"/>
      <c r="HP92" s="54"/>
      <c r="HQ92" s="54"/>
      <c r="HR92" s="54"/>
      <c r="HS92" s="54"/>
      <c r="HT92" s="54"/>
      <c r="HU92" s="54"/>
      <c r="HV92" s="54"/>
      <c r="HW92" s="54"/>
      <c r="HX92" s="54"/>
      <c r="HY92" s="54"/>
      <c r="HZ92" s="54"/>
      <c r="IA92" s="54"/>
      <c r="IB92" s="54"/>
      <c r="IC92" s="54"/>
      <c r="ID92" s="54"/>
      <c r="IE92" s="54"/>
      <c r="IF92" s="54"/>
      <c r="IG92" s="54"/>
      <c r="IH92" s="54"/>
      <c r="II92" s="54"/>
      <c r="IJ92" s="54"/>
      <c r="IK92" s="54"/>
      <c r="IL92" s="54"/>
      <c r="IM92" s="54"/>
      <c r="IN92" s="54"/>
      <c r="IO92" s="54"/>
      <c r="IP92" s="54"/>
      <c r="IQ92" s="54"/>
      <c r="IR92" s="54"/>
      <c r="IS92" s="54"/>
      <c r="IT92" s="54"/>
      <c r="IU92" s="54"/>
      <c r="IV92" s="54"/>
      <c r="IW92" s="54"/>
      <c r="IX92" s="54"/>
      <c r="IY92" s="54"/>
      <c r="IZ92" s="54"/>
      <c r="JA92" s="54"/>
      <c r="JB92" s="54"/>
      <c r="JC92" s="54"/>
      <c r="JD92" s="54"/>
      <c r="JE92" s="54"/>
      <c r="JF92" s="54"/>
      <c r="JG92" s="54"/>
      <c r="JH92" s="54"/>
      <c r="JI92" s="54"/>
      <c r="JJ92" s="54"/>
      <c r="JK92" s="54"/>
      <c r="JL92" s="54"/>
      <c r="JM92" s="54"/>
      <c r="JN92" s="54"/>
      <c r="JO92" s="54"/>
      <c r="JP92" s="54"/>
      <c r="JQ92" s="54"/>
      <c r="JR92" s="54"/>
      <c r="JS92" s="54"/>
      <c r="JT92" s="54"/>
      <c r="JU92" s="54"/>
      <c r="JV92" s="54"/>
      <c r="JW92" s="54"/>
      <c r="JX92" s="54"/>
      <c r="JY92" s="54"/>
      <c r="JZ92" s="54"/>
      <c r="KA92" s="54"/>
      <c r="KB92" s="54"/>
      <c r="KC92" s="54"/>
      <c r="KD92" s="54"/>
      <c r="KE92" s="54"/>
      <c r="KF92" s="54"/>
      <c r="KG92" s="54"/>
      <c r="KH92" s="54"/>
      <c r="KI92" s="54"/>
      <c r="KJ92" s="54"/>
      <c r="KK92" s="54"/>
      <c r="KL92" s="54"/>
      <c r="KM92" s="54"/>
      <c r="KN92" s="54"/>
      <c r="KO92" s="54"/>
      <c r="KP92" s="54"/>
      <c r="KQ92" s="54"/>
      <c r="KR92" s="54"/>
      <c r="KS92" s="54"/>
      <c r="KT92" s="54"/>
      <c r="KU92" s="54"/>
      <c r="KV92" s="54"/>
      <c r="KW92" s="54"/>
      <c r="KX92" s="54"/>
    </row>
    <row r="93" ht="5.2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c r="BL93" s="54"/>
      <c r="BM93" s="54"/>
      <c r="BN93" s="54"/>
      <c r="BO93" s="54"/>
      <c r="BP93" s="54"/>
      <c r="BQ93" s="54"/>
      <c r="BR93" s="54"/>
      <c r="BS93" s="54"/>
      <c r="BT93" s="54"/>
      <c r="BU93" s="54"/>
      <c r="BV93" s="54"/>
      <c r="BW93" s="119" t="str">
        <f>BW89</f>
        <v/>
      </c>
      <c r="BX93" s="112"/>
      <c r="CF93" s="122"/>
      <c r="CH93" s="11"/>
      <c r="CI93" s="123"/>
      <c r="CK93" s="11"/>
      <c r="CL93" s="124"/>
      <c r="CO93" s="108"/>
      <c r="CX93" s="85">
        <f>sum(CF93:CN95)</f>
        <v>0</v>
      </c>
      <c r="DA93" s="11"/>
      <c r="DB93" s="86">
        <f>sum(DO93:DW95)</f>
        <v>0</v>
      </c>
      <c r="DF93" s="108"/>
      <c r="DG93" s="108"/>
      <c r="DH93" s="108"/>
      <c r="DI93" s="108"/>
      <c r="DJ93" s="108"/>
      <c r="DK93" s="108"/>
      <c r="DL93" s="108"/>
      <c r="DM93" s="108"/>
      <c r="DN93" s="108"/>
      <c r="DO93" s="125"/>
      <c r="DQ93" s="11"/>
      <c r="DR93" s="126"/>
      <c r="DT93" s="11"/>
      <c r="DU93" s="127"/>
      <c r="DX93" s="108"/>
      <c r="DY93" s="108"/>
      <c r="DZ93" s="108"/>
      <c r="EA93" s="108"/>
      <c r="EB93" s="108"/>
      <c r="EC93" s="108"/>
      <c r="ED93" s="108"/>
      <c r="EE93" s="116"/>
      <c r="EF93" s="119" t="str">
        <f>EF89</f>
        <v/>
      </c>
      <c r="EG93" s="54"/>
      <c r="EH93" s="54"/>
      <c r="EI93" s="119" t="str">
        <f>EI89</f>
        <v/>
      </c>
      <c r="EJ93" s="112"/>
      <c r="ER93" s="122"/>
      <c r="ET93" s="11"/>
      <c r="EU93" s="127"/>
      <c r="EW93" s="11"/>
      <c r="EX93" s="124"/>
      <c r="FA93" s="108"/>
      <c r="FJ93" s="85">
        <f>sum(ER93:EZ95)</f>
        <v>0</v>
      </c>
      <c r="FM93" s="11"/>
      <c r="FN93" s="86">
        <f>sum(GA93:GI95)</f>
        <v>0</v>
      </c>
      <c r="FR93" s="108"/>
      <c r="FS93" s="108"/>
      <c r="FT93" s="108"/>
      <c r="FU93" s="108"/>
      <c r="FV93" s="108"/>
      <c r="FW93" s="108"/>
      <c r="FX93" s="108"/>
      <c r="FY93" s="108"/>
      <c r="FZ93" s="108"/>
      <c r="GA93" s="125"/>
      <c r="GC93" s="11"/>
      <c r="GD93" s="126"/>
      <c r="GF93" s="11"/>
      <c r="GG93" s="127"/>
      <c r="GJ93" s="108"/>
      <c r="GK93" s="108"/>
      <c r="GL93" s="108"/>
      <c r="GM93" s="108"/>
      <c r="GN93" s="108"/>
      <c r="GO93" s="108"/>
      <c r="GP93" s="108"/>
      <c r="GQ93" s="116"/>
      <c r="GR93" s="119" t="str">
        <f>GR89</f>
        <v/>
      </c>
      <c r="GS93" s="54"/>
      <c r="GT93" s="54"/>
      <c r="GU93" s="54"/>
      <c r="GV93" s="54"/>
      <c r="GW93" s="54"/>
      <c r="GX93" s="54"/>
      <c r="GY93" s="54"/>
      <c r="GZ93" s="54"/>
      <c r="HA93" s="54"/>
      <c r="HB93" s="54"/>
      <c r="HC93" s="54"/>
      <c r="HD93" s="54"/>
      <c r="HE93" s="54"/>
      <c r="HF93" s="54"/>
      <c r="HG93" s="54"/>
      <c r="HH93" s="54"/>
      <c r="HI93" s="54"/>
      <c r="HJ93" s="54"/>
      <c r="HK93" s="54"/>
      <c r="HL93" s="54"/>
      <c r="HM93" s="54"/>
      <c r="HN93" s="54"/>
      <c r="HO93" s="54"/>
      <c r="HP93" s="54"/>
      <c r="HQ93" s="54"/>
      <c r="HR93" s="54"/>
      <c r="HS93" s="54"/>
      <c r="HT93" s="54"/>
      <c r="HU93" s="54"/>
      <c r="HV93" s="54"/>
      <c r="HW93" s="54"/>
      <c r="HX93" s="54"/>
      <c r="HY93" s="54"/>
      <c r="HZ93" s="54"/>
      <c r="IA93" s="54"/>
      <c r="IB93" s="54"/>
      <c r="IC93" s="54"/>
      <c r="ID93" s="54"/>
      <c r="IE93" s="54"/>
      <c r="IF93" s="54"/>
      <c r="IG93" s="54"/>
      <c r="IH93" s="54"/>
      <c r="II93" s="54"/>
      <c r="IJ93" s="54"/>
      <c r="IK93" s="54"/>
      <c r="IL93" s="54"/>
      <c r="IM93" s="54"/>
      <c r="IN93" s="54"/>
      <c r="IO93" s="54"/>
      <c r="IP93" s="54"/>
      <c r="IQ93" s="54"/>
      <c r="IR93" s="54"/>
      <c r="IS93" s="54"/>
      <c r="IT93" s="54"/>
      <c r="IU93" s="54"/>
      <c r="IV93" s="54"/>
      <c r="IW93" s="54"/>
      <c r="IX93" s="54"/>
      <c r="IY93" s="54"/>
      <c r="IZ93" s="54"/>
      <c r="JA93" s="54"/>
      <c r="JB93" s="54"/>
      <c r="JC93" s="54"/>
      <c r="JD93" s="54"/>
      <c r="JE93" s="54"/>
      <c r="JF93" s="54"/>
      <c r="JG93" s="54"/>
      <c r="JH93" s="54"/>
      <c r="JI93" s="54"/>
      <c r="JJ93" s="54"/>
      <c r="JK93" s="54"/>
      <c r="JL93" s="54"/>
      <c r="JM93" s="54"/>
      <c r="JN93" s="54"/>
      <c r="JO93" s="54"/>
      <c r="JP93" s="54"/>
      <c r="JQ93" s="54"/>
      <c r="JR93" s="54"/>
      <c r="JS93" s="54"/>
      <c r="JT93" s="54"/>
      <c r="JU93" s="54"/>
      <c r="JV93" s="54"/>
      <c r="JW93" s="54"/>
      <c r="JX93" s="54"/>
      <c r="JY93" s="54"/>
      <c r="JZ93" s="54"/>
      <c r="KA93" s="54"/>
      <c r="KB93" s="54"/>
      <c r="KC93" s="54"/>
      <c r="KD93" s="54"/>
      <c r="KE93" s="54"/>
      <c r="KF93" s="54"/>
      <c r="KG93" s="54"/>
      <c r="KH93" s="54"/>
      <c r="KI93" s="54"/>
      <c r="KJ93" s="54"/>
      <c r="KK93" s="54"/>
      <c r="KL93" s="54"/>
      <c r="KM93" s="54"/>
      <c r="KN93" s="54"/>
      <c r="KO93" s="54"/>
      <c r="KP93" s="54"/>
      <c r="KQ93" s="54"/>
      <c r="KR93" s="54"/>
      <c r="KS93" s="54"/>
      <c r="KT93" s="54"/>
      <c r="KU93" s="54"/>
      <c r="KV93" s="54"/>
      <c r="KW93" s="54"/>
      <c r="KX93" s="54"/>
    </row>
    <row r="94" ht="5.2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c r="BL94" s="54"/>
      <c r="BM94" s="54"/>
      <c r="BN94" s="54"/>
      <c r="BO94" s="54"/>
      <c r="BP94" s="54"/>
      <c r="BQ94" s="54"/>
      <c r="BR94" s="54"/>
      <c r="BS94" s="54"/>
      <c r="BT94" s="54"/>
      <c r="BU94" s="54"/>
      <c r="BV94" s="54"/>
      <c r="BW94" s="108"/>
      <c r="BX94" s="60"/>
      <c r="CH94" s="11"/>
      <c r="CI94" s="10"/>
      <c r="CK94" s="11"/>
      <c r="CL94" s="10"/>
      <c r="DA94" s="11"/>
      <c r="DB94" s="10"/>
      <c r="DF94" s="108"/>
      <c r="DG94" s="108"/>
      <c r="DH94" s="108"/>
      <c r="DI94" s="108"/>
      <c r="DJ94" s="108"/>
      <c r="DK94" s="108"/>
      <c r="DL94" s="108"/>
      <c r="DM94" s="108"/>
      <c r="DN94" s="108"/>
      <c r="DQ94" s="11"/>
      <c r="DR94" s="10"/>
      <c r="DT94" s="11"/>
      <c r="DU94" s="10"/>
      <c r="DX94" s="108"/>
      <c r="DY94" s="108"/>
      <c r="DZ94" s="108"/>
      <c r="EA94" s="108"/>
      <c r="EB94" s="108"/>
      <c r="EC94" s="108"/>
      <c r="ED94" s="108"/>
      <c r="EE94" s="116"/>
      <c r="EF94" s="108"/>
      <c r="EG94" s="54"/>
      <c r="EH94" s="54"/>
      <c r="EI94" s="108"/>
      <c r="EJ94" s="60"/>
      <c r="ET94" s="11"/>
      <c r="EU94" s="10"/>
      <c r="EW94" s="11"/>
      <c r="EX94" s="10"/>
      <c r="FM94" s="11"/>
      <c r="FN94" s="10"/>
      <c r="FR94" s="108"/>
      <c r="FS94" s="108"/>
      <c r="FT94" s="108"/>
      <c r="FU94" s="108"/>
      <c r="FV94" s="108"/>
      <c r="FW94" s="108"/>
      <c r="FX94" s="108"/>
      <c r="FY94" s="108"/>
      <c r="FZ94" s="108"/>
      <c r="GC94" s="11"/>
      <c r="GD94" s="10"/>
      <c r="GF94" s="11"/>
      <c r="GG94" s="10"/>
      <c r="GJ94" s="108"/>
      <c r="GK94" s="108"/>
      <c r="GL94" s="108"/>
      <c r="GM94" s="108"/>
      <c r="GN94" s="108"/>
      <c r="GO94" s="108"/>
      <c r="GP94" s="108"/>
      <c r="GQ94" s="116"/>
      <c r="GR94" s="108"/>
      <c r="GS94" s="54"/>
      <c r="GT94" s="54"/>
      <c r="GU94" s="54"/>
      <c r="GV94" s="54"/>
      <c r="GW94" s="54"/>
      <c r="GX94" s="54"/>
      <c r="GY94" s="54"/>
      <c r="GZ94" s="54"/>
      <c r="HA94" s="54"/>
      <c r="HB94" s="54"/>
      <c r="HC94" s="54"/>
      <c r="HD94" s="54"/>
      <c r="HE94" s="54"/>
      <c r="HF94" s="54"/>
      <c r="HG94" s="54"/>
      <c r="HH94" s="54"/>
      <c r="HI94" s="54"/>
      <c r="HJ94" s="54"/>
      <c r="HK94" s="54"/>
      <c r="HL94" s="54"/>
      <c r="HM94" s="54"/>
      <c r="HN94" s="54"/>
      <c r="HO94" s="54"/>
      <c r="HP94" s="54"/>
      <c r="HQ94" s="54"/>
      <c r="HR94" s="54"/>
      <c r="HS94" s="54"/>
      <c r="HT94" s="54"/>
      <c r="HU94" s="54"/>
      <c r="HV94" s="54"/>
      <c r="HW94" s="54"/>
      <c r="HX94" s="54"/>
      <c r="HY94" s="54"/>
      <c r="HZ94" s="54"/>
      <c r="IA94" s="54"/>
      <c r="IB94" s="54"/>
      <c r="IC94" s="54"/>
      <c r="ID94" s="54"/>
      <c r="IE94" s="54"/>
      <c r="IF94" s="54"/>
      <c r="IG94" s="54"/>
      <c r="IH94" s="54"/>
      <c r="II94" s="54"/>
      <c r="IJ94" s="54"/>
      <c r="IK94" s="54"/>
      <c r="IL94" s="54"/>
      <c r="IM94" s="54"/>
      <c r="IN94" s="54"/>
      <c r="IO94" s="54"/>
      <c r="IP94" s="54"/>
      <c r="IQ94" s="54"/>
      <c r="IR94" s="54"/>
      <c r="IS94" s="54"/>
      <c r="IT94" s="54"/>
      <c r="IU94" s="54"/>
      <c r="IV94" s="54"/>
      <c r="IW94" s="54"/>
      <c r="IX94" s="54"/>
      <c r="IY94" s="54"/>
      <c r="IZ94" s="54"/>
      <c r="JA94" s="54"/>
      <c r="JB94" s="54"/>
      <c r="JC94" s="54"/>
      <c r="JD94" s="54"/>
      <c r="JE94" s="54"/>
      <c r="JF94" s="54"/>
      <c r="JG94" s="54"/>
      <c r="JH94" s="54"/>
      <c r="JI94" s="54"/>
      <c r="JJ94" s="54"/>
      <c r="JK94" s="54"/>
      <c r="JL94" s="54"/>
      <c r="JM94" s="54"/>
      <c r="JN94" s="54"/>
      <c r="JO94" s="54"/>
      <c r="JP94" s="54"/>
      <c r="JQ94" s="54"/>
      <c r="JR94" s="54"/>
      <c r="JS94" s="54"/>
      <c r="JT94" s="54"/>
      <c r="JU94" s="54"/>
      <c r="JV94" s="54"/>
      <c r="JW94" s="54"/>
      <c r="JX94" s="54"/>
      <c r="JY94" s="54"/>
      <c r="JZ94" s="54"/>
      <c r="KA94" s="54"/>
      <c r="KB94" s="54"/>
      <c r="KC94" s="54"/>
      <c r="KD94" s="54"/>
      <c r="KE94" s="54"/>
      <c r="KF94" s="54"/>
      <c r="KG94" s="54"/>
      <c r="KH94" s="54"/>
      <c r="KI94" s="54"/>
      <c r="KJ94" s="54"/>
      <c r="KK94" s="54"/>
      <c r="KL94" s="54"/>
      <c r="KM94" s="54"/>
      <c r="KN94" s="54"/>
      <c r="KO94" s="54"/>
      <c r="KP94" s="54"/>
      <c r="KQ94" s="54"/>
      <c r="KR94" s="54"/>
      <c r="KS94" s="54"/>
      <c r="KT94" s="54"/>
      <c r="KU94" s="54"/>
      <c r="KV94" s="54"/>
      <c r="KW94" s="54"/>
      <c r="KX94" s="54"/>
    </row>
    <row r="95" ht="5.2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c r="BS95" s="54"/>
      <c r="BT95" s="54"/>
      <c r="BU95" s="54"/>
      <c r="BV95" s="54"/>
      <c r="BW95" s="108"/>
      <c r="BX95" s="88"/>
      <c r="BY95" s="13"/>
      <c r="BZ95" s="13"/>
      <c r="CA95" s="13"/>
      <c r="CB95" s="13"/>
      <c r="CC95" s="13"/>
      <c r="CD95" s="13"/>
      <c r="CE95" s="13"/>
      <c r="CF95" s="13"/>
      <c r="CG95" s="13"/>
      <c r="CH95" s="14"/>
      <c r="CI95" s="12"/>
      <c r="CJ95" s="13"/>
      <c r="CK95" s="14"/>
      <c r="CL95" s="12"/>
      <c r="CM95" s="13"/>
      <c r="CN95" s="13"/>
      <c r="CO95" s="13"/>
      <c r="CP95" s="13"/>
      <c r="CQ95" s="13"/>
      <c r="CR95" s="13"/>
      <c r="CS95" s="13"/>
      <c r="CT95" s="13"/>
      <c r="CU95" s="13"/>
      <c r="CV95" s="13"/>
      <c r="CW95" s="13"/>
      <c r="CX95" s="13"/>
      <c r="CY95" s="13"/>
      <c r="CZ95" s="13"/>
      <c r="DA95" s="14"/>
      <c r="DB95" s="12"/>
      <c r="DC95" s="13"/>
      <c r="DD95" s="13"/>
      <c r="DE95" s="13"/>
      <c r="DF95" s="128"/>
      <c r="DG95" s="128"/>
      <c r="DH95" s="128"/>
      <c r="DI95" s="128"/>
      <c r="DJ95" s="128"/>
      <c r="DK95" s="128"/>
      <c r="DL95" s="128"/>
      <c r="DM95" s="128"/>
      <c r="DN95" s="128"/>
      <c r="DO95" s="13"/>
      <c r="DP95" s="13"/>
      <c r="DQ95" s="14"/>
      <c r="DR95" s="12"/>
      <c r="DS95" s="13"/>
      <c r="DT95" s="14"/>
      <c r="DU95" s="12"/>
      <c r="DV95" s="13"/>
      <c r="DW95" s="13"/>
      <c r="DX95" s="128"/>
      <c r="DY95" s="128"/>
      <c r="DZ95" s="128"/>
      <c r="EA95" s="128"/>
      <c r="EB95" s="128"/>
      <c r="EC95" s="128"/>
      <c r="ED95" s="128"/>
      <c r="EE95" s="129"/>
      <c r="EF95" s="108"/>
      <c r="EG95" s="54"/>
      <c r="EH95" s="54"/>
      <c r="EI95" s="108"/>
      <c r="EJ95" s="88"/>
      <c r="EK95" s="13"/>
      <c r="EL95" s="13"/>
      <c r="EM95" s="13"/>
      <c r="EN95" s="13"/>
      <c r="EO95" s="13"/>
      <c r="EP95" s="13"/>
      <c r="EQ95" s="13"/>
      <c r="ER95" s="13"/>
      <c r="ES95" s="13"/>
      <c r="ET95" s="14"/>
      <c r="EU95" s="12"/>
      <c r="EV95" s="13"/>
      <c r="EW95" s="14"/>
      <c r="EX95" s="12"/>
      <c r="EY95" s="13"/>
      <c r="EZ95" s="13"/>
      <c r="FA95" s="13"/>
      <c r="FB95" s="13"/>
      <c r="FC95" s="13"/>
      <c r="FD95" s="13"/>
      <c r="FE95" s="13"/>
      <c r="FF95" s="13"/>
      <c r="FG95" s="13"/>
      <c r="FH95" s="13"/>
      <c r="FI95" s="13"/>
      <c r="FJ95" s="13"/>
      <c r="FK95" s="13"/>
      <c r="FL95" s="13"/>
      <c r="FM95" s="14"/>
      <c r="FN95" s="12"/>
      <c r="FO95" s="13"/>
      <c r="FP95" s="13"/>
      <c r="FQ95" s="13"/>
      <c r="FR95" s="128"/>
      <c r="FS95" s="128"/>
      <c r="FT95" s="128"/>
      <c r="FU95" s="128"/>
      <c r="FV95" s="128"/>
      <c r="FW95" s="128"/>
      <c r="FX95" s="128"/>
      <c r="FY95" s="128"/>
      <c r="FZ95" s="128"/>
      <c r="GA95" s="13"/>
      <c r="GB95" s="13"/>
      <c r="GC95" s="14"/>
      <c r="GD95" s="12"/>
      <c r="GE95" s="13"/>
      <c r="GF95" s="14"/>
      <c r="GG95" s="12"/>
      <c r="GH95" s="13"/>
      <c r="GI95" s="13"/>
      <c r="GJ95" s="128"/>
      <c r="GK95" s="128"/>
      <c r="GL95" s="128"/>
      <c r="GM95" s="128"/>
      <c r="GN95" s="128"/>
      <c r="GO95" s="128"/>
      <c r="GP95" s="128"/>
      <c r="GQ95" s="129"/>
      <c r="GR95" s="108"/>
      <c r="GS95" s="54"/>
      <c r="GT95" s="54"/>
      <c r="GU95" s="54"/>
      <c r="GV95" s="54"/>
      <c r="GW95" s="54"/>
      <c r="GX95" s="54"/>
      <c r="GY95" s="54"/>
      <c r="GZ95" s="54"/>
      <c r="HA95" s="54"/>
      <c r="HB95" s="54"/>
      <c r="HC95" s="54"/>
      <c r="HD95" s="54"/>
      <c r="HE95" s="54"/>
      <c r="HF95" s="54"/>
      <c r="HG95" s="54"/>
      <c r="HH95" s="54"/>
      <c r="HI95" s="54"/>
      <c r="HJ95" s="54"/>
      <c r="HK95" s="54"/>
      <c r="HL95" s="54"/>
      <c r="HM95" s="54"/>
      <c r="HN95" s="54"/>
      <c r="HO95" s="54"/>
      <c r="HP95" s="54"/>
      <c r="HQ95" s="54"/>
      <c r="HR95" s="54"/>
      <c r="HS95" s="54"/>
      <c r="HT95" s="54"/>
      <c r="HU95" s="54"/>
      <c r="HV95" s="54"/>
      <c r="HW95" s="54"/>
      <c r="HX95" s="54"/>
      <c r="HY95" s="54"/>
      <c r="HZ95" s="54"/>
      <c r="IA95" s="54"/>
      <c r="IB95" s="54"/>
      <c r="IC95" s="54"/>
      <c r="ID95" s="54"/>
      <c r="IE95" s="54"/>
      <c r="IF95" s="54"/>
      <c r="IG95" s="54"/>
      <c r="IH95" s="54"/>
      <c r="II95" s="54"/>
      <c r="IJ95" s="54"/>
      <c r="IK95" s="54"/>
      <c r="IL95" s="54"/>
      <c r="IM95" s="54"/>
      <c r="IN95" s="54"/>
      <c r="IO95" s="54"/>
      <c r="IP95" s="54"/>
      <c r="IQ95" s="54"/>
      <c r="IR95" s="54"/>
      <c r="IS95" s="54"/>
      <c r="IT95" s="54"/>
      <c r="IU95" s="54"/>
      <c r="IV95" s="54"/>
      <c r="IW95" s="54"/>
      <c r="IX95" s="54"/>
      <c r="IY95" s="54"/>
      <c r="IZ95" s="54"/>
      <c r="JA95" s="54"/>
      <c r="JB95" s="54"/>
      <c r="JC95" s="54"/>
      <c r="JD95" s="54"/>
      <c r="JE95" s="54"/>
      <c r="JF95" s="54"/>
      <c r="JG95" s="54"/>
      <c r="JH95" s="54"/>
      <c r="JI95" s="54"/>
      <c r="JJ95" s="54"/>
      <c r="JK95" s="54"/>
      <c r="JL95" s="54"/>
      <c r="JM95" s="54"/>
      <c r="JN95" s="54"/>
      <c r="JO95" s="54"/>
      <c r="JP95" s="54"/>
      <c r="JQ95" s="54"/>
      <c r="JR95" s="54"/>
      <c r="JS95" s="54"/>
      <c r="JT95" s="54"/>
      <c r="JU95" s="54"/>
      <c r="JV95" s="54"/>
      <c r="JW95" s="54"/>
      <c r="JX95" s="54"/>
      <c r="JY95" s="54"/>
      <c r="JZ95" s="54"/>
      <c r="KA95" s="54"/>
      <c r="KB95" s="54"/>
      <c r="KC95" s="54"/>
      <c r="KD95" s="54"/>
      <c r="KE95" s="54"/>
      <c r="KF95" s="54"/>
      <c r="KG95" s="54"/>
      <c r="KH95" s="54"/>
      <c r="KI95" s="54"/>
      <c r="KJ95" s="54"/>
      <c r="KK95" s="54"/>
      <c r="KL95" s="54"/>
      <c r="KM95" s="54"/>
      <c r="KN95" s="54"/>
      <c r="KO95" s="54"/>
      <c r="KP95" s="54"/>
      <c r="KQ95" s="54"/>
      <c r="KR95" s="54"/>
      <c r="KS95" s="54"/>
      <c r="KT95" s="54"/>
      <c r="KU95" s="54"/>
      <c r="KV95" s="54"/>
      <c r="KW95" s="54"/>
      <c r="KX95" s="54"/>
    </row>
    <row r="96" ht="5.2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c r="BS96" s="54"/>
      <c r="BT96" s="54"/>
      <c r="BU96" s="54"/>
      <c r="BV96" s="54"/>
      <c r="BW96" s="119" t="str">
        <f>if($DD$6=0,"",qualreseeding!AC3)</f>
        <v/>
      </c>
      <c r="BX96" s="130" t="str">
        <f t="array" ref="BX96">xlookup(BW96,qualdata!$M$2:$M$17,qualdata!$O$2:$O$17,"")</f>
        <v/>
      </c>
      <c r="BY96" s="8"/>
      <c r="BZ96" s="8"/>
      <c r="CA96" s="8"/>
      <c r="CB96" s="93" t="str">
        <f t="array" ref="CB96">xlookup(BW96,qualdata!$M$2:$M$17,qualdata!$N$2:$N$17,"")</f>
        <v/>
      </c>
      <c r="CC96" s="8"/>
      <c r="CD96" s="8"/>
      <c r="CE96" s="8"/>
      <c r="CF96" s="8"/>
      <c r="CG96" s="8"/>
      <c r="CH96" s="8"/>
      <c r="CI96" s="8"/>
      <c r="CJ96" s="8"/>
      <c r="CK96" s="8"/>
      <c r="CL96" s="8"/>
      <c r="CM96" s="8"/>
      <c r="CN96" s="8"/>
      <c r="CO96" s="8"/>
      <c r="CP96" s="8"/>
      <c r="CQ96" s="8"/>
      <c r="CR96" s="8"/>
      <c r="CS96" s="8"/>
      <c r="CT96" s="8"/>
      <c r="CU96" s="8"/>
      <c r="CV96" s="8"/>
      <c r="CW96" s="8"/>
      <c r="CX96" s="94"/>
      <c r="CY96" s="8"/>
      <c r="CZ96" s="8"/>
      <c r="DA96" s="9"/>
      <c r="DB96" s="95"/>
      <c r="DC96" s="8"/>
      <c r="DD96" s="8"/>
      <c r="DE96" s="8"/>
      <c r="DF96" s="96" t="str">
        <f t="array" ref="DF96">xlookup(EF96,qualdata!$M$2:$M$17,qualdata!$N$2:$N$17,"")</f>
        <v/>
      </c>
      <c r="DG96" s="8"/>
      <c r="DH96" s="8"/>
      <c r="DI96" s="8"/>
      <c r="DJ96" s="8"/>
      <c r="DK96" s="8"/>
      <c r="DL96" s="8"/>
      <c r="DM96" s="8"/>
      <c r="DN96" s="8"/>
      <c r="DO96" s="8"/>
      <c r="DP96" s="8"/>
      <c r="DQ96" s="8"/>
      <c r="DR96" s="8"/>
      <c r="DS96" s="8"/>
      <c r="DT96" s="8"/>
      <c r="DU96" s="8"/>
      <c r="DV96" s="8"/>
      <c r="DW96" s="8"/>
      <c r="DX96" s="8"/>
      <c r="DY96" s="8"/>
      <c r="DZ96" s="8"/>
      <c r="EA96" s="8"/>
      <c r="EB96" s="131" t="str">
        <f t="array" ref="EB96">xlookup(EF96,qualdata!$M$2:$M$17,qualdata!$O$2:$O$17,"")</f>
        <v/>
      </c>
      <c r="EC96" s="8"/>
      <c r="ED96" s="8"/>
      <c r="EE96" s="98"/>
      <c r="EF96" s="119" t="str">
        <f>if($DD$6=0,"",qualreseeding!AD3)</f>
        <v/>
      </c>
      <c r="EG96" s="54"/>
      <c r="EH96" s="54"/>
      <c r="EI96" s="119" t="str">
        <f>if($DD$6=0,"",qualreseeding!AC12)</f>
        <v/>
      </c>
      <c r="EJ96" s="130" t="str">
        <f t="array" ref="EJ96">xlookup(EI96,qualdata!$M$2:$M$17,qualdata!$O$2:$O$17,"")</f>
        <v/>
      </c>
      <c r="EK96" s="8"/>
      <c r="EL96" s="8"/>
      <c r="EM96" s="8"/>
      <c r="EN96" s="93" t="str">
        <f t="array" ref="EN96">xlookup(EI96,qualdata!$M$2:$M$17,qualdata!$N$2:$N$17,"")</f>
        <v/>
      </c>
      <c r="EO96" s="8"/>
      <c r="EP96" s="8"/>
      <c r="EQ96" s="8"/>
      <c r="ER96" s="8"/>
      <c r="ES96" s="8"/>
      <c r="ET96" s="8"/>
      <c r="EU96" s="8"/>
      <c r="EV96" s="8"/>
      <c r="EW96" s="8"/>
      <c r="EX96" s="8"/>
      <c r="EY96" s="8"/>
      <c r="EZ96" s="8"/>
      <c r="FA96" s="8"/>
      <c r="FB96" s="8"/>
      <c r="FC96" s="8"/>
      <c r="FD96" s="8"/>
      <c r="FE96" s="8"/>
      <c r="FF96" s="8"/>
      <c r="FG96" s="8"/>
      <c r="FH96" s="8"/>
      <c r="FI96" s="8"/>
      <c r="FJ96" s="94"/>
      <c r="FK96" s="8"/>
      <c r="FL96" s="8"/>
      <c r="FM96" s="9"/>
      <c r="FN96" s="95"/>
      <c r="FO96" s="8"/>
      <c r="FP96" s="8"/>
      <c r="FQ96" s="8"/>
      <c r="FR96" s="96" t="str">
        <f t="array" ref="FR96">xlookup(GR96,qualdata!$M$2:$M$17,qualdata!$N$2:$N$17,"")</f>
        <v/>
      </c>
      <c r="FS96" s="8"/>
      <c r="FT96" s="8"/>
      <c r="FU96" s="8"/>
      <c r="FV96" s="8"/>
      <c r="FW96" s="8"/>
      <c r="FX96" s="8"/>
      <c r="FY96" s="8"/>
      <c r="FZ96" s="8"/>
      <c r="GA96" s="8"/>
      <c r="GB96" s="8"/>
      <c r="GC96" s="8"/>
      <c r="GD96" s="8"/>
      <c r="GE96" s="8"/>
      <c r="GF96" s="8"/>
      <c r="GG96" s="8"/>
      <c r="GH96" s="8"/>
      <c r="GI96" s="8"/>
      <c r="GJ96" s="8"/>
      <c r="GK96" s="8"/>
      <c r="GL96" s="8"/>
      <c r="GM96" s="8"/>
      <c r="GN96" s="131" t="str">
        <f t="array" ref="GN96">xlookup(GR96,qualdata!$M$2:$M$17,qualdata!$O$2:$O$17,"")</f>
        <v/>
      </c>
      <c r="GO96" s="8"/>
      <c r="GP96" s="8"/>
      <c r="GQ96" s="98"/>
      <c r="GR96" s="119" t="str">
        <f>if($DD$6=0,"",qualreseeding!AD12)</f>
        <v/>
      </c>
      <c r="GS96" s="54"/>
      <c r="GT96" s="54"/>
      <c r="GU96" s="54"/>
      <c r="GV96" s="54"/>
      <c r="GW96" s="54"/>
      <c r="GX96" s="54"/>
      <c r="GY96" s="54"/>
      <c r="GZ96" s="54"/>
      <c r="HA96" s="54"/>
      <c r="HB96" s="54"/>
      <c r="HC96" s="54"/>
      <c r="HD96" s="54"/>
      <c r="HE96" s="54"/>
      <c r="HF96" s="54"/>
      <c r="HG96" s="54"/>
      <c r="HH96" s="54"/>
      <c r="HI96" s="54"/>
      <c r="HJ96" s="54"/>
      <c r="HK96" s="54"/>
      <c r="HL96" s="54"/>
      <c r="HM96" s="54"/>
      <c r="HN96" s="54"/>
      <c r="HO96" s="54"/>
      <c r="HP96" s="54"/>
      <c r="HQ96" s="54"/>
      <c r="HR96" s="54"/>
      <c r="HS96" s="54"/>
      <c r="HT96" s="54"/>
      <c r="HU96" s="54"/>
      <c r="HV96" s="54"/>
      <c r="HW96" s="54"/>
      <c r="HX96" s="54"/>
      <c r="HY96" s="54"/>
      <c r="HZ96" s="54"/>
      <c r="IA96" s="54"/>
      <c r="IB96" s="54"/>
      <c r="IC96" s="54"/>
      <c r="ID96" s="54"/>
      <c r="IE96" s="54"/>
      <c r="IF96" s="54"/>
      <c r="IG96" s="54"/>
      <c r="IH96" s="54"/>
      <c r="II96" s="54"/>
      <c r="IJ96" s="54"/>
      <c r="IK96" s="54"/>
      <c r="IL96" s="54"/>
      <c r="IM96" s="54"/>
      <c r="IN96" s="54"/>
      <c r="IO96" s="54"/>
      <c r="IP96" s="54"/>
      <c r="IQ96" s="54"/>
      <c r="IR96" s="54"/>
      <c r="IS96" s="54"/>
      <c r="IT96" s="54"/>
      <c r="IU96" s="54"/>
      <c r="IV96" s="54"/>
      <c r="IW96" s="54"/>
      <c r="IX96" s="54"/>
      <c r="IY96" s="54"/>
      <c r="IZ96" s="54"/>
      <c r="JA96" s="54"/>
      <c r="JB96" s="54"/>
      <c r="JC96" s="54"/>
      <c r="JD96" s="54"/>
      <c r="JE96" s="54"/>
      <c r="JF96" s="54"/>
      <c r="JG96" s="54"/>
      <c r="JH96" s="54"/>
      <c r="JI96" s="54"/>
      <c r="JJ96" s="54"/>
      <c r="JK96" s="54"/>
      <c r="JL96" s="54"/>
      <c r="JM96" s="54"/>
      <c r="JN96" s="54"/>
      <c r="JO96" s="54"/>
      <c r="JP96" s="54"/>
      <c r="JQ96" s="54"/>
      <c r="JR96" s="54"/>
      <c r="JS96" s="54"/>
      <c r="JT96" s="54"/>
      <c r="JU96" s="54"/>
      <c r="JV96" s="54"/>
      <c r="JW96" s="54"/>
      <c r="JX96" s="54"/>
      <c r="JY96" s="54"/>
      <c r="JZ96" s="54"/>
      <c r="KA96" s="54"/>
      <c r="KB96" s="54"/>
      <c r="KC96" s="54"/>
      <c r="KD96" s="54"/>
      <c r="KE96" s="54"/>
      <c r="KF96" s="54"/>
      <c r="KG96" s="54"/>
      <c r="KH96" s="54"/>
      <c r="KI96" s="54"/>
      <c r="KJ96" s="54"/>
      <c r="KK96" s="54"/>
      <c r="KL96" s="54"/>
      <c r="KM96" s="54"/>
      <c r="KN96" s="54"/>
      <c r="KO96" s="54"/>
      <c r="KP96" s="54"/>
      <c r="KQ96" s="54"/>
      <c r="KR96" s="54"/>
      <c r="KS96" s="54"/>
      <c r="KT96" s="54"/>
      <c r="KU96" s="54"/>
      <c r="KV96" s="54"/>
      <c r="KW96" s="54"/>
      <c r="KX96" s="54"/>
    </row>
    <row r="97" ht="5.2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c r="BS97" s="54"/>
      <c r="BT97" s="54"/>
      <c r="BU97" s="54"/>
      <c r="BV97" s="54"/>
      <c r="BW97" s="108"/>
      <c r="BX97" s="60"/>
      <c r="DA97" s="11"/>
      <c r="DB97" s="10"/>
      <c r="EE97" s="61"/>
      <c r="EF97" s="108"/>
      <c r="EG97" s="54"/>
      <c r="EH97" s="54"/>
      <c r="EI97" s="108"/>
      <c r="EJ97" s="60"/>
      <c r="FM97" s="11"/>
      <c r="FN97" s="10"/>
      <c r="GQ97" s="61"/>
      <c r="GR97" s="108"/>
      <c r="GS97" s="54"/>
      <c r="GT97" s="54"/>
      <c r="GU97" s="54"/>
      <c r="GV97" s="54"/>
      <c r="GW97" s="54"/>
      <c r="GX97" s="54"/>
      <c r="GY97" s="54"/>
      <c r="GZ97" s="54"/>
      <c r="HA97" s="54"/>
      <c r="HB97" s="54"/>
      <c r="HC97" s="54"/>
      <c r="HD97" s="54"/>
      <c r="HE97" s="54"/>
      <c r="HF97" s="54"/>
      <c r="HG97" s="54"/>
      <c r="HH97" s="54"/>
      <c r="HI97" s="54"/>
      <c r="HJ97" s="54"/>
      <c r="HK97" s="54"/>
      <c r="HL97" s="54"/>
      <c r="HM97" s="54"/>
      <c r="HN97" s="54"/>
      <c r="HO97" s="54"/>
      <c r="HP97" s="54"/>
      <c r="HQ97" s="54"/>
      <c r="HR97" s="54"/>
      <c r="HS97" s="54"/>
      <c r="HT97" s="54"/>
      <c r="HU97" s="54"/>
      <c r="HV97" s="54"/>
      <c r="HW97" s="54"/>
      <c r="HX97" s="54"/>
      <c r="HY97" s="54"/>
      <c r="HZ97" s="54"/>
      <c r="IA97" s="54"/>
      <c r="IB97" s="54"/>
      <c r="IC97" s="54"/>
      <c r="ID97" s="54"/>
      <c r="IE97" s="54"/>
      <c r="IF97" s="54"/>
      <c r="IG97" s="54"/>
      <c r="IH97" s="54"/>
      <c r="II97" s="54"/>
      <c r="IJ97" s="54"/>
      <c r="IK97" s="54"/>
      <c r="IL97" s="54"/>
      <c r="IM97" s="54"/>
      <c r="IN97" s="54"/>
      <c r="IO97" s="54"/>
      <c r="IP97" s="54"/>
      <c r="IQ97" s="54"/>
      <c r="IR97" s="54"/>
      <c r="IS97" s="54"/>
      <c r="IT97" s="54"/>
      <c r="IU97" s="54"/>
      <c r="IV97" s="54"/>
      <c r="IW97" s="54"/>
      <c r="IX97" s="54"/>
      <c r="IY97" s="54"/>
      <c r="IZ97" s="54"/>
      <c r="JA97" s="54"/>
      <c r="JB97" s="54"/>
      <c r="JC97" s="54"/>
      <c r="JD97" s="54"/>
      <c r="JE97" s="54"/>
      <c r="JF97" s="54"/>
      <c r="JG97" s="54"/>
      <c r="JH97" s="54"/>
      <c r="JI97" s="54"/>
      <c r="JJ97" s="54"/>
      <c r="JK97" s="54"/>
      <c r="JL97" s="54"/>
      <c r="JM97" s="54"/>
      <c r="JN97" s="54"/>
      <c r="JO97" s="54"/>
      <c r="JP97" s="54"/>
      <c r="JQ97" s="54"/>
      <c r="JR97" s="54"/>
      <c r="JS97" s="54"/>
      <c r="JT97" s="54"/>
      <c r="JU97" s="54"/>
      <c r="JV97" s="54"/>
      <c r="JW97" s="54"/>
      <c r="JX97" s="54"/>
      <c r="JY97" s="54"/>
      <c r="JZ97" s="54"/>
      <c r="KA97" s="54"/>
      <c r="KB97" s="54"/>
      <c r="KC97" s="54"/>
      <c r="KD97" s="54"/>
      <c r="KE97" s="54"/>
      <c r="KF97" s="54"/>
      <c r="KG97" s="54"/>
      <c r="KH97" s="54"/>
      <c r="KI97" s="54"/>
      <c r="KJ97" s="54"/>
      <c r="KK97" s="54"/>
      <c r="KL97" s="54"/>
      <c r="KM97" s="54"/>
      <c r="KN97" s="54"/>
      <c r="KO97" s="54"/>
      <c r="KP97" s="54"/>
      <c r="KQ97" s="54"/>
      <c r="KR97" s="54"/>
      <c r="KS97" s="54"/>
      <c r="KT97" s="54"/>
      <c r="KU97" s="54"/>
      <c r="KV97" s="54"/>
      <c r="KW97" s="54"/>
      <c r="KX97" s="54"/>
    </row>
    <row r="98" ht="5.2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c r="BS98" s="54"/>
      <c r="BT98" s="54"/>
      <c r="BU98" s="54"/>
      <c r="BV98" s="54"/>
      <c r="BW98" s="108"/>
      <c r="BX98" s="60"/>
      <c r="DA98" s="11"/>
      <c r="DB98" s="10"/>
      <c r="EE98" s="61"/>
      <c r="EF98" s="108"/>
      <c r="EG98" s="54"/>
      <c r="EH98" s="54"/>
      <c r="EI98" s="108"/>
      <c r="EJ98" s="60"/>
      <c r="FM98" s="11"/>
      <c r="FN98" s="10"/>
      <c r="GQ98" s="61"/>
      <c r="GR98" s="108"/>
      <c r="GS98" s="54"/>
      <c r="GT98" s="54"/>
      <c r="GU98" s="54"/>
      <c r="GV98" s="54"/>
      <c r="GW98" s="54"/>
      <c r="GX98" s="54"/>
      <c r="GY98" s="54"/>
      <c r="GZ98" s="54"/>
      <c r="HA98" s="54"/>
      <c r="HB98" s="54"/>
      <c r="HC98" s="54"/>
      <c r="HD98" s="54"/>
      <c r="HE98" s="54"/>
      <c r="HF98" s="54"/>
      <c r="HG98" s="54"/>
      <c r="HH98" s="54"/>
      <c r="HI98" s="54"/>
      <c r="HJ98" s="54"/>
      <c r="HK98" s="54"/>
      <c r="HL98" s="54"/>
      <c r="HM98" s="54"/>
      <c r="HN98" s="54"/>
      <c r="HO98" s="54"/>
      <c r="HP98" s="54"/>
      <c r="HQ98" s="54"/>
      <c r="HR98" s="54"/>
      <c r="HS98" s="54"/>
      <c r="HT98" s="54"/>
      <c r="HU98" s="54"/>
      <c r="HV98" s="54"/>
      <c r="HW98" s="54"/>
      <c r="HX98" s="54"/>
      <c r="HY98" s="54"/>
      <c r="HZ98" s="54"/>
      <c r="IA98" s="54"/>
      <c r="IB98" s="54"/>
      <c r="IC98" s="54"/>
      <c r="ID98" s="54"/>
      <c r="IE98" s="54"/>
      <c r="IF98" s="54"/>
      <c r="IG98" s="54"/>
      <c r="IH98" s="54"/>
      <c r="II98" s="54"/>
      <c r="IJ98" s="54"/>
      <c r="IK98" s="54"/>
      <c r="IL98" s="54"/>
      <c r="IM98" s="54"/>
      <c r="IN98" s="54"/>
      <c r="IO98" s="54"/>
      <c r="IP98" s="54"/>
      <c r="IQ98" s="54"/>
      <c r="IR98" s="54"/>
      <c r="IS98" s="54"/>
      <c r="IT98" s="54"/>
      <c r="IU98" s="54"/>
      <c r="IV98" s="54"/>
      <c r="IW98" s="54"/>
      <c r="IX98" s="54"/>
      <c r="IY98" s="54"/>
      <c r="IZ98" s="54"/>
      <c r="JA98" s="54"/>
      <c r="JB98" s="54"/>
      <c r="JC98" s="54"/>
      <c r="JD98" s="54"/>
      <c r="JE98" s="54"/>
      <c r="JF98" s="54"/>
      <c r="JG98" s="54"/>
      <c r="JH98" s="54"/>
      <c r="JI98" s="54"/>
      <c r="JJ98" s="54"/>
      <c r="JK98" s="54"/>
      <c r="JL98" s="54"/>
      <c r="JM98" s="54"/>
      <c r="JN98" s="54"/>
      <c r="JO98" s="54"/>
      <c r="JP98" s="54"/>
      <c r="JQ98" s="54"/>
      <c r="JR98" s="54"/>
      <c r="JS98" s="54"/>
      <c r="JT98" s="54"/>
      <c r="JU98" s="54"/>
      <c r="JV98" s="54"/>
      <c r="JW98" s="54"/>
      <c r="JX98" s="54"/>
      <c r="JY98" s="54"/>
      <c r="JZ98" s="54"/>
      <c r="KA98" s="54"/>
      <c r="KB98" s="54"/>
      <c r="KC98" s="54"/>
      <c r="KD98" s="54"/>
      <c r="KE98" s="54"/>
      <c r="KF98" s="54"/>
      <c r="KG98" s="54"/>
      <c r="KH98" s="54"/>
      <c r="KI98" s="54"/>
      <c r="KJ98" s="54"/>
      <c r="KK98" s="54"/>
      <c r="KL98" s="54"/>
      <c r="KM98" s="54"/>
      <c r="KN98" s="54"/>
      <c r="KO98" s="54"/>
      <c r="KP98" s="54"/>
      <c r="KQ98" s="54"/>
      <c r="KR98" s="54"/>
      <c r="KS98" s="54"/>
      <c r="KT98" s="54"/>
      <c r="KU98" s="54"/>
      <c r="KV98" s="54"/>
      <c r="KW98" s="54"/>
      <c r="KX98" s="54"/>
    </row>
    <row r="99" ht="5.2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c r="BU99" s="54"/>
      <c r="BV99" s="54"/>
      <c r="BW99" s="108"/>
      <c r="BX99" s="60"/>
      <c r="DA99" s="11"/>
      <c r="DB99" s="10"/>
      <c r="EE99" s="61"/>
      <c r="EF99" s="108"/>
      <c r="EG99" s="54"/>
      <c r="EH99" s="54"/>
      <c r="EI99" s="108"/>
      <c r="EJ99" s="60"/>
      <c r="FM99" s="11"/>
      <c r="FN99" s="10"/>
      <c r="GQ99" s="61"/>
      <c r="GR99" s="108"/>
      <c r="GS99" s="54"/>
      <c r="GT99" s="54"/>
      <c r="GU99" s="54"/>
      <c r="GV99" s="54"/>
      <c r="GW99" s="54"/>
      <c r="GX99" s="54"/>
      <c r="GY99" s="54"/>
      <c r="GZ99" s="54"/>
      <c r="HA99" s="54"/>
      <c r="HB99" s="54"/>
      <c r="HC99" s="54"/>
      <c r="HD99" s="54"/>
      <c r="HE99" s="54"/>
      <c r="HF99" s="54"/>
      <c r="HG99" s="54"/>
      <c r="HH99" s="54"/>
      <c r="HI99" s="54"/>
      <c r="HJ99" s="54"/>
      <c r="HK99" s="54"/>
      <c r="HL99" s="54"/>
      <c r="HM99" s="54"/>
      <c r="HN99" s="54"/>
      <c r="HO99" s="54"/>
      <c r="HP99" s="54"/>
      <c r="HQ99" s="54"/>
      <c r="HR99" s="54"/>
      <c r="HS99" s="54"/>
      <c r="HT99" s="54"/>
      <c r="HU99" s="54"/>
      <c r="HV99" s="54"/>
      <c r="HW99" s="54"/>
      <c r="HX99" s="54"/>
      <c r="HY99" s="54"/>
      <c r="HZ99" s="54"/>
      <c r="IA99" s="54"/>
      <c r="IB99" s="54"/>
      <c r="IC99" s="54"/>
      <c r="ID99" s="54"/>
      <c r="IE99" s="54"/>
      <c r="IF99" s="54"/>
      <c r="IG99" s="54"/>
      <c r="IH99" s="54"/>
      <c r="II99" s="54"/>
      <c r="IJ99" s="54"/>
      <c r="IK99" s="54"/>
      <c r="IL99" s="54"/>
      <c r="IM99" s="54"/>
      <c r="IN99" s="54"/>
      <c r="IO99" s="54"/>
      <c r="IP99" s="54"/>
      <c r="IQ99" s="54"/>
      <c r="IR99" s="54"/>
      <c r="IS99" s="54"/>
      <c r="IT99" s="54"/>
      <c r="IU99" s="54"/>
      <c r="IV99" s="54"/>
      <c r="IW99" s="54"/>
      <c r="IX99" s="54"/>
      <c r="IY99" s="54"/>
      <c r="IZ99" s="54"/>
      <c r="JA99" s="54"/>
      <c r="JB99" s="54"/>
      <c r="JC99" s="54"/>
      <c r="JD99" s="54"/>
      <c r="JE99" s="54"/>
      <c r="JF99" s="54"/>
      <c r="JG99" s="54"/>
      <c r="JH99" s="54"/>
      <c r="JI99" s="54"/>
      <c r="JJ99" s="54"/>
      <c r="JK99" s="54"/>
      <c r="JL99" s="54"/>
      <c r="JM99" s="54"/>
      <c r="JN99" s="54"/>
      <c r="JO99" s="54"/>
      <c r="JP99" s="54"/>
      <c r="JQ99" s="54"/>
      <c r="JR99" s="54"/>
      <c r="JS99" s="54"/>
      <c r="JT99" s="54"/>
      <c r="JU99" s="54"/>
      <c r="JV99" s="54"/>
      <c r="JW99" s="54"/>
      <c r="JX99" s="54"/>
      <c r="JY99" s="54"/>
      <c r="JZ99" s="54"/>
      <c r="KA99" s="54"/>
      <c r="KB99" s="54"/>
      <c r="KC99" s="54"/>
      <c r="KD99" s="54"/>
      <c r="KE99" s="54"/>
      <c r="KF99" s="54"/>
      <c r="KG99" s="54"/>
      <c r="KH99" s="54"/>
      <c r="KI99" s="54"/>
      <c r="KJ99" s="54"/>
      <c r="KK99" s="54"/>
      <c r="KL99" s="54"/>
      <c r="KM99" s="54"/>
      <c r="KN99" s="54"/>
      <c r="KO99" s="54"/>
      <c r="KP99" s="54"/>
      <c r="KQ99" s="54"/>
      <c r="KR99" s="54"/>
      <c r="KS99" s="54"/>
      <c r="KT99" s="54"/>
      <c r="KU99" s="54"/>
      <c r="KV99" s="54"/>
      <c r="KW99" s="54"/>
      <c r="KX99" s="54"/>
    </row>
    <row r="100" ht="5.2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c r="BS100" s="54"/>
      <c r="BT100" s="54"/>
      <c r="BU100" s="54"/>
      <c r="BV100" s="54"/>
      <c r="BW100" s="119" t="str">
        <f>BW96</f>
        <v/>
      </c>
      <c r="BX100" s="112"/>
      <c r="CF100" s="122"/>
      <c r="CH100" s="11"/>
      <c r="CI100" s="127"/>
      <c r="CK100" s="11"/>
      <c r="CL100" s="132"/>
      <c r="CO100" s="108"/>
      <c r="CX100" s="85">
        <f>sum(CF100:CN102)</f>
        <v>0</v>
      </c>
      <c r="DA100" s="11"/>
      <c r="DB100" s="86">
        <f>sum(DO100:DW102)</f>
        <v>0</v>
      </c>
      <c r="DF100" s="108"/>
      <c r="DG100" s="108"/>
      <c r="DH100" s="108"/>
      <c r="DI100" s="108"/>
      <c r="DJ100" s="108"/>
      <c r="DK100" s="108"/>
      <c r="DL100" s="108"/>
      <c r="DM100" s="108"/>
      <c r="DN100" s="108"/>
      <c r="DO100" s="133"/>
      <c r="DQ100" s="11"/>
      <c r="DR100" s="126"/>
      <c r="DT100" s="11"/>
      <c r="DU100" s="127"/>
      <c r="DX100" s="108"/>
      <c r="DY100" s="108"/>
      <c r="DZ100" s="108"/>
      <c r="EA100" s="108"/>
      <c r="EB100" s="108"/>
      <c r="EC100" s="108"/>
      <c r="ED100" s="108"/>
      <c r="EE100" s="116"/>
      <c r="EF100" s="119" t="str">
        <f>EF96</f>
        <v/>
      </c>
      <c r="EG100" s="54"/>
      <c r="EH100" s="54"/>
      <c r="EI100" s="119" t="str">
        <f>EI96</f>
        <v/>
      </c>
      <c r="EJ100" s="112"/>
      <c r="ER100" s="122"/>
      <c r="ET100" s="11"/>
      <c r="EU100" s="127"/>
      <c r="EW100" s="11"/>
      <c r="EX100" s="126"/>
      <c r="FA100" s="108"/>
      <c r="FJ100" s="85">
        <f>sum(ER100:EZ102)</f>
        <v>0</v>
      </c>
      <c r="FM100" s="11"/>
      <c r="FN100" s="86">
        <f>sum(GA100:GI102)</f>
        <v>0</v>
      </c>
      <c r="FR100" s="108"/>
      <c r="FS100" s="108"/>
      <c r="FT100" s="108"/>
      <c r="FU100" s="108"/>
      <c r="FV100" s="108"/>
      <c r="FW100" s="108"/>
      <c r="FX100" s="108"/>
      <c r="FY100" s="108"/>
      <c r="FZ100" s="108"/>
      <c r="GA100" s="134"/>
      <c r="GC100" s="11"/>
      <c r="GD100" s="126"/>
      <c r="GF100" s="11"/>
      <c r="GG100" s="123"/>
      <c r="GJ100" s="108"/>
      <c r="GK100" s="108"/>
      <c r="GL100" s="108"/>
      <c r="GM100" s="108"/>
      <c r="GN100" s="108"/>
      <c r="GO100" s="108"/>
      <c r="GP100" s="108"/>
      <c r="GQ100" s="116"/>
      <c r="GR100" s="119" t="str">
        <f>GR96</f>
        <v/>
      </c>
      <c r="GS100" s="54"/>
      <c r="GT100" s="54"/>
      <c r="GU100" s="54"/>
      <c r="GV100" s="54"/>
      <c r="GW100" s="54"/>
      <c r="GX100" s="54"/>
      <c r="GY100" s="54"/>
      <c r="GZ100" s="54"/>
      <c r="HA100" s="54"/>
      <c r="HB100" s="54"/>
      <c r="HC100" s="54"/>
      <c r="HD100" s="54"/>
      <c r="HE100" s="54"/>
      <c r="HF100" s="54"/>
      <c r="HG100" s="54"/>
      <c r="HH100" s="54"/>
      <c r="HI100" s="54"/>
      <c r="HJ100" s="54"/>
      <c r="HK100" s="54"/>
      <c r="HL100" s="54"/>
      <c r="HM100" s="54"/>
      <c r="HN100" s="54"/>
      <c r="HO100" s="54"/>
      <c r="HP100" s="54"/>
      <c r="HQ100" s="54"/>
      <c r="HR100" s="54"/>
      <c r="HS100" s="54"/>
      <c r="HT100" s="54"/>
      <c r="HU100" s="54"/>
      <c r="HV100" s="54"/>
      <c r="HW100" s="54"/>
      <c r="HX100" s="54"/>
      <c r="HY100" s="54"/>
      <c r="HZ100" s="54"/>
      <c r="IA100" s="54"/>
      <c r="IB100" s="54"/>
      <c r="IC100" s="54"/>
      <c r="ID100" s="54"/>
      <c r="IE100" s="54"/>
      <c r="IF100" s="54"/>
      <c r="IG100" s="54"/>
      <c r="IH100" s="54"/>
      <c r="II100" s="54"/>
      <c r="IJ100" s="54"/>
      <c r="IK100" s="54"/>
      <c r="IL100" s="54"/>
      <c r="IM100" s="54"/>
      <c r="IN100" s="54"/>
      <c r="IO100" s="54"/>
      <c r="IP100" s="54"/>
      <c r="IQ100" s="54"/>
      <c r="IR100" s="54"/>
      <c r="IS100" s="54"/>
      <c r="IT100" s="54"/>
      <c r="IU100" s="54"/>
      <c r="IV100" s="54"/>
      <c r="IW100" s="54"/>
      <c r="IX100" s="54"/>
      <c r="IY100" s="54"/>
      <c r="IZ100" s="54"/>
      <c r="JA100" s="54"/>
      <c r="JB100" s="54"/>
      <c r="JC100" s="54"/>
      <c r="JD100" s="54"/>
      <c r="JE100" s="54"/>
      <c r="JF100" s="54"/>
      <c r="JG100" s="54"/>
      <c r="JH100" s="54"/>
      <c r="JI100" s="54"/>
      <c r="JJ100" s="54"/>
      <c r="JK100" s="54"/>
      <c r="JL100" s="54"/>
      <c r="JM100" s="54"/>
      <c r="JN100" s="54"/>
      <c r="JO100" s="54"/>
      <c r="JP100" s="54"/>
      <c r="JQ100" s="54"/>
      <c r="JR100" s="54"/>
      <c r="JS100" s="54"/>
      <c r="JT100" s="54"/>
      <c r="JU100" s="54"/>
      <c r="JV100" s="54"/>
      <c r="JW100" s="54"/>
      <c r="JX100" s="54"/>
      <c r="JY100" s="54"/>
      <c r="JZ100" s="54"/>
      <c r="KA100" s="54"/>
      <c r="KB100" s="54"/>
      <c r="KC100" s="54"/>
      <c r="KD100" s="54"/>
      <c r="KE100" s="54"/>
      <c r="KF100" s="54"/>
      <c r="KG100" s="54"/>
      <c r="KH100" s="54"/>
      <c r="KI100" s="54"/>
      <c r="KJ100" s="54"/>
      <c r="KK100" s="54"/>
      <c r="KL100" s="54"/>
      <c r="KM100" s="54"/>
      <c r="KN100" s="54"/>
      <c r="KO100" s="54"/>
      <c r="KP100" s="54"/>
      <c r="KQ100" s="54"/>
      <c r="KR100" s="54"/>
      <c r="KS100" s="54"/>
      <c r="KT100" s="54"/>
      <c r="KU100" s="54"/>
      <c r="KV100" s="54"/>
      <c r="KW100" s="54"/>
      <c r="KX100" s="54"/>
    </row>
    <row r="101" ht="5.2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c r="BS101" s="54"/>
      <c r="BT101" s="54"/>
      <c r="BU101" s="54"/>
      <c r="BV101" s="54"/>
      <c r="BW101" s="108"/>
      <c r="BX101" s="60"/>
      <c r="CH101" s="11"/>
      <c r="CI101" s="10"/>
      <c r="CK101" s="11"/>
      <c r="CL101" s="10"/>
      <c r="DA101" s="11"/>
      <c r="DB101" s="10"/>
      <c r="DF101" s="108"/>
      <c r="DG101" s="108"/>
      <c r="DH101" s="108"/>
      <c r="DI101" s="108"/>
      <c r="DJ101" s="108"/>
      <c r="DK101" s="108"/>
      <c r="DL101" s="108"/>
      <c r="DM101" s="108"/>
      <c r="DN101" s="108"/>
      <c r="DQ101" s="11"/>
      <c r="DR101" s="10"/>
      <c r="DT101" s="11"/>
      <c r="DU101" s="10"/>
      <c r="DX101" s="108"/>
      <c r="DY101" s="108"/>
      <c r="DZ101" s="108"/>
      <c r="EA101" s="108"/>
      <c r="EB101" s="108"/>
      <c r="EC101" s="108"/>
      <c r="ED101" s="108"/>
      <c r="EE101" s="116"/>
      <c r="EF101" s="108"/>
      <c r="EG101" s="54"/>
      <c r="EH101" s="54"/>
      <c r="EI101" s="108"/>
      <c r="EJ101" s="60"/>
      <c r="ET101" s="11"/>
      <c r="EU101" s="10"/>
      <c r="EW101" s="11"/>
      <c r="EX101" s="10"/>
      <c r="FM101" s="11"/>
      <c r="FN101" s="10"/>
      <c r="FR101" s="108"/>
      <c r="FS101" s="108"/>
      <c r="FT101" s="108"/>
      <c r="FU101" s="108"/>
      <c r="FV101" s="108"/>
      <c r="FW101" s="108"/>
      <c r="FX101" s="108"/>
      <c r="FY101" s="108"/>
      <c r="FZ101" s="108"/>
      <c r="GC101" s="11"/>
      <c r="GD101" s="10"/>
      <c r="GF101" s="11"/>
      <c r="GG101" s="10"/>
      <c r="GJ101" s="108"/>
      <c r="GK101" s="108"/>
      <c r="GL101" s="108"/>
      <c r="GM101" s="108"/>
      <c r="GN101" s="108"/>
      <c r="GO101" s="108"/>
      <c r="GP101" s="108"/>
      <c r="GQ101" s="116"/>
      <c r="GR101" s="108"/>
      <c r="GS101" s="54"/>
      <c r="GT101" s="54"/>
      <c r="GU101" s="54"/>
      <c r="GV101" s="54"/>
      <c r="GW101" s="54"/>
      <c r="GX101" s="54"/>
      <c r="GY101" s="54"/>
      <c r="GZ101" s="54"/>
      <c r="HA101" s="54"/>
      <c r="HB101" s="54"/>
      <c r="HC101" s="54"/>
      <c r="HD101" s="54"/>
      <c r="HE101" s="54"/>
      <c r="HF101" s="54"/>
      <c r="HG101" s="54"/>
      <c r="HH101" s="54"/>
      <c r="HI101" s="54"/>
      <c r="HJ101" s="54"/>
      <c r="HK101" s="54"/>
      <c r="HL101" s="54"/>
      <c r="HM101" s="54"/>
      <c r="HN101" s="54"/>
      <c r="HO101" s="54"/>
      <c r="HP101" s="54"/>
      <c r="HQ101" s="54"/>
      <c r="HR101" s="54"/>
      <c r="HS101" s="54"/>
      <c r="HT101" s="54"/>
      <c r="HU101" s="54"/>
      <c r="HV101" s="54"/>
      <c r="HW101" s="54"/>
      <c r="HX101" s="54"/>
      <c r="HY101" s="54"/>
      <c r="HZ101" s="54"/>
      <c r="IA101" s="54"/>
      <c r="IB101" s="54"/>
      <c r="IC101" s="54"/>
      <c r="ID101" s="54"/>
      <c r="IE101" s="54"/>
      <c r="IF101" s="54"/>
      <c r="IG101" s="54"/>
      <c r="IH101" s="54"/>
      <c r="II101" s="54"/>
      <c r="IJ101" s="54"/>
      <c r="IK101" s="54"/>
      <c r="IL101" s="54"/>
      <c r="IM101" s="54"/>
      <c r="IN101" s="54"/>
      <c r="IO101" s="54"/>
      <c r="IP101" s="54"/>
      <c r="IQ101" s="54"/>
      <c r="IR101" s="54"/>
      <c r="IS101" s="54"/>
      <c r="IT101" s="54"/>
      <c r="IU101" s="54"/>
      <c r="IV101" s="54"/>
      <c r="IW101" s="54"/>
      <c r="IX101" s="54"/>
      <c r="IY101" s="54"/>
      <c r="IZ101" s="54"/>
      <c r="JA101" s="54"/>
      <c r="JB101" s="54"/>
      <c r="JC101" s="54"/>
      <c r="JD101" s="54"/>
      <c r="JE101" s="54"/>
      <c r="JF101" s="54"/>
      <c r="JG101" s="54"/>
      <c r="JH101" s="54"/>
      <c r="JI101" s="54"/>
      <c r="JJ101" s="54"/>
      <c r="JK101" s="54"/>
      <c r="JL101" s="54"/>
      <c r="JM101" s="54"/>
      <c r="JN101" s="54"/>
      <c r="JO101" s="54"/>
      <c r="JP101" s="54"/>
      <c r="JQ101" s="54"/>
      <c r="JR101" s="54"/>
      <c r="JS101" s="54"/>
      <c r="JT101" s="54"/>
      <c r="JU101" s="54"/>
      <c r="JV101" s="54"/>
      <c r="JW101" s="54"/>
      <c r="JX101" s="54"/>
      <c r="JY101" s="54"/>
      <c r="JZ101" s="54"/>
      <c r="KA101" s="54"/>
      <c r="KB101" s="54"/>
      <c r="KC101" s="54"/>
      <c r="KD101" s="54"/>
      <c r="KE101" s="54"/>
      <c r="KF101" s="54"/>
      <c r="KG101" s="54"/>
      <c r="KH101" s="54"/>
      <c r="KI101" s="54"/>
      <c r="KJ101" s="54"/>
      <c r="KK101" s="54"/>
      <c r="KL101" s="54"/>
      <c r="KM101" s="54"/>
      <c r="KN101" s="54"/>
      <c r="KO101" s="54"/>
      <c r="KP101" s="54"/>
      <c r="KQ101" s="54"/>
      <c r="KR101" s="54"/>
      <c r="KS101" s="54"/>
      <c r="KT101" s="54"/>
      <c r="KU101" s="54"/>
      <c r="KV101" s="54"/>
      <c r="KW101" s="54"/>
      <c r="KX101" s="54"/>
    </row>
    <row r="102" ht="5.2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c r="BS102" s="54"/>
      <c r="BT102" s="54"/>
      <c r="BU102" s="54"/>
      <c r="BV102" s="54"/>
      <c r="BW102" s="108"/>
      <c r="BX102" s="88"/>
      <c r="BY102" s="13"/>
      <c r="BZ102" s="13"/>
      <c r="CA102" s="13"/>
      <c r="CB102" s="13"/>
      <c r="CC102" s="13"/>
      <c r="CD102" s="13"/>
      <c r="CE102" s="13"/>
      <c r="CF102" s="13"/>
      <c r="CG102" s="13"/>
      <c r="CH102" s="14"/>
      <c r="CI102" s="12"/>
      <c r="CJ102" s="13"/>
      <c r="CK102" s="14"/>
      <c r="CL102" s="12"/>
      <c r="CM102" s="13"/>
      <c r="CN102" s="13"/>
      <c r="CO102" s="13"/>
      <c r="CP102" s="13"/>
      <c r="CQ102" s="13"/>
      <c r="CR102" s="13"/>
      <c r="CS102" s="13"/>
      <c r="CT102" s="13"/>
      <c r="CU102" s="13"/>
      <c r="CV102" s="13"/>
      <c r="CW102" s="13"/>
      <c r="CX102" s="13"/>
      <c r="CY102" s="13"/>
      <c r="CZ102" s="13"/>
      <c r="DA102" s="14"/>
      <c r="DB102" s="12"/>
      <c r="DC102" s="13"/>
      <c r="DD102" s="13"/>
      <c r="DE102" s="13"/>
      <c r="DF102" s="128"/>
      <c r="DG102" s="128"/>
      <c r="DH102" s="128"/>
      <c r="DI102" s="128"/>
      <c r="DJ102" s="128"/>
      <c r="DK102" s="128"/>
      <c r="DL102" s="128"/>
      <c r="DM102" s="128"/>
      <c r="DN102" s="128"/>
      <c r="DO102" s="13"/>
      <c r="DP102" s="13"/>
      <c r="DQ102" s="14"/>
      <c r="DR102" s="12"/>
      <c r="DS102" s="13"/>
      <c r="DT102" s="14"/>
      <c r="DU102" s="12"/>
      <c r="DV102" s="13"/>
      <c r="DW102" s="13"/>
      <c r="DX102" s="128"/>
      <c r="DY102" s="128"/>
      <c r="DZ102" s="128"/>
      <c r="EA102" s="128"/>
      <c r="EB102" s="128"/>
      <c r="EC102" s="128"/>
      <c r="ED102" s="128"/>
      <c r="EE102" s="129"/>
      <c r="EF102" s="108"/>
      <c r="EG102" s="54"/>
      <c r="EH102" s="54"/>
      <c r="EI102" s="108"/>
      <c r="EJ102" s="88"/>
      <c r="EK102" s="13"/>
      <c r="EL102" s="13"/>
      <c r="EM102" s="13"/>
      <c r="EN102" s="13"/>
      <c r="EO102" s="13"/>
      <c r="EP102" s="13"/>
      <c r="EQ102" s="13"/>
      <c r="ER102" s="13"/>
      <c r="ES102" s="13"/>
      <c r="ET102" s="14"/>
      <c r="EU102" s="12"/>
      <c r="EV102" s="13"/>
      <c r="EW102" s="14"/>
      <c r="EX102" s="12"/>
      <c r="EY102" s="13"/>
      <c r="EZ102" s="13"/>
      <c r="FA102" s="13"/>
      <c r="FB102" s="13"/>
      <c r="FC102" s="13"/>
      <c r="FD102" s="13"/>
      <c r="FE102" s="13"/>
      <c r="FF102" s="13"/>
      <c r="FG102" s="13"/>
      <c r="FH102" s="13"/>
      <c r="FI102" s="13"/>
      <c r="FJ102" s="13"/>
      <c r="FK102" s="13"/>
      <c r="FL102" s="13"/>
      <c r="FM102" s="14"/>
      <c r="FN102" s="12"/>
      <c r="FO102" s="13"/>
      <c r="FP102" s="13"/>
      <c r="FQ102" s="13"/>
      <c r="FR102" s="128"/>
      <c r="FS102" s="128"/>
      <c r="FT102" s="128"/>
      <c r="FU102" s="128"/>
      <c r="FV102" s="128"/>
      <c r="FW102" s="128"/>
      <c r="FX102" s="128"/>
      <c r="FY102" s="128"/>
      <c r="FZ102" s="128"/>
      <c r="GA102" s="13"/>
      <c r="GB102" s="13"/>
      <c r="GC102" s="14"/>
      <c r="GD102" s="12"/>
      <c r="GE102" s="13"/>
      <c r="GF102" s="14"/>
      <c r="GG102" s="12"/>
      <c r="GH102" s="13"/>
      <c r="GI102" s="13"/>
      <c r="GJ102" s="128"/>
      <c r="GK102" s="128"/>
      <c r="GL102" s="128"/>
      <c r="GM102" s="128"/>
      <c r="GN102" s="128"/>
      <c r="GO102" s="128"/>
      <c r="GP102" s="128"/>
      <c r="GQ102" s="129"/>
      <c r="GR102" s="108"/>
      <c r="GS102" s="54"/>
      <c r="GT102" s="54"/>
      <c r="GU102" s="54"/>
      <c r="GV102" s="54"/>
      <c r="GW102" s="54"/>
      <c r="GX102" s="54"/>
      <c r="GY102" s="54"/>
      <c r="GZ102" s="54"/>
      <c r="HA102" s="54"/>
      <c r="HB102" s="54"/>
      <c r="HC102" s="54"/>
      <c r="HD102" s="54"/>
      <c r="HE102" s="54"/>
      <c r="HF102" s="54"/>
      <c r="HG102" s="54"/>
      <c r="HH102" s="54"/>
      <c r="HI102" s="54"/>
      <c r="HJ102" s="54"/>
      <c r="HK102" s="54"/>
      <c r="HL102" s="54"/>
      <c r="HM102" s="54"/>
      <c r="HN102" s="54"/>
      <c r="HO102" s="54"/>
      <c r="HP102" s="54"/>
      <c r="HQ102" s="54"/>
      <c r="HR102" s="54"/>
      <c r="HS102" s="54"/>
      <c r="HT102" s="54"/>
      <c r="HU102" s="54"/>
      <c r="HV102" s="54"/>
      <c r="HW102" s="54"/>
      <c r="HX102" s="54"/>
      <c r="HY102" s="54"/>
      <c r="HZ102" s="54"/>
      <c r="IA102" s="54"/>
      <c r="IB102" s="54"/>
      <c r="IC102" s="54"/>
      <c r="ID102" s="54"/>
      <c r="IE102" s="54"/>
      <c r="IF102" s="54"/>
      <c r="IG102" s="54"/>
      <c r="IH102" s="54"/>
      <c r="II102" s="54"/>
      <c r="IJ102" s="54"/>
      <c r="IK102" s="54"/>
      <c r="IL102" s="54"/>
      <c r="IM102" s="54"/>
      <c r="IN102" s="54"/>
      <c r="IO102" s="54"/>
      <c r="IP102" s="54"/>
      <c r="IQ102" s="54"/>
      <c r="IR102" s="54"/>
      <c r="IS102" s="54"/>
      <c r="IT102" s="54"/>
      <c r="IU102" s="54"/>
      <c r="IV102" s="54"/>
      <c r="IW102" s="54"/>
      <c r="IX102" s="54"/>
      <c r="IY102" s="54"/>
      <c r="IZ102" s="54"/>
      <c r="JA102" s="54"/>
      <c r="JB102" s="54"/>
      <c r="JC102" s="54"/>
      <c r="JD102" s="54"/>
      <c r="JE102" s="54"/>
      <c r="JF102" s="54"/>
      <c r="JG102" s="54"/>
      <c r="JH102" s="54"/>
      <c r="JI102" s="54"/>
      <c r="JJ102" s="54"/>
      <c r="JK102" s="54"/>
      <c r="JL102" s="54"/>
      <c r="JM102" s="54"/>
      <c r="JN102" s="54"/>
      <c r="JO102" s="54"/>
      <c r="JP102" s="54"/>
      <c r="JQ102" s="54"/>
      <c r="JR102" s="54"/>
      <c r="JS102" s="54"/>
      <c r="JT102" s="54"/>
      <c r="JU102" s="54"/>
      <c r="JV102" s="54"/>
      <c r="JW102" s="54"/>
      <c r="JX102" s="54"/>
      <c r="JY102" s="54"/>
      <c r="JZ102" s="54"/>
      <c r="KA102" s="54"/>
      <c r="KB102" s="54"/>
      <c r="KC102" s="54"/>
      <c r="KD102" s="54"/>
      <c r="KE102" s="54"/>
      <c r="KF102" s="54"/>
      <c r="KG102" s="54"/>
      <c r="KH102" s="54"/>
      <c r="KI102" s="54"/>
      <c r="KJ102" s="54"/>
      <c r="KK102" s="54"/>
      <c r="KL102" s="54"/>
      <c r="KM102" s="54"/>
      <c r="KN102" s="54"/>
      <c r="KO102" s="54"/>
      <c r="KP102" s="54"/>
      <c r="KQ102" s="54"/>
      <c r="KR102" s="54"/>
      <c r="KS102" s="54"/>
      <c r="KT102" s="54"/>
      <c r="KU102" s="54"/>
      <c r="KV102" s="54"/>
      <c r="KW102" s="54"/>
      <c r="KX102" s="54"/>
    </row>
    <row r="103" ht="5.2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c r="BS103" s="54"/>
      <c r="BT103" s="54"/>
      <c r="BU103" s="54"/>
      <c r="BV103" s="54"/>
      <c r="BW103" s="119" t="str">
        <f>if($DD$6=0,"",qualreseeding!AC4)</f>
        <v/>
      </c>
      <c r="BX103" s="130" t="str">
        <f t="array" ref="BX103">xlookup(BW103,qualdata!$M$2:$M$17,qualdata!$O$2:$O$17,"")</f>
        <v/>
      </c>
      <c r="BY103" s="8"/>
      <c r="BZ103" s="8"/>
      <c r="CA103" s="8"/>
      <c r="CB103" s="93" t="str">
        <f t="array" ref="CB103">xlookup(BW103,qualdata!$M$2:$M$17,qualdata!$N$2:$N$17,"")</f>
        <v/>
      </c>
      <c r="CC103" s="8"/>
      <c r="CD103" s="8"/>
      <c r="CE103" s="8"/>
      <c r="CF103" s="8"/>
      <c r="CG103" s="8"/>
      <c r="CH103" s="8"/>
      <c r="CI103" s="8"/>
      <c r="CJ103" s="8"/>
      <c r="CK103" s="8"/>
      <c r="CL103" s="8"/>
      <c r="CM103" s="8"/>
      <c r="CN103" s="8"/>
      <c r="CO103" s="8"/>
      <c r="CP103" s="8"/>
      <c r="CQ103" s="8"/>
      <c r="CR103" s="8"/>
      <c r="CS103" s="8"/>
      <c r="CT103" s="8"/>
      <c r="CU103" s="8"/>
      <c r="CV103" s="8"/>
      <c r="CW103" s="8"/>
      <c r="CX103" s="94"/>
      <c r="CY103" s="8"/>
      <c r="CZ103" s="8"/>
      <c r="DA103" s="9"/>
      <c r="DB103" s="95"/>
      <c r="DC103" s="8"/>
      <c r="DD103" s="8"/>
      <c r="DE103" s="8"/>
      <c r="DF103" s="96" t="str">
        <f t="array" ref="DF103">xlookup(EF103,qualdata!$M$2:$M$17,qualdata!$N$2:$N$17,"")</f>
        <v/>
      </c>
      <c r="DG103" s="8"/>
      <c r="DH103" s="8"/>
      <c r="DI103" s="8"/>
      <c r="DJ103" s="8"/>
      <c r="DK103" s="8"/>
      <c r="DL103" s="8"/>
      <c r="DM103" s="8"/>
      <c r="DN103" s="8"/>
      <c r="DO103" s="8"/>
      <c r="DP103" s="8"/>
      <c r="DQ103" s="8"/>
      <c r="DR103" s="8"/>
      <c r="DS103" s="8"/>
      <c r="DT103" s="8"/>
      <c r="DU103" s="8"/>
      <c r="DV103" s="8"/>
      <c r="DW103" s="8"/>
      <c r="DX103" s="8"/>
      <c r="DY103" s="8"/>
      <c r="DZ103" s="8"/>
      <c r="EA103" s="8"/>
      <c r="EB103" s="131" t="str">
        <f t="array" ref="EB103">xlookup(EF103,qualdata!$M$2:$M$17,qualdata!$O$2:$O$17,"")</f>
        <v/>
      </c>
      <c r="EC103" s="8"/>
      <c r="ED103" s="8"/>
      <c r="EE103" s="98"/>
      <c r="EF103" s="119" t="str">
        <f>if($DD$6=0,"",qualreseeding!AD4)</f>
        <v/>
      </c>
      <c r="EG103" s="54"/>
      <c r="EH103" s="54"/>
      <c r="EI103" s="119" t="str">
        <f>if($DD$6=0,"",qualreseeding!AC13)</f>
        <v/>
      </c>
      <c r="EJ103" s="130" t="str">
        <f t="array" ref="EJ103">xlookup(EI103,qualdata!$M$2:$M$17,qualdata!$O$2:$O$17,"")</f>
        <v/>
      </c>
      <c r="EK103" s="8"/>
      <c r="EL103" s="8"/>
      <c r="EM103" s="8"/>
      <c r="EN103" s="93" t="str">
        <f t="array" ref="EN103">xlookup(EI103,qualdata!$M$2:$M$17,qualdata!$N$2:$N$17,"")</f>
        <v/>
      </c>
      <c r="EO103" s="8"/>
      <c r="EP103" s="8"/>
      <c r="EQ103" s="8"/>
      <c r="ER103" s="8"/>
      <c r="ES103" s="8"/>
      <c r="ET103" s="8"/>
      <c r="EU103" s="8"/>
      <c r="EV103" s="8"/>
      <c r="EW103" s="8"/>
      <c r="EX103" s="8"/>
      <c r="EY103" s="8"/>
      <c r="EZ103" s="8"/>
      <c r="FA103" s="8"/>
      <c r="FB103" s="8"/>
      <c r="FC103" s="8"/>
      <c r="FD103" s="8"/>
      <c r="FE103" s="8"/>
      <c r="FF103" s="8"/>
      <c r="FG103" s="8"/>
      <c r="FH103" s="8"/>
      <c r="FI103" s="8"/>
      <c r="FJ103" s="94"/>
      <c r="FK103" s="8"/>
      <c r="FL103" s="8"/>
      <c r="FM103" s="9"/>
      <c r="FN103" s="95"/>
      <c r="FO103" s="8"/>
      <c r="FP103" s="8"/>
      <c r="FQ103" s="8"/>
      <c r="FR103" s="96" t="str">
        <f t="array" ref="FR103">xlookup(GR103,qualdata!$M$2:$M$17,qualdata!$N$2:$N$17,"")</f>
        <v/>
      </c>
      <c r="FS103" s="8"/>
      <c r="FT103" s="8"/>
      <c r="FU103" s="8"/>
      <c r="FV103" s="8"/>
      <c r="FW103" s="8"/>
      <c r="FX103" s="8"/>
      <c r="FY103" s="8"/>
      <c r="FZ103" s="8"/>
      <c r="GA103" s="8"/>
      <c r="GB103" s="8"/>
      <c r="GC103" s="8"/>
      <c r="GD103" s="8"/>
      <c r="GE103" s="8"/>
      <c r="GF103" s="8"/>
      <c r="GG103" s="8"/>
      <c r="GH103" s="8"/>
      <c r="GI103" s="8"/>
      <c r="GJ103" s="8"/>
      <c r="GK103" s="8"/>
      <c r="GL103" s="8"/>
      <c r="GM103" s="8"/>
      <c r="GN103" s="131" t="str">
        <f t="array" ref="GN103">xlookup(GR103,qualdata!$M$2:$M$17,qualdata!$O$2:$O$17,"")</f>
        <v/>
      </c>
      <c r="GO103" s="8"/>
      <c r="GP103" s="8"/>
      <c r="GQ103" s="98"/>
      <c r="GR103" s="119" t="str">
        <f>if($DD$6=0,"",qualreseeding!AD13)</f>
        <v/>
      </c>
      <c r="GS103" s="54"/>
      <c r="GT103" s="54"/>
      <c r="GU103" s="54"/>
      <c r="GV103" s="54"/>
      <c r="GW103" s="54"/>
      <c r="GX103" s="54"/>
      <c r="GY103" s="54"/>
      <c r="GZ103" s="54"/>
      <c r="HA103" s="54"/>
      <c r="HB103" s="54"/>
      <c r="HC103" s="54"/>
      <c r="HD103" s="54"/>
      <c r="HE103" s="54"/>
      <c r="HF103" s="54"/>
      <c r="HG103" s="54"/>
      <c r="HH103" s="54"/>
      <c r="HI103" s="54"/>
      <c r="HJ103" s="54"/>
      <c r="HK103" s="54"/>
      <c r="HL103" s="54"/>
      <c r="HM103" s="54"/>
      <c r="HN103" s="54"/>
      <c r="HO103" s="54"/>
      <c r="HP103" s="54"/>
      <c r="HQ103" s="54"/>
      <c r="HR103" s="54"/>
      <c r="HS103" s="54"/>
      <c r="HT103" s="54"/>
      <c r="HU103" s="54"/>
      <c r="HV103" s="54"/>
      <c r="HW103" s="54"/>
      <c r="HX103" s="54"/>
      <c r="HY103" s="54"/>
      <c r="HZ103" s="54"/>
      <c r="IA103" s="54"/>
      <c r="IB103" s="54"/>
      <c r="IC103" s="54"/>
      <c r="ID103" s="54"/>
      <c r="IE103" s="54"/>
      <c r="IF103" s="54"/>
      <c r="IG103" s="54"/>
      <c r="IH103" s="54"/>
      <c r="II103" s="54"/>
      <c r="IJ103" s="54"/>
      <c r="IK103" s="54"/>
      <c r="IL103" s="54"/>
      <c r="IM103" s="54"/>
      <c r="IN103" s="54"/>
      <c r="IO103" s="54"/>
      <c r="IP103" s="54"/>
      <c r="IQ103" s="54"/>
      <c r="IR103" s="54"/>
      <c r="IS103" s="54"/>
      <c r="IT103" s="54"/>
      <c r="IU103" s="54"/>
      <c r="IV103" s="54"/>
      <c r="IW103" s="54"/>
      <c r="IX103" s="54"/>
      <c r="IY103" s="54"/>
      <c r="IZ103" s="54"/>
      <c r="JA103" s="54"/>
      <c r="JB103" s="54"/>
      <c r="JC103" s="54"/>
      <c r="JD103" s="54"/>
      <c r="JE103" s="54"/>
      <c r="JF103" s="54"/>
      <c r="JG103" s="54"/>
      <c r="JH103" s="54"/>
      <c r="JI103" s="54"/>
      <c r="JJ103" s="54"/>
      <c r="JK103" s="54"/>
      <c r="JL103" s="54"/>
      <c r="JM103" s="54"/>
      <c r="JN103" s="54"/>
      <c r="JO103" s="54"/>
      <c r="JP103" s="54"/>
      <c r="JQ103" s="54"/>
      <c r="JR103" s="54"/>
      <c r="JS103" s="54"/>
      <c r="JT103" s="54"/>
      <c r="JU103" s="54"/>
      <c r="JV103" s="54"/>
      <c r="JW103" s="54"/>
      <c r="JX103" s="54"/>
      <c r="JY103" s="54"/>
      <c r="JZ103" s="54"/>
      <c r="KA103" s="54"/>
      <c r="KB103" s="54"/>
      <c r="KC103" s="54"/>
      <c r="KD103" s="54"/>
      <c r="KE103" s="54"/>
      <c r="KF103" s="54"/>
      <c r="KG103" s="54"/>
      <c r="KH103" s="54"/>
      <c r="KI103" s="54"/>
      <c r="KJ103" s="54"/>
      <c r="KK103" s="54"/>
      <c r="KL103" s="54"/>
      <c r="KM103" s="54"/>
      <c r="KN103" s="54"/>
      <c r="KO103" s="54"/>
      <c r="KP103" s="54"/>
      <c r="KQ103" s="54"/>
      <c r="KR103" s="54"/>
      <c r="KS103" s="54"/>
      <c r="KT103" s="54"/>
      <c r="KU103" s="54"/>
      <c r="KV103" s="54"/>
      <c r="KW103" s="54"/>
      <c r="KX103" s="54"/>
    </row>
    <row r="104" ht="5.2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c r="BS104" s="54"/>
      <c r="BT104" s="54"/>
      <c r="BU104" s="54"/>
      <c r="BV104" s="54"/>
      <c r="BW104" s="108"/>
      <c r="BX104" s="60"/>
      <c r="DA104" s="11"/>
      <c r="DB104" s="10"/>
      <c r="EE104" s="61"/>
      <c r="EF104" s="108"/>
      <c r="EG104" s="54"/>
      <c r="EH104" s="54"/>
      <c r="EI104" s="108"/>
      <c r="EJ104" s="60"/>
      <c r="FM104" s="11"/>
      <c r="FN104" s="10"/>
      <c r="GQ104" s="61"/>
      <c r="GR104" s="108"/>
      <c r="GS104" s="54"/>
      <c r="GT104" s="54"/>
      <c r="GU104" s="54"/>
      <c r="GV104" s="54"/>
      <c r="GW104" s="54"/>
      <c r="GX104" s="54"/>
      <c r="GY104" s="54"/>
      <c r="GZ104" s="54"/>
      <c r="HA104" s="54"/>
      <c r="HB104" s="54"/>
      <c r="HC104" s="54"/>
      <c r="HD104" s="54"/>
      <c r="HE104" s="54"/>
      <c r="HF104" s="54"/>
      <c r="HG104" s="54"/>
      <c r="HH104" s="54"/>
      <c r="HI104" s="54"/>
      <c r="HJ104" s="54"/>
      <c r="HK104" s="54"/>
      <c r="HL104" s="54"/>
      <c r="HM104" s="54"/>
      <c r="HN104" s="54"/>
      <c r="HO104" s="54"/>
      <c r="HP104" s="54"/>
      <c r="HQ104" s="54"/>
      <c r="HR104" s="54"/>
      <c r="HS104" s="54"/>
      <c r="HT104" s="54"/>
      <c r="HU104" s="54"/>
      <c r="HV104" s="54"/>
      <c r="HW104" s="54"/>
      <c r="HX104" s="54"/>
      <c r="HY104" s="54"/>
      <c r="HZ104" s="54"/>
      <c r="IA104" s="54"/>
      <c r="IB104" s="54"/>
      <c r="IC104" s="54"/>
      <c r="ID104" s="54"/>
      <c r="IE104" s="54"/>
      <c r="IF104" s="54"/>
      <c r="IG104" s="54"/>
      <c r="IH104" s="54"/>
      <c r="II104" s="54"/>
      <c r="IJ104" s="54"/>
      <c r="IK104" s="54"/>
      <c r="IL104" s="54"/>
      <c r="IM104" s="54"/>
      <c r="IN104" s="54"/>
      <c r="IO104" s="54"/>
      <c r="IP104" s="54"/>
      <c r="IQ104" s="54"/>
      <c r="IR104" s="54"/>
      <c r="IS104" s="54"/>
      <c r="IT104" s="54"/>
      <c r="IU104" s="54"/>
      <c r="IV104" s="54"/>
      <c r="IW104" s="54"/>
      <c r="IX104" s="54"/>
      <c r="IY104" s="54"/>
      <c r="IZ104" s="54"/>
      <c r="JA104" s="54"/>
      <c r="JB104" s="54"/>
      <c r="JC104" s="54"/>
      <c r="JD104" s="54"/>
      <c r="JE104" s="54"/>
      <c r="JF104" s="54"/>
      <c r="JG104" s="54"/>
      <c r="JH104" s="54"/>
      <c r="JI104" s="54"/>
      <c r="JJ104" s="54"/>
      <c r="JK104" s="54"/>
      <c r="JL104" s="54"/>
      <c r="JM104" s="54"/>
      <c r="JN104" s="54"/>
      <c r="JO104" s="54"/>
      <c r="JP104" s="54"/>
      <c r="JQ104" s="54"/>
      <c r="JR104" s="54"/>
      <c r="JS104" s="54"/>
      <c r="JT104" s="54"/>
      <c r="JU104" s="54"/>
      <c r="JV104" s="54"/>
      <c r="JW104" s="54"/>
      <c r="JX104" s="54"/>
      <c r="JY104" s="54"/>
      <c r="JZ104" s="54"/>
      <c r="KA104" s="54"/>
      <c r="KB104" s="54"/>
      <c r="KC104" s="54"/>
      <c r="KD104" s="54"/>
      <c r="KE104" s="54"/>
      <c r="KF104" s="54"/>
      <c r="KG104" s="54"/>
      <c r="KH104" s="54"/>
      <c r="KI104" s="54"/>
      <c r="KJ104" s="54"/>
      <c r="KK104" s="54"/>
      <c r="KL104" s="54"/>
      <c r="KM104" s="54"/>
      <c r="KN104" s="54"/>
      <c r="KO104" s="54"/>
      <c r="KP104" s="54"/>
      <c r="KQ104" s="54"/>
      <c r="KR104" s="54"/>
      <c r="KS104" s="54"/>
      <c r="KT104" s="54"/>
      <c r="KU104" s="54"/>
      <c r="KV104" s="54"/>
      <c r="KW104" s="54"/>
      <c r="KX104" s="54"/>
    </row>
    <row r="105" ht="5.2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c r="BS105" s="54"/>
      <c r="BT105" s="54"/>
      <c r="BU105" s="54"/>
      <c r="BV105" s="54"/>
      <c r="BW105" s="108"/>
      <c r="BX105" s="60"/>
      <c r="DA105" s="11"/>
      <c r="DB105" s="10"/>
      <c r="EE105" s="61"/>
      <c r="EF105" s="108"/>
      <c r="EG105" s="54"/>
      <c r="EH105" s="54"/>
      <c r="EI105" s="108"/>
      <c r="EJ105" s="60"/>
      <c r="FM105" s="11"/>
      <c r="FN105" s="10"/>
      <c r="GQ105" s="61"/>
      <c r="GR105" s="108"/>
      <c r="GS105" s="54"/>
      <c r="GT105" s="54"/>
      <c r="GU105" s="54"/>
      <c r="GV105" s="54"/>
      <c r="GW105" s="54"/>
      <c r="GX105" s="54"/>
      <c r="GY105" s="54"/>
      <c r="GZ105" s="54"/>
      <c r="HA105" s="54"/>
      <c r="HB105" s="54"/>
      <c r="HC105" s="54"/>
      <c r="HD105" s="54"/>
      <c r="HE105" s="54"/>
      <c r="HF105" s="54"/>
      <c r="HG105" s="54"/>
      <c r="HH105" s="54"/>
      <c r="HI105" s="54"/>
      <c r="HJ105" s="54"/>
      <c r="HK105" s="54"/>
      <c r="HL105" s="54"/>
      <c r="HM105" s="54"/>
      <c r="HN105" s="54"/>
      <c r="HO105" s="54"/>
      <c r="HP105" s="54"/>
      <c r="HQ105" s="54"/>
      <c r="HR105" s="54"/>
      <c r="HS105" s="54"/>
      <c r="HT105" s="54"/>
      <c r="HU105" s="54"/>
      <c r="HV105" s="54"/>
      <c r="HW105" s="54"/>
      <c r="HX105" s="54"/>
      <c r="HY105" s="54"/>
      <c r="HZ105" s="54"/>
      <c r="IA105" s="54"/>
      <c r="IB105" s="54"/>
      <c r="IC105" s="54"/>
      <c r="ID105" s="54"/>
      <c r="IE105" s="54"/>
      <c r="IF105" s="54"/>
      <c r="IG105" s="54"/>
      <c r="IH105" s="54"/>
      <c r="II105" s="54"/>
      <c r="IJ105" s="54"/>
      <c r="IK105" s="54"/>
      <c r="IL105" s="54"/>
      <c r="IM105" s="54"/>
      <c r="IN105" s="54"/>
      <c r="IO105" s="54"/>
      <c r="IP105" s="54"/>
      <c r="IQ105" s="54"/>
      <c r="IR105" s="54"/>
      <c r="IS105" s="54"/>
      <c r="IT105" s="54"/>
      <c r="IU105" s="54"/>
      <c r="IV105" s="54"/>
      <c r="IW105" s="54"/>
      <c r="IX105" s="54"/>
      <c r="IY105" s="54"/>
      <c r="IZ105" s="54"/>
      <c r="JA105" s="54"/>
      <c r="JB105" s="54"/>
      <c r="JC105" s="54"/>
      <c r="JD105" s="54"/>
      <c r="JE105" s="54"/>
      <c r="JF105" s="54"/>
      <c r="JG105" s="54"/>
      <c r="JH105" s="54"/>
      <c r="JI105" s="54"/>
      <c r="JJ105" s="54"/>
      <c r="JK105" s="54"/>
      <c r="JL105" s="54"/>
      <c r="JM105" s="54"/>
      <c r="JN105" s="54"/>
      <c r="JO105" s="54"/>
      <c r="JP105" s="54"/>
      <c r="JQ105" s="54"/>
      <c r="JR105" s="54"/>
      <c r="JS105" s="54"/>
      <c r="JT105" s="54"/>
      <c r="JU105" s="54"/>
      <c r="JV105" s="54"/>
      <c r="JW105" s="54"/>
      <c r="JX105" s="54"/>
      <c r="JY105" s="54"/>
      <c r="JZ105" s="54"/>
      <c r="KA105" s="54"/>
      <c r="KB105" s="54"/>
      <c r="KC105" s="54"/>
      <c r="KD105" s="54"/>
      <c r="KE105" s="54"/>
      <c r="KF105" s="54"/>
      <c r="KG105" s="54"/>
      <c r="KH105" s="54"/>
      <c r="KI105" s="54"/>
      <c r="KJ105" s="54"/>
      <c r="KK105" s="54"/>
      <c r="KL105" s="54"/>
      <c r="KM105" s="54"/>
      <c r="KN105" s="54"/>
      <c r="KO105" s="54"/>
      <c r="KP105" s="54"/>
      <c r="KQ105" s="54"/>
      <c r="KR105" s="54"/>
      <c r="KS105" s="54"/>
      <c r="KT105" s="54"/>
      <c r="KU105" s="54"/>
      <c r="KV105" s="54"/>
      <c r="KW105" s="54"/>
      <c r="KX105" s="54"/>
    </row>
    <row r="106" ht="5.2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c r="BS106" s="54"/>
      <c r="BT106" s="54"/>
      <c r="BU106" s="54"/>
      <c r="BV106" s="54"/>
      <c r="BW106" s="108"/>
      <c r="BX106" s="60"/>
      <c r="DA106" s="11"/>
      <c r="DB106" s="10"/>
      <c r="EE106" s="61"/>
      <c r="EF106" s="108"/>
      <c r="EG106" s="54"/>
      <c r="EH106" s="54"/>
      <c r="EI106" s="108"/>
      <c r="EJ106" s="60"/>
      <c r="FM106" s="11"/>
      <c r="FN106" s="10"/>
      <c r="GQ106" s="61"/>
      <c r="GR106" s="108"/>
      <c r="GS106" s="54"/>
      <c r="GT106" s="54"/>
      <c r="GU106" s="54"/>
      <c r="GV106" s="54"/>
      <c r="GW106" s="54"/>
      <c r="GX106" s="54"/>
      <c r="GY106" s="54"/>
      <c r="GZ106" s="54"/>
      <c r="HA106" s="54"/>
      <c r="HB106" s="54"/>
      <c r="HC106" s="54"/>
      <c r="HD106" s="54"/>
      <c r="HE106" s="54"/>
      <c r="HF106" s="54"/>
      <c r="HG106" s="54"/>
      <c r="HH106" s="54"/>
      <c r="HI106" s="54"/>
      <c r="HJ106" s="54"/>
      <c r="HK106" s="54"/>
      <c r="HL106" s="54"/>
      <c r="HM106" s="54"/>
      <c r="HN106" s="54"/>
      <c r="HO106" s="54"/>
      <c r="HP106" s="54"/>
      <c r="HQ106" s="54"/>
      <c r="HR106" s="54"/>
      <c r="HS106" s="54"/>
      <c r="HT106" s="54"/>
      <c r="HU106" s="54"/>
      <c r="HV106" s="54"/>
      <c r="HW106" s="54"/>
      <c r="HX106" s="54"/>
      <c r="HY106" s="54"/>
      <c r="HZ106" s="54"/>
      <c r="IA106" s="54"/>
      <c r="IB106" s="54"/>
      <c r="IC106" s="54"/>
      <c r="ID106" s="54"/>
      <c r="IE106" s="54"/>
      <c r="IF106" s="54"/>
      <c r="IG106" s="54"/>
      <c r="IH106" s="54"/>
      <c r="II106" s="54"/>
      <c r="IJ106" s="54"/>
      <c r="IK106" s="54"/>
      <c r="IL106" s="54"/>
      <c r="IM106" s="54"/>
      <c r="IN106" s="54"/>
      <c r="IO106" s="54"/>
      <c r="IP106" s="54"/>
      <c r="IQ106" s="54"/>
      <c r="IR106" s="54"/>
      <c r="IS106" s="54"/>
      <c r="IT106" s="54"/>
      <c r="IU106" s="54"/>
      <c r="IV106" s="54"/>
      <c r="IW106" s="54"/>
      <c r="IX106" s="54"/>
      <c r="IY106" s="54"/>
      <c r="IZ106" s="54"/>
      <c r="JA106" s="54"/>
      <c r="JB106" s="54"/>
      <c r="JC106" s="54"/>
      <c r="JD106" s="54"/>
      <c r="JE106" s="54"/>
      <c r="JF106" s="54"/>
      <c r="JG106" s="54"/>
      <c r="JH106" s="54"/>
      <c r="JI106" s="54"/>
      <c r="JJ106" s="54"/>
      <c r="JK106" s="54"/>
      <c r="JL106" s="54"/>
      <c r="JM106" s="54"/>
      <c r="JN106" s="54"/>
      <c r="JO106" s="54"/>
      <c r="JP106" s="54"/>
      <c r="JQ106" s="54"/>
      <c r="JR106" s="54"/>
      <c r="JS106" s="54"/>
      <c r="JT106" s="54"/>
      <c r="JU106" s="54"/>
      <c r="JV106" s="54"/>
      <c r="JW106" s="54"/>
      <c r="JX106" s="54"/>
      <c r="JY106" s="54"/>
      <c r="JZ106" s="54"/>
      <c r="KA106" s="54"/>
      <c r="KB106" s="54"/>
      <c r="KC106" s="54"/>
      <c r="KD106" s="54"/>
      <c r="KE106" s="54"/>
      <c r="KF106" s="54"/>
      <c r="KG106" s="54"/>
      <c r="KH106" s="54"/>
      <c r="KI106" s="54"/>
      <c r="KJ106" s="54"/>
      <c r="KK106" s="54"/>
      <c r="KL106" s="54"/>
      <c r="KM106" s="54"/>
      <c r="KN106" s="54"/>
      <c r="KO106" s="54"/>
      <c r="KP106" s="54"/>
      <c r="KQ106" s="54"/>
      <c r="KR106" s="54"/>
      <c r="KS106" s="54"/>
      <c r="KT106" s="54"/>
      <c r="KU106" s="54"/>
      <c r="KV106" s="54"/>
      <c r="KW106" s="54"/>
      <c r="KX106" s="54"/>
    </row>
    <row r="107" ht="5.2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c r="BS107" s="54"/>
      <c r="BT107" s="54"/>
      <c r="BU107" s="54"/>
      <c r="BV107" s="54"/>
      <c r="BW107" s="119" t="str">
        <f>BW103</f>
        <v/>
      </c>
      <c r="BX107" s="112"/>
      <c r="CF107" s="135"/>
      <c r="CH107" s="11"/>
      <c r="CI107" s="126"/>
      <c r="CK107" s="11"/>
      <c r="CL107" s="136"/>
      <c r="CO107" s="108"/>
      <c r="CX107" s="85">
        <f>sum(CF107:CN109)</f>
        <v>0</v>
      </c>
      <c r="DA107" s="11"/>
      <c r="DB107" s="86">
        <f>sum(DO107:DW109)</f>
        <v>0</v>
      </c>
      <c r="DF107" s="108"/>
      <c r="DG107" s="108"/>
      <c r="DH107" s="108"/>
      <c r="DI107" s="108"/>
      <c r="DJ107" s="108"/>
      <c r="DK107" s="108"/>
      <c r="DL107" s="108"/>
      <c r="DM107" s="108"/>
      <c r="DN107" s="108"/>
      <c r="DO107" s="121"/>
      <c r="DQ107" s="11"/>
      <c r="DR107" s="127"/>
      <c r="DT107" s="11"/>
      <c r="DU107" s="127"/>
      <c r="DX107" s="108"/>
      <c r="DY107" s="108"/>
      <c r="DZ107" s="108"/>
      <c r="EA107" s="108"/>
      <c r="EB107" s="108"/>
      <c r="EC107" s="108"/>
      <c r="ED107" s="108"/>
      <c r="EE107" s="116"/>
      <c r="EF107" s="119" t="str">
        <f>EF103</f>
        <v/>
      </c>
      <c r="EG107" s="54"/>
      <c r="EH107" s="54"/>
      <c r="EI107" s="119" t="str">
        <f>EI103</f>
        <v/>
      </c>
      <c r="EJ107" s="112"/>
      <c r="ER107" s="122"/>
      <c r="ET107" s="11"/>
      <c r="EU107" s="126"/>
      <c r="EW107" s="11"/>
      <c r="EX107" s="136"/>
      <c r="FA107" s="108"/>
      <c r="FJ107" s="85">
        <f>sum(ER107:EZ109)</f>
        <v>0</v>
      </c>
      <c r="FM107" s="11"/>
      <c r="FN107" s="86">
        <f>sum(GA107:GI109)</f>
        <v>0</v>
      </c>
      <c r="FR107" s="108"/>
      <c r="FS107" s="108"/>
      <c r="FT107" s="108"/>
      <c r="FU107" s="108"/>
      <c r="FV107" s="108"/>
      <c r="FW107" s="108"/>
      <c r="FX107" s="108"/>
      <c r="FY107" s="108"/>
      <c r="FZ107" s="108"/>
      <c r="GA107" s="121"/>
      <c r="GC107" s="11"/>
      <c r="GD107" s="127"/>
      <c r="GF107" s="11"/>
      <c r="GG107" s="127"/>
      <c r="GJ107" s="108"/>
      <c r="GK107" s="108"/>
      <c r="GL107" s="108"/>
      <c r="GM107" s="108"/>
      <c r="GN107" s="108"/>
      <c r="GO107" s="108"/>
      <c r="GP107" s="108"/>
      <c r="GQ107" s="116"/>
      <c r="GR107" s="119" t="str">
        <f>GR103</f>
        <v/>
      </c>
      <c r="GS107" s="54"/>
      <c r="GT107" s="54"/>
      <c r="GU107" s="54"/>
      <c r="GV107" s="54"/>
      <c r="GW107" s="54"/>
      <c r="GX107" s="54"/>
      <c r="GY107" s="54"/>
      <c r="GZ107" s="54"/>
      <c r="HA107" s="54"/>
      <c r="HB107" s="54"/>
      <c r="HC107" s="54"/>
      <c r="HD107" s="54"/>
      <c r="HE107" s="54"/>
      <c r="HF107" s="54"/>
      <c r="HG107" s="54"/>
      <c r="HH107" s="54"/>
      <c r="HI107" s="54"/>
      <c r="HJ107" s="54"/>
      <c r="HK107" s="54"/>
      <c r="HL107" s="54"/>
      <c r="HM107" s="54"/>
      <c r="HN107" s="54"/>
      <c r="HO107" s="54"/>
      <c r="HP107" s="54"/>
      <c r="HQ107" s="54"/>
      <c r="HR107" s="54"/>
      <c r="HS107" s="54"/>
      <c r="HT107" s="54"/>
      <c r="HU107" s="54"/>
      <c r="HV107" s="54"/>
      <c r="HW107" s="54"/>
      <c r="HX107" s="54"/>
      <c r="HY107" s="54"/>
      <c r="HZ107" s="54"/>
      <c r="IA107" s="54"/>
      <c r="IB107" s="54"/>
      <c r="IC107" s="54"/>
      <c r="ID107" s="54"/>
      <c r="IE107" s="54"/>
      <c r="IF107" s="54"/>
      <c r="IG107" s="54"/>
      <c r="IH107" s="54"/>
      <c r="II107" s="54"/>
      <c r="IJ107" s="54"/>
      <c r="IK107" s="54"/>
      <c r="IL107" s="54"/>
      <c r="IM107" s="54"/>
      <c r="IN107" s="54"/>
      <c r="IO107" s="54"/>
      <c r="IP107" s="54"/>
      <c r="IQ107" s="54"/>
      <c r="IR107" s="54"/>
      <c r="IS107" s="54"/>
      <c r="IT107" s="54"/>
      <c r="IU107" s="54"/>
      <c r="IV107" s="54"/>
      <c r="IW107" s="54"/>
      <c r="IX107" s="54"/>
      <c r="IY107" s="54"/>
      <c r="IZ107" s="54"/>
      <c r="JA107" s="54"/>
      <c r="JB107" s="54"/>
      <c r="JC107" s="54"/>
      <c r="JD107" s="54"/>
      <c r="JE107" s="54"/>
      <c r="JF107" s="54"/>
      <c r="JG107" s="54"/>
      <c r="JH107" s="54"/>
      <c r="JI107" s="54"/>
      <c r="JJ107" s="54"/>
      <c r="JK107" s="54"/>
      <c r="JL107" s="54"/>
      <c r="JM107" s="54"/>
      <c r="JN107" s="54"/>
      <c r="JO107" s="54"/>
      <c r="JP107" s="54"/>
      <c r="JQ107" s="54"/>
      <c r="JR107" s="54"/>
      <c r="JS107" s="54"/>
      <c r="JT107" s="54"/>
      <c r="JU107" s="54"/>
      <c r="JV107" s="54"/>
      <c r="JW107" s="54"/>
      <c r="JX107" s="54"/>
      <c r="JY107" s="54"/>
      <c r="JZ107" s="54"/>
      <c r="KA107" s="54"/>
      <c r="KB107" s="54"/>
      <c r="KC107" s="54"/>
      <c r="KD107" s="54"/>
      <c r="KE107" s="54"/>
      <c r="KF107" s="54"/>
      <c r="KG107" s="54"/>
      <c r="KH107" s="54"/>
      <c r="KI107" s="54"/>
      <c r="KJ107" s="54"/>
      <c r="KK107" s="54"/>
      <c r="KL107" s="54"/>
      <c r="KM107" s="54"/>
      <c r="KN107" s="54"/>
      <c r="KO107" s="54"/>
      <c r="KP107" s="54"/>
      <c r="KQ107" s="54"/>
      <c r="KR107" s="54"/>
      <c r="KS107" s="54"/>
      <c r="KT107" s="54"/>
      <c r="KU107" s="54"/>
      <c r="KV107" s="54"/>
      <c r="KW107" s="54"/>
      <c r="KX107" s="54"/>
    </row>
    <row r="108" ht="5.2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54"/>
      <c r="BK108" s="54"/>
      <c r="BL108" s="54"/>
      <c r="BM108" s="54"/>
      <c r="BN108" s="54"/>
      <c r="BO108" s="54"/>
      <c r="BP108" s="54"/>
      <c r="BQ108" s="54"/>
      <c r="BR108" s="54"/>
      <c r="BS108" s="54"/>
      <c r="BT108" s="54"/>
      <c r="BU108" s="54"/>
      <c r="BV108" s="54"/>
      <c r="BW108" s="108"/>
      <c r="BX108" s="60"/>
      <c r="CH108" s="11"/>
      <c r="CI108" s="10"/>
      <c r="CK108" s="11"/>
      <c r="CL108" s="10"/>
      <c r="DA108" s="11"/>
      <c r="DB108" s="10"/>
      <c r="DF108" s="108"/>
      <c r="DG108" s="108"/>
      <c r="DH108" s="108"/>
      <c r="DI108" s="108"/>
      <c r="DJ108" s="108"/>
      <c r="DK108" s="108"/>
      <c r="DL108" s="108"/>
      <c r="DM108" s="108"/>
      <c r="DN108" s="108"/>
      <c r="DQ108" s="11"/>
      <c r="DR108" s="10"/>
      <c r="DT108" s="11"/>
      <c r="DU108" s="10"/>
      <c r="DX108" s="108"/>
      <c r="DY108" s="108"/>
      <c r="DZ108" s="108"/>
      <c r="EA108" s="108"/>
      <c r="EB108" s="108"/>
      <c r="EC108" s="108"/>
      <c r="ED108" s="108"/>
      <c r="EE108" s="116"/>
      <c r="EF108" s="108"/>
      <c r="EG108" s="54"/>
      <c r="EH108" s="54"/>
      <c r="EI108" s="108"/>
      <c r="EJ108" s="60"/>
      <c r="ET108" s="11"/>
      <c r="EU108" s="10"/>
      <c r="EW108" s="11"/>
      <c r="EX108" s="10"/>
      <c r="FM108" s="11"/>
      <c r="FN108" s="10"/>
      <c r="FR108" s="108"/>
      <c r="FS108" s="108"/>
      <c r="FT108" s="108"/>
      <c r="FU108" s="108"/>
      <c r="FV108" s="108"/>
      <c r="FW108" s="108"/>
      <c r="FX108" s="108"/>
      <c r="FY108" s="108"/>
      <c r="FZ108" s="108"/>
      <c r="GC108" s="11"/>
      <c r="GD108" s="10"/>
      <c r="GF108" s="11"/>
      <c r="GG108" s="10"/>
      <c r="GJ108" s="108"/>
      <c r="GK108" s="108"/>
      <c r="GL108" s="108"/>
      <c r="GM108" s="108"/>
      <c r="GN108" s="108"/>
      <c r="GO108" s="108"/>
      <c r="GP108" s="108"/>
      <c r="GQ108" s="116"/>
      <c r="GR108" s="108"/>
      <c r="GS108" s="54"/>
      <c r="GT108" s="54"/>
      <c r="GU108" s="54"/>
      <c r="GV108" s="54"/>
      <c r="GW108" s="54"/>
      <c r="GX108" s="54"/>
      <c r="GY108" s="54"/>
      <c r="GZ108" s="54"/>
      <c r="HA108" s="54"/>
      <c r="HB108" s="54"/>
      <c r="HC108" s="54"/>
      <c r="HD108" s="54"/>
      <c r="HE108" s="54"/>
      <c r="HF108" s="54"/>
      <c r="HG108" s="54"/>
      <c r="HH108" s="54"/>
      <c r="HI108" s="54"/>
      <c r="HJ108" s="54"/>
      <c r="HK108" s="54"/>
      <c r="HL108" s="54"/>
      <c r="HM108" s="54"/>
      <c r="HN108" s="54"/>
      <c r="HO108" s="54"/>
      <c r="HP108" s="54"/>
      <c r="HQ108" s="54"/>
      <c r="HR108" s="54"/>
      <c r="HS108" s="54"/>
      <c r="HT108" s="54"/>
      <c r="HU108" s="54"/>
      <c r="HV108" s="54"/>
      <c r="HW108" s="54"/>
      <c r="HX108" s="54"/>
      <c r="HY108" s="54"/>
      <c r="HZ108" s="54"/>
      <c r="IA108" s="54"/>
      <c r="IB108" s="54"/>
      <c r="IC108" s="54"/>
      <c r="ID108" s="54"/>
      <c r="IE108" s="54"/>
      <c r="IF108" s="54"/>
      <c r="IG108" s="54"/>
      <c r="IH108" s="54"/>
      <c r="II108" s="54"/>
      <c r="IJ108" s="54"/>
      <c r="IK108" s="54"/>
      <c r="IL108" s="54"/>
      <c r="IM108" s="54"/>
      <c r="IN108" s="54"/>
      <c r="IO108" s="54"/>
      <c r="IP108" s="54"/>
      <c r="IQ108" s="54"/>
      <c r="IR108" s="54"/>
      <c r="IS108" s="54"/>
      <c r="IT108" s="54"/>
      <c r="IU108" s="54"/>
      <c r="IV108" s="54"/>
      <c r="IW108" s="54"/>
      <c r="IX108" s="54"/>
      <c r="IY108" s="54"/>
      <c r="IZ108" s="54"/>
      <c r="JA108" s="54"/>
      <c r="JB108" s="54"/>
      <c r="JC108" s="54"/>
      <c r="JD108" s="54"/>
      <c r="JE108" s="54"/>
      <c r="JF108" s="54"/>
      <c r="JG108" s="54"/>
      <c r="JH108" s="54"/>
      <c r="JI108" s="54"/>
      <c r="JJ108" s="54"/>
      <c r="JK108" s="54"/>
      <c r="JL108" s="54"/>
      <c r="JM108" s="54"/>
      <c r="JN108" s="54"/>
      <c r="JO108" s="54"/>
      <c r="JP108" s="54"/>
      <c r="JQ108" s="54"/>
      <c r="JR108" s="54"/>
      <c r="JS108" s="54"/>
      <c r="JT108" s="54"/>
      <c r="JU108" s="54"/>
      <c r="JV108" s="54"/>
      <c r="JW108" s="54"/>
      <c r="JX108" s="54"/>
      <c r="JY108" s="54"/>
      <c r="JZ108" s="54"/>
      <c r="KA108" s="54"/>
      <c r="KB108" s="54"/>
      <c r="KC108" s="54"/>
      <c r="KD108" s="54"/>
      <c r="KE108" s="54"/>
      <c r="KF108" s="54"/>
      <c r="KG108" s="54"/>
      <c r="KH108" s="54"/>
      <c r="KI108" s="54"/>
      <c r="KJ108" s="54"/>
      <c r="KK108" s="54"/>
      <c r="KL108" s="54"/>
      <c r="KM108" s="54"/>
      <c r="KN108" s="54"/>
      <c r="KO108" s="54"/>
      <c r="KP108" s="54"/>
      <c r="KQ108" s="54"/>
      <c r="KR108" s="54"/>
      <c r="KS108" s="54"/>
      <c r="KT108" s="54"/>
      <c r="KU108" s="54"/>
      <c r="KV108" s="54"/>
      <c r="KW108" s="54"/>
      <c r="KX108" s="54"/>
    </row>
    <row r="109" ht="5.2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c r="BS109" s="54"/>
      <c r="BT109" s="54"/>
      <c r="BU109" s="54"/>
      <c r="BV109" s="54"/>
      <c r="BW109" s="108"/>
      <c r="BX109" s="88"/>
      <c r="BY109" s="13"/>
      <c r="BZ109" s="13"/>
      <c r="CA109" s="13"/>
      <c r="CB109" s="13"/>
      <c r="CC109" s="13"/>
      <c r="CD109" s="13"/>
      <c r="CE109" s="13"/>
      <c r="CF109" s="13"/>
      <c r="CG109" s="13"/>
      <c r="CH109" s="14"/>
      <c r="CI109" s="12"/>
      <c r="CJ109" s="13"/>
      <c r="CK109" s="14"/>
      <c r="CL109" s="12"/>
      <c r="CM109" s="13"/>
      <c r="CN109" s="13"/>
      <c r="CO109" s="13"/>
      <c r="CP109" s="13"/>
      <c r="CQ109" s="13"/>
      <c r="CR109" s="13"/>
      <c r="CS109" s="13"/>
      <c r="CT109" s="13"/>
      <c r="CU109" s="13"/>
      <c r="CV109" s="13"/>
      <c r="CW109" s="13"/>
      <c r="CX109" s="13"/>
      <c r="CY109" s="13"/>
      <c r="CZ109" s="13"/>
      <c r="DA109" s="14"/>
      <c r="DB109" s="12"/>
      <c r="DC109" s="13"/>
      <c r="DD109" s="13"/>
      <c r="DE109" s="13"/>
      <c r="DF109" s="128"/>
      <c r="DG109" s="128"/>
      <c r="DH109" s="128"/>
      <c r="DI109" s="128"/>
      <c r="DJ109" s="128"/>
      <c r="DK109" s="128"/>
      <c r="DL109" s="128"/>
      <c r="DM109" s="128"/>
      <c r="DN109" s="128"/>
      <c r="DO109" s="13"/>
      <c r="DP109" s="13"/>
      <c r="DQ109" s="14"/>
      <c r="DR109" s="12"/>
      <c r="DS109" s="13"/>
      <c r="DT109" s="14"/>
      <c r="DU109" s="12"/>
      <c r="DV109" s="13"/>
      <c r="DW109" s="13"/>
      <c r="DX109" s="128"/>
      <c r="DY109" s="128"/>
      <c r="DZ109" s="128"/>
      <c r="EA109" s="128"/>
      <c r="EB109" s="128"/>
      <c r="EC109" s="128"/>
      <c r="ED109" s="128"/>
      <c r="EE109" s="129"/>
      <c r="EF109" s="108"/>
      <c r="EG109" s="54"/>
      <c r="EH109" s="54"/>
      <c r="EI109" s="108"/>
      <c r="EJ109" s="88"/>
      <c r="EK109" s="13"/>
      <c r="EL109" s="13"/>
      <c r="EM109" s="13"/>
      <c r="EN109" s="13"/>
      <c r="EO109" s="13"/>
      <c r="EP109" s="13"/>
      <c r="EQ109" s="13"/>
      <c r="ER109" s="13"/>
      <c r="ES109" s="13"/>
      <c r="ET109" s="14"/>
      <c r="EU109" s="12"/>
      <c r="EV109" s="13"/>
      <c r="EW109" s="14"/>
      <c r="EX109" s="12"/>
      <c r="EY109" s="13"/>
      <c r="EZ109" s="13"/>
      <c r="FA109" s="13"/>
      <c r="FB109" s="13"/>
      <c r="FC109" s="13"/>
      <c r="FD109" s="13"/>
      <c r="FE109" s="13"/>
      <c r="FF109" s="13"/>
      <c r="FG109" s="13"/>
      <c r="FH109" s="13"/>
      <c r="FI109" s="13"/>
      <c r="FJ109" s="13"/>
      <c r="FK109" s="13"/>
      <c r="FL109" s="13"/>
      <c r="FM109" s="14"/>
      <c r="FN109" s="12"/>
      <c r="FO109" s="13"/>
      <c r="FP109" s="13"/>
      <c r="FQ109" s="13"/>
      <c r="FR109" s="128"/>
      <c r="FS109" s="128"/>
      <c r="FT109" s="128"/>
      <c r="FU109" s="128"/>
      <c r="FV109" s="128"/>
      <c r="FW109" s="128"/>
      <c r="FX109" s="128"/>
      <c r="FY109" s="128"/>
      <c r="FZ109" s="128"/>
      <c r="GA109" s="13"/>
      <c r="GB109" s="13"/>
      <c r="GC109" s="14"/>
      <c r="GD109" s="12"/>
      <c r="GE109" s="13"/>
      <c r="GF109" s="14"/>
      <c r="GG109" s="12"/>
      <c r="GH109" s="13"/>
      <c r="GI109" s="13"/>
      <c r="GJ109" s="128"/>
      <c r="GK109" s="128"/>
      <c r="GL109" s="128"/>
      <c r="GM109" s="128"/>
      <c r="GN109" s="128"/>
      <c r="GO109" s="128"/>
      <c r="GP109" s="128"/>
      <c r="GQ109" s="129"/>
      <c r="GR109" s="108"/>
      <c r="GS109" s="54"/>
      <c r="GT109" s="54"/>
      <c r="GU109" s="54"/>
      <c r="GV109" s="54"/>
      <c r="GW109" s="54"/>
      <c r="GX109" s="54"/>
      <c r="GY109" s="54"/>
      <c r="GZ109" s="54"/>
      <c r="HA109" s="54"/>
      <c r="HB109" s="54"/>
      <c r="HC109" s="54"/>
      <c r="HD109" s="54"/>
      <c r="HE109" s="54"/>
      <c r="HF109" s="54"/>
      <c r="HG109" s="54"/>
      <c r="HH109" s="54"/>
      <c r="HI109" s="54"/>
      <c r="HJ109" s="54"/>
      <c r="HK109" s="54"/>
      <c r="HL109" s="54"/>
      <c r="HM109" s="54"/>
      <c r="HN109" s="54"/>
      <c r="HO109" s="54"/>
      <c r="HP109" s="54"/>
      <c r="HQ109" s="54"/>
      <c r="HR109" s="54"/>
      <c r="HS109" s="54"/>
      <c r="HT109" s="54"/>
      <c r="HU109" s="54"/>
      <c r="HV109" s="54"/>
      <c r="HW109" s="54"/>
      <c r="HX109" s="54"/>
      <c r="HY109" s="54"/>
      <c r="HZ109" s="54"/>
      <c r="IA109" s="54"/>
      <c r="IB109" s="54"/>
      <c r="IC109" s="54"/>
      <c r="ID109" s="54"/>
      <c r="IE109" s="54"/>
      <c r="IF109" s="54"/>
      <c r="IG109" s="54"/>
      <c r="IH109" s="54"/>
      <c r="II109" s="54"/>
      <c r="IJ109" s="54"/>
      <c r="IK109" s="54"/>
      <c r="IL109" s="54"/>
      <c r="IM109" s="54"/>
      <c r="IN109" s="54"/>
      <c r="IO109" s="54"/>
      <c r="IP109" s="54"/>
      <c r="IQ109" s="54"/>
      <c r="IR109" s="54"/>
      <c r="IS109" s="54"/>
      <c r="IT109" s="54"/>
      <c r="IU109" s="54"/>
      <c r="IV109" s="54"/>
      <c r="IW109" s="54"/>
      <c r="IX109" s="54"/>
      <c r="IY109" s="54"/>
      <c r="IZ109" s="54"/>
      <c r="JA109" s="54"/>
      <c r="JB109" s="54"/>
      <c r="JC109" s="54"/>
      <c r="JD109" s="54"/>
      <c r="JE109" s="54"/>
      <c r="JF109" s="54"/>
      <c r="JG109" s="54"/>
      <c r="JH109" s="54"/>
      <c r="JI109" s="54"/>
      <c r="JJ109" s="54"/>
      <c r="JK109" s="54"/>
      <c r="JL109" s="54"/>
      <c r="JM109" s="54"/>
      <c r="JN109" s="54"/>
      <c r="JO109" s="54"/>
      <c r="JP109" s="54"/>
      <c r="JQ109" s="54"/>
      <c r="JR109" s="54"/>
      <c r="JS109" s="54"/>
      <c r="JT109" s="54"/>
      <c r="JU109" s="54"/>
      <c r="JV109" s="54"/>
      <c r="JW109" s="54"/>
      <c r="JX109" s="54"/>
      <c r="JY109" s="54"/>
      <c r="JZ109" s="54"/>
      <c r="KA109" s="54"/>
      <c r="KB109" s="54"/>
      <c r="KC109" s="54"/>
      <c r="KD109" s="54"/>
      <c r="KE109" s="54"/>
      <c r="KF109" s="54"/>
      <c r="KG109" s="54"/>
      <c r="KH109" s="54"/>
      <c r="KI109" s="54"/>
      <c r="KJ109" s="54"/>
      <c r="KK109" s="54"/>
      <c r="KL109" s="54"/>
      <c r="KM109" s="54"/>
      <c r="KN109" s="54"/>
      <c r="KO109" s="54"/>
      <c r="KP109" s="54"/>
      <c r="KQ109" s="54"/>
      <c r="KR109" s="54"/>
      <c r="KS109" s="54"/>
      <c r="KT109" s="54"/>
      <c r="KU109" s="54"/>
      <c r="KV109" s="54"/>
      <c r="KW109" s="54"/>
      <c r="KX109" s="54"/>
    </row>
    <row r="110" ht="5.2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c r="BL110" s="54"/>
      <c r="BM110" s="54"/>
      <c r="BN110" s="54"/>
      <c r="BO110" s="54"/>
      <c r="BP110" s="54"/>
      <c r="BQ110" s="54"/>
      <c r="BR110" s="54"/>
      <c r="BS110" s="54"/>
      <c r="BT110" s="54"/>
      <c r="BU110" s="54"/>
      <c r="BV110" s="54"/>
      <c r="BW110" s="119" t="str">
        <f>if($DD$6=0,"",qualreseeding!AC5)</f>
        <v/>
      </c>
      <c r="BX110" s="130" t="str">
        <f t="array" ref="BX110">xlookup(BW110,qualdata!$M$2:$M$17,qualdata!$O$2:$O$17,"")</f>
        <v/>
      </c>
      <c r="BY110" s="8"/>
      <c r="BZ110" s="8"/>
      <c r="CA110" s="8"/>
      <c r="CB110" s="93" t="str">
        <f t="array" ref="CB110">xlookup(BW110,qualdata!$M$2:$M$17,qualdata!$N$2:$N$17,"")</f>
        <v/>
      </c>
      <c r="CC110" s="8"/>
      <c r="CD110" s="8"/>
      <c r="CE110" s="8"/>
      <c r="CF110" s="8"/>
      <c r="CG110" s="8"/>
      <c r="CH110" s="8"/>
      <c r="CI110" s="8"/>
      <c r="CJ110" s="8"/>
      <c r="CK110" s="8"/>
      <c r="CL110" s="8"/>
      <c r="CM110" s="8"/>
      <c r="CN110" s="8"/>
      <c r="CO110" s="8"/>
      <c r="CP110" s="8"/>
      <c r="CQ110" s="8"/>
      <c r="CR110" s="8"/>
      <c r="CS110" s="8"/>
      <c r="CT110" s="8"/>
      <c r="CU110" s="8"/>
      <c r="CV110" s="8"/>
      <c r="CW110" s="8"/>
      <c r="CX110" s="94"/>
      <c r="CY110" s="8"/>
      <c r="CZ110" s="8"/>
      <c r="DA110" s="9"/>
      <c r="DB110" s="95"/>
      <c r="DC110" s="8"/>
      <c r="DD110" s="8"/>
      <c r="DE110" s="8"/>
      <c r="DF110" s="96" t="str">
        <f t="array" ref="DF110">xlookup(EF110,qualdata!$M$2:$M$17,qualdata!$N$2:$N$17,"")</f>
        <v/>
      </c>
      <c r="DG110" s="8"/>
      <c r="DH110" s="8"/>
      <c r="DI110" s="8"/>
      <c r="DJ110" s="8"/>
      <c r="DK110" s="8"/>
      <c r="DL110" s="8"/>
      <c r="DM110" s="8"/>
      <c r="DN110" s="8"/>
      <c r="DO110" s="8"/>
      <c r="DP110" s="8"/>
      <c r="DQ110" s="8"/>
      <c r="DR110" s="8"/>
      <c r="DS110" s="8"/>
      <c r="DT110" s="8"/>
      <c r="DU110" s="8"/>
      <c r="DV110" s="8"/>
      <c r="DW110" s="8"/>
      <c r="DX110" s="8"/>
      <c r="DY110" s="8"/>
      <c r="DZ110" s="8"/>
      <c r="EA110" s="8"/>
      <c r="EB110" s="131" t="str">
        <f t="array" ref="EB110">xlookup(EF110,qualdata!$M$2:$M$17,qualdata!$O$2:$O$17,"")</f>
        <v/>
      </c>
      <c r="EC110" s="8"/>
      <c r="ED110" s="8"/>
      <c r="EE110" s="98"/>
      <c r="EF110" s="119" t="str">
        <f>if($DD$6=0,"",qualreseeding!AD5)</f>
        <v/>
      </c>
      <c r="EG110" s="54"/>
      <c r="EH110" s="54"/>
      <c r="EI110" s="119" t="str">
        <f>if($DD$6=0,"",qualreseeding!AC14)</f>
        <v/>
      </c>
      <c r="EJ110" s="130" t="str">
        <f t="array" ref="EJ110">xlookup(EI110,qualdata!$M$2:$M$17,qualdata!$O$2:$O$17,"")</f>
        <v/>
      </c>
      <c r="EK110" s="8"/>
      <c r="EL110" s="8"/>
      <c r="EM110" s="8"/>
      <c r="EN110" s="93" t="str">
        <f t="array" ref="EN110">xlookup(EI110,qualdata!$M$2:$M$17,qualdata!$N$2:$N$17,"")</f>
        <v/>
      </c>
      <c r="EO110" s="8"/>
      <c r="EP110" s="8"/>
      <c r="EQ110" s="8"/>
      <c r="ER110" s="8"/>
      <c r="ES110" s="8"/>
      <c r="ET110" s="8"/>
      <c r="EU110" s="8"/>
      <c r="EV110" s="8"/>
      <c r="EW110" s="8"/>
      <c r="EX110" s="8"/>
      <c r="EY110" s="8"/>
      <c r="EZ110" s="8"/>
      <c r="FA110" s="8"/>
      <c r="FB110" s="8"/>
      <c r="FC110" s="8"/>
      <c r="FD110" s="8"/>
      <c r="FE110" s="8"/>
      <c r="FF110" s="8"/>
      <c r="FG110" s="8"/>
      <c r="FH110" s="8"/>
      <c r="FI110" s="8"/>
      <c r="FJ110" s="94"/>
      <c r="FK110" s="8"/>
      <c r="FL110" s="8"/>
      <c r="FM110" s="9"/>
      <c r="FN110" s="95"/>
      <c r="FO110" s="8"/>
      <c r="FP110" s="8"/>
      <c r="FQ110" s="8"/>
      <c r="FR110" s="96" t="str">
        <f t="array" ref="FR110">xlookup(GR110,qualdata!$M$2:$M$17,qualdata!$N$2:$N$17,"")</f>
        <v/>
      </c>
      <c r="FS110" s="8"/>
      <c r="FT110" s="8"/>
      <c r="FU110" s="8"/>
      <c r="FV110" s="8"/>
      <c r="FW110" s="8"/>
      <c r="FX110" s="8"/>
      <c r="FY110" s="8"/>
      <c r="FZ110" s="8"/>
      <c r="GA110" s="8"/>
      <c r="GB110" s="8"/>
      <c r="GC110" s="8"/>
      <c r="GD110" s="8"/>
      <c r="GE110" s="8"/>
      <c r="GF110" s="8"/>
      <c r="GG110" s="8"/>
      <c r="GH110" s="8"/>
      <c r="GI110" s="8"/>
      <c r="GJ110" s="8"/>
      <c r="GK110" s="8"/>
      <c r="GL110" s="8"/>
      <c r="GM110" s="8"/>
      <c r="GN110" s="131" t="str">
        <f t="array" ref="GN110">xlookup(GR110,qualdata!$M$2:$M$17,qualdata!$O$2:$O$17,"")</f>
        <v/>
      </c>
      <c r="GO110" s="8"/>
      <c r="GP110" s="8"/>
      <c r="GQ110" s="98"/>
      <c r="GR110" s="119" t="str">
        <f>if($DD$6=0,"",qualreseeding!AD14)</f>
        <v/>
      </c>
      <c r="GS110" s="54"/>
      <c r="GT110" s="54"/>
      <c r="GU110" s="54"/>
      <c r="GV110" s="54"/>
      <c r="GW110" s="54"/>
      <c r="GX110" s="54"/>
      <c r="GY110" s="54"/>
      <c r="GZ110" s="54"/>
      <c r="HA110" s="54"/>
      <c r="HB110" s="54"/>
      <c r="HC110" s="54"/>
      <c r="HD110" s="54"/>
      <c r="HE110" s="54"/>
      <c r="HF110" s="54"/>
      <c r="HG110" s="54"/>
      <c r="HH110" s="54"/>
      <c r="HI110" s="54"/>
      <c r="HJ110" s="54"/>
      <c r="HK110" s="54"/>
      <c r="HL110" s="54"/>
      <c r="HM110" s="54"/>
      <c r="HN110" s="54"/>
      <c r="HO110" s="54"/>
      <c r="HP110" s="54"/>
      <c r="HQ110" s="54"/>
      <c r="HR110" s="54"/>
      <c r="HS110" s="54"/>
      <c r="HT110" s="54"/>
      <c r="HU110" s="54"/>
      <c r="HV110" s="54"/>
      <c r="HW110" s="54"/>
      <c r="HX110" s="54"/>
      <c r="HY110" s="54"/>
      <c r="HZ110" s="54"/>
      <c r="IA110" s="54"/>
      <c r="IB110" s="54"/>
      <c r="IC110" s="54"/>
      <c r="ID110" s="54"/>
      <c r="IE110" s="54"/>
      <c r="IF110" s="54"/>
      <c r="IG110" s="54"/>
      <c r="IH110" s="54"/>
      <c r="II110" s="54"/>
      <c r="IJ110" s="54"/>
      <c r="IK110" s="54"/>
      <c r="IL110" s="54"/>
      <c r="IM110" s="54"/>
      <c r="IN110" s="54"/>
      <c r="IO110" s="54"/>
      <c r="IP110" s="54"/>
      <c r="IQ110" s="54"/>
      <c r="IR110" s="54"/>
      <c r="IS110" s="54"/>
      <c r="IT110" s="54"/>
      <c r="IU110" s="54"/>
      <c r="IV110" s="54"/>
      <c r="IW110" s="54"/>
      <c r="IX110" s="54"/>
      <c r="IY110" s="54"/>
      <c r="IZ110" s="54"/>
      <c r="JA110" s="54"/>
      <c r="JB110" s="54"/>
      <c r="JC110" s="54"/>
      <c r="JD110" s="54"/>
      <c r="JE110" s="54"/>
      <c r="JF110" s="54"/>
      <c r="JG110" s="54"/>
      <c r="JH110" s="54"/>
      <c r="JI110" s="54"/>
      <c r="JJ110" s="54"/>
      <c r="JK110" s="54"/>
      <c r="JL110" s="54"/>
      <c r="JM110" s="54"/>
      <c r="JN110" s="54"/>
      <c r="JO110" s="54"/>
      <c r="JP110" s="54"/>
      <c r="JQ110" s="54"/>
      <c r="JR110" s="54"/>
      <c r="JS110" s="54"/>
      <c r="JT110" s="54"/>
      <c r="JU110" s="54"/>
      <c r="JV110" s="54"/>
      <c r="JW110" s="54"/>
      <c r="JX110" s="54"/>
      <c r="JY110" s="54"/>
      <c r="JZ110" s="54"/>
      <c r="KA110" s="54"/>
      <c r="KB110" s="54"/>
      <c r="KC110" s="54"/>
      <c r="KD110" s="54"/>
      <c r="KE110" s="54"/>
      <c r="KF110" s="54"/>
      <c r="KG110" s="54"/>
      <c r="KH110" s="54"/>
      <c r="KI110" s="54"/>
      <c r="KJ110" s="54"/>
      <c r="KK110" s="54"/>
      <c r="KL110" s="54"/>
      <c r="KM110" s="54"/>
      <c r="KN110" s="54"/>
      <c r="KO110" s="54"/>
      <c r="KP110" s="54"/>
      <c r="KQ110" s="54"/>
      <c r="KR110" s="54"/>
      <c r="KS110" s="54"/>
      <c r="KT110" s="54"/>
      <c r="KU110" s="54"/>
      <c r="KV110" s="54"/>
      <c r="KW110" s="54"/>
      <c r="KX110" s="54"/>
    </row>
    <row r="111" ht="5.2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c r="BS111" s="54"/>
      <c r="BT111" s="54"/>
      <c r="BU111" s="54"/>
      <c r="BV111" s="54"/>
      <c r="BW111" s="108"/>
      <c r="BX111" s="60"/>
      <c r="DA111" s="11"/>
      <c r="DB111" s="10"/>
      <c r="EE111" s="61"/>
      <c r="EF111" s="108"/>
      <c r="EG111" s="54"/>
      <c r="EH111" s="54"/>
      <c r="EI111" s="108"/>
      <c r="EJ111" s="60"/>
      <c r="FM111" s="11"/>
      <c r="FN111" s="10"/>
      <c r="GQ111" s="61"/>
      <c r="GR111" s="108"/>
      <c r="GS111" s="54"/>
      <c r="GT111" s="54"/>
      <c r="GU111" s="54"/>
      <c r="GV111" s="54"/>
      <c r="GW111" s="54"/>
      <c r="GX111" s="54"/>
      <c r="GY111" s="54"/>
      <c r="GZ111" s="54"/>
      <c r="HA111" s="54"/>
      <c r="HB111" s="54"/>
      <c r="HC111" s="54"/>
      <c r="HD111" s="54"/>
      <c r="HE111" s="54"/>
      <c r="HF111" s="54"/>
      <c r="HG111" s="54"/>
      <c r="HH111" s="54"/>
      <c r="HI111" s="54"/>
      <c r="HJ111" s="54"/>
      <c r="HK111" s="54"/>
      <c r="HL111" s="54"/>
      <c r="HM111" s="54"/>
      <c r="HN111" s="54"/>
      <c r="HO111" s="54"/>
      <c r="HP111" s="54"/>
      <c r="HQ111" s="54"/>
      <c r="HR111" s="54"/>
      <c r="HS111" s="54"/>
      <c r="HT111" s="54"/>
      <c r="HU111" s="54"/>
      <c r="HV111" s="54"/>
      <c r="HW111" s="54"/>
      <c r="HX111" s="54"/>
      <c r="HY111" s="54"/>
      <c r="HZ111" s="54"/>
      <c r="IA111" s="54"/>
      <c r="IB111" s="54"/>
      <c r="IC111" s="54"/>
      <c r="ID111" s="54"/>
      <c r="IE111" s="54"/>
      <c r="IF111" s="54"/>
      <c r="IG111" s="54"/>
      <c r="IH111" s="54"/>
      <c r="II111" s="54"/>
      <c r="IJ111" s="54"/>
      <c r="IK111" s="54"/>
      <c r="IL111" s="54"/>
      <c r="IM111" s="54"/>
      <c r="IN111" s="54"/>
      <c r="IO111" s="54"/>
      <c r="IP111" s="54"/>
      <c r="IQ111" s="54"/>
      <c r="IR111" s="54"/>
      <c r="IS111" s="54"/>
      <c r="IT111" s="54"/>
      <c r="IU111" s="54"/>
      <c r="IV111" s="54"/>
      <c r="IW111" s="54"/>
      <c r="IX111" s="54"/>
      <c r="IY111" s="54"/>
      <c r="IZ111" s="54"/>
      <c r="JA111" s="54"/>
      <c r="JB111" s="54"/>
      <c r="JC111" s="54"/>
      <c r="JD111" s="54"/>
      <c r="JE111" s="54"/>
      <c r="JF111" s="54"/>
      <c r="JG111" s="54"/>
      <c r="JH111" s="54"/>
      <c r="JI111" s="54"/>
      <c r="JJ111" s="54"/>
      <c r="JK111" s="54"/>
      <c r="JL111" s="54"/>
      <c r="JM111" s="54"/>
      <c r="JN111" s="54"/>
      <c r="JO111" s="54"/>
      <c r="JP111" s="54"/>
      <c r="JQ111" s="54"/>
      <c r="JR111" s="54"/>
      <c r="JS111" s="54"/>
      <c r="JT111" s="54"/>
      <c r="JU111" s="54"/>
      <c r="JV111" s="54"/>
      <c r="JW111" s="54"/>
      <c r="JX111" s="54"/>
      <c r="JY111" s="54"/>
      <c r="JZ111" s="54"/>
      <c r="KA111" s="54"/>
      <c r="KB111" s="54"/>
      <c r="KC111" s="54"/>
      <c r="KD111" s="54"/>
      <c r="KE111" s="54"/>
      <c r="KF111" s="54"/>
      <c r="KG111" s="54"/>
      <c r="KH111" s="54"/>
      <c r="KI111" s="54"/>
      <c r="KJ111" s="54"/>
      <c r="KK111" s="54"/>
      <c r="KL111" s="54"/>
      <c r="KM111" s="54"/>
      <c r="KN111" s="54"/>
      <c r="KO111" s="54"/>
      <c r="KP111" s="54"/>
      <c r="KQ111" s="54"/>
      <c r="KR111" s="54"/>
      <c r="KS111" s="54"/>
      <c r="KT111" s="54"/>
      <c r="KU111" s="54"/>
      <c r="KV111" s="54"/>
      <c r="KW111" s="54"/>
      <c r="KX111" s="54"/>
    </row>
    <row r="112" ht="5.2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c r="BS112" s="54"/>
      <c r="BT112" s="54"/>
      <c r="BU112" s="54"/>
      <c r="BV112" s="54"/>
      <c r="BW112" s="108"/>
      <c r="BX112" s="60"/>
      <c r="DA112" s="11"/>
      <c r="DB112" s="10"/>
      <c r="EE112" s="61"/>
      <c r="EF112" s="108"/>
      <c r="EG112" s="54"/>
      <c r="EH112" s="54"/>
      <c r="EI112" s="108"/>
      <c r="EJ112" s="60"/>
      <c r="FM112" s="11"/>
      <c r="FN112" s="10"/>
      <c r="GQ112" s="61"/>
      <c r="GR112" s="108"/>
      <c r="GS112" s="54"/>
      <c r="GT112" s="54"/>
      <c r="GU112" s="54"/>
      <c r="GV112" s="54"/>
      <c r="GW112" s="54"/>
      <c r="GX112" s="54"/>
      <c r="GY112" s="54"/>
      <c r="GZ112" s="54"/>
      <c r="HA112" s="54"/>
      <c r="HB112" s="54"/>
      <c r="HC112" s="54"/>
      <c r="HD112" s="54"/>
      <c r="HE112" s="54"/>
      <c r="HF112" s="54"/>
      <c r="HG112" s="54"/>
      <c r="HH112" s="54"/>
      <c r="HI112" s="54"/>
      <c r="HJ112" s="54"/>
      <c r="HK112" s="54"/>
      <c r="HL112" s="54"/>
      <c r="HM112" s="54"/>
      <c r="HN112" s="54"/>
      <c r="HO112" s="54"/>
      <c r="HP112" s="54"/>
      <c r="HQ112" s="54"/>
      <c r="HR112" s="54"/>
      <c r="HS112" s="54"/>
      <c r="HT112" s="54"/>
      <c r="HU112" s="54"/>
      <c r="HV112" s="54"/>
      <c r="HW112" s="54"/>
      <c r="HX112" s="54"/>
      <c r="HY112" s="54"/>
      <c r="HZ112" s="54"/>
      <c r="IA112" s="54"/>
      <c r="IB112" s="54"/>
      <c r="IC112" s="54"/>
      <c r="ID112" s="54"/>
      <c r="IE112" s="54"/>
      <c r="IF112" s="54"/>
      <c r="IG112" s="54"/>
      <c r="IH112" s="54"/>
      <c r="II112" s="54"/>
      <c r="IJ112" s="54"/>
      <c r="IK112" s="54"/>
      <c r="IL112" s="54"/>
      <c r="IM112" s="54"/>
      <c r="IN112" s="54"/>
      <c r="IO112" s="54"/>
      <c r="IP112" s="54"/>
      <c r="IQ112" s="54"/>
      <c r="IR112" s="54"/>
      <c r="IS112" s="54"/>
      <c r="IT112" s="54"/>
      <c r="IU112" s="54"/>
      <c r="IV112" s="54"/>
      <c r="IW112" s="54"/>
      <c r="IX112" s="54"/>
      <c r="IY112" s="54"/>
      <c r="IZ112" s="54"/>
      <c r="JA112" s="54"/>
      <c r="JB112" s="54"/>
      <c r="JC112" s="54"/>
      <c r="JD112" s="54"/>
      <c r="JE112" s="54"/>
      <c r="JF112" s="54"/>
      <c r="JG112" s="54"/>
      <c r="JH112" s="54"/>
      <c r="JI112" s="54"/>
      <c r="JJ112" s="54"/>
      <c r="JK112" s="54"/>
      <c r="JL112" s="54"/>
      <c r="JM112" s="54"/>
      <c r="JN112" s="54"/>
      <c r="JO112" s="54"/>
      <c r="JP112" s="54"/>
      <c r="JQ112" s="54"/>
      <c r="JR112" s="54"/>
      <c r="JS112" s="54"/>
      <c r="JT112" s="54"/>
      <c r="JU112" s="54"/>
      <c r="JV112" s="54"/>
      <c r="JW112" s="54"/>
      <c r="JX112" s="54"/>
      <c r="JY112" s="54"/>
      <c r="JZ112" s="54"/>
      <c r="KA112" s="54"/>
      <c r="KB112" s="54"/>
      <c r="KC112" s="54"/>
      <c r="KD112" s="54"/>
      <c r="KE112" s="54"/>
      <c r="KF112" s="54"/>
      <c r="KG112" s="54"/>
      <c r="KH112" s="54"/>
      <c r="KI112" s="54"/>
      <c r="KJ112" s="54"/>
      <c r="KK112" s="54"/>
      <c r="KL112" s="54"/>
      <c r="KM112" s="54"/>
      <c r="KN112" s="54"/>
      <c r="KO112" s="54"/>
      <c r="KP112" s="54"/>
      <c r="KQ112" s="54"/>
      <c r="KR112" s="54"/>
      <c r="KS112" s="54"/>
      <c r="KT112" s="54"/>
      <c r="KU112" s="54"/>
      <c r="KV112" s="54"/>
      <c r="KW112" s="54"/>
      <c r="KX112" s="54"/>
    </row>
    <row r="113" ht="5.2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c r="BS113" s="54"/>
      <c r="BT113" s="54"/>
      <c r="BU113" s="54"/>
      <c r="BV113" s="54"/>
      <c r="BW113" s="108"/>
      <c r="BX113" s="60"/>
      <c r="DA113" s="11"/>
      <c r="DB113" s="10"/>
      <c r="EE113" s="61"/>
      <c r="EF113" s="108"/>
      <c r="EG113" s="54"/>
      <c r="EH113" s="54"/>
      <c r="EI113" s="108"/>
      <c r="EJ113" s="60"/>
      <c r="FM113" s="11"/>
      <c r="FN113" s="10"/>
      <c r="GQ113" s="61"/>
      <c r="GR113" s="108"/>
      <c r="GS113" s="54"/>
      <c r="GT113" s="54"/>
      <c r="GU113" s="54"/>
      <c r="GV113" s="54"/>
      <c r="GW113" s="54"/>
      <c r="GX113" s="54"/>
      <c r="GY113" s="54"/>
      <c r="GZ113" s="54"/>
      <c r="HA113" s="54"/>
      <c r="HB113" s="54"/>
      <c r="HC113" s="54"/>
      <c r="HD113" s="54"/>
      <c r="HE113" s="54"/>
      <c r="HF113" s="54"/>
      <c r="HG113" s="54"/>
      <c r="HH113" s="54"/>
      <c r="HI113" s="54"/>
      <c r="HJ113" s="54"/>
      <c r="HK113" s="54"/>
      <c r="HL113" s="54"/>
      <c r="HM113" s="54"/>
      <c r="HN113" s="54"/>
      <c r="HO113" s="54"/>
      <c r="HP113" s="54"/>
      <c r="HQ113" s="54"/>
      <c r="HR113" s="54"/>
      <c r="HS113" s="54"/>
      <c r="HT113" s="54"/>
      <c r="HU113" s="54"/>
      <c r="HV113" s="54"/>
      <c r="HW113" s="54"/>
      <c r="HX113" s="54"/>
      <c r="HY113" s="54"/>
      <c r="HZ113" s="54"/>
      <c r="IA113" s="54"/>
      <c r="IB113" s="54"/>
      <c r="IC113" s="54"/>
      <c r="ID113" s="54"/>
      <c r="IE113" s="54"/>
      <c r="IF113" s="54"/>
      <c r="IG113" s="54"/>
      <c r="IH113" s="54"/>
      <c r="II113" s="54"/>
      <c r="IJ113" s="54"/>
      <c r="IK113" s="54"/>
      <c r="IL113" s="54"/>
      <c r="IM113" s="54"/>
      <c r="IN113" s="54"/>
      <c r="IO113" s="54"/>
      <c r="IP113" s="54"/>
      <c r="IQ113" s="54"/>
      <c r="IR113" s="54"/>
      <c r="IS113" s="54"/>
      <c r="IT113" s="54"/>
      <c r="IU113" s="54"/>
      <c r="IV113" s="54"/>
      <c r="IW113" s="54"/>
      <c r="IX113" s="54"/>
      <c r="IY113" s="54"/>
      <c r="IZ113" s="54"/>
      <c r="JA113" s="54"/>
      <c r="JB113" s="54"/>
      <c r="JC113" s="54"/>
      <c r="JD113" s="54"/>
      <c r="JE113" s="54"/>
      <c r="JF113" s="54"/>
      <c r="JG113" s="54"/>
      <c r="JH113" s="54"/>
      <c r="JI113" s="54"/>
      <c r="JJ113" s="54"/>
      <c r="JK113" s="54"/>
      <c r="JL113" s="54"/>
      <c r="JM113" s="54"/>
      <c r="JN113" s="54"/>
      <c r="JO113" s="54"/>
      <c r="JP113" s="54"/>
      <c r="JQ113" s="54"/>
      <c r="JR113" s="54"/>
      <c r="JS113" s="54"/>
      <c r="JT113" s="54"/>
      <c r="JU113" s="54"/>
      <c r="JV113" s="54"/>
      <c r="JW113" s="54"/>
      <c r="JX113" s="54"/>
      <c r="JY113" s="54"/>
      <c r="JZ113" s="54"/>
      <c r="KA113" s="54"/>
      <c r="KB113" s="54"/>
      <c r="KC113" s="54"/>
      <c r="KD113" s="54"/>
      <c r="KE113" s="54"/>
      <c r="KF113" s="54"/>
      <c r="KG113" s="54"/>
      <c r="KH113" s="54"/>
      <c r="KI113" s="54"/>
      <c r="KJ113" s="54"/>
      <c r="KK113" s="54"/>
      <c r="KL113" s="54"/>
      <c r="KM113" s="54"/>
      <c r="KN113" s="54"/>
      <c r="KO113" s="54"/>
      <c r="KP113" s="54"/>
      <c r="KQ113" s="54"/>
      <c r="KR113" s="54"/>
      <c r="KS113" s="54"/>
      <c r="KT113" s="54"/>
      <c r="KU113" s="54"/>
      <c r="KV113" s="54"/>
      <c r="KW113" s="54"/>
      <c r="KX113" s="54"/>
    </row>
    <row r="114" ht="5.2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c r="BL114" s="54"/>
      <c r="BM114" s="54"/>
      <c r="BN114" s="54"/>
      <c r="BO114" s="54"/>
      <c r="BP114" s="54"/>
      <c r="BQ114" s="54"/>
      <c r="BR114" s="54"/>
      <c r="BS114" s="54"/>
      <c r="BT114" s="54"/>
      <c r="BU114" s="54"/>
      <c r="BV114" s="54"/>
      <c r="BW114" s="119" t="str">
        <f>BW110</f>
        <v/>
      </c>
      <c r="BX114" s="112"/>
      <c r="CF114" s="122"/>
      <c r="CH114" s="11"/>
      <c r="CI114" s="127"/>
      <c r="CK114" s="11"/>
      <c r="CL114" s="126"/>
      <c r="CO114" s="108"/>
      <c r="CX114" s="85">
        <f>sum(CF114:CN116)</f>
        <v>0</v>
      </c>
      <c r="DA114" s="11"/>
      <c r="DB114" s="86">
        <f>sum(DO114:DW116)</f>
        <v>0</v>
      </c>
      <c r="DF114" s="108"/>
      <c r="DG114" s="108"/>
      <c r="DH114" s="108"/>
      <c r="DI114" s="108"/>
      <c r="DJ114" s="108"/>
      <c r="DK114" s="108"/>
      <c r="DL114" s="108"/>
      <c r="DM114" s="108"/>
      <c r="DN114" s="108"/>
      <c r="DO114" s="134"/>
      <c r="DQ114" s="11"/>
      <c r="DR114" s="126"/>
      <c r="DT114" s="11"/>
      <c r="DU114" s="127"/>
      <c r="DX114" s="108"/>
      <c r="DY114" s="108"/>
      <c r="DZ114" s="108"/>
      <c r="EA114" s="108"/>
      <c r="EB114" s="108"/>
      <c r="EC114" s="108"/>
      <c r="ED114" s="108"/>
      <c r="EE114" s="116"/>
      <c r="EF114" s="119" t="str">
        <f>EF110</f>
        <v/>
      </c>
      <c r="EG114" s="54"/>
      <c r="EH114" s="54"/>
      <c r="EI114" s="119" t="str">
        <f>EI110</f>
        <v/>
      </c>
      <c r="EJ114" s="112"/>
      <c r="ER114" s="122"/>
      <c r="ET114" s="11"/>
      <c r="EU114" s="127"/>
      <c r="EW114" s="11"/>
      <c r="EX114" s="132"/>
      <c r="FA114" s="108"/>
      <c r="FJ114" s="85">
        <f>sum(ER114:EZ116)</f>
        <v>0</v>
      </c>
      <c r="FM114" s="11"/>
      <c r="FN114" s="86">
        <f>sum(GA114:GI116)</f>
        <v>0</v>
      </c>
      <c r="FR114" s="108"/>
      <c r="FS114" s="108"/>
      <c r="FT114" s="108"/>
      <c r="FU114" s="108"/>
      <c r="FV114" s="108"/>
      <c r="FW114" s="108"/>
      <c r="FX114" s="108"/>
      <c r="FY114" s="108"/>
      <c r="FZ114" s="108"/>
      <c r="GA114" s="133"/>
      <c r="GC114" s="11"/>
      <c r="GD114" s="126"/>
      <c r="GF114" s="11"/>
      <c r="GG114" s="127"/>
      <c r="GJ114" s="108"/>
      <c r="GK114" s="108"/>
      <c r="GL114" s="108"/>
      <c r="GM114" s="108"/>
      <c r="GN114" s="108"/>
      <c r="GO114" s="108"/>
      <c r="GP114" s="108"/>
      <c r="GQ114" s="116"/>
      <c r="GR114" s="119" t="str">
        <f>GR110</f>
        <v/>
      </c>
      <c r="GS114" s="54"/>
      <c r="GT114" s="54"/>
      <c r="GU114" s="54"/>
      <c r="GV114" s="54"/>
      <c r="GW114" s="54"/>
      <c r="GX114" s="54"/>
      <c r="GY114" s="54"/>
      <c r="GZ114" s="54"/>
      <c r="HA114" s="54"/>
      <c r="HB114" s="54"/>
      <c r="HC114" s="54"/>
      <c r="HD114" s="54"/>
      <c r="HE114" s="54"/>
      <c r="HF114" s="54"/>
      <c r="HG114" s="54"/>
      <c r="HH114" s="54"/>
      <c r="HI114" s="54"/>
      <c r="HJ114" s="54"/>
      <c r="HK114" s="54"/>
      <c r="HL114" s="54"/>
      <c r="HM114" s="54"/>
      <c r="HN114" s="54"/>
      <c r="HO114" s="54"/>
      <c r="HP114" s="54"/>
      <c r="HQ114" s="54"/>
      <c r="HR114" s="54"/>
      <c r="HS114" s="54"/>
      <c r="HT114" s="54"/>
      <c r="HU114" s="54"/>
      <c r="HV114" s="54"/>
      <c r="HW114" s="54"/>
      <c r="HX114" s="54"/>
      <c r="HY114" s="54"/>
      <c r="HZ114" s="54"/>
      <c r="IA114" s="54"/>
      <c r="IB114" s="54"/>
      <c r="IC114" s="54"/>
      <c r="ID114" s="54"/>
      <c r="IE114" s="54"/>
      <c r="IF114" s="54"/>
      <c r="IG114" s="54"/>
      <c r="IH114" s="54"/>
      <c r="II114" s="54"/>
      <c r="IJ114" s="54"/>
      <c r="IK114" s="54"/>
      <c r="IL114" s="54"/>
      <c r="IM114" s="54"/>
      <c r="IN114" s="54"/>
      <c r="IO114" s="54"/>
      <c r="IP114" s="54"/>
      <c r="IQ114" s="54"/>
      <c r="IR114" s="54"/>
      <c r="IS114" s="54"/>
      <c r="IT114" s="54"/>
      <c r="IU114" s="54"/>
      <c r="IV114" s="54"/>
      <c r="IW114" s="54"/>
      <c r="IX114" s="54"/>
      <c r="IY114" s="54"/>
      <c r="IZ114" s="54"/>
      <c r="JA114" s="54"/>
      <c r="JB114" s="54"/>
      <c r="JC114" s="54"/>
      <c r="JD114" s="54"/>
      <c r="JE114" s="54"/>
      <c r="JF114" s="54"/>
      <c r="JG114" s="54"/>
      <c r="JH114" s="54"/>
      <c r="JI114" s="54"/>
      <c r="JJ114" s="54"/>
      <c r="JK114" s="54"/>
      <c r="JL114" s="54"/>
      <c r="JM114" s="54"/>
      <c r="JN114" s="54"/>
      <c r="JO114" s="54"/>
      <c r="JP114" s="54"/>
      <c r="JQ114" s="54"/>
      <c r="JR114" s="54"/>
      <c r="JS114" s="54"/>
      <c r="JT114" s="54"/>
      <c r="JU114" s="54"/>
      <c r="JV114" s="54"/>
      <c r="JW114" s="54"/>
      <c r="JX114" s="54"/>
      <c r="JY114" s="54"/>
      <c r="JZ114" s="54"/>
      <c r="KA114" s="54"/>
      <c r="KB114" s="54"/>
      <c r="KC114" s="54"/>
      <c r="KD114" s="54"/>
      <c r="KE114" s="54"/>
      <c r="KF114" s="54"/>
      <c r="KG114" s="54"/>
      <c r="KH114" s="54"/>
      <c r="KI114" s="54"/>
      <c r="KJ114" s="54"/>
      <c r="KK114" s="54"/>
      <c r="KL114" s="54"/>
      <c r="KM114" s="54"/>
      <c r="KN114" s="54"/>
      <c r="KO114" s="54"/>
      <c r="KP114" s="54"/>
      <c r="KQ114" s="54"/>
      <c r="KR114" s="54"/>
      <c r="KS114" s="54"/>
      <c r="KT114" s="54"/>
      <c r="KU114" s="54"/>
      <c r="KV114" s="54"/>
      <c r="KW114" s="54"/>
      <c r="KX114" s="54"/>
    </row>
    <row r="115" ht="5.2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c r="BO115" s="54"/>
      <c r="BP115" s="54"/>
      <c r="BQ115" s="54"/>
      <c r="BR115" s="54"/>
      <c r="BS115" s="54"/>
      <c r="BT115" s="54"/>
      <c r="BU115" s="54"/>
      <c r="BV115" s="54"/>
      <c r="BW115" s="108"/>
      <c r="BX115" s="60"/>
      <c r="CH115" s="11"/>
      <c r="CI115" s="10"/>
      <c r="CK115" s="11"/>
      <c r="CL115" s="10"/>
      <c r="DA115" s="11"/>
      <c r="DB115" s="10"/>
      <c r="DF115" s="108"/>
      <c r="DG115" s="108"/>
      <c r="DH115" s="108"/>
      <c r="DI115" s="108"/>
      <c r="DJ115" s="108"/>
      <c r="DK115" s="108"/>
      <c r="DL115" s="108"/>
      <c r="DM115" s="108"/>
      <c r="DN115" s="108"/>
      <c r="DQ115" s="11"/>
      <c r="DR115" s="10"/>
      <c r="DT115" s="11"/>
      <c r="DU115" s="10"/>
      <c r="DX115" s="108"/>
      <c r="DY115" s="108"/>
      <c r="DZ115" s="108"/>
      <c r="EA115" s="108"/>
      <c r="EB115" s="108"/>
      <c r="EC115" s="108"/>
      <c r="ED115" s="108"/>
      <c r="EE115" s="116"/>
      <c r="EF115" s="108"/>
      <c r="EG115" s="54"/>
      <c r="EH115" s="54"/>
      <c r="EI115" s="108"/>
      <c r="EJ115" s="60"/>
      <c r="ET115" s="11"/>
      <c r="EU115" s="10"/>
      <c r="EW115" s="11"/>
      <c r="EX115" s="10"/>
      <c r="FM115" s="11"/>
      <c r="FN115" s="10"/>
      <c r="FR115" s="108"/>
      <c r="FS115" s="108"/>
      <c r="FT115" s="108"/>
      <c r="FU115" s="108"/>
      <c r="FV115" s="108"/>
      <c r="FW115" s="108"/>
      <c r="FX115" s="108"/>
      <c r="FY115" s="108"/>
      <c r="FZ115" s="108"/>
      <c r="GC115" s="11"/>
      <c r="GD115" s="10"/>
      <c r="GF115" s="11"/>
      <c r="GG115" s="10"/>
      <c r="GJ115" s="108"/>
      <c r="GK115" s="108"/>
      <c r="GL115" s="108"/>
      <c r="GM115" s="108"/>
      <c r="GN115" s="108"/>
      <c r="GO115" s="108"/>
      <c r="GP115" s="108"/>
      <c r="GQ115" s="116"/>
      <c r="GR115" s="108"/>
      <c r="GS115" s="54"/>
      <c r="GT115" s="54"/>
      <c r="GU115" s="54"/>
      <c r="GV115" s="54"/>
      <c r="GW115" s="54"/>
      <c r="GX115" s="54"/>
      <c r="GY115" s="54"/>
      <c r="GZ115" s="54"/>
      <c r="HA115" s="54"/>
      <c r="HB115" s="54"/>
      <c r="HC115" s="54"/>
      <c r="HD115" s="54"/>
      <c r="HE115" s="54"/>
      <c r="HF115" s="54"/>
      <c r="HG115" s="54"/>
      <c r="HH115" s="54"/>
      <c r="HI115" s="54"/>
      <c r="HJ115" s="54"/>
      <c r="HK115" s="54"/>
      <c r="HL115" s="54"/>
      <c r="HM115" s="54"/>
      <c r="HN115" s="54"/>
      <c r="HO115" s="54"/>
      <c r="HP115" s="54"/>
      <c r="HQ115" s="54"/>
      <c r="HR115" s="54"/>
      <c r="HS115" s="54"/>
      <c r="HT115" s="54"/>
      <c r="HU115" s="54"/>
      <c r="HV115" s="54"/>
      <c r="HW115" s="54"/>
      <c r="HX115" s="54"/>
      <c r="HY115" s="54"/>
      <c r="HZ115" s="54"/>
      <c r="IA115" s="54"/>
      <c r="IB115" s="54"/>
      <c r="IC115" s="54"/>
      <c r="ID115" s="54"/>
      <c r="IE115" s="54"/>
      <c r="IF115" s="54"/>
      <c r="IG115" s="54"/>
      <c r="IH115" s="54"/>
      <c r="II115" s="54"/>
      <c r="IJ115" s="54"/>
      <c r="IK115" s="54"/>
      <c r="IL115" s="54"/>
      <c r="IM115" s="54"/>
      <c r="IN115" s="54"/>
      <c r="IO115" s="54"/>
      <c r="IP115" s="54"/>
      <c r="IQ115" s="54"/>
      <c r="IR115" s="54"/>
      <c r="IS115" s="54"/>
      <c r="IT115" s="54"/>
      <c r="IU115" s="54"/>
      <c r="IV115" s="54"/>
      <c r="IW115" s="54"/>
      <c r="IX115" s="54"/>
      <c r="IY115" s="54"/>
      <c r="IZ115" s="54"/>
      <c r="JA115" s="54"/>
      <c r="JB115" s="54"/>
      <c r="JC115" s="54"/>
      <c r="JD115" s="54"/>
      <c r="JE115" s="54"/>
      <c r="JF115" s="54"/>
      <c r="JG115" s="54"/>
      <c r="JH115" s="54"/>
      <c r="JI115" s="54"/>
      <c r="JJ115" s="54"/>
      <c r="JK115" s="54"/>
      <c r="JL115" s="54"/>
      <c r="JM115" s="54"/>
      <c r="JN115" s="54"/>
      <c r="JO115" s="54"/>
      <c r="JP115" s="54"/>
      <c r="JQ115" s="54"/>
      <c r="JR115" s="54"/>
      <c r="JS115" s="54"/>
      <c r="JT115" s="54"/>
      <c r="JU115" s="54"/>
      <c r="JV115" s="54"/>
      <c r="JW115" s="54"/>
      <c r="JX115" s="54"/>
      <c r="JY115" s="54"/>
      <c r="JZ115" s="54"/>
      <c r="KA115" s="54"/>
      <c r="KB115" s="54"/>
      <c r="KC115" s="54"/>
      <c r="KD115" s="54"/>
      <c r="KE115" s="54"/>
      <c r="KF115" s="54"/>
      <c r="KG115" s="54"/>
      <c r="KH115" s="54"/>
      <c r="KI115" s="54"/>
      <c r="KJ115" s="54"/>
      <c r="KK115" s="54"/>
      <c r="KL115" s="54"/>
      <c r="KM115" s="54"/>
      <c r="KN115" s="54"/>
      <c r="KO115" s="54"/>
      <c r="KP115" s="54"/>
      <c r="KQ115" s="54"/>
      <c r="KR115" s="54"/>
      <c r="KS115" s="54"/>
      <c r="KT115" s="54"/>
      <c r="KU115" s="54"/>
      <c r="KV115" s="54"/>
      <c r="KW115" s="54"/>
      <c r="KX115" s="54"/>
    </row>
    <row r="116" ht="5.2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c r="BS116" s="54"/>
      <c r="BT116" s="54"/>
      <c r="BU116" s="54"/>
      <c r="BV116" s="54"/>
      <c r="BW116" s="108"/>
      <c r="BX116" s="101"/>
      <c r="BY116" s="102"/>
      <c r="BZ116" s="102"/>
      <c r="CA116" s="102"/>
      <c r="CB116" s="102"/>
      <c r="CC116" s="102"/>
      <c r="CD116" s="102"/>
      <c r="CE116" s="102"/>
      <c r="CF116" s="102"/>
      <c r="CG116" s="102"/>
      <c r="CH116" s="103"/>
      <c r="CI116" s="104"/>
      <c r="CJ116" s="102"/>
      <c r="CK116" s="103"/>
      <c r="CL116" s="104"/>
      <c r="CM116" s="102"/>
      <c r="CN116" s="102"/>
      <c r="CO116" s="102"/>
      <c r="CP116" s="102"/>
      <c r="CQ116" s="102"/>
      <c r="CR116" s="102"/>
      <c r="CS116" s="102"/>
      <c r="CT116" s="102"/>
      <c r="CU116" s="102"/>
      <c r="CV116" s="102"/>
      <c r="CW116" s="102"/>
      <c r="CX116" s="102"/>
      <c r="CY116" s="102"/>
      <c r="CZ116" s="102"/>
      <c r="DA116" s="103"/>
      <c r="DB116" s="104"/>
      <c r="DC116" s="102"/>
      <c r="DD116" s="102"/>
      <c r="DE116" s="102"/>
      <c r="DF116" s="137"/>
      <c r="DG116" s="137"/>
      <c r="DH116" s="137"/>
      <c r="DI116" s="137"/>
      <c r="DJ116" s="137"/>
      <c r="DK116" s="137"/>
      <c r="DL116" s="137"/>
      <c r="DM116" s="137"/>
      <c r="DN116" s="137"/>
      <c r="DO116" s="102"/>
      <c r="DP116" s="102"/>
      <c r="DQ116" s="103"/>
      <c r="DR116" s="104"/>
      <c r="DS116" s="102"/>
      <c r="DT116" s="103"/>
      <c r="DU116" s="104"/>
      <c r="DV116" s="102"/>
      <c r="DW116" s="102"/>
      <c r="DX116" s="137"/>
      <c r="DY116" s="137"/>
      <c r="DZ116" s="137"/>
      <c r="EA116" s="137"/>
      <c r="EB116" s="137"/>
      <c r="EC116" s="137"/>
      <c r="ED116" s="137"/>
      <c r="EE116" s="138"/>
      <c r="EF116" s="108"/>
      <c r="EG116" s="54"/>
      <c r="EH116" s="54"/>
      <c r="EI116" s="108"/>
      <c r="EJ116" s="101"/>
      <c r="EK116" s="102"/>
      <c r="EL116" s="102"/>
      <c r="EM116" s="102"/>
      <c r="EN116" s="102"/>
      <c r="EO116" s="102"/>
      <c r="EP116" s="102"/>
      <c r="EQ116" s="102"/>
      <c r="ER116" s="102"/>
      <c r="ES116" s="102"/>
      <c r="ET116" s="103"/>
      <c r="EU116" s="104"/>
      <c r="EV116" s="102"/>
      <c r="EW116" s="103"/>
      <c r="EX116" s="104"/>
      <c r="EY116" s="102"/>
      <c r="EZ116" s="102"/>
      <c r="FA116" s="102"/>
      <c r="FB116" s="102"/>
      <c r="FC116" s="102"/>
      <c r="FD116" s="102"/>
      <c r="FE116" s="102"/>
      <c r="FF116" s="102"/>
      <c r="FG116" s="102"/>
      <c r="FH116" s="102"/>
      <c r="FI116" s="102"/>
      <c r="FJ116" s="102"/>
      <c r="FK116" s="102"/>
      <c r="FL116" s="102"/>
      <c r="FM116" s="103"/>
      <c r="FN116" s="104"/>
      <c r="FO116" s="102"/>
      <c r="FP116" s="102"/>
      <c r="FQ116" s="102"/>
      <c r="FR116" s="137"/>
      <c r="FS116" s="137"/>
      <c r="FT116" s="137"/>
      <c r="FU116" s="137"/>
      <c r="FV116" s="137"/>
      <c r="FW116" s="137"/>
      <c r="FX116" s="137"/>
      <c r="FY116" s="137"/>
      <c r="FZ116" s="137"/>
      <c r="GA116" s="102"/>
      <c r="GB116" s="102"/>
      <c r="GC116" s="103"/>
      <c r="GD116" s="104"/>
      <c r="GE116" s="102"/>
      <c r="GF116" s="103"/>
      <c r="GG116" s="104"/>
      <c r="GH116" s="102"/>
      <c r="GI116" s="102"/>
      <c r="GJ116" s="137"/>
      <c r="GK116" s="137"/>
      <c r="GL116" s="137"/>
      <c r="GM116" s="137"/>
      <c r="GN116" s="137"/>
      <c r="GO116" s="137"/>
      <c r="GP116" s="137"/>
      <c r="GQ116" s="138"/>
      <c r="GR116" s="108"/>
      <c r="GS116" s="54"/>
      <c r="GT116" s="54"/>
      <c r="GU116" s="54"/>
      <c r="GV116" s="54"/>
      <c r="GW116" s="54"/>
      <c r="GX116" s="54"/>
      <c r="GY116" s="54"/>
      <c r="GZ116" s="54"/>
      <c r="HA116" s="54"/>
      <c r="HB116" s="54"/>
      <c r="HC116" s="54"/>
      <c r="HD116" s="54"/>
      <c r="HE116" s="54"/>
      <c r="HF116" s="54"/>
      <c r="HG116" s="54"/>
      <c r="HH116" s="54"/>
      <c r="HI116" s="54"/>
      <c r="HJ116" s="54"/>
      <c r="HK116" s="54"/>
      <c r="HL116" s="54"/>
      <c r="HM116" s="54"/>
      <c r="HN116" s="54"/>
      <c r="HO116" s="54"/>
      <c r="HP116" s="54"/>
      <c r="HQ116" s="54"/>
      <c r="HR116" s="54"/>
      <c r="HS116" s="54"/>
      <c r="HT116" s="54"/>
      <c r="HU116" s="54"/>
      <c r="HV116" s="54"/>
      <c r="HW116" s="54"/>
      <c r="HX116" s="54"/>
      <c r="HY116" s="54"/>
      <c r="HZ116" s="54"/>
      <c r="IA116" s="54"/>
      <c r="IB116" s="54"/>
      <c r="IC116" s="54"/>
      <c r="ID116" s="54"/>
      <c r="IE116" s="54"/>
      <c r="IF116" s="54"/>
      <c r="IG116" s="54"/>
      <c r="IH116" s="54"/>
      <c r="II116" s="54"/>
      <c r="IJ116" s="54"/>
      <c r="IK116" s="54"/>
      <c r="IL116" s="54"/>
      <c r="IM116" s="54"/>
      <c r="IN116" s="54"/>
      <c r="IO116" s="54"/>
      <c r="IP116" s="54"/>
      <c r="IQ116" s="54"/>
      <c r="IR116" s="54"/>
      <c r="IS116" s="54"/>
      <c r="IT116" s="54"/>
      <c r="IU116" s="54"/>
      <c r="IV116" s="54"/>
      <c r="IW116" s="54"/>
      <c r="IX116" s="54"/>
      <c r="IY116" s="54"/>
      <c r="IZ116" s="54"/>
      <c r="JA116" s="54"/>
      <c r="JB116" s="54"/>
      <c r="JC116" s="54"/>
      <c r="JD116" s="54"/>
      <c r="JE116" s="54"/>
      <c r="JF116" s="54"/>
      <c r="JG116" s="54"/>
      <c r="JH116" s="54"/>
      <c r="JI116" s="54"/>
      <c r="JJ116" s="54"/>
      <c r="JK116" s="54"/>
      <c r="JL116" s="54"/>
      <c r="JM116" s="54"/>
      <c r="JN116" s="54"/>
      <c r="JO116" s="54"/>
      <c r="JP116" s="54"/>
      <c r="JQ116" s="54"/>
      <c r="JR116" s="54"/>
      <c r="JS116" s="54"/>
      <c r="JT116" s="54"/>
      <c r="JU116" s="54"/>
      <c r="JV116" s="54"/>
      <c r="JW116" s="54"/>
      <c r="JX116" s="54"/>
      <c r="JY116" s="54"/>
      <c r="JZ116" s="54"/>
      <c r="KA116" s="54"/>
      <c r="KB116" s="54"/>
      <c r="KC116" s="54"/>
      <c r="KD116" s="54"/>
      <c r="KE116" s="54"/>
      <c r="KF116" s="54"/>
      <c r="KG116" s="54"/>
      <c r="KH116" s="54"/>
      <c r="KI116" s="54"/>
      <c r="KJ116" s="54"/>
      <c r="KK116" s="54"/>
      <c r="KL116" s="54"/>
      <c r="KM116" s="54"/>
      <c r="KN116" s="54"/>
      <c r="KO116" s="54"/>
      <c r="KP116" s="54"/>
      <c r="KQ116" s="54"/>
      <c r="KR116" s="54"/>
      <c r="KS116" s="54"/>
      <c r="KT116" s="54"/>
      <c r="KU116" s="54"/>
      <c r="KV116" s="54"/>
      <c r="KW116" s="54"/>
      <c r="KX116" s="54"/>
    </row>
    <row r="117" ht="5.2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c r="BL117" s="54"/>
      <c r="BM117" s="54"/>
      <c r="BN117" s="54"/>
      <c r="BO117" s="54"/>
      <c r="BP117" s="54"/>
      <c r="BQ117" s="54"/>
      <c r="BR117" s="54"/>
      <c r="BS117" s="54"/>
      <c r="BT117" s="54"/>
      <c r="BU117" s="54"/>
      <c r="BV117" s="54"/>
      <c r="BW117" s="54"/>
      <c r="BX117" s="54"/>
      <c r="BY117" s="54"/>
      <c r="BZ117" s="54"/>
      <c r="CA117" s="54"/>
      <c r="CB117" s="54"/>
      <c r="CC117" s="54"/>
      <c r="CD117" s="54"/>
      <c r="CE117" s="54"/>
      <c r="CF117" s="54"/>
      <c r="CG117" s="54"/>
      <c r="CH117" s="54"/>
      <c r="CI117" s="54"/>
      <c r="CJ117" s="54"/>
      <c r="CK117" s="54"/>
      <c r="CL117" s="54"/>
      <c r="CM117" s="54"/>
      <c r="CN117" s="54"/>
      <c r="CO117" s="54"/>
      <c r="CP117" s="54"/>
      <c r="CQ117" s="54"/>
      <c r="CR117" s="54"/>
      <c r="CS117" s="54"/>
      <c r="CT117" s="54"/>
      <c r="CU117" s="54"/>
      <c r="CV117" s="54"/>
      <c r="CW117" s="54"/>
      <c r="CX117" s="54"/>
      <c r="CY117" s="54"/>
      <c r="CZ117" s="54"/>
      <c r="DA117" s="54"/>
      <c r="DB117" s="54"/>
      <c r="DC117" s="54"/>
      <c r="DD117" s="54"/>
      <c r="DE117" s="54"/>
      <c r="DF117" s="54"/>
      <c r="DG117" s="54"/>
      <c r="DH117" s="54"/>
      <c r="DI117" s="54"/>
      <c r="DJ117" s="54"/>
      <c r="DK117" s="54"/>
      <c r="DL117" s="54"/>
      <c r="DM117" s="54"/>
      <c r="DN117" s="54"/>
      <c r="DO117" s="54"/>
      <c r="DP117" s="54"/>
      <c r="DQ117" s="54"/>
      <c r="DR117" s="54"/>
      <c r="DS117" s="54"/>
      <c r="DT117" s="54"/>
      <c r="DU117" s="54"/>
      <c r="DV117" s="54"/>
      <c r="DW117" s="54"/>
      <c r="DX117" s="54"/>
      <c r="DY117" s="54"/>
      <c r="DZ117" s="54"/>
      <c r="EA117" s="54"/>
      <c r="EB117" s="54"/>
      <c r="EC117" s="54"/>
      <c r="ED117" s="54"/>
      <c r="EE117" s="54"/>
      <c r="EF117" s="54"/>
      <c r="EG117" s="54"/>
      <c r="EH117" s="54"/>
      <c r="EI117" s="54"/>
      <c r="EJ117" s="54"/>
      <c r="EK117" s="54"/>
      <c r="EL117" s="54"/>
      <c r="EM117" s="54"/>
      <c r="EN117" s="54"/>
      <c r="EO117" s="54"/>
      <c r="EP117" s="54"/>
      <c r="EQ117" s="54"/>
      <c r="ER117" s="54"/>
      <c r="ES117" s="54"/>
      <c r="ET117" s="54"/>
      <c r="EU117" s="54"/>
      <c r="EV117" s="54"/>
      <c r="EW117" s="54"/>
      <c r="EX117" s="54"/>
      <c r="EY117" s="54"/>
      <c r="EZ117" s="54"/>
      <c r="FA117" s="54"/>
      <c r="FB117" s="54"/>
      <c r="FC117" s="54"/>
      <c r="FD117" s="54"/>
      <c r="FE117" s="54"/>
      <c r="FF117" s="54"/>
      <c r="FG117" s="54"/>
      <c r="FH117" s="54"/>
      <c r="FI117" s="54"/>
      <c r="FJ117" s="54"/>
      <c r="FK117" s="54"/>
      <c r="FL117" s="54"/>
      <c r="FM117" s="54"/>
      <c r="FN117" s="54"/>
      <c r="FO117" s="54"/>
      <c r="FP117" s="54"/>
      <c r="FQ117" s="54"/>
      <c r="FR117" s="54"/>
      <c r="FS117" s="54"/>
      <c r="FT117" s="54"/>
      <c r="FU117" s="54"/>
      <c r="FV117" s="54"/>
      <c r="FW117" s="54"/>
      <c r="FX117" s="54"/>
      <c r="FY117" s="54"/>
      <c r="FZ117" s="54"/>
      <c r="GA117" s="54"/>
      <c r="GB117" s="54"/>
      <c r="GC117" s="54"/>
      <c r="GD117" s="54"/>
      <c r="GE117" s="54"/>
      <c r="GF117" s="54"/>
      <c r="GG117" s="54"/>
      <c r="GH117" s="54"/>
      <c r="GI117" s="54"/>
      <c r="GJ117" s="54"/>
      <c r="GK117" s="54"/>
      <c r="GL117" s="54"/>
      <c r="GM117" s="54"/>
      <c r="GN117" s="54"/>
      <c r="GO117" s="54"/>
      <c r="GP117" s="54"/>
      <c r="GQ117" s="54"/>
      <c r="GR117" s="54"/>
      <c r="GS117" s="54"/>
      <c r="GT117" s="54"/>
      <c r="GU117" s="54"/>
      <c r="GV117" s="54"/>
      <c r="GW117" s="54"/>
      <c r="GX117" s="54"/>
      <c r="GY117" s="54"/>
      <c r="GZ117" s="54"/>
      <c r="HA117" s="54"/>
      <c r="HB117" s="54"/>
      <c r="HC117" s="54"/>
      <c r="HD117" s="54"/>
      <c r="HE117" s="54"/>
      <c r="HF117" s="54"/>
      <c r="HG117" s="54"/>
      <c r="HH117" s="54"/>
      <c r="HI117" s="54"/>
      <c r="HJ117" s="54"/>
      <c r="HK117" s="54"/>
      <c r="HL117" s="54"/>
      <c r="HM117" s="54"/>
      <c r="HN117" s="54"/>
      <c r="HO117" s="54"/>
      <c r="HP117" s="54"/>
      <c r="HQ117" s="54"/>
      <c r="HR117" s="54"/>
      <c r="HS117" s="54"/>
      <c r="HT117" s="54"/>
      <c r="HU117" s="54"/>
      <c r="HV117" s="54"/>
      <c r="HW117" s="54"/>
      <c r="HX117" s="54"/>
      <c r="HY117" s="54"/>
      <c r="HZ117" s="54"/>
      <c r="IA117" s="54"/>
      <c r="IB117" s="54"/>
      <c r="IC117" s="54"/>
      <c r="ID117" s="54"/>
      <c r="IE117" s="54"/>
      <c r="IF117" s="54"/>
      <c r="IG117" s="54"/>
      <c r="IH117" s="54"/>
      <c r="II117" s="54"/>
      <c r="IJ117" s="54"/>
      <c r="IK117" s="54"/>
      <c r="IL117" s="54"/>
      <c r="IM117" s="54"/>
      <c r="IN117" s="54"/>
      <c r="IO117" s="54"/>
      <c r="IP117" s="54"/>
      <c r="IQ117" s="54"/>
      <c r="IR117" s="54"/>
      <c r="IS117" s="54"/>
      <c r="IT117" s="54"/>
      <c r="IU117" s="54"/>
      <c r="IV117" s="54"/>
      <c r="IW117" s="54"/>
      <c r="IX117" s="54"/>
      <c r="IY117" s="54"/>
      <c r="IZ117" s="54"/>
      <c r="JA117" s="54"/>
      <c r="JB117" s="54"/>
      <c r="JC117" s="54"/>
      <c r="JD117" s="54"/>
      <c r="JE117" s="54"/>
      <c r="JF117" s="54"/>
      <c r="JG117" s="54"/>
      <c r="JH117" s="54"/>
      <c r="JI117" s="54"/>
      <c r="JJ117" s="54"/>
      <c r="JK117" s="54"/>
      <c r="JL117" s="54"/>
      <c r="JM117" s="54"/>
      <c r="JN117" s="54"/>
      <c r="JO117" s="54"/>
      <c r="JP117" s="54"/>
      <c r="JQ117" s="54"/>
      <c r="JR117" s="54"/>
      <c r="JS117" s="54"/>
      <c r="JT117" s="54"/>
      <c r="JU117" s="54"/>
      <c r="JV117" s="54"/>
      <c r="JW117" s="54"/>
      <c r="JX117" s="54"/>
      <c r="JY117" s="54"/>
      <c r="JZ117" s="54"/>
      <c r="KA117" s="54"/>
      <c r="KB117" s="54"/>
      <c r="KC117" s="54"/>
      <c r="KD117" s="54"/>
      <c r="KE117" s="54"/>
      <c r="KF117" s="54"/>
      <c r="KG117" s="54"/>
      <c r="KH117" s="54"/>
      <c r="KI117" s="54"/>
      <c r="KJ117" s="54"/>
      <c r="KK117" s="54"/>
      <c r="KL117" s="54"/>
      <c r="KM117" s="54"/>
      <c r="KN117" s="54"/>
      <c r="KO117" s="54"/>
      <c r="KP117" s="54"/>
      <c r="KQ117" s="54"/>
      <c r="KR117" s="54"/>
      <c r="KS117" s="54"/>
      <c r="KT117" s="54"/>
      <c r="KU117" s="54"/>
      <c r="KV117" s="54"/>
      <c r="KW117" s="54"/>
      <c r="KX117" s="54"/>
    </row>
    <row r="118" ht="5.2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c r="BS118" s="54"/>
      <c r="BT118" s="54"/>
      <c r="BU118" s="54"/>
      <c r="BV118" s="54"/>
      <c r="BW118" s="54"/>
      <c r="BX118" s="54"/>
      <c r="BY118" s="54"/>
      <c r="BZ118" s="54"/>
      <c r="CA118" s="54"/>
      <c r="CB118" s="54"/>
      <c r="CC118" s="54"/>
      <c r="CD118" s="54"/>
      <c r="CE118" s="54"/>
      <c r="CF118" s="54"/>
      <c r="CG118" s="54"/>
      <c r="CH118" s="54"/>
      <c r="CI118" s="54"/>
      <c r="CJ118" s="54"/>
      <c r="CK118" s="54"/>
      <c r="CL118" s="54"/>
      <c r="CM118" s="54"/>
      <c r="CN118" s="54"/>
      <c r="CO118" s="54"/>
      <c r="CP118" s="54"/>
      <c r="CQ118" s="54"/>
      <c r="CR118" s="54"/>
      <c r="CS118" s="54"/>
      <c r="CT118" s="54"/>
      <c r="CU118" s="54"/>
      <c r="CV118" s="54"/>
      <c r="CW118" s="54"/>
      <c r="CX118" s="54"/>
      <c r="CY118" s="54"/>
      <c r="CZ118" s="54"/>
      <c r="DA118" s="54"/>
      <c r="DB118" s="54"/>
      <c r="DC118" s="54"/>
      <c r="DD118" s="54"/>
      <c r="DE118" s="54"/>
      <c r="DF118" s="54"/>
      <c r="DG118" s="54"/>
      <c r="DH118" s="54"/>
      <c r="DI118" s="54"/>
      <c r="DJ118" s="54"/>
      <c r="DK118" s="54"/>
      <c r="DL118" s="54"/>
      <c r="DM118" s="54"/>
      <c r="DN118" s="54"/>
      <c r="DO118" s="54"/>
      <c r="DP118" s="54"/>
      <c r="DQ118" s="54"/>
      <c r="DR118" s="54"/>
      <c r="DS118" s="54"/>
      <c r="DT118" s="54"/>
      <c r="DU118" s="54"/>
      <c r="DV118" s="54"/>
      <c r="DW118" s="54"/>
      <c r="DX118" s="54"/>
      <c r="DY118" s="54"/>
      <c r="DZ118" s="54"/>
      <c r="EA118" s="54"/>
      <c r="EB118" s="54"/>
      <c r="EC118" s="54"/>
      <c r="ED118" s="54"/>
      <c r="EE118" s="54"/>
      <c r="EF118" s="54"/>
      <c r="EG118" s="54"/>
      <c r="EH118" s="54"/>
      <c r="EI118" s="54"/>
      <c r="EJ118" s="54"/>
      <c r="EK118" s="54"/>
      <c r="EL118" s="54"/>
      <c r="EM118" s="54"/>
      <c r="EN118" s="54"/>
      <c r="EO118" s="54"/>
      <c r="EP118" s="54"/>
      <c r="EQ118" s="54"/>
      <c r="ER118" s="54"/>
      <c r="ES118" s="54"/>
      <c r="ET118" s="54"/>
      <c r="EU118" s="54"/>
      <c r="EV118" s="54"/>
      <c r="EW118" s="54"/>
      <c r="EX118" s="54"/>
      <c r="EY118" s="54"/>
      <c r="EZ118" s="54"/>
      <c r="FA118" s="54"/>
      <c r="FB118" s="54"/>
      <c r="FC118" s="54"/>
      <c r="FD118" s="54"/>
      <c r="FE118" s="54"/>
      <c r="FF118" s="54"/>
      <c r="FG118" s="54"/>
      <c r="FH118" s="54"/>
      <c r="FI118" s="54"/>
      <c r="FJ118" s="54"/>
      <c r="FK118" s="54"/>
      <c r="FL118" s="54"/>
      <c r="FM118" s="54"/>
      <c r="FN118" s="54"/>
      <c r="FO118" s="54"/>
      <c r="FP118" s="54"/>
      <c r="FQ118" s="54"/>
      <c r="FR118" s="54"/>
      <c r="FS118" s="54"/>
      <c r="FT118" s="54"/>
      <c r="FU118" s="54"/>
      <c r="FV118" s="54"/>
      <c r="FW118" s="54"/>
      <c r="FX118" s="54"/>
      <c r="FY118" s="54"/>
      <c r="FZ118" s="54"/>
      <c r="GA118" s="54"/>
      <c r="GB118" s="54"/>
      <c r="GC118" s="54"/>
      <c r="GD118" s="54"/>
      <c r="GE118" s="54"/>
      <c r="GF118" s="54"/>
      <c r="GG118" s="54"/>
      <c r="GH118" s="54"/>
      <c r="GI118" s="54"/>
      <c r="GJ118" s="54"/>
      <c r="GK118" s="54"/>
      <c r="GL118" s="54"/>
      <c r="GM118" s="54"/>
      <c r="GN118" s="54"/>
      <c r="GO118" s="54"/>
      <c r="GP118" s="54"/>
      <c r="GQ118" s="54"/>
      <c r="GR118" s="54"/>
      <c r="GS118" s="54"/>
      <c r="GT118" s="54"/>
      <c r="GU118" s="54"/>
      <c r="GV118" s="54"/>
      <c r="GW118" s="54"/>
      <c r="GX118" s="54"/>
      <c r="GY118" s="54"/>
      <c r="GZ118" s="54"/>
      <c r="HA118" s="54"/>
      <c r="HB118" s="54"/>
      <c r="HC118" s="54"/>
      <c r="HD118" s="54"/>
      <c r="HE118" s="54"/>
      <c r="HF118" s="54"/>
      <c r="HG118" s="54"/>
      <c r="HH118" s="54"/>
      <c r="HI118" s="54"/>
      <c r="HJ118" s="54"/>
      <c r="HK118" s="54"/>
      <c r="HL118" s="54"/>
      <c r="HM118" s="54"/>
      <c r="HN118" s="54"/>
      <c r="HO118" s="54"/>
      <c r="HP118" s="54"/>
      <c r="HQ118" s="54"/>
      <c r="HR118" s="54"/>
      <c r="HS118" s="54"/>
      <c r="HT118" s="54"/>
      <c r="HU118" s="54"/>
      <c r="HV118" s="54"/>
      <c r="HW118" s="54"/>
      <c r="HX118" s="54"/>
      <c r="HY118" s="54"/>
      <c r="HZ118" s="54"/>
      <c r="IA118" s="54"/>
      <c r="IB118" s="54"/>
      <c r="IC118" s="54"/>
      <c r="ID118" s="54"/>
      <c r="IE118" s="54"/>
      <c r="IF118" s="54"/>
      <c r="IG118" s="54"/>
      <c r="IH118" s="54"/>
      <c r="II118" s="54"/>
      <c r="IJ118" s="54"/>
      <c r="IK118" s="54"/>
      <c r="IL118" s="54"/>
      <c r="IM118" s="54"/>
      <c r="IN118" s="54"/>
      <c r="IO118" s="54"/>
      <c r="IP118" s="54"/>
      <c r="IQ118" s="54"/>
      <c r="IR118" s="54"/>
      <c r="IS118" s="54"/>
      <c r="IT118" s="54"/>
      <c r="IU118" s="54"/>
      <c r="IV118" s="54"/>
      <c r="IW118" s="54"/>
      <c r="IX118" s="54"/>
      <c r="IY118" s="54"/>
      <c r="IZ118" s="54"/>
      <c r="JA118" s="54"/>
      <c r="JB118" s="54"/>
      <c r="JC118" s="54"/>
      <c r="JD118" s="54"/>
      <c r="JE118" s="54"/>
      <c r="JF118" s="54"/>
      <c r="JG118" s="54"/>
      <c r="JH118" s="54"/>
      <c r="JI118" s="54"/>
      <c r="JJ118" s="54"/>
      <c r="JK118" s="54"/>
      <c r="JL118" s="54"/>
      <c r="JM118" s="54"/>
      <c r="JN118" s="54"/>
      <c r="JO118" s="54"/>
      <c r="JP118" s="54"/>
      <c r="JQ118" s="54"/>
      <c r="JR118" s="54"/>
      <c r="JS118" s="54"/>
      <c r="JT118" s="54"/>
      <c r="JU118" s="54"/>
      <c r="JV118" s="54"/>
      <c r="JW118" s="54"/>
      <c r="JX118" s="54"/>
      <c r="JY118" s="54"/>
      <c r="JZ118" s="54"/>
      <c r="KA118" s="54"/>
      <c r="KB118" s="54"/>
      <c r="KC118" s="54"/>
      <c r="KD118" s="54"/>
      <c r="KE118" s="54"/>
      <c r="KF118" s="54"/>
      <c r="KG118" s="54"/>
      <c r="KH118" s="54"/>
      <c r="KI118" s="54"/>
      <c r="KJ118" s="54"/>
      <c r="KK118" s="54"/>
      <c r="KL118" s="54"/>
      <c r="KM118" s="54"/>
      <c r="KN118" s="54"/>
      <c r="KO118" s="54"/>
      <c r="KP118" s="54"/>
      <c r="KQ118" s="54"/>
      <c r="KR118" s="54"/>
      <c r="KS118" s="54"/>
      <c r="KT118" s="54"/>
      <c r="KU118" s="54"/>
      <c r="KV118" s="54"/>
      <c r="KW118" s="54"/>
      <c r="KX118" s="54"/>
    </row>
    <row r="119" ht="5.2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c r="BS119" s="54"/>
      <c r="BT119" s="54"/>
      <c r="BU119" s="54"/>
      <c r="BV119" s="54"/>
      <c r="BW119" s="54"/>
      <c r="BX119" s="54"/>
      <c r="BY119" s="54"/>
      <c r="BZ119" s="54"/>
      <c r="CA119" s="54"/>
      <c r="CB119" s="54"/>
      <c r="CC119" s="54"/>
      <c r="CD119" s="54"/>
      <c r="CE119" s="54"/>
      <c r="CF119" s="54"/>
      <c r="CG119" s="54"/>
      <c r="CH119" s="54"/>
      <c r="CI119" s="54"/>
      <c r="CJ119" s="54"/>
      <c r="CK119" s="54"/>
      <c r="CL119" s="54"/>
      <c r="CM119" s="54"/>
      <c r="CN119" s="54"/>
      <c r="CO119" s="54"/>
      <c r="CP119" s="54"/>
      <c r="CQ119" s="54"/>
      <c r="CR119" s="54"/>
      <c r="CS119" s="54"/>
      <c r="CT119" s="54"/>
      <c r="CU119" s="54"/>
      <c r="CV119" s="54"/>
      <c r="CW119" s="54"/>
      <c r="CX119" s="54"/>
      <c r="CY119" s="54"/>
      <c r="CZ119" s="54"/>
      <c r="DA119" s="54"/>
      <c r="DB119" s="54"/>
      <c r="DC119" s="54"/>
      <c r="DD119" s="54"/>
      <c r="DE119" s="54"/>
      <c r="DF119" s="54"/>
      <c r="DG119" s="54"/>
      <c r="DH119" s="54"/>
      <c r="DI119" s="54"/>
      <c r="DJ119" s="54"/>
      <c r="DK119" s="54"/>
      <c r="DL119" s="54"/>
      <c r="DM119" s="54"/>
      <c r="DN119" s="54"/>
      <c r="DO119" s="54"/>
      <c r="DP119" s="54"/>
      <c r="DQ119" s="54"/>
      <c r="DR119" s="54"/>
      <c r="DS119" s="54"/>
      <c r="DT119" s="54"/>
      <c r="DU119" s="54"/>
      <c r="DV119" s="54"/>
      <c r="DW119" s="54"/>
      <c r="DX119" s="54"/>
      <c r="DY119" s="54"/>
      <c r="DZ119" s="54"/>
      <c r="EA119" s="54"/>
      <c r="EB119" s="54"/>
      <c r="EC119" s="54"/>
      <c r="ED119" s="54"/>
      <c r="EE119" s="54"/>
      <c r="EF119" s="54"/>
      <c r="EG119" s="54"/>
      <c r="EH119" s="54"/>
      <c r="EI119" s="54"/>
      <c r="EJ119" s="54"/>
      <c r="EK119" s="54"/>
      <c r="EL119" s="54"/>
      <c r="EM119" s="54"/>
      <c r="EN119" s="54"/>
      <c r="EO119" s="54"/>
      <c r="EP119" s="54"/>
      <c r="EQ119" s="54"/>
      <c r="ER119" s="54"/>
      <c r="ES119" s="54"/>
      <c r="ET119" s="54"/>
      <c r="EU119" s="54"/>
      <c r="EV119" s="54"/>
      <c r="EW119" s="54"/>
      <c r="EX119" s="54"/>
      <c r="EY119" s="54"/>
      <c r="EZ119" s="54"/>
      <c r="FA119" s="54"/>
      <c r="FB119" s="54"/>
      <c r="FC119" s="54"/>
      <c r="FD119" s="54"/>
      <c r="FE119" s="54"/>
      <c r="FF119" s="54"/>
      <c r="FG119" s="54"/>
      <c r="FH119" s="54"/>
      <c r="FI119" s="54"/>
      <c r="FJ119" s="54"/>
      <c r="FK119" s="54"/>
      <c r="FL119" s="54"/>
      <c r="FM119" s="54"/>
      <c r="FN119" s="54"/>
      <c r="FO119" s="54"/>
      <c r="FP119" s="54"/>
      <c r="FQ119" s="54"/>
      <c r="FR119" s="54"/>
      <c r="FS119" s="54"/>
      <c r="FT119" s="54"/>
      <c r="FU119" s="54"/>
      <c r="FV119" s="54"/>
      <c r="FW119" s="54"/>
      <c r="FX119" s="54"/>
      <c r="FY119" s="54"/>
      <c r="FZ119" s="54"/>
      <c r="GA119" s="54"/>
      <c r="GB119" s="54"/>
      <c r="GC119" s="54"/>
      <c r="GD119" s="54"/>
      <c r="GE119" s="54"/>
      <c r="GF119" s="54"/>
      <c r="GG119" s="54"/>
      <c r="GH119" s="54"/>
      <c r="GI119" s="54"/>
      <c r="GJ119" s="54"/>
      <c r="GK119" s="54"/>
      <c r="GL119" s="54"/>
      <c r="GM119" s="54"/>
      <c r="GN119" s="54"/>
      <c r="GO119" s="54"/>
      <c r="GP119" s="54"/>
      <c r="GQ119" s="54"/>
      <c r="GR119" s="54"/>
      <c r="GS119" s="54"/>
      <c r="GT119" s="54"/>
      <c r="GU119" s="54"/>
      <c r="GV119" s="54"/>
      <c r="GW119" s="54"/>
      <c r="GX119" s="54"/>
      <c r="GY119" s="54"/>
      <c r="GZ119" s="54"/>
      <c r="HA119" s="54"/>
      <c r="HB119" s="54"/>
      <c r="HC119" s="54"/>
      <c r="HD119" s="54"/>
      <c r="HE119" s="54"/>
      <c r="HF119" s="54"/>
      <c r="HG119" s="54"/>
      <c r="HH119" s="54"/>
      <c r="HI119" s="54"/>
      <c r="HJ119" s="54"/>
      <c r="HK119" s="54"/>
      <c r="HL119" s="54"/>
      <c r="HM119" s="54"/>
      <c r="HN119" s="54"/>
      <c r="HO119" s="54"/>
      <c r="HP119" s="54"/>
      <c r="HQ119" s="54"/>
      <c r="HR119" s="54"/>
      <c r="HS119" s="54"/>
      <c r="HT119" s="54"/>
      <c r="HU119" s="54"/>
      <c r="HV119" s="54"/>
      <c r="HW119" s="54"/>
      <c r="HX119" s="54"/>
      <c r="HY119" s="54"/>
      <c r="HZ119" s="54"/>
      <c r="IA119" s="54"/>
      <c r="IB119" s="54"/>
      <c r="IC119" s="54"/>
      <c r="ID119" s="54"/>
      <c r="IE119" s="54"/>
      <c r="IF119" s="54"/>
      <c r="IG119" s="54"/>
      <c r="IH119" s="54"/>
      <c r="II119" s="54"/>
      <c r="IJ119" s="54"/>
      <c r="IK119" s="54"/>
      <c r="IL119" s="54"/>
      <c r="IM119" s="54"/>
      <c r="IN119" s="54"/>
      <c r="IO119" s="54"/>
      <c r="IP119" s="54"/>
      <c r="IQ119" s="54"/>
      <c r="IR119" s="54"/>
      <c r="IS119" s="54"/>
      <c r="IT119" s="54"/>
      <c r="IU119" s="54"/>
      <c r="IV119" s="54"/>
      <c r="IW119" s="54"/>
      <c r="IX119" s="54"/>
      <c r="IY119" s="54"/>
      <c r="IZ119" s="54"/>
      <c r="JA119" s="54"/>
      <c r="JB119" s="54"/>
      <c r="JC119" s="54"/>
      <c r="JD119" s="54"/>
      <c r="JE119" s="54"/>
      <c r="JF119" s="54"/>
      <c r="JG119" s="54"/>
      <c r="JH119" s="54"/>
      <c r="JI119" s="54"/>
      <c r="JJ119" s="54"/>
      <c r="JK119" s="54"/>
      <c r="JL119" s="54"/>
      <c r="JM119" s="54"/>
      <c r="JN119" s="54"/>
      <c r="JO119" s="54"/>
      <c r="JP119" s="54"/>
      <c r="JQ119" s="54"/>
      <c r="JR119" s="54"/>
      <c r="JS119" s="54"/>
      <c r="JT119" s="54"/>
      <c r="JU119" s="54"/>
      <c r="JV119" s="54"/>
      <c r="JW119" s="54"/>
      <c r="JX119" s="54"/>
      <c r="JY119" s="54"/>
      <c r="JZ119" s="54"/>
      <c r="KA119" s="54"/>
      <c r="KB119" s="54"/>
      <c r="KC119" s="54"/>
      <c r="KD119" s="54"/>
      <c r="KE119" s="54"/>
      <c r="KF119" s="54"/>
      <c r="KG119" s="54"/>
      <c r="KH119" s="54"/>
      <c r="KI119" s="54"/>
      <c r="KJ119" s="54"/>
      <c r="KK119" s="54"/>
      <c r="KL119" s="54"/>
      <c r="KM119" s="54"/>
      <c r="KN119" s="54"/>
      <c r="KO119" s="54"/>
      <c r="KP119" s="54"/>
      <c r="KQ119" s="54"/>
      <c r="KR119" s="54"/>
      <c r="KS119" s="54"/>
      <c r="KT119" s="54"/>
      <c r="KU119" s="54"/>
      <c r="KV119" s="54"/>
      <c r="KW119" s="54"/>
      <c r="KX119" s="54"/>
    </row>
    <row r="120" ht="5.2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f>if(or(BR132="",BV132="",BR139="",BV139=""),0,1)</f>
        <v>0</v>
      </c>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4"/>
      <c r="BR120" s="54"/>
      <c r="BS120" s="54"/>
      <c r="BT120" s="54"/>
      <c r="BU120" s="54"/>
      <c r="BV120" s="54"/>
      <c r="BW120" s="54"/>
      <c r="BX120" s="54"/>
      <c r="BY120" s="54"/>
      <c r="BZ120" s="54"/>
      <c r="CA120" s="54"/>
      <c r="CB120" s="54"/>
      <c r="CC120" s="54"/>
      <c r="CD120" s="54"/>
      <c r="CE120" s="54"/>
      <c r="CF120" s="54"/>
      <c r="CG120" s="54"/>
      <c r="CH120" s="54"/>
      <c r="CI120" s="54"/>
      <c r="CJ120" s="54"/>
      <c r="CK120" s="54"/>
      <c r="CL120" s="54"/>
      <c r="CM120" s="54"/>
      <c r="CN120" s="54"/>
      <c r="CO120" s="54"/>
      <c r="CP120" s="54"/>
      <c r="CQ120" s="54"/>
      <c r="CR120" s="54"/>
      <c r="CS120" s="54"/>
      <c r="CT120" s="54"/>
      <c r="CU120" s="54"/>
      <c r="CV120" s="54"/>
      <c r="CW120" s="54"/>
      <c r="CX120" s="54"/>
      <c r="CY120" s="54"/>
      <c r="CZ120" s="54"/>
      <c r="DA120" s="54"/>
      <c r="DB120" s="54"/>
      <c r="DC120" s="54"/>
      <c r="DD120" s="54">
        <f>if(or(ED132="",EH132="",ED139="",EH139="",ED146="",EH146="",ED153="",EH153=""),0,1)</f>
        <v>0</v>
      </c>
      <c r="DE120" s="54"/>
      <c r="DF120" s="54"/>
      <c r="DG120" s="54"/>
      <c r="DH120" s="54"/>
      <c r="DI120" s="54"/>
      <c r="DJ120" s="54"/>
      <c r="DK120" s="54"/>
      <c r="DL120" s="54"/>
      <c r="DM120" s="54"/>
      <c r="DN120" s="54"/>
      <c r="DO120" s="54"/>
      <c r="DP120" s="54"/>
      <c r="DQ120" s="54"/>
      <c r="DR120" s="54"/>
      <c r="DS120" s="54"/>
      <c r="DT120" s="54"/>
      <c r="DU120" s="54"/>
      <c r="DV120" s="54"/>
      <c r="DW120" s="54"/>
      <c r="DX120" s="54"/>
      <c r="DY120" s="54"/>
      <c r="DZ120" s="54"/>
      <c r="EA120" s="54"/>
      <c r="EB120" s="54"/>
      <c r="EC120" s="54"/>
      <c r="ED120" s="54"/>
      <c r="EE120" s="54"/>
      <c r="EF120" s="54"/>
      <c r="EG120" s="54"/>
      <c r="EH120" s="54"/>
      <c r="EI120" s="54"/>
      <c r="EJ120" s="54"/>
      <c r="EK120" s="54"/>
      <c r="EL120" s="54"/>
      <c r="EM120" s="54"/>
      <c r="EN120" s="54"/>
      <c r="EO120" s="54"/>
      <c r="EP120" s="54"/>
      <c r="EQ120" s="54"/>
      <c r="ER120" s="54"/>
      <c r="ES120" s="54"/>
      <c r="ET120" s="54"/>
      <c r="EU120" s="54"/>
      <c r="EV120" s="54"/>
      <c r="EW120" s="54"/>
      <c r="EX120" s="54"/>
      <c r="EY120" s="54"/>
      <c r="EZ120" s="54"/>
      <c r="FA120" s="54"/>
      <c r="FB120" s="54"/>
      <c r="FC120" s="54"/>
      <c r="FD120" s="54"/>
      <c r="FE120" s="54"/>
      <c r="FF120" s="54"/>
      <c r="FG120" s="54"/>
      <c r="FH120" s="54"/>
      <c r="FI120" s="54"/>
      <c r="FJ120" s="54"/>
      <c r="FK120" s="54"/>
      <c r="FL120" s="54"/>
      <c r="FM120" s="54"/>
      <c r="FN120" s="54"/>
      <c r="FO120" s="54"/>
      <c r="FP120" s="54">
        <f>if(or(GP132="",GT132="",GP139="",GT139=""),0,1)</f>
        <v>0</v>
      </c>
      <c r="FQ120" s="54"/>
      <c r="FR120" s="54"/>
      <c r="FS120" s="54"/>
      <c r="FT120" s="54"/>
      <c r="FU120" s="54"/>
      <c r="FV120" s="54"/>
      <c r="FW120" s="54"/>
      <c r="FX120" s="54"/>
      <c r="FY120" s="54"/>
      <c r="FZ120" s="54"/>
      <c r="GA120" s="54"/>
      <c r="GB120" s="54"/>
      <c r="GC120" s="54"/>
      <c r="GD120" s="54"/>
      <c r="GE120" s="54"/>
      <c r="GF120" s="54"/>
      <c r="GG120" s="54"/>
      <c r="GH120" s="54"/>
      <c r="GI120" s="54"/>
      <c r="GJ120" s="54"/>
      <c r="GK120" s="54"/>
      <c r="GL120" s="54"/>
      <c r="GM120" s="54"/>
      <c r="GN120" s="54"/>
      <c r="GO120" s="54"/>
      <c r="GP120" s="54"/>
      <c r="GQ120" s="54"/>
      <c r="GR120" s="54"/>
      <c r="GS120" s="54"/>
      <c r="GT120" s="54"/>
      <c r="GU120" s="54"/>
      <c r="GV120" s="54"/>
      <c r="GW120" s="54"/>
      <c r="GX120" s="54"/>
      <c r="GY120" s="54"/>
      <c r="GZ120" s="54"/>
      <c r="HA120" s="54"/>
      <c r="HB120" s="54"/>
      <c r="HC120" s="54"/>
      <c r="HD120" s="54"/>
      <c r="HE120" s="54"/>
      <c r="HF120" s="54"/>
      <c r="HG120" s="54"/>
      <c r="HH120" s="54"/>
      <c r="HI120" s="54"/>
      <c r="HJ120" s="54"/>
      <c r="HK120" s="54"/>
      <c r="HL120" s="54"/>
      <c r="HM120" s="54"/>
      <c r="HN120" s="54"/>
      <c r="HO120" s="54"/>
      <c r="HP120" s="54"/>
      <c r="HQ120" s="54"/>
      <c r="HR120" s="54"/>
      <c r="HS120" s="54"/>
      <c r="HT120" s="54"/>
      <c r="HU120" s="54"/>
      <c r="HV120" s="54"/>
      <c r="HW120" s="54"/>
      <c r="HX120" s="54"/>
      <c r="HY120" s="54"/>
      <c r="HZ120" s="54"/>
      <c r="IA120" s="54"/>
      <c r="IB120" s="54"/>
      <c r="IC120" s="54"/>
      <c r="ID120" s="54"/>
      <c r="IE120" s="54"/>
      <c r="IF120" s="54"/>
      <c r="IG120" s="54"/>
      <c r="IH120" s="54"/>
      <c r="II120" s="54"/>
      <c r="IJ120" s="54"/>
      <c r="IK120" s="54"/>
      <c r="IL120" s="54"/>
      <c r="IM120" s="54"/>
      <c r="IN120" s="54"/>
      <c r="IO120" s="54"/>
      <c r="IP120" s="54"/>
      <c r="IQ120" s="54"/>
      <c r="IR120" s="54"/>
      <c r="IS120" s="54"/>
      <c r="IT120" s="54"/>
      <c r="IU120" s="54"/>
      <c r="IV120" s="54"/>
      <c r="IW120" s="54"/>
      <c r="IX120" s="54"/>
      <c r="IY120" s="54"/>
      <c r="IZ120" s="54"/>
      <c r="JA120" s="54"/>
      <c r="JB120" s="54"/>
      <c r="JC120" s="54"/>
      <c r="JD120" s="54"/>
      <c r="JE120" s="54"/>
      <c r="JF120" s="54"/>
      <c r="JG120" s="54"/>
      <c r="JH120" s="54"/>
      <c r="JI120" s="54"/>
      <c r="JJ120" s="54"/>
      <c r="JK120" s="54"/>
      <c r="JL120" s="54"/>
      <c r="JM120" s="54"/>
      <c r="JN120" s="54"/>
      <c r="JO120" s="54"/>
      <c r="JP120" s="54"/>
      <c r="JQ120" s="54"/>
      <c r="JR120" s="54"/>
      <c r="JS120" s="54"/>
      <c r="JT120" s="54"/>
      <c r="JU120" s="54"/>
      <c r="JV120" s="54"/>
      <c r="JW120" s="54"/>
      <c r="JX120" s="54"/>
      <c r="JY120" s="54"/>
      <c r="JZ120" s="54"/>
      <c r="KA120" s="54"/>
      <c r="KB120" s="54"/>
      <c r="KC120" s="54"/>
      <c r="KD120" s="54"/>
      <c r="KE120" s="54"/>
      <c r="KF120" s="54"/>
      <c r="KG120" s="54"/>
      <c r="KH120" s="54"/>
      <c r="KI120" s="54"/>
      <c r="KJ120" s="54"/>
      <c r="KK120" s="54"/>
      <c r="KL120" s="54"/>
      <c r="KM120" s="54"/>
      <c r="KN120" s="54"/>
      <c r="KO120" s="54"/>
      <c r="KP120" s="54"/>
      <c r="KQ120" s="54"/>
      <c r="KR120" s="54"/>
      <c r="KS120" s="54"/>
      <c r="KT120" s="54"/>
      <c r="KU120" s="54"/>
      <c r="KV120" s="54"/>
      <c r="KW120" s="54"/>
      <c r="KX120" s="54"/>
    </row>
    <row r="121" ht="5.2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108"/>
      <c r="AR121" s="57" t="s">
        <v>62</v>
      </c>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9"/>
      <c r="CZ121" s="108"/>
      <c r="DA121" s="54"/>
      <c r="DB121" s="54"/>
      <c r="DC121" s="108"/>
      <c r="DD121" s="57" t="s">
        <v>63</v>
      </c>
      <c r="DE121" s="58"/>
      <c r="DF121" s="58"/>
      <c r="DG121" s="58"/>
      <c r="DH121" s="58"/>
      <c r="DI121" s="58"/>
      <c r="DJ121" s="58"/>
      <c r="DK121" s="58"/>
      <c r="DL121" s="58"/>
      <c r="DM121" s="58"/>
      <c r="DN121" s="58"/>
      <c r="DO121" s="58"/>
      <c r="DP121" s="58"/>
      <c r="DQ121" s="58"/>
      <c r="DR121" s="58"/>
      <c r="DS121" s="58"/>
      <c r="DT121" s="58"/>
      <c r="DU121" s="58"/>
      <c r="DV121" s="58"/>
      <c r="DW121" s="58"/>
      <c r="DX121" s="58"/>
      <c r="DY121" s="58"/>
      <c r="DZ121" s="58"/>
      <c r="EA121" s="58"/>
      <c r="EB121" s="58"/>
      <c r="EC121" s="58"/>
      <c r="ED121" s="58"/>
      <c r="EE121" s="58"/>
      <c r="EF121" s="58"/>
      <c r="EG121" s="58"/>
      <c r="EH121" s="58"/>
      <c r="EI121" s="58"/>
      <c r="EJ121" s="58"/>
      <c r="EK121" s="58"/>
      <c r="EL121" s="58"/>
      <c r="EM121" s="58"/>
      <c r="EN121" s="58"/>
      <c r="EO121" s="58"/>
      <c r="EP121" s="58"/>
      <c r="EQ121" s="58"/>
      <c r="ER121" s="58"/>
      <c r="ES121" s="58"/>
      <c r="ET121" s="58"/>
      <c r="EU121" s="58"/>
      <c r="EV121" s="58"/>
      <c r="EW121" s="58"/>
      <c r="EX121" s="58"/>
      <c r="EY121" s="58"/>
      <c r="EZ121" s="58"/>
      <c r="FA121" s="58"/>
      <c r="FB121" s="58"/>
      <c r="FC121" s="58"/>
      <c r="FD121" s="58"/>
      <c r="FE121" s="58"/>
      <c r="FF121" s="58"/>
      <c r="FG121" s="58"/>
      <c r="FH121" s="58"/>
      <c r="FI121" s="58"/>
      <c r="FJ121" s="58"/>
      <c r="FK121" s="59"/>
      <c r="FL121" s="108"/>
      <c r="FM121" s="54"/>
      <c r="FN121" s="54"/>
      <c r="FO121" s="108"/>
      <c r="FP121" s="57" t="s">
        <v>64</v>
      </c>
      <c r="FQ121" s="58"/>
      <c r="FR121" s="58"/>
      <c r="FS121" s="58"/>
      <c r="FT121" s="58"/>
      <c r="FU121" s="58"/>
      <c r="FV121" s="58"/>
      <c r="FW121" s="58"/>
      <c r="FX121" s="58"/>
      <c r="FY121" s="58"/>
      <c r="FZ121" s="58"/>
      <c r="GA121" s="58"/>
      <c r="GB121" s="58"/>
      <c r="GC121" s="58"/>
      <c r="GD121" s="58"/>
      <c r="GE121" s="58"/>
      <c r="GF121" s="58"/>
      <c r="GG121" s="58"/>
      <c r="GH121" s="58"/>
      <c r="GI121" s="58"/>
      <c r="GJ121" s="58"/>
      <c r="GK121" s="58"/>
      <c r="GL121" s="58"/>
      <c r="GM121" s="58"/>
      <c r="GN121" s="58"/>
      <c r="GO121" s="58"/>
      <c r="GP121" s="58"/>
      <c r="GQ121" s="58"/>
      <c r="GR121" s="58"/>
      <c r="GS121" s="58"/>
      <c r="GT121" s="58"/>
      <c r="GU121" s="58"/>
      <c r="GV121" s="58"/>
      <c r="GW121" s="58"/>
      <c r="GX121" s="58"/>
      <c r="GY121" s="58"/>
      <c r="GZ121" s="58"/>
      <c r="HA121" s="58"/>
      <c r="HB121" s="58"/>
      <c r="HC121" s="58"/>
      <c r="HD121" s="58"/>
      <c r="HE121" s="58"/>
      <c r="HF121" s="58"/>
      <c r="HG121" s="58"/>
      <c r="HH121" s="58"/>
      <c r="HI121" s="58"/>
      <c r="HJ121" s="58"/>
      <c r="HK121" s="58"/>
      <c r="HL121" s="58"/>
      <c r="HM121" s="58"/>
      <c r="HN121" s="58"/>
      <c r="HO121" s="58"/>
      <c r="HP121" s="58"/>
      <c r="HQ121" s="58"/>
      <c r="HR121" s="58"/>
      <c r="HS121" s="58"/>
      <c r="HT121" s="58"/>
      <c r="HU121" s="58"/>
      <c r="HV121" s="58"/>
      <c r="HW121" s="59"/>
      <c r="HX121" s="108"/>
      <c r="HY121" s="54"/>
      <c r="HZ121" s="54"/>
      <c r="IA121" s="54"/>
      <c r="IB121" s="54"/>
      <c r="IC121" s="54"/>
      <c r="ID121" s="54"/>
      <c r="IE121" s="54"/>
      <c r="IF121" s="54"/>
      <c r="IG121" s="54"/>
      <c r="IH121" s="54"/>
      <c r="II121" s="54"/>
      <c r="IJ121" s="54"/>
      <c r="IK121" s="54"/>
      <c r="IL121" s="54"/>
      <c r="IM121" s="54"/>
      <c r="IN121" s="54"/>
      <c r="IO121" s="54"/>
      <c r="IP121" s="54"/>
      <c r="IQ121" s="54"/>
      <c r="IR121" s="54"/>
      <c r="IS121" s="54"/>
      <c r="IT121" s="54"/>
      <c r="IU121" s="54"/>
      <c r="IV121" s="54"/>
      <c r="IW121" s="54"/>
      <c r="IX121" s="54"/>
      <c r="IY121" s="54"/>
      <c r="IZ121" s="54"/>
      <c r="JA121" s="54"/>
      <c r="JB121" s="54"/>
      <c r="JC121" s="54"/>
      <c r="JD121" s="54"/>
      <c r="JE121" s="54"/>
      <c r="JF121" s="54"/>
      <c r="JG121" s="54"/>
      <c r="JH121" s="54"/>
      <c r="JI121" s="54"/>
      <c r="JJ121" s="54"/>
      <c r="JK121" s="54"/>
      <c r="JL121" s="54"/>
      <c r="JM121" s="54"/>
      <c r="JN121" s="54"/>
      <c r="JO121" s="54"/>
      <c r="JP121" s="54"/>
      <c r="JQ121" s="54"/>
      <c r="JR121" s="54"/>
      <c r="JS121" s="54"/>
      <c r="JT121" s="54"/>
      <c r="JU121" s="54"/>
      <c r="JV121" s="54"/>
      <c r="JW121" s="54"/>
      <c r="JX121" s="54"/>
      <c r="JY121" s="54"/>
      <c r="JZ121" s="54"/>
      <c r="KA121" s="54"/>
      <c r="KB121" s="54"/>
      <c r="KC121" s="54"/>
      <c r="KD121" s="54"/>
      <c r="KE121" s="54"/>
      <c r="KF121" s="54"/>
      <c r="KG121" s="54"/>
      <c r="KH121" s="54"/>
      <c r="KI121" s="54"/>
      <c r="KJ121" s="54"/>
      <c r="KK121" s="54"/>
      <c r="KL121" s="54"/>
      <c r="KM121" s="54"/>
      <c r="KN121" s="54"/>
      <c r="KO121" s="54"/>
      <c r="KP121" s="54"/>
      <c r="KQ121" s="54"/>
      <c r="KR121" s="54"/>
      <c r="KS121" s="54"/>
      <c r="KT121" s="54"/>
      <c r="KU121" s="54"/>
      <c r="KV121" s="54"/>
      <c r="KW121" s="54"/>
      <c r="KX121" s="54"/>
    </row>
    <row r="122" ht="5.2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108"/>
      <c r="AR122" s="60"/>
      <c r="CY122" s="61"/>
      <c r="CZ122" s="108"/>
      <c r="DA122" s="54"/>
      <c r="DB122" s="54"/>
      <c r="DC122" s="108"/>
      <c r="DD122" s="60"/>
      <c r="FK122" s="61"/>
      <c r="FL122" s="108"/>
      <c r="FM122" s="54"/>
      <c r="FN122" s="54"/>
      <c r="FO122" s="108"/>
      <c r="FP122" s="60"/>
      <c r="HW122" s="61"/>
      <c r="HX122" s="108"/>
      <c r="HY122" s="54"/>
      <c r="HZ122" s="54"/>
      <c r="IA122" s="54"/>
      <c r="IB122" s="54"/>
      <c r="IC122" s="54"/>
      <c r="ID122" s="54"/>
      <c r="IE122" s="54"/>
      <c r="IF122" s="54"/>
      <c r="IG122" s="54"/>
      <c r="IH122" s="54"/>
      <c r="II122" s="54"/>
      <c r="IJ122" s="54"/>
      <c r="IK122" s="54"/>
      <c r="IL122" s="54"/>
      <c r="IM122" s="54"/>
      <c r="IN122" s="54"/>
      <c r="IO122" s="54"/>
      <c r="IP122" s="54"/>
      <c r="IQ122" s="54"/>
      <c r="IR122" s="54"/>
      <c r="IS122" s="54"/>
      <c r="IT122" s="54"/>
      <c r="IU122" s="54"/>
      <c r="IV122" s="54"/>
      <c r="IW122" s="54"/>
      <c r="IX122" s="54"/>
      <c r="IY122" s="54"/>
      <c r="IZ122" s="54"/>
      <c r="JA122" s="54"/>
      <c r="JB122" s="54"/>
      <c r="JC122" s="54"/>
      <c r="JD122" s="54"/>
      <c r="JE122" s="54"/>
      <c r="JF122" s="54"/>
      <c r="JG122" s="54"/>
      <c r="JH122" s="54"/>
      <c r="JI122" s="54"/>
      <c r="JJ122" s="54"/>
      <c r="JK122" s="54"/>
      <c r="JL122" s="54"/>
      <c r="JM122" s="54"/>
      <c r="JN122" s="54"/>
      <c r="JO122" s="54"/>
      <c r="JP122" s="54"/>
      <c r="JQ122" s="54"/>
      <c r="JR122" s="54"/>
      <c r="JS122" s="54"/>
      <c r="JT122" s="54"/>
      <c r="JU122" s="54"/>
      <c r="JV122" s="54"/>
      <c r="JW122" s="54"/>
      <c r="JX122" s="54"/>
      <c r="JY122" s="54"/>
      <c r="JZ122" s="54"/>
      <c r="KA122" s="54"/>
      <c r="KB122" s="54"/>
      <c r="KC122" s="54"/>
      <c r="KD122" s="54"/>
      <c r="KE122" s="54"/>
      <c r="KF122" s="54"/>
      <c r="KG122" s="54"/>
      <c r="KH122" s="54"/>
      <c r="KI122" s="54"/>
      <c r="KJ122" s="54"/>
      <c r="KK122" s="54"/>
      <c r="KL122" s="54"/>
      <c r="KM122" s="54"/>
      <c r="KN122" s="54"/>
      <c r="KO122" s="54"/>
      <c r="KP122" s="54"/>
      <c r="KQ122" s="54"/>
      <c r="KR122" s="54"/>
      <c r="KS122" s="54"/>
      <c r="KT122" s="54"/>
      <c r="KU122" s="54"/>
      <c r="KV122" s="54"/>
      <c r="KW122" s="54"/>
      <c r="KX122" s="54"/>
    </row>
    <row r="123" ht="5.2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108"/>
      <c r="AR123" s="60"/>
      <c r="CY123" s="61"/>
      <c r="CZ123" s="108"/>
      <c r="DA123" s="54"/>
      <c r="DB123" s="54"/>
      <c r="DC123" s="108"/>
      <c r="DD123" s="60"/>
      <c r="FK123" s="61"/>
      <c r="FL123" s="108"/>
      <c r="FM123" s="54"/>
      <c r="FN123" s="54"/>
      <c r="FO123" s="108"/>
      <c r="FP123" s="60"/>
      <c r="HW123" s="61"/>
      <c r="HX123" s="108"/>
      <c r="HY123" s="54"/>
      <c r="HZ123" s="54"/>
      <c r="IA123" s="54"/>
      <c r="IB123" s="54"/>
      <c r="IC123" s="54"/>
      <c r="ID123" s="54"/>
      <c r="IE123" s="54"/>
      <c r="IF123" s="54"/>
      <c r="IG123" s="54"/>
      <c r="IH123" s="54"/>
      <c r="II123" s="54"/>
      <c r="IJ123" s="54"/>
      <c r="IK123" s="54"/>
      <c r="IL123" s="54"/>
      <c r="IM123" s="54"/>
      <c r="IN123" s="54"/>
      <c r="IO123" s="54"/>
      <c r="IP123" s="54"/>
      <c r="IQ123" s="54"/>
      <c r="IR123" s="54"/>
      <c r="IS123" s="54"/>
      <c r="IT123" s="54"/>
      <c r="IU123" s="54"/>
      <c r="IV123" s="54"/>
      <c r="IW123" s="54"/>
      <c r="IX123" s="54"/>
      <c r="IY123" s="54"/>
      <c r="IZ123" s="54"/>
      <c r="JA123" s="54"/>
      <c r="JB123" s="54"/>
      <c r="JC123" s="54"/>
      <c r="JD123" s="54"/>
      <c r="JE123" s="54"/>
      <c r="JF123" s="54"/>
      <c r="JG123" s="54"/>
      <c r="JH123" s="54"/>
      <c r="JI123" s="54"/>
      <c r="JJ123" s="54"/>
      <c r="JK123" s="54"/>
      <c r="JL123" s="54"/>
      <c r="JM123" s="54"/>
      <c r="JN123" s="54"/>
      <c r="JO123" s="54"/>
      <c r="JP123" s="54"/>
      <c r="JQ123" s="54"/>
      <c r="JR123" s="54"/>
      <c r="JS123" s="54"/>
      <c r="JT123" s="54"/>
      <c r="JU123" s="54"/>
      <c r="JV123" s="54"/>
      <c r="JW123" s="54"/>
      <c r="JX123" s="54"/>
      <c r="JY123" s="54"/>
      <c r="JZ123" s="54"/>
      <c r="KA123" s="54"/>
      <c r="KB123" s="54"/>
      <c r="KC123" s="54"/>
      <c r="KD123" s="54"/>
      <c r="KE123" s="54"/>
      <c r="KF123" s="54"/>
      <c r="KG123" s="54"/>
      <c r="KH123" s="54"/>
      <c r="KI123" s="54"/>
      <c r="KJ123" s="54"/>
      <c r="KK123" s="54"/>
      <c r="KL123" s="54"/>
      <c r="KM123" s="54"/>
      <c r="KN123" s="54"/>
      <c r="KO123" s="54"/>
      <c r="KP123" s="54"/>
      <c r="KQ123" s="54"/>
      <c r="KR123" s="54"/>
      <c r="KS123" s="54"/>
      <c r="KT123" s="54"/>
      <c r="KU123" s="54"/>
      <c r="KV123" s="54"/>
      <c r="KW123" s="54"/>
      <c r="KX123" s="54"/>
    </row>
    <row r="124" ht="5.2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108"/>
      <c r="AR124" s="60"/>
      <c r="CY124" s="61"/>
      <c r="CZ124" s="108"/>
      <c r="DA124" s="54"/>
      <c r="DB124" s="54"/>
      <c r="DC124" s="108"/>
      <c r="DD124" s="60"/>
      <c r="FK124" s="61"/>
      <c r="FL124" s="108"/>
      <c r="FM124" s="54"/>
      <c r="FN124" s="54"/>
      <c r="FO124" s="108"/>
      <c r="FP124" s="60"/>
      <c r="HW124" s="61"/>
      <c r="HX124" s="108"/>
      <c r="HY124" s="54"/>
      <c r="HZ124" s="54"/>
      <c r="IA124" s="54"/>
      <c r="IB124" s="54"/>
      <c r="IC124" s="54"/>
      <c r="ID124" s="54"/>
      <c r="IE124" s="54"/>
      <c r="IF124" s="54"/>
      <c r="IG124" s="54"/>
      <c r="IH124" s="54"/>
      <c r="II124" s="54"/>
      <c r="IJ124" s="54"/>
      <c r="IK124" s="54"/>
      <c r="IL124" s="54"/>
      <c r="IM124" s="54"/>
      <c r="IN124" s="54"/>
      <c r="IO124" s="54"/>
      <c r="IP124" s="54"/>
      <c r="IQ124" s="54"/>
      <c r="IR124" s="54"/>
      <c r="IS124" s="54"/>
      <c r="IT124" s="54"/>
      <c r="IU124" s="54"/>
      <c r="IV124" s="54"/>
      <c r="IW124" s="54"/>
      <c r="IX124" s="54"/>
      <c r="IY124" s="54"/>
      <c r="IZ124" s="54"/>
      <c r="JA124" s="54"/>
      <c r="JB124" s="54"/>
      <c r="JC124" s="54"/>
      <c r="JD124" s="54"/>
      <c r="JE124" s="54"/>
      <c r="JF124" s="54"/>
      <c r="JG124" s="54"/>
      <c r="JH124" s="54"/>
      <c r="JI124" s="54"/>
      <c r="JJ124" s="54"/>
      <c r="JK124" s="54"/>
      <c r="JL124" s="54"/>
      <c r="JM124" s="54"/>
      <c r="JN124" s="54"/>
      <c r="JO124" s="54"/>
      <c r="JP124" s="54"/>
      <c r="JQ124" s="54"/>
      <c r="JR124" s="54"/>
      <c r="JS124" s="54"/>
      <c r="JT124" s="54"/>
      <c r="JU124" s="54"/>
      <c r="JV124" s="54"/>
      <c r="JW124" s="54"/>
      <c r="JX124" s="54"/>
      <c r="JY124" s="54"/>
      <c r="JZ124" s="54"/>
      <c r="KA124" s="54"/>
      <c r="KB124" s="54"/>
      <c r="KC124" s="54"/>
      <c r="KD124" s="54"/>
      <c r="KE124" s="54"/>
      <c r="KF124" s="54"/>
      <c r="KG124" s="54"/>
      <c r="KH124" s="54"/>
      <c r="KI124" s="54"/>
      <c r="KJ124" s="54"/>
      <c r="KK124" s="54"/>
      <c r="KL124" s="54"/>
      <c r="KM124" s="54"/>
      <c r="KN124" s="54"/>
      <c r="KO124" s="54"/>
      <c r="KP124" s="54"/>
      <c r="KQ124" s="54"/>
      <c r="KR124" s="54"/>
      <c r="KS124" s="54"/>
      <c r="KT124" s="54"/>
      <c r="KU124" s="54"/>
      <c r="KV124" s="54"/>
      <c r="KW124" s="54"/>
      <c r="KX124" s="54"/>
    </row>
    <row r="125" ht="5.2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108"/>
      <c r="AR125" s="60"/>
      <c r="CY125" s="61"/>
      <c r="CZ125" s="108"/>
      <c r="DA125" s="54"/>
      <c r="DB125" s="54"/>
      <c r="DC125" s="108"/>
      <c r="DD125" s="60"/>
      <c r="FK125" s="61"/>
      <c r="FL125" s="108"/>
      <c r="FM125" s="54"/>
      <c r="FN125" s="54"/>
      <c r="FO125" s="108"/>
      <c r="FP125" s="60"/>
      <c r="HW125" s="61"/>
      <c r="HX125" s="108"/>
      <c r="HY125" s="54"/>
      <c r="HZ125" s="54"/>
      <c r="IA125" s="54"/>
      <c r="IB125" s="54"/>
      <c r="IC125" s="54"/>
      <c r="ID125" s="54"/>
      <c r="IE125" s="54"/>
      <c r="IF125" s="54"/>
      <c r="IG125" s="54"/>
      <c r="IH125" s="54"/>
      <c r="II125" s="54"/>
      <c r="IJ125" s="54"/>
      <c r="IK125" s="54"/>
      <c r="IL125" s="54"/>
      <c r="IM125" s="54"/>
      <c r="IN125" s="54"/>
      <c r="IO125" s="54"/>
      <c r="IP125" s="54"/>
      <c r="IQ125" s="54"/>
      <c r="IR125" s="54"/>
      <c r="IS125" s="54"/>
      <c r="IT125" s="54"/>
      <c r="IU125" s="54"/>
      <c r="IV125" s="54"/>
      <c r="IW125" s="54"/>
      <c r="IX125" s="54"/>
      <c r="IY125" s="54"/>
      <c r="IZ125" s="54"/>
      <c r="JA125" s="54"/>
      <c r="JB125" s="54"/>
      <c r="JC125" s="54"/>
      <c r="JD125" s="54"/>
      <c r="JE125" s="54"/>
      <c r="JF125" s="54"/>
      <c r="JG125" s="54"/>
      <c r="JH125" s="54"/>
      <c r="JI125" s="54"/>
      <c r="JJ125" s="54"/>
      <c r="JK125" s="54"/>
      <c r="JL125" s="54"/>
      <c r="JM125" s="54"/>
      <c r="JN125" s="54"/>
      <c r="JO125" s="54"/>
      <c r="JP125" s="54"/>
      <c r="JQ125" s="54"/>
      <c r="JR125" s="54"/>
      <c r="JS125" s="54"/>
      <c r="JT125" s="54"/>
      <c r="JU125" s="54"/>
      <c r="JV125" s="54"/>
      <c r="JW125" s="54"/>
      <c r="JX125" s="54"/>
      <c r="JY125" s="54"/>
      <c r="JZ125" s="54"/>
      <c r="KA125" s="54"/>
      <c r="KB125" s="54"/>
      <c r="KC125" s="54"/>
      <c r="KD125" s="54"/>
      <c r="KE125" s="54"/>
      <c r="KF125" s="54"/>
      <c r="KG125" s="54"/>
      <c r="KH125" s="54"/>
      <c r="KI125" s="54"/>
      <c r="KJ125" s="54"/>
      <c r="KK125" s="54"/>
      <c r="KL125" s="54"/>
      <c r="KM125" s="54"/>
      <c r="KN125" s="54"/>
      <c r="KO125" s="54"/>
      <c r="KP125" s="54"/>
      <c r="KQ125" s="54"/>
      <c r="KR125" s="54"/>
      <c r="KS125" s="54"/>
      <c r="KT125" s="54"/>
      <c r="KU125" s="54"/>
      <c r="KV125" s="54"/>
      <c r="KW125" s="54"/>
      <c r="KX125" s="54"/>
    </row>
    <row r="126" ht="5.2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108"/>
      <c r="AR126" s="110" t="s">
        <v>2</v>
      </c>
      <c r="BV126" s="111" t="s">
        <v>4</v>
      </c>
      <c r="CY126" s="61"/>
      <c r="CZ126" s="108"/>
      <c r="DA126" s="54"/>
      <c r="DB126" s="54"/>
      <c r="DC126" s="108"/>
      <c r="DD126" s="110" t="s">
        <v>2</v>
      </c>
      <c r="EH126" s="111" t="s">
        <v>4</v>
      </c>
      <c r="FK126" s="61"/>
      <c r="FL126" s="108"/>
      <c r="FM126" s="54"/>
      <c r="FN126" s="54"/>
      <c r="FO126" s="108"/>
      <c r="FP126" s="110" t="s">
        <v>2</v>
      </c>
      <c r="GT126" s="111" t="s">
        <v>4</v>
      </c>
      <c r="HW126" s="61"/>
      <c r="HX126" s="108"/>
      <c r="HY126" s="54"/>
      <c r="HZ126" s="54"/>
      <c r="IA126" s="54"/>
      <c r="IB126" s="54"/>
      <c r="IC126" s="54"/>
      <c r="ID126" s="54"/>
      <c r="IE126" s="54"/>
      <c r="IF126" s="54"/>
      <c r="IG126" s="54"/>
      <c r="IH126" s="54"/>
      <c r="II126" s="54"/>
      <c r="IJ126" s="54"/>
      <c r="IK126" s="54"/>
      <c r="IL126" s="54"/>
      <c r="IM126" s="54"/>
      <c r="IN126" s="54"/>
      <c r="IO126" s="54"/>
      <c r="IP126" s="54"/>
      <c r="IQ126" s="54"/>
      <c r="IR126" s="54"/>
      <c r="IS126" s="54"/>
      <c r="IT126" s="54"/>
      <c r="IU126" s="54"/>
      <c r="IV126" s="54"/>
      <c r="IW126" s="54"/>
      <c r="IX126" s="54"/>
      <c r="IY126" s="54"/>
      <c r="IZ126" s="54"/>
      <c r="JA126" s="54"/>
      <c r="JB126" s="54"/>
      <c r="JC126" s="54"/>
      <c r="JD126" s="54"/>
      <c r="JE126" s="54"/>
      <c r="JF126" s="54"/>
      <c r="JG126" s="54"/>
      <c r="JH126" s="54"/>
      <c r="JI126" s="54"/>
      <c r="JJ126" s="54"/>
      <c r="JK126" s="54"/>
      <c r="JL126" s="54"/>
      <c r="JM126" s="54"/>
      <c r="JN126" s="54"/>
      <c r="JO126" s="54"/>
      <c r="JP126" s="54"/>
      <c r="JQ126" s="54"/>
      <c r="JR126" s="54"/>
      <c r="JS126" s="54"/>
      <c r="JT126" s="54"/>
      <c r="JU126" s="54"/>
      <c r="JV126" s="54"/>
      <c r="JW126" s="54"/>
      <c r="JX126" s="54"/>
      <c r="JY126" s="54"/>
      <c r="JZ126" s="54"/>
      <c r="KA126" s="54"/>
      <c r="KB126" s="54"/>
      <c r="KC126" s="54"/>
      <c r="KD126" s="54"/>
      <c r="KE126" s="54"/>
      <c r="KF126" s="54"/>
      <c r="KG126" s="54"/>
      <c r="KH126" s="54"/>
      <c r="KI126" s="54"/>
      <c r="KJ126" s="54"/>
      <c r="KK126" s="54"/>
      <c r="KL126" s="54"/>
      <c r="KM126" s="54"/>
      <c r="KN126" s="54"/>
      <c r="KO126" s="54"/>
      <c r="KP126" s="54"/>
      <c r="KQ126" s="54"/>
      <c r="KR126" s="54"/>
      <c r="KS126" s="54"/>
      <c r="KT126" s="54"/>
      <c r="KU126" s="54"/>
      <c r="KV126" s="54"/>
      <c r="KW126" s="54"/>
      <c r="KX126" s="54"/>
    </row>
    <row r="127" ht="5.2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108"/>
      <c r="AR127" s="60"/>
      <c r="CY127" s="61"/>
      <c r="CZ127" s="108"/>
      <c r="DA127" s="54"/>
      <c r="DB127" s="54"/>
      <c r="DC127" s="108"/>
      <c r="DD127" s="60"/>
      <c r="FK127" s="61"/>
      <c r="FL127" s="108"/>
      <c r="FM127" s="54"/>
      <c r="FN127" s="54"/>
      <c r="FO127" s="108"/>
      <c r="FP127" s="60"/>
      <c r="HW127" s="61"/>
      <c r="HX127" s="108"/>
      <c r="HY127" s="54"/>
      <c r="HZ127" s="54"/>
      <c r="IA127" s="54"/>
      <c r="IB127" s="54"/>
      <c r="IC127" s="54"/>
      <c r="ID127" s="54"/>
      <c r="IE127" s="54"/>
      <c r="IF127" s="54"/>
      <c r="IG127" s="54"/>
      <c r="IH127" s="54"/>
      <c r="II127" s="54"/>
      <c r="IJ127" s="54"/>
      <c r="IK127" s="54"/>
      <c r="IL127" s="54"/>
      <c r="IM127" s="54"/>
      <c r="IN127" s="54"/>
      <c r="IO127" s="54"/>
      <c r="IP127" s="54"/>
      <c r="IQ127" s="54"/>
      <c r="IR127" s="54"/>
      <c r="IS127" s="54"/>
      <c r="IT127" s="54"/>
      <c r="IU127" s="54"/>
      <c r="IV127" s="54"/>
      <c r="IW127" s="54"/>
      <c r="IX127" s="54"/>
      <c r="IY127" s="54"/>
      <c r="IZ127" s="54"/>
      <c r="JA127" s="54"/>
      <c r="JB127" s="54"/>
      <c r="JC127" s="54"/>
      <c r="JD127" s="54"/>
      <c r="JE127" s="54"/>
      <c r="JF127" s="54"/>
      <c r="JG127" s="54"/>
      <c r="JH127" s="54"/>
      <c r="JI127" s="54"/>
      <c r="JJ127" s="54"/>
      <c r="JK127" s="54"/>
      <c r="JL127" s="54"/>
      <c r="JM127" s="54"/>
      <c r="JN127" s="54"/>
      <c r="JO127" s="54"/>
      <c r="JP127" s="54"/>
      <c r="JQ127" s="54"/>
      <c r="JR127" s="54"/>
      <c r="JS127" s="54"/>
      <c r="JT127" s="54"/>
      <c r="JU127" s="54"/>
      <c r="JV127" s="54"/>
      <c r="JW127" s="54"/>
      <c r="JX127" s="54"/>
      <c r="JY127" s="54"/>
      <c r="JZ127" s="54"/>
      <c r="KA127" s="54"/>
      <c r="KB127" s="54"/>
      <c r="KC127" s="54"/>
      <c r="KD127" s="54"/>
      <c r="KE127" s="54"/>
      <c r="KF127" s="54"/>
      <c r="KG127" s="54"/>
      <c r="KH127" s="54"/>
      <c r="KI127" s="54"/>
      <c r="KJ127" s="54"/>
      <c r="KK127" s="54"/>
      <c r="KL127" s="54"/>
      <c r="KM127" s="54"/>
      <c r="KN127" s="54"/>
      <c r="KO127" s="54"/>
      <c r="KP127" s="54"/>
      <c r="KQ127" s="54"/>
      <c r="KR127" s="54"/>
      <c r="KS127" s="54"/>
      <c r="KT127" s="54"/>
      <c r="KU127" s="54"/>
      <c r="KV127" s="54"/>
      <c r="KW127" s="54"/>
      <c r="KX127" s="54"/>
    </row>
    <row r="128" ht="5.2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108"/>
      <c r="AR128" s="60"/>
      <c r="CY128" s="61"/>
      <c r="CZ128" s="108"/>
      <c r="DA128" s="54"/>
      <c r="DB128" s="54"/>
      <c r="DC128" s="108"/>
      <c r="DD128" s="60"/>
      <c r="FK128" s="61"/>
      <c r="FL128" s="108"/>
      <c r="FM128" s="54"/>
      <c r="FN128" s="54"/>
      <c r="FO128" s="108"/>
      <c r="FP128" s="60"/>
      <c r="HW128" s="61"/>
      <c r="HX128" s="108"/>
      <c r="HY128" s="54"/>
      <c r="HZ128" s="54"/>
      <c r="IA128" s="54"/>
      <c r="IB128" s="54"/>
      <c r="IC128" s="54"/>
      <c r="ID128" s="54"/>
      <c r="IE128" s="54"/>
      <c r="IF128" s="54"/>
      <c r="IG128" s="54"/>
      <c r="IH128" s="54"/>
      <c r="II128" s="54"/>
      <c r="IJ128" s="54"/>
      <c r="IK128" s="54"/>
      <c r="IL128" s="54"/>
      <c r="IM128" s="54"/>
      <c r="IN128" s="54"/>
      <c r="IO128" s="54"/>
      <c r="IP128" s="54"/>
      <c r="IQ128" s="54"/>
      <c r="IR128" s="54"/>
      <c r="IS128" s="54"/>
      <c r="IT128" s="54"/>
      <c r="IU128" s="54"/>
      <c r="IV128" s="54"/>
      <c r="IW128" s="54"/>
      <c r="IX128" s="54"/>
      <c r="IY128" s="54"/>
      <c r="IZ128" s="54"/>
      <c r="JA128" s="54"/>
      <c r="JB128" s="54"/>
      <c r="JC128" s="54"/>
      <c r="JD128" s="54"/>
      <c r="JE128" s="54"/>
      <c r="JF128" s="54"/>
      <c r="JG128" s="54"/>
      <c r="JH128" s="54"/>
      <c r="JI128" s="54"/>
      <c r="JJ128" s="54"/>
      <c r="JK128" s="54"/>
      <c r="JL128" s="54"/>
      <c r="JM128" s="54"/>
      <c r="JN128" s="54"/>
      <c r="JO128" s="54"/>
      <c r="JP128" s="54"/>
      <c r="JQ128" s="54"/>
      <c r="JR128" s="54"/>
      <c r="JS128" s="54"/>
      <c r="JT128" s="54"/>
      <c r="JU128" s="54"/>
      <c r="JV128" s="54"/>
      <c r="JW128" s="54"/>
      <c r="JX128" s="54"/>
      <c r="JY128" s="54"/>
      <c r="JZ128" s="54"/>
      <c r="KA128" s="54"/>
      <c r="KB128" s="54"/>
      <c r="KC128" s="54"/>
      <c r="KD128" s="54"/>
      <c r="KE128" s="54"/>
      <c r="KF128" s="54"/>
      <c r="KG128" s="54"/>
      <c r="KH128" s="54"/>
      <c r="KI128" s="54"/>
      <c r="KJ128" s="54"/>
      <c r="KK128" s="54"/>
      <c r="KL128" s="54"/>
      <c r="KM128" s="54"/>
      <c r="KN128" s="54"/>
      <c r="KO128" s="54"/>
      <c r="KP128" s="54"/>
      <c r="KQ128" s="54"/>
      <c r="KR128" s="54"/>
      <c r="KS128" s="54"/>
      <c r="KT128" s="54"/>
      <c r="KU128" s="54"/>
      <c r="KV128" s="54"/>
      <c r="KW128" s="54"/>
      <c r="KX128" s="54"/>
    </row>
    <row r="129" ht="5.2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108"/>
      <c r="AR129" s="112"/>
      <c r="AZ129" s="113" t="s">
        <v>57</v>
      </c>
      <c r="BB129" s="11"/>
      <c r="BC129" s="114" t="s">
        <v>58</v>
      </c>
      <c r="BE129" s="11"/>
      <c r="BF129" s="114" t="s">
        <v>59</v>
      </c>
      <c r="BI129" s="108"/>
      <c r="BR129" s="115" t="s">
        <v>3</v>
      </c>
      <c r="BZ129" s="108"/>
      <c r="CA129" s="108"/>
      <c r="CB129" s="108"/>
      <c r="CC129" s="108"/>
      <c r="CD129" s="108"/>
      <c r="CE129" s="108"/>
      <c r="CF129" s="108"/>
      <c r="CG129" s="108"/>
      <c r="CH129" s="108"/>
      <c r="CI129" s="113" t="s">
        <v>59</v>
      </c>
      <c r="CK129" s="11"/>
      <c r="CL129" s="114" t="s">
        <v>58</v>
      </c>
      <c r="CN129" s="11"/>
      <c r="CO129" s="114" t="s">
        <v>57</v>
      </c>
      <c r="CR129" s="108"/>
      <c r="CS129" s="108"/>
      <c r="CT129" s="108"/>
      <c r="CU129" s="108"/>
      <c r="CV129" s="108"/>
      <c r="CW129" s="108"/>
      <c r="CX129" s="108"/>
      <c r="CY129" s="116"/>
      <c r="CZ129" s="108"/>
      <c r="DA129" s="54"/>
      <c r="DB129" s="54"/>
      <c r="DC129" s="108"/>
      <c r="DD129" s="112"/>
      <c r="DL129" s="113" t="s">
        <v>57</v>
      </c>
      <c r="DN129" s="11"/>
      <c r="DO129" s="114" t="s">
        <v>58</v>
      </c>
      <c r="DQ129" s="11"/>
      <c r="DR129" s="114" t="s">
        <v>59</v>
      </c>
      <c r="DU129" s="108"/>
      <c r="ED129" s="115" t="s">
        <v>3</v>
      </c>
      <c r="EL129" s="108"/>
      <c r="EM129" s="108"/>
      <c r="EN129" s="108"/>
      <c r="EO129" s="108"/>
      <c r="EP129" s="108"/>
      <c r="EQ129" s="108"/>
      <c r="ER129" s="108"/>
      <c r="ES129" s="108"/>
      <c r="ET129" s="108"/>
      <c r="EU129" s="113" t="s">
        <v>59</v>
      </c>
      <c r="EW129" s="11"/>
      <c r="EX129" s="114" t="s">
        <v>58</v>
      </c>
      <c r="EZ129" s="11"/>
      <c r="FA129" s="114" t="s">
        <v>57</v>
      </c>
      <c r="FD129" s="108"/>
      <c r="FE129" s="108"/>
      <c r="FF129" s="108"/>
      <c r="FG129" s="108"/>
      <c r="FH129" s="108"/>
      <c r="FI129" s="108"/>
      <c r="FJ129" s="108"/>
      <c r="FK129" s="116"/>
      <c r="FL129" s="108"/>
      <c r="FM129" s="54"/>
      <c r="FN129" s="54"/>
      <c r="FO129" s="108"/>
      <c r="FP129" s="112"/>
      <c r="FX129" s="113" t="s">
        <v>57</v>
      </c>
      <c r="FZ129" s="11"/>
      <c r="GA129" s="114" t="s">
        <v>58</v>
      </c>
      <c r="GC129" s="11"/>
      <c r="GD129" s="114" t="s">
        <v>59</v>
      </c>
      <c r="GG129" s="108"/>
      <c r="GP129" s="115" t="s">
        <v>3</v>
      </c>
      <c r="GX129" s="108"/>
      <c r="GY129" s="108"/>
      <c r="GZ129" s="108"/>
      <c r="HA129" s="108"/>
      <c r="HB129" s="108"/>
      <c r="HC129" s="108"/>
      <c r="HD129" s="108"/>
      <c r="HE129" s="108"/>
      <c r="HF129" s="108"/>
      <c r="HG129" s="113" t="s">
        <v>59</v>
      </c>
      <c r="HI129" s="11"/>
      <c r="HJ129" s="114" t="s">
        <v>58</v>
      </c>
      <c r="HL129" s="11"/>
      <c r="HM129" s="114" t="s">
        <v>57</v>
      </c>
      <c r="HP129" s="108"/>
      <c r="HQ129" s="108"/>
      <c r="HR129" s="108"/>
      <c r="HS129" s="108"/>
      <c r="HT129" s="108"/>
      <c r="HU129" s="108"/>
      <c r="HV129" s="108"/>
      <c r="HW129" s="116"/>
      <c r="HX129" s="108"/>
      <c r="HY129" s="54"/>
      <c r="HZ129" s="54"/>
      <c r="IA129" s="54"/>
      <c r="IB129" s="54"/>
      <c r="IC129" s="54"/>
      <c r="ID129" s="54"/>
      <c r="IE129" s="54"/>
      <c r="IF129" s="54"/>
      <c r="IG129" s="54"/>
      <c r="IH129" s="54"/>
      <c r="II129" s="54"/>
      <c r="IJ129" s="54"/>
      <c r="IK129" s="54"/>
      <c r="IL129" s="54"/>
      <c r="IM129" s="54"/>
      <c r="IN129" s="54"/>
      <c r="IO129" s="54"/>
      <c r="IP129" s="54"/>
      <c r="IQ129" s="54"/>
      <c r="IR129" s="54"/>
      <c r="IS129" s="54"/>
      <c r="IT129" s="54"/>
      <c r="IU129" s="54"/>
      <c r="IV129" s="54"/>
      <c r="IW129" s="54"/>
      <c r="IX129" s="54"/>
      <c r="IY129" s="54"/>
      <c r="IZ129" s="54"/>
      <c r="JA129" s="54"/>
      <c r="JB129" s="54"/>
      <c r="JC129" s="54"/>
      <c r="JD129" s="54"/>
      <c r="JE129" s="54"/>
      <c r="JF129" s="54"/>
      <c r="JG129" s="54"/>
      <c r="JH129" s="54"/>
      <c r="JI129" s="54"/>
      <c r="JJ129" s="54"/>
      <c r="JK129" s="54"/>
      <c r="JL129" s="54"/>
      <c r="JM129" s="54"/>
      <c r="JN129" s="54"/>
      <c r="JO129" s="54"/>
      <c r="JP129" s="54"/>
      <c r="JQ129" s="54"/>
      <c r="JR129" s="54"/>
      <c r="JS129" s="54"/>
      <c r="JT129" s="54"/>
      <c r="JU129" s="54"/>
      <c r="JV129" s="54"/>
      <c r="JW129" s="54"/>
      <c r="JX129" s="54"/>
      <c r="JY129" s="54"/>
      <c r="JZ129" s="54"/>
      <c r="KA129" s="54"/>
      <c r="KB129" s="54"/>
      <c r="KC129" s="54"/>
      <c r="KD129" s="54"/>
      <c r="KE129" s="54"/>
      <c r="KF129" s="54"/>
      <c r="KG129" s="54"/>
      <c r="KH129" s="54"/>
      <c r="KI129" s="54"/>
      <c r="KJ129" s="54"/>
      <c r="KK129" s="54"/>
      <c r="KL129" s="54"/>
      <c r="KM129" s="54"/>
      <c r="KN129" s="54"/>
      <c r="KO129" s="54"/>
      <c r="KP129" s="54"/>
      <c r="KQ129" s="54"/>
      <c r="KR129" s="54"/>
      <c r="KS129" s="54"/>
      <c r="KT129" s="54"/>
      <c r="KU129" s="54"/>
      <c r="KV129" s="54"/>
      <c r="KW129" s="54"/>
      <c r="KX129" s="54"/>
    </row>
    <row r="130" ht="5.2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108"/>
      <c r="AR130" s="60"/>
      <c r="BB130" s="11"/>
      <c r="BC130" s="10"/>
      <c r="BE130" s="11"/>
      <c r="BF130" s="10"/>
      <c r="BZ130" s="108"/>
      <c r="CA130" s="108"/>
      <c r="CB130" s="108"/>
      <c r="CC130" s="108"/>
      <c r="CD130" s="108"/>
      <c r="CE130" s="108"/>
      <c r="CF130" s="108"/>
      <c r="CG130" s="108"/>
      <c r="CH130" s="108"/>
      <c r="CK130" s="11"/>
      <c r="CL130" s="10"/>
      <c r="CN130" s="11"/>
      <c r="CO130" s="10"/>
      <c r="CR130" s="108"/>
      <c r="CS130" s="108"/>
      <c r="CT130" s="108"/>
      <c r="CU130" s="108"/>
      <c r="CV130" s="108"/>
      <c r="CW130" s="108"/>
      <c r="CX130" s="108"/>
      <c r="CY130" s="116"/>
      <c r="CZ130" s="108"/>
      <c r="DA130" s="54"/>
      <c r="DB130" s="54"/>
      <c r="DC130" s="108"/>
      <c r="DD130" s="60"/>
      <c r="DN130" s="11"/>
      <c r="DO130" s="10"/>
      <c r="DQ130" s="11"/>
      <c r="DR130" s="10"/>
      <c r="EL130" s="108"/>
      <c r="EM130" s="108"/>
      <c r="EN130" s="108"/>
      <c r="EO130" s="108"/>
      <c r="EP130" s="108"/>
      <c r="EQ130" s="108"/>
      <c r="ER130" s="108"/>
      <c r="ES130" s="108"/>
      <c r="ET130" s="108"/>
      <c r="EW130" s="11"/>
      <c r="EX130" s="10"/>
      <c r="EZ130" s="11"/>
      <c r="FA130" s="10"/>
      <c r="FD130" s="108"/>
      <c r="FE130" s="108"/>
      <c r="FF130" s="108"/>
      <c r="FG130" s="108"/>
      <c r="FH130" s="108"/>
      <c r="FI130" s="108"/>
      <c r="FJ130" s="108"/>
      <c r="FK130" s="116"/>
      <c r="FL130" s="108"/>
      <c r="FM130" s="54"/>
      <c r="FN130" s="54"/>
      <c r="FO130" s="108"/>
      <c r="FP130" s="60"/>
      <c r="FZ130" s="11"/>
      <c r="GA130" s="10"/>
      <c r="GC130" s="11"/>
      <c r="GD130" s="10"/>
      <c r="GX130" s="108"/>
      <c r="GY130" s="108"/>
      <c r="GZ130" s="108"/>
      <c r="HA130" s="108"/>
      <c r="HB130" s="108"/>
      <c r="HC130" s="108"/>
      <c r="HD130" s="108"/>
      <c r="HE130" s="108"/>
      <c r="HF130" s="108"/>
      <c r="HI130" s="11"/>
      <c r="HJ130" s="10"/>
      <c r="HL130" s="11"/>
      <c r="HM130" s="10"/>
      <c r="HP130" s="108"/>
      <c r="HQ130" s="108"/>
      <c r="HR130" s="108"/>
      <c r="HS130" s="108"/>
      <c r="HT130" s="108"/>
      <c r="HU130" s="108"/>
      <c r="HV130" s="108"/>
      <c r="HW130" s="116"/>
      <c r="HX130" s="108"/>
      <c r="HY130" s="54"/>
      <c r="HZ130" s="54"/>
      <c r="IA130" s="54"/>
      <c r="IB130" s="54"/>
      <c r="IC130" s="54"/>
      <c r="ID130" s="54"/>
      <c r="IE130" s="54"/>
      <c r="IF130" s="54"/>
      <c r="IG130" s="54"/>
      <c r="IH130" s="54"/>
      <c r="II130" s="54"/>
      <c r="IJ130" s="54"/>
      <c r="IK130" s="54"/>
      <c r="IL130" s="54"/>
      <c r="IM130" s="54"/>
      <c r="IN130" s="54"/>
      <c r="IO130" s="54"/>
      <c r="IP130" s="54"/>
      <c r="IQ130" s="54"/>
      <c r="IR130" s="54"/>
      <c r="IS130" s="54"/>
      <c r="IT130" s="54"/>
      <c r="IU130" s="54"/>
      <c r="IV130" s="54"/>
      <c r="IW130" s="54"/>
      <c r="IX130" s="54"/>
      <c r="IY130" s="54"/>
      <c r="IZ130" s="54"/>
      <c r="JA130" s="54"/>
      <c r="JB130" s="54"/>
      <c r="JC130" s="54"/>
      <c r="JD130" s="54"/>
      <c r="JE130" s="54"/>
      <c r="JF130" s="54"/>
      <c r="JG130" s="54"/>
      <c r="JH130" s="54"/>
      <c r="JI130" s="54"/>
      <c r="JJ130" s="54"/>
      <c r="JK130" s="54"/>
      <c r="JL130" s="54"/>
      <c r="JM130" s="54"/>
      <c r="JN130" s="54"/>
      <c r="JO130" s="54"/>
      <c r="JP130" s="54"/>
      <c r="JQ130" s="54"/>
      <c r="JR130" s="54"/>
      <c r="JS130" s="54"/>
      <c r="JT130" s="54"/>
      <c r="JU130" s="54"/>
      <c r="JV130" s="54"/>
      <c r="JW130" s="54"/>
      <c r="JX130" s="54"/>
      <c r="JY130" s="54"/>
      <c r="JZ130" s="54"/>
      <c r="KA130" s="54"/>
      <c r="KB130" s="54"/>
      <c r="KC130" s="54"/>
      <c r="KD130" s="54"/>
      <c r="KE130" s="54"/>
      <c r="KF130" s="54"/>
      <c r="KG130" s="54"/>
      <c r="KH130" s="54"/>
      <c r="KI130" s="54"/>
      <c r="KJ130" s="54"/>
      <c r="KK130" s="54"/>
      <c r="KL130" s="54"/>
      <c r="KM130" s="54"/>
      <c r="KN130" s="54"/>
      <c r="KO130" s="54"/>
      <c r="KP130" s="54"/>
      <c r="KQ130" s="54"/>
      <c r="KR130" s="54"/>
      <c r="KS130" s="54"/>
      <c r="KT130" s="54"/>
      <c r="KU130" s="54"/>
      <c r="KV130" s="54"/>
      <c r="KW130" s="54"/>
      <c r="KX130" s="54"/>
    </row>
    <row r="131" ht="5.2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108"/>
      <c r="AR131" s="70"/>
      <c r="AS131" s="71"/>
      <c r="AT131" s="71"/>
      <c r="AU131" s="71"/>
      <c r="AV131" s="71"/>
      <c r="AW131" s="71"/>
      <c r="AX131" s="71"/>
      <c r="AY131" s="71"/>
      <c r="AZ131" s="71"/>
      <c r="BA131" s="71"/>
      <c r="BB131" s="72"/>
      <c r="BC131" s="73"/>
      <c r="BD131" s="71"/>
      <c r="BE131" s="72"/>
      <c r="BF131" s="73"/>
      <c r="BG131" s="71"/>
      <c r="BH131" s="71"/>
      <c r="BI131" s="71"/>
      <c r="BJ131" s="71"/>
      <c r="BK131" s="71"/>
      <c r="BL131" s="71"/>
      <c r="BM131" s="71"/>
      <c r="BN131" s="71"/>
      <c r="BO131" s="71"/>
      <c r="BP131" s="71"/>
      <c r="BQ131" s="71"/>
      <c r="BR131" s="71"/>
      <c r="BS131" s="71"/>
      <c r="BT131" s="71"/>
      <c r="BU131" s="71"/>
      <c r="BV131" s="71"/>
      <c r="BW131" s="71"/>
      <c r="BX131" s="71"/>
      <c r="BY131" s="71"/>
      <c r="BZ131" s="117"/>
      <c r="CA131" s="117"/>
      <c r="CB131" s="117"/>
      <c r="CC131" s="117"/>
      <c r="CD131" s="117"/>
      <c r="CE131" s="117"/>
      <c r="CF131" s="117"/>
      <c r="CG131" s="117"/>
      <c r="CH131" s="117"/>
      <c r="CI131" s="71"/>
      <c r="CJ131" s="71"/>
      <c r="CK131" s="72"/>
      <c r="CL131" s="73"/>
      <c r="CM131" s="71"/>
      <c r="CN131" s="72"/>
      <c r="CO131" s="73"/>
      <c r="CP131" s="71"/>
      <c r="CQ131" s="71"/>
      <c r="CR131" s="117"/>
      <c r="CS131" s="117"/>
      <c r="CT131" s="117"/>
      <c r="CU131" s="117"/>
      <c r="CV131" s="117"/>
      <c r="CW131" s="117"/>
      <c r="CX131" s="117"/>
      <c r="CY131" s="118"/>
      <c r="CZ131" s="108"/>
      <c r="DA131" s="54"/>
      <c r="DB131" s="54"/>
      <c r="DC131" s="108"/>
      <c r="DD131" s="70"/>
      <c r="DE131" s="71"/>
      <c r="DF131" s="71"/>
      <c r="DG131" s="71"/>
      <c r="DH131" s="71"/>
      <c r="DI131" s="71"/>
      <c r="DJ131" s="71"/>
      <c r="DK131" s="71"/>
      <c r="DL131" s="71"/>
      <c r="DM131" s="71"/>
      <c r="DN131" s="72"/>
      <c r="DO131" s="73"/>
      <c r="DP131" s="71"/>
      <c r="DQ131" s="72"/>
      <c r="DR131" s="73"/>
      <c r="DS131" s="71"/>
      <c r="DT131" s="71"/>
      <c r="DU131" s="71"/>
      <c r="DV131" s="71"/>
      <c r="DW131" s="71"/>
      <c r="DX131" s="71"/>
      <c r="DY131" s="71"/>
      <c r="DZ131" s="71"/>
      <c r="EA131" s="71"/>
      <c r="EB131" s="71"/>
      <c r="EC131" s="71"/>
      <c r="ED131" s="71"/>
      <c r="EE131" s="71"/>
      <c r="EF131" s="71"/>
      <c r="EG131" s="71"/>
      <c r="EH131" s="71"/>
      <c r="EI131" s="71"/>
      <c r="EJ131" s="71"/>
      <c r="EK131" s="71"/>
      <c r="EL131" s="117"/>
      <c r="EM131" s="117"/>
      <c r="EN131" s="117"/>
      <c r="EO131" s="117"/>
      <c r="EP131" s="117"/>
      <c r="EQ131" s="117"/>
      <c r="ER131" s="117"/>
      <c r="ES131" s="117"/>
      <c r="ET131" s="117"/>
      <c r="EU131" s="71"/>
      <c r="EV131" s="71"/>
      <c r="EW131" s="72"/>
      <c r="EX131" s="73"/>
      <c r="EY131" s="71"/>
      <c r="EZ131" s="72"/>
      <c r="FA131" s="73"/>
      <c r="FB131" s="71"/>
      <c r="FC131" s="71"/>
      <c r="FD131" s="117"/>
      <c r="FE131" s="117"/>
      <c r="FF131" s="117"/>
      <c r="FG131" s="117"/>
      <c r="FH131" s="117"/>
      <c r="FI131" s="117"/>
      <c r="FJ131" s="117"/>
      <c r="FK131" s="118"/>
      <c r="FL131" s="108"/>
      <c r="FM131" s="54"/>
      <c r="FN131" s="54"/>
      <c r="FO131" s="108"/>
      <c r="FP131" s="70"/>
      <c r="FQ131" s="71"/>
      <c r="FR131" s="71"/>
      <c r="FS131" s="71"/>
      <c r="FT131" s="71"/>
      <c r="FU131" s="71"/>
      <c r="FV131" s="71"/>
      <c r="FW131" s="71"/>
      <c r="FX131" s="71"/>
      <c r="FY131" s="71"/>
      <c r="FZ131" s="72"/>
      <c r="GA131" s="73"/>
      <c r="GB131" s="71"/>
      <c r="GC131" s="72"/>
      <c r="GD131" s="73"/>
      <c r="GE131" s="71"/>
      <c r="GF131" s="71"/>
      <c r="GG131" s="71"/>
      <c r="GH131" s="71"/>
      <c r="GI131" s="71"/>
      <c r="GJ131" s="71"/>
      <c r="GK131" s="71"/>
      <c r="GL131" s="71"/>
      <c r="GM131" s="71"/>
      <c r="GN131" s="71"/>
      <c r="GO131" s="71"/>
      <c r="GP131" s="71"/>
      <c r="GQ131" s="71"/>
      <c r="GR131" s="71"/>
      <c r="GS131" s="71"/>
      <c r="GT131" s="71"/>
      <c r="GU131" s="71"/>
      <c r="GV131" s="71"/>
      <c r="GW131" s="71"/>
      <c r="GX131" s="117"/>
      <c r="GY131" s="117"/>
      <c r="GZ131" s="117"/>
      <c r="HA131" s="117"/>
      <c r="HB131" s="117"/>
      <c r="HC131" s="117"/>
      <c r="HD131" s="117"/>
      <c r="HE131" s="117"/>
      <c r="HF131" s="117"/>
      <c r="HG131" s="71"/>
      <c r="HH131" s="71"/>
      <c r="HI131" s="72"/>
      <c r="HJ131" s="73"/>
      <c r="HK131" s="71"/>
      <c r="HL131" s="72"/>
      <c r="HM131" s="73"/>
      <c r="HN131" s="71"/>
      <c r="HO131" s="71"/>
      <c r="HP131" s="117"/>
      <c r="HQ131" s="117"/>
      <c r="HR131" s="117"/>
      <c r="HS131" s="117"/>
      <c r="HT131" s="117"/>
      <c r="HU131" s="117"/>
      <c r="HV131" s="117"/>
      <c r="HW131" s="118"/>
      <c r="HX131" s="108"/>
      <c r="HY131" s="54"/>
      <c r="HZ131" s="54"/>
      <c r="IA131" s="54"/>
      <c r="IB131" s="54"/>
      <c r="IC131" s="54"/>
      <c r="ID131" s="54"/>
      <c r="IE131" s="54"/>
      <c r="IF131" s="54"/>
      <c r="IG131" s="54"/>
      <c r="IH131" s="54"/>
      <c r="II131" s="54"/>
      <c r="IJ131" s="54"/>
      <c r="IK131" s="54"/>
      <c r="IL131" s="54"/>
      <c r="IM131" s="54"/>
      <c r="IN131" s="54"/>
      <c r="IO131" s="54"/>
      <c r="IP131" s="54"/>
      <c r="IQ131" s="54"/>
      <c r="IR131" s="54"/>
      <c r="IS131" s="54"/>
      <c r="IT131" s="54"/>
      <c r="IU131" s="54"/>
      <c r="IV131" s="54"/>
      <c r="IW131" s="54"/>
      <c r="IX131" s="54"/>
      <c r="IY131" s="54"/>
      <c r="IZ131" s="54"/>
      <c r="JA131" s="54"/>
      <c r="JB131" s="54"/>
      <c r="JC131" s="54"/>
      <c r="JD131" s="54"/>
      <c r="JE131" s="54"/>
      <c r="JF131" s="54"/>
      <c r="JG131" s="54"/>
      <c r="JH131" s="54"/>
      <c r="JI131" s="54"/>
      <c r="JJ131" s="54"/>
      <c r="JK131" s="54"/>
      <c r="JL131" s="54"/>
      <c r="JM131" s="54"/>
      <c r="JN131" s="54"/>
      <c r="JO131" s="54"/>
      <c r="JP131" s="54"/>
      <c r="JQ131" s="54"/>
      <c r="JR131" s="54"/>
      <c r="JS131" s="54"/>
      <c r="JT131" s="54"/>
      <c r="JU131" s="54"/>
      <c r="JV131" s="54"/>
      <c r="JW131" s="54"/>
      <c r="JX131" s="54"/>
      <c r="JY131" s="54"/>
      <c r="JZ131" s="54"/>
      <c r="KA131" s="54"/>
      <c r="KB131" s="54"/>
      <c r="KC131" s="54"/>
      <c r="KD131" s="54"/>
      <c r="KE131" s="54"/>
      <c r="KF131" s="54"/>
      <c r="KG131" s="54"/>
      <c r="KH131" s="54"/>
      <c r="KI131" s="54"/>
      <c r="KJ131" s="54"/>
      <c r="KK131" s="54"/>
      <c r="KL131" s="54"/>
      <c r="KM131" s="54"/>
      <c r="KN131" s="54"/>
      <c r="KO131" s="54"/>
      <c r="KP131" s="54"/>
      <c r="KQ131" s="54"/>
      <c r="KR131" s="54"/>
      <c r="KS131" s="54"/>
      <c r="KT131" s="54"/>
      <c r="KU131" s="54"/>
      <c r="KV131" s="54"/>
      <c r="KW131" s="54"/>
      <c r="KX131" s="54"/>
    </row>
    <row r="132" ht="5.2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119" t="str">
        <f>if(BX77=0,"",qualreseeding!AC56)</f>
        <v/>
      </c>
      <c r="AR132" s="120" t="str">
        <f t="array" ref="AR132">xlookup(AQ132,qualdata!$M$2:$M$17,qualdata!$O$2:$O$17,"")</f>
        <v/>
      </c>
      <c r="AV132" s="79" t="str">
        <f t="array" ref="AV132">xlookup(AQ132,qualdata!$M$2:$M$17,qualdata!$N$2:$N$17,"")</f>
        <v/>
      </c>
      <c r="BR132" s="67"/>
      <c r="BU132" s="11"/>
      <c r="BV132" s="80"/>
      <c r="BZ132" s="81" t="str">
        <f t="array" ref="BZ132">xlookup(CZ132,qualdata!$M$2:$M$17,qualdata!$N$2:$N$17,"")</f>
        <v/>
      </c>
      <c r="CV132" s="121" t="str">
        <f t="array" ref="CV132">xlookup(CZ132,qualdata!$M$2:$M$17,qualdata!$O$2:$O$17,"")</f>
        <v/>
      </c>
      <c r="CY132" s="61"/>
      <c r="CZ132" s="119" t="str">
        <f>if(BX77=0,"",qualreseeding!AD56)</f>
        <v/>
      </c>
      <c r="DA132" s="54"/>
      <c r="DB132" s="54"/>
      <c r="DC132" s="119" t="str">
        <f>if(or(BX77=0,EJ77=0),"",qualreseeding!AC64)</f>
        <v/>
      </c>
      <c r="DD132" s="120" t="str">
        <f t="array" ref="DD132">xlookup(DC132,qualdata!$M$2:$M$17,qualdata!$O$2:$O$17,"")</f>
        <v/>
      </c>
      <c r="DH132" s="79" t="str">
        <f t="array" ref="DH132">xlookup(DC132,qualdata!$M$2:$M$17,qualdata!$N$2:$N$17,"")</f>
        <v/>
      </c>
      <c r="ED132" s="67"/>
      <c r="EG132" s="11"/>
      <c r="EH132" s="80"/>
      <c r="EL132" s="81" t="str">
        <f t="array" ref="EL132">xlookup(FL132,qualdata!$M$2:$M$17,qualdata!$N$2:$N$17,"")</f>
        <v/>
      </c>
      <c r="FH132" s="121" t="str">
        <f t="array" ref="FH132">xlookup(FL132,qualdata!$M$2:$M$17,qualdata!$O$2:$O$17,"")</f>
        <v/>
      </c>
      <c r="FK132" s="61"/>
      <c r="FL132" s="119" t="str">
        <f>if(or(BX77=0,EJ77=0),"",qualreseeding!AD64)</f>
        <v/>
      </c>
      <c r="FM132" s="54"/>
      <c r="FN132" s="54"/>
      <c r="FO132" s="119" t="str">
        <f>if(EJ77=0,"",qualreseeding!AC60)</f>
        <v/>
      </c>
      <c r="FP132" s="120" t="str">
        <f t="array" ref="FP132">xlookup(FO132,qualdata!$M$2:$M$17,qualdata!$O$2:$O$17,"")</f>
        <v/>
      </c>
      <c r="FT132" s="79" t="str">
        <f t="array" ref="FT132">xlookup(FO132,qualdata!$M$2:$M$17,qualdata!$N$2:$N$17,"")</f>
        <v/>
      </c>
      <c r="GP132" s="67"/>
      <c r="GS132" s="11"/>
      <c r="GT132" s="80"/>
      <c r="GX132" s="81" t="str">
        <f t="array" ref="GX132">xlookup(HX132,qualdata!$M$2:$M$17,qualdata!$N$2:$N$17,"")</f>
        <v/>
      </c>
      <c r="HT132" s="121" t="str">
        <f t="array" ref="HT132">xlookup(HX132,qualdata!$M$2:$M$17,qualdata!$O$2:$O$17,"")</f>
        <v/>
      </c>
      <c r="HW132" s="61"/>
      <c r="HX132" s="119" t="str">
        <f>if(EJ77=0,"",qualreseeding!AD60)</f>
        <v/>
      </c>
      <c r="HY132" s="54"/>
      <c r="HZ132" s="54"/>
      <c r="IA132" s="54"/>
      <c r="IB132" s="54"/>
      <c r="IC132" s="54"/>
      <c r="ID132" s="54"/>
      <c r="IE132" s="54"/>
      <c r="IF132" s="54"/>
      <c r="IG132" s="54"/>
      <c r="IH132" s="54"/>
      <c r="II132" s="54"/>
      <c r="IJ132" s="54"/>
      <c r="IK132" s="54"/>
      <c r="IL132" s="54"/>
      <c r="IM132" s="54"/>
      <c r="IN132" s="54"/>
      <c r="IO132" s="54"/>
      <c r="IP132" s="54"/>
      <c r="IQ132" s="54"/>
      <c r="IR132" s="54"/>
      <c r="IS132" s="54"/>
      <c r="IT132" s="54"/>
      <c r="IU132" s="54"/>
      <c r="IV132" s="54"/>
      <c r="IW132" s="54"/>
      <c r="IX132" s="54"/>
      <c r="IY132" s="54"/>
      <c r="IZ132" s="54"/>
      <c r="JA132" s="54"/>
      <c r="JB132" s="54"/>
      <c r="JC132" s="54"/>
      <c r="JD132" s="54"/>
      <c r="JE132" s="54"/>
      <c r="JF132" s="54"/>
      <c r="JG132" s="54"/>
      <c r="JH132" s="54"/>
      <c r="JI132" s="54"/>
      <c r="JJ132" s="54"/>
      <c r="JK132" s="54"/>
      <c r="JL132" s="54"/>
      <c r="JM132" s="54"/>
      <c r="JN132" s="54"/>
      <c r="JO132" s="54"/>
      <c r="JP132" s="54"/>
      <c r="JQ132" s="54"/>
      <c r="JR132" s="54"/>
      <c r="JS132" s="54"/>
      <c r="JT132" s="54"/>
      <c r="JU132" s="54"/>
      <c r="JV132" s="54"/>
      <c r="JW132" s="54"/>
      <c r="JX132" s="54"/>
      <c r="JY132" s="54"/>
      <c r="JZ132" s="54"/>
      <c r="KA132" s="54"/>
      <c r="KB132" s="54"/>
      <c r="KC132" s="54"/>
      <c r="KD132" s="54"/>
      <c r="KE132" s="54"/>
      <c r="KF132" s="54"/>
      <c r="KG132" s="54"/>
      <c r="KH132" s="54"/>
      <c r="KI132" s="54"/>
      <c r="KJ132" s="54"/>
      <c r="KK132" s="54"/>
      <c r="KL132" s="54"/>
      <c r="KM132" s="54"/>
      <c r="KN132" s="54"/>
      <c r="KO132" s="54"/>
      <c r="KP132" s="54"/>
      <c r="KQ132" s="54"/>
      <c r="KR132" s="54"/>
      <c r="KS132" s="54"/>
      <c r="KT132" s="54"/>
      <c r="KU132" s="54"/>
      <c r="KV132" s="54"/>
      <c r="KW132" s="54"/>
      <c r="KX132" s="54"/>
    </row>
    <row r="133" ht="5.2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108"/>
      <c r="AR133" s="60"/>
      <c r="BU133" s="11"/>
      <c r="BV133" s="10"/>
      <c r="CY133" s="61"/>
      <c r="CZ133" s="108"/>
      <c r="DA133" s="54"/>
      <c r="DB133" s="54"/>
      <c r="DC133" s="108"/>
      <c r="DD133" s="60"/>
      <c r="EG133" s="11"/>
      <c r="EH133" s="10"/>
      <c r="FK133" s="61"/>
      <c r="FL133" s="108"/>
      <c r="FM133" s="54"/>
      <c r="FN133" s="54"/>
      <c r="FO133" s="108"/>
      <c r="FP133" s="60"/>
      <c r="GS133" s="11"/>
      <c r="GT133" s="10"/>
      <c r="HW133" s="61"/>
      <c r="HX133" s="108"/>
      <c r="HY133" s="54"/>
      <c r="HZ133" s="54"/>
      <c r="IA133" s="54"/>
      <c r="IB133" s="54"/>
      <c r="IC133" s="54"/>
      <c r="ID133" s="54"/>
      <c r="IE133" s="54"/>
      <c r="IF133" s="54"/>
      <c r="IG133" s="54"/>
      <c r="IH133" s="54"/>
      <c r="II133" s="54"/>
      <c r="IJ133" s="54"/>
      <c r="IK133" s="54"/>
      <c r="IL133" s="54"/>
      <c r="IM133" s="54"/>
      <c r="IN133" s="54"/>
      <c r="IO133" s="54"/>
      <c r="IP133" s="54"/>
      <c r="IQ133" s="54"/>
      <c r="IR133" s="54"/>
      <c r="IS133" s="54"/>
      <c r="IT133" s="54"/>
      <c r="IU133" s="54"/>
      <c r="IV133" s="54"/>
      <c r="IW133" s="54"/>
      <c r="IX133" s="54"/>
      <c r="IY133" s="54"/>
      <c r="IZ133" s="54"/>
      <c r="JA133" s="54"/>
      <c r="JB133" s="54"/>
      <c r="JC133" s="54"/>
      <c r="JD133" s="54"/>
      <c r="JE133" s="54"/>
      <c r="JF133" s="54"/>
      <c r="JG133" s="54"/>
      <c r="JH133" s="54"/>
      <c r="JI133" s="54"/>
      <c r="JJ133" s="54"/>
      <c r="JK133" s="54"/>
      <c r="JL133" s="54"/>
      <c r="JM133" s="54"/>
      <c r="JN133" s="54"/>
      <c r="JO133" s="54"/>
      <c r="JP133" s="54"/>
      <c r="JQ133" s="54"/>
      <c r="JR133" s="54"/>
      <c r="JS133" s="54"/>
      <c r="JT133" s="54"/>
      <c r="JU133" s="54"/>
      <c r="JV133" s="54"/>
      <c r="JW133" s="54"/>
      <c r="JX133" s="54"/>
      <c r="JY133" s="54"/>
      <c r="JZ133" s="54"/>
      <c r="KA133" s="54"/>
      <c r="KB133" s="54"/>
      <c r="KC133" s="54"/>
      <c r="KD133" s="54"/>
      <c r="KE133" s="54"/>
      <c r="KF133" s="54"/>
      <c r="KG133" s="54"/>
      <c r="KH133" s="54"/>
      <c r="KI133" s="54"/>
      <c r="KJ133" s="54"/>
      <c r="KK133" s="54"/>
      <c r="KL133" s="54"/>
      <c r="KM133" s="54"/>
      <c r="KN133" s="54"/>
      <c r="KO133" s="54"/>
      <c r="KP133" s="54"/>
      <c r="KQ133" s="54"/>
      <c r="KR133" s="54"/>
      <c r="KS133" s="54"/>
      <c r="KT133" s="54"/>
      <c r="KU133" s="54"/>
      <c r="KV133" s="54"/>
      <c r="KW133" s="54"/>
      <c r="KX133" s="54"/>
    </row>
    <row r="134" ht="5.2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108"/>
      <c r="AR134" s="60"/>
      <c r="BU134" s="11"/>
      <c r="BV134" s="10"/>
      <c r="CY134" s="61"/>
      <c r="CZ134" s="108"/>
      <c r="DA134" s="54"/>
      <c r="DB134" s="54"/>
      <c r="DC134" s="108"/>
      <c r="DD134" s="60"/>
      <c r="EG134" s="11"/>
      <c r="EH134" s="10"/>
      <c r="FK134" s="61"/>
      <c r="FL134" s="108"/>
      <c r="FM134" s="54"/>
      <c r="FN134" s="54"/>
      <c r="FO134" s="108"/>
      <c r="FP134" s="60"/>
      <c r="GS134" s="11"/>
      <c r="GT134" s="10"/>
      <c r="HW134" s="61"/>
      <c r="HX134" s="108"/>
      <c r="HY134" s="54"/>
      <c r="HZ134" s="54"/>
      <c r="IA134" s="54"/>
      <c r="IB134" s="54"/>
      <c r="IC134" s="54"/>
      <c r="ID134" s="54"/>
      <c r="IE134" s="54"/>
      <c r="IF134" s="54"/>
      <c r="IG134" s="54"/>
      <c r="IH134" s="54"/>
      <c r="II134" s="54"/>
      <c r="IJ134" s="54"/>
      <c r="IK134" s="54"/>
      <c r="IL134" s="54"/>
      <c r="IM134" s="54"/>
      <c r="IN134" s="54"/>
      <c r="IO134" s="54"/>
      <c r="IP134" s="54"/>
      <c r="IQ134" s="54"/>
      <c r="IR134" s="54"/>
      <c r="IS134" s="54"/>
      <c r="IT134" s="54"/>
      <c r="IU134" s="54"/>
      <c r="IV134" s="54"/>
      <c r="IW134" s="54"/>
      <c r="IX134" s="54"/>
      <c r="IY134" s="54"/>
      <c r="IZ134" s="54"/>
      <c r="JA134" s="54"/>
      <c r="JB134" s="54"/>
      <c r="JC134" s="54"/>
      <c r="JD134" s="54"/>
      <c r="JE134" s="54"/>
      <c r="JF134" s="54"/>
      <c r="JG134" s="54"/>
      <c r="JH134" s="54"/>
      <c r="JI134" s="54"/>
      <c r="JJ134" s="54"/>
      <c r="JK134" s="54"/>
      <c r="JL134" s="54"/>
      <c r="JM134" s="54"/>
      <c r="JN134" s="54"/>
      <c r="JO134" s="54"/>
      <c r="JP134" s="54"/>
      <c r="JQ134" s="54"/>
      <c r="JR134" s="54"/>
      <c r="JS134" s="54"/>
      <c r="JT134" s="54"/>
      <c r="JU134" s="54"/>
      <c r="JV134" s="54"/>
      <c r="JW134" s="54"/>
      <c r="JX134" s="54"/>
      <c r="JY134" s="54"/>
      <c r="JZ134" s="54"/>
      <c r="KA134" s="54"/>
      <c r="KB134" s="54"/>
      <c r="KC134" s="54"/>
      <c r="KD134" s="54"/>
      <c r="KE134" s="54"/>
      <c r="KF134" s="54"/>
      <c r="KG134" s="54"/>
      <c r="KH134" s="54"/>
      <c r="KI134" s="54"/>
      <c r="KJ134" s="54"/>
      <c r="KK134" s="54"/>
      <c r="KL134" s="54"/>
      <c r="KM134" s="54"/>
      <c r="KN134" s="54"/>
      <c r="KO134" s="54"/>
      <c r="KP134" s="54"/>
      <c r="KQ134" s="54"/>
      <c r="KR134" s="54"/>
      <c r="KS134" s="54"/>
      <c r="KT134" s="54"/>
      <c r="KU134" s="54"/>
      <c r="KV134" s="54"/>
      <c r="KW134" s="54"/>
      <c r="KX134" s="54"/>
    </row>
    <row r="135" ht="5.2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108"/>
      <c r="AR135" s="60"/>
      <c r="BU135" s="11"/>
      <c r="BV135" s="10"/>
      <c r="CY135" s="61"/>
      <c r="CZ135" s="108"/>
      <c r="DA135" s="54"/>
      <c r="DB135" s="54"/>
      <c r="DC135" s="108"/>
      <c r="DD135" s="60"/>
      <c r="EG135" s="11"/>
      <c r="EH135" s="10"/>
      <c r="FK135" s="61"/>
      <c r="FL135" s="108"/>
      <c r="FM135" s="54"/>
      <c r="FN135" s="54"/>
      <c r="FO135" s="108"/>
      <c r="FP135" s="60"/>
      <c r="GS135" s="11"/>
      <c r="GT135" s="10"/>
      <c r="HW135" s="61"/>
      <c r="HX135" s="108"/>
      <c r="HY135" s="54"/>
      <c r="HZ135" s="54"/>
      <c r="IA135" s="54"/>
      <c r="IB135" s="54"/>
      <c r="IC135" s="54"/>
      <c r="ID135" s="54"/>
      <c r="IE135" s="54"/>
      <c r="IF135" s="54"/>
      <c r="IG135" s="54"/>
      <c r="IH135" s="54"/>
      <c r="II135" s="54"/>
      <c r="IJ135" s="54"/>
      <c r="IK135" s="54"/>
      <c r="IL135" s="54"/>
      <c r="IM135" s="54"/>
      <c r="IN135" s="54"/>
      <c r="IO135" s="54"/>
      <c r="IP135" s="54"/>
      <c r="IQ135" s="54"/>
      <c r="IR135" s="54"/>
      <c r="IS135" s="54"/>
      <c r="IT135" s="54"/>
      <c r="IU135" s="54"/>
      <c r="IV135" s="54"/>
      <c r="IW135" s="54"/>
      <c r="IX135" s="54"/>
      <c r="IY135" s="54"/>
      <c r="IZ135" s="54"/>
      <c r="JA135" s="54"/>
      <c r="JB135" s="54"/>
      <c r="JC135" s="54"/>
      <c r="JD135" s="54"/>
      <c r="JE135" s="54"/>
      <c r="JF135" s="54"/>
      <c r="JG135" s="54"/>
      <c r="JH135" s="54"/>
      <c r="JI135" s="54"/>
      <c r="JJ135" s="54"/>
      <c r="JK135" s="54"/>
      <c r="JL135" s="54"/>
      <c r="JM135" s="54"/>
      <c r="JN135" s="54"/>
      <c r="JO135" s="54"/>
      <c r="JP135" s="54"/>
      <c r="JQ135" s="54"/>
      <c r="JR135" s="54"/>
      <c r="JS135" s="54"/>
      <c r="JT135" s="54"/>
      <c r="JU135" s="54"/>
      <c r="JV135" s="54"/>
      <c r="JW135" s="54"/>
      <c r="JX135" s="54"/>
      <c r="JY135" s="54"/>
      <c r="JZ135" s="54"/>
      <c r="KA135" s="54"/>
      <c r="KB135" s="54"/>
      <c r="KC135" s="54"/>
      <c r="KD135" s="54"/>
      <c r="KE135" s="54"/>
      <c r="KF135" s="54"/>
      <c r="KG135" s="54"/>
      <c r="KH135" s="54"/>
      <c r="KI135" s="54"/>
      <c r="KJ135" s="54"/>
      <c r="KK135" s="54"/>
      <c r="KL135" s="54"/>
      <c r="KM135" s="54"/>
      <c r="KN135" s="54"/>
      <c r="KO135" s="54"/>
      <c r="KP135" s="54"/>
      <c r="KQ135" s="54"/>
      <c r="KR135" s="54"/>
      <c r="KS135" s="54"/>
      <c r="KT135" s="54"/>
      <c r="KU135" s="54"/>
      <c r="KV135" s="54"/>
      <c r="KW135" s="54"/>
      <c r="KX135" s="54"/>
    </row>
    <row r="136" ht="5.2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119" t="str">
        <f>AQ132</f>
        <v/>
      </c>
      <c r="AR136" s="112"/>
      <c r="AZ136" s="122"/>
      <c r="BB136" s="11"/>
      <c r="BC136" s="127"/>
      <c r="BE136" s="11"/>
      <c r="BF136" s="127"/>
      <c r="BI136" s="108"/>
      <c r="BR136" s="85">
        <f>sum(AZ136:BH138)</f>
        <v>0</v>
      </c>
      <c r="BU136" s="11"/>
      <c r="BV136" s="86">
        <f>sum(CI136:CQ138)</f>
        <v>0</v>
      </c>
      <c r="BZ136" s="108"/>
      <c r="CA136" s="108"/>
      <c r="CB136" s="108"/>
      <c r="CC136" s="108"/>
      <c r="CD136" s="108"/>
      <c r="CE136" s="108"/>
      <c r="CF136" s="108"/>
      <c r="CG136" s="108"/>
      <c r="CH136" s="108"/>
      <c r="CI136" s="122"/>
      <c r="CK136" s="11"/>
      <c r="CL136" s="126"/>
      <c r="CN136" s="11"/>
      <c r="CO136" s="127"/>
      <c r="CR136" s="108"/>
      <c r="CS136" s="108"/>
      <c r="CT136" s="108"/>
      <c r="CU136" s="108"/>
      <c r="CV136" s="108"/>
      <c r="CW136" s="108"/>
      <c r="CX136" s="108"/>
      <c r="CY136" s="116"/>
      <c r="CZ136" s="119" t="str">
        <f>CZ132</f>
        <v/>
      </c>
      <c r="DA136" s="54"/>
      <c r="DB136" s="54"/>
      <c r="DC136" s="119" t="str">
        <f>DC132</f>
        <v/>
      </c>
      <c r="DD136" s="112"/>
      <c r="DL136" s="122"/>
      <c r="DN136" s="11"/>
      <c r="DO136" s="127"/>
      <c r="DQ136" s="11"/>
      <c r="DR136" s="124"/>
      <c r="DU136" s="108"/>
      <c r="ED136" s="85">
        <f>sum(DL136:DT138)</f>
        <v>0</v>
      </c>
      <c r="EG136" s="11"/>
      <c r="EH136" s="86">
        <f>sum(EU136:FC138)</f>
        <v>0</v>
      </c>
      <c r="EL136" s="108"/>
      <c r="EM136" s="108"/>
      <c r="EN136" s="108"/>
      <c r="EO136" s="108"/>
      <c r="EP136" s="108"/>
      <c r="EQ136" s="108"/>
      <c r="ER136" s="108"/>
      <c r="ES136" s="108"/>
      <c r="ET136" s="108"/>
      <c r="EU136" s="125"/>
      <c r="EW136" s="11"/>
      <c r="EX136" s="126"/>
      <c r="EZ136" s="11"/>
      <c r="FA136" s="123"/>
      <c r="FD136" s="108"/>
      <c r="FE136" s="108"/>
      <c r="FF136" s="108"/>
      <c r="FG136" s="108"/>
      <c r="FH136" s="108"/>
      <c r="FI136" s="108"/>
      <c r="FJ136" s="108"/>
      <c r="FK136" s="116"/>
      <c r="FL136" s="119" t="str">
        <f>FL132</f>
        <v/>
      </c>
      <c r="FM136" s="54"/>
      <c r="FN136" s="54"/>
      <c r="FO136" s="119" t="str">
        <f>FO132</f>
        <v/>
      </c>
      <c r="FP136" s="112"/>
      <c r="FX136" s="122"/>
      <c r="FZ136" s="11"/>
      <c r="GA136" s="127"/>
      <c r="GC136" s="11"/>
      <c r="GD136" s="124"/>
      <c r="GG136" s="108"/>
      <c r="GP136" s="85">
        <f>sum(FX136:GF138)</f>
        <v>0</v>
      </c>
      <c r="GS136" s="11"/>
      <c r="GT136" s="86">
        <f>sum(HG136:HO138)</f>
        <v>0</v>
      </c>
      <c r="GX136" s="108"/>
      <c r="GY136" s="108"/>
      <c r="GZ136" s="108"/>
      <c r="HA136" s="108"/>
      <c r="HB136" s="108"/>
      <c r="HC136" s="108"/>
      <c r="HD136" s="108"/>
      <c r="HE136" s="108"/>
      <c r="HF136" s="108"/>
      <c r="HG136" s="122"/>
      <c r="HI136" s="11"/>
      <c r="HJ136" s="126"/>
      <c r="HL136" s="11"/>
      <c r="HM136" s="124"/>
      <c r="HP136" s="108"/>
      <c r="HQ136" s="108"/>
      <c r="HR136" s="108"/>
      <c r="HS136" s="108"/>
      <c r="HT136" s="108"/>
      <c r="HU136" s="108"/>
      <c r="HV136" s="108"/>
      <c r="HW136" s="116"/>
      <c r="HX136" s="119" t="str">
        <f>HX132</f>
        <v/>
      </c>
      <c r="HY136" s="54"/>
      <c r="HZ136" s="54"/>
      <c r="IA136" s="54"/>
      <c r="IB136" s="54"/>
      <c r="IC136" s="54"/>
      <c r="ID136" s="54"/>
      <c r="IE136" s="54"/>
      <c r="IF136" s="54"/>
      <c r="IG136" s="54"/>
      <c r="IH136" s="54"/>
      <c r="II136" s="54"/>
      <c r="IJ136" s="54"/>
      <c r="IK136" s="54"/>
      <c r="IL136" s="54"/>
      <c r="IM136" s="54"/>
      <c r="IN136" s="54"/>
      <c r="IO136" s="54"/>
      <c r="IP136" s="54"/>
      <c r="IQ136" s="54"/>
      <c r="IR136" s="54"/>
      <c r="IS136" s="54"/>
      <c r="IT136" s="54"/>
      <c r="IU136" s="54"/>
      <c r="IV136" s="54"/>
      <c r="IW136" s="54"/>
      <c r="IX136" s="54"/>
      <c r="IY136" s="54"/>
      <c r="IZ136" s="54"/>
      <c r="JA136" s="54"/>
      <c r="JB136" s="54"/>
      <c r="JC136" s="54"/>
      <c r="JD136" s="54"/>
      <c r="JE136" s="54"/>
      <c r="JF136" s="54"/>
      <c r="JG136" s="54"/>
      <c r="JH136" s="54"/>
      <c r="JI136" s="54"/>
      <c r="JJ136" s="54"/>
      <c r="JK136" s="54"/>
      <c r="JL136" s="54"/>
      <c r="JM136" s="54"/>
      <c r="JN136" s="54"/>
      <c r="JO136" s="54"/>
      <c r="JP136" s="54"/>
      <c r="JQ136" s="54"/>
      <c r="JR136" s="54"/>
      <c r="JS136" s="54"/>
      <c r="JT136" s="54"/>
      <c r="JU136" s="54"/>
      <c r="JV136" s="54"/>
      <c r="JW136" s="54"/>
      <c r="JX136" s="54"/>
      <c r="JY136" s="54"/>
      <c r="JZ136" s="54"/>
      <c r="KA136" s="54"/>
      <c r="KB136" s="54"/>
      <c r="KC136" s="54"/>
      <c r="KD136" s="54"/>
      <c r="KE136" s="54"/>
      <c r="KF136" s="54"/>
      <c r="KG136" s="54"/>
      <c r="KH136" s="54"/>
      <c r="KI136" s="54"/>
      <c r="KJ136" s="54"/>
      <c r="KK136" s="54"/>
      <c r="KL136" s="54"/>
      <c r="KM136" s="54"/>
      <c r="KN136" s="54"/>
      <c r="KO136" s="54"/>
      <c r="KP136" s="54"/>
      <c r="KQ136" s="54"/>
      <c r="KR136" s="54"/>
      <c r="KS136" s="54"/>
      <c r="KT136" s="54"/>
      <c r="KU136" s="54"/>
      <c r="KV136" s="54"/>
      <c r="KW136" s="54"/>
      <c r="KX136" s="54"/>
    </row>
    <row r="137" ht="5.2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108"/>
      <c r="AR137" s="60"/>
      <c r="BB137" s="11"/>
      <c r="BC137" s="10"/>
      <c r="BE137" s="11"/>
      <c r="BF137" s="10"/>
      <c r="BU137" s="11"/>
      <c r="BV137" s="10"/>
      <c r="BZ137" s="108"/>
      <c r="CA137" s="108"/>
      <c r="CB137" s="108"/>
      <c r="CC137" s="108"/>
      <c r="CD137" s="108"/>
      <c r="CE137" s="108"/>
      <c r="CF137" s="108"/>
      <c r="CG137" s="108"/>
      <c r="CH137" s="108"/>
      <c r="CK137" s="11"/>
      <c r="CL137" s="10"/>
      <c r="CN137" s="11"/>
      <c r="CO137" s="10"/>
      <c r="CR137" s="108"/>
      <c r="CS137" s="108"/>
      <c r="CT137" s="108"/>
      <c r="CU137" s="108"/>
      <c r="CV137" s="108"/>
      <c r="CW137" s="108"/>
      <c r="CX137" s="108"/>
      <c r="CY137" s="116"/>
      <c r="CZ137" s="108"/>
      <c r="DA137" s="54"/>
      <c r="DB137" s="54"/>
      <c r="DC137" s="108"/>
      <c r="DD137" s="60"/>
      <c r="DN137" s="11"/>
      <c r="DO137" s="10"/>
      <c r="DQ137" s="11"/>
      <c r="DR137" s="10"/>
      <c r="EG137" s="11"/>
      <c r="EH137" s="10"/>
      <c r="EL137" s="108"/>
      <c r="EM137" s="108"/>
      <c r="EN137" s="108"/>
      <c r="EO137" s="108"/>
      <c r="EP137" s="108"/>
      <c r="EQ137" s="108"/>
      <c r="ER137" s="108"/>
      <c r="ES137" s="108"/>
      <c r="ET137" s="108"/>
      <c r="EW137" s="11"/>
      <c r="EX137" s="10"/>
      <c r="EZ137" s="11"/>
      <c r="FA137" s="10"/>
      <c r="FD137" s="108"/>
      <c r="FE137" s="108"/>
      <c r="FF137" s="108"/>
      <c r="FG137" s="108"/>
      <c r="FH137" s="108"/>
      <c r="FI137" s="108"/>
      <c r="FJ137" s="108"/>
      <c r="FK137" s="116"/>
      <c r="FL137" s="108"/>
      <c r="FM137" s="54"/>
      <c r="FN137" s="54"/>
      <c r="FO137" s="108"/>
      <c r="FP137" s="60"/>
      <c r="FZ137" s="11"/>
      <c r="GA137" s="10"/>
      <c r="GC137" s="11"/>
      <c r="GD137" s="10"/>
      <c r="GS137" s="11"/>
      <c r="GT137" s="10"/>
      <c r="GX137" s="108"/>
      <c r="GY137" s="108"/>
      <c r="GZ137" s="108"/>
      <c r="HA137" s="108"/>
      <c r="HB137" s="108"/>
      <c r="HC137" s="108"/>
      <c r="HD137" s="108"/>
      <c r="HE137" s="108"/>
      <c r="HF137" s="108"/>
      <c r="HI137" s="11"/>
      <c r="HJ137" s="10"/>
      <c r="HL137" s="11"/>
      <c r="HM137" s="10"/>
      <c r="HP137" s="108"/>
      <c r="HQ137" s="108"/>
      <c r="HR137" s="108"/>
      <c r="HS137" s="108"/>
      <c r="HT137" s="108"/>
      <c r="HU137" s="108"/>
      <c r="HV137" s="108"/>
      <c r="HW137" s="116"/>
      <c r="HX137" s="108"/>
      <c r="HY137" s="54"/>
      <c r="HZ137" s="54"/>
      <c r="IA137" s="54"/>
      <c r="IB137" s="54"/>
      <c r="IC137" s="54"/>
      <c r="ID137" s="54"/>
      <c r="IE137" s="54"/>
      <c r="IF137" s="54"/>
      <c r="IG137" s="54"/>
      <c r="IH137" s="54"/>
      <c r="II137" s="54"/>
      <c r="IJ137" s="54"/>
      <c r="IK137" s="54"/>
      <c r="IL137" s="54"/>
      <c r="IM137" s="54"/>
      <c r="IN137" s="54"/>
      <c r="IO137" s="54"/>
      <c r="IP137" s="54"/>
      <c r="IQ137" s="54"/>
      <c r="IR137" s="54"/>
      <c r="IS137" s="54"/>
      <c r="IT137" s="54"/>
      <c r="IU137" s="54"/>
      <c r="IV137" s="54"/>
      <c r="IW137" s="54"/>
      <c r="IX137" s="54"/>
      <c r="IY137" s="54"/>
      <c r="IZ137" s="54"/>
      <c r="JA137" s="54"/>
      <c r="JB137" s="54"/>
      <c r="JC137" s="54"/>
      <c r="JD137" s="54"/>
      <c r="JE137" s="54"/>
      <c r="JF137" s="54"/>
      <c r="JG137" s="54"/>
      <c r="JH137" s="54"/>
      <c r="JI137" s="54"/>
      <c r="JJ137" s="54"/>
      <c r="JK137" s="54"/>
      <c r="JL137" s="54"/>
      <c r="JM137" s="54"/>
      <c r="JN137" s="54"/>
      <c r="JO137" s="54"/>
      <c r="JP137" s="54"/>
      <c r="JQ137" s="54"/>
      <c r="JR137" s="54"/>
      <c r="JS137" s="54"/>
      <c r="JT137" s="54"/>
      <c r="JU137" s="54"/>
      <c r="JV137" s="54"/>
      <c r="JW137" s="54"/>
      <c r="JX137" s="54"/>
      <c r="JY137" s="54"/>
      <c r="JZ137" s="54"/>
      <c r="KA137" s="54"/>
      <c r="KB137" s="54"/>
      <c r="KC137" s="54"/>
      <c r="KD137" s="54"/>
      <c r="KE137" s="54"/>
      <c r="KF137" s="54"/>
      <c r="KG137" s="54"/>
      <c r="KH137" s="54"/>
      <c r="KI137" s="54"/>
      <c r="KJ137" s="54"/>
      <c r="KK137" s="54"/>
      <c r="KL137" s="54"/>
      <c r="KM137" s="54"/>
      <c r="KN137" s="54"/>
      <c r="KO137" s="54"/>
      <c r="KP137" s="54"/>
      <c r="KQ137" s="54"/>
      <c r="KR137" s="54"/>
      <c r="KS137" s="54"/>
      <c r="KT137" s="54"/>
      <c r="KU137" s="54"/>
      <c r="KV137" s="54"/>
      <c r="KW137" s="54"/>
      <c r="KX137" s="54"/>
    </row>
    <row r="138" ht="5.2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108"/>
      <c r="AR138" s="88"/>
      <c r="AS138" s="13"/>
      <c r="AT138" s="13"/>
      <c r="AU138" s="13"/>
      <c r="AV138" s="13"/>
      <c r="AW138" s="13"/>
      <c r="AX138" s="13"/>
      <c r="AY138" s="13"/>
      <c r="AZ138" s="13"/>
      <c r="BA138" s="13"/>
      <c r="BB138" s="14"/>
      <c r="BC138" s="12"/>
      <c r="BD138" s="13"/>
      <c r="BE138" s="14"/>
      <c r="BF138" s="12"/>
      <c r="BG138" s="13"/>
      <c r="BH138" s="13"/>
      <c r="BI138" s="13"/>
      <c r="BJ138" s="13"/>
      <c r="BK138" s="13"/>
      <c r="BL138" s="13"/>
      <c r="BM138" s="13"/>
      <c r="BN138" s="13"/>
      <c r="BO138" s="13"/>
      <c r="BP138" s="13"/>
      <c r="BQ138" s="13"/>
      <c r="BR138" s="13"/>
      <c r="BS138" s="13"/>
      <c r="BT138" s="13"/>
      <c r="BU138" s="14"/>
      <c r="BV138" s="12"/>
      <c r="BW138" s="13"/>
      <c r="BX138" s="13"/>
      <c r="BY138" s="13"/>
      <c r="BZ138" s="128"/>
      <c r="CA138" s="128"/>
      <c r="CB138" s="128"/>
      <c r="CC138" s="128"/>
      <c r="CD138" s="128"/>
      <c r="CE138" s="128"/>
      <c r="CF138" s="128"/>
      <c r="CG138" s="128"/>
      <c r="CH138" s="128"/>
      <c r="CI138" s="13"/>
      <c r="CJ138" s="13"/>
      <c r="CK138" s="14"/>
      <c r="CL138" s="12"/>
      <c r="CM138" s="13"/>
      <c r="CN138" s="14"/>
      <c r="CO138" s="12"/>
      <c r="CP138" s="13"/>
      <c r="CQ138" s="13"/>
      <c r="CR138" s="128"/>
      <c r="CS138" s="128"/>
      <c r="CT138" s="128"/>
      <c r="CU138" s="128"/>
      <c r="CV138" s="128"/>
      <c r="CW138" s="128"/>
      <c r="CX138" s="128"/>
      <c r="CY138" s="129"/>
      <c r="CZ138" s="108"/>
      <c r="DA138" s="54"/>
      <c r="DB138" s="54"/>
      <c r="DC138" s="108"/>
      <c r="DD138" s="88"/>
      <c r="DE138" s="13"/>
      <c r="DF138" s="13"/>
      <c r="DG138" s="13"/>
      <c r="DH138" s="13"/>
      <c r="DI138" s="13"/>
      <c r="DJ138" s="13"/>
      <c r="DK138" s="13"/>
      <c r="DL138" s="13"/>
      <c r="DM138" s="13"/>
      <c r="DN138" s="14"/>
      <c r="DO138" s="12"/>
      <c r="DP138" s="13"/>
      <c r="DQ138" s="14"/>
      <c r="DR138" s="12"/>
      <c r="DS138" s="13"/>
      <c r="DT138" s="13"/>
      <c r="DU138" s="13"/>
      <c r="DV138" s="13"/>
      <c r="DW138" s="13"/>
      <c r="DX138" s="13"/>
      <c r="DY138" s="13"/>
      <c r="DZ138" s="13"/>
      <c r="EA138" s="13"/>
      <c r="EB138" s="13"/>
      <c r="EC138" s="13"/>
      <c r="ED138" s="13"/>
      <c r="EE138" s="13"/>
      <c r="EF138" s="13"/>
      <c r="EG138" s="14"/>
      <c r="EH138" s="12"/>
      <c r="EI138" s="13"/>
      <c r="EJ138" s="13"/>
      <c r="EK138" s="13"/>
      <c r="EL138" s="128"/>
      <c r="EM138" s="128"/>
      <c r="EN138" s="128"/>
      <c r="EO138" s="128"/>
      <c r="EP138" s="128"/>
      <c r="EQ138" s="128"/>
      <c r="ER138" s="128"/>
      <c r="ES138" s="128"/>
      <c r="ET138" s="128"/>
      <c r="EU138" s="13"/>
      <c r="EV138" s="13"/>
      <c r="EW138" s="14"/>
      <c r="EX138" s="12"/>
      <c r="EY138" s="13"/>
      <c r="EZ138" s="14"/>
      <c r="FA138" s="12"/>
      <c r="FB138" s="13"/>
      <c r="FC138" s="13"/>
      <c r="FD138" s="128"/>
      <c r="FE138" s="128"/>
      <c r="FF138" s="128"/>
      <c r="FG138" s="128"/>
      <c r="FH138" s="128"/>
      <c r="FI138" s="128"/>
      <c r="FJ138" s="128"/>
      <c r="FK138" s="129"/>
      <c r="FL138" s="108"/>
      <c r="FM138" s="54"/>
      <c r="FN138" s="54"/>
      <c r="FO138" s="108"/>
      <c r="FP138" s="88"/>
      <c r="FQ138" s="13"/>
      <c r="FR138" s="13"/>
      <c r="FS138" s="13"/>
      <c r="FT138" s="13"/>
      <c r="FU138" s="13"/>
      <c r="FV138" s="13"/>
      <c r="FW138" s="13"/>
      <c r="FX138" s="13"/>
      <c r="FY138" s="13"/>
      <c r="FZ138" s="14"/>
      <c r="GA138" s="12"/>
      <c r="GB138" s="13"/>
      <c r="GC138" s="14"/>
      <c r="GD138" s="12"/>
      <c r="GE138" s="13"/>
      <c r="GF138" s="13"/>
      <c r="GG138" s="13"/>
      <c r="GH138" s="13"/>
      <c r="GI138" s="13"/>
      <c r="GJ138" s="13"/>
      <c r="GK138" s="13"/>
      <c r="GL138" s="13"/>
      <c r="GM138" s="13"/>
      <c r="GN138" s="13"/>
      <c r="GO138" s="13"/>
      <c r="GP138" s="13"/>
      <c r="GQ138" s="13"/>
      <c r="GR138" s="13"/>
      <c r="GS138" s="14"/>
      <c r="GT138" s="12"/>
      <c r="GU138" s="13"/>
      <c r="GV138" s="13"/>
      <c r="GW138" s="13"/>
      <c r="GX138" s="128"/>
      <c r="GY138" s="128"/>
      <c r="GZ138" s="128"/>
      <c r="HA138" s="128"/>
      <c r="HB138" s="128"/>
      <c r="HC138" s="128"/>
      <c r="HD138" s="128"/>
      <c r="HE138" s="128"/>
      <c r="HF138" s="128"/>
      <c r="HG138" s="13"/>
      <c r="HH138" s="13"/>
      <c r="HI138" s="14"/>
      <c r="HJ138" s="12"/>
      <c r="HK138" s="13"/>
      <c r="HL138" s="14"/>
      <c r="HM138" s="12"/>
      <c r="HN138" s="13"/>
      <c r="HO138" s="13"/>
      <c r="HP138" s="128"/>
      <c r="HQ138" s="128"/>
      <c r="HR138" s="128"/>
      <c r="HS138" s="128"/>
      <c r="HT138" s="128"/>
      <c r="HU138" s="128"/>
      <c r="HV138" s="128"/>
      <c r="HW138" s="129"/>
      <c r="HX138" s="108"/>
      <c r="HY138" s="54"/>
      <c r="HZ138" s="54"/>
      <c r="IA138" s="54"/>
      <c r="IB138" s="54"/>
      <c r="IC138" s="54"/>
      <c r="ID138" s="54"/>
      <c r="IE138" s="54"/>
      <c r="IF138" s="54"/>
      <c r="IG138" s="54"/>
      <c r="IH138" s="54"/>
      <c r="II138" s="54"/>
      <c r="IJ138" s="54"/>
      <c r="IK138" s="54"/>
      <c r="IL138" s="54"/>
      <c r="IM138" s="54"/>
      <c r="IN138" s="54"/>
      <c r="IO138" s="54"/>
      <c r="IP138" s="54"/>
      <c r="IQ138" s="54"/>
      <c r="IR138" s="54"/>
      <c r="IS138" s="54"/>
      <c r="IT138" s="54"/>
      <c r="IU138" s="54"/>
      <c r="IV138" s="54"/>
      <c r="IW138" s="54"/>
      <c r="IX138" s="54"/>
      <c r="IY138" s="54"/>
      <c r="IZ138" s="54"/>
      <c r="JA138" s="54"/>
      <c r="JB138" s="54"/>
      <c r="JC138" s="54"/>
      <c r="JD138" s="54"/>
      <c r="JE138" s="54"/>
      <c r="JF138" s="54"/>
      <c r="JG138" s="54"/>
      <c r="JH138" s="54"/>
      <c r="JI138" s="54"/>
      <c r="JJ138" s="54"/>
      <c r="JK138" s="54"/>
      <c r="JL138" s="54"/>
      <c r="JM138" s="54"/>
      <c r="JN138" s="54"/>
      <c r="JO138" s="54"/>
      <c r="JP138" s="54"/>
      <c r="JQ138" s="54"/>
      <c r="JR138" s="54"/>
      <c r="JS138" s="54"/>
      <c r="JT138" s="54"/>
      <c r="JU138" s="54"/>
      <c r="JV138" s="54"/>
      <c r="JW138" s="54"/>
      <c r="JX138" s="54"/>
      <c r="JY138" s="54"/>
      <c r="JZ138" s="54"/>
      <c r="KA138" s="54"/>
      <c r="KB138" s="54"/>
      <c r="KC138" s="54"/>
      <c r="KD138" s="54"/>
      <c r="KE138" s="54"/>
      <c r="KF138" s="54"/>
      <c r="KG138" s="54"/>
      <c r="KH138" s="54"/>
      <c r="KI138" s="54"/>
      <c r="KJ138" s="54"/>
      <c r="KK138" s="54"/>
      <c r="KL138" s="54"/>
      <c r="KM138" s="54"/>
      <c r="KN138" s="54"/>
      <c r="KO138" s="54"/>
      <c r="KP138" s="54"/>
      <c r="KQ138" s="54"/>
      <c r="KR138" s="54"/>
      <c r="KS138" s="54"/>
      <c r="KT138" s="54"/>
      <c r="KU138" s="54"/>
      <c r="KV138" s="54"/>
      <c r="KW138" s="54"/>
      <c r="KX138" s="54"/>
    </row>
    <row r="139" ht="5.2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119" t="str">
        <f>if(BX77=0,"",qualreseeding!AC57)</f>
        <v/>
      </c>
      <c r="AR139" s="130" t="str">
        <f t="array" ref="AR139">xlookup(AQ139,qualdata!$M$2:$M$17,qualdata!$O$2:$O$17,"")</f>
        <v/>
      </c>
      <c r="AS139" s="8"/>
      <c r="AT139" s="8"/>
      <c r="AU139" s="8"/>
      <c r="AV139" s="93" t="str">
        <f t="array" ref="AV139">xlookup(AQ139,qualdata!$M$2:$M$17,qualdata!$N$2:$N$17,"")</f>
        <v/>
      </c>
      <c r="AW139" s="8"/>
      <c r="AX139" s="8"/>
      <c r="AY139" s="8"/>
      <c r="AZ139" s="8"/>
      <c r="BA139" s="8"/>
      <c r="BB139" s="8"/>
      <c r="BC139" s="8"/>
      <c r="BD139" s="8"/>
      <c r="BE139" s="8"/>
      <c r="BF139" s="8"/>
      <c r="BG139" s="8"/>
      <c r="BH139" s="8"/>
      <c r="BI139" s="8"/>
      <c r="BJ139" s="8"/>
      <c r="BK139" s="8"/>
      <c r="BL139" s="8"/>
      <c r="BM139" s="8"/>
      <c r="BN139" s="8"/>
      <c r="BO139" s="8"/>
      <c r="BP139" s="8"/>
      <c r="BQ139" s="8"/>
      <c r="BR139" s="94"/>
      <c r="BS139" s="8"/>
      <c r="BT139" s="8"/>
      <c r="BU139" s="9"/>
      <c r="BV139" s="95"/>
      <c r="BW139" s="8"/>
      <c r="BX139" s="8"/>
      <c r="BY139" s="8"/>
      <c r="BZ139" s="96" t="str">
        <f t="array" ref="BZ139">xlookup(CZ139,qualdata!$M$2:$M$17,qualdata!$N$2:$N$17,"")</f>
        <v/>
      </c>
      <c r="CA139" s="8"/>
      <c r="CB139" s="8"/>
      <c r="CC139" s="8"/>
      <c r="CD139" s="8"/>
      <c r="CE139" s="8"/>
      <c r="CF139" s="8"/>
      <c r="CG139" s="8"/>
      <c r="CH139" s="8"/>
      <c r="CI139" s="8"/>
      <c r="CJ139" s="8"/>
      <c r="CK139" s="8"/>
      <c r="CL139" s="8"/>
      <c r="CM139" s="8"/>
      <c r="CN139" s="8"/>
      <c r="CO139" s="8"/>
      <c r="CP139" s="8"/>
      <c r="CQ139" s="8"/>
      <c r="CR139" s="8"/>
      <c r="CS139" s="8"/>
      <c r="CT139" s="8"/>
      <c r="CU139" s="8"/>
      <c r="CV139" s="131" t="str">
        <f t="array" ref="CV139">xlookup(CZ139,qualdata!$M$2:$M$17,qualdata!$O$2:$O$17,"")</f>
        <v/>
      </c>
      <c r="CW139" s="8"/>
      <c r="CX139" s="8"/>
      <c r="CY139" s="98"/>
      <c r="CZ139" s="119" t="str">
        <f>if(BX77=0,"",qualreseeding!AD57)</f>
        <v/>
      </c>
      <c r="DA139" s="54"/>
      <c r="DB139" s="54"/>
      <c r="DC139" s="119" t="str">
        <f>if(or(BX77=0,EJ77=0),"",qualreseeding!AC65)</f>
        <v/>
      </c>
      <c r="DD139" s="130" t="str">
        <f t="array" ref="DD139">xlookup(DC139,qualdata!$M$2:$M$17,qualdata!$O$2:$O$17,"")</f>
        <v/>
      </c>
      <c r="DE139" s="8"/>
      <c r="DF139" s="8"/>
      <c r="DG139" s="8"/>
      <c r="DH139" s="93" t="str">
        <f t="array" ref="DH139">xlookup(DC139,qualdata!$M$2:$M$17,qualdata!$N$2:$N$17,"")</f>
        <v/>
      </c>
      <c r="DI139" s="8"/>
      <c r="DJ139" s="8"/>
      <c r="DK139" s="8"/>
      <c r="DL139" s="8"/>
      <c r="DM139" s="8"/>
      <c r="DN139" s="8"/>
      <c r="DO139" s="8"/>
      <c r="DP139" s="8"/>
      <c r="DQ139" s="8"/>
      <c r="DR139" s="8"/>
      <c r="DS139" s="8"/>
      <c r="DT139" s="8"/>
      <c r="DU139" s="8"/>
      <c r="DV139" s="8"/>
      <c r="DW139" s="8"/>
      <c r="DX139" s="8"/>
      <c r="DY139" s="8"/>
      <c r="DZ139" s="8"/>
      <c r="EA139" s="8"/>
      <c r="EB139" s="8"/>
      <c r="EC139" s="8"/>
      <c r="ED139" s="94"/>
      <c r="EE139" s="8"/>
      <c r="EF139" s="8"/>
      <c r="EG139" s="9"/>
      <c r="EH139" s="95"/>
      <c r="EI139" s="8"/>
      <c r="EJ139" s="8"/>
      <c r="EK139" s="8"/>
      <c r="EL139" s="96" t="str">
        <f t="array" ref="EL139">xlookup(FL139,qualdata!$M$2:$M$17,qualdata!$N$2:$N$17,"")</f>
        <v/>
      </c>
      <c r="EM139" s="8"/>
      <c r="EN139" s="8"/>
      <c r="EO139" s="8"/>
      <c r="EP139" s="8"/>
      <c r="EQ139" s="8"/>
      <c r="ER139" s="8"/>
      <c r="ES139" s="8"/>
      <c r="ET139" s="8"/>
      <c r="EU139" s="8"/>
      <c r="EV139" s="8"/>
      <c r="EW139" s="8"/>
      <c r="EX139" s="8"/>
      <c r="EY139" s="8"/>
      <c r="EZ139" s="8"/>
      <c r="FA139" s="8"/>
      <c r="FB139" s="8"/>
      <c r="FC139" s="8"/>
      <c r="FD139" s="8"/>
      <c r="FE139" s="8"/>
      <c r="FF139" s="8"/>
      <c r="FG139" s="8"/>
      <c r="FH139" s="131" t="str">
        <f t="array" ref="FH139">xlookup(FL139,qualdata!$M$2:$M$17,qualdata!$O$2:$O$17,"")</f>
        <v/>
      </c>
      <c r="FI139" s="8"/>
      <c r="FJ139" s="8"/>
      <c r="FK139" s="98"/>
      <c r="FL139" s="119" t="str">
        <f>if(or(BX77=0,EJ77=0),"",qualreseeding!AD65)</f>
        <v/>
      </c>
      <c r="FM139" s="54"/>
      <c r="FN139" s="54"/>
      <c r="FO139" s="119" t="str">
        <f>if(EJ77=0,"",qualreseeding!AC61)</f>
        <v/>
      </c>
      <c r="FP139" s="130" t="str">
        <f t="array" ref="FP139">xlookup(FO139,qualdata!$M$2:$M$17,qualdata!$O$2:$O$17,"")</f>
        <v/>
      </c>
      <c r="FQ139" s="8"/>
      <c r="FR139" s="8"/>
      <c r="FS139" s="8"/>
      <c r="FT139" s="93" t="str">
        <f t="array" ref="FT139">xlookup(FO139,qualdata!$M$2:$M$17,qualdata!$N$2:$N$17,"")</f>
        <v/>
      </c>
      <c r="FU139" s="8"/>
      <c r="FV139" s="8"/>
      <c r="FW139" s="8"/>
      <c r="FX139" s="8"/>
      <c r="FY139" s="8"/>
      <c r="FZ139" s="8"/>
      <c r="GA139" s="8"/>
      <c r="GB139" s="8"/>
      <c r="GC139" s="8"/>
      <c r="GD139" s="8"/>
      <c r="GE139" s="8"/>
      <c r="GF139" s="8"/>
      <c r="GG139" s="8"/>
      <c r="GH139" s="8"/>
      <c r="GI139" s="8"/>
      <c r="GJ139" s="8"/>
      <c r="GK139" s="8"/>
      <c r="GL139" s="8"/>
      <c r="GM139" s="8"/>
      <c r="GN139" s="8"/>
      <c r="GO139" s="8"/>
      <c r="GP139" s="94"/>
      <c r="GQ139" s="8"/>
      <c r="GR139" s="8"/>
      <c r="GS139" s="9"/>
      <c r="GT139" s="95"/>
      <c r="GU139" s="8"/>
      <c r="GV139" s="8"/>
      <c r="GW139" s="8"/>
      <c r="GX139" s="96" t="str">
        <f t="array" ref="GX139">xlookup(HX139,qualdata!$M$2:$M$17,qualdata!$N$2:$N$17,"")</f>
        <v/>
      </c>
      <c r="GY139" s="8"/>
      <c r="GZ139" s="8"/>
      <c r="HA139" s="8"/>
      <c r="HB139" s="8"/>
      <c r="HC139" s="8"/>
      <c r="HD139" s="8"/>
      <c r="HE139" s="8"/>
      <c r="HF139" s="8"/>
      <c r="HG139" s="8"/>
      <c r="HH139" s="8"/>
      <c r="HI139" s="8"/>
      <c r="HJ139" s="8"/>
      <c r="HK139" s="8"/>
      <c r="HL139" s="8"/>
      <c r="HM139" s="8"/>
      <c r="HN139" s="8"/>
      <c r="HO139" s="8"/>
      <c r="HP139" s="8"/>
      <c r="HQ139" s="8"/>
      <c r="HR139" s="8"/>
      <c r="HS139" s="8"/>
      <c r="HT139" s="131" t="str">
        <f t="array" ref="HT139">xlookup(HX139,qualdata!$M$2:$M$17,qualdata!$O$2:$O$17,"")</f>
        <v/>
      </c>
      <c r="HU139" s="8"/>
      <c r="HV139" s="8"/>
      <c r="HW139" s="98"/>
      <c r="HX139" s="119" t="str">
        <f>if(EJ77=0,"",qualreseeding!AD61)</f>
        <v/>
      </c>
      <c r="HY139" s="54"/>
      <c r="HZ139" s="54"/>
      <c r="IA139" s="54"/>
      <c r="IB139" s="54"/>
      <c r="IC139" s="54"/>
      <c r="ID139" s="54"/>
      <c r="IE139" s="54"/>
      <c r="IF139" s="54"/>
      <c r="IG139" s="54"/>
      <c r="IH139" s="54"/>
      <c r="II139" s="54"/>
      <c r="IJ139" s="54"/>
      <c r="IK139" s="54"/>
      <c r="IL139" s="54"/>
      <c r="IM139" s="54"/>
      <c r="IN139" s="54"/>
      <c r="IO139" s="54"/>
      <c r="IP139" s="54"/>
      <c r="IQ139" s="54"/>
      <c r="IR139" s="54"/>
      <c r="IS139" s="54"/>
      <c r="IT139" s="54"/>
      <c r="IU139" s="54"/>
      <c r="IV139" s="54"/>
      <c r="IW139" s="54"/>
      <c r="IX139" s="54"/>
      <c r="IY139" s="54"/>
      <c r="IZ139" s="54"/>
      <c r="JA139" s="54"/>
      <c r="JB139" s="54"/>
      <c r="JC139" s="54"/>
      <c r="JD139" s="54"/>
      <c r="JE139" s="54"/>
      <c r="JF139" s="54"/>
      <c r="JG139" s="54"/>
      <c r="JH139" s="54"/>
      <c r="JI139" s="54"/>
      <c r="JJ139" s="54"/>
      <c r="JK139" s="54"/>
      <c r="JL139" s="54"/>
      <c r="JM139" s="54"/>
      <c r="JN139" s="54"/>
      <c r="JO139" s="54"/>
      <c r="JP139" s="54"/>
      <c r="JQ139" s="54"/>
      <c r="JR139" s="54"/>
      <c r="JS139" s="54"/>
      <c r="JT139" s="54"/>
      <c r="JU139" s="54"/>
      <c r="JV139" s="54"/>
      <c r="JW139" s="54"/>
      <c r="JX139" s="54"/>
      <c r="JY139" s="54"/>
      <c r="JZ139" s="54"/>
      <c r="KA139" s="54"/>
      <c r="KB139" s="54"/>
      <c r="KC139" s="54"/>
      <c r="KD139" s="54"/>
      <c r="KE139" s="54"/>
      <c r="KF139" s="54"/>
      <c r="KG139" s="54"/>
      <c r="KH139" s="54"/>
      <c r="KI139" s="54"/>
      <c r="KJ139" s="54"/>
      <c r="KK139" s="54"/>
      <c r="KL139" s="54"/>
      <c r="KM139" s="54"/>
      <c r="KN139" s="54"/>
      <c r="KO139" s="54"/>
      <c r="KP139" s="54"/>
      <c r="KQ139" s="54"/>
      <c r="KR139" s="54"/>
      <c r="KS139" s="54"/>
      <c r="KT139" s="54"/>
      <c r="KU139" s="54"/>
      <c r="KV139" s="54"/>
      <c r="KW139" s="54"/>
      <c r="KX139" s="54"/>
    </row>
    <row r="140" ht="5.2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108"/>
      <c r="AR140" s="60"/>
      <c r="BU140" s="11"/>
      <c r="BV140" s="10"/>
      <c r="CY140" s="61"/>
      <c r="CZ140" s="108"/>
      <c r="DA140" s="54"/>
      <c r="DB140" s="54"/>
      <c r="DC140" s="108"/>
      <c r="DD140" s="60"/>
      <c r="EG140" s="11"/>
      <c r="EH140" s="10"/>
      <c r="FK140" s="61"/>
      <c r="FL140" s="108"/>
      <c r="FM140" s="54"/>
      <c r="FN140" s="54"/>
      <c r="FO140" s="108"/>
      <c r="FP140" s="60"/>
      <c r="GS140" s="11"/>
      <c r="GT140" s="10"/>
      <c r="HW140" s="61"/>
      <c r="HX140" s="108"/>
      <c r="HY140" s="54"/>
      <c r="HZ140" s="54"/>
      <c r="IA140" s="54"/>
      <c r="IB140" s="54"/>
      <c r="IC140" s="54"/>
      <c r="ID140" s="54"/>
      <c r="IE140" s="54"/>
      <c r="IF140" s="54"/>
      <c r="IG140" s="54"/>
      <c r="IH140" s="54"/>
      <c r="II140" s="54"/>
      <c r="IJ140" s="54"/>
      <c r="IK140" s="54"/>
      <c r="IL140" s="54"/>
      <c r="IM140" s="54"/>
      <c r="IN140" s="54"/>
      <c r="IO140" s="54"/>
      <c r="IP140" s="54"/>
      <c r="IQ140" s="54"/>
      <c r="IR140" s="54"/>
      <c r="IS140" s="54"/>
      <c r="IT140" s="54"/>
      <c r="IU140" s="54"/>
      <c r="IV140" s="54"/>
      <c r="IW140" s="54"/>
      <c r="IX140" s="54"/>
      <c r="IY140" s="54"/>
      <c r="IZ140" s="54"/>
      <c r="JA140" s="54"/>
      <c r="JB140" s="54"/>
      <c r="JC140" s="54"/>
      <c r="JD140" s="54"/>
      <c r="JE140" s="54"/>
      <c r="JF140" s="54"/>
      <c r="JG140" s="54"/>
      <c r="JH140" s="54"/>
      <c r="JI140" s="54"/>
      <c r="JJ140" s="54"/>
      <c r="JK140" s="54"/>
      <c r="JL140" s="54"/>
      <c r="JM140" s="54"/>
      <c r="JN140" s="54"/>
      <c r="JO140" s="54"/>
      <c r="JP140" s="54"/>
      <c r="JQ140" s="54"/>
      <c r="JR140" s="54"/>
      <c r="JS140" s="54"/>
      <c r="JT140" s="54"/>
      <c r="JU140" s="54"/>
      <c r="JV140" s="54"/>
      <c r="JW140" s="54"/>
      <c r="JX140" s="54"/>
      <c r="JY140" s="54"/>
      <c r="JZ140" s="54"/>
      <c r="KA140" s="54"/>
      <c r="KB140" s="54"/>
      <c r="KC140" s="54"/>
      <c r="KD140" s="54"/>
      <c r="KE140" s="54"/>
      <c r="KF140" s="54"/>
      <c r="KG140" s="54"/>
      <c r="KH140" s="54"/>
      <c r="KI140" s="54"/>
      <c r="KJ140" s="54"/>
      <c r="KK140" s="54"/>
      <c r="KL140" s="54"/>
      <c r="KM140" s="54"/>
      <c r="KN140" s="54"/>
      <c r="KO140" s="54"/>
      <c r="KP140" s="54"/>
      <c r="KQ140" s="54"/>
      <c r="KR140" s="54"/>
      <c r="KS140" s="54"/>
      <c r="KT140" s="54"/>
      <c r="KU140" s="54"/>
      <c r="KV140" s="54"/>
      <c r="KW140" s="54"/>
      <c r="KX140" s="54"/>
    </row>
    <row r="141" ht="5.2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108"/>
      <c r="AR141" s="60"/>
      <c r="BU141" s="11"/>
      <c r="BV141" s="10"/>
      <c r="CY141" s="61"/>
      <c r="CZ141" s="108"/>
      <c r="DA141" s="54"/>
      <c r="DB141" s="54"/>
      <c r="DC141" s="108"/>
      <c r="DD141" s="60"/>
      <c r="EG141" s="11"/>
      <c r="EH141" s="10"/>
      <c r="FK141" s="61"/>
      <c r="FL141" s="108"/>
      <c r="FM141" s="54"/>
      <c r="FN141" s="54"/>
      <c r="FO141" s="108"/>
      <c r="FP141" s="60"/>
      <c r="GS141" s="11"/>
      <c r="GT141" s="10"/>
      <c r="HW141" s="61"/>
      <c r="HX141" s="108"/>
      <c r="HY141" s="54"/>
      <c r="HZ141" s="54"/>
      <c r="IA141" s="54"/>
      <c r="IB141" s="54"/>
      <c r="IC141" s="54"/>
      <c r="ID141" s="54"/>
      <c r="IE141" s="54"/>
      <c r="IF141" s="54"/>
      <c r="IG141" s="54"/>
      <c r="IH141" s="54"/>
      <c r="II141" s="54"/>
      <c r="IJ141" s="54"/>
      <c r="IK141" s="54"/>
      <c r="IL141" s="54"/>
      <c r="IM141" s="54"/>
      <c r="IN141" s="54"/>
      <c r="IO141" s="54"/>
      <c r="IP141" s="54"/>
      <c r="IQ141" s="54"/>
      <c r="IR141" s="54"/>
      <c r="IS141" s="54"/>
      <c r="IT141" s="54"/>
      <c r="IU141" s="54"/>
      <c r="IV141" s="54"/>
      <c r="IW141" s="54"/>
      <c r="IX141" s="54"/>
      <c r="IY141" s="54"/>
      <c r="IZ141" s="54"/>
      <c r="JA141" s="54"/>
      <c r="JB141" s="54"/>
      <c r="JC141" s="54"/>
      <c r="JD141" s="54"/>
      <c r="JE141" s="54"/>
      <c r="JF141" s="54"/>
      <c r="JG141" s="54"/>
      <c r="JH141" s="54"/>
      <c r="JI141" s="54"/>
      <c r="JJ141" s="54"/>
      <c r="JK141" s="54"/>
      <c r="JL141" s="54"/>
      <c r="JM141" s="54"/>
      <c r="JN141" s="54"/>
      <c r="JO141" s="54"/>
      <c r="JP141" s="54"/>
      <c r="JQ141" s="54"/>
      <c r="JR141" s="54"/>
      <c r="JS141" s="54"/>
      <c r="JT141" s="54"/>
      <c r="JU141" s="54"/>
      <c r="JV141" s="54"/>
      <c r="JW141" s="54"/>
      <c r="JX141" s="54"/>
      <c r="JY141" s="54"/>
      <c r="JZ141" s="54"/>
      <c r="KA141" s="54"/>
      <c r="KB141" s="54"/>
      <c r="KC141" s="54"/>
      <c r="KD141" s="54"/>
      <c r="KE141" s="54"/>
      <c r="KF141" s="54"/>
      <c r="KG141" s="54"/>
      <c r="KH141" s="54"/>
      <c r="KI141" s="54"/>
      <c r="KJ141" s="54"/>
      <c r="KK141" s="54"/>
      <c r="KL141" s="54"/>
      <c r="KM141" s="54"/>
      <c r="KN141" s="54"/>
      <c r="KO141" s="54"/>
      <c r="KP141" s="54"/>
      <c r="KQ141" s="54"/>
      <c r="KR141" s="54"/>
      <c r="KS141" s="54"/>
      <c r="KT141" s="54"/>
      <c r="KU141" s="54"/>
      <c r="KV141" s="54"/>
      <c r="KW141" s="54"/>
      <c r="KX141" s="54"/>
    </row>
    <row r="142" ht="5.2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108"/>
      <c r="AR142" s="60"/>
      <c r="BU142" s="11"/>
      <c r="BV142" s="10"/>
      <c r="CY142" s="61"/>
      <c r="CZ142" s="108"/>
      <c r="DA142" s="54"/>
      <c r="DB142" s="54"/>
      <c r="DC142" s="108"/>
      <c r="DD142" s="60"/>
      <c r="EG142" s="11"/>
      <c r="EH142" s="10"/>
      <c r="FK142" s="61"/>
      <c r="FL142" s="108"/>
      <c r="FM142" s="54"/>
      <c r="FN142" s="54"/>
      <c r="FO142" s="108"/>
      <c r="FP142" s="60"/>
      <c r="GS142" s="11"/>
      <c r="GT142" s="10"/>
      <c r="HW142" s="61"/>
      <c r="HX142" s="108"/>
      <c r="HY142" s="54"/>
      <c r="HZ142" s="54"/>
      <c r="IA142" s="54"/>
      <c r="IB142" s="54"/>
      <c r="IC142" s="54"/>
      <c r="ID142" s="54"/>
      <c r="IE142" s="54"/>
      <c r="IF142" s="54"/>
      <c r="IG142" s="54"/>
      <c r="IH142" s="54"/>
      <c r="II142" s="54"/>
      <c r="IJ142" s="54"/>
      <c r="IK142" s="54"/>
      <c r="IL142" s="54"/>
      <c r="IM142" s="54"/>
      <c r="IN142" s="54"/>
      <c r="IO142" s="54"/>
      <c r="IP142" s="54"/>
      <c r="IQ142" s="54"/>
      <c r="IR142" s="54"/>
      <c r="IS142" s="54"/>
      <c r="IT142" s="54"/>
      <c r="IU142" s="54"/>
      <c r="IV142" s="54"/>
      <c r="IW142" s="54"/>
      <c r="IX142" s="54"/>
      <c r="IY142" s="54"/>
      <c r="IZ142" s="54"/>
      <c r="JA142" s="54"/>
      <c r="JB142" s="54"/>
      <c r="JC142" s="54"/>
      <c r="JD142" s="54"/>
      <c r="JE142" s="54"/>
      <c r="JF142" s="54"/>
      <c r="JG142" s="54"/>
      <c r="JH142" s="54"/>
      <c r="JI142" s="54"/>
      <c r="JJ142" s="54"/>
      <c r="JK142" s="54"/>
      <c r="JL142" s="54"/>
      <c r="JM142" s="54"/>
      <c r="JN142" s="54"/>
      <c r="JO142" s="54"/>
      <c r="JP142" s="54"/>
      <c r="JQ142" s="54"/>
      <c r="JR142" s="54"/>
      <c r="JS142" s="54"/>
      <c r="JT142" s="54"/>
      <c r="JU142" s="54"/>
      <c r="JV142" s="54"/>
      <c r="JW142" s="54"/>
      <c r="JX142" s="54"/>
      <c r="JY142" s="54"/>
      <c r="JZ142" s="54"/>
      <c r="KA142" s="54"/>
      <c r="KB142" s="54"/>
      <c r="KC142" s="54"/>
      <c r="KD142" s="54"/>
      <c r="KE142" s="54"/>
      <c r="KF142" s="54"/>
      <c r="KG142" s="54"/>
      <c r="KH142" s="54"/>
      <c r="KI142" s="54"/>
      <c r="KJ142" s="54"/>
      <c r="KK142" s="54"/>
      <c r="KL142" s="54"/>
      <c r="KM142" s="54"/>
      <c r="KN142" s="54"/>
      <c r="KO142" s="54"/>
      <c r="KP142" s="54"/>
      <c r="KQ142" s="54"/>
      <c r="KR142" s="54"/>
      <c r="KS142" s="54"/>
      <c r="KT142" s="54"/>
      <c r="KU142" s="54"/>
      <c r="KV142" s="54"/>
      <c r="KW142" s="54"/>
      <c r="KX142" s="54"/>
    </row>
    <row r="143" ht="5.2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119" t="str">
        <f>AQ139</f>
        <v/>
      </c>
      <c r="AR143" s="112"/>
      <c r="AZ143" s="122"/>
      <c r="BB143" s="11"/>
      <c r="BC143" s="127"/>
      <c r="BE143" s="11"/>
      <c r="BF143" s="132"/>
      <c r="BI143" s="108"/>
      <c r="BR143" s="85">
        <f>sum(AZ143:BH145)</f>
        <v>0</v>
      </c>
      <c r="BU143" s="11"/>
      <c r="BV143" s="86">
        <f>sum(CI143:CQ145)</f>
        <v>0</v>
      </c>
      <c r="BZ143" s="108"/>
      <c r="CA143" s="108"/>
      <c r="CB143" s="108"/>
      <c r="CC143" s="108"/>
      <c r="CD143" s="108"/>
      <c r="CE143" s="108"/>
      <c r="CF143" s="108"/>
      <c r="CG143" s="108"/>
      <c r="CH143" s="108"/>
      <c r="CI143" s="133"/>
      <c r="CK143" s="11"/>
      <c r="CL143" s="126"/>
      <c r="CN143" s="11"/>
      <c r="CO143" s="127"/>
      <c r="CR143" s="108"/>
      <c r="CS143" s="108"/>
      <c r="CT143" s="108"/>
      <c r="CU143" s="108"/>
      <c r="CV143" s="108"/>
      <c r="CW143" s="108"/>
      <c r="CX143" s="108"/>
      <c r="CY143" s="116"/>
      <c r="CZ143" s="119" t="str">
        <f>CZ139</f>
        <v/>
      </c>
      <c r="DA143" s="54"/>
      <c r="DB143" s="54"/>
      <c r="DC143" s="119" t="str">
        <f>DC139</f>
        <v/>
      </c>
      <c r="DD143" s="112"/>
      <c r="DL143" s="122"/>
      <c r="DN143" s="11"/>
      <c r="DO143" s="127"/>
      <c r="DQ143" s="11"/>
      <c r="DR143" s="132"/>
      <c r="DU143" s="108"/>
      <c r="ED143" s="85">
        <f>sum(DL143:DT145)</f>
        <v>0</v>
      </c>
      <c r="EG143" s="11"/>
      <c r="EH143" s="86">
        <f>sum(EU143:FC145)</f>
        <v>0</v>
      </c>
      <c r="EL143" s="108"/>
      <c r="EM143" s="108"/>
      <c r="EN143" s="108"/>
      <c r="EO143" s="108"/>
      <c r="EP143" s="108"/>
      <c r="EQ143" s="108"/>
      <c r="ER143" s="108"/>
      <c r="ES143" s="108"/>
      <c r="ET143" s="108"/>
      <c r="EU143" s="133"/>
      <c r="EW143" s="11"/>
      <c r="EX143" s="126"/>
      <c r="EZ143" s="11"/>
      <c r="FA143" s="123"/>
      <c r="FD143" s="108"/>
      <c r="FE143" s="108"/>
      <c r="FF143" s="108"/>
      <c r="FG143" s="108"/>
      <c r="FH143" s="108"/>
      <c r="FI143" s="108"/>
      <c r="FJ143" s="108"/>
      <c r="FK143" s="116"/>
      <c r="FL143" s="119" t="str">
        <f>FL139</f>
        <v/>
      </c>
      <c r="FM143" s="54"/>
      <c r="FN143" s="54"/>
      <c r="FO143" s="119" t="str">
        <f>FO139</f>
        <v/>
      </c>
      <c r="FP143" s="112"/>
      <c r="FX143" s="122"/>
      <c r="FZ143" s="11"/>
      <c r="GA143" s="127"/>
      <c r="GC143" s="11"/>
      <c r="GD143" s="132"/>
      <c r="GG143" s="108"/>
      <c r="GP143" s="85">
        <f>sum(FX143:GF145)</f>
        <v>0</v>
      </c>
      <c r="GS143" s="11"/>
      <c r="GT143" s="86">
        <f>sum(HG143:HO145)</f>
        <v>0</v>
      </c>
      <c r="GX143" s="108"/>
      <c r="GY143" s="108"/>
      <c r="GZ143" s="108"/>
      <c r="HA143" s="108"/>
      <c r="HB143" s="108"/>
      <c r="HC143" s="108"/>
      <c r="HD143" s="108"/>
      <c r="HE143" s="108"/>
      <c r="HF143" s="108"/>
      <c r="HG143" s="133"/>
      <c r="HI143" s="11"/>
      <c r="HJ143" s="139"/>
      <c r="HL143" s="11"/>
      <c r="HM143" s="123"/>
      <c r="HP143" s="108"/>
      <c r="HQ143" s="108"/>
      <c r="HR143" s="108"/>
      <c r="HS143" s="108"/>
      <c r="HT143" s="108"/>
      <c r="HU143" s="108"/>
      <c r="HV143" s="108"/>
      <c r="HW143" s="116"/>
      <c r="HX143" s="119" t="str">
        <f>HX139</f>
        <v/>
      </c>
      <c r="HY143" s="54"/>
      <c r="HZ143" s="54"/>
      <c r="IA143" s="54"/>
      <c r="IB143" s="54"/>
      <c r="IC143" s="54"/>
      <c r="ID143" s="54"/>
      <c r="IE143" s="54"/>
      <c r="IF143" s="54"/>
      <c r="IG143" s="54"/>
      <c r="IH143" s="54"/>
      <c r="II143" s="54"/>
      <c r="IJ143" s="54"/>
      <c r="IK143" s="54"/>
      <c r="IL143" s="54"/>
      <c r="IM143" s="54"/>
      <c r="IN143" s="54"/>
      <c r="IO143" s="54"/>
      <c r="IP143" s="54"/>
      <c r="IQ143" s="54"/>
      <c r="IR143" s="54"/>
      <c r="IS143" s="54"/>
      <c r="IT143" s="54"/>
      <c r="IU143" s="54"/>
      <c r="IV143" s="54"/>
      <c r="IW143" s="54"/>
      <c r="IX143" s="54"/>
      <c r="IY143" s="54"/>
      <c r="IZ143" s="54"/>
      <c r="JA143" s="54"/>
      <c r="JB143" s="54"/>
      <c r="JC143" s="54"/>
      <c r="JD143" s="54"/>
      <c r="JE143" s="54"/>
      <c r="JF143" s="54"/>
      <c r="JG143" s="54"/>
      <c r="JH143" s="54"/>
      <c r="JI143" s="54"/>
      <c r="JJ143" s="54"/>
      <c r="JK143" s="54"/>
      <c r="JL143" s="54"/>
      <c r="JM143" s="54"/>
      <c r="JN143" s="54"/>
      <c r="JO143" s="54"/>
      <c r="JP143" s="54"/>
      <c r="JQ143" s="54"/>
      <c r="JR143" s="54"/>
      <c r="JS143" s="54"/>
      <c r="JT143" s="54"/>
      <c r="JU143" s="54"/>
      <c r="JV143" s="54"/>
      <c r="JW143" s="54"/>
      <c r="JX143" s="54"/>
      <c r="JY143" s="54"/>
      <c r="JZ143" s="54"/>
      <c r="KA143" s="54"/>
      <c r="KB143" s="54"/>
      <c r="KC143" s="54"/>
      <c r="KD143" s="54"/>
      <c r="KE143" s="54"/>
      <c r="KF143" s="54"/>
      <c r="KG143" s="54"/>
      <c r="KH143" s="54"/>
      <c r="KI143" s="54"/>
      <c r="KJ143" s="54"/>
      <c r="KK143" s="54"/>
      <c r="KL143" s="54"/>
      <c r="KM143" s="54"/>
      <c r="KN143" s="54"/>
      <c r="KO143" s="54"/>
      <c r="KP143" s="54"/>
      <c r="KQ143" s="54"/>
      <c r="KR143" s="54"/>
      <c r="KS143" s="54"/>
      <c r="KT143" s="54"/>
      <c r="KU143" s="54"/>
      <c r="KV143" s="54"/>
      <c r="KW143" s="54"/>
      <c r="KX143" s="54"/>
    </row>
    <row r="144" ht="5.2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108"/>
      <c r="AR144" s="60"/>
      <c r="BB144" s="11"/>
      <c r="BC144" s="10"/>
      <c r="BE144" s="11"/>
      <c r="BF144" s="10"/>
      <c r="BU144" s="11"/>
      <c r="BV144" s="10"/>
      <c r="BZ144" s="108"/>
      <c r="CA144" s="108"/>
      <c r="CB144" s="108"/>
      <c r="CC144" s="108"/>
      <c r="CD144" s="108"/>
      <c r="CE144" s="108"/>
      <c r="CF144" s="108"/>
      <c r="CG144" s="108"/>
      <c r="CH144" s="108"/>
      <c r="CK144" s="11"/>
      <c r="CL144" s="10"/>
      <c r="CN144" s="11"/>
      <c r="CO144" s="10"/>
      <c r="CR144" s="108"/>
      <c r="CS144" s="108"/>
      <c r="CT144" s="108"/>
      <c r="CU144" s="108"/>
      <c r="CV144" s="108"/>
      <c r="CW144" s="108"/>
      <c r="CX144" s="108"/>
      <c r="CY144" s="116"/>
      <c r="CZ144" s="108"/>
      <c r="DA144" s="54"/>
      <c r="DB144" s="54"/>
      <c r="DC144" s="108"/>
      <c r="DD144" s="60"/>
      <c r="DN144" s="11"/>
      <c r="DO144" s="10"/>
      <c r="DQ144" s="11"/>
      <c r="DR144" s="10"/>
      <c r="EG144" s="11"/>
      <c r="EH144" s="10"/>
      <c r="EL144" s="108"/>
      <c r="EM144" s="108"/>
      <c r="EN144" s="108"/>
      <c r="EO144" s="108"/>
      <c r="EP144" s="108"/>
      <c r="EQ144" s="108"/>
      <c r="ER144" s="108"/>
      <c r="ES144" s="108"/>
      <c r="ET144" s="108"/>
      <c r="EW144" s="11"/>
      <c r="EX144" s="10"/>
      <c r="EZ144" s="11"/>
      <c r="FA144" s="10"/>
      <c r="FD144" s="108"/>
      <c r="FE144" s="108"/>
      <c r="FF144" s="108"/>
      <c r="FG144" s="108"/>
      <c r="FH144" s="108"/>
      <c r="FI144" s="108"/>
      <c r="FJ144" s="108"/>
      <c r="FK144" s="116"/>
      <c r="FL144" s="108"/>
      <c r="FM144" s="54"/>
      <c r="FN144" s="54"/>
      <c r="FO144" s="108"/>
      <c r="FP144" s="60"/>
      <c r="FZ144" s="11"/>
      <c r="GA144" s="10"/>
      <c r="GC144" s="11"/>
      <c r="GD144" s="10"/>
      <c r="GS144" s="11"/>
      <c r="GT144" s="10"/>
      <c r="GX144" s="108"/>
      <c r="GY144" s="108"/>
      <c r="GZ144" s="108"/>
      <c r="HA144" s="108"/>
      <c r="HB144" s="108"/>
      <c r="HC144" s="108"/>
      <c r="HD144" s="108"/>
      <c r="HE144" s="108"/>
      <c r="HF144" s="108"/>
      <c r="HI144" s="11"/>
      <c r="HJ144" s="10"/>
      <c r="HL144" s="11"/>
      <c r="HM144" s="10"/>
      <c r="HP144" s="108"/>
      <c r="HQ144" s="108"/>
      <c r="HR144" s="108"/>
      <c r="HS144" s="108"/>
      <c r="HT144" s="108"/>
      <c r="HU144" s="108"/>
      <c r="HV144" s="108"/>
      <c r="HW144" s="116"/>
      <c r="HX144" s="108"/>
      <c r="HY144" s="54"/>
      <c r="HZ144" s="54"/>
      <c r="IA144" s="54"/>
      <c r="IB144" s="54"/>
      <c r="IC144" s="54"/>
      <c r="ID144" s="54"/>
      <c r="IE144" s="54"/>
      <c r="IF144" s="54"/>
      <c r="IG144" s="54"/>
      <c r="IH144" s="54"/>
      <c r="II144" s="54"/>
      <c r="IJ144" s="54"/>
      <c r="IK144" s="54"/>
      <c r="IL144" s="54"/>
      <c r="IM144" s="54"/>
      <c r="IN144" s="54"/>
      <c r="IO144" s="54"/>
      <c r="IP144" s="54"/>
      <c r="IQ144" s="54"/>
      <c r="IR144" s="54"/>
      <c r="IS144" s="54"/>
      <c r="IT144" s="54"/>
      <c r="IU144" s="54"/>
      <c r="IV144" s="54"/>
      <c r="IW144" s="54"/>
      <c r="IX144" s="54"/>
      <c r="IY144" s="54"/>
      <c r="IZ144" s="54"/>
      <c r="JA144" s="54"/>
      <c r="JB144" s="54"/>
      <c r="JC144" s="54"/>
      <c r="JD144" s="54"/>
      <c r="JE144" s="54"/>
      <c r="JF144" s="54"/>
      <c r="JG144" s="54"/>
      <c r="JH144" s="54"/>
      <c r="JI144" s="54"/>
      <c r="JJ144" s="54"/>
      <c r="JK144" s="54"/>
      <c r="JL144" s="54"/>
      <c r="JM144" s="54"/>
      <c r="JN144" s="54"/>
      <c r="JO144" s="54"/>
      <c r="JP144" s="54"/>
      <c r="JQ144" s="54"/>
      <c r="JR144" s="54"/>
      <c r="JS144" s="54"/>
      <c r="JT144" s="54"/>
      <c r="JU144" s="54"/>
      <c r="JV144" s="54"/>
      <c r="JW144" s="54"/>
      <c r="JX144" s="54"/>
      <c r="JY144" s="54"/>
      <c r="JZ144" s="54"/>
      <c r="KA144" s="54"/>
      <c r="KB144" s="54"/>
      <c r="KC144" s="54"/>
      <c r="KD144" s="54"/>
      <c r="KE144" s="54"/>
      <c r="KF144" s="54"/>
      <c r="KG144" s="54"/>
      <c r="KH144" s="54"/>
      <c r="KI144" s="54"/>
      <c r="KJ144" s="54"/>
      <c r="KK144" s="54"/>
      <c r="KL144" s="54"/>
      <c r="KM144" s="54"/>
      <c r="KN144" s="54"/>
      <c r="KO144" s="54"/>
      <c r="KP144" s="54"/>
      <c r="KQ144" s="54"/>
      <c r="KR144" s="54"/>
      <c r="KS144" s="54"/>
      <c r="KT144" s="54"/>
      <c r="KU144" s="54"/>
      <c r="KV144" s="54"/>
      <c r="KW144" s="54"/>
      <c r="KX144" s="54"/>
    </row>
    <row r="145" ht="5.2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108"/>
      <c r="AR145" s="101"/>
      <c r="AS145" s="102"/>
      <c r="AT145" s="102"/>
      <c r="AU145" s="102"/>
      <c r="AV145" s="102"/>
      <c r="AW145" s="102"/>
      <c r="AX145" s="102"/>
      <c r="AY145" s="102"/>
      <c r="AZ145" s="102"/>
      <c r="BA145" s="102"/>
      <c r="BB145" s="103"/>
      <c r="BC145" s="104"/>
      <c r="BD145" s="102"/>
      <c r="BE145" s="103"/>
      <c r="BF145" s="104"/>
      <c r="BG145" s="102"/>
      <c r="BH145" s="102"/>
      <c r="BI145" s="102"/>
      <c r="BJ145" s="102"/>
      <c r="BK145" s="102"/>
      <c r="BL145" s="102"/>
      <c r="BM145" s="102"/>
      <c r="BN145" s="102"/>
      <c r="BO145" s="102"/>
      <c r="BP145" s="102"/>
      <c r="BQ145" s="102"/>
      <c r="BR145" s="102"/>
      <c r="BS145" s="102"/>
      <c r="BT145" s="102"/>
      <c r="BU145" s="103"/>
      <c r="BV145" s="104"/>
      <c r="BW145" s="102"/>
      <c r="BX145" s="102"/>
      <c r="BY145" s="102"/>
      <c r="BZ145" s="137"/>
      <c r="CA145" s="137"/>
      <c r="CB145" s="137"/>
      <c r="CC145" s="137"/>
      <c r="CD145" s="137"/>
      <c r="CE145" s="137"/>
      <c r="CF145" s="137"/>
      <c r="CG145" s="137"/>
      <c r="CH145" s="137"/>
      <c r="CI145" s="102"/>
      <c r="CJ145" s="102"/>
      <c r="CK145" s="103"/>
      <c r="CL145" s="104"/>
      <c r="CM145" s="102"/>
      <c r="CN145" s="103"/>
      <c r="CO145" s="104"/>
      <c r="CP145" s="102"/>
      <c r="CQ145" s="102"/>
      <c r="CR145" s="137"/>
      <c r="CS145" s="137"/>
      <c r="CT145" s="137"/>
      <c r="CU145" s="137"/>
      <c r="CV145" s="137"/>
      <c r="CW145" s="137"/>
      <c r="CX145" s="137"/>
      <c r="CY145" s="138"/>
      <c r="CZ145" s="108"/>
      <c r="DA145" s="54"/>
      <c r="DB145" s="54"/>
      <c r="DC145" s="108"/>
      <c r="DD145" s="88"/>
      <c r="DE145" s="13"/>
      <c r="DF145" s="13"/>
      <c r="DG145" s="13"/>
      <c r="DH145" s="13"/>
      <c r="DI145" s="13"/>
      <c r="DJ145" s="13"/>
      <c r="DK145" s="13"/>
      <c r="DL145" s="13"/>
      <c r="DM145" s="13"/>
      <c r="DN145" s="14"/>
      <c r="DO145" s="12"/>
      <c r="DP145" s="13"/>
      <c r="DQ145" s="14"/>
      <c r="DR145" s="12"/>
      <c r="DS145" s="13"/>
      <c r="DT145" s="13"/>
      <c r="DU145" s="13"/>
      <c r="DV145" s="13"/>
      <c r="DW145" s="13"/>
      <c r="DX145" s="13"/>
      <c r="DY145" s="13"/>
      <c r="DZ145" s="13"/>
      <c r="EA145" s="13"/>
      <c r="EB145" s="13"/>
      <c r="EC145" s="13"/>
      <c r="ED145" s="13"/>
      <c r="EE145" s="13"/>
      <c r="EF145" s="13"/>
      <c r="EG145" s="14"/>
      <c r="EH145" s="12"/>
      <c r="EI145" s="13"/>
      <c r="EJ145" s="13"/>
      <c r="EK145" s="13"/>
      <c r="EL145" s="128"/>
      <c r="EM145" s="128"/>
      <c r="EN145" s="128"/>
      <c r="EO145" s="128"/>
      <c r="EP145" s="128"/>
      <c r="EQ145" s="128"/>
      <c r="ER145" s="128"/>
      <c r="ES145" s="128"/>
      <c r="ET145" s="128"/>
      <c r="EU145" s="13"/>
      <c r="EV145" s="13"/>
      <c r="EW145" s="14"/>
      <c r="EX145" s="12"/>
      <c r="EY145" s="13"/>
      <c r="EZ145" s="14"/>
      <c r="FA145" s="12"/>
      <c r="FB145" s="13"/>
      <c r="FC145" s="13"/>
      <c r="FD145" s="128"/>
      <c r="FE145" s="128"/>
      <c r="FF145" s="128"/>
      <c r="FG145" s="128"/>
      <c r="FH145" s="128"/>
      <c r="FI145" s="128"/>
      <c r="FJ145" s="128"/>
      <c r="FK145" s="129"/>
      <c r="FL145" s="108"/>
      <c r="FM145" s="54"/>
      <c r="FN145" s="54"/>
      <c r="FO145" s="108"/>
      <c r="FP145" s="101"/>
      <c r="FQ145" s="102"/>
      <c r="FR145" s="102"/>
      <c r="FS145" s="102"/>
      <c r="FT145" s="102"/>
      <c r="FU145" s="102"/>
      <c r="FV145" s="102"/>
      <c r="FW145" s="102"/>
      <c r="FX145" s="102"/>
      <c r="FY145" s="102"/>
      <c r="FZ145" s="103"/>
      <c r="GA145" s="104"/>
      <c r="GB145" s="102"/>
      <c r="GC145" s="103"/>
      <c r="GD145" s="104"/>
      <c r="GE145" s="102"/>
      <c r="GF145" s="102"/>
      <c r="GG145" s="102"/>
      <c r="GH145" s="102"/>
      <c r="GI145" s="102"/>
      <c r="GJ145" s="102"/>
      <c r="GK145" s="102"/>
      <c r="GL145" s="102"/>
      <c r="GM145" s="102"/>
      <c r="GN145" s="102"/>
      <c r="GO145" s="102"/>
      <c r="GP145" s="102"/>
      <c r="GQ145" s="102"/>
      <c r="GR145" s="102"/>
      <c r="GS145" s="103"/>
      <c r="GT145" s="104"/>
      <c r="GU145" s="102"/>
      <c r="GV145" s="102"/>
      <c r="GW145" s="102"/>
      <c r="GX145" s="137"/>
      <c r="GY145" s="137"/>
      <c r="GZ145" s="137"/>
      <c r="HA145" s="137"/>
      <c r="HB145" s="137"/>
      <c r="HC145" s="137"/>
      <c r="HD145" s="137"/>
      <c r="HE145" s="137"/>
      <c r="HF145" s="137"/>
      <c r="HG145" s="102"/>
      <c r="HH145" s="102"/>
      <c r="HI145" s="103"/>
      <c r="HJ145" s="104"/>
      <c r="HK145" s="102"/>
      <c r="HL145" s="103"/>
      <c r="HM145" s="104"/>
      <c r="HN145" s="102"/>
      <c r="HO145" s="102"/>
      <c r="HP145" s="137"/>
      <c r="HQ145" s="137"/>
      <c r="HR145" s="137"/>
      <c r="HS145" s="137"/>
      <c r="HT145" s="137"/>
      <c r="HU145" s="137"/>
      <c r="HV145" s="137"/>
      <c r="HW145" s="138"/>
      <c r="HX145" s="108"/>
      <c r="HY145" s="54"/>
      <c r="HZ145" s="54"/>
      <c r="IA145" s="54"/>
      <c r="IB145" s="54"/>
      <c r="IC145" s="54"/>
      <c r="ID145" s="54"/>
      <c r="IE145" s="54"/>
      <c r="IF145" s="54"/>
      <c r="IG145" s="54"/>
      <c r="IH145" s="54"/>
      <c r="II145" s="54"/>
      <c r="IJ145" s="54"/>
      <c r="IK145" s="54"/>
      <c r="IL145" s="54"/>
      <c r="IM145" s="54"/>
      <c r="IN145" s="54"/>
      <c r="IO145" s="54"/>
      <c r="IP145" s="54"/>
      <c r="IQ145" s="54"/>
      <c r="IR145" s="54"/>
      <c r="IS145" s="54"/>
      <c r="IT145" s="54"/>
      <c r="IU145" s="54"/>
      <c r="IV145" s="54"/>
      <c r="IW145" s="54"/>
      <c r="IX145" s="54"/>
      <c r="IY145" s="54"/>
      <c r="IZ145" s="54"/>
      <c r="JA145" s="54"/>
      <c r="JB145" s="54"/>
      <c r="JC145" s="54"/>
      <c r="JD145" s="54"/>
      <c r="JE145" s="54"/>
      <c r="JF145" s="54"/>
      <c r="JG145" s="54"/>
      <c r="JH145" s="54"/>
      <c r="JI145" s="54"/>
      <c r="JJ145" s="54"/>
      <c r="JK145" s="54"/>
      <c r="JL145" s="54"/>
      <c r="JM145" s="54"/>
      <c r="JN145" s="54"/>
      <c r="JO145" s="54"/>
      <c r="JP145" s="54"/>
      <c r="JQ145" s="54"/>
      <c r="JR145" s="54"/>
      <c r="JS145" s="54"/>
      <c r="JT145" s="54"/>
      <c r="JU145" s="54"/>
      <c r="JV145" s="54"/>
      <c r="JW145" s="54"/>
      <c r="JX145" s="54"/>
      <c r="JY145" s="54"/>
      <c r="JZ145" s="54"/>
      <c r="KA145" s="54"/>
      <c r="KB145" s="54"/>
      <c r="KC145" s="54"/>
      <c r="KD145" s="54"/>
      <c r="KE145" s="54"/>
      <c r="KF145" s="54"/>
      <c r="KG145" s="54"/>
      <c r="KH145" s="54"/>
      <c r="KI145" s="54"/>
      <c r="KJ145" s="54"/>
      <c r="KK145" s="54"/>
      <c r="KL145" s="54"/>
      <c r="KM145" s="54"/>
      <c r="KN145" s="54"/>
      <c r="KO145" s="54"/>
      <c r="KP145" s="54"/>
      <c r="KQ145" s="54"/>
      <c r="KR145" s="54"/>
      <c r="KS145" s="54"/>
      <c r="KT145" s="54"/>
      <c r="KU145" s="54"/>
      <c r="KV145" s="54"/>
      <c r="KW145" s="54"/>
      <c r="KX145" s="54"/>
    </row>
    <row r="146" ht="5.2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c r="BS146" s="54"/>
      <c r="BT146" s="54"/>
      <c r="BU146" s="54"/>
      <c r="BV146" s="54"/>
      <c r="BW146" s="54"/>
      <c r="BX146" s="54"/>
      <c r="BY146" s="54"/>
      <c r="BZ146" s="54"/>
      <c r="CA146" s="54"/>
      <c r="CB146" s="54"/>
      <c r="CC146" s="54"/>
      <c r="CD146" s="54"/>
      <c r="CE146" s="54"/>
      <c r="CF146" s="54"/>
      <c r="CG146" s="54"/>
      <c r="CH146" s="54"/>
      <c r="CI146" s="54"/>
      <c r="CJ146" s="54"/>
      <c r="CK146" s="54"/>
      <c r="CL146" s="54"/>
      <c r="CM146" s="54"/>
      <c r="CN146" s="54"/>
      <c r="CO146" s="54"/>
      <c r="CP146" s="54"/>
      <c r="CQ146" s="54"/>
      <c r="CR146" s="54"/>
      <c r="CS146" s="54"/>
      <c r="CT146" s="54"/>
      <c r="CU146" s="54"/>
      <c r="CV146" s="54"/>
      <c r="CW146" s="54"/>
      <c r="CX146" s="54"/>
      <c r="CY146" s="54"/>
      <c r="CZ146" s="54"/>
      <c r="DA146" s="54"/>
      <c r="DB146" s="54"/>
      <c r="DC146" s="119" t="str">
        <f>if(or(BX77=0,EJ77=0),"",qualreseeding!AC66)</f>
        <v/>
      </c>
      <c r="DD146" s="130" t="str">
        <f t="array" ref="DD146">xlookup(DC146,qualdata!$M$2:$M$17,qualdata!$O$2:$O$17,"")</f>
        <v/>
      </c>
      <c r="DE146" s="8"/>
      <c r="DF146" s="8"/>
      <c r="DG146" s="8"/>
      <c r="DH146" s="93" t="str">
        <f t="array" ref="DH146">xlookup(DC146,qualdata!$M$2:$M$17,qualdata!$N$2:$N$17,"")</f>
        <v/>
      </c>
      <c r="DI146" s="8"/>
      <c r="DJ146" s="8"/>
      <c r="DK146" s="8"/>
      <c r="DL146" s="8"/>
      <c r="DM146" s="8"/>
      <c r="DN146" s="8"/>
      <c r="DO146" s="8"/>
      <c r="DP146" s="8"/>
      <c r="DQ146" s="8"/>
      <c r="DR146" s="8"/>
      <c r="DS146" s="8"/>
      <c r="DT146" s="8"/>
      <c r="DU146" s="8"/>
      <c r="DV146" s="8"/>
      <c r="DW146" s="8"/>
      <c r="DX146" s="8"/>
      <c r="DY146" s="8"/>
      <c r="DZ146" s="8"/>
      <c r="EA146" s="8"/>
      <c r="EB146" s="8"/>
      <c r="EC146" s="8"/>
      <c r="ED146" s="94"/>
      <c r="EE146" s="8"/>
      <c r="EF146" s="8"/>
      <c r="EG146" s="9"/>
      <c r="EH146" s="95"/>
      <c r="EI146" s="8"/>
      <c r="EJ146" s="8"/>
      <c r="EK146" s="8"/>
      <c r="EL146" s="96" t="str">
        <f t="array" ref="EL146">xlookup(FL146,qualdata!$M$2:$M$17,qualdata!$N$2:$N$17,"")</f>
        <v/>
      </c>
      <c r="EM146" s="8"/>
      <c r="EN146" s="8"/>
      <c r="EO146" s="8"/>
      <c r="EP146" s="8"/>
      <c r="EQ146" s="8"/>
      <c r="ER146" s="8"/>
      <c r="ES146" s="8"/>
      <c r="ET146" s="8"/>
      <c r="EU146" s="8"/>
      <c r="EV146" s="8"/>
      <c r="EW146" s="8"/>
      <c r="EX146" s="8"/>
      <c r="EY146" s="8"/>
      <c r="EZ146" s="8"/>
      <c r="FA146" s="8"/>
      <c r="FB146" s="8"/>
      <c r="FC146" s="8"/>
      <c r="FD146" s="8"/>
      <c r="FE146" s="8"/>
      <c r="FF146" s="8"/>
      <c r="FG146" s="8"/>
      <c r="FH146" s="131" t="str">
        <f t="array" ref="FH146">xlookup(FL146,qualdata!$M$2:$M$17,qualdata!$O$2:$O$17,"")</f>
        <v/>
      </c>
      <c r="FI146" s="8"/>
      <c r="FJ146" s="8"/>
      <c r="FK146" s="98"/>
      <c r="FL146" s="119" t="str">
        <f>if(or(BX77=0,EJ77=0),"",qualreseeding!AD66)</f>
        <v/>
      </c>
      <c r="FM146" s="54"/>
      <c r="FN146" s="54"/>
      <c r="FO146" s="54"/>
      <c r="FP146" s="54"/>
      <c r="FQ146" s="54"/>
      <c r="FR146" s="54"/>
      <c r="FS146" s="54"/>
      <c r="FT146" s="54"/>
      <c r="FU146" s="54"/>
      <c r="FV146" s="54"/>
      <c r="FW146" s="54"/>
      <c r="FX146" s="54"/>
      <c r="FY146" s="54"/>
      <c r="FZ146" s="54"/>
      <c r="GA146" s="54"/>
      <c r="GB146" s="54"/>
      <c r="GC146" s="54"/>
      <c r="GD146" s="54"/>
      <c r="GE146" s="54"/>
      <c r="GF146" s="54"/>
      <c r="GG146" s="54"/>
      <c r="GH146" s="54"/>
      <c r="GI146" s="54"/>
      <c r="GJ146" s="54"/>
      <c r="GK146" s="54"/>
      <c r="GL146" s="54"/>
      <c r="GM146" s="54"/>
      <c r="GN146" s="54"/>
      <c r="GO146" s="54"/>
      <c r="GP146" s="54"/>
      <c r="GQ146" s="54"/>
      <c r="GR146" s="54"/>
      <c r="GS146" s="54"/>
      <c r="GT146" s="54"/>
      <c r="GU146" s="54"/>
      <c r="GV146" s="54"/>
      <c r="GW146" s="54"/>
      <c r="GX146" s="54"/>
      <c r="GY146" s="54"/>
      <c r="GZ146" s="54"/>
      <c r="HA146" s="54"/>
      <c r="HB146" s="54"/>
      <c r="HC146" s="54"/>
      <c r="HD146" s="54"/>
      <c r="HE146" s="54"/>
      <c r="HF146" s="54"/>
      <c r="HG146" s="54"/>
      <c r="HH146" s="54"/>
      <c r="HI146" s="54"/>
      <c r="HJ146" s="54"/>
      <c r="HK146" s="54"/>
      <c r="HL146" s="54"/>
      <c r="HM146" s="54"/>
      <c r="HN146" s="54"/>
      <c r="HO146" s="54"/>
      <c r="HP146" s="54"/>
      <c r="HQ146" s="54"/>
      <c r="HR146" s="54"/>
      <c r="HS146" s="54"/>
      <c r="HT146" s="54"/>
      <c r="HU146" s="54"/>
      <c r="HV146" s="54"/>
      <c r="HW146" s="54"/>
      <c r="HX146" s="54"/>
      <c r="HY146" s="54"/>
      <c r="HZ146" s="54"/>
      <c r="IA146" s="54"/>
      <c r="IB146" s="54"/>
      <c r="IC146" s="54"/>
      <c r="ID146" s="54"/>
      <c r="IE146" s="54"/>
      <c r="IF146" s="54"/>
      <c r="IG146" s="54"/>
      <c r="IH146" s="54"/>
      <c r="II146" s="54"/>
      <c r="IJ146" s="54"/>
      <c r="IK146" s="54"/>
      <c r="IL146" s="54"/>
      <c r="IM146" s="54"/>
      <c r="IN146" s="54"/>
      <c r="IO146" s="54"/>
      <c r="IP146" s="54"/>
      <c r="IQ146" s="54"/>
      <c r="IR146" s="54"/>
      <c r="IS146" s="54"/>
      <c r="IT146" s="54"/>
      <c r="IU146" s="54"/>
      <c r="IV146" s="54"/>
      <c r="IW146" s="54"/>
      <c r="IX146" s="54"/>
      <c r="IY146" s="54"/>
      <c r="IZ146" s="54"/>
      <c r="JA146" s="54"/>
      <c r="JB146" s="54"/>
      <c r="JC146" s="54"/>
      <c r="JD146" s="54"/>
      <c r="JE146" s="54"/>
      <c r="JF146" s="54"/>
      <c r="JG146" s="54"/>
      <c r="JH146" s="54"/>
      <c r="JI146" s="54"/>
      <c r="JJ146" s="54"/>
      <c r="JK146" s="54"/>
      <c r="JL146" s="54"/>
      <c r="JM146" s="54"/>
      <c r="JN146" s="54"/>
      <c r="JO146" s="54"/>
      <c r="JP146" s="54"/>
      <c r="JQ146" s="54"/>
      <c r="JR146" s="54"/>
      <c r="JS146" s="54"/>
      <c r="JT146" s="54"/>
      <c r="JU146" s="54"/>
      <c r="JV146" s="54"/>
      <c r="JW146" s="54"/>
      <c r="JX146" s="54"/>
      <c r="JY146" s="54"/>
      <c r="JZ146" s="54"/>
      <c r="KA146" s="54"/>
      <c r="KB146" s="54"/>
      <c r="KC146" s="54"/>
      <c r="KD146" s="54"/>
      <c r="KE146" s="54"/>
      <c r="KF146" s="54"/>
      <c r="KG146" s="54"/>
      <c r="KH146" s="54"/>
      <c r="KI146" s="54"/>
      <c r="KJ146" s="54"/>
      <c r="KK146" s="54"/>
      <c r="KL146" s="54"/>
      <c r="KM146" s="54"/>
      <c r="KN146" s="54"/>
      <c r="KO146" s="54"/>
      <c r="KP146" s="54"/>
      <c r="KQ146" s="54"/>
      <c r="KR146" s="54"/>
      <c r="KS146" s="54"/>
      <c r="KT146" s="54"/>
      <c r="KU146" s="54"/>
      <c r="KV146" s="54"/>
      <c r="KW146" s="54"/>
      <c r="KX146" s="54"/>
    </row>
    <row r="147" ht="5.2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c r="BU147" s="54"/>
      <c r="BV147" s="54"/>
      <c r="BW147" s="54"/>
      <c r="BX147" s="54"/>
      <c r="BY147" s="54"/>
      <c r="BZ147" s="54"/>
      <c r="CA147" s="54"/>
      <c r="CB147" s="54"/>
      <c r="CC147" s="54"/>
      <c r="CD147" s="54"/>
      <c r="CE147" s="54"/>
      <c r="CF147" s="54"/>
      <c r="CG147" s="54"/>
      <c r="CH147" s="54"/>
      <c r="CI147" s="54"/>
      <c r="CJ147" s="54"/>
      <c r="CK147" s="54"/>
      <c r="CL147" s="54"/>
      <c r="CM147" s="54"/>
      <c r="CN147" s="54"/>
      <c r="CO147" s="54"/>
      <c r="CP147" s="54"/>
      <c r="CQ147" s="54"/>
      <c r="CR147" s="54"/>
      <c r="CS147" s="54"/>
      <c r="CT147" s="54"/>
      <c r="CU147" s="54"/>
      <c r="CV147" s="54"/>
      <c r="CW147" s="54"/>
      <c r="CX147" s="54"/>
      <c r="CY147" s="54"/>
      <c r="CZ147" s="54"/>
      <c r="DA147" s="54"/>
      <c r="DB147" s="54"/>
      <c r="DC147" s="108"/>
      <c r="DD147" s="60"/>
      <c r="EG147" s="11"/>
      <c r="EH147" s="10"/>
      <c r="FK147" s="61"/>
      <c r="FL147" s="108"/>
      <c r="FM147" s="54"/>
      <c r="FN147" s="54"/>
      <c r="FO147" s="54"/>
      <c r="FP147" s="54"/>
      <c r="FQ147" s="54"/>
      <c r="FR147" s="54"/>
      <c r="FS147" s="54"/>
      <c r="FT147" s="54"/>
      <c r="FU147" s="54"/>
      <c r="FV147" s="54"/>
      <c r="FW147" s="54"/>
      <c r="FX147" s="54"/>
      <c r="FY147" s="54"/>
      <c r="FZ147" s="54"/>
      <c r="GA147" s="54"/>
      <c r="GB147" s="54"/>
      <c r="GC147" s="54"/>
      <c r="GD147" s="54"/>
      <c r="GE147" s="54"/>
      <c r="GF147" s="54"/>
      <c r="GG147" s="54"/>
      <c r="GH147" s="54"/>
      <c r="GI147" s="54"/>
      <c r="GJ147" s="54"/>
      <c r="GK147" s="54"/>
      <c r="GL147" s="54"/>
      <c r="GM147" s="54"/>
      <c r="GN147" s="54"/>
      <c r="GO147" s="54"/>
      <c r="GP147" s="54"/>
      <c r="GQ147" s="54"/>
      <c r="GR147" s="54"/>
      <c r="GS147" s="54"/>
      <c r="GT147" s="54"/>
      <c r="GU147" s="54"/>
      <c r="GV147" s="54"/>
      <c r="GW147" s="54"/>
      <c r="GX147" s="54"/>
      <c r="GY147" s="54"/>
      <c r="GZ147" s="54"/>
      <c r="HA147" s="54"/>
      <c r="HB147" s="54"/>
      <c r="HC147" s="54"/>
      <c r="HD147" s="54"/>
      <c r="HE147" s="54"/>
      <c r="HF147" s="54"/>
      <c r="HG147" s="54"/>
      <c r="HH147" s="54"/>
      <c r="HI147" s="54"/>
      <c r="HJ147" s="54"/>
      <c r="HK147" s="54"/>
      <c r="HL147" s="54"/>
      <c r="HM147" s="54"/>
      <c r="HN147" s="54"/>
      <c r="HO147" s="54"/>
      <c r="HP147" s="54"/>
      <c r="HQ147" s="54"/>
      <c r="HR147" s="54"/>
      <c r="HS147" s="54"/>
      <c r="HT147" s="54"/>
      <c r="HU147" s="54"/>
      <c r="HV147" s="54"/>
      <c r="HW147" s="54"/>
      <c r="HX147" s="54"/>
      <c r="HY147" s="54"/>
      <c r="HZ147" s="54"/>
      <c r="IA147" s="54"/>
      <c r="IB147" s="54"/>
      <c r="IC147" s="54"/>
      <c r="ID147" s="54"/>
      <c r="IE147" s="54"/>
      <c r="IF147" s="54"/>
      <c r="IG147" s="54"/>
      <c r="IH147" s="54"/>
      <c r="II147" s="54"/>
      <c r="IJ147" s="54"/>
      <c r="IK147" s="54"/>
      <c r="IL147" s="54"/>
      <c r="IM147" s="54"/>
      <c r="IN147" s="54"/>
      <c r="IO147" s="54"/>
      <c r="IP147" s="54"/>
      <c r="IQ147" s="54"/>
      <c r="IR147" s="54"/>
      <c r="IS147" s="54"/>
      <c r="IT147" s="54"/>
      <c r="IU147" s="54"/>
      <c r="IV147" s="54"/>
      <c r="IW147" s="54"/>
      <c r="IX147" s="54"/>
      <c r="IY147" s="54"/>
      <c r="IZ147" s="54"/>
      <c r="JA147" s="54"/>
      <c r="JB147" s="54"/>
      <c r="JC147" s="54"/>
      <c r="JD147" s="54"/>
      <c r="JE147" s="54"/>
      <c r="JF147" s="54"/>
      <c r="JG147" s="54"/>
      <c r="JH147" s="54"/>
      <c r="JI147" s="54"/>
      <c r="JJ147" s="54"/>
      <c r="JK147" s="54"/>
      <c r="JL147" s="54"/>
      <c r="JM147" s="54"/>
      <c r="JN147" s="54"/>
      <c r="JO147" s="54"/>
      <c r="JP147" s="54"/>
      <c r="JQ147" s="54"/>
      <c r="JR147" s="54"/>
      <c r="JS147" s="54"/>
      <c r="JT147" s="54"/>
      <c r="JU147" s="54"/>
      <c r="JV147" s="54"/>
      <c r="JW147" s="54"/>
      <c r="JX147" s="54"/>
      <c r="JY147" s="54"/>
      <c r="JZ147" s="54"/>
      <c r="KA147" s="54"/>
      <c r="KB147" s="54"/>
      <c r="KC147" s="54"/>
      <c r="KD147" s="54"/>
      <c r="KE147" s="54"/>
      <c r="KF147" s="54"/>
      <c r="KG147" s="54"/>
      <c r="KH147" s="54"/>
      <c r="KI147" s="54"/>
      <c r="KJ147" s="54"/>
      <c r="KK147" s="54"/>
      <c r="KL147" s="54"/>
      <c r="KM147" s="54"/>
      <c r="KN147" s="54"/>
      <c r="KO147" s="54"/>
      <c r="KP147" s="54"/>
      <c r="KQ147" s="54"/>
      <c r="KR147" s="54"/>
      <c r="KS147" s="54"/>
      <c r="KT147" s="54"/>
      <c r="KU147" s="54"/>
      <c r="KV147" s="54"/>
      <c r="KW147" s="54"/>
      <c r="KX147" s="54"/>
    </row>
    <row r="148" ht="5.2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54"/>
      <c r="BK148" s="54"/>
      <c r="BL148" s="54"/>
      <c r="BM148" s="54"/>
      <c r="BN148" s="54"/>
      <c r="BO148" s="54"/>
      <c r="BP148" s="54"/>
      <c r="BQ148" s="54"/>
      <c r="BR148" s="54"/>
      <c r="BS148" s="54"/>
      <c r="BT148" s="54"/>
      <c r="BU148" s="54"/>
      <c r="BV148" s="54"/>
      <c r="BW148" s="54"/>
      <c r="BX148" s="54"/>
      <c r="BY148" s="54"/>
      <c r="BZ148" s="54"/>
      <c r="CA148" s="54"/>
      <c r="CB148" s="54"/>
      <c r="CC148" s="54"/>
      <c r="CD148" s="54"/>
      <c r="CE148" s="54"/>
      <c r="CF148" s="54"/>
      <c r="CG148" s="54"/>
      <c r="CH148" s="54"/>
      <c r="CI148" s="54"/>
      <c r="CJ148" s="54"/>
      <c r="CK148" s="54"/>
      <c r="CL148" s="54"/>
      <c r="CM148" s="54"/>
      <c r="CN148" s="54"/>
      <c r="CO148" s="54"/>
      <c r="CP148" s="54"/>
      <c r="CQ148" s="54"/>
      <c r="CR148" s="54"/>
      <c r="CS148" s="54"/>
      <c r="CT148" s="54"/>
      <c r="CU148" s="54"/>
      <c r="CV148" s="54"/>
      <c r="CW148" s="54"/>
      <c r="CX148" s="54"/>
      <c r="CY148" s="54"/>
      <c r="CZ148" s="54"/>
      <c r="DA148" s="54"/>
      <c r="DB148" s="54"/>
      <c r="DC148" s="108"/>
      <c r="DD148" s="60"/>
      <c r="EG148" s="11"/>
      <c r="EH148" s="10"/>
      <c r="FK148" s="61"/>
      <c r="FL148" s="108"/>
      <c r="FM148" s="54"/>
      <c r="FN148" s="54"/>
      <c r="FO148" s="54"/>
      <c r="FP148" s="54"/>
      <c r="FQ148" s="54"/>
      <c r="FR148" s="54"/>
      <c r="FS148" s="54"/>
      <c r="FT148" s="54"/>
      <c r="FU148" s="54"/>
      <c r="FV148" s="54"/>
      <c r="FW148" s="54"/>
      <c r="FX148" s="54"/>
      <c r="FY148" s="54"/>
      <c r="FZ148" s="54"/>
      <c r="GA148" s="54"/>
      <c r="GB148" s="54"/>
      <c r="GC148" s="54"/>
      <c r="GD148" s="54"/>
      <c r="GE148" s="54"/>
      <c r="GF148" s="54"/>
      <c r="GG148" s="54"/>
      <c r="GH148" s="54"/>
      <c r="GI148" s="54"/>
      <c r="GJ148" s="54"/>
      <c r="GK148" s="54"/>
      <c r="GL148" s="54"/>
      <c r="GM148" s="54"/>
      <c r="GN148" s="54"/>
      <c r="GO148" s="54"/>
      <c r="GP148" s="54"/>
      <c r="GQ148" s="54"/>
      <c r="GR148" s="54"/>
      <c r="GS148" s="54"/>
      <c r="GT148" s="54"/>
      <c r="GU148" s="54"/>
      <c r="GV148" s="54"/>
      <c r="GW148" s="54"/>
      <c r="GX148" s="54"/>
      <c r="GY148" s="54"/>
      <c r="GZ148" s="54"/>
      <c r="HA148" s="54"/>
      <c r="HB148" s="54"/>
      <c r="HC148" s="54"/>
      <c r="HD148" s="54"/>
      <c r="HE148" s="54"/>
      <c r="HF148" s="54"/>
      <c r="HG148" s="54"/>
      <c r="HH148" s="54"/>
      <c r="HI148" s="54"/>
      <c r="HJ148" s="54"/>
      <c r="HK148" s="54"/>
      <c r="HL148" s="54"/>
      <c r="HM148" s="54"/>
      <c r="HN148" s="54"/>
      <c r="HO148" s="54"/>
      <c r="HP148" s="54"/>
      <c r="HQ148" s="54"/>
      <c r="HR148" s="54"/>
      <c r="HS148" s="54"/>
      <c r="HT148" s="54"/>
      <c r="HU148" s="54"/>
      <c r="HV148" s="54"/>
      <c r="HW148" s="54"/>
      <c r="HX148" s="54"/>
      <c r="HY148" s="54"/>
      <c r="HZ148" s="54"/>
      <c r="IA148" s="54"/>
      <c r="IB148" s="54"/>
      <c r="IC148" s="54"/>
      <c r="ID148" s="54"/>
      <c r="IE148" s="54"/>
      <c r="IF148" s="54"/>
      <c r="IG148" s="54"/>
      <c r="IH148" s="54"/>
      <c r="II148" s="54"/>
      <c r="IJ148" s="54"/>
      <c r="IK148" s="54"/>
      <c r="IL148" s="54"/>
      <c r="IM148" s="54"/>
      <c r="IN148" s="54"/>
      <c r="IO148" s="54"/>
      <c r="IP148" s="54"/>
      <c r="IQ148" s="54"/>
      <c r="IR148" s="54"/>
      <c r="IS148" s="54"/>
      <c r="IT148" s="54"/>
      <c r="IU148" s="54"/>
      <c r="IV148" s="54"/>
      <c r="IW148" s="54"/>
      <c r="IX148" s="54"/>
      <c r="IY148" s="54"/>
      <c r="IZ148" s="54"/>
      <c r="JA148" s="54"/>
      <c r="JB148" s="54"/>
      <c r="JC148" s="54"/>
      <c r="JD148" s="54"/>
      <c r="JE148" s="54"/>
      <c r="JF148" s="54"/>
      <c r="JG148" s="54"/>
      <c r="JH148" s="54"/>
      <c r="JI148" s="54"/>
      <c r="JJ148" s="54"/>
      <c r="JK148" s="54"/>
      <c r="JL148" s="54"/>
      <c r="JM148" s="54"/>
      <c r="JN148" s="54"/>
      <c r="JO148" s="54"/>
      <c r="JP148" s="54"/>
      <c r="JQ148" s="54"/>
      <c r="JR148" s="54"/>
      <c r="JS148" s="54"/>
      <c r="JT148" s="54"/>
      <c r="JU148" s="54"/>
      <c r="JV148" s="54"/>
      <c r="JW148" s="54"/>
      <c r="JX148" s="54"/>
      <c r="JY148" s="54"/>
      <c r="JZ148" s="54"/>
      <c r="KA148" s="54"/>
      <c r="KB148" s="54"/>
      <c r="KC148" s="54"/>
      <c r="KD148" s="54"/>
      <c r="KE148" s="54"/>
      <c r="KF148" s="54"/>
      <c r="KG148" s="54"/>
      <c r="KH148" s="54"/>
      <c r="KI148" s="54"/>
      <c r="KJ148" s="54"/>
      <c r="KK148" s="54"/>
      <c r="KL148" s="54"/>
      <c r="KM148" s="54"/>
      <c r="KN148" s="54"/>
      <c r="KO148" s="54"/>
      <c r="KP148" s="54"/>
      <c r="KQ148" s="54"/>
      <c r="KR148" s="54"/>
      <c r="KS148" s="54"/>
      <c r="KT148" s="54"/>
      <c r="KU148" s="54"/>
      <c r="KV148" s="54"/>
      <c r="KW148" s="54"/>
      <c r="KX148" s="54"/>
    </row>
    <row r="149" ht="5.2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c r="BS149" s="54"/>
      <c r="BT149" s="54"/>
      <c r="BU149" s="54"/>
      <c r="BV149" s="54"/>
      <c r="BW149" s="54"/>
      <c r="BX149" s="54"/>
      <c r="BY149" s="54"/>
      <c r="BZ149" s="54"/>
      <c r="CA149" s="54"/>
      <c r="CB149" s="54"/>
      <c r="CC149" s="54"/>
      <c r="CD149" s="54"/>
      <c r="CE149" s="54"/>
      <c r="CF149" s="54"/>
      <c r="CG149" s="54"/>
      <c r="CH149" s="54"/>
      <c r="CI149" s="54"/>
      <c r="CJ149" s="54"/>
      <c r="CK149" s="54"/>
      <c r="CL149" s="54"/>
      <c r="CM149" s="54"/>
      <c r="CN149" s="54"/>
      <c r="CO149" s="54"/>
      <c r="CP149" s="54"/>
      <c r="CQ149" s="54"/>
      <c r="CR149" s="54"/>
      <c r="CS149" s="54"/>
      <c r="CT149" s="54"/>
      <c r="CU149" s="54"/>
      <c r="CV149" s="54"/>
      <c r="CW149" s="54"/>
      <c r="CX149" s="54"/>
      <c r="CY149" s="54"/>
      <c r="CZ149" s="54"/>
      <c r="DA149" s="54"/>
      <c r="DB149" s="54"/>
      <c r="DC149" s="108"/>
      <c r="DD149" s="60"/>
      <c r="EG149" s="11"/>
      <c r="EH149" s="10"/>
      <c r="FK149" s="61"/>
      <c r="FL149" s="108"/>
      <c r="FM149" s="54"/>
      <c r="FN149" s="54"/>
      <c r="FO149" s="54"/>
      <c r="FP149" s="54"/>
      <c r="FQ149" s="54"/>
      <c r="FR149" s="54"/>
      <c r="FS149" s="54"/>
      <c r="FT149" s="54"/>
      <c r="FU149" s="54"/>
      <c r="FV149" s="54"/>
      <c r="FW149" s="54"/>
      <c r="FX149" s="54"/>
      <c r="FY149" s="54"/>
      <c r="FZ149" s="54"/>
      <c r="GA149" s="54"/>
      <c r="GB149" s="54"/>
      <c r="GC149" s="54"/>
      <c r="GD149" s="54"/>
      <c r="GE149" s="54"/>
      <c r="GF149" s="54"/>
      <c r="GG149" s="54"/>
      <c r="GH149" s="54"/>
      <c r="GI149" s="54"/>
      <c r="GJ149" s="54"/>
      <c r="GK149" s="54"/>
      <c r="GL149" s="54"/>
      <c r="GM149" s="54"/>
      <c r="GN149" s="54"/>
      <c r="GO149" s="54"/>
      <c r="GP149" s="54"/>
      <c r="GQ149" s="54"/>
      <c r="GR149" s="54"/>
      <c r="GS149" s="54"/>
      <c r="GT149" s="54"/>
      <c r="GU149" s="54"/>
      <c r="GV149" s="54"/>
      <c r="GW149" s="54"/>
      <c r="GX149" s="54"/>
      <c r="GY149" s="54"/>
      <c r="GZ149" s="54"/>
      <c r="HA149" s="54"/>
      <c r="HB149" s="54"/>
      <c r="HC149" s="54"/>
      <c r="HD149" s="54"/>
      <c r="HE149" s="54"/>
      <c r="HF149" s="54"/>
      <c r="HG149" s="54"/>
      <c r="HH149" s="54"/>
      <c r="HI149" s="54"/>
      <c r="HJ149" s="54"/>
      <c r="HK149" s="54"/>
      <c r="HL149" s="54"/>
      <c r="HM149" s="54"/>
      <c r="HN149" s="54"/>
      <c r="HO149" s="54"/>
      <c r="HP149" s="54"/>
      <c r="HQ149" s="54"/>
      <c r="HR149" s="54"/>
      <c r="HS149" s="54"/>
      <c r="HT149" s="54"/>
      <c r="HU149" s="54"/>
      <c r="HV149" s="54"/>
      <c r="HW149" s="54"/>
      <c r="HX149" s="54"/>
      <c r="HY149" s="54"/>
      <c r="HZ149" s="54"/>
      <c r="IA149" s="54"/>
      <c r="IB149" s="54"/>
      <c r="IC149" s="54"/>
      <c r="ID149" s="54"/>
      <c r="IE149" s="54"/>
      <c r="IF149" s="54"/>
      <c r="IG149" s="54"/>
      <c r="IH149" s="54"/>
      <c r="II149" s="54"/>
      <c r="IJ149" s="54"/>
      <c r="IK149" s="54"/>
      <c r="IL149" s="54"/>
      <c r="IM149" s="54"/>
      <c r="IN149" s="54"/>
      <c r="IO149" s="54"/>
      <c r="IP149" s="54"/>
      <c r="IQ149" s="54"/>
      <c r="IR149" s="54"/>
      <c r="IS149" s="54"/>
      <c r="IT149" s="54"/>
      <c r="IU149" s="54"/>
      <c r="IV149" s="54"/>
      <c r="IW149" s="54"/>
      <c r="IX149" s="54"/>
      <c r="IY149" s="54"/>
      <c r="IZ149" s="54"/>
      <c r="JA149" s="54"/>
      <c r="JB149" s="54"/>
      <c r="JC149" s="54"/>
      <c r="JD149" s="54"/>
      <c r="JE149" s="54"/>
      <c r="JF149" s="54"/>
      <c r="JG149" s="54"/>
      <c r="JH149" s="54"/>
      <c r="JI149" s="54"/>
      <c r="JJ149" s="54"/>
      <c r="JK149" s="54"/>
      <c r="JL149" s="54"/>
      <c r="JM149" s="54"/>
      <c r="JN149" s="54"/>
      <c r="JO149" s="54"/>
      <c r="JP149" s="54"/>
      <c r="JQ149" s="54"/>
      <c r="JR149" s="54"/>
      <c r="JS149" s="54"/>
      <c r="JT149" s="54"/>
      <c r="JU149" s="54"/>
      <c r="JV149" s="54"/>
      <c r="JW149" s="54"/>
      <c r="JX149" s="54"/>
      <c r="JY149" s="54"/>
      <c r="JZ149" s="54"/>
      <c r="KA149" s="54"/>
      <c r="KB149" s="54"/>
      <c r="KC149" s="54"/>
      <c r="KD149" s="54"/>
      <c r="KE149" s="54"/>
      <c r="KF149" s="54"/>
      <c r="KG149" s="54"/>
      <c r="KH149" s="54"/>
      <c r="KI149" s="54"/>
      <c r="KJ149" s="54"/>
      <c r="KK149" s="54"/>
      <c r="KL149" s="54"/>
      <c r="KM149" s="54"/>
      <c r="KN149" s="54"/>
      <c r="KO149" s="54"/>
      <c r="KP149" s="54"/>
      <c r="KQ149" s="54"/>
      <c r="KR149" s="54"/>
      <c r="KS149" s="54"/>
      <c r="KT149" s="54"/>
      <c r="KU149" s="54"/>
      <c r="KV149" s="54"/>
      <c r="KW149" s="54"/>
      <c r="KX149" s="54"/>
    </row>
    <row r="150" ht="5.2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c r="BU150" s="54"/>
      <c r="BV150" s="54"/>
      <c r="BW150" s="54"/>
      <c r="BX150" s="54"/>
      <c r="BY150" s="54"/>
      <c r="BZ150" s="54"/>
      <c r="CA150" s="54"/>
      <c r="CB150" s="54"/>
      <c r="CC150" s="54"/>
      <c r="CD150" s="54"/>
      <c r="CE150" s="54"/>
      <c r="CF150" s="54"/>
      <c r="CG150" s="54"/>
      <c r="CH150" s="54"/>
      <c r="CI150" s="54"/>
      <c r="CJ150" s="54"/>
      <c r="CK150" s="54"/>
      <c r="CL150" s="54"/>
      <c r="CM150" s="54"/>
      <c r="CN150" s="54"/>
      <c r="CO150" s="54"/>
      <c r="CP150" s="54"/>
      <c r="CQ150" s="54"/>
      <c r="CR150" s="54"/>
      <c r="CS150" s="54"/>
      <c r="CT150" s="54"/>
      <c r="CU150" s="54"/>
      <c r="CV150" s="54"/>
      <c r="CW150" s="54"/>
      <c r="CX150" s="54"/>
      <c r="CY150" s="54"/>
      <c r="CZ150" s="54"/>
      <c r="DA150" s="54"/>
      <c r="DB150" s="54"/>
      <c r="DC150" s="119" t="str">
        <f>DC146</f>
        <v/>
      </c>
      <c r="DD150" s="112"/>
      <c r="DL150" s="122"/>
      <c r="DN150" s="11"/>
      <c r="DO150" s="126"/>
      <c r="DQ150" s="11"/>
      <c r="DR150" s="136"/>
      <c r="DU150" s="108"/>
      <c r="ED150" s="85">
        <f>sum(DL150:DT152)</f>
        <v>0</v>
      </c>
      <c r="EG150" s="11"/>
      <c r="EH150" s="86">
        <f>sum(EU150:FC152)</f>
        <v>0</v>
      </c>
      <c r="EL150" s="108"/>
      <c r="EM150" s="108"/>
      <c r="EN150" s="108"/>
      <c r="EO150" s="108"/>
      <c r="EP150" s="108"/>
      <c r="EQ150" s="108"/>
      <c r="ER150" s="108"/>
      <c r="ES150" s="108"/>
      <c r="ET150" s="108"/>
      <c r="EU150" s="121"/>
      <c r="EW150" s="11"/>
      <c r="EX150" s="127"/>
      <c r="EZ150" s="11"/>
      <c r="FA150" s="123"/>
      <c r="FD150" s="108"/>
      <c r="FE150" s="108"/>
      <c r="FF150" s="108"/>
      <c r="FG150" s="108"/>
      <c r="FH150" s="108"/>
      <c r="FI150" s="108"/>
      <c r="FJ150" s="108"/>
      <c r="FK150" s="116"/>
      <c r="FL150" s="119" t="str">
        <f>FL146</f>
        <v/>
      </c>
      <c r="FM150" s="54"/>
      <c r="FN150" s="54"/>
      <c r="FO150" s="54"/>
      <c r="FP150" s="54"/>
      <c r="FQ150" s="54"/>
      <c r="FR150" s="54"/>
      <c r="FS150" s="54"/>
      <c r="FT150" s="54"/>
      <c r="FU150" s="54"/>
      <c r="FV150" s="54"/>
      <c r="FW150" s="54"/>
      <c r="FX150" s="54"/>
      <c r="FY150" s="54"/>
      <c r="FZ150" s="54"/>
      <c r="GA150" s="54"/>
      <c r="GB150" s="54"/>
      <c r="GC150" s="54"/>
      <c r="GD150" s="54"/>
      <c r="GE150" s="54"/>
      <c r="GF150" s="54"/>
      <c r="GG150" s="54"/>
      <c r="GH150" s="54"/>
      <c r="GI150" s="54"/>
      <c r="GJ150" s="54"/>
      <c r="GK150" s="54"/>
      <c r="GL150" s="54"/>
      <c r="GM150" s="54"/>
      <c r="GN150" s="54"/>
      <c r="GO150" s="54"/>
      <c r="GP150" s="54"/>
      <c r="GQ150" s="54"/>
      <c r="GR150" s="54"/>
      <c r="GS150" s="54"/>
      <c r="GT150" s="54"/>
      <c r="GU150" s="54"/>
      <c r="GV150" s="54"/>
      <c r="GW150" s="54"/>
      <c r="GX150" s="54"/>
      <c r="GY150" s="54"/>
      <c r="GZ150" s="54"/>
      <c r="HA150" s="54"/>
      <c r="HB150" s="54"/>
      <c r="HC150" s="54"/>
      <c r="HD150" s="54"/>
      <c r="HE150" s="54"/>
      <c r="HF150" s="54"/>
      <c r="HG150" s="54"/>
      <c r="HH150" s="54"/>
      <c r="HI150" s="54"/>
      <c r="HJ150" s="54"/>
      <c r="HK150" s="54"/>
      <c r="HL150" s="54"/>
      <c r="HM150" s="54"/>
      <c r="HN150" s="54"/>
      <c r="HO150" s="54"/>
      <c r="HP150" s="54"/>
      <c r="HQ150" s="54"/>
      <c r="HR150" s="54"/>
      <c r="HS150" s="54"/>
      <c r="HT150" s="54"/>
      <c r="HU150" s="54"/>
      <c r="HV150" s="54"/>
      <c r="HW150" s="54"/>
      <c r="HX150" s="54"/>
      <c r="HY150" s="54"/>
      <c r="HZ150" s="54"/>
      <c r="IA150" s="54"/>
      <c r="IB150" s="54"/>
      <c r="IC150" s="54"/>
      <c r="ID150" s="54"/>
      <c r="IE150" s="54"/>
      <c r="IF150" s="54"/>
      <c r="IG150" s="54"/>
      <c r="IH150" s="54"/>
      <c r="II150" s="54"/>
      <c r="IJ150" s="54"/>
      <c r="IK150" s="54"/>
      <c r="IL150" s="54"/>
      <c r="IM150" s="54"/>
      <c r="IN150" s="54"/>
      <c r="IO150" s="54"/>
      <c r="IP150" s="54"/>
      <c r="IQ150" s="54"/>
      <c r="IR150" s="54"/>
      <c r="IS150" s="54"/>
      <c r="IT150" s="54"/>
      <c r="IU150" s="54"/>
      <c r="IV150" s="54"/>
      <c r="IW150" s="54"/>
      <c r="IX150" s="54"/>
      <c r="IY150" s="54"/>
      <c r="IZ150" s="54"/>
      <c r="JA150" s="54"/>
      <c r="JB150" s="54"/>
      <c r="JC150" s="54"/>
      <c r="JD150" s="54"/>
      <c r="JE150" s="54"/>
      <c r="JF150" s="54"/>
      <c r="JG150" s="54"/>
      <c r="JH150" s="54"/>
      <c r="JI150" s="54"/>
      <c r="JJ150" s="54"/>
      <c r="JK150" s="54"/>
      <c r="JL150" s="54"/>
      <c r="JM150" s="54"/>
      <c r="JN150" s="54"/>
      <c r="JO150" s="54"/>
      <c r="JP150" s="54"/>
      <c r="JQ150" s="54"/>
      <c r="JR150" s="54"/>
      <c r="JS150" s="54"/>
      <c r="JT150" s="54"/>
      <c r="JU150" s="54"/>
      <c r="JV150" s="54"/>
      <c r="JW150" s="54"/>
      <c r="JX150" s="54"/>
      <c r="JY150" s="54"/>
      <c r="JZ150" s="54"/>
      <c r="KA150" s="54"/>
      <c r="KB150" s="54"/>
      <c r="KC150" s="54"/>
      <c r="KD150" s="54"/>
      <c r="KE150" s="54"/>
      <c r="KF150" s="54"/>
      <c r="KG150" s="54"/>
      <c r="KH150" s="54"/>
      <c r="KI150" s="54"/>
      <c r="KJ150" s="54"/>
      <c r="KK150" s="54"/>
      <c r="KL150" s="54"/>
      <c r="KM150" s="54"/>
      <c r="KN150" s="54"/>
      <c r="KO150" s="54"/>
      <c r="KP150" s="54"/>
      <c r="KQ150" s="54"/>
      <c r="KR150" s="54"/>
      <c r="KS150" s="54"/>
      <c r="KT150" s="54"/>
      <c r="KU150" s="54"/>
      <c r="KV150" s="54"/>
      <c r="KW150" s="54"/>
      <c r="KX150" s="54"/>
    </row>
    <row r="151" ht="5.2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4"/>
      <c r="CE151" s="54"/>
      <c r="CF151" s="54"/>
      <c r="CG151" s="54"/>
      <c r="CH151" s="54"/>
      <c r="CI151" s="54"/>
      <c r="CJ151" s="54"/>
      <c r="CK151" s="54"/>
      <c r="CL151" s="54"/>
      <c r="CM151" s="54"/>
      <c r="CN151" s="54"/>
      <c r="CO151" s="54"/>
      <c r="CP151" s="54"/>
      <c r="CQ151" s="54"/>
      <c r="CR151" s="54"/>
      <c r="CS151" s="54"/>
      <c r="CT151" s="54"/>
      <c r="CU151" s="54"/>
      <c r="CV151" s="54"/>
      <c r="CW151" s="54"/>
      <c r="CX151" s="54"/>
      <c r="CY151" s="54"/>
      <c r="CZ151" s="54"/>
      <c r="DA151" s="54"/>
      <c r="DB151" s="54"/>
      <c r="DC151" s="108"/>
      <c r="DD151" s="60"/>
      <c r="DN151" s="11"/>
      <c r="DO151" s="10"/>
      <c r="DQ151" s="11"/>
      <c r="DR151" s="10"/>
      <c r="EG151" s="11"/>
      <c r="EH151" s="10"/>
      <c r="EL151" s="108"/>
      <c r="EM151" s="108"/>
      <c r="EN151" s="108"/>
      <c r="EO151" s="108"/>
      <c r="EP151" s="108"/>
      <c r="EQ151" s="108"/>
      <c r="ER151" s="108"/>
      <c r="ES151" s="108"/>
      <c r="ET151" s="108"/>
      <c r="EW151" s="11"/>
      <c r="EX151" s="10"/>
      <c r="EZ151" s="11"/>
      <c r="FA151" s="10"/>
      <c r="FD151" s="108"/>
      <c r="FE151" s="108"/>
      <c r="FF151" s="108"/>
      <c r="FG151" s="108"/>
      <c r="FH151" s="108"/>
      <c r="FI151" s="108"/>
      <c r="FJ151" s="108"/>
      <c r="FK151" s="116"/>
      <c r="FL151" s="108"/>
      <c r="FM151" s="54"/>
      <c r="FN151" s="54"/>
      <c r="FO151" s="54"/>
      <c r="FP151" s="54"/>
      <c r="FQ151" s="54"/>
      <c r="FR151" s="54"/>
      <c r="FS151" s="54"/>
      <c r="FT151" s="54"/>
      <c r="FU151" s="54"/>
      <c r="FV151" s="54"/>
      <c r="FW151" s="54"/>
      <c r="FX151" s="54"/>
      <c r="FY151" s="54"/>
      <c r="FZ151" s="54"/>
      <c r="GA151" s="54"/>
      <c r="GB151" s="54"/>
      <c r="GC151" s="54"/>
      <c r="GD151" s="54"/>
      <c r="GE151" s="54"/>
      <c r="GF151" s="54"/>
      <c r="GG151" s="54"/>
      <c r="GH151" s="54"/>
      <c r="GI151" s="54"/>
      <c r="GJ151" s="54"/>
      <c r="GK151" s="54"/>
      <c r="GL151" s="54"/>
      <c r="GM151" s="54"/>
      <c r="GN151" s="54"/>
      <c r="GO151" s="54"/>
      <c r="GP151" s="54"/>
      <c r="GQ151" s="54"/>
      <c r="GR151" s="54"/>
      <c r="GS151" s="54"/>
      <c r="GT151" s="54"/>
      <c r="GU151" s="54"/>
      <c r="GV151" s="54"/>
      <c r="GW151" s="54"/>
      <c r="GX151" s="54"/>
      <c r="GY151" s="54"/>
      <c r="GZ151" s="54"/>
      <c r="HA151" s="54"/>
      <c r="HB151" s="54"/>
      <c r="HC151" s="54"/>
      <c r="HD151" s="54"/>
      <c r="HE151" s="54"/>
      <c r="HF151" s="54"/>
      <c r="HG151" s="54"/>
      <c r="HH151" s="54"/>
      <c r="HI151" s="54"/>
      <c r="HJ151" s="54"/>
      <c r="HK151" s="54"/>
      <c r="HL151" s="54"/>
      <c r="HM151" s="54"/>
      <c r="HN151" s="54"/>
      <c r="HO151" s="54"/>
      <c r="HP151" s="54"/>
      <c r="HQ151" s="54"/>
      <c r="HR151" s="54"/>
      <c r="HS151" s="54"/>
      <c r="HT151" s="54"/>
      <c r="HU151" s="54"/>
      <c r="HV151" s="54"/>
      <c r="HW151" s="54"/>
      <c r="HX151" s="54"/>
      <c r="HY151" s="54"/>
      <c r="HZ151" s="54"/>
      <c r="IA151" s="54"/>
      <c r="IB151" s="54"/>
      <c r="IC151" s="54"/>
      <c r="ID151" s="54"/>
      <c r="IE151" s="54"/>
      <c r="IF151" s="54"/>
      <c r="IG151" s="54"/>
      <c r="IH151" s="54"/>
      <c r="II151" s="54"/>
      <c r="IJ151" s="54"/>
      <c r="IK151" s="54"/>
      <c r="IL151" s="54"/>
      <c r="IM151" s="54"/>
      <c r="IN151" s="54"/>
      <c r="IO151" s="54"/>
      <c r="IP151" s="54"/>
      <c r="IQ151" s="54"/>
      <c r="IR151" s="54"/>
      <c r="IS151" s="54"/>
      <c r="IT151" s="54"/>
      <c r="IU151" s="54"/>
      <c r="IV151" s="54"/>
      <c r="IW151" s="54"/>
      <c r="IX151" s="54"/>
      <c r="IY151" s="54"/>
      <c r="IZ151" s="54"/>
      <c r="JA151" s="54"/>
      <c r="JB151" s="54"/>
      <c r="JC151" s="54"/>
      <c r="JD151" s="54"/>
      <c r="JE151" s="54"/>
      <c r="JF151" s="54"/>
      <c r="JG151" s="54"/>
      <c r="JH151" s="54"/>
      <c r="JI151" s="54"/>
      <c r="JJ151" s="54"/>
      <c r="JK151" s="54"/>
      <c r="JL151" s="54"/>
      <c r="JM151" s="54"/>
      <c r="JN151" s="54"/>
      <c r="JO151" s="54"/>
      <c r="JP151" s="54"/>
      <c r="JQ151" s="54"/>
      <c r="JR151" s="54"/>
      <c r="JS151" s="54"/>
      <c r="JT151" s="54"/>
      <c r="JU151" s="54"/>
      <c r="JV151" s="54"/>
      <c r="JW151" s="54"/>
      <c r="JX151" s="54"/>
      <c r="JY151" s="54"/>
      <c r="JZ151" s="54"/>
      <c r="KA151" s="54"/>
      <c r="KB151" s="54"/>
      <c r="KC151" s="54"/>
      <c r="KD151" s="54"/>
      <c r="KE151" s="54"/>
      <c r="KF151" s="54"/>
      <c r="KG151" s="54"/>
      <c r="KH151" s="54"/>
      <c r="KI151" s="54"/>
      <c r="KJ151" s="54"/>
      <c r="KK151" s="54"/>
      <c r="KL151" s="54"/>
      <c r="KM151" s="54"/>
      <c r="KN151" s="54"/>
      <c r="KO151" s="54"/>
      <c r="KP151" s="54"/>
      <c r="KQ151" s="54"/>
      <c r="KR151" s="54"/>
      <c r="KS151" s="54"/>
      <c r="KT151" s="54"/>
      <c r="KU151" s="54"/>
      <c r="KV151" s="54"/>
      <c r="KW151" s="54"/>
      <c r="KX151" s="54"/>
    </row>
    <row r="152" ht="5.2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c r="BS152" s="54"/>
      <c r="BT152" s="54"/>
      <c r="BU152" s="54"/>
      <c r="BV152" s="54"/>
      <c r="BW152" s="54"/>
      <c r="BX152" s="54"/>
      <c r="BY152" s="54"/>
      <c r="BZ152" s="54"/>
      <c r="CA152" s="54"/>
      <c r="CB152" s="54"/>
      <c r="CC152" s="54"/>
      <c r="CD152" s="54"/>
      <c r="CE152" s="54"/>
      <c r="CF152" s="54"/>
      <c r="CG152" s="54"/>
      <c r="CH152" s="54"/>
      <c r="CI152" s="54"/>
      <c r="CJ152" s="54"/>
      <c r="CK152" s="54"/>
      <c r="CL152" s="54"/>
      <c r="CM152" s="54"/>
      <c r="CN152" s="54"/>
      <c r="CO152" s="54"/>
      <c r="CP152" s="54"/>
      <c r="CQ152" s="54"/>
      <c r="CR152" s="54"/>
      <c r="CS152" s="54"/>
      <c r="CT152" s="54"/>
      <c r="CU152" s="54"/>
      <c r="CV152" s="54"/>
      <c r="CW152" s="54"/>
      <c r="CX152" s="54"/>
      <c r="CY152" s="54"/>
      <c r="CZ152" s="54"/>
      <c r="DA152" s="54"/>
      <c r="DB152" s="54"/>
      <c r="DC152" s="108"/>
      <c r="DD152" s="88"/>
      <c r="DE152" s="13"/>
      <c r="DF152" s="13"/>
      <c r="DG152" s="13"/>
      <c r="DH152" s="13"/>
      <c r="DI152" s="13"/>
      <c r="DJ152" s="13"/>
      <c r="DK152" s="13"/>
      <c r="DL152" s="13"/>
      <c r="DM152" s="13"/>
      <c r="DN152" s="14"/>
      <c r="DO152" s="12"/>
      <c r="DP152" s="13"/>
      <c r="DQ152" s="14"/>
      <c r="DR152" s="12"/>
      <c r="DS152" s="13"/>
      <c r="DT152" s="13"/>
      <c r="DU152" s="13"/>
      <c r="DV152" s="13"/>
      <c r="DW152" s="13"/>
      <c r="DX152" s="13"/>
      <c r="DY152" s="13"/>
      <c r="DZ152" s="13"/>
      <c r="EA152" s="13"/>
      <c r="EB152" s="13"/>
      <c r="EC152" s="13"/>
      <c r="ED152" s="13"/>
      <c r="EE152" s="13"/>
      <c r="EF152" s="13"/>
      <c r="EG152" s="14"/>
      <c r="EH152" s="12"/>
      <c r="EI152" s="13"/>
      <c r="EJ152" s="13"/>
      <c r="EK152" s="13"/>
      <c r="EL152" s="128"/>
      <c r="EM152" s="128"/>
      <c r="EN152" s="128"/>
      <c r="EO152" s="128"/>
      <c r="EP152" s="128"/>
      <c r="EQ152" s="128"/>
      <c r="ER152" s="128"/>
      <c r="ES152" s="128"/>
      <c r="ET152" s="128"/>
      <c r="EU152" s="13"/>
      <c r="EV152" s="13"/>
      <c r="EW152" s="14"/>
      <c r="EX152" s="12"/>
      <c r="EY152" s="13"/>
      <c r="EZ152" s="14"/>
      <c r="FA152" s="12"/>
      <c r="FB152" s="13"/>
      <c r="FC152" s="13"/>
      <c r="FD152" s="128"/>
      <c r="FE152" s="128"/>
      <c r="FF152" s="128"/>
      <c r="FG152" s="128"/>
      <c r="FH152" s="128"/>
      <c r="FI152" s="128"/>
      <c r="FJ152" s="128"/>
      <c r="FK152" s="129"/>
      <c r="FL152" s="108"/>
      <c r="FM152" s="54"/>
      <c r="FN152" s="54"/>
      <c r="FO152" s="54"/>
      <c r="FP152" s="54"/>
      <c r="FQ152" s="54"/>
      <c r="FR152" s="54"/>
      <c r="FS152" s="54"/>
      <c r="FT152" s="54"/>
      <c r="FU152" s="54"/>
      <c r="FV152" s="54"/>
      <c r="FW152" s="54"/>
      <c r="FX152" s="54"/>
      <c r="FY152" s="54"/>
      <c r="FZ152" s="54"/>
      <c r="GA152" s="54"/>
      <c r="GB152" s="54"/>
      <c r="GC152" s="54"/>
      <c r="GD152" s="54"/>
      <c r="GE152" s="54"/>
      <c r="GF152" s="54"/>
      <c r="GG152" s="54"/>
      <c r="GH152" s="54"/>
      <c r="GI152" s="54"/>
      <c r="GJ152" s="54"/>
      <c r="GK152" s="54"/>
      <c r="GL152" s="54"/>
      <c r="GM152" s="54"/>
      <c r="GN152" s="54"/>
      <c r="GO152" s="54"/>
      <c r="GP152" s="54"/>
      <c r="GQ152" s="54"/>
      <c r="GR152" s="54"/>
      <c r="GS152" s="54"/>
      <c r="GT152" s="54"/>
      <c r="GU152" s="54"/>
      <c r="GV152" s="54"/>
      <c r="GW152" s="54"/>
      <c r="GX152" s="54"/>
      <c r="GY152" s="54"/>
      <c r="GZ152" s="54"/>
      <c r="HA152" s="54"/>
      <c r="HB152" s="54"/>
      <c r="HC152" s="54"/>
      <c r="HD152" s="54"/>
      <c r="HE152" s="54"/>
      <c r="HF152" s="54"/>
      <c r="HG152" s="54"/>
      <c r="HH152" s="54"/>
      <c r="HI152" s="54"/>
      <c r="HJ152" s="54"/>
      <c r="HK152" s="54"/>
      <c r="HL152" s="54"/>
      <c r="HM152" s="54"/>
      <c r="HN152" s="54"/>
      <c r="HO152" s="54"/>
      <c r="HP152" s="54"/>
      <c r="HQ152" s="54"/>
      <c r="HR152" s="54"/>
      <c r="HS152" s="54"/>
      <c r="HT152" s="54"/>
      <c r="HU152" s="54"/>
      <c r="HV152" s="54"/>
      <c r="HW152" s="54"/>
      <c r="HX152" s="54"/>
      <c r="HY152" s="54"/>
      <c r="HZ152" s="54"/>
      <c r="IA152" s="54"/>
      <c r="IB152" s="54"/>
      <c r="IC152" s="54"/>
      <c r="ID152" s="54"/>
      <c r="IE152" s="54"/>
      <c r="IF152" s="54"/>
      <c r="IG152" s="54"/>
      <c r="IH152" s="54"/>
      <c r="II152" s="54"/>
      <c r="IJ152" s="54"/>
      <c r="IK152" s="54"/>
      <c r="IL152" s="54"/>
      <c r="IM152" s="54"/>
      <c r="IN152" s="54"/>
      <c r="IO152" s="54"/>
      <c r="IP152" s="54"/>
      <c r="IQ152" s="54"/>
      <c r="IR152" s="54"/>
      <c r="IS152" s="54"/>
      <c r="IT152" s="54"/>
      <c r="IU152" s="54"/>
      <c r="IV152" s="54"/>
      <c r="IW152" s="54"/>
      <c r="IX152" s="54"/>
      <c r="IY152" s="54"/>
      <c r="IZ152" s="54"/>
      <c r="JA152" s="54"/>
      <c r="JB152" s="54"/>
      <c r="JC152" s="54"/>
      <c r="JD152" s="54"/>
      <c r="JE152" s="54"/>
      <c r="JF152" s="54"/>
      <c r="JG152" s="54"/>
      <c r="JH152" s="54"/>
      <c r="JI152" s="54"/>
      <c r="JJ152" s="54"/>
      <c r="JK152" s="54"/>
      <c r="JL152" s="54"/>
      <c r="JM152" s="54"/>
      <c r="JN152" s="54"/>
      <c r="JO152" s="54"/>
      <c r="JP152" s="54"/>
      <c r="JQ152" s="54"/>
      <c r="JR152" s="54"/>
      <c r="JS152" s="54"/>
      <c r="JT152" s="54"/>
      <c r="JU152" s="54"/>
      <c r="JV152" s="54"/>
      <c r="JW152" s="54"/>
      <c r="JX152" s="54"/>
      <c r="JY152" s="54"/>
      <c r="JZ152" s="54"/>
      <c r="KA152" s="54"/>
      <c r="KB152" s="54"/>
      <c r="KC152" s="54"/>
      <c r="KD152" s="54"/>
      <c r="KE152" s="54"/>
      <c r="KF152" s="54"/>
      <c r="KG152" s="54"/>
      <c r="KH152" s="54"/>
      <c r="KI152" s="54"/>
      <c r="KJ152" s="54"/>
      <c r="KK152" s="54"/>
      <c r="KL152" s="54"/>
      <c r="KM152" s="54"/>
      <c r="KN152" s="54"/>
      <c r="KO152" s="54"/>
      <c r="KP152" s="54"/>
      <c r="KQ152" s="54"/>
      <c r="KR152" s="54"/>
      <c r="KS152" s="54"/>
      <c r="KT152" s="54"/>
      <c r="KU152" s="54"/>
      <c r="KV152" s="54"/>
      <c r="KW152" s="54"/>
      <c r="KX152" s="54"/>
    </row>
    <row r="153" ht="5.2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c r="BU153" s="54"/>
      <c r="BV153" s="54"/>
      <c r="BW153" s="54"/>
      <c r="BX153" s="54"/>
      <c r="BY153" s="54"/>
      <c r="BZ153" s="54"/>
      <c r="CA153" s="54"/>
      <c r="CB153" s="54"/>
      <c r="CC153" s="54"/>
      <c r="CD153" s="54"/>
      <c r="CE153" s="54"/>
      <c r="CF153" s="54"/>
      <c r="CG153" s="54"/>
      <c r="CH153" s="54"/>
      <c r="CI153" s="54"/>
      <c r="CJ153" s="54"/>
      <c r="CK153" s="54"/>
      <c r="CL153" s="54"/>
      <c r="CM153" s="54"/>
      <c r="CN153" s="54"/>
      <c r="CO153" s="54"/>
      <c r="CP153" s="54"/>
      <c r="CQ153" s="54"/>
      <c r="CR153" s="54"/>
      <c r="CS153" s="54"/>
      <c r="CT153" s="54"/>
      <c r="CU153" s="54"/>
      <c r="CV153" s="54"/>
      <c r="CW153" s="54"/>
      <c r="CX153" s="54"/>
      <c r="CY153" s="54"/>
      <c r="CZ153" s="54"/>
      <c r="DA153" s="54"/>
      <c r="DB153" s="54"/>
      <c r="DC153" s="119" t="str">
        <f>if(or(BX77=0,EJ77=0),"",qualreseeding!AC67)</f>
        <v/>
      </c>
      <c r="DD153" s="130" t="str">
        <f t="array" ref="DD153">xlookup(DC153,qualdata!$M$2:$M$17,qualdata!$O$2:$O$17,"")</f>
        <v/>
      </c>
      <c r="DE153" s="8"/>
      <c r="DF153" s="8"/>
      <c r="DG153" s="8"/>
      <c r="DH153" s="93" t="str">
        <f t="array" ref="DH153">xlookup(DC153,qualdata!$M$2:$M$17,qualdata!$N$2:$N$17,"")</f>
        <v/>
      </c>
      <c r="DI153" s="8"/>
      <c r="DJ153" s="8"/>
      <c r="DK153" s="8"/>
      <c r="DL153" s="8"/>
      <c r="DM153" s="8"/>
      <c r="DN153" s="8"/>
      <c r="DO153" s="8"/>
      <c r="DP153" s="8"/>
      <c r="DQ153" s="8"/>
      <c r="DR153" s="8"/>
      <c r="DS153" s="8"/>
      <c r="DT153" s="8"/>
      <c r="DU153" s="8"/>
      <c r="DV153" s="8"/>
      <c r="DW153" s="8"/>
      <c r="DX153" s="8"/>
      <c r="DY153" s="8"/>
      <c r="DZ153" s="8"/>
      <c r="EA153" s="8"/>
      <c r="EB153" s="8"/>
      <c r="EC153" s="8"/>
      <c r="ED153" s="94"/>
      <c r="EE153" s="8"/>
      <c r="EF153" s="8"/>
      <c r="EG153" s="9"/>
      <c r="EH153" s="95"/>
      <c r="EI153" s="8"/>
      <c r="EJ153" s="8"/>
      <c r="EK153" s="8"/>
      <c r="EL153" s="96" t="str">
        <f t="array" ref="EL153">xlookup(FL153,qualdata!$M$2:$M$17,qualdata!$N$2:$N$17,"")</f>
        <v/>
      </c>
      <c r="EM153" s="8"/>
      <c r="EN153" s="8"/>
      <c r="EO153" s="8"/>
      <c r="EP153" s="8"/>
      <c r="EQ153" s="8"/>
      <c r="ER153" s="8"/>
      <c r="ES153" s="8"/>
      <c r="ET153" s="8"/>
      <c r="EU153" s="8"/>
      <c r="EV153" s="8"/>
      <c r="EW153" s="8"/>
      <c r="EX153" s="8"/>
      <c r="EY153" s="8"/>
      <c r="EZ153" s="8"/>
      <c r="FA153" s="8"/>
      <c r="FB153" s="8"/>
      <c r="FC153" s="8"/>
      <c r="FD153" s="8"/>
      <c r="FE153" s="8"/>
      <c r="FF153" s="8"/>
      <c r="FG153" s="8"/>
      <c r="FH153" s="131" t="str">
        <f t="array" ref="FH153">xlookup(FL153,qualdata!$M$2:$M$17,qualdata!$O$2:$O$17,"")</f>
        <v/>
      </c>
      <c r="FI153" s="8"/>
      <c r="FJ153" s="8"/>
      <c r="FK153" s="98"/>
      <c r="FL153" s="119" t="str">
        <f>if(or(BX77=0,EJ77=0),"",qualreseeding!AD67)</f>
        <v/>
      </c>
      <c r="FM153" s="54"/>
      <c r="FN153" s="54"/>
      <c r="FO153" s="54"/>
      <c r="FP153" s="54"/>
      <c r="FQ153" s="54"/>
      <c r="FR153" s="54"/>
      <c r="FS153" s="54"/>
      <c r="FT153" s="54"/>
      <c r="FU153" s="54"/>
      <c r="FV153" s="54"/>
      <c r="FW153" s="54"/>
      <c r="FX153" s="54"/>
      <c r="FY153" s="54"/>
      <c r="FZ153" s="54"/>
      <c r="GA153" s="54"/>
      <c r="GB153" s="54"/>
      <c r="GC153" s="54"/>
      <c r="GD153" s="54"/>
      <c r="GE153" s="54"/>
      <c r="GF153" s="54"/>
      <c r="GG153" s="54"/>
      <c r="GH153" s="54"/>
      <c r="GI153" s="54"/>
      <c r="GJ153" s="54"/>
      <c r="GK153" s="54"/>
      <c r="GL153" s="54"/>
      <c r="GM153" s="54"/>
      <c r="GN153" s="54"/>
      <c r="GO153" s="54"/>
      <c r="GP153" s="54"/>
      <c r="GQ153" s="54"/>
      <c r="GR153" s="54"/>
      <c r="GS153" s="54"/>
      <c r="GT153" s="54"/>
      <c r="GU153" s="54"/>
      <c r="GV153" s="54"/>
      <c r="GW153" s="54"/>
      <c r="GX153" s="54"/>
      <c r="GY153" s="54"/>
      <c r="GZ153" s="54"/>
      <c r="HA153" s="54"/>
      <c r="HB153" s="54"/>
      <c r="HC153" s="54"/>
      <c r="HD153" s="54"/>
      <c r="HE153" s="54"/>
      <c r="HF153" s="54"/>
      <c r="HG153" s="54"/>
      <c r="HH153" s="54"/>
      <c r="HI153" s="54"/>
      <c r="HJ153" s="54"/>
      <c r="HK153" s="54"/>
      <c r="HL153" s="54"/>
      <c r="HM153" s="54"/>
      <c r="HN153" s="54"/>
      <c r="HO153" s="54"/>
      <c r="HP153" s="54"/>
      <c r="HQ153" s="54"/>
      <c r="HR153" s="54"/>
      <c r="HS153" s="54"/>
      <c r="HT153" s="54"/>
      <c r="HU153" s="54"/>
      <c r="HV153" s="54"/>
      <c r="HW153" s="54"/>
      <c r="HX153" s="54"/>
      <c r="HY153" s="54"/>
      <c r="HZ153" s="54"/>
      <c r="IA153" s="54"/>
      <c r="IB153" s="54"/>
      <c r="IC153" s="54"/>
      <c r="ID153" s="54"/>
      <c r="IE153" s="54"/>
      <c r="IF153" s="54"/>
      <c r="IG153" s="54"/>
      <c r="IH153" s="54"/>
      <c r="II153" s="54"/>
      <c r="IJ153" s="54"/>
      <c r="IK153" s="54"/>
      <c r="IL153" s="54"/>
      <c r="IM153" s="54"/>
      <c r="IN153" s="54"/>
      <c r="IO153" s="54"/>
      <c r="IP153" s="54"/>
      <c r="IQ153" s="54"/>
      <c r="IR153" s="54"/>
      <c r="IS153" s="54"/>
      <c r="IT153" s="54"/>
      <c r="IU153" s="54"/>
      <c r="IV153" s="54"/>
      <c r="IW153" s="54"/>
      <c r="IX153" s="54"/>
      <c r="IY153" s="54"/>
      <c r="IZ153" s="54"/>
      <c r="JA153" s="54"/>
      <c r="JB153" s="54"/>
      <c r="JC153" s="54"/>
      <c r="JD153" s="54"/>
      <c r="JE153" s="54"/>
      <c r="JF153" s="54"/>
      <c r="JG153" s="54"/>
      <c r="JH153" s="54"/>
      <c r="JI153" s="54"/>
      <c r="JJ153" s="54"/>
      <c r="JK153" s="54"/>
      <c r="JL153" s="54"/>
      <c r="JM153" s="54"/>
      <c r="JN153" s="54"/>
      <c r="JO153" s="54"/>
      <c r="JP153" s="54"/>
      <c r="JQ153" s="54"/>
      <c r="JR153" s="54"/>
      <c r="JS153" s="54"/>
      <c r="JT153" s="54"/>
      <c r="JU153" s="54"/>
      <c r="JV153" s="54"/>
      <c r="JW153" s="54"/>
      <c r="JX153" s="54"/>
      <c r="JY153" s="54"/>
      <c r="JZ153" s="54"/>
      <c r="KA153" s="54"/>
      <c r="KB153" s="54"/>
      <c r="KC153" s="54"/>
      <c r="KD153" s="54"/>
      <c r="KE153" s="54"/>
      <c r="KF153" s="54"/>
      <c r="KG153" s="54"/>
      <c r="KH153" s="54"/>
      <c r="KI153" s="54"/>
      <c r="KJ153" s="54"/>
      <c r="KK153" s="54"/>
      <c r="KL153" s="54"/>
      <c r="KM153" s="54"/>
      <c r="KN153" s="54"/>
      <c r="KO153" s="54"/>
      <c r="KP153" s="54"/>
      <c r="KQ153" s="54"/>
      <c r="KR153" s="54"/>
      <c r="KS153" s="54"/>
      <c r="KT153" s="54"/>
      <c r="KU153" s="54"/>
      <c r="KV153" s="54"/>
      <c r="KW153" s="54"/>
      <c r="KX153" s="54"/>
    </row>
    <row r="154" ht="5.2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c r="BS154" s="54"/>
      <c r="BT154" s="54"/>
      <c r="BU154" s="54"/>
      <c r="BV154" s="54"/>
      <c r="BW154" s="54"/>
      <c r="BX154" s="54"/>
      <c r="BY154" s="54"/>
      <c r="BZ154" s="54"/>
      <c r="CA154" s="54"/>
      <c r="CB154" s="54"/>
      <c r="CC154" s="54"/>
      <c r="CD154" s="54"/>
      <c r="CE154" s="54"/>
      <c r="CF154" s="54"/>
      <c r="CG154" s="54"/>
      <c r="CH154" s="54"/>
      <c r="CI154" s="54"/>
      <c r="CJ154" s="54"/>
      <c r="CK154" s="54"/>
      <c r="CL154" s="54"/>
      <c r="CM154" s="54"/>
      <c r="CN154" s="54"/>
      <c r="CO154" s="54"/>
      <c r="CP154" s="54"/>
      <c r="CQ154" s="54"/>
      <c r="CR154" s="54"/>
      <c r="CS154" s="54"/>
      <c r="CT154" s="54"/>
      <c r="CU154" s="54"/>
      <c r="CV154" s="54"/>
      <c r="CW154" s="54"/>
      <c r="CX154" s="54"/>
      <c r="CY154" s="54"/>
      <c r="CZ154" s="54"/>
      <c r="DA154" s="54"/>
      <c r="DB154" s="54"/>
      <c r="DC154" s="108"/>
      <c r="DD154" s="60"/>
      <c r="EG154" s="11"/>
      <c r="EH154" s="10"/>
      <c r="FK154" s="61"/>
      <c r="FL154" s="108"/>
      <c r="FM154" s="54"/>
      <c r="FN154" s="54"/>
      <c r="FO154" s="54"/>
      <c r="FP154" s="54"/>
      <c r="FQ154" s="54"/>
      <c r="FR154" s="54"/>
      <c r="FS154" s="54"/>
      <c r="FT154" s="54"/>
      <c r="FU154" s="54"/>
      <c r="FV154" s="54"/>
      <c r="FW154" s="54"/>
      <c r="FX154" s="54"/>
      <c r="FY154" s="54"/>
      <c r="FZ154" s="54"/>
      <c r="GA154" s="54"/>
      <c r="GB154" s="54"/>
      <c r="GC154" s="54"/>
      <c r="GD154" s="54"/>
      <c r="GE154" s="54"/>
      <c r="GF154" s="54"/>
      <c r="GG154" s="54"/>
      <c r="GH154" s="54"/>
      <c r="GI154" s="54"/>
      <c r="GJ154" s="54"/>
      <c r="GK154" s="54"/>
      <c r="GL154" s="54"/>
      <c r="GM154" s="54"/>
      <c r="GN154" s="54"/>
      <c r="GO154" s="54"/>
      <c r="GP154" s="54"/>
      <c r="GQ154" s="54"/>
      <c r="GR154" s="54"/>
      <c r="GS154" s="54"/>
      <c r="GT154" s="54"/>
      <c r="GU154" s="54"/>
      <c r="GV154" s="54"/>
      <c r="GW154" s="54"/>
      <c r="GX154" s="54"/>
      <c r="GY154" s="54"/>
      <c r="GZ154" s="54"/>
      <c r="HA154" s="54"/>
      <c r="HB154" s="54"/>
      <c r="HC154" s="54"/>
      <c r="HD154" s="54"/>
      <c r="HE154" s="54"/>
      <c r="HF154" s="54"/>
      <c r="HG154" s="54"/>
      <c r="HH154" s="54"/>
      <c r="HI154" s="54"/>
      <c r="HJ154" s="54"/>
      <c r="HK154" s="54"/>
      <c r="HL154" s="54"/>
      <c r="HM154" s="54"/>
      <c r="HN154" s="54"/>
      <c r="HO154" s="54"/>
      <c r="HP154" s="54"/>
      <c r="HQ154" s="54"/>
      <c r="HR154" s="54"/>
      <c r="HS154" s="54"/>
      <c r="HT154" s="54"/>
      <c r="HU154" s="54"/>
      <c r="HV154" s="54"/>
      <c r="HW154" s="54"/>
      <c r="HX154" s="54"/>
      <c r="HY154" s="54"/>
      <c r="HZ154" s="54"/>
      <c r="IA154" s="54"/>
      <c r="IB154" s="54"/>
      <c r="IC154" s="54"/>
      <c r="ID154" s="54"/>
      <c r="IE154" s="54"/>
      <c r="IF154" s="54"/>
      <c r="IG154" s="54"/>
      <c r="IH154" s="54"/>
      <c r="II154" s="54"/>
      <c r="IJ154" s="54"/>
      <c r="IK154" s="54"/>
      <c r="IL154" s="54"/>
      <c r="IM154" s="54"/>
      <c r="IN154" s="54"/>
      <c r="IO154" s="54"/>
      <c r="IP154" s="54"/>
      <c r="IQ154" s="54"/>
      <c r="IR154" s="54"/>
      <c r="IS154" s="54"/>
      <c r="IT154" s="54"/>
      <c r="IU154" s="54"/>
      <c r="IV154" s="54"/>
      <c r="IW154" s="54"/>
      <c r="IX154" s="54"/>
      <c r="IY154" s="54"/>
      <c r="IZ154" s="54"/>
      <c r="JA154" s="54"/>
      <c r="JB154" s="54"/>
      <c r="JC154" s="54"/>
      <c r="JD154" s="54"/>
      <c r="JE154" s="54"/>
      <c r="JF154" s="54"/>
      <c r="JG154" s="54"/>
      <c r="JH154" s="54"/>
      <c r="JI154" s="54"/>
      <c r="JJ154" s="54"/>
      <c r="JK154" s="54"/>
      <c r="JL154" s="54"/>
      <c r="JM154" s="54"/>
      <c r="JN154" s="54"/>
      <c r="JO154" s="54"/>
      <c r="JP154" s="54"/>
      <c r="JQ154" s="54"/>
      <c r="JR154" s="54"/>
      <c r="JS154" s="54"/>
      <c r="JT154" s="54"/>
      <c r="JU154" s="54"/>
      <c r="JV154" s="54"/>
      <c r="JW154" s="54"/>
      <c r="JX154" s="54"/>
      <c r="JY154" s="54"/>
      <c r="JZ154" s="54"/>
      <c r="KA154" s="54"/>
      <c r="KB154" s="54"/>
      <c r="KC154" s="54"/>
      <c r="KD154" s="54"/>
      <c r="KE154" s="54"/>
      <c r="KF154" s="54"/>
      <c r="KG154" s="54"/>
      <c r="KH154" s="54"/>
      <c r="KI154" s="54"/>
      <c r="KJ154" s="54"/>
      <c r="KK154" s="54"/>
      <c r="KL154" s="54"/>
      <c r="KM154" s="54"/>
      <c r="KN154" s="54"/>
      <c r="KO154" s="54"/>
      <c r="KP154" s="54"/>
      <c r="KQ154" s="54"/>
      <c r="KR154" s="54"/>
      <c r="KS154" s="54"/>
      <c r="KT154" s="54"/>
      <c r="KU154" s="54"/>
      <c r="KV154" s="54"/>
      <c r="KW154" s="54"/>
      <c r="KX154" s="54"/>
    </row>
    <row r="155" ht="5.2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c r="BS155" s="54"/>
      <c r="BT155" s="54"/>
      <c r="BU155" s="54"/>
      <c r="BV155" s="54"/>
      <c r="BW155" s="54"/>
      <c r="BX155" s="54"/>
      <c r="BY155" s="54"/>
      <c r="BZ155" s="54"/>
      <c r="CA155" s="54"/>
      <c r="CB155" s="54"/>
      <c r="CC155" s="54"/>
      <c r="CD155" s="54"/>
      <c r="CE155" s="54"/>
      <c r="CF155" s="54"/>
      <c r="CG155" s="54"/>
      <c r="CH155" s="54"/>
      <c r="CI155" s="54"/>
      <c r="CJ155" s="54"/>
      <c r="CK155" s="54"/>
      <c r="CL155" s="54"/>
      <c r="CM155" s="54"/>
      <c r="CN155" s="54"/>
      <c r="CO155" s="54"/>
      <c r="CP155" s="54"/>
      <c r="CQ155" s="54"/>
      <c r="CR155" s="54"/>
      <c r="CS155" s="54"/>
      <c r="CT155" s="54"/>
      <c r="CU155" s="54"/>
      <c r="CV155" s="54"/>
      <c r="CW155" s="54"/>
      <c r="CX155" s="54"/>
      <c r="CY155" s="54"/>
      <c r="CZ155" s="54"/>
      <c r="DA155" s="54"/>
      <c r="DB155" s="54"/>
      <c r="DC155" s="108"/>
      <c r="DD155" s="60"/>
      <c r="EG155" s="11"/>
      <c r="EH155" s="10"/>
      <c r="FK155" s="61"/>
      <c r="FL155" s="108"/>
      <c r="FM155" s="54"/>
      <c r="FN155" s="54"/>
      <c r="FO155" s="54"/>
      <c r="FP155" s="54"/>
      <c r="FQ155" s="54"/>
      <c r="FR155" s="54"/>
      <c r="FS155" s="54"/>
      <c r="FT155" s="54"/>
      <c r="FU155" s="54"/>
      <c r="FV155" s="54"/>
      <c r="FW155" s="54"/>
      <c r="FX155" s="54"/>
      <c r="FY155" s="54"/>
      <c r="FZ155" s="54"/>
      <c r="GA155" s="54"/>
      <c r="GB155" s="54"/>
      <c r="GC155" s="54"/>
      <c r="GD155" s="54"/>
      <c r="GE155" s="54"/>
      <c r="GF155" s="54"/>
      <c r="GG155" s="54"/>
      <c r="GH155" s="54"/>
      <c r="GI155" s="54"/>
      <c r="GJ155" s="54"/>
      <c r="GK155" s="54"/>
      <c r="GL155" s="54"/>
      <c r="GM155" s="54"/>
      <c r="GN155" s="54"/>
      <c r="GO155" s="54"/>
      <c r="GP155" s="54"/>
      <c r="GQ155" s="54"/>
      <c r="GR155" s="54"/>
      <c r="GS155" s="54"/>
      <c r="GT155" s="54"/>
      <c r="GU155" s="54"/>
      <c r="GV155" s="54"/>
      <c r="GW155" s="54"/>
      <c r="GX155" s="54"/>
      <c r="GY155" s="54"/>
      <c r="GZ155" s="54"/>
      <c r="HA155" s="54"/>
      <c r="HB155" s="54"/>
      <c r="HC155" s="54"/>
      <c r="HD155" s="54"/>
      <c r="HE155" s="54"/>
      <c r="HF155" s="54"/>
      <c r="HG155" s="54"/>
      <c r="HH155" s="54"/>
      <c r="HI155" s="54"/>
      <c r="HJ155" s="54"/>
      <c r="HK155" s="54"/>
      <c r="HL155" s="54"/>
      <c r="HM155" s="54"/>
      <c r="HN155" s="54"/>
      <c r="HO155" s="54"/>
      <c r="HP155" s="54"/>
      <c r="HQ155" s="54"/>
      <c r="HR155" s="54"/>
      <c r="HS155" s="54"/>
      <c r="HT155" s="54"/>
      <c r="HU155" s="54"/>
      <c r="HV155" s="54"/>
      <c r="HW155" s="54"/>
      <c r="HX155" s="54"/>
      <c r="HY155" s="54"/>
      <c r="HZ155" s="54"/>
      <c r="IA155" s="54"/>
      <c r="IB155" s="54"/>
      <c r="IC155" s="54"/>
      <c r="ID155" s="54"/>
      <c r="IE155" s="54"/>
      <c r="IF155" s="54"/>
      <c r="IG155" s="54"/>
      <c r="IH155" s="54"/>
      <c r="II155" s="54"/>
      <c r="IJ155" s="54"/>
      <c r="IK155" s="54"/>
      <c r="IL155" s="54"/>
      <c r="IM155" s="54"/>
      <c r="IN155" s="54"/>
      <c r="IO155" s="54"/>
      <c r="IP155" s="54"/>
      <c r="IQ155" s="54"/>
      <c r="IR155" s="54"/>
      <c r="IS155" s="54"/>
      <c r="IT155" s="54"/>
      <c r="IU155" s="54"/>
      <c r="IV155" s="54"/>
      <c r="IW155" s="54"/>
      <c r="IX155" s="54"/>
      <c r="IY155" s="54"/>
      <c r="IZ155" s="54"/>
      <c r="JA155" s="54"/>
      <c r="JB155" s="54"/>
      <c r="JC155" s="54"/>
      <c r="JD155" s="54"/>
      <c r="JE155" s="54"/>
      <c r="JF155" s="54"/>
      <c r="JG155" s="54"/>
      <c r="JH155" s="54"/>
      <c r="JI155" s="54"/>
      <c r="JJ155" s="54"/>
      <c r="JK155" s="54"/>
      <c r="JL155" s="54"/>
      <c r="JM155" s="54"/>
      <c r="JN155" s="54"/>
      <c r="JO155" s="54"/>
      <c r="JP155" s="54"/>
      <c r="JQ155" s="54"/>
      <c r="JR155" s="54"/>
      <c r="JS155" s="54"/>
      <c r="JT155" s="54"/>
      <c r="JU155" s="54"/>
      <c r="JV155" s="54"/>
      <c r="JW155" s="54"/>
      <c r="JX155" s="54"/>
      <c r="JY155" s="54"/>
      <c r="JZ155" s="54"/>
      <c r="KA155" s="54"/>
      <c r="KB155" s="54"/>
      <c r="KC155" s="54"/>
      <c r="KD155" s="54"/>
      <c r="KE155" s="54"/>
      <c r="KF155" s="54"/>
      <c r="KG155" s="54"/>
      <c r="KH155" s="54"/>
      <c r="KI155" s="54"/>
      <c r="KJ155" s="54"/>
      <c r="KK155" s="54"/>
      <c r="KL155" s="54"/>
      <c r="KM155" s="54"/>
      <c r="KN155" s="54"/>
      <c r="KO155" s="54"/>
      <c r="KP155" s="54"/>
      <c r="KQ155" s="54"/>
      <c r="KR155" s="54"/>
      <c r="KS155" s="54"/>
      <c r="KT155" s="54"/>
      <c r="KU155" s="54"/>
      <c r="KV155" s="54"/>
      <c r="KW155" s="54"/>
      <c r="KX155" s="54"/>
    </row>
    <row r="156" ht="5.2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c r="BS156" s="54"/>
      <c r="BT156" s="54"/>
      <c r="BU156" s="54"/>
      <c r="BV156" s="54"/>
      <c r="BW156" s="54"/>
      <c r="BX156" s="54"/>
      <c r="BY156" s="54"/>
      <c r="BZ156" s="54"/>
      <c r="CA156" s="54"/>
      <c r="CB156" s="54"/>
      <c r="CC156" s="54"/>
      <c r="CD156" s="54"/>
      <c r="CE156" s="54"/>
      <c r="CF156" s="54"/>
      <c r="CG156" s="54"/>
      <c r="CH156" s="54"/>
      <c r="CI156" s="54"/>
      <c r="CJ156" s="54"/>
      <c r="CK156" s="54"/>
      <c r="CL156" s="54"/>
      <c r="CM156" s="54"/>
      <c r="CN156" s="54"/>
      <c r="CO156" s="54"/>
      <c r="CP156" s="54"/>
      <c r="CQ156" s="54"/>
      <c r="CR156" s="54"/>
      <c r="CS156" s="54"/>
      <c r="CT156" s="54"/>
      <c r="CU156" s="54"/>
      <c r="CV156" s="54"/>
      <c r="CW156" s="54"/>
      <c r="CX156" s="54"/>
      <c r="CY156" s="54"/>
      <c r="CZ156" s="54"/>
      <c r="DA156" s="54"/>
      <c r="DB156" s="54"/>
      <c r="DC156" s="108"/>
      <c r="DD156" s="60"/>
      <c r="EG156" s="11"/>
      <c r="EH156" s="10"/>
      <c r="FK156" s="61"/>
      <c r="FL156" s="108"/>
      <c r="FM156" s="54"/>
      <c r="FN156" s="54"/>
      <c r="FO156" s="54"/>
      <c r="FP156" s="54"/>
      <c r="FQ156" s="54"/>
      <c r="FR156" s="54"/>
      <c r="FS156" s="54"/>
      <c r="FT156" s="54"/>
      <c r="FU156" s="54"/>
      <c r="FV156" s="54"/>
      <c r="FW156" s="54"/>
      <c r="FX156" s="54"/>
      <c r="FY156" s="54"/>
      <c r="FZ156" s="54"/>
      <c r="GA156" s="54"/>
      <c r="GB156" s="54"/>
      <c r="GC156" s="54"/>
      <c r="GD156" s="54"/>
      <c r="GE156" s="54"/>
      <c r="GF156" s="54"/>
      <c r="GG156" s="54"/>
      <c r="GH156" s="54"/>
      <c r="GI156" s="54"/>
      <c r="GJ156" s="54"/>
      <c r="GK156" s="54"/>
      <c r="GL156" s="54"/>
      <c r="GM156" s="54"/>
      <c r="GN156" s="54"/>
      <c r="GO156" s="54"/>
      <c r="GP156" s="54"/>
      <c r="GQ156" s="54"/>
      <c r="GR156" s="54"/>
      <c r="GS156" s="54"/>
      <c r="GT156" s="54"/>
      <c r="GU156" s="54"/>
      <c r="GV156" s="54"/>
      <c r="GW156" s="54"/>
      <c r="GX156" s="54"/>
      <c r="GY156" s="54"/>
      <c r="GZ156" s="54"/>
      <c r="HA156" s="54"/>
      <c r="HB156" s="54"/>
      <c r="HC156" s="54"/>
      <c r="HD156" s="54"/>
      <c r="HE156" s="54"/>
      <c r="HF156" s="54"/>
      <c r="HG156" s="54"/>
      <c r="HH156" s="54"/>
      <c r="HI156" s="54"/>
      <c r="HJ156" s="54"/>
      <c r="HK156" s="54"/>
      <c r="HL156" s="54"/>
      <c r="HM156" s="54"/>
      <c r="HN156" s="54"/>
      <c r="HO156" s="54"/>
      <c r="HP156" s="54"/>
      <c r="HQ156" s="54"/>
      <c r="HR156" s="54"/>
      <c r="HS156" s="54"/>
      <c r="HT156" s="54"/>
      <c r="HU156" s="54"/>
      <c r="HV156" s="54"/>
      <c r="HW156" s="54"/>
      <c r="HX156" s="54"/>
      <c r="HY156" s="54"/>
      <c r="HZ156" s="54"/>
      <c r="IA156" s="54"/>
      <c r="IB156" s="54"/>
      <c r="IC156" s="54"/>
      <c r="ID156" s="54"/>
      <c r="IE156" s="54"/>
      <c r="IF156" s="54"/>
      <c r="IG156" s="54"/>
      <c r="IH156" s="54"/>
      <c r="II156" s="54"/>
      <c r="IJ156" s="54"/>
      <c r="IK156" s="54"/>
      <c r="IL156" s="54"/>
      <c r="IM156" s="54"/>
      <c r="IN156" s="54"/>
      <c r="IO156" s="54"/>
      <c r="IP156" s="54"/>
      <c r="IQ156" s="54"/>
      <c r="IR156" s="54"/>
      <c r="IS156" s="54"/>
      <c r="IT156" s="54"/>
      <c r="IU156" s="54"/>
      <c r="IV156" s="54"/>
      <c r="IW156" s="54"/>
      <c r="IX156" s="54"/>
      <c r="IY156" s="54"/>
      <c r="IZ156" s="54"/>
      <c r="JA156" s="54"/>
      <c r="JB156" s="54"/>
      <c r="JC156" s="54"/>
      <c r="JD156" s="54"/>
      <c r="JE156" s="54"/>
      <c r="JF156" s="54"/>
      <c r="JG156" s="54"/>
      <c r="JH156" s="54"/>
      <c r="JI156" s="54"/>
      <c r="JJ156" s="54"/>
      <c r="JK156" s="54"/>
      <c r="JL156" s="54"/>
      <c r="JM156" s="54"/>
      <c r="JN156" s="54"/>
      <c r="JO156" s="54"/>
      <c r="JP156" s="54"/>
      <c r="JQ156" s="54"/>
      <c r="JR156" s="54"/>
      <c r="JS156" s="54"/>
      <c r="JT156" s="54"/>
      <c r="JU156" s="54"/>
      <c r="JV156" s="54"/>
      <c r="JW156" s="54"/>
      <c r="JX156" s="54"/>
      <c r="JY156" s="54"/>
      <c r="JZ156" s="54"/>
      <c r="KA156" s="54"/>
      <c r="KB156" s="54"/>
      <c r="KC156" s="54"/>
      <c r="KD156" s="54"/>
      <c r="KE156" s="54"/>
      <c r="KF156" s="54"/>
      <c r="KG156" s="54"/>
      <c r="KH156" s="54"/>
      <c r="KI156" s="54"/>
      <c r="KJ156" s="54"/>
      <c r="KK156" s="54"/>
      <c r="KL156" s="54"/>
      <c r="KM156" s="54"/>
      <c r="KN156" s="54"/>
      <c r="KO156" s="54"/>
      <c r="KP156" s="54"/>
      <c r="KQ156" s="54"/>
      <c r="KR156" s="54"/>
      <c r="KS156" s="54"/>
      <c r="KT156" s="54"/>
      <c r="KU156" s="54"/>
      <c r="KV156" s="54"/>
      <c r="KW156" s="54"/>
      <c r="KX156" s="54"/>
    </row>
    <row r="157" ht="5.2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c r="BS157" s="54"/>
      <c r="BT157" s="54"/>
      <c r="BU157" s="54"/>
      <c r="BV157" s="54"/>
      <c r="BW157" s="54"/>
      <c r="BX157" s="54"/>
      <c r="BY157" s="54"/>
      <c r="BZ157" s="54"/>
      <c r="CA157" s="54"/>
      <c r="CB157" s="54"/>
      <c r="CC157" s="54"/>
      <c r="CD157" s="54"/>
      <c r="CE157" s="54"/>
      <c r="CF157" s="54"/>
      <c r="CG157" s="54"/>
      <c r="CH157" s="54"/>
      <c r="CI157" s="54"/>
      <c r="CJ157" s="54"/>
      <c r="CK157" s="54"/>
      <c r="CL157" s="54"/>
      <c r="CM157" s="54"/>
      <c r="CN157" s="54"/>
      <c r="CO157" s="54"/>
      <c r="CP157" s="54"/>
      <c r="CQ157" s="54"/>
      <c r="CR157" s="54"/>
      <c r="CS157" s="54"/>
      <c r="CT157" s="54"/>
      <c r="CU157" s="54"/>
      <c r="CV157" s="54"/>
      <c r="CW157" s="54"/>
      <c r="CX157" s="54"/>
      <c r="CY157" s="54"/>
      <c r="CZ157" s="54"/>
      <c r="DA157" s="54"/>
      <c r="DB157" s="54"/>
      <c r="DC157" s="119" t="str">
        <f>DC153</f>
        <v/>
      </c>
      <c r="DD157" s="112"/>
      <c r="DL157" s="135"/>
      <c r="DN157" s="11"/>
      <c r="DO157" s="127"/>
      <c r="DQ157" s="11"/>
      <c r="DR157" s="139"/>
      <c r="DU157" s="108"/>
      <c r="ED157" s="85">
        <f>sum(DL157:DT159)</f>
        <v>0</v>
      </c>
      <c r="EG157" s="11"/>
      <c r="EH157" s="86">
        <f>sum(EU157:FC159)</f>
        <v>0</v>
      </c>
      <c r="EL157" s="108"/>
      <c r="EM157" s="108"/>
      <c r="EN157" s="108"/>
      <c r="EO157" s="108"/>
      <c r="EP157" s="108"/>
      <c r="EQ157" s="108"/>
      <c r="ER157" s="108"/>
      <c r="ES157" s="108"/>
      <c r="ET157" s="108"/>
      <c r="EU157" s="134"/>
      <c r="EW157" s="11"/>
      <c r="EX157" s="126"/>
      <c r="EZ157" s="11"/>
      <c r="FA157" s="127"/>
      <c r="FD157" s="108"/>
      <c r="FE157" s="108"/>
      <c r="FF157" s="108"/>
      <c r="FG157" s="108"/>
      <c r="FH157" s="108"/>
      <c r="FI157" s="108"/>
      <c r="FJ157" s="108"/>
      <c r="FK157" s="116"/>
      <c r="FL157" s="119" t="str">
        <f>FL153</f>
        <v/>
      </c>
      <c r="FM157" s="54"/>
      <c r="FN157" s="54"/>
      <c r="FO157" s="54"/>
      <c r="FP157" s="54"/>
      <c r="FQ157" s="54"/>
      <c r="FR157" s="54"/>
      <c r="FS157" s="54"/>
      <c r="FT157" s="54"/>
      <c r="FU157" s="54"/>
      <c r="FV157" s="54"/>
      <c r="FW157" s="54"/>
      <c r="FX157" s="54"/>
      <c r="FY157" s="54"/>
      <c r="FZ157" s="54"/>
      <c r="GA157" s="54"/>
      <c r="GB157" s="54"/>
      <c r="GC157" s="54"/>
      <c r="GD157" s="54"/>
      <c r="GE157" s="54"/>
      <c r="GF157" s="54"/>
      <c r="GG157" s="54"/>
      <c r="GH157" s="54"/>
      <c r="GI157" s="54"/>
      <c r="GJ157" s="54"/>
      <c r="GK157" s="54"/>
      <c r="GL157" s="54"/>
      <c r="GM157" s="54"/>
      <c r="GN157" s="54"/>
      <c r="GO157" s="54"/>
      <c r="GP157" s="54"/>
      <c r="GQ157" s="54"/>
      <c r="GR157" s="54"/>
      <c r="GS157" s="54"/>
      <c r="GT157" s="54"/>
      <c r="GU157" s="54"/>
      <c r="GV157" s="54"/>
      <c r="GW157" s="54"/>
      <c r="GX157" s="54"/>
      <c r="GY157" s="54"/>
      <c r="GZ157" s="54"/>
      <c r="HA157" s="54"/>
      <c r="HB157" s="54"/>
      <c r="HC157" s="54"/>
      <c r="HD157" s="54"/>
      <c r="HE157" s="54"/>
      <c r="HF157" s="54"/>
      <c r="HG157" s="54"/>
      <c r="HH157" s="54"/>
      <c r="HI157" s="54"/>
      <c r="HJ157" s="54"/>
      <c r="HK157" s="54"/>
      <c r="HL157" s="54"/>
      <c r="HM157" s="54"/>
      <c r="HN157" s="54"/>
      <c r="HO157" s="54"/>
      <c r="HP157" s="54"/>
      <c r="HQ157" s="54"/>
      <c r="HR157" s="54"/>
      <c r="HS157" s="54"/>
      <c r="HT157" s="54"/>
      <c r="HU157" s="54"/>
      <c r="HV157" s="54"/>
      <c r="HW157" s="54"/>
      <c r="HX157" s="54"/>
      <c r="HY157" s="54"/>
      <c r="HZ157" s="54"/>
      <c r="IA157" s="54"/>
      <c r="IB157" s="54"/>
      <c r="IC157" s="54"/>
      <c r="ID157" s="54"/>
      <c r="IE157" s="54"/>
      <c r="IF157" s="54"/>
      <c r="IG157" s="54"/>
      <c r="IH157" s="54"/>
      <c r="II157" s="54"/>
      <c r="IJ157" s="54"/>
      <c r="IK157" s="54"/>
      <c r="IL157" s="54"/>
      <c r="IM157" s="54"/>
      <c r="IN157" s="54"/>
      <c r="IO157" s="54"/>
      <c r="IP157" s="54"/>
      <c r="IQ157" s="54"/>
      <c r="IR157" s="54"/>
      <c r="IS157" s="54"/>
      <c r="IT157" s="54"/>
      <c r="IU157" s="54"/>
      <c r="IV157" s="54"/>
      <c r="IW157" s="54"/>
      <c r="IX157" s="54"/>
      <c r="IY157" s="54"/>
      <c r="IZ157" s="54"/>
      <c r="JA157" s="54"/>
      <c r="JB157" s="54"/>
      <c r="JC157" s="54"/>
      <c r="JD157" s="54"/>
      <c r="JE157" s="54"/>
      <c r="JF157" s="54"/>
      <c r="JG157" s="54"/>
      <c r="JH157" s="54"/>
      <c r="JI157" s="54"/>
      <c r="JJ157" s="54"/>
      <c r="JK157" s="54"/>
      <c r="JL157" s="54"/>
      <c r="JM157" s="54"/>
      <c r="JN157" s="54"/>
      <c r="JO157" s="54"/>
      <c r="JP157" s="54"/>
      <c r="JQ157" s="54"/>
      <c r="JR157" s="54"/>
      <c r="JS157" s="54"/>
      <c r="JT157" s="54"/>
      <c r="JU157" s="54"/>
      <c r="JV157" s="54"/>
      <c r="JW157" s="54"/>
      <c r="JX157" s="54"/>
      <c r="JY157" s="54"/>
      <c r="JZ157" s="54"/>
      <c r="KA157" s="54"/>
      <c r="KB157" s="54"/>
      <c r="KC157" s="54"/>
      <c r="KD157" s="54"/>
      <c r="KE157" s="54"/>
      <c r="KF157" s="54"/>
      <c r="KG157" s="54"/>
      <c r="KH157" s="54"/>
      <c r="KI157" s="54"/>
      <c r="KJ157" s="54"/>
      <c r="KK157" s="54"/>
      <c r="KL157" s="54"/>
      <c r="KM157" s="54"/>
      <c r="KN157" s="54"/>
      <c r="KO157" s="54"/>
      <c r="KP157" s="54"/>
      <c r="KQ157" s="54"/>
      <c r="KR157" s="54"/>
      <c r="KS157" s="54"/>
      <c r="KT157" s="54"/>
      <c r="KU157" s="54"/>
      <c r="KV157" s="54"/>
      <c r="KW157" s="54"/>
      <c r="KX157" s="54"/>
    </row>
    <row r="158" ht="5.2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c r="BS158" s="54"/>
      <c r="BT158" s="54"/>
      <c r="BU158" s="54"/>
      <c r="BV158" s="54"/>
      <c r="BW158" s="54"/>
      <c r="BX158" s="54"/>
      <c r="BY158" s="54"/>
      <c r="BZ158" s="54"/>
      <c r="CA158" s="54"/>
      <c r="CB158" s="54"/>
      <c r="CC158" s="54"/>
      <c r="CD158" s="54"/>
      <c r="CE158" s="54"/>
      <c r="CF158" s="54"/>
      <c r="CG158" s="54"/>
      <c r="CH158" s="54"/>
      <c r="CI158" s="54"/>
      <c r="CJ158" s="54"/>
      <c r="CK158" s="54"/>
      <c r="CL158" s="54"/>
      <c r="CM158" s="54"/>
      <c r="CN158" s="54"/>
      <c r="CO158" s="54"/>
      <c r="CP158" s="54"/>
      <c r="CQ158" s="54"/>
      <c r="CR158" s="54"/>
      <c r="CS158" s="54"/>
      <c r="CT158" s="54"/>
      <c r="CU158" s="54"/>
      <c r="CV158" s="54"/>
      <c r="CW158" s="54"/>
      <c r="CX158" s="54"/>
      <c r="CY158" s="54"/>
      <c r="CZ158" s="54"/>
      <c r="DA158" s="54"/>
      <c r="DB158" s="54"/>
      <c r="DC158" s="108"/>
      <c r="DD158" s="60"/>
      <c r="DN158" s="11"/>
      <c r="DO158" s="10"/>
      <c r="DQ158" s="11"/>
      <c r="DR158" s="10"/>
      <c r="EG158" s="11"/>
      <c r="EH158" s="10"/>
      <c r="EL158" s="108"/>
      <c r="EM158" s="108"/>
      <c r="EN158" s="108"/>
      <c r="EO158" s="108"/>
      <c r="EP158" s="108"/>
      <c r="EQ158" s="108"/>
      <c r="ER158" s="108"/>
      <c r="ES158" s="108"/>
      <c r="ET158" s="108"/>
      <c r="EW158" s="11"/>
      <c r="EX158" s="10"/>
      <c r="EZ158" s="11"/>
      <c r="FA158" s="10"/>
      <c r="FD158" s="108"/>
      <c r="FE158" s="108"/>
      <c r="FF158" s="108"/>
      <c r="FG158" s="108"/>
      <c r="FH158" s="108"/>
      <c r="FI158" s="108"/>
      <c r="FJ158" s="108"/>
      <c r="FK158" s="116"/>
      <c r="FL158" s="108"/>
      <c r="FM158" s="54"/>
      <c r="FN158" s="54"/>
      <c r="FO158" s="54"/>
      <c r="FP158" s="54"/>
      <c r="FQ158" s="54"/>
      <c r="FR158" s="54"/>
      <c r="FS158" s="54"/>
      <c r="FT158" s="54"/>
      <c r="FU158" s="54"/>
      <c r="FV158" s="54"/>
      <c r="FW158" s="54"/>
      <c r="FX158" s="54"/>
      <c r="FY158" s="54"/>
      <c r="FZ158" s="54"/>
      <c r="GA158" s="54"/>
      <c r="GB158" s="54"/>
      <c r="GC158" s="54"/>
      <c r="GD158" s="54"/>
      <c r="GE158" s="54"/>
      <c r="GF158" s="54"/>
      <c r="GG158" s="54"/>
      <c r="GH158" s="54"/>
      <c r="GI158" s="54"/>
      <c r="GJ158" s="54"/>
      <c r="GK158" s="54"/>
      <c r="GL158" s="54"/>
      <c r="GM158" s="54"/>
      <c r="GN158" s="54"/>
      <c r="GO158" s="54"/>
      <c r="GP158" s="54"/>
      <c r="GQ158" s="54"/>
      <c r="GR158" s="54"/>
      <c r="GS158" s="54"/>
      <c r="GT158" s="54"/>
      <c r="GU158" s="54"/>
      <c r="GV158" s="54"/>
      <c r="GW158" s="54"/>
      <c r="GX158" s="54"/>
      <c r="GY158" s="54"/>
      <c r="GZ158" s="54"/>
      <c r="HA158" s="54"/>
      <c r="HB158" s="54"/>
      <c r="HC158" s="54"/>
      <c r="HD158" s="54"/>
      <c r="HE158" s="54"/>
      <c r="HF158" s="54"/>
      <c r="HG158" s="54"/>
      <c r="HH158" s="54"/>
      <c r="HI158" s="54"/>
      <c r="HJ158" s="54"/>
      <c r="HK158" s="54"/>
      <c r="HL158" s="54"/>
      <c r="HM158" s="54"/>
      <c r="HN158" s="54"/>
      <c r="HO158" s="54"/>
      <c r="HP158" s="54"/>
      <c r="HQ158" s="54"/>
      <c r="HR158" s="54"/>
      <c r="HS158" s="54"/>
      <c r="HT158" s="54"/>
      <c r="HU158" s="54"/>
      <c r="HV158" s="54"/>
      <c r="HW158" s="54"/>
      <c r="HX158" s="54"/>
      <c r="HY158" s="54"/>
      <c r="HZ158" s="54"/>
      <c r="IA158" s="54"/>
      <c r="IB158" s="54"/>
      <c r="IC158" s="54"/>
      <c r="ID158" s="54"/>
      <c r="IE158" s="54"/>
      <c r="IF158" s="54"/>
      <c r="IG158" s="54"/>
      <c r="IH158" s="54"/>
      <c r="II158" s="54"/>
      <c r="IJ158" s="54"/>
      <c r="IK158" s="54"/>
      <c r="IL158" s="54"/>
      <c r="IM158" s="54"/>
      <c r="IN158" s="54"/>
      <c r="IO158" s="54"/>
      <c r="IP158" s="54"/>
      <c r="IQ158" s="54"/>
      <c r="IR158" s="54"/>
      <c r="IS158" s="54"/>
      <c r="IT158" s="54"/>
      <c r="IU158" s="54"/>
      <c r="IV158" s="54"/>
      <c r="IW158" s="54"/>
      <c r="IX158" s="54"/>
      <c r="IY158" s="54"/>
      <c r="IZ158" s="54"/>
      <c r="JA158" s="54"/>
      <c r="JB158" s="54"/>
      <c r="JC158" s="54"/>
      <c r="JD158" s="54"/>
      <c r="JE158" s="54"/>
      <c r="JF158" s="54"/>
      <c r="JG158" s="54"/>
      <c r="JH158" s="54"/>
      <c r="JI158" s="54"/>
      <c r="JJ158" s="54"/>
      <c r="JK158" s="54"/>
      <c r="JL158" s="54"/>
      <c r="JM158" s="54"/>
      <c r="JN158" s="54"/>
      <c r="JO158" s="54"/>
      <c r="JP158" s="54"/>
      <c r="JQ158" s="54"/>
      <c r="JR158" s="54"/>
      <c r="JS158" s="54"/>
      <c r="JT158" s="54"/>
      <c r="JU158" s="54"/>
      <c r="JV158" s="54"/>
      <c r="JW158" s="54"/>
      <c r="JX158" s="54"/>
      <c r="JY158" s="54"/>
      <c r="JZ158" s="54"/>
      <c r="KA158" s="54"/>
      <c r="KB158" s="54"/>
      <c r="KC158" s="54"/>
      <c r="KD158" s="54"/>
      <c r="KE158" s="54"/>
      <c r="KF158" s="54"/>
      <c r="KG158" s="54"/>
      <c r="KH158" s="54"/>
      <c r="KI158" s="54"/>
      <c r="KJ158" s="54"/>
      <c r="KK158" s="54"/>
      <c r="KL158" s="54"/>
      <c r="KM158" s="54"/>
      <c r="KN158" s="54"/>
      <c r="KO158" s="54"/>
      <c r="KP158" s="54"/>
      <c r="KQ158" s="54"/>
      <c r="KR158" s="54"/>
      <c r="KS158" s="54"/>
      <c r="KT158" s="54"/>
      <c r="KU158" s="54"/>
      <c r="KV158" s="54"/>
      <c r="KW158" s="54"/>
      <c r="KX158" s="54"/>
    </row>
    <row r="159" ht="5.2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54"/>
      <c r="BU159" s="54"/>
      <c r="BV159" s="54"/>
      <c r="BW159" s="54"/>
      <c r="BX159" s="54"/>
      <c r="BY159" s="54"/>
      <c r="BZ159" s="54"/>
      <c r="CA159" s="54"/>
      <c r="CB159" s="54"/>
      <c r="CC159" s="54"/>
      <c r="CD159" s="54"/>
      <c r="CE159" s="54"/>
      <c r="CF159" s="54"/>
      <c r="CG159" s="54"/>
      <c r="CH159" s="54"/>
      <c r="CI159" s="54"/>
      <c r="CJ159" s="54"/>
      <c r="CK159" s="54"/>
      <c r="CL159" s="54"/>
      <c r="CM159" s="54"/>
      <c r="CN159" s="54"/>
      <c r="CO159" s="54"/>
      <c r="CP159" s="54"/>
      <c r="CQ159" s="54"/>
      <c r="CR159" s="54"/>
      <c r="CS159" s="54"/>
      <c r="CT159" s="54"/>
      <c r="CU159" s="54"/>
      <c r="CV159" s="54"/>
      <c r="CW159" s="54"/>
      <c r="CX159" s="54"/>
      <c r="CY159" s="54"/>
      <c r="CZ159" s="54"/>
      <c r="DA159" s="54"/>
      <c r="DB159" s="54"/>
      <c r="DC159" s="108"/>
      <c r="DD159" s="101"/>
      <c r="DE159" s="102"/>
      <c r="DF159" s="102"/>
      <c r="DG159" s="102"/>
      <c r="DH159" s="102"/>
      <c r="DI159" s="102"/>
      <c r="DJ159" s="102"/>
      <c r="DK159" s="102"/>
      <c r="DL159" s="102"/>
      <c r="DM159" s="102"/>
      <c r="DN159" s="103"/>
      <c r="DO159" s="104"/>
      <c r="DP159" s="102"/>
      <c r="DQ159" s="103"/>
      <c r="DR159" s="104"/>
      <c r="DS159" s="102"/>
      <c r="DT159" s="102"/>
      <c r="DU159" s="102"/>
      <c r="DV159" s="102"/>
      <c r="DW159" s="102"/>
      <c r="DX159" s="102"/>
      <c r="DY159" s="102"/>
      <c r="DZ159" s="102"/>
      <c r="EA159" s="102"/>
      <c r="EB159" s="102"/>
      <c r="EC159" s="102"/>
      <c r="ED159" s="102"/>
      <c r="EE159" s="102"/>
      <c r="EF159" s="102"/>
      <c r="EG159" s="103"/>
      <c r="EH159" s="104"/>
      <c r="EI159" s="102"/>
      <c r="EJ159" s="102"/>
      <c r="EK159" s="102"/>
      <c r="EL159" s="137"/>
      <c r="EM159" s="137"/>
      <c r="EN159" s="137"/>
      <c r="EO159" s="137"/>
      <c r="EP159" s="137"/>
      <c r="EQ159" s="137"/>
      <c r="ER159" s="137"/>
      <c r="ES159" s="137"/>
      <c r="ET159" s="137"/>
      <c r="EU159" s="102"/>
      <c r="EV159" s="102"/>
      <c r="EW159" s="103"/>
      <c r="EX159" s="104"/>
      <c r="EY159" s="102"/>
      <c r="EZ159" s="103"/>
      <c r="FA159" s="104"/>
      <c r="FB159" s="102"/>
      <c r="FC159" s="102"/>
      <c r="FD159" s="137"/>
      <c r="FE159" s="137"/>
      <c r="FF159" s="137"/>
      <c r="FG159" s="137"/>
      <c r="FH159" s="137"/>
      <c r="FI159" s="137"/>
      <c r="FJ159" s="137"/>
      <c r="FK159" s="138"/>
      <c r="FL159" s="108"/>
      <c r="FM159" s="54"/>
      <c r="FN159" s="54"/>
      <c r="FO159" s="54"/>
      <c r="FP159" s="54"/>
      <c r="FQ159" s="54"/>
      <c r="FR159" s="54"/>
      <c r="FS159" s="54"/>
      <c r="FT159" s="54"/>
      <c r="FU159" s="54"/>
      <c r="FV159" s="54"/>
      <c r="FW159" s="54"/>
      <c r="FX159" s="54"/>
      <c r="FY159" s="54"/>
      <c r="FZ159" s="54"/>
      <c r="GA159" s="54"/>
      <c r="GB159" s="54"/>
      <c r="GC159" s="54"/>
      <c r="GD159" s="54"/>
      <c r="GE159" s="54"/>
      <c r="GF159" s="54"/>
      <c r="GG159" s="54"/>
      <c r="GH159" s="54"/>
      <c r="GI159" s="54"/>
      <c r="GJ159" s="54"/>
      <c r="GK159" s="54"/>
      <c r="GL159" s="54"/>
      <c r="GM159" s="54"/>
      <c r="GN159" s="54"/>
      <c r="GO159" s="54"/>
      <c r="GP159" s="54"/>
      <c r="GQ159" s="54"/>
      <c r="GR159" s="54"/>
      <c r="GS159" s="54"/>
      <c r="GT159" s="54"/>
      <c r="GU159" s="54"/>
      <c r="GV159" s="54"/>
      <c r="GW159" s="54"/>
      <c r="GX159" s="54"/>
      <c r="GY159" s="54"/>
      <c r="GZ159" s="54"/>
      <c r="HA159" s="54"/>
      <c r="HB159" s="54"/>
      <c r="HC159" s="54"/>
      <c r="HD159" s="54"/>
      <c r="HE159" s="54"/>
      <c r="HF159" s="54"/>
      <c r="HG159" s="54"/>
      <c r="HH159" s="54"/>
      <c r="HI159" s="54"/>
      <c r="HJ159" s="54"/>
      <c r="HK159" s="54"/>
      <c r="HL159" s="54"/>
      <c r="HM159" s="54"/>
      <c r="HN159" s="54"/>
      <c r="HO159" s="54"/>
      <c r="HP159" s="54"/>
      <c r="HQ159" s="54"/>
      <c r="HR159" s="54"/>
      <c r="HS159" s="54"/>
      <c r="HT159" s="54"/>
      <c r="HU159" s="54"/>
      <c r="HV159" s="54"/>
      <c r="HW159" s="54"/>
      <c r="HX159" s="54"/>
      <c r="HY159" s="54"/>
      <c r="HZ159" s="54"/>
      <c r="IA159" s="54"/>
      <c r="IB159" s="54"/>
      <c r="IC159" s="54"/>
      <c r="ID159" s="54"/>
      <c r="IE159" s="54"/>
      <c r="IF159" s="54"/>
      <c r="IG159" s="54"/>
      <c r="IH159" s="54"/>
      <c r="II159" s="54"/>
      <c r="IJ159" s="54"/>
      <c r="IK159" s="54"/>
      <c r="IL159" s="54"/>
      <c r="IM159" s="54"/>
      <c r="IN159" s="54"/>
      <c r="IO159" s="54"/>
      <c r="IP159" s="54"/>
      <c r="IQ159" s="54"/>
      <c r="IR159" s="54"/>
      <c r="IS159" s="54"/>
      <c r="IT159" s="54"/>
      <c r="IU159" s="54"/>
      <c r="IV159" s="54"/>
      <c r="IW159" s="54"/>
      <c r="IX159" s="54"/>
      <c r="IY159" s="54"/>
      <c r="IZ159" s="54"/>
      <c r="JA159" s="54"/>
      <c r="JB159" s="54"/>
      <c r="JC159" s="54"/>
      <c r="JD159" s="54"/>
      <c r="JE159" s="54"/>
      <c r="JF159" s="54"/>
      <c r="JG159" s="54"/>
      <c r="JH159" s="54"/>
      <c r="JI159" s="54"/>
      <c r="JJ159" s="54"/>
      <c r="JK159" s="54"/>
      <c r="JL159" s="54"/>
      <c r="JM159" s="54"/>
      <c r="JN159" s="54"/>
      <c r="JO159" s="54"/>
      <c r="JP159" s="54"/>
      <c r="JQ159" s="54"/>
      <c r="JR159" s="54"/>
      <c r="JS159" s="54"/>
      <c r="JT159" s="54"/>
      <c r="JU159" s="54"/>
      <c r="JV159" s="54"/>
      <c r="JW159" s="54"/>
      <c r="JX159" s="54"/>
      <c r="JY159" s="54"/>
      <c r="JZ159" s="54"/>
      <c r="KA159" s="54"/>
      <c r="KB159" s="54"/>
      <c r="KC159" s="54"/>
      <c r="KD159" s="54"/>
      <c r="KE159" s="54"/>
      <c r="KF159" s="54"/>
      <c r="KG159" s="54"/>
      <c r="KH159" s="54"/>
      <c r="KI159" s="54"/>
      <c r="KJ159" s="54"/>
      <c r="KK159" s="54"/>
      <c r="KL159" s="54"/>
      <c r="KM159" s="54"/>
      <c r="KN159" s="54"/>
      <c r="KO159" s="54"/>
      <c r="KP159" s="54"/>
      <c r="KQ159" s="54"/>
      <c r="KR159" s="54"/>
      <c r="KS159" s="54"/>
      <c r="KT159" s="54"/>
      <c r="KU159" s="54"/>
      <c r="KV159" s="54"/>
      <c r="KW159" s="54"/>
      <c r="KX159" s="54"/>
    </row>
    <row r="160" ht="5.2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c r="BS160" s="54"/>
      <c r="BT160" s="54"/>
      <c r="BU160" s="54"/>
      <c r="BV160" s="54"/>
      <c r="BW160" s="54"/>
      <c r="BX160" s="54"/>
      <c r="BY160" s="54"/>
      <c r="BZ160" s="54"/>
      <c r="CA160" s="54"/>
      <c r="CB160" s="54"/>
      <c r="CC160" s="54"/>
      <c r="CD160" s="54"/>
      <c r="CE160" s="54"/>
      <c r="CF160" s="54"/>
      <c r="CG160" s="54"/>
      <c r="CH160" s="54"/>
      <c r="CI160" s="54"/>
      <c r="CJ160" s="54"/>
      <c r="CK160" s="54"/>
      <c r="CL160" s="54"/>
      <c r="CM160" s="54"/>
      <c r="CN160" s="54"/>
      <c r="CO160" s="54"/>
      <c r="CP160" s="54"/>
      <c r="CQ160" s="54"/>
      <c r="CR160" s="54"/>
      <c r="CS160" s="54"/>
      <c r="CT160" s="54"/>
      <c r="CU160" s="54"/>
      <c r="CV160" s="54"/>
      <c r="CW160" s="54"/>
      <c r="CX160" s="54"/>
      <c r="CY160" s="54"/>
      <c r="CZ160" s="54"/>
      <c r="DA160" s="54"/>
      <c r="DB160" s="54"/>
      <c r="DC160" s="54"/>
      <c r="DD160" s="54"/>
      <c r="DE160" s="54"/>
      <c r="DF160" s="54"/>
      <c r="DG160" s="54"/>
      <c r="DH160" s="54"/>
      <c r="DI160" s="54"/>
      <c r="DJ160" s="54"/>
      <c r="DK160" s="54"/>
      <c r="DL160" s="54"/>
      <c r="DM160" s="54"/>
      <c r="DN160" s="54"/>
      <c r="DO160" s="54"/>
      <c r="DP160" s="54"/>
      <c r="DQ160" s="54"/>
      <c r="DR160" s="54"/>
      <c r="DS160" s="54"/>
      <c r="DT160" s="54"/>
      <c r="DU160" s="54"/>
      <c r="DV160" s="54"/>
      <c r="DW160" s="54"/>
      <c r="DX160" s="54"/>
      <c r="DY160" s="54"/>
      <c r="DZ160" s="54"/>
      <c r="EA160" s="54"/>
      <c r="EB160" s="54"/>
      <c r="EC160" s="54"/>
      <c r="ED160" s="54"/>
      <c r="EE160" s="54"/>
      <c r="EF160" s="54"/>
      <c r="EG160" s="54"/>
      <c r="EH160" s="54"/>
      <c r="EI160" s="54"/>
      <c r="EJ160" s="54"/>
      <c r="EK160" s="54"/>
      <c r="EL160" s="54"/>
      <c r="EM160" s="54"/>
      <c r="EN160" s="54"/>
      <c r="EO160" s="54"/>
      <c r="EP160" s="54"/>
      <c r="EQ160" s="54"/>
      <c r="ER160" s="54"/>
      <c r="ES160" s="54"/>
      <c r="ET160" s="54"/>
      <c r="EU160" s="54"/>
      <c r="EV160" s="54"/>
      <c r="EW160" s="54"/>
      <c r="EX160" s="54"/>
      <c r="EY160" s="54"/>
      <c r="EZ160" s="54"/>
      <c r="FA160" s="54"/>
      <c r="FB160" s="54"/>
      <c r="FC160" s="54"/>
      <c r="FD160" s="54"/>
      <c r="FE160" s="54"/>
      <c r="FF160" s="54"/>
      <c r="FG160" s="54"/>
      <c r="FH160" s="54"/>
      <c r="FI160" s="54"/>
      <c r="FJ160" s="54"/>
      <c r="FK160" s="54"/>
      <c r="FL160" s="54"/>
      <c r="FM160" s="54"/>
      <c r="FN160" s="54"/>
      <c r="FO160" s="54"/>
      <c r="FP160" s="54"/>
      <c r="FQ160" s="54"/>
      <c r="FR160" s="54"/>
      <c r="FS160" s="54"/>
      <c r="FT160" s="54"/>
      <c r="FU160" s="54"/>
      <c r="FV160" s="54"/>
      <c r="FW160" s="54"/>
      <c r="FX160" s="54"/>
      <c r="FY160" s="54"/>
      <c r="FZ160" s="54"/>
      <c r="GA160" s="54"/>
      <c r="GB160" s="54"/>
      <c r="GC160" s="54"/>
      <c r="GD160" s="54"/>
      <c r="GE160" s="54"/>
      <c r="GF160" s="54"/>
      <c r="GG160" s="54"/>
      <c r="GH160" s="54"/>
      <c r="GI160" s="54"/>
      <c r="GJ160" s="54"/>
      <c r="GK160" s="54"/>
      <c r="GL160" s="54"/>
      <c r="GM160" s="54"/>
      <c r="GN160" s="54"/>
      <c r="GO160" s="54"/>
      <c r="GP160" s="54"/>
      <c r="GQ160" s="54"/>
      <c r="GR160" s="54"/>
      <c r="GS160" s="54"/>
      <c r="GT160" s="54"/>
      <c r="GU160" s="54"/>
      <c r="GV160" s="54"/>
      <c r="GW160" s="54"/>
      <c r="GX160" s="54"/>
      <c r="GY160" s="54"/>
      <c r="GZ160" s="54"/>
      <c r="HA160" s="54"/>
      <c r="HB160" s="54"/>
      <c r="HC160" s="54"/>
      <c r="HD160" s="54"/>
      <c r="HE160" s="54"/>
      <c r="HF160" s="54"/>
      <c r="HG160" s="54"/>
      <c r="HH160" s="54"/>
      <c r="HI160" s="54"/>
      <c r="HJ160" s="54"/>
      <c r="HK160" s="54"/>
      <c r="HL160" s="54"/>
      <c r="HM160" s="54"/>
      <c r="HN160" s="54"/>
      <c r="HO160" s="54"/>
      <c r="HP160" s="54"/>
      <c r="HQ160" s="54"/>
      <c r="HR160" s="54"/>
      <c r="HS160" s="54"/>
      <c r="HT160" s="54"/>
      <c r="HU160" s="54"/>
      <c r="HV160" s="54"/>
      <c r="HW160" s="54"/>
      <c r="HX160" s="54"/>
      <c r="HY160" s="54"/>
      <c r="HZ160" s="54"/>
      <c r="IA160" s="54"/>
      <c r="IB160" s="54"/>
      <c r="IC160" s="54"/>
      <c r="ID160" s="54"/>
      <c r="IE160" s="54"/>
      <c r="IF160" s="54"/>
      <c r="IG160" s="54"/>
      <c r="IH160" s="54"/>
      <c r="II160" s="54"/>
      <c r="IJ160" s="54"/>
      <c r="IK160" s="54"/>
      <c r="IL160" s="54"/>
      <c r="IM160" s="54"/>
      <c r="IN160" s="54"/>
      <c r="IO160" s="54"/>
      <c r="IP160" s="54"/>
      <c r="IQ160" s="54"/>
      <c r="IR160" s="54"/>
      <c r="IS160" s="54"/>
      <c r="IT160" s="54"/>
      <c r="IU160" s="54"/>
      <c r="IV160" s="54"/>
      <c r="IW160" s="54"/>
      <c r="IX160" s="54"/>
      <c r="IY160" s="54"/>
      <c r="IZ160" s="54"/>
      <c r="JA160" s="54"/>
      <c r="JB160" s="54"/>
      <c r="JC160" s="54"/>
      <c r="JD160" s="54"/>
      <c r="JE160" s="54"/>
      <c r="JF160" s="54"/>
      <c r="JG160" s="54"/>
      <c r="JH160" s="54"/>
      <c r="JI160" s="54"/>
      <c r="JJ160" s="54"/>
      <c r="JK160" s="54"/>
      <c r="JL160" s="54"/>
      <c r="JM160" s="54"/>
      <c r="JN160" s="54"/>
      <c r="JO160" s="54"/>
      <c r="JP160" s="54"/>
      <c r="JQ160" s="54"/>
      <c r="JR160" s="54"/>
      <c r="JS160" s="54"/>
      <c r="JT160" s="54"/>
      <c r="JU160" s="54"/>
      <c r="JV160" s="54"/>
      <c r="JW160" s="54"/>
      <c r="JX160" s="54"/>
      <c r="JY160" s="54"/>
      <c r="JZ160" s="54"/>
      <c r="KA160" s="54"/>
      <c r="KB160" s="54"/>
      <c r="KC160" s="54"/>
      <c r="KD160" s="54"/>
      <c r="KE160" s="54"/>
      <c r="KF160" s="54"/>
      <c r="KG160" s="54"/>
      <c r="KH160" s="54"/>
      <c r="KI160" s="54"/>
      <c r="KJ160" s="54"/>
      <c r="KK160" s="54"/>
      <c r="KL160" s="54"/>
      <c r="KM160" s="54"/>
      <c r="KN160" s="54"/>
      <c r="KO160" s="54"/>
      <c r="KP160" s="54"/>
      <c r="KQ160" s="54"/>
      <c r="KR160" s="54"/>
      <c r="KS160" s="54"/>
      <c r="KT160" s="54"/>
      <c r="KU160" s="54"/>
      <c r="KV160" s="54"/>
      <c r="KW160" s="54"/>
      <c r="KX160" s="54"/>
    </row>
    <row r="161" ht="5.2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54"/>
      <c r="BU161" s="54"/>
      <c r="BV161" s="54"/>
      <c r="BW161" s="54"/>
      <c r="BX161" s="54"/>
      <c r="BY161" s="54"/>
      <c r="BZ161" s="54"/>
      <c r="CA161" s="54"/>
      <c r="CB161" s="54"/>
      <c r="CC161" s="54"/>
      <c r="CD161" s="54"/>
      <c r="CE161" s="54"/>
      <c r="CF161" s="54"/>
      <c r="CG161" s="54"/>
      <c r="CH161" s="54"/>
      <c r="CI161" s="54"/>
      <c r="CJ161" s="54"/>
      <c r="CK161" s="54"/>
      <c r="CL161" s="54"/>
      <c r="CM161" s="54"/>
      <c r="CN161" s="54"/>
      <c r="CO161" s="54"/>
      <c r="CP161" s="54"/>
      <c r="CQ161" s="54"/>
      <c r="CR161" s="54"/>
      <c r="CS161" s="54"/>
      <c r="CT161" s="54"/>
      <c r="CU161" s="54"/>
      <c r="CV161" s="54"/>
      <c r="CW161" s="54"/>
      <c r="CX161" s="54"/>
      <c r="CY161" s="54"/>
      <c r="CZ161" s="54"/>
      <c r="DA161" s="54"/>
      <c r="DB161" s="54"/>
      <c r="DC161" s="54"/>
      <c r="DD161" s="54"/>
      <c r="DE161" s="54"/>
      <c r="DF161" s="54"/>
      <c r="DG161" s="54"/>
      <c r="DH161" s="54"/>
      <c r="DI161" s="54"/>
      <c r="DJ161" s="54"/>
      <c r="DK161" s="54"/>
      <c r="DL161" s="54"/>
      <c r="DM161" s="54"/>
      <c r="DN161" s="54"/>
      <c r="DO161" s="54"/>
      <c r="DP161" s="54"/>
      <c r="DQ161" s="54"/>
      <c r="DR161" s="54"/>
      <c r="DS161" s="54"/>
      <c r="DT161" s="54"/>
      <c r="DU161" s="54"/>
      <c r="DV161" s="54"/>
      <c r="DW161" s="54"/>
      <c r="DX161" s="54"/>
      <c r="DY161" s="54"/>
      <c r="DZ161" s="54"/>
      <c r="EA161" s="54"/>
      <c r="EB161" s="54"/>
      <c r="EC161" s="54"/>
      <c r="ED161" s="54"/>
      <c r="EE161" s="54"/>
      <c r="EF161" s="54"/>
      <c r="EG161" s="54"/>
      <c r="EH161" s="54"/>
      <c r="EI161" s="54"/>
      <c r="EJ161" s="54"/>
      <c r="EK161" s="54"/>
      <c r="EL161" s="54"/>
      <c r="EM161" s="54"/>
      <c r="EN161" s="54"/>
      <c r="EO161" s="54"/>
      <c r="EP161" s="54"/>
      <c r="EQ161" s="54"/>
      <c r="ER161" s="54"/>
      <c r="ES161" s="54"/>
      <c r="ET161" s="54"/>
      <c r="EU161" s="54"/>
      <c r="EV161" s="54"/>
      <c r="EW161" s="54"/>
      <c r="EX161" s="54"/>
      <c r="EY161" s="54"/>
      <c r="EZ161" s="54"/>
      <c r="FA161" s="54"/>
      <c r="FB161" s="54"/>
      <c r="FC161" s="54"/>
      <c r="FD161" s="54"/>
      <c r="FE161" s="54"/>
      <c r="FF161" s="54"/>
      <c r="FG161" s="54"/>
      <c r="FH161" s="54"/>
      <c r="FI161" s="54"/>
      <c r="FJ161" s="54"/>
      <c r="FK161" s="54"/>
      <c r="FL161" s="54"/>
      <c r="FM161" s="54"/>
      <c r="FN161" s="54"/>
      <c r="FO161" s="54"/>
      <c r="FP161" s="54"/>
      <c r="FQ161" s="54"/>
      <c r="FR161" s="54"/>
      <c r="FS161" s="54"/>
      <c r="FT161" s="54"/>
      <c r="FU161" s="54"/>
      <c r="FV161" s="54"/>
      <c r="FW161" s="54"/>
      <c r="FX161" s="54"/>
      <c r="FY161" s="54"/>
      <c r="FZ161" s="54"/>
      <c r="GA161" s="54"/>
      <c r="GB161" s="54"/>
      <c r="GC161" s="54"/>
      <c r="GD161" s="54"/>
      <c r="GE161" s="54"/>
      <c r="GF161" s="54"/>
      <c r="GG161" s="54"/>
      <c r="GH161" s="54"/>
      <c r="GI161" s="54"/>
      <c r="GJ161" s="54"/>
      <c r="GK161" s="54"/>
      <c r="GL161" s="54"/>
      <c r="GM161" s="54"/>
      <c r="GN161" s="54"/>
      <c r="GO161" s="54"/>
      <c r="GP161" s="54"/>
      <c r="GQ161" s="54"/>
      <c r="GR161" s="54"/>
      <c r="GS161" s="54"/>
      <c r="GT161" s="54"/>
      <c r="GU161" s="54"/>
      <c r="GV161" s="54"/>
      <c r="GW161" s="54"/>
      <c r="GX161" s="54"/>
      <c r="GY161" s="54"/>
      <c r="GZ161" s="54"/>
      <c r="HA161" s="54"/>
      <c r="HB161" s="54"/>
      <c r="HC161" s="54"/>
      <c r="HD161" s="54"/>
      <c r="HE161" s="54"/>
      <c r="HF161" s="54"/>
      <c r="HG161" s="54"/>
      <c r="HH161" s="54"/>
      <c r="HI161" s="54"/>
      <c r="HJ161" s="54"/>
      <c r="HK161" s="54"/>
      <c r="HL161" s="54"/>
      <c r="HM161" s="54"/>
      <c r="HN161" s="54"/>
      <c r="HO161" s="54"/>
      <c r="HP161" s="54"/>
      <c r="HQ161" s="54"/>
      <c r="HR161" s="54"/>
      <c r="HS161" s="54"/>
      <c r="HT161" s="54"/>
      <c r="HU161" s="54"/>
      <c r="HV161" s="54"/>
      <c r="HW161" s="54"/>
      <c r="HX161" s="54"/>
      <c r="HY161" s="54"/>
      <c r="HZ161" s="54"/>
      <c r="IA161" s="54"/>
      <c r="IB161" s="54"/>
      <c r="IC161" s="54"/>
      <c r="ID161" s="54"/>
      <c r="IE161" s="54"/>
      <c r="IF161" s="54"/>
      <c r="IG161" s="54"/>
      <c r="IH161" s="54"/>
      <c r="II161" s="54"/>
      <c r="IJ161" s="54"/>
      <c r="IK161" s="54"/>
      <c r="IL161" s="54"/>
      <c r="IM161" s="54"/>
      <c r="IN161" s="54"/>
      <c r="IO161" s="54"/>
      <c r="IP161" s="54"/>
      <c r="IQ161" s="54"/>
      <c r="IR161" s="54"/>
      <c r="IS161" s="54"/>
      <c r="IT161" s="54"/>
      <c r="IU161" s="54"/>
      <c r="IV161" s="54"/>
      <c r="IW161" s="54"/>
      <c r="IX161" s="54"/>
      <c r="IY161" s="54"/>
      <c r="IZ161" s="54"/>
      <c r="JA161" s="54"/>
      <c r="JB161" s="54"/>
      <c r="JC161" s="54"/>
      <c r="JD161" s="54"/>
      <c r="JE161" s="54"/>
      <c r="JF161" s="54"/>
      <c r="JG161" s="54"/>
      <c r="JH161" s="54"/>
      <c r="JI161" s="54"/>
      <c r="JJ161" s="54"/>
      <c r="JK161" s="54"/>
      <c r="JL161" s="54"/>
      <c r="JM161" s="54"/>
      <c r="JN161" s="54"/>
      <c r="JO161" s="54"/>
      <c r="JP161" s="54"/>
      <c r="JQ161" s="54"/>
      <c r="JR161" s="54"/>
      <c r="JS161" s="54"/>
      <c r="JT161" s="54"/>
      <c r="JU161" s="54"/>
      <c r="JV161" s="54"/>
      <c r="JW161" s="54"/>
      <c r="JX161" s="54"/>
      <c r="JY161" s="54"/>
      <c r="JZ161" s="54"/>
      <c r="KA161" s="54"/>
      <c r="KB161" s="54"/>
      <c r="KC161" s="54"/>
      <c r="KD161" s="54"/>
      <c r="KE161" s="54"/>
      <c r="KF161" s="54"/>
      <c r="KG161" s="54"/>
      <c r="KH161" s="54"/>
      <c r="KI161" s="54"/>
      <c r="KJ161" s="54"/>
      <c r="KK161" s="54"/>
      <c r="KL161" s="54"/>
      <c r="KM161" s="54"/>
      <c r="KN161" s="54"/>
      <c r="KO161" s="54"/>
      <c r="KP161" s="54"/>
      <c r="KQ161" s="54"/>
      <c r="KR161" s="54"/>
      <c r="KS161" s="54"/>
      <c r="KT161" s="54"/>
      <c r="KU161" s="54"/>
      <c r="KV161" s="54"/>
      <c r="KW161" s="54"/>
      <c r="KX161" s="54"/>
    </row>
    <row r="162" ht="5.2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c r="BS162" s="54"/>
      <c r="BT162" s="54"/>
      <c r="BU162" s="54"/>
      <c r="BV162" s="54"/>
      <c r="BW162" s="54"/>
      <c r="BX162" s="54"/>
      <c r="BY162" s="54"/>
      <c r="BZ162" s="54"/>
      <c r="CA162" s="54"/>
      <c r="CB162" s="54"/>
      <c r="CC162" s="54"/>
      <c r="CD162" s="54"/>
      <c r="CE162" s="54"/>
      <c r="CF162" s="54"/>
      <c r="CG162" s="54"/>
      <c r="CH162" s="54"/>
      <c r="CI162" s="54"/>
      <c r="CJ162" s="54"/>
      <c r="CK162" s="54"/>
      <c r="CL162" s="54"/>
      <c r="CM162" s="54"/>
      <c r="CN162" s="54"/>
      <c r="CO162" s="54"/>
      <c r="CP162" s="54"/>
      <c r="CQ162" s="54"/>
      <c r="CR162" s="54"/>
      <c r="CS162" s="54"/>
      <c r="CT162" s="54"/>
      <c r="CU162" s="54"/>
      <c r="CV162" s="54"/>
      <c r="CW162" s="54"/>
      <c r="CX162" s="54"/>
      <c r="CY162" s="54"/>
      <c r="CZ162" s="54"/>
      <c r="DA162" s="54"/>
      <c r="DB162" s="54"/>
      <c r="DC162" s="54"/>
      <c r="DD162" s="54"/>
      <c r="DE162" s="54"/>
      <c r="DF162" s="54"/>
      <c r="DG162" s="54"/>
      <c r="DH162" s="54"/>
      <c r="DI162" s="54"/>
      <c r="DJ162" s="54"/>
      <c r="DK162" s="54"/>
      <c r="DL162" s="54"/>
      <c r="DM162" s="54"/>
      <c r="DN162" s="54"/>
      <c r="DO162" s="54"/>
      <c r="DP162" s="54"/>
      <c r="DQ162" s="54"/>
      <c r="DR162" s="54"/>
      <c r="DS162" s="54"/>
      <c r="DT162" s="54"/>
      <c r="DU162" s="54"/>
      <c r="DV162" s="54"/>
      <c r="DW162" s="54"/>
      <c r="DX162" s="54"/>
      <c r="DY162" s="54"/>
      <c r="DZ162" s="54"/>
      <c r="EA162" s="54"/>
      <c r="EB162" s="54"/>
      <c r="EC162" s="54"/>
      <c r="ED162" s="54"/>
      <c r="EE162" s="54"/>
      <c r="EF162" s="54"/>
      <c r="EG162" s="54"/>
      <c r="EH162" s="54"/>
      <c r="EI162" s="54"/>
      <c r="EJ162" s="54"/>
      <c r="EK162" s="54"/>
      <c r="EL162" s="54"/>
      <c r="EM162" s="54"/>
      <c r="EN162" s="54"/>
      <c r="EO162" s="54"/>
      <c r="EP162" s="54"/>
      <c r="EQ162" s="54"/>
      <c r="ER162" s="54"/>
      <c r="ES162" s="54"/>
      <c r="ET162" s="54"/>
      <c r="EU162" s="54"/>
      <c r="EV162" s="54"/>
      <c r="EW162" s="54"/>
      <c r="EX162" s="54"/>
      <c r="EY162" s="54"/>
      <c r="EZ162" s="54"/>
      <c r="FA162" s="54"/>
      <c r="FB162" s="54"/>
      <c r="FC162" s="54"/>
      <c r="FD162" s="54"/>
      <c r="FE162" s="54"/>
      <c r="FF162" s="54"/>
      <c r="FG162" s="54"/>
      <c r="FH162" s="54"/>
      <c r="FI162" s="54"/>
      <c r="FJ162" s="54"/>
      <c r="FK162" s="54"/>
      <c r="FL162" s="54"/>
      <c r="FM162" s="54"/>
      <c r="FN162" s="54"/>
      <c r="FO162" s="54"/>
      <c r="FP162" s="54"/>
      <c r="FQ162" s="54"/>
      <c r="FR162" s="54"/>
      <c r="FS162" s="54"/>
      <c r="FT162" s="54"/>
      <c r="FU162" s="54"/>
      <c r="FV162" s="54"/>
      <c r="FW162" s="54"/>
      <c r="FX162" s="54"/>
      <c r="FY162" s="54"/>
      <c r="FZ162" s="54"/>
      <c r="GA162" s="54"/>
      <c r="GB162" s="54"/>
      <c r="GC162" s="54"/>
      <c r="GD162" s="54"/>
      <c r="GE162" s="54"/>
      <c r="GF162" s="54"/>
      <c r="GG162" s="54"/>
      <c r="GH162" s="54"/>
      <c r="GI162" s="54"/>
      <c r="GJ162" s="54"/>
      <c r="GK162" s="54"/>
      <c r="GL162" s="54"/>
      <c r="GM162" s="54"/>
      <c r="GN162" s="54"/>
      <c r="GO162" s="54"/>
      <c r="GP162" s="54"/>
      <c r="GQ162" s="54"/>
      <c r="GR162" s="54"/>
      <c r="GS162" s="54"/>
      <c r="GT162" s="54"/>
      <c r="GU162" s="54"/>
      <c r="GV162" s="54"/>
      <c r="GW162" s="54"/>
      <c r="GX162" s="54"/>
      <c r="GY162" s="54"/>
      <c r="GZ162" s="54"/>
      <c r="HA162" s="54"/>
      <c r="HB162" s="54"/>
      <c r="HC162" s="54"/>
      <c r="HD162" s="54"/>
      <c r="HE162" s="54"/>
      <c r="HF162" s="54"/>
      <c r="HG162" s="54"/>
      <c r="HH162" s="54"/>
      <c r="HI162" s="54"/>
      <c r="HJ162" s="54"/>
      <c r="HK162" s="54"/>
      <c r="HL162" s="54"/>
      <c r="HM162" s="54"/>
      <c r="HN162" s="54"/>
      <c r="HO162" s="54"/>
      <c r="HP162" s="54"/>
      <c r="HQ162" s="54"/>
      <c r="HR162" s="54"/>
      <c r="HS162" s="54"/>
      <c r="HT162" s="54"/>
      <c r="HU162" s="54"/>
      <c r="HV162" s="54"/>
      <c r="HW162" s="54"/>
      <c r="HX162" s="54"/>
      <c r="HY162" s="54"/>
      <c r="HZ162" s="54"/>
      <c r="IA162" s="54"/>
      <c r="IB162" s="54"/>
      <c r="IC162" s="54"/>
      <c r="ID162" s="54"/>
      <c r="IE162" s="54"/>
      <c r="IF162" s="54"/>
      <c r="IG162" s="54"/>
      <c r="IH162" s="54"/>
      <c r="II162" s="54"/>
      <c r="IJ162" s="54"/>
      <c r="IK162" s="54"/>
      <c r="IL162" s="54"/>
      <c r="IM162" s="54"/>
      <c r="IN162" s="54"/>
      <c r="IO162" s="54"/>
      <c r="IP162" s="54"/>
      <c r="IQ162" s="54"/>
      <c r="IR162" s="54"/>
      <c r="IS162" s="54"/>
      <c r="IT162" s="54"/>
      <c r="IU162" s="54"/>
      <c r="IV162" s="54"/>
      <c r="IW162" s="54"/>
      <c r="IX162" s="54"/>
      <c r="IY162" s="54"/>
      <c r="IZ162" s="54"/>
      <c r="JA162" s="54"/>
      <c r="JB162" s="54"/>
      <c r="JC162" s="54"/>
      <c r="JD162" s="54"/>
      <c r="JE162" s="54"/>
      <c r="JF162" s="54"/>
      <c r="JG162" s="54"/>
      <c r="JH162" s="54"/>
      <c r="JI162" s="54"/>
      <c r="JJ162" s="54"/>
      <c r="JK162" s="54"/>
      <c r="JL162" s="54"/>
      <c r="JM162" s="54"/>
      <c r="JN162" s="54"/>
      <c r="JO162" s="54"/>
      <c r="JP162" s="54"/>
      <c r="JQ162" s="54"/>
      <c r="JR162" s="54"/>
      <c r="JS162" s="54"/>
      <c r="JT162" s="54"/>
      <c r="JU162" s="54"/>
      <c r="JV162" s="54"/>
      <c r="JW162" s="54"/>
      <c r="JX162" s="54"/>
      <c r="JY162" s="54"/>
      <c r="JZ162" s="54"/>
      <c r="KA162" s="54"/>
      <c r="KB162" s="54"/>
      <c r="KC162" s="54"/>
      <c r="KD162" s="54"/>
      <c r="KE162" s="54"/>
      <c r="KF162" s="54"/>
      <c r="KG162" s="54"/>
      <c r="KH162" s="54"/>
      <c r="KI162" s="54"/>
      <c r="KJ162" s="54"/>
      <c r="KK162" s="54"/>
      <c r="KL162" s="54"/>
      <c r="KM162" s="54"/>
      <c r="KN162" s="54"/>
      <c r="KO162" s="54"/>
      <c r="KP162" s="54"/>
      <c r="KQ162" s="54"/>
      <c r="KR162" s="54"/>
      <c r="KS162" s="54"/>
      <c r="KT162" s="54"/>
      <c r="KU162" s="54"/>
      <c r="KV162" s="54"/>
      <c r="KW162" s="54"/>
      <c r="KX162" s="54"/>
    </row>
    <row r="163" ht="5.2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c r="BS163" s="54"/>
      <c r="BT163" s="54"/>
      <c r="BU163" s="54"/>
      <c r="BV163" s="54"/>
      <c r="BW163" s="54"/>
      <c r="BX163" s="54">
        <f>if(or(CX175="",DB175="",CX182="",DB182="",CX189="",DB189=""),0,1)</f>
        <v>0</v>
      </c>
      <c r="BY163" s="54"/>
      <c r="BZ163" s="54"/>
      <c r="CA163" s="54"/>
      <c r="CB163" s="54"/>
      <c r="CC163" s="54"/>
      <c r="CD163" s="54"/>
      <c r="CE163" s="54"/>
      <c r="CF163" s="54"/>
      <c r="CG163" s="54"/>
      <c r="CH163" s="54"/>
      <c r="CI163" s="54"/>
      <c r="CJ163" s="54"/>
      <c r="CK163" s="54"/>
      <c r="CL163" s="54"/>
      <c r="CM163" s="54"/>
      <c r="CN163" s="54"/>
      <c r="CO163" s="54"/>
      <c r="CP163" s="54"/>
      <c r="CQ163" s="54"/>
      <c r="CR163" s="54"/>
      <c r="CS163" s="54"/>
      <c r="CT163" s="54"/>
      <c r="CU163" s="54"/>
      <c r="CV163" s="54"/>
      <c r="CW163" s="54"/>
      <c r="CX163" s="54"/>
      <c r="CY163" s="54"/>
      <c r="CZ163" s="54"/>
      <c r="DA163" s="54"/>
      <c r="DB163" s="54"/>
      <c r="DC163" s="54"/>
      <c r="DD163" s="54"/>
      <c r="DE163" s="54"/>
      <c r="DF163" s="54"/>
      <c r="DG163" s="54"/>
      <c r="DH163" s="54"/>
      <c r="DI163" s="54"/>
      <c r="DJ163" s="54"/>
      <c r="DK163" s="54"/>
      <c r="DL163" s="54"/>
      <c r="DM163" s="54"/>
      <c r="DN163" s="54"/>
      <c r="DO163" s="54"/>
      <c r="DP163" s="54"/>
      <c r="DQ163" s="54"/>
      <c r="DR163" s="54"/>
      <c r="DS163" s="54"/>
      <c r="DT163" s="54"/>
      <c r="DU163" s="54"/>
      <c r="DV163" s="54"/>
      <c r="DW163" s="54"/>
      <c r="DX163" s="54"/>
      <c r="DY163" s="54"/>
      <c r="DZ163" s="54"/>
      <c r="EA163" s="54"/>
      <c r="EB163" s="54"/>
      <c r="EC163" s="54"/>
      <c r="ED163" s="54"/>
      <c r="EE163" s="54"/>
      <c r="EF163" s="54"/>
      <c r="EG163" s="54"/>
      <c r="EH163" s="54"/>
      <c r="EI163" s="54"/>
      <c r="EJ163" s="54">
        <f>if(or(FJ175="",FN175="",FJ182="",FN182="",FJ189="",FN189=""),0,1)</f>
        <v>0</v>
      </c>
      <c r="EK163" s="54"/>
      <c r="EL163" s="54"/>
      <c r="EM163" s="54"/>
      <c r="EN163" s="54"/>
      <c r="EO163" s="54"/>
      <c r="EP163" s="54"/>
      <c r="EQ163" s="54"/>
      <c r="ER163" s="54"/>
      <c r="ES163" s="54"/>
      <c r="ET163" s="54"/>
      <c r="EU163" s="54"/>
      <c r="EV163" s="54"/>
      <c r="EW163" s="54"/>
      <c r="EX163" s="54"/>
      <c r="EY163" s="54"/>
      <c r="EZ163" s="54"/>
      <c r="FA163" s="54"/>
      <c r="FB163" s="54"/>
      <c r="FC163" s="54"/>
      <c r="FD163" s="54"/>
      <c r="FE163" s="54"/>
      <c r="FF163" s="54"/>
      <c r="FG163" s="54"/>
      <c r="FH163" s="54"/>
      <c r="FI163" s="54"/>
      <c r="FJ163" s="54"/>
      <c r="FK163" s="54"/>
      <c r="FL163" s="54"/>
      <c r="FM163" s="54"/>
      <c r="FN163" s="54"/>
      <c r="FO163" s="54"/>
      <c r="FP163" s="54"/>
      <c r="FQ163" s="54"/>
      <c r="FR163" s="54"/>
      <c r="FS163" s="54"/>
      <c r="FT163" s="54"/>
      <c r="FU163" s="54"/>
      <c r="FV163" s="54"/>
      <c r="FW163" s="54"/>
      <c r="FX163" s="54"/>
      <c r="FY163" s="54"/>
      <c r="FZ163" s="54"/>
      <c r="GA163" s="54"/>
      <c r="GB163" s="54"/>
      <c r="GC163" s="54"/>
      <c r="GD163" s="54"/>
      <c r="GE163" s="54"/>
      <c r="GF163" s="54"/>
      <c r="GG163" s="54"/>
      <c r="GH163" s="54"/>
      <c r="GI163" s="54"/>
      <c r="GJ163" s="54"/>
      <c r="GK163" s="54"/>
      <c r="GL163" s="54"/>
      <c r="GM163" s="54"/>
      <c r="GN163" s="54"/>
      <c r="GO163" s="54"/>
      <c r="GP163" s="54"/>
      <c r="GQ163" s="54"/>
      <c r="GR163" s="54"/>
      <c r="GS163" s="54"/>
      <c r="GT163" s="54"/>
      <c r="GU163" s="54"/>
      <c r="GV163" s="54"/>
      <c r="GW163" s="54"/>
      <c r="GX163" s="54"/>
      <c r="GY163" s="54"/>
      <c r="GZ163" s="54"/>
      <c r="HA163" s="54"/>
      <c r="HB163" s="54"/>
      <c r="HC163" s="54"/>
      <c r="HD163" s="54"/>
      <c r="HE163" s="54"/>
      <c r="HF163" s="54"/>
      <c r="HG163" s="54"/>
      <c r="HH163" s="54"/>
      <c r="HI163" s="54"/>
      <c r="HJ163" s="54"/>
      <c r="HK163" s="54"/>
      <c r="HL163" s="54"/>
      <c r="HM163" s="54"/>
      <c r="HN163" s="54"/>
      <c r="HO163" s="54"/>
      <c r="HP163" s="54"/>
      <c r="HQ163" s="54"/>
      <c r="HR163" s="54"/>
      <c r="HS163" s="54"/>
      <c r="HT163" s="54"/>
      <c r="HU163" s="54"/>
      <c r="HV163" s="54"/>
      <c r="HW163" s="54"/>
      <c r="HX163" s="54"/>
      <c r="HY163" s="54"/>
      <c r="HZ163" s="54"/>
      <c r="IA163" s="54"/>
      <c r="IB163" s="54"/>
      <c r="IC163" s="54"/>
      <c r="ID163" s="54"/>
      <c r="IE163" s="54"/>
      <c r="IF163" s="54"/>
      <c r="IG163" s="54"/>
      <c r="IH163" s="54"/>
      <c r="II163" s="54"/>
      <c r="IJ163" s="54"/>
      <c r="IK163" s="54"/>
      <c r="IL163" s="54"/>
      <c r="IM163" s="54"/>
      <c r="IN163" s="54"/>
      <c r="IO163" s="54"/>
      <c r="IP163" s="54"/>
      <c r="IQ163" s="54"/>
      <c r="IR163" s="54"/>
      <c r="IS163" s="54"/>
      <c r="IT163" s="54"/>
      <c r="IU163" s="54"/>
      <c r="IV163" s="54"/>
      <c r="IW163" s="54"/>
      <c r="IX163" s="54"/>
      <c r="IY163" s="54"/>
      <c r="IZ163" s="54"/>
      <c r="JA163" s="54"/>
      <c r="JB163" s="54"/>
      <c r="JC163" s="54"/>
      <c r="JD163" s="54"/>
      <c r="JE163" s="54"/>
      <c r="JF163" s="54"/>
      <c r="JG163" s="54"/>
      <c r="JH163" s="54"/>
      <c r="JI163" s="54"/>
      <c r="JJ163" s="54"/>
      <c r="JK163" s="54"/>
      <c r="JL163" s="54"/>
      <c r="JM163" s="54"/>
      <c r="JN163" s="54"/>
      <c r="JO163" s="54"/>
      <c r="JP163" s="54"/>
      <c r="JQ163" s="54"/>
      <c r="JR163" s="54"/>
      <c r="JS163" s="54"/>
      <c r="JT163" s="54"/>
      <c r="JU163" s="54"/>
      <c r="JV163" s="54"/>
      <c r="JW163" s="54"/>
      <c r="JX163" s="54"/>
      <c r="JY163" s="54"/>
      <c r="JZ163" s="54"/>
      <c r="KA163" s="54"/>
      <c r="KB163" s="54"/>
      <c r="KC163" s="54"/>
      <c r="KD163" s="54"/>
      <c r="KE163" s="54"/>
      <c r="KF163" s="54"/>
      <c r="KG163" s="54"/>
      <c r="KH163" s="54"/>
      <c r="KI163" s="54"/>
      <c r="KJ163" s="54"/>
      <c r="KK163" s="54"/>
      <c r="KL163" s="54"/>
      <c r="KM163" s="54"/>
      <c r="KN163" s="54"/>
      <c r="KO163" s="54"/>
      <c r="KP163" s="54"/>
      <c r="KQ163" s="54"/>
      <c r="KR163" s="54"/>
      <c r="KS163" s="54"/>
      <c r="KT163" s="54"/>
      <c r="KU163" s="54"/>
      <c r="KV163" s="54"/>
      <c r="KW163" s="54"/>
      <c r="KX163" s="54"/>
    </row>
    <row r="164" ht="5.2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c r="BS164" s="54"/>
      <c r="BT164" s="54"/>
      <c r="BU164" s="54"/>
      <c r="BV164" s="54"/>
      <c r="BW164" s="108"/>
      <c r="BX164" s="57" t="s">
        <v>65</v>
      </c>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c r="DH164" s="58"/>
      <c r="DI164" s="58"/>
      <c r="DJ164" s="58"/>
      <c r="DK164" s="58"/>
      <c r="DL164" s="58"/>
      <c r="DM164" s="58"/>
      <c r="DN164" s="58"/>
      <c r="DO164" s="58"/>
      <c r="DP164" s="58"/>
      <c r="DQ164" s="58"/>
      <c r="DR164" s="58"/>
      <c r="DS164" s="58"/>
      <c r="DT164" s="58"/>
      <c r="DU164" s="58"/>
      <c r="DV164" s="58"/>
      <c r="DW164" s="58"/>
      <c r="DX164" s="58"/>
      <c r="DY164" s="58"/>
      <c r="DZ164" s="58"/>
      <c r="EA164" s="58"/>
      <c r="EB164" s="58"/>
      <c r="EC164" s="58"/>
      <c r="ED164" s="58"/>
      <c r="EE164" s="59"/>
      <c r="EF164" s="108"/>
      <c r="EG164" s="54"/>
      <c r="EH164" s="54"/>
      <c r="EI164" s="108"/>
      <c r="EJ164" s="57" t="s">
        <v>66</v>
      </c>
      <c r="EK164" s="58"/>
      <c r="EL164" s="58"/>
      <c r="EM164" s="58"/>
      <c r="EN164" s="58"/>
      <c r="EO164" s="58"/>
      <c r="EP164" s="58"/>
      <c r="EQ164" s="58"/>
      <c r="ER164" s="58"/>
      <c r="ES164" s="58"/>
      <c r="ET164" s="58"/>
      <c r="EU164" s="58"/>
      <c r="EV164" s="58"/>
      <c r="EW164" s="58"/>
      <c r="EX164" s="58"/>
      <c r="EY164" s="58"/>
      <c r="EZ164" s="58"/>
      <c r="FA164" s="58"/>
      <c r="FB164" s="58"/>
      <c r="FC164" s="58"/>
      <c r="FD164" s="58"/>
      <c r="FE164" s="58"/>
      <c r="FF164" s="58"/>
      <c r="FG164" s="58"/>
      <c r="FH164" s="58"/>
      <c r="FI164" s="58"/>
      <c r="FJ164" s="58"/>
      <c r="FK164" s="58"/>
      <c r="FL164" s="58"/>
      <c r="FM164" s="58"/>
      <c r="FN164" s="58"/>
      <c r="FO164" s="58"/>
      <c r="FP164" s="58"/>
      <c r="FQ164" s="58"/>
      <c r="FR164" s="58"/>
      <c r="FS164" s="58"/>
      <c r="FT164" s="58"/>
      <c r="FU164" s="58"/>
      <c r="FV164" s="58"/>
      <c r="FW164" s="58"/>
      <c r="FX164" s="58"/>
      <c r="FY164" s="58"/>
      <c r="FZ164" s="58"/>
      <c r="GA164" s="58"/>
      <c r="GB164" s="58"/>
      <c r="GC164" s="58"/>
      <c r="GD164" s="58"/>
      <c r="GE164" s="58"/>
      <c r="GF164" s="58"/>
      <c r="GG164" s="58"/>
      <c r="GH164" s="58"/>
      <c r="GI164" s="58"/>
      <c r="GJ164" s="58"/>
      <c r="GK164" s="58"/>
      <c r="GL164" s="58"/>
      <c r="GM164" s="58"/>
      <c r="GN164" s="58"/>
      <c r="GO164" s="58"/>
      <c r="GP164" s="58"/>
      <c r="GQ164" s="59"/>
      <c r="GR164" s="108"/>
      <c r="GS164" s="54"/>
      <c r="GT164" s="54"/>
      <c r="GU164" s="54"/>
      <c r="GV164" s="54"/>
      <c r="GW164" s="54"/>
      <c r="GX164" s="54"/>
      <c r="GY164" s="54"/>
      <c r="GZ164" s="54"/>
      <c r="HA164" s="54"/>
      <c r="HB164" s="54"/>
      <c r="HC164" s="54"/>
      <c r="HD164" s="54"/>
      <c r="HE164" s="54"/>
      <c r="HF164" s="54"/>
      <c r="HG164" s="54"/>
      <c r="HH164" s="54"/>
      <c r="HI164" s="54"/>
      <c r="HJ164" s="54"/>
      <c r="HK164" s="54"/>
      <c r="HL164" s="54"/>
      <c r="HM164" s="54"/>
      <c r="HN164" s="54"/>
      <c r="HO164" s="54"/>
      <c r="HP164" s="54"/>
      <c r="HQ164" s="54"/>
      <c r="HR164" s="54"/>
      <c r="HS164" s="54"/>
      <c r="HT164" s="54"/>
      <c r="HU164" s="54"/>
      <c r="HV164" s="54"/>
      <c r="HW164" s="54"/>
      <c r="HX164" s="54"/>
      <c r="HY164" s="54"/>
      <c r="HZ164" s="54"/>
      <c r="IA164" s="54"/>
      <c r="IB164" s="54"/>
      <c r="IC164" s="54"/>
      <c r="ID164" s="54"/>
      <c r="IE164" s="54"/>
      <c r="IF164" s="54"/>
      <c r="IG164" s="54"/>
      <c r="IH164" s="54"/>
      <c r="II164" s="54"/>
      <c r="IJ164" s="54"/>
      <c r="IK164" s="54"/>
      <c r="IL164" s="54"/>
      <c r="IM164" s="54"/>
      <c r="IN164" s="54"/>
      <c r="IO164" s="54"/>
      <c r="IP164" s="54"/>
      <c r="IQ164" s="54"/>
      <c r="IR164" s="54"/>
      <c r="IS164" s="54"/>
      <c r="IT164" s="54"/>
      <c r="IU164" s="54"/>
      <c r="IV164" s="54"/>
      <c r="IW164" s="54"/>
      <c r="IX164" s="54"/>
      <c r="IY164" s="54"/>
      <c r="IZ164" s="54"/>
      <c r="JA164" s="54"/>
      <c r="JB164" s="54"/>
      <c r="JC164" s="54"/>
      <c r="JD164" s="54"/>
      <c r="JE164" s="54"/>
      <c r="JF164" s="54"/>
      <c r="JG164" s="54"/>
      <c r="JH164" s="54"/>
      <c r="JI164" s="54"/>
      <c r="JJ164" s="54"/>
      <c r="JK164" s="54"/>
      <c r="JL164" s="54"/>
      <c r="JM164" s="54"/>
      <c r="JN164" s="54"/>
      <c r="JO164" s="54"/>
      <c r="JP164" s="54"/>
      <c r="JQ164" s="54"/>
      <c r="JR164" s="54"/>
      <c r="JS164" s="54"/>
      <c r="JT164" s="54"/>
      <c r="JU164" s="54"/>
      <c r="JV164" s="54"/>
      <c r="JW164" s="54"/>
      <c r="JX164" s="54"/>
      <c r="JY164" s="54"/>
      <c r="JZ164" s="54"/>
      <c r="KA164" s="54"/>
      <c r="KB164" s="54"/>
      <c r="KC164" s="54"/>
      <c r="KD164" s="54"/>
      <c r="KE164" s="54"/>
      <c r="KF164" s="54"/>
      <c r="KG164" s="54"/>
      <c r="KH164" s="54"/>
      <c r="KI164" s="54"/>
      <c r="KJ164" s="54"/>
      <c r="KK164" s="54"/>
      <c r="KL164" s="54"/>
      <c r="KM164" s="54"/>
      <c r="KN164" s="54"/>
      <c r="KO164" s="54"/>
      <c r="KP164" s="54"/>
      <c r="KQ164" s="54"/>
      <c r="KR164" s="54"/>
      <c r="KS164" s="54"/>
      <c r="KT164" s="54"/>
      <c r="KU164" s="54"/>
      <c r="KV164" s="54"/>
      <c r="KW164" s="54"/>
      <c r="KX164" s="54"/>
    </row>
    <row r="165" ht="5.2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c r="BS165" s="54"/>
      <c r="BT165" s="54"/>
      <c r="BU165" s="54"/>
      <c r="BV165" s="54"/>
      <c r="BW165" s="108"/>
      <c r="BX165" s="60"/>
      <c r="EE165" s="61"/>
      <c r="EF165" s="108"/>
      <c r="EG165" s="54"/>
      <c r="EH165" s="54"/>
      <c r="EI165" s="108"/>
      <c r="EJ165" s="60"/>
      <c r="GQ165" s="61"/>
      <c r="GR165" s="108"/>
      <c r="GS165" s="54"/>
      <c r="GT165" s="54"/>
      <c r="GU165" s="54"/>
      <c r="GV165" s="54"/>
      <c r="GW165" s="54"/>
      <c r="GX165" s="54"/>
      <c r="GY165" s="54"/>
      <c r="GZ165" s="54"/>
      <c r="HA165" s="54"/>
      <c r="HB165" s="54"/>
      <c r="HC165" s="54"/>
      <c r="HD165" s="54"/>
      <c r="HE165" s="54"/>
      <c r="HF165" s="54"/>
      <c r="HG165" s="54"/>
      <c r="HH165" s="54"/>
      <c r="HI165" s="54"/>
      <c r="HJ165" s="54"/>
      <c r="HK165" s="54"/>
      <c r="HL165" s="54"/>
      <c r="HM165" s="54"/>
      <c r="HN165" s="54"/>
      <c r="HO165" s="54"/>
      <c r="HP165" s="54"/>
      <c r="HQ165" s="54"/>
      <c r="HR165" s="54"/>
      <c r="HS165" s="54"/>
      <c r="HT165" s="54"/>
      <c r="HU165" s="54"/>
      <c r="HV165" s="54"/>
      <c r="HW165" s="54"/>
      <c r="HX165" s="54"/>
      <c r="HY165" s="54"/>
      <c r="HZ165" s="54"/>
      <c r="IA165" s="54"/>
      <c r="IB165" s="54"/>
      <c r="IC165" s="54"/>
      <c r="ID165" s="54"/>
      <c r="IE165" s="54"/>
      <c r="IF165" s="54"/>
      <c r="IG165" s="54"/>
      <c r="IH165" s="54"/>
      <c r="II165" s="54"/>
      <c r="IJ165" s="54"/>
      <c r="IK165" s="54"/>
      <c r="IL165" s="54"/>
      <c r="IM165" s="54"/>
      <c r="IN165" s="54"/>
      <c r="IO165" s="54"/>
      <c r="IP165" s="54"/>
      <c r="IQ165" s="54"/>
      <c r="IR165" s="54"/>
      <c r="IS165" s="54"/>
      <c r="IT165" s="54"/>
      <c r="IU165" s="54"/>
      <c r="IV165" s="54"/>
      <c r="IW165" s="54"/>
      <c r="IX165" s="54"/>
      <c r="IY165" s="54"/>
      <c r="IZ165" s="54"/>
      <c r="JA165" s="54"/>
      <c r="JB165" s="54"/>
      <c r="JC165" s="54"/>
      <c r="JD165" s="54"/>
      <c r="JE165" s="54"/>
      <c r="JF165" s="54"/>
      <c r="JG165" s="54"/>
      <c r="JH165" s="54"/>
      <c r="JI165" s="54"/>
      <c r="JJ165" s="54"/>
      <c r="JK165" s="54"/>
      <c r="JL165" s="54"/>
      <c r="JM165" s="54"/>
      <c r="JN165" s="54"/>
      <c r="JO165" s="54"/>
      <c r="JP165" s="54"/>
      <c r="JQ165" s="54"/>
      <c r="JR165" s="54"/>
      <c r="JS165" s="54"/>
      <c r="JT165" s="54"/>
      <c r="JU165" s="54"/>
      <c r="JV165" s="54"/>
      <c r="JW165" s="54"/>
      <c r="JX165" s="54"/>
      <c r="JY165" s="54"/>
      <c r="JZ165" s="54"/>
      <c r="KA165" s="54"/>
      <c r="KB165" s="54"/>
      <c r="KC165" s="54"/>
      <c r="KD165" s="54"/>
      <c r="KE165" s="54"/>
      <c r="KF165" s="54"/>
      <c r="KG165" s="54"/>
      <c r="KH165" s="54"/>
      <c r="KI165" s="54"/>
      <c r="KJ165" s="54"/>
      <c r="KK165" s="54"/>
      <c r="KL165" s="54"/>
      <c r="KM165" s="54"/>
      <c r="KN165" s="54"/>
      <c r="KO165" s="54"/>
      <c r="KP165" s="54"/>
      <c r="KQ165" s="54"/>
      <c r="KR165" s="54"/>
      <c r="KS165" s="54"/>
      <c r="KT165" s="54"/>
      <c r="KU165" s="54"/>
      <c r="KV165" s="54"/>
      <c r="KW165" s="54"/>
      <c r="KX165" s="54"/>
    </row>
    <row r="166" ht="5.2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c r="BS166" s="54"/>
      <c r="BT166" s="54"/>
      <c r="BU166" s="54"/>
      <c r="BV166" s="54"/>
      <c r="BW166" s="108"/>
      <c r="BX166" s="60"/>
      <c r="EE166" s="61"/>
      <c r="EF166" s="108"/>
      <c r="EG166" s="54"/>
      <c r="EH166" s="54"/>
      <c r="EI166" s="108"/>
      <c r="EJ166" s="60"/>
      <c r="GQ166" s="61"/>
      <c r="GR166" s="108"/>
      <c r="GS166" s="54"/>
      <c r="GT166" s="54"/>
      <c r="GU166" s="54"/>
      <c r="GV166" s="54"/>
      <c r="GW166" s="54"/>
      <c r="GX166" s="54"/>
      <c r="GY166" s="54"/>
      <c r="GZ166" s="54"/>
      <c r="HA166" s="54"/>
      <c r="HB166" s="54"/>
      <c r="HC166" s="54"/>
      <c r="HD166" s="54"/>
      <c r="HE166" s="54"/>
      <c r="HF166" s="54"/>
      <c r="HG166" s="54"/>
      <c r="HH166" s="54"/>
      <c r="HI166" s="54"/>
      <c r="HJ166" s="54"/>
      <c r="HK166" s="54"/>
      <c r="HL166" s="54"/>
      <c r="HM166" s="54"/>
      <c r="HN166" s="54"/>
      <c r="HO166" s="54"/>
      <c r="HP166" s="54"/>
      <c r="HQ166" s="54"/>
      <c r="HR166" s="54"/>
      <c r="HS166" s="54"/>
      <c r="HT166" s="54"/>
      <c r="HU166" s="54"/>
      <c r="HV166" s="54"/>
      <c r="HW166" s="54"/>
      <c r="HX166" s="54"/>
      <c r="HY166" s="54"/>
      <c r="HZ166" s="54"/>
      <c r="IA166" s="54"/>
      <c r="IB166" s="54"/>
      <c r="IC166" s="54"/>
      <c r="ID166" s="54"/>
      <c r="IE166" s="54"/>
      <c r="IF166" s="54"/>
      <c r="IG166" s="54"/>
      <c r="IH166" s="54"/>
      <c r="II166" s="54"/>
      <c r="IJ166" s="54"/>
      <c r="IK166" s="54"/>
      <c r="IL166" s="54"/>
      <c r="IM166" s="54"/>
      <c r="IN166" s="54"/>
      <c r="IO166" s="54"/>
      <c r="IP166" s="54"/>
      <c r="IQ166" s="54"/>
      <c r="IR166" s="54"/>
      <c r="IS166" s="54"/>
      <c r="IT166" s="54"/>
      <c r="IU166" s="54"/>
      <c r="IV166" s="54"/>
      <c r="IW166" s="54"/>
      <c r="IX166" s="54"/>
      <c r="IY166" s="54"/>
      <c r="IZ166" s="54"/>
      <c r="JA166" s="54"/>
      <c r="JB166" s="54"/>
      <c r="JC166" s="54"/>
      <c r="JD166" s="54"/>
      <c r="JE166" s="54"/>
      <c r="JF166" s="54"/>
      <c r="JG166" s="54"/>
      <c r="JH166" s="54"/>
      <c r="JI166" s="54"/>
      <c r="JJ166" s="54"/>
      <c r="JK166" s="54"/>
      <c r="JL166" s="54"/>
      <c r="JM166" s="54"/>
      <c r="JN166" s="54"/>
      <c r="JO166" s="54"/>
      <c r="JP166" s="54"/>
      <c r="JQ166" s="54"/>
      <c r="JR166" s="54"/>
      <c r="JS166" s="54"/>
      <c r="JT166" s="54"/>
      <c r="JU166" s="54"/>
      <c r="JV166" s="54"/>
      <c r="JW166" s="54"/>
      <c r="JX166" s="54"/>
      <c r="JY166" s="54"/>
      <c r="JZ166" s="54"/>
      <c r="KA166" s="54"/>
      <c r="KB166" s="54"/>
      <c r="KC166" s="54"/>
      <c r="KD166" s="54"/>
      <c r="KE166" s="54"/>
      <c r="KF166" s="54"/>
      <c r="KG166" s="54"/>
      <c r="KH166" s="54"/>
      <c r="KI166" s="54"/>
      <c r="KJ166" s="54"/>
      <c r="KK166" s="54"/>
      <c r="KL166" s="54"/>
      <c r="KM166" s="54"/>
      <c r="KN166" s="54"/>
      <c r="KO166" s="54"/>
      <c r="KP166" s="54"/>
      <c r="KQ166" s="54"/>
      <c r="KR166" s="54"/>
      <c r="KS166" s="54"/>
      <c r="KT166" s="54"/>
      <c r="KU166" s="54"/>
      <c r="KV166" s="54"/>
      <c r="KW166" s="54"/>
      <c r="KX166" s="54"/>
    </row>
    <row r="167" ht="5.2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c r="BS167" s="54"/>
      <c r="BT167" s="54"/>
      <c r="BU167" s="54"/>
      <c r="BV167" s="54"/>
      <c r="BW167" s="108"/>
      <c r="BX167" s="60"/>
      <c r="EE167" s="61"/>
      <c r="EF167" s="108"/>
      <c r="EG167" s="54"/>
      <c r="EH167" s="54"/>
      <c r="EI167" s="108"/>
      <c r="EJ167" s="60"/>
      <c r="GQ167" s="61"/>
      <c r="GR167" s="108"/>
      <c r="GS167" s="54"/>
      <c r="GT167" s="54"/>
      <c r="GU167" s="54"/>
      <c r="GV167" s="54"/>
      <c r="GW167" s="54"/>
      <c r="GX167" s="54"/>
      <c r="GY167" s="54"/>
      <c r="GZ167" s="54"/>
      <c r="HA167" s="54"/>
      <c r="HB167" s="54"/>
      <c r="HC167" s="54"/>
      <c r="HD167" s="54"/>
      <c r="HE167" s="54"/>
      <c r="HF167" s="54"/>
      <c r="HG167" s="54"/>
      <c r="HH167" s="54"/>
      <c r="HI167" s="54"/>
      <c r="HJ167" s="54"/>
      <c r="HK167" s="54"/>
      <c r="HL167" s="54"/>
      <c r="HM167" s="54"/>
      <c r="HN167" s="54"/>
      <c r="HO167" s="54"/>
      <c r="HP167" s="54"/>
      <c r="HQ167" s="54"/>
      <c r="HR167" s="54"/>
      <c r="HS167" s="54"/>
      <c r="HT167" s="54"/>
      <c r="HU167" s="54"/>
      <c r="HV167" s="54"/>
      <c r="HW167" s="54"/>
      <c r="HX167" s="54"/>
      <c r="HY167" s="54"/>
      <c r="HZ167" s="54"/>
      <c r="IA167" s="54"/>
      <c r="IB167" s="54"/>
      <c r="IC167" s="54"/>
      <c r="ID167" s="54"/>
      <c r="IE167" s="54"/>
      <c r="IF167" s="54"/>
      <c r="IG167" s="54"/>
      <c r="IH167" s="54"/>
      <c r="II167" s="54"/>
      <c r="IJ167" s="54"/>
      <c r="IK167" s="54"/>
      <c r="IL167" s="54"/>
      <c r="IM167" s="54"/>
      <c r="IN167" s="54"/>
      <c r="IO167" s="54"/>
      <c r="IP167" s="54"/>
      <c r="IQ167" s="54"/>
      <c r="IR167" s="54"/>
      <c r="IS167" s="54"/>
      <c r="IT167" s="54"/>
      <c r="IU167" s="54"/>
      <c r="IV167" s="54"/>
      <c r="IW167" s="54"/>
      <c r="IX167" s="54"/>
      <c r="IY167" s="54"/>
      <c r="IZ167" s="54"/>
      <c r="JA167" s="54"/>
      <c r="JB167" s="54"/>
      <c r="JC167" s="54"/>
      <c r="JD167" s="54"/>
      <c r="JE167" s="54"/>
      <c r="JF167" s="54"/>
      <c r="JG167" s="54"/>
      <c r="JH167" s="54"/>
      <c r="JI167" s="54"/>
      <c r="JJ167" s="54"/>
      <c r="JK167" s="54"/>
      <c r="JL167" s="54"/>
      <c r="JM167" s="54"/>
      <c r="JN167" s="54"/>
      <c r="JO167" s="54"/>
      <c r="JP167" s="54"/>
      <c r="JQ167" s="54"/>
      <c r="JR167" s="54"/>
      <c r="JS167" s="54"/>
      <c r="JT167" s="54"/>
      <c r="JU167" s="54"/>
      <c r="JV167" s="54"/>
      <c r="JW167" s="54"/>
      <c r="JX167" s="54"/>
      <c r="JY167" s="54"/>
      <c r="JZ167" s="54"/>
      <c r="KA167" s="54"/>
      <c r="KB167" s="54"/>
      <c r="KC167" s="54"/>
      <c r="KD167" s="54"/>
      <c r="KE167" s="54"/>
      <c r="KF167" s="54"/>
      <c r="KG167" s="54"/>
      <c r="KH167" s="54"/>
      <c r="KI167" s="54"/>
      <c r="KJ167" s="54"/>
      <c r="KK167" s="54"/>
      <c r="KL167" s="54"/>
      <c r="KM167" s="54"/>
      <c r="KN167" s="54"/>
      <c r="KO167" s="54"/>
      <c r="KP167" s="54"/>
      <c r="KQ167" s="54"/>
      <c r="KR167" s="54"/>
      <c r="KS167" s="54"/>
      <c r="KT167" s="54"/>
      <c r="KU167" s="54"/>
      <c r="KV167" s="54"/>
      <c r="KW167" s="54"/>
      <c r="KX167" s="54"/>
    </row>
    <row r="168" ht="5.2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c r="BS168" s="54"/>
      <c r="BT168" s="54"/>
      <c r="BU168" s="54"/>
      <c r="BV168" s="54"/>
      <c r="BW168" s="108"/>
      <c r="BX168" s="60"/>
      <c r="EE168" s="61"/>
      <c r="EF168" s="108"/>
      <c r="EG168" s="54"/>
      <c r="EH168" s="54"/>
      <c r="EI168" s="108"/>
      <c r="EJ168" s="60"/>
      <c r="GQ168" s="61"/>
      <c r="GR168" s="108"/>
      <c r="GS168" s="54"/>
      <c r="GT168" s="54"/>
      <c r="GU168" s="54"/>
      <c r="GV168" s="54"/>
      <c r="GW168" s="54"/>
      <c r="GX168" s="54"/>
      <c r="GY168" s="54"/>
      <c r="GZ168" s="54"/>
      <c r="HA168" s="54"/>
      <c r="HB168" s="54"/>
      <c r="HC168" s="54"/>
      <c r="HD168" s="54"/>
      <c r="HE168" s="54"/>
      <c r="HF168" s="54"/>
      <c r="HG168" s="54"/>
      <c r="HH168" s="54"/>
      <c r="HI168" s="54"/>
      <c r="HJ168" s="54"/>
      <c r="HK168" s="54"/>
      <c r="HL168" s="54"/>
      <c r="HM168" s="54"/>
      <c r="HN168" s="54"/>
      <c r="HO168" s="54"/>
      <c r="HP168" s="54"/>
      <c r="HQ168" s="54"/>
      <c r="HR168" s="54"/>
      <c r="HS168" s="54"/>
      <c r="HT168" s="54"/>
      <c r="HU168" s="54"/>
      <c r="HV168" s="54"/>
      <c r="HW168" s="54"/>
      <c r="HX168" s="54"/>
      <c r="HY168" s="54"/>
      <c r="HZ168" s="54"/>
      <c r="IA168" s="54"/>
      <c r="IB168" s="54"/>
      <c r="IC168" s="54"/>
      <c r="ID168" s="54"/>
      <c r="IE168" s="54"/>
      <c r="IF168" s="54"/>
      <c r="IG168" s="54"/>
      <c r="IH168" s="54"/>
      <c r="II168" s="54"/>
      <c r="IJ168" s="54"/>
      <c r="IK168" s="54"/>
      <c r="IL168" s="54"/>
      <c r="IM168" s="54"/>
      <c r="IN168" s="54"/>
      <c r="IO168" s="54"/>
      <c r="IP168" s="54"/>
      <c r="IQ168" s="54"/>
      <c r="IR168" s="54"/>
      <c r="IS168" s="54"/>
      <c r="IT168" s="54"/>
      <c r="IU168" s="54"/>
      <c r="IV168" s="54"/>
      <c r="IW168" s="54"/>
      <c r="IX168" s="54"/>
      <c r="IY168" s="54"/>
      <c r="IZ168" s="54"/>
      <c r="JA168" s="54"/>
      <c r="JB168" s="54"/>
      <c r="JC168" s="54"/>
      <c r="JD168" s="54"/>
      <c r="JE168" s="54"/>
      <c r="JF168" s="54"/>
      <c r="JG168" s="54"/>
      <c r="JH168" s="54"/>
      <c r="JI168" s="54"/>
      <c r="JJ168" s="54"/>
      <c r="JK168" s="54"/>
      <c r="JL168" s="54"/>
      <c r="JM168" s="54"/>
      <c r="JN168" s="54"/>
      <c r="JO168" s="54"/>
      <c r="JP168" s="54"/>
      <c r="JQ168" s="54"/>
      <c r="JR168" s="54"/>
      <c r="JS168" s="54"/>
      <c r="JT168" s="54"/>
      <c r="JU168" s="54"/>
      <c r="JV168" s="54"/>
      <c r="JW168" s="54"/>
      <c r="JX168" s="54"/>
      <c r="JY168" s="54"/>
      <c r="JZ168" s="54"/>
      <c r="KA168" s="54"/>
      <c r="KB168" s="54"/>
      <c r="KC168" s="54"/>
      <c r="KD168" s="54"/>
      <c r="KE168" s="54"/>
      <c r="KF168" s="54"/>
      <c r="KG168" s="54"/>
      <c r="KH168" s="54"/>
      <c r="KI168" s="54"/>
      <c r="KJ168" s="54"/>
      <c r="KK168" s="54"/>
      <c r="KL168" s="54"/>
      <c r="KM168" s="54"/>
      <c r="KN168" s="54"/>
      <c r="KO168" s="54"/>
      <c r="KP168" s="54"/>
      <c r="KQ168" s="54"/>
      <c r="KR168" s="54"/>
      <c r="KS168" s="54"/>
      <c r="KT168" s="54"/>
      <c r="KU168" s="54"/>
      <c r="KV168" s="54"/>
      <c r="KW168" s="54"/>
      <c r="KX168" s="54"/>
    </row>
    <row r="169" ht="5.2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c r="BI169" s="54"/>
      <c r="BJ169" s="54"/>
      <c r="BK169" s="54"/>
      <c r="BL169" s="54"/>
      <c r="BM169" s="54"/>
      <c r="BN169" s="54"/>
      <c r="BO169" s="54"/>
      <c r="BP169" s="54"/>
      <c r="BQ169" s="54"/>
      <c r="BR169" s="54"/>
      <c r="BS169" s="54"/>
      <c r="BT169" s="54"/>
      <c r="BU169" s="54"/>
      <c r="BV169" s="54"/>
      <c r="BW169" s="108"/>
      <c r="BX169" s="110" t="s">
        <v>2</v>
      </c>
      <c r="DB169" s="111" t="s">
        <v>4</v>
      </c>
      <c r="EE169" s="61"/>
      <c r="EF169" s="108"/>
      <c r="EG169" s="54"/>
      <c r="EH169" s="54"/>
      <c r="EI169" s="108"/>
      <c r="EJ169" s="110" t="s">
        <v>2</v>
      </c>
      <c r="FN169" s="111" t="s">
        <v>4</v>
      </c>
      <c r="GQ169" s="61"/>
      <c r="GR169" s="108"/>
      <c r="GS169" s="54"/>
      <c r="GT169" s="54"/>
      <c r="GU169" s="54"/>
      <c r="GV169" s="54"/>
      <c r="GW169" s="54"/>
      <c r="GX169" s="54"/>
      <c r="GY169" s="54"/>
      <c r="GZ169" s="54"/>
      <c r="HA169" s="54"/>
      <c r="HB169" s="54"/>
      <c r="HC169" s="54"/>
      <c r="HD169" s="54"/>
      <c r="HE169" s="54"/>
      <c r="HF169" s="54"/>
      <c r="HG169" s="54"/>
      <c r="HH169" s="54"/>
      <c r="HI169" s="54"/>
      <c r="HJ169" s="54"/>
      <c r="HK169" s="54"/>
      <c r="HL169" s="54"/>
      <c r="HM169" s="54"/>
      <c r="HN169" s="54"/>
      <c r="HO169" s="54"/>
      <c r="HP169" s="54"/>
      <c r="HQ169" s="54"/>
      <c r="HR169" s="54"/>
      <c r="HS169" s="54"/>
      <c r="HT169" s="54"/>
      <c r="HU169" s="54"/>
      <c r="HV169" s="54"/>
      <c r="HW169" s="54"/>
      <c r="HX169" s="54"/>
      <c r="HY169" s="54"/>
      <c r="HZ169" s="54"/>
      <c r="IA169" s="54"/>
      <c r="IB169" s="54"/>
      <c r="IC169" s="54"/>
      <c r="ID169" s="54"/>
      <c r="IE169" s="54"/>
      <c r="IF169" s="54"/>
      <c r="IG169" s="54"/>
      <c r="IH169" s="54"/>
      <c r="II169" s="54"/>
      <c r="IJ169" s="54"/>
      <c r="IK169" s="54"/>
      <c r="IL169" s="54"/>
      <c r="IM169" s="54"/>
      <c r="IN169" s="54"/>
      <c r="IO169" s="54"/>
      <c r="IP169" s="54"/>
      <c r="IQ169" s="54"/>
      <c r="IR169" s="54"/>
      <c r="IS169" s="54"/>
      <c r="IT169" s="54"/>
      <c r="IU169" s="54"/>
      <c r="IV169" s="54"/>
      <c r="IW169" s="54"/>
      <c r="IX169" s="54"/>
      <c r="IY169" s="54"/>
      <c r="IZ169" s="54"/>
      <c r="JA169" s="54"/>
      <c r="JB169" s="54"/>
      <c r="JC169" s="54"/>
      <c r="JD169" s="54"/>
      <c r="JE169" s="54"/>
      <c r="JF169" s="54"/>
      <c r="JG169" s="54"/>
      <c r="JH169" s="54"/>
      <c r="JI169" s="54"/>
      <c r="JJ169" s="54"/>
      <c r="JK169" s="54"/>
      <c r="JL169" s="54"/>
      <c r="JM169" s="54"/>
      <c r="JN169" s="54"/>
      <c r="JO169" s="54"/>
      <c r="JP169" s="54"/>
      <c r="JQ169" s="54"/>
      <c r="JR169" s="54"/>
      <c r="JS169" s="54"/>
      <c r="JT169" s="54"/>
      <c r="JU169" s="54"/>
      <c r="JV169" s="54"/>
      <c r="JW169" s="54"/>
      <c r="JX169" s="54"/>
      <c r="JY169" s="54"/>
      <c r="JZ169" s="54"/>
      <c r="KA169" s="54"/>
      <c r="KB169" s="54"/>
      <c r="KC169" s="54"/>
      <c r="KD169" s="54"/>
      <c r="KE169" s="54"/>
      <c r="KF169" s="54"/>
      <c r="KG169" s="54"/>
      <c r="KH169" s="54"/>
      <c r="KI169" s="54"/>
      <c r="KJ169" s="54"/>
      <c r="KK169" s="54"/>
      <c r="KL169" s="54"/>
      <c r="KM169" s="54"/>
      <c r="KN169" s="54"/>
      <c r="KO169" s="54"/>
      <c r="KP169" s="54"/>
      <c r="KQ169" s="54"/>
      <c r="KR169" s="54"/>
      <c r="KS169" s="54"/>
      <c r="KT169" s="54"/>
      <c r="KU169" s="54"/>
      <c r="KV169" s="54"/>
      <c r="KW169" s="54"/>
      <c r="KX169" s="54"/>
    </row>
    <row r="170" ht="5.2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c r="BS170" s="54"/>
      <c r="BT170" s="54"/>
      <c r="BU170" s="54"/>
      <c r="BV170" s="54"/>
      <c r="BW170" s="108"/>
      <c r="BX170" s="60"/>
      <c r="EE170" s="61"/>
      <c r="EF170" s="108"/>
      <c r="EG170" s="54"/>
      <c r="EH170" s="54"/>
      <c r="EI170" s="108"/>
      <c r="EJ170" s="60"/>
      <c r="GQ170" s="61"/>
      <c r="GR170" s="108"/>
      <c r="GS170" s="54"/>
      <c r="GT170" s="54"/>
      <c r="GU170" s="54"/>
      <c r="GV170" s="54"/>
      <c r="GW170" s="54"/>
      <c r="GX170" s="54"/>
      <c r="GY170" s="54"/>
      <c r="GZ170" s="54"/>
      <c r="HA170" s="54"/>
      <c r="HB170" s="54"/>
      <c r="HC170" s="54"/>
      <c r="HD170" s="54"/>
      <c r="HE170" s="54"/>
      <c r="HF170" s="54"/>
      <c r="HG170" s="54"/>
      <c r="HH170" s="54"/>
      <c r="HI170" s="54"/>
      <c r="HJ170" s="54"/>
      <c r="HK170" s="54"/>
      <c r="HL170" s="54"/>
      <c r="HM170" s="54"/>
      <c r="HN170" s="54"/>
      <c r="HO170" s="54"/>
      <c r="HP170" s="54"/>
      <c r="HQ170" s="54"/>
      <c r="HR170" s="54"/>
      <c r="HS170" s="54"/>
      <c r="HT170" s="54"/>
      <c r="HU170" s="54"/>
      <c r="HV170" s="54"/>
      <c r="HW170" s="54"/>
      <c r="HX170" s="54"/>
      <c r="HY170" s="54"/>
      <c r="HZ170" s="54"/>
      <c r="IA170" s="54"/>
      <c r="IB170" s="54"/>
      <c r="IC170" s="54"/>
      <c r="ID170" s="54"/>
      <c r="IE170" s="54"/>
      <c r="IF170" s="54"/>
      <c r="IG170" s="54"/>
      <c r="IH170" s="54"/>
      <c r="II170" s="54"/>
      <c r="IJ170" s="54"/>
      <c r="IK170" s="54"/>
      <c r="IL170" s="54"/>
      <c r="IM170" s="54"/>
      <c r="IN170" s="54"/>
      <c r="IO170" s="54"/>
      <c r="IP170" s="54"/>
      <c r="IQ170" s="54"/>
      <c r="IR170" s="54"/>
      <c r="IS170" s="54"/>
      <c r="IT170" s="54"/>
      <c r="IU170" s="54"/>
      <c r="IV170" s="54"/>
      <c r="IW170" s="54"/>
      <c r="IX170" s="54"/>
      <c r="IY170" s="54"/>
      <c r="IZ170" s="54"/>
      <c r="JA170" s="54"/>
      <c r="JB170" s="54"/>
      <c r="JC170" s="54"/>
      <c r="JD170" s="54"/>
      <c r="JE170" s="54"/>
      <c r="JF170" s="54"/>
      <c r="JG170" s="54"/>
      <c r="JH170" s="54"/>
      <c r="JI170" s="54"/>
      <c r="JJ170" s="54"/>
      <c r="JK170" s="54"/>
      <c r="JL170" s="54"/>
      <c r="JM170" s="54"/>
      <c r="JN170" s="54"/>
      <c r="JO170" s="54"/>
      <c r="JP170" s="54"/>
      <c r="JQ170" s="54"/>
      <c r="JR170" s="54"/>
      <c r="JS170" s="54"/>
      <c r="JT170" s="54"/>
      <c r="JU170" s="54"/>
      <c r="JV170" s="54"/>
      <c r="JW170" s="54"/>
      <c r="JX170" s="54"/>
      <c r="JY170" s="54"/>
      <c r="JZ170" s="54"/>
      <c r="KA170" s="54"/>
      <c r="KB170" s="54"/>
      <c r="KC170" s="54"/>
      <c r="KD170" s="54"/>
      <c r="KE170" s="54"/>
      <c r="KF170" s="54"/>
      <c r="KG170" s="54"/>
      <c r="KH170" s="54"/>
      <c r="KI170" s="54"/>
      <c r="KJ170" s="54"/>
      <c r="KK170" s="54"/>
      <c r="KL170" s="54"/>
      <c r="KM170" s="54"/>
      <c r="KN170" s="54"/>
      <c r="KO170" s="54"/>
      <c r="KP170" s="54"/>
      <c r="KQ170" s="54"/>
      <c r="KR170" s="54"/>
      <c r="KS170" s="54"/>
      <c r="KT170" s="54"/>
      <c r="KU170" s="54"/>
      <c r="KV170" s="54"/>
      <c r="KW170" s="54"/>
      <c r="KX170" s="54"/>
    </row>
    <row r="171" ht="5.2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c r="BS171" s="54"/>
      <c r="BT171" s="54"/>
      <c r="BU171" s="54"/>
      <c r="BV171" s="54"/>
      <c r="BW171" s="108"/>
      <c r="BX171" s="60"/>
      <c r="EE171" s="61"/>
      <c r="EF171" s="108"/>
      <c r="EG171" s="54"/>
      <c r="EH171" s="54"/>
      <c r="EI171" s="108"/>
      <c r="EJ171" s="60"/>
      <c r="GQ171" s="61"/>
      <c r="GR171" s="108"/>
      <c r="GS171" s="54"/>
      <c r="GT171" s="54"/>
      <c r="GU171" s="54"/>
      <c r="GV171" s="54"/>
      <c r="GW171" s="54"/>
      <c r="GX171" s="54"/>
      <c r="GY171" s="54"/>
      <c r="GZ171" s="54"/>
      <c r="HA171" s="54"/>
      <c r="HB171" s="54"/>
      <c r="HC171" s="54"/>
      <c r="HD171" s="54"/>
      <c r="HE171" s="54"/>
      <c r="HF171" s="54"/>
      <c r="HG171" s="54"/>
      <c r="HH171" s="54"/>
      <c r="HI171" s="54"/>
      <c r="HJ171" s="54"/>
      <c r="HK171" s="54"/>
      <c r="HL171" s="54"/>
      <c r="HM171" s="54"/>
      <c r="HN171" s="54"/>
      <c r="HO171" s="54"/>
      <c r="HP171" s="54"/>
      <c r="HQ171" s="54"/>
      <c r="HR171" s="54"/>
      <c r="HS171" s="54"/>
      <c r="HT171" s="54"/>
      <c r="HU171" s="54"/>
      <c r="HV171" s="54"/>
      <c r="HW171" s="54"/>
      <c r="HX171" s="54"/>
      <c r="HY171" s="54"/>
      <c r="HZ171" s="54"/>
      <c r="IA171" s="54"/>
      <c r="IB171" s="54"/>
      <c r="IC171" s="54"/>
      <c r="ID171" s="54"/>
      <c r="IE171" s="54"/>
      <c r="IF171" s="54"/>
      <c r="IG171" s="54"/>
      <c r="IH171" s="54"/>
      <c r="II171" s="54"/>
      <c r="IJ171" s="54"/>
      <c r="IK171" s="54"/>
      <c r="IL171" s="54"/>
      <c r="IM171" s="54"/>
      <c r="IN171" s="54"/>
      <c r="IO171" s="54"/>
      <c r="IP171" s="54"/>
      <c r="IQ171" s="54"/>
      <c r="IR171" s="54"/>
      <c r="IS171" s="54"/>
      <c r="IT171" s="54"/>
      <c r="IU171" s="54"/>
      <c r="IV171" s="54"/>
      <c r="IW171" s="54"/>
      <c r="IX171" s="54"/>
      <c r="IY171" s="54"/>
      <c r="IZ171" s="54"/>
      <c r="JA171" s="54"/>
      <c r="JB171" s="54"/>
      <c r="JC171" s="54"/>
      <c r="JD171" s="54"/>
      <c r="JE171" s="54"/>
      <c r="JF171" s="54"/>
      <c r="JG171" s="54"/>
      <c r="JH171" s="54"/>
      <c r="JI171" s="54"/>
      <c r="JJ171" s="54"/>
      <c r="JK171" s="54"/>
      <c r="JL171" s="54"/>
      <c r="JM171" s="54"/>
      <c r="JN171" s="54"/>
      <c r="JO171" s="54"/>
      <c r="JP171" s="54"/>
      <c r="JQ171" s="54"/>
      <c r="JR171" s="54"/>
      <c r="JS171" s="54"/>
      <c r="JT171" s="54"/>
      <c r="JU171" s="54"/>
      <c r="JV171" s="54"/>
      <c r="JW171" s="54"/>
      <c r="JX171" s="54"/>
      <c r="JY171" s="54"/>
      <c r="JZ171" s="54"/>
      <c r="KA171" s="54"/>
      <c r="KB171" s="54"/>
      <c r="KC171" s="54"/>
      <c r="KD171" s="54"/>
      <c r="KE171" s="54"/>
      <c r="KF171" s="54"/>
      <c r="KG171" s="54"/>
      <c r="KH171" s="54"/>
      <c r="KI171" s="54"/>
      <c r="KJ171" s="54"/>
      <c r="KK171" s="54"/>
      <c r="KL171" s="54"/>
      <c r="KM171" s="54"/>
      <c r="KN171" s="54"/>
      <c r="KO171" s="54"/>
      <c r="KP171" s="54"/>
      <c r="KQ171" s="54"/>
      <c r="KR171" s="54"/>
      <c r="KS171" s="54"/>
      <c r="KT171" s="54"/>
      <c r="KU171" s="54"/>
      <c r="KV171" s="54"/>
      <c r="KW171" s="54"/>
      <c r="KX171" s="54"/>
    </row>
    <row r="172" ht="5.2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c r="BS172" s="54"/>
      <c r="BT172" s="54"/>
      <c r="BU172" s="54"/>
      <c r="BV172" s="54"/>
      <c r="BW172" s="108"/>
      <c r="BX172" s="112"/>
      <c r="CF172" s="113" t="s">
        <v>57</v>
      </c>
      <c r="CH172" s="11"/>
      <c r="CI172" s="114" t="s">
        <v>58</v>
      </c>
      <c r="CK172" s="11"/>
      <c r="CL172" s="114" t="s">
        <v>59</v>
      </c>
      <c r="CO172" s="108"/>
      <c r="CX172" s="115" t="s">
        <v>3</v>
      </c>
      <c r="DF172" s="108"/>
      <c r="DG172" s="108"/>
      <c r="DH172" s="108"/>
      <c r="DI172" s="108"/>
      <c r="DJ172" s="108"/>
      <c r="DK172" s="108"/>
      <c r="DL172" s="108"/>
      <c r="DM172" s="108"/>
      <c r="DN172" s="108"/>
      <c r="DO172" s="113" t="s">
        <v>59</v>
      </c>
      <c r="DQ172" s="11"/>
      <c r="DR172" s="114" t="s">
        <v>58</v>
      </c>
      <c r="DT172" s="11"/>
      <c r="DU172" s="114" t="s">
        <v>57</v>
      </c>
      <c r="DX172" s="108"/>
      <c r="DY172" s="108"/>
      <c r="DZ172" s="108"/>
      <c r="EA172" s="108"/>
      <c r="EB172" s="108"/>
      <c r="EC172" s="108"/>
      <c r="ED172" s="108"/>
      <c r="EE172" s="116"/>
      <c r="EF172" s="108"/>
      <c r="EG172" s="54"/>
      <c r="EH172" s="54"/>
      <c r="EI172" s="108"/>
      <c r="EJ172" s="112"/>
      <c r="ER172" s="113" t="s">
        <v>57</v>
      </c>
      <c r="ET172" s="11"/>
      <c r="EU172" s="114" t="s">
        <v>58</v>
      </c>
      <c r="EW172" s="11"/>
      <c r="EX172" s="114" t="s">
        <v>59</v>
      </c>
      <c r="FA172" s="108"/>
      <c r="FJ172" s="115" t="s">
        <v>3</v>
      </c>
      <c r="FR172" s="108"/>
      <c r="FS172" s="108"/>
      <c r="FT172" s="108"/>
      <c r="FU172" s="108"/>
      <c r="FV172" s="108"/>
      <c r="FW172" s="108"/>
      <c r="FX172" s="108"/>
      <c r="FY172" s="108"/>
      <c r="FZ172" s="108"/>
      <c r="GA172" s="113" t="s">
        <v>59</v>
      </c>
      <c r="GC172" s="11"/>
      <c r="GD172" s="114" t="s">
        <v>58</v>
      </c>
      <c r="GF172" s="11"/>
      <c r="GG172" s="114" t="s">
        <v>57</v>
      </c>
      <c r="GJ172" s="108"/>
      <c r="GK172" s="108"/>
      <c r="GL172" s="108"/>
      <c r="GM172" s="108"/>
      <c r="GN172" s="108"/>
      <c r="GO172" s="108"/>
      <c r="GP172" s="108"/>
      <c r="GQ172" s="116"/>
      <c r="GR172" s="108"/>
      <c r="GS172" s="54"/>
      <c r="GT172" s="54"/>
      <c r="GU172" s="54"/>
      <c r="GV172" s="54"/>
      <c r="GW172" s="54"/>
      <c r="GX172" s="54"/>
      <c r="GY172" s="54"/>
      <c r="GZ172" s="54"/>
      <c r="HA172" s="54"/>
      <c r="HB172" s="54"/>
      <c r="HC172" s="54"/>
      <c r="HD172" s="54"/>
      <c r="HE172" s="54"/>
      <c r="HF172" s="54"/>
      <c r="HG172" s="54"/>
      <c r="HH172" s="54"/>
      <c r="HI172" s="54"/>
      <c r="HJ172" s="54"/>
      <c r="HK172" s="54"/>
      <c r="HL172" s="54"/>
      <c r="HM172" s="54"/>
      <c r="HN172" s="54"/>
      <c r="HO172" s="54"/>
      <c r="HP172" s="54"/>
      <c r="HQ172" s="54"/>
      <c r="HR172" s="54"/>
      <c r="HS172" s="54"/>
      <c r="HT172" s="54"/>
      <c r="HU172" s="54"/>
      <c r="HV172" s="54"/>
      <c r="HW172" s="54"/>
      <c r="HX172" s="54"/>
      <c r="HY172" s="54"/>
      <c r="HZ172" s="54"/>
      <c r="IA172" s="54"/>
      <c r="IB172" s="54"/>
      <c r="IC172" s="54"/>
      <c r="ID172" s="54"/>
      <c r="IE172" s="54"/>
      <c r="IF172" s="54"/>
      <c r="IG172" s="54"/>
      <c r="IH172" s="54"/>
      <c r="II172" s="54"/>
      <c r="IJ172" s="54"/>
      <c r="IK172" s="54"/>
      <c r="IL172" s="54"/>
      <c r="IM172" s="54"/>
      <c r="IN172" s="54"/>
      <c r="IO172" s="54"/>
      <c r="IP172" s="54"/>
      <c r="IQ172" s="54"/>
      <c r="IR172" s="54"/>
      <c r="IS172" s="54"/>
      <c r="IT172" s="54"/>
      <c r="IU172" s="54"/>
      <c r="IV172" s="54"/>
      <c r="IW172" s="54"/>
      <c r="IX172" s="54"/>
      <c r="IY172" s="54"/>
      <c r="IZ172" s="54"/>
      <c r="JA172" s="54"/>
      <c r="JB172" s="54"/>
      <c r="JC172" s="54"/>
      <c r="JD172" s="54"/>
      <c r="JE172" s="54"/>
      <c r="JF172" s="54"/>
      <c r="JG172" s="54"/>
      <c r="JH172" s="54"/>
      <c r="JI172" s="54"/>
      <c r="JJ172" s="54"/>
      <c r="JK172" s="54"/>
      <c r="JL172" s="54"/>
      <c r="JM172" s="54"/>
      <c r="JN172" s="54"/>
      <c r="JO172" s="54"/>
      <c r="JP172" s="54"/>
      <c r="JQ172" s="54"/>
      <c r="JR172" s="54"/>
      <c r="JS172" s="54"/>
      <c r="JT172" s="54"/>
      <c r="JU172" s="54"/>
      <c r="JV172" s="54"/>
      <c r="JW172" s="54"/>
      <c r="JX172" s="54"/>
      <c r="JY172" s="54"/>
      <c r="JZ172" s="54"/>
      <c r="KA172" s="54"/>
      <c r="KB172" s="54"/>
      <c r="KC172" s="54"/>
      <c r="KD172" s="54"/>
      <c r="KE172" s="54"/>
      <c r="KF172" s="54"/>
      <c r="KG172" s="54"/>
      <c r="KH172" s="54"/>
      <c r="KI172" s="54"/>
      <c r="KJ172" s="54"/>
      <c r="KK172" s="54"/>
      <c r="KL172" s="54"/>
      <c r="KM172" s="54"/>
      <c r="KN172" s="54"/>
      <c r="KO172" s="54"/>
      <c r="KP172" s="54"/>
      <c r="KQ172" s="54"/>
      <c r="KR172" s="54"/>
      <c r="KS172" s="54"/>
      <c r="KT172" s="54"/>
      <c r="KU172" s="54"/>
      <c r="KV172" s="54"/>
      <c r="KW172" s="54"/>
      <c r="KX172" s="54"/>
    </row>
    <row r="173" ht="5.2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c r="BS173" s="54"/>
      <c r="BT173" s="54"/>
      <c r="BU173" s="54"/>
      <c r="BV173" s="54"/>
      <c r="BW173" s="108"/>
      <c r="BX173" s="60"/>
      <c r="CH173" s="11"/>
      <c r="CI173" s="10"/>
      <c r="CK173" s="11"/>
      <c r="CL173" s="10"/>
      <c r="DF173" s="108"/>
      <c r="DG173" s="108"/>
      <c r="DH173" s="108"/>
      <c r="DI173" s="108"/>
      <c r="DJ173" s="108"/>
      <c r="DK173" s="108"/>
      <c r="DL173" s="108"/>
      <c r="DM173" s="108"/>
      <c r="DN173" s="108"/>
      <c r="DQ173" s="11"/>
      <c r="DR173" s="10"/>
      <c r="DT173" s="11"/>
      <c r="DU173" s="10"/>
      <c r="DX173" s="108"/>
      <c r="DY173" s="108"/>
      <c r="DZ173" s="108"/>
      <c r="EA173" s="108"/>
      <c r="EB173" s="108"/>
      <c r="EC173" s="108"/>
      <c r="ED173" s="108"/>
      <c r="EE173" s="116"/>
      <c r="EF173" s="108"/>
      <c r="EG173" s="54"/>
      <c r="EH173" s="54"/>
      <c r="EI173" s="108"/>
      <c r="EJ173" s="60"/>
      <c r="ET173" s="11"/>
      <c r="EU173" s="10"/>
      <c r="EW173" s="11"/>
      <c r="EX173" s="10"/>
      <c r="FR173" s="108"/>
      <c r="FS173" s="108"/>
      <c r="FT173" s="108"/>
      <c r="FU173" s="108"/>
      <c r="FV173" s="108"/>
      <c r="FW173" s="108"/>
      <c r="FX173" s="108"/>
      <c r="FY173" s="108"/>
      <c r="FZ173" s="108"/>
      <c r="GC173" s="11"/>
      <c r="GD173" s="10"/>
      <c r="GF173" s="11"/>
      <c r="GG173" s="10"/>
      <c r="GJ173" s="108"/>
      <c r="GK173" s="108"/>
      <c r="GL173" s="108"/>
      <c r="GM173" s="108"/>
      <c r="GN173" s="108"/>
      <c r="GO173" s="108"/>
      <c r="GP173" s="108"/>
      <c r="GQ173" s="116"/>
      <c r="GR173" s="108"/>
      <c r="GS173" s="54"/>
      <c r="GT173" s="54"/>
      <c r="GU173" s="54"/>
      <c r="GV173" s="54"/>
      <c r="GW173" s="54"/>
      <c r="GX173" s="54"/>
      <c r="GY173" s="54"/>
      <c r="GZ173" s="54"/>
      <c r="HA173" s="54"/>
      <c r="HB173" s="54"/>
      <c r="HC173" s="54"/>
      <c r="HD173" s="54"/>
      <c r="HE173" s="54"/>
      <c r="HF173" s="54"/>
      <c r="HG173" s="54"/>
      <c r="HH173" s="54"/>
      <c r="HI173" s="54"/>
      <c r="HJ173" s="54"/>
      <c r="HK173" s="54"/>
      <c r="HL173" s="54"/>
      <c r="HM173" s="54"/>
      <c r="HN173" s="54"/>
      <c r="HO173" s="54"/>
      <c r="HP173" s="54"/>
      <c r="HQ173" s="54"/>
      <c r="HR173" s="54"/>
      <c r="HS173" s="54"/>
      <c r="HT173" s="54"/>
      <c r="HU173" s="54"/>
      <c r="HV173" s="54"/>
      <c r="HW173" s="54"/>
      <c r="HX173" s="54"/>
      <c r="HY173" s="54"/>
      <c r="HZ173" s="54"/>
      <c r="IA173" s="54"/>
      <c r="IB173" s="54"/>
      <c r="IC173" s="54"/>
      <c r="ID173" s="54"/>
      <c r="IE173" s="54"/>
      <c r="IF173" s="54"/>
      <c r="IG173" s="54"/>
      <c r="IH173" s="54"/>
      <c r="II173" s="54"/>
      <c r="IJ173" s="54"/>
      <c r="IK173" s="54"/>
      <c r="IL173" s="54"/>
      <c r="IM173" s="54"/>
      <c r="IN173" s="54"/>
      <c r="IO173" s="54"/>
      <c r="IP173" s="54"/>
      <c r="IQ173" s="54"/>
      <c r="IR173" s="54"/>
      <c r="IS173" s="54"/>
      <c r="IT173" s="54"/>
      <c r="IU173" s="54"/>
      <c r="IV173" s="54"/>
      <c r="IW173" s="54"/>
      <c r="IX173" s="54"/>
      <c r="IY173" s="54"/>
      <c r="IZ173" s="54"/>
      <c r="JA173" s="54"/>
      <c r="JB173" s="54"/>
      <c r="JC173" s="54"/>
      <c r="JD173" s="54"/>
      <c r="JE173" s="54"/>
      <c r="JF173" s="54"/>
      <c r="JG173" s="54"/>
      <c r="JH173" s="54"/>
      <c r="JI173" s="54"/>
      <c r="JJ173" s="54"/>
      <c r="JK173" s="54"/>
      <c r="JL173" s="54"/>
      <c r="JM173" s="54"/>
      <c r="JN173" s="54"/>
      <c r="JO173" s="54"/>
      <c r="JP173" s="54"/>
      <c r="JQ173" s="54"/>
      <c r="JR173" s="54"/>
      <c r="JS173" s="54"/>
      <c r="JT173" s="54"/>
      <c r="JU173" s="54"/>
      <c r="JV173" s="54"/>
      <c r="JW173" s="54"/>
      <c r="JX173" s="54"/>
      <c r="JY173" s="54"/>
      <c r="JZ173" s="54"/>
      <c r="KA173" s="54"/>
      <c r="KB173" s="54"/>
      <c r="KC173" s="54"/>
      <c r="KD173" s="54"/>
      <c r="KE173" s="54"/>
      <c r="KF173" s="54"/>
      <c r="KG173" s="54"/>
      <c r="KH173" s="54"/>
      <c r="KI173" s="54"/>
      <c r="KJ173" s="54"/>
      <c r="KK173" s="54"/>
      <c r="KL173" s="54"/>
      <c r="KM173" s="54"/>
      <c r="KN173" s="54"/>
      <c r="KO173" s="54"/>
      <c r="KP173" s="54"/>
      <c r="KQ173" s="54"/>
      <c r="KR173" s="54"/>
      <c r="KS173" s="54"/>
      <c r="KT173" s="54"/>
      <c r="KU173" s="54"/>
      <c r="KV173" s="54"/>
      <c r="KW173" s="54"/>
      <c r="KX173" s="54"/>
    </row>
    <row r="174" ht="5.2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c r="BS174" s="54"/>
      <c r="BT174" s="54"/>
      <c r="BU174" s="54"/>
      <c r="BV174" s="54"/>
      <c r="BW174" s="108"/>
      <c r="BX174" s="70"/>
      <c r="BY174" s="71"/>
      <c r="BZ174" s="71"/>
      <c r="CA174" s="71"/>
      <c r="CB174" s="71"/>
      <c r="CC174" s="71"/>
      <c r="CD174" s="71"/>
      <c r="CE174" s="71"/>
      <c r="CF174" s="71"/>
      <c r="CG174" s="71"/>
      <c r="CH174" s="72"/>
      <c r="CI174" s="73"/>
      <c r="CJ174" s="71"/>
      <c r="CK174" s="72"/>
      <c r="CL174" s="73"/>
      <c r="CM174" s="71"/>
      <c r="CN174" s="71"/>
      <c r="CO174" s="71"/>
      <c r="CP174" s="71"/>
      <c r="CQ174" s="71"/>
      <c r="CR174" s="71"/>
      <c r="CS174" s="71"/>
      <c r="CT174" s="71"/>
      <c r="CU174" s="71"/>
      <c r="CV174" s="71"/>
      <c r="CW174" s="71"/>
      <c r="CX174" s="71"/>
      <c r="CY174" s="71"/>
      <c r="CZ174" s="71"/>
      <c r="DA174" s="71"/>
      <c r="DB174" s="71"/>
      <c r="DC174" s="71"/>
      <c r="DD174" s="71"/>
      <c r="DE174" s="71"/>
      <c r="DF174" s="117"/>
      <c r="DG174" s="117"/>
      <c r="DH174" s="117"/>
      <c r="DI174" s="117"/>
      <c r="DJ174" s="117"/>
      <c r="DK174" s="117"/>
      <c r="DL174" s="117"/>
      <c r="DM174" s="117"/>
      <c r="DN174" s="117"/>
      <c r="DO174" s="71"/>
      <c r="DP174" s="71"/>
      <c r="DQ174" s="72"/>
      <c r="DR174" s="73"/>
      <c r="DS174" s="71"/>
      <c r="DT174" s="72"/>
      <c r="DU174" s="73"/>
      <c r="DV174" s="71"/>
      <c r="DW174" s="71"/>
      <c r="DX174" s="117"/>
      <c r="DY174" s="117"/>
      <c r="DZ174" s="117"/>
      <c r="EA174" s="117"/>
      <c r="EB174" s="117"/>
      <c r="EC174" s="117"/>
      <c r="ED174" s="117"/>
      <c r="EE174" s="118"/>
      <c r="EF174" s="108"/>
      <c r="EG174" s="54"/>
      <c r="EH174" s="54"/>
      <c r="EI174" s="108"/>
      <c r="EJ174" s="70"/>
      <c r="EK174" s="71"/>
      <c r="EL174" s="71"/>
      <c r="EM174" s="71"/>
      <c r="EN174" s="71"/>
      <c r="EO174" s="71"/>
      <c r="EP174" s="71"/>
      <c r="EQ174" s="71"/>
      <c r="ER174" s="71"/>
      <c r="ES174" s="71"/>
      <c r="ET174" s="72"/>
      <c r="EU174" s="73"/>
      <c r="EV174" s="71"/>
      <c r="EW174" s="72"/>
      <c r="EX174" s="73"/>
      <c r="EY174" s="71"/>
      <c r="EZ174" s="71"/>
      <c r="FA174" s="71"/>
      <c r="FB174" s="71"/>
      <c r="FC174" s="71"/>
      <c r="FD174" s="71"/>
      <c r="FE174" s="71"/>
      <c r="FF174" s="71"/>
      <c r="FG174" s="71"/>
      <c r="FH174" s="71"/>
      <c r="FI174" s="71"/>
      <c r="FJ174" s="71"/>
      <c r="FK174" s="71"/>
      <c r="FL174" s="71"/>
      <c r="FM174" s="71"/>
      <c r="FN174" s="71"/>
      <c r="FO174" s="71"/>
      <c r="FP174" s="71"/>
      <c r="FQ174" s="71"/>
      <c r="FR174" s="117"/>
      <c r="FS174" s="117"/>
      <c r="FT174" s="117"/>
      <c r="FU174" s="117"/>
      <c r="FV174" s="117"/>
      <c r="FW174" s="117"/>
      <c r="FX174" s="117"/>
      <c r="FY174" s="117"/>
      <c r="FZ174" s="117"/>
      <c r="GA174" s="71"/>
      <c r="GB174" s="71"/>
      <c r="GC174" s="72"/>
      <c r="GD174" s="73"/>
      <c r="GE174" s="71"/>
      <c r="GF174" s="72"/>
      <c r="GG174" s="73"/>
      <c r="GH174" s="71"/>
      <c r="GI174" s="71"/>
      <c r="GJ174" s="117"/>
      <c r="GK174" s="117"/>
      <c r="GL174" s="117"/>
      <c r="GM174" s="117"/>
      <c r="GN174" s="117"/>
      <c r="GO174" s="117"/>
      <c r="GP174" s="117"/>
      <c r="GQ174" s="118"/>
      <c r="GR174" s="108"/>
      <c r="GS174" s="54"/>
      <c r="GT174" s="54"/>
      <c r="GU174" s="54"/>
      <c r="GV174" s="54"/>
      <c r="GW174" s="54"/>
      <c r="GX174" s="54"/>
      <c r="GY174" s="54"/>
      <c r="GZ174" s="54"/>
      <c r="HA174" s="54"/>
      <c r="HB174" s="54"/>
      <c r="HC174" s="54"/>
      <c r="HD174" s="54"/>
      <c r="HE174" s="54"/>
      <c r="HF174" s="54"/>
      <c r="HG174" s="54"/>
      <c r="HH174" s="54"/>
      <c r="HI174" s="54"/>
      <c r="HJ174" s="54"/>
      <c r="HK174" s="54"/>
      <c r="HL174" s="54"/>
      <c r="HM174" s="54"/>
      <c r="HN174" s="54"/>
      <c r="HO174" s="54"/>
      <c r="HP174" s="54"/>
      <c r="HQ174" s="54"/>
      <c r="HR174" s="54"/>
      <c r="HS174" s="54"/>
      <c r="HT174" s="54"/>
      <c r="HU174" s="54"/>
      <c r="HV174" s="54"/>
      <c r="HW174" s="54"/>
      <c r="HX174" s="54"/>
      <c r="HY174" s="54"/>
      <c r="HZ174" s="54"/>
      <c r="IA174" s="54"/>
      <c r="IB174" s="54"/>
      <c r="IC174" s="54"/>
      <c r="ID174" s="54"/>
      <c r="IE174" s="54"/>
      <c r="IF174" s="54"/>
      <c r="IG174" s="54"/>
      <c r="IH174" s="54"/>
      <c r="II174" s="54"/>
      <c r="IJ174" s="54"/>
      <c r="IK174" s="54"/>
      <c r="IL174" s="54"/>
      <c r="IM174" s="54"/>
      <c r="IN174" s="54"/>
      <c r="IO174" s="54"/>
      <c r="IP174" s="54"/>
      <c r="IQ174" s="54"/>
      <c r="IR174" s="54"/>
      <c r="IS174" s="54"/>
      <c r="IT174" s="54"/>
      <c r="IU174" s="54"/>
      <c r="IV174" s="54"/>
      <c r="IW174" s="54"/>
      <c r="IX174" s="54"/>
      <c r="IY174" s="54"/>
      <c r="IZ174" s="54"/>
      <c r="JA174" s="54"/>
      <c r="JB174" s="54"/>
      <c r="JC174" s="54"/>
      <c r="JD174" s="54"/>
      <c r="JE174" s="54"/>
      <c r="JF174" s="54"/>
      <c r="JG174" s="54"/>
      <c r="JH174" s="54"/>
      <c r="JI174" s="54"/>
      <c r="JJ174" s="54"/>
      <c r="JK174" s="54"/>
      <c r="JL174" s="54"/>
      <c r="JM174" s="54"/>
      <c r="JN174" s="54"/>
      <c r="JO174" s="54"/>
      <c r="JP174" s="54"/>
      <c r="JQ174" s="54"/>
      <c r="JR174" s="54"/>
      <c r="JS174" s="54"/>
      <c r="JT174" s="54"/>
      <c r="JU174" s="54"/>
      <c r="JV174" s="54"/>
      <c r="JW174" s="54"/>
      <c r="JX174" s="54"/>
      <c r="JY174" s="54"/>
      <c r="JZ174" s="54"/>
      <c r="KA174" s="54"/>
      <c r="KB174" s="54"/>
      <c r="KC174" s="54"/>
      <c r="KD174" s="54"/>
      <c r="KE174" s="54"/>
      <c r="KF174" s="54"/>
      <c r="KG174" s="54"/>
      <c r="KH174" s="54"/>
      <c r="KI174" s="54"/>
      <c r="KJ174" s="54"/>
      <c r="KK174" s="54"/>
      <c r="KL174" s="54"/>
      <c r="KM174" s="54"/>
      <c r="KN174" s="54"/>
      <c r="KO174" s="54"/>
      <c r="KP174" s="54"/>
      <c r="KQ174" s="54"/>
      <c r="KR174" s="54"/>
      <c r="KS174" s="54"/>
      <c r="KT174" s="54"/>
      <c r="KU174" s="54"/>
      <c r="KV174" s="54"/>
      <c r="KW174" s="54"/>
      <c r="KX174" s="54"/>
    </row>
    <row r="175" ht="5.2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c r="BS175" s="54"/>
      <c r="BT175" s="54"/>
      <c r="BU175" s="54"/>
      <c r="BV175" s="54"/>
      <c r="BW175" s="119" t="str">
        <f>if(or(AR120=0,DD120=0),"",qualreseeding!AC163)</f>
        <v/>
      </c>
      <c r="BX175" s="120" t="str">
        <f t="array" ref="BX175">xlookup(BW175,qualdata!$M$2:$M$17,qualdata!$O$2:$O$17,"")</f>
        <v/>
      </c>
      <c r="CB175" s="79" t="str">
        <f t="array" ref="CB175">xlookup(BW175,qualdata!$M$2:$M$17,qualdata!$N$2:$N$17,"")</f>
        <v/>
      </c>
      <c r="CX175" s="67"/>
      <c r="DA175" s="11"/>
      <c r="DB175" s="80"/>
      <c r="DF175" s="81" t="str">
        <f t="array" ref="DF175">xlookup(EF175,qualdata!$M$2:$M$17,qualdata!$N$2:$N$17,"")</f>
        <v/>
      </c>
      <c r="EB175" s="121" t="str">
        <f t="array" ref="EB175">xlookup(EF175,qualdata!$M$2:$M$17,qualdata!$O$2:$O$17,"")</f>
        <v/>
      </c>
      <c r="EE175" s="61"/>
      <c r="EF175" s="119" t="str">
        <f>if(or(AR120=0,DD120=0),"",qualreseeding!AD163)</f>
        <v/>
      </c>
      <c r="EG175" s="54"/>
      <c r="EH175" s="54"/>
      <c r="EI175" s="119" t="str">
        <f>if(or(FP120=0,DD120=0),"",qualreseeding!AC169)</f>
        <v/>
      </c>
      <c r="EJ175" s="120" t="str">
        <f t="array" ref="EJ175">xlookup(EI175,qualdata!$M$2:$M$17,qualdata!$O$2:$O$17,"")</f>
        <v/>
      </c>
      <c r="EN175" s="79" t="str">
        <f t="array" ref="EN175">xlookup(EI175,qualdata!$M$2:$M$17,qualdata!$N$2:$N$17,"")</f>
        <v/>
      </c>
      <c r="FJ175" s="67"/>
      <c r="FM175" s="11"/>
      <c r="FN175" s="80"/>
      <c r="FR175" s="81" t="str">
        <f t="array" ref="FR175">xlookup(GR175,qualdata!$M$2:$M$17,qualdata!$N$2:$N$17,"")</f>
        <v/>
      </c>
      <c r="GN175" s="121" t="str">
        <f t="array" ref="GN175">xlookup(GR175,qualdata!$M$2:$M$17,qualdata!$O$2:$O$17,"")</f>
        <v/>
      </c>
      <c r="GQ175" s="61"/>
      <c r="GR175" s="119" t="str">
        <f>if(or(FP120=0,DD120=0),"",qualreseeding!AD169)</f>
        <v/>
      </c>
      <c r="GS175" s="54"/>
      <c r="GT175" s="54"/>
      <c r="GU175" s="54"/>
      <c r="GV175" s="54"/>
      <c r="GW175" s="54"/>
      <c r="GX175" s="54"/>
      <c r="GY175" s="54"/>
      <c r="GZ175" s="54"/>
      <c r="HA175" s="54"/>
      <c r="HB175" s="54"/>
      <c r="HC175" s="54"/>
      <c r="HD175" s="54"/>
      <c r="HE175" s="54"/>
      <c r="HF175" s="54"/>
      <c r="HG175" s="54"/>
      <c r="HH175" s="54"/>
      <c r="HI175" s="54"/>
      <c r="HJ175" s="54"/>
      <c r="HK175" s="54"/>
      <c r="HL175" s="54"/>
      <c r="HM175" s="54"/>
      <c r="HN175" s="54"/>
      <c r="HO175" s="54"/>
      <c r="HP175" s="54"/>
      <c r="HQ175" s="54"/>
      <c r="HR175" s="54"/>
      <c r="HS175" s="54"/>
      <c r="HT175" s="54"/>
      <c r="HU175" s="54"/>
      <c r="HV175" s="54"/>
      <c r="HW175" s="54"/>
      <c r="HX175" s="54"/>
      <c r="HY175" s="54"/>
      <c r="HZ175" s="54"/>
      <c r="IA175" s="54"/>
      <c r="IB175" s="54"/>
      <c r="IC175" s="54"/>
      <c r="ID175" s="54"/>
      <c r="IE175" s="54"/>
      <c r="IF175" s="54"/>
      <c r="IG175" s="54"/>
      <c r="IH175" s="54"/>
      <c r="II175" s="54"/>
      <c r="IJ175" s="54"/>
      <c r="IK175" s="54"/>
      <c r="IL175" s="54"/>
      <c r="IM175" s="54"/>
      <c r="IN175" s="54"/>
      <c r="IO175" s="54"/>
      <c r="IP175" s="54"/>
      <c r="IQ175" s="54"/>
      <c r="IR175" s="54"/>
      <c r="IS175" s="54"/>
      <c r="IT175" s="54"/>
      <c r="IU175" s="54"/>
      <c r="IV175" s="54"/>
      <c r="IW175" s="54"/>
      <c r="IX175" s="54"/>
      <c r="IY175" s="54"/>
      <c r="IZ175" s="54"/>
      <c r="JA175" s="54"/>
      <c r="JB175" s="54"/>
      <c r="JC175" s="54"/>
      <c r="JD175" s="54"/>
      <c r="JE175" s="54"/>
      <c r="JF175" s="54"/>
      <c r="JG175" s="54"/>
      <c r="JH175" s="54"/>
      <c r="JI175" s="54"/>
      <c r="JJ175" s="54"/>
      <c r="JK175" s="54"/>
      <c r="JL175" s="54"/>
      <c r="JM175" s="54"/>
      <c r="JN175" s="54"/>
      <c r="JO175" s="54"/>
      <c r="JP175" s="54"/>
      <c r="JQ175" s="54"/>
      <c r="JR175" s="54"/>
      <c r="JS175" s="54"/>
      <c r="JT175" s="54"/>
      <c r="JU175" s="54"/>
      <c r="JV175" s="54"/>
      <c r="JW175" s="54"/>
      <c r="JX175" s="54"/>
      <c r="JY175" s="54"/>
      <c r="JZ175" s="54"/>
      <c r="KA175" s="54"/>
      <c r="KB175" s="54"/>
      <c r="KC175" s="54"/>
      <c r="KD175" s="54"/>
      <c r="KE175" s="54"/>
      <c r="KF175" s="54"/>
      <c r="KG175" s="54"/>
      <c r="KH175" s="54"/>
      <c r="KI175" s="54"/>
      <c r="KJ175" s="54"/>
      <c r="KK175" s="54"/>
      <c r="KL175" s="54"/>
      <c r="KM175" s="54"/>
      <c r="KN175" s="54"/>
      <c r="KO175" s="54"/>
      <c r="KP175" s="54"/>
      <c r="KQ175" s="54"/>
      <c r="KR175" s="54"/>
      <c r="KS175" s="54"/>
      <c r="KT175" s="54"/>
      <c r="KU175" s="54"/>
      <c r="KV175" s="54"/>
      <c r="KW175" s="54"/>
      <c r="KX175" s="54"/>
    </row>
    <row r="176" ht="5.2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54"/>
      <c r="BK176" s="54"/>
      <c r="BL176" s="54"/>
      <c r="BM176" s="54"/>
      <c r="BN176" s="54"/>
      <c r="BO176" s="54"/>
      <c r="BP176" s="54"/>
      <c r="BQ176" s="54"/>
      <c r="BR176" s="54"/>
      <c r="BS176" s="54"/>
      <c r="BT176" s="54"/>
      <c r="BU176" s="54"/>
      <c r="BV176" s="54"/>
      <c r="BW176" s="108"/>
      <c r="BX176" s="60"/>
      <c r="DA176" s="11"/>
      <c r="DB176" s="10"/>
      <c r="EE176" s="61"/>
      <c r="EF176" s="108"/>
      <c r="EG176" s="54"/>
      <c r="EH176" s="54"/>
      <c r="EI176" s="108"/>
      <c r="EJ176" s="60"/>
      <c r="FM176" s="11"/>
      <c r="FN176" s="10"/>
      <c r="GQ176" s="61"/>
      <c r="GR176" s="108"/>
      <c r="GS176" s="54"/>
      <c r="GT176" s="54"/>
      <c r="GU176" s="54"/>
      <c r="GV176" s="54"/>
      <c r="GW176" s="54"/>
      <c r="GX176" s="54"/>
      <c r="GY176" s="54"/>
      <c r="GZ176" s="54"/>
      <c r="HA176" s="54"/>
      <c r="HB176" s="54"/>
      <c r="HC176" s="54"/>
      <c r="HD176" s="54"/>
      <c r="HE176" s="54"/>
      <c r="HF176" s="54"/>
      <c r="HG176" s="54"/>
      <c r="HH176" s="54"/>
      <c r="HI176" s="54"/>
      <c r="HJ176" s="54"/>
      <c r="HK176" s="54"/>
      <c r="HL176" s="54"/>
      <c r="HM176" s="54"/>
      <c r="HN176" s="54"/>
      <c r="HO176" s="54"/>
      <c r="HP176" s="54"/>
      <c r="HQ176" s="54"/>
      <c r="HR176" s="54"/>
      <c r="HS176" s="54"/>
      <c r="HT176" s="54"/>
      <c r="HU176" s="54"/>
      <c r="HV176" s="54"/>
      <c r="HW176" s="54"/>
      <c r="HX176" s="54"/>
      <c r="HY176" s="54"/>
      <c r="HZ176" s="54"/>
      <c r="IA176" s="54"/>
      <c r="IB176" s="54"/>
      <c r="IC176" s="54"/>
      <c r="ID176" s="54"/>
      <c r="IE176" s="54"/>
      <c r="IF176" s="54"/>
      <c r="IG176" s="54"/>
      <c r="IH176" s="54"/>
      <c r="II176" s="54"/>
      <c r="IJ176" s="54"/>
      <c r="IK176" s="54"/>
      <c r="IL176" s="54"/>
      <c r="IM176" s="54"/>
      <c r="IN176" s="54"/>
      <c r="IO176" s="54"/>
      <c r="IP176" s="54"/>
      <c r="IQ176" s="54"/>
      <c r="IR176" s="54"/>
      <c r="IS176" s="54"/>
      <c r="IT176" s="54"/>
      <c r="IU176" s="54"/>
      <c r="IV176" s="54"/>
      <c r="IW176" s="54"/>
      <c r="IX176" s="54"/>
      <c r="IY176" s="54"/>
      <c r="IZ176" s="54"/>
      <c r="JA176" s="54"/>
      <c r="JB176" s="54"/>
      <c r="JC176" s="54"/>
      <c r="JD176" s="54"/>
      <c r="JE176" s="54"/>
      <c r="JF176" s="54"/>
      <c r="JG176" s="54"/>
      <c r="JH176" s="54"/>
      <c r="JI176" s="54"/>
      <c r="JJ176" s="54"/>
      <c r="JK176" s="54"/>
      <c r="JL176" s="54"/>
      <c r="JM176" s="54"/>
      <c r="JN176" s="54"/>
      <c r="JO176" s="54"/>
      <c r="JP176" s="54"/>
      <c r="JQ176" s="54"/>
      <c r="JR176" s="54"/>
      <c r="JS176" s="54"/>
      <c r="JT176" s="54"/>
      <c r="JU176" s="54"/>
      <c r="JV176" s="54"/>
      <c r="JW176" s="54"/>
      <c r="JX176" s="54"/>
      <c r="JY176" s="54"/>
      <c r="JZ176" s="54"/>
      <c r="KA176" s="54"/>
      <c r="KB176" s="54"/>
      <c r="KC176" s="54"/>
      <c r="KD176" s="54"/>
      <c r="KE176" s="54"/>
      <c r="KF176" s="54"/>
      <c r="KG176" s="54"/>
      <c r="KH176" s="54"/>
      <c r="KI176" s="54"/>
      <c r="KJ176" s="54"/>
      <c r="KK176" s="54"/>
      <c r="KL176" s="54"/>
      <c r="KM176" s="54"/>
      <c r="KN176" s="54"/>
      <c r="KO176" s="54"/>
      <c r="KP176" s="54"/>
      <c r="KQ176" s="54"/>
      <c r="KR176" s="54"/>
      <c r="KS176" s="54"/>
      <c r="KT176" s="54"/>
      <c r="KU176" s="54"/>
      <c r="KV176" s="54"/>
      <c r="KW176" s="54"/>
      <c r="KX176" s="54"/>
    </row>
    <row r="177" ht="5.2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c r="BS177" s="54"/>
      <c r="BT177" s="54"/>
      <c r="BU177" s="54"/>
      <c r="BV177" s="54"/>
      <c r="BW177" s="108"/>
      <c r="BX177" s="60"/>
      <c r="DA177" s="11"/>
      <c r="DB177" s="10"/>
      <c r="EE177" s="61"/>
      <c r="EF177" s="108"/>
      <c r="EG177" s="54"/>
      <c r="EH177" s="54"/>
      <c r="EI177" s="108"/>
      <c r="EJ177" s="60"/>
      <c r="FM177" s="11"/>
      <c r="FN177" s="10"/>
      <c r="GQ177" s="61"/>
      <c r="GR177" s="108"/>
      <c r="GS177" s="54"/>
      <c r="GT177" s="54"/>
      <c r="GU177" s="54"/>
      <c r="GV177" s="54"/>
      <c r="GW177" s="54"/>
      <c r="GX177" s="54"/>
      <c r="GY177" s="54"/>
      <c r="GZ177" s="54"/>
      <c r="HA177" s="54"/>
      <c r="HB177" s="54"/>
      <c r="HC177" s="54"/>
      <c r="HD177" s="54"/>
      <c r="HE177" s="54"/>
      <c r="HF177" s="54"/>
      <c r="HG177" s="54"/>
      <c r="HH177" s="54"/>
      <c r="HI177" s="54"/>
      <c r="HJ177" s="54"/>
      <c r="HK177" s="54"/>
      <c r="HL177" s="54"/>
      <c r="HM177" s="54"/>
      <c r="HN177" s="54"/>
      <c r="HO177" s="54"/>
      <c r="HP177" s="54"/>
      <c r="HQ177" s="54"/>
      <c r="HR177" s="54"/>
      <c r="HS177" s="54"/>
      <c r="HT177" s="54"/>
      <c r="HU177" s="54"/>
      <c r="HV177" s="54"/>
      <c r="HW177" s="54"/>
      <c r="HX177" s="54"/>
      <c r="HY177" s="54"/>
      <c r="HZ177" s="54"/>
      <c r="IA177" s="54"/>
      <c r="IB177" s="54"/>
      <c r="IC177" s="54"/>
      <c r="ID177" s="54"/>
      <c r="IE177" s="54"/>
      <c r="IF177" s="54"/>
      <c r="IG177" s="54"/>
      <c r="IH177" s="54"/>
      <c r="II177" s="54"/>
      <c r="IJ177" s="54"/>
      <c r="IK177" s="54"/>
      <c r="IL177" s="54"/>
      <c r="IM177" s="54"/>
      <c r="IN177" s="54"/>
      <c r="IO177" s="54"/>
      <c r="IP177" s="54"/>
      <c r="IQ177" s="54"/>
      <c r="IR177" s="54"/>
      <c r="IS177" s="54"/>
      <c r="IT177" s="54"/>
      <c r="IU177" s="54"/>
      <c r="IV177" s="54"/>
      <c r="IW177" s="54"/>
      <c r="IX177" s="54"/>
      <c r="IY177" s="54"/>
      <c r="IZ177" s="54"/>
      <c r="JA177" s="54"/>
      <c r="JB177" s="54"/>
      <c r="JC177" s="54"/>
      <c r="JD177" s="54"/>
      <c r="JE177" s="54"/>
      <c r="JF177" s="54"/>
      <c r="JG177" s="54"/>
      <c r="JH177" s="54"/>
      <c r="JI177" s="54"/>
      <c r="JJ177" s="54"/>
      <c r="JK177" s="54"/>
      <c r="JL177" s="54"/>
      <c r="JM177" s="54"/>
      <c r="JN177" s="54"/>
      <c r="JO177" s="54"/>
      <c r="JP177" s="54"/>
      <c r="JQ177" s="54"/>
      <c r="JR177" s="54"/>
      <c r="JS177" s="54"/>
      <c r="JT177" s="54"/>
      <c r="JU177" s="54"/>
      <c r="JV177" s="54"/>
      <c r="JW177" s="54"/>
      <c r="JX177" s="54"/>
      <c r="JY177" s="54"/>
      <c r="JZ177" s="54"/>
      <c r="KA177" s="54"/>
      <c r="KB177" s="54"/>
      <c r="KC177" s="54"/>
      <c r="KD177" s="54"/>
      <c r="KE177" s="54"/>
      <c r="KF177" s="54"/>
      <c r="KG177" s="54"/>
      <c r="KH177" s="54"/>
      <c r="KI177" s="54"/>
      <c r="KJ177" s="54"/>
      <c r="KK177" s="54"/>
      <c r="KL177" s="54"/>
      <c r="KM177" s="54"/>
      <c r="KN177" s="54"/>
      <c r="KO177" s="54"/>
      <c r="KP177" s="54"/>
      <c r="KQ177" s="54"/>
      <c r="KR177" s="54"/>
      <c r="KS177" s="54"/>
      <c r="KT177" s="54"/>
      <c r="KU177" s="54"/>
      <c r="KV177" s="54"/>
      <c r="KW177" s="54"/>
      <c r="KX177" s="54"/>
    </row>
    <row r="178" ht="5.2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c r="BS178" s="54"/>
      <c r="BT178" s="54"/>
      <c r="BU178" s="54"/>
      <c r="BV178" s="54"/>
      <c r="BW178" s="108"/>
      <c r="BX178" s="60"/>
      <c r="DA178" s="11"/>
      <c r="DB178" s="10"/>
      <c r="EE178" s="61"/>
      <c r="EF178" s="108"/>
      <c r="EG178" s="54"/>
      <c r="EH178" s="54"/>
      <c r="EI178" s="108"/>
      <c r="EJ178" s="60"/>
      <c r="FM178" s="11"/>
      <c r="FN178" s="10"/>
      <c r="GQ178" s="61"/>
      <c r="GR178" s="108"/>
      <c r="GS178" s="54"/>
      <c r="GT178" s="54"/>
      <c r="GU178" s="54"/>
      <c r="GV178" s="54"/>
      <c r="GW178" s="54"/>
      <c r="GX178" s="54"/>
      <c r="GY178" s="54"/>
      <c r="GZ178" s="54"/>
      <c r="HA178" s="54"/>
      <c r="HB178" s="54"/>
      <c r="HC178" s="54"/>
      <c r="HD178" s="54"/>
      <c r="HE178" s="54"/>
      <c r="HF178" s="54"/>
      <c r="HG178" s="54"/>
      <c r="HH178" s="54"/>
      <c r="HI178" s="54"/>
      <c r="HJ178" s="54"/>
      <c r="HK178" s="54"/>
      <c r="HL178" s="54"/>
      <c r="HM178" s="54"/>
      <c r="HN178" s="54"/>
      <c r="HO178" s="54"/>
      <c r="HP178" s="54"/>
      <c r="HQ178" s="54"/>
      <c r="HR178" s="54"/>
      <c r="HS178" s="54"/>
      <c r="HT178" s="54"/>
      <c r="HU178" s="54"/>
      <c r="HV178" s="54"/>
      <c r="HW178" s="54"/>
      <c r="HX178" s="54"/>
      <c r="HY178" s="54"/>
      <c r="HZ178" s="54"/>
      <c r="IA178" s="54"/>
      <c r="IB178" s="54"/>
      <c r="IC178" s="54"/>
      <c r="ID178" s="54"/>
      <c r="IE178" s="54"/>
      <c r="IF178" s="54"/>
      <c r="IG178" s="54"/>
      <c r="IH178" s="54"/>
      <c r="II178" s="54"/>
      <c r="IJ178" s="54"/>
      <c r="IK178" s="54"/>
      <c r="IL178" s="54"/>
      <c r="IM178" s="54"/>
      <c r="IN178" s="54"/>
      <c r="IO178" s="54"/>
      <c r="IP178" s="54"/>
      <c r="IQ178" s="54"/>
      <c r="IR178" s="54"/>
      <c r="IS178" s="54"/>
      <c r="IT178" s="54"/>
      <c r="IU178" s="54"/>
      <c r="IV178" s="54"/>
      <c r="IW178" s="54"/>
      <c r="IX178" s="54"/>
      <c r="IY178" s="54"/>
      <c r="IZ178" s="54"/>
      <c r="JA178" s="54"/>
      <c r="JB178" s="54"/>
      <c r="JC178" s="54"/>
      <c r="JD178" s="54"/>
      <c r="JE178" s="54"/>
      <c r="JF178" s="54"/>
      <c r="JG178" s="54"/>
      <c r="JH178" s="54"/>
      <c r="JI178" s="54"/>
      <c r="JJ178" s="54"/>
      <c r="JK178" s="54"/>
      <c r="JL178" s="54"/>
      <c r="JM178" s="54"/>
      <c r="JN178" s="54"/>
      <c r="JO178" s="54"/>
      <c r="JP178" s="54"/>
      <c r="JQ178" s="54"/>
      <c r="JR178" s="54"/>
      <c r="JS178" s="54"/>
      <c r="JT178" s="54"/>
      <c r="JU178" s="54"/>
      <c r="JV178" s="54"/>
      <c r="JW178" s="54"/>
      <c r="JX178" s="54"/>
      <c r="JY178" s="54"/>
      <c r="JZ178" s="54"/>
      <c r="KA178" s="54"/>
      <c r="KB178" s="54"/>
      <c r="KC178" s="54"/>
      <c r="KD178" s="54"/>
      <c r="KE178" s="54"/>
      <c r="KF178" s="54"/>
      <c r="KG178" s="54"/>
      <c r="KH178" s="54"/>
      <c r="KI178" s="54"/>
      <c r="KJ178" s="54"/>
      <c r="KK178" s="54"/>
      <c r="KL178" s="54"/>
      <c r="KM178" s="54"/>
      <c r="KN178" s="54"/>
      <c r="KO178" s="54"/>
      <c r="KP178" s="54"/>
      <c r="KQ178" s="54"/>
      <c r="KR178" s="54"/>
      <c r="KS178" s="54"/>
      <c r="KT178" s="54"/>
      <c r="KU178" s="54"/>
      <c r="KV178" s="54"/>
      <c r="KW178" s="54"/>
      <c r="KX178" s="54"/>
    </row>
    <row r="179" ht="5.2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c r="BS179" s="54"/>
      <c r="BT179" s="54"/>
      <c r="BU179" s="54"/>
      <c r="BV179" s="54"/>
      <c r="BW179" s="119" t="str">
        <f>BW175</f>
        <v/>
      </c>
      <c r="BX179" s="112"/>
      <c r="CF179" s="135"/>
      <c r="CH179" s="11"/>
      <c r="CI179" s="127"/>
      <c r="CK179" s="11"/>
      <c r="CL179" s="124"/>
      <c r="CO179" s="108"/>
      <c r="CX179" s="85">
        <f>sum(CF179:CN181)</f>
        <v>0</v>
      </c>
      <c r="DA179" s="11"/>
      <c r="DB179" s="86">
        <f>sum(DO179:DW181)</f>
        <v>0</v>
      </c>
      <c r="DF179" s="108"/>
      <c r="DG179" s="108"/>
      <c r="DH179" s="108"/>
      <c r="DI179" s="108"/>
      <c r="DJ179" s="108"/>
      <c r="DK179" s="108"/>
      <c r="DL179" s="108"/>
      <c r="DM179" s="108"/>
      <c r="DN179" s="108"/>
      <c r="DO179" s="125"/>
      <c r="DQ179" s="11"/>
      <c r="DR179" s="126"/>
      <c r="DT179" s="11"/>
      <c r="DU179" s="127"/>
      <c r="DX179" s="108"/>
      <c r="DY179" s="108"/>
      <c r="DZ179" s="108"/>
      <c r="EA179" s="108"/>
      <c r="EB179" s="108"/>
      <c r="EC179" s="108"/>
      <c r="ED179" s="108"/>
      <c r="EE179" s="116"/>
      <c r="EF179" s="119" t="str">
        <f>EF175</f>
        <v/>
      </c>
      <c r="EG179" s="54"/>
      <c r="EH179" s="54"/>
      <c r="EI179" s="119" t="str">
        <f>EI175</f>
        <v/>
      </c>
      <c r="EJ179" s="112"/>
      <c r="ER179" s="135"/>
      <c r="ET179" s="11"/>
      <c r="EU179" s="127"/>
      <c r="EW179" s="11"/>
      <c r="EX179" s="127"/>
      <c r="FA179" s="108"/>
      <c r="FJ179" s="85">
        <f>sum(ER179:EZ181)</f>
        <v>0</v>
      </c>
      <c r="FM179" s="11"/>
      <c r="FN179" s="86">
        <f>sum(GA179:GI181)</f>
        <v>0</v>
      </c>
      <c r="FR179" s="108"/>
      <c r="FS179" s="108"/>
      <c r="FT179" s="108"/>
      <c r="FU179" s="108"/>
      <c r="FV179" s="108"/>
      <c r="FW179" s="108"/>
      <c r="FX179" s="108"/>
      <c r="FY179" s="108"/>
      <c r="FZ179" s="108"/>
      <c r="GA179" s="122"/>
      <c r="GC179" s="11"/>
      <c r="GD179" s="126"/>
      <c r="GF179" s="11"/>
      <c r="GG179" s="127"/>
      <c r="GJ179" s="108"/>
      <c r="GK179" s="108"/>
      <c r="GL179" s="108"/>
      <c r="GM179" s="108"/>
      <c r="GN179" s="108"/>
      <c r="GO179" s="108"/>
      <c r="GP179" s="108"/>
      <c r="GQ179" s="116"/>
      <c r="GR179" s="119" t="str">
        <f>GR175</f>
        <v/>
      </c>
      <c r="GS179" s="54"/>
      <c r="GT179" s="54"/>
      <c r="GU179" s="54"/>
      <c r="GV179" s="54"/>
      <c r="GW179" s="54"/>
      <c r="GX179" s="54"/>
      <c r="GY179" s="54"/>
      <c r="GZ179" s="54"/>
      <c r="HA179" s="54"/>
      <c r="HB179" s="54"/>
      <c r="HC179" s="54"/>
      <c r="HD179" s="54"/>
      <c r="HE179" s="54"/>
      <c r="HF179" s="54"/>
      <c r="HG179" s="54"/>
      <c r="HH179" s="54"/>
      <c r="HI179" s="54"/>
      <c r="HJ179" s="54"/>
      <c r="HK179" s="54"/>
      <c r="HL179" s="54"/>
      <c r="HM179" s="54"/>
      <c r="HN179" s="54"/>
      <c r="HO179" s="54"/>
      <c r="HP179" s="54"/>
      <c r="HQ179" s="54"/>
      <c r="HR179" s="54"/>
      <c r="HS179" s="54"/>
      <c r="HT179" s="54"/>
      <c r="HU179" s="54"/>
      <c r="HV179" s="54"/>
      <c r="HW179" s="54"/>
      <c r="HX179" s="54"/>
      <c r="HY179" s="54"/>
      <c r="HZ179" s="54"/>
      <c r="IA179" s="54"/>
      <c r="IB179" s="54"/>
      <c r="IC179" s="54"/>
      <c r="ID179" s="54"/>
      <c r="IE179" s="54"/>
      <c r="IF179" s="54"/>
      <c r="IG179" s="54"/>
      <c r="IH179" s="54"/>
      <c r="II179" s="54"/>
      <c r="IJ179" s="54"/>
      <c r="IK179" s="54"/>
      <c r="IL179" s="54"/>
      <c r="IM179" s="54"/>
      <c r="IN179" s="54"/>
      <c r="IO179" s="54"/>
      <c r="IP179" s="54"/>
      <c r="IQ179" s="54"/>
      <c r="IR179" s="54"/>
      <c r="IS179" s="54"/>
      <c r="IT179" s="54"/>
      <c r="IU179" s="54"/>
      <c r="IV179" s="54"/>
      <c r="IW179" s="54"/>
      <c r="IX179" s="54"/>
      <c r="IY179" s="54"/>
      <c r="IZ179" s="54"/>
      <c r="JA179" s="54"/>
      <c r="JB179" s="54"/>
      <c r="JC179" s="54"/>
      <c r="JD179" s="54"/>
      <c r="JE179" s="54"/>
      <c r="JF179" s="54"/>
      <c r="JG179" s="54"/>
      <c r="JH179" s="54"/>
      <c r="JI179" s="54"/>
      <c r="JJ179" s="54"/>
      <c r="JK179" s="54"/>
      <c r="JL179" s="54"/>
      <c r="JM179" s="54"/>
      <c r="JN179" s="54"/>
      <c r="JO179" s="54"/>
      <c r="JP179" s="54"/>
      <c r="JQ179" s="54"/>
      <c r="JR179" s="54"/>
      <c r="JS179" s="54"/>
      <c r="JT179" s="54"/>
      <c r="JU179" s="54"/>
      <c r="JV179" s="54"/>
      <c r="JW179" s="54"/>
      <c r="JX179" s="54"/>
      <c r="JY179" s="54"/>
      <c r="JZ179" s="54"/>
      <c r="KA179" s="54"/>
      <c r="KB179" s="54"/>
      <c r="KC179" s="54"/>
      <c r="KD179" s="54"/>
      <c r="KE179" s="54"/>
      <c r="KF179" s="54"/>
      <c r="KG179" s="54"/>
      <c r="KH179" s="54"/>
      <c r="KI179" s="54"/>
      <c r="KJ179" s="54"/>
      <c r="KK179" s="54"/>
      <c r="KL179" s="54"/>
      <c r="KM179" s="54"/>
      <c r="KN179" s="54"/>
      <c r="KO179" s="54"/>
      <c r="KP179" s="54"/>
      <c r="KQ179" s="54"/>
      <c r="KR179" s="54"/>
      <c r="KS179" s="54"/>
      <c r="KT179" s="54"/>
      <c r="KU179" s="54"/>
      <c r="KV179" s="54"/>
      <c r="KW179" s="54"/>
      <c r="KX179" s="54"/>
    </row>
    <row r="180" ht="5.2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c r="BS180" s="54"/>
      <c r="BT180" s="54"/>
      <c r="BU180" s="54"/>
      <c r="BV180" s="54"/>
      <c r="BW180" s="108"/>
      <c r="BX180" s="60"/>
      <c r="CH180" s="11"/>
      <c r="CI180" s="10"/>
      <c r="CK180" s="11"/>
      <c r="CL180" s="10"/>
      <c r="DA180" s="11"/>
      <c r="DB180" s="10"/>
      <c r="DF180" s="108"/>
      <c r="DG180" s="108"/>
      <c r="DH180" s="108"/>
      <c r="DI180" s="108"/>
      <c r="DJ180" s="108"/>
      <c r="DK180" s="108"/>
      <c r="DL180" s="108"/>
      <c r="DM180" s="108"/>
      <c r="DN180" s="108"/>
      <c r="DQ180" s="11"/>
      <c r="DR180" s="10"/>
      <c r="DT180" s="11"/>
      <c r="DU180" s="10"/>
      <c r="DX180" s="108"/>
      <c r="DY180" s="108"/>
      <c r="DZ180" s="108"/>
      <c r="EA180" s="108"/>
      <c r="EB180" s="108"/>
      <c r="EC180" s="108"/>
      <c r="ED180" s="108"/>
      <c r="EE180" s="116"/>
      <c r="EF180" s="108"/>
      <c r="EG180" s="54"/>
      <c r="EH180" s="54"/>
      <c r="EI180" s="108"/>
      <c r="EJ180" s="60"/>
      <c r="ET180" s="11"/>
      <c r="EU180" s="10"/>
      <c r="EW180" s="11"/>
      <c r="EX180" s="10"/>
      <c r="FM180" s="11"/>
      <c r="FN180" s="10"/>
      <c r="FR180" s="108"/>
      <c r="FS180" s="108"/>
      <c r="FT180" s="108"/>
      <c r="FU180" s="108"/>
      <c r="FV180" s="108"/>
      <c r="FW180" s="108"/>
      <c r="FX180" s="108"/>
      <c r="FY180" s="108"/>
      <c r="FZ180" s="108"/>
      <c r="GC180" s="11"/>
      <c r="GD180" s="10"/>
      <c r="GF180" s="11"/>
      <c r="GG180" s="10"/>
      <c r="GJ180" s="108"/>
      <c r="GK180" s="108"/>
      <c r="GL180" s="108"/>
      <c r="GM180" s="108"/>
      <c r="GN180" s="108"/>
      <c r="GO180" s="108"/>
      <c r="GP180" s="108"/>
      <c r="GQ180" s="116"/>
      <c r="GR180" s="108"/>
      <c r="GS180" s="54"/>
      <c r="GT180" s="54"/>
      <c r="GU180" s="54"/>
      <c r="GV180" s="54"/>
      <c r="GW180" s="54"/>
      <c r="GX180" s="54"/>
      <c r="GY180" s="54"/>
      <c r="GZ180" s="54"/>
      <c r="HA180" s="54"/>
      <c r="HB180" s="54"/>
      <c r="HC180" s="54"/>
      <c r="HD180" s="54"/>
      <c r="HE180" s="54"/>
      <c r="HF180" s="54"/>
      <c r="HG180" s="54"/>
      <c r="HH180" s="54"/>
      <c r="HI180" s="54"/>
      <c r="HJ180" s="54"/>
      <c r="HK180" s="54"/>
      <c r="HL180" s="54"/>
      <c r="HM180" s="54"/>
      <c r="HN180" s="54"/>
      <c r="HO180" s="54"/>
      <c r="HP180" s="54"/>
      <c r="HQ180" s="54"/>
      <c r="HR180" s="54"/>
      <c r="HS180" s="54"/>
      <c r="HT180" s="54"/>
      <c r="HU180" s="54"/>
      <c r="HV180" s="54"/>
      <c r="HW180" s="54"/>
      <c r="HX180" s="54"/>
      <c r="HY180" s="54"/>
      <c r="HZ180" s="54"/>
      <c r="IA180" s="54"/>
      <c r="IB180" s="54"/>
      <c r="IC180" s="54"/>
      <c r="ID180" s="54"/>
      <c r="IE180" s="54"/>
      <c r="IF180" s="54"/>
      <c r="IG180" s="54"/>
      <c r="IH180" s="54"/>
      <c r="II180" s="54"/>
      <c r="IJ180" s="54"/>
      <c r="IK180" s="54"/>
      <c r="IL180" s="54"/>
      <c r="IM180" s="54"/>
      <c r="IN180" s="54"/>
      <c r="IO180" s="54"/>
      <c r="IP180" s="54"/>
      <c r="IQ180" s="54"/>
      <c r="IR180" s="54"/>
      <c r="IS180" s="54"/>
      <c r="IT180" s="54"/>
      <c r="IU180" s="54"/>
      <c r="IV180" s="54"/>
      <c r="IW180" s="54"/>
      <c r="IX180" s="54"/>
      <c r="IY180" s="54"/>
      <c r="IZ180" s="54"/>
      <c r="JA180" s="54"/>
      <c r="JB180" s="54"/>
      <c r="JC180" s="54"/>
      <c r="JD180" s="54"/>
      <c r="JE180" s="54"/>
      <c r="JF180" s="54"/>
      <c r="JG180" s="54"/>
      <c r="JH180" s="54"/>
      <c r="JI180" s="54"/>
      <c r="JJ180" s="54"/>
      <c r="JK180" s="54"/>
      <c r="JL180" s="54"/>
      <c r="JM180" s="54"/>
      <c r="JN180" s="54"/>
      <c r="JO180" s="54"/>
      <c r="JP180" s="54"/>
      <c r="JQ180" s="54"/>
      <c r="JR180" s="54"/>
      <c r="JS180" s="54"/>
      <c r="JT180" s="54"/>
      <c r="JU180" s="54"/>
      <c r="JV180" s="54"/>
      <c r="JW180" s="54"/>
      <c r="JX180" s="54"/>
      <c r="JY180" s="54"/>
      <c r="JZ180" s="54"/>
      <c r="KA180" s="54"/>
      <c r="KB180" s="54"/>
      <c r="KC180" s="54"/>
      <c r="KD180" s="54"/>
      <c r="KE180" s="54"/>
      <c r="KF180" s="54"/>
      <c r="KG180" s="54"/>
      <c r="KH180" s="54"/>
      <c r="KI180" s="54"/>
      <c r="KJ180" s="54"/>
      <c r="KK180" s="54"/>
      <c r="KL180" s="54"/>
      <c r="KM180" s="54"/>
      <c r="KN180" s="54"/>
      <c r="KO180" s="54"/>
      <c r="KP180" s="54"/>
      <c r="KQ180" s="54"/>
      <c r="KR180" s="54"/>
      <c r="KS180" s="54"/>
      <c r="KT180" s="54"/>
      <c r="KU180" s="54"/>
      <c r="KV180" s="54"/>
      <c r="KW180" s="54"/>
      <c r="KX180" s="54"/>
    </row>
    <row r="181" ht="5.2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c r="BS181" s="54"/>
      <c r="BT181" s="54"/>
      <c r="BU181" s="54"/>
      <c r="BV181" s="54"/>
      <c r="BW181" s="108"/>
      <c r="BX181" s="88"/>
      <c r="BY181" s="13"/>
      <c r="BZ181" s="13"/>
      <c r="CA181" s="13"/>
      <c r="CB181" s="13"/>
      <c r="CC181" s="13"/>
      <c r="CD181" s="13"/>
      <c r="CE181" s="13"/>
      <c r="CF181" s="13"/>
      <c r="CG181" s="13"/>
      <c r="CH181" s="14"/>
      <c r="CI181" s="12"/>
      <c r="CJ181" s="13"/>
      <c r="CK181" s="14"/>
      <c r="CL181" s="12"/>
      <c r="CM181" s="13"/>
      <c r="CN181" s="13"/>
      <c r="CO181" s="13"/>
      <c r="CP181" s="13"/>
      <c r="CQ181" s="13"/>
      <c r="CR181" s="13"/>
      <c r="CS181" s="13"/>
      <c r="CT181" s="13"/>
      <c r="CU181" s="13"/>
      <c r="CV181" s="13"/>
      <c r="CW181" s="13"/>
      <c r="CX181" s="13"/>
      <c r="CY181" s="13"/>
      <c r="CZ181" s="13"/>
      <c r="DA181" s="14"/>
      <c r="DB181" s="12"/>
      <c r="DC181" s="13"/>
      <c r="DD181" s="13"/>
      <c r="DE181" s="13"/>
      <c r="DF181" s="128"/>
      <c r="DG181" s="128"/>
      <c r="DH181" s="128"/>
      <c r="DI181" s="128"/>
      <c r="DJ181" s="128"/>
      <c r="DK181" s="128"/>
      <c r="DL181" s="128"/>
      <c r="DM181" s="128"/>
      <c r="DN181" s="128"/>
      <c r="DO181" s="13"/>
      <c r="DP181" s="13"/>
      <c r="DQ181" s="14"/>
      <c r="DR181" s="12"/>
      <c r="DS181" s="13"/>
      <c r="DT181" s="14"/>
      <c r="DU181" s="12"/>
      <c r="DV181" s="13"/>
      <c r="DW181" s="13"/>
      <c r="DX181" s="128"/>
      <c r="DY181" s="128"/>
      <c r="DZ181" s="128"/>
      <c r="EA181" s="128"/>
      <c r="EB181" s="128"/>
      <c r="EC181" s="128"/>
      <c r="ED181" s="128"/>
      <c r="EE181" s="129"/>
      <c r="EF181" s="108"/>
      <c r="EG181" s="54"/>
      <c r="EH181" s="54"/>
      <c r="EI181" s="108"/>
      <c r="EJ181" s="88"/>
      <c r="EK181" s="13"/>
      <c r="EL181" s="13"/>
      <c r="EM181" s="13"/>
      <c r="EN181" s="13"/>
      <c r="EO181" s="13"/>
      <c r="EP181" s="13"/>
      <c r="EQ181" s="13"/>
      <c r="ER181" s="13"/>
      <c r="ES181" s="13"/>
      <c r="ET181" s="14"/>
      <c r="EU181" s="12"/>
      <c r="EV181" s="13"/>
      <c r="EW181" s="14"/>
      <c r="EX181" s="12"/>
      <c r="EY181" s="13"/>
      <c r="EZ181" s="13"/>
      <c r="FA181" s="13"/>
      <c r="FB181" s="13"/>
      <c r="FC181" s="13"/>
      <c r="FD181" s="13"/>
      <c r="FE181" s="13"/>
      <c r="FF181" s="13"/>
      <c r="FG181" s="13"/>
      <c r="FH181" s="13"/>
      <c r="FI181" s="13"/>
      <c r="FJ181" s="13"/>
      <c r="FK181" s="13"/>
      <c r="FL181" s="13"/>
      <c r="FM181" s="14"/>
      <c r="FN181" s="12"/>
      <c r="FO181" s="13"/>
      <c r="FP181" s="13"/>
      <c r="FQ181" s="13"/>
      <c r="FR181" s="128"/>
      <c r="FS181" s="128"/>
      <c r="FT181" s="128"/>
      <c r="FU181" s="128"/>
      <c r="FV181" s="128"/>
      <c r="FW181" s="128"/>
      <c r="FX181" s="128"/>
      <c r="FY181" s="128"/>
      <c r="FZ181" s="128"/>
      <c r="GA181" s="13"/>
      <c r="GB181" s="13"/>
      <c r="GC181" s="14"/>
      <c r="GD181" s="12"/>
      <c r="GE181" s="13"/>
      <c r="GF181" s="14"/>
      <c r="GG181" s="12"/>
      <c r="GH181" s="13"/>
      <c r="GI181" s="13"/>
      <c r="GJ181" s="128"/>
      <c r="GK181" s="128"/>
      <c r="GL181" s="128"/>
      <c r="GM181" s="128"/>
      <c r="GN181" s="128"/>
      <c r="GO181" s="128"/>
      <c r="GP181" s="128"/>
      <c r="GQ181" s="129"/>
      <c r="GR181" s="108"/>
      <c r="GS181" s="54"/>
      <c r="GT181" s="54"/>
      <c r="GU181" s="54"/>
      <c r="GV181" s="54"/>
      <c r="GW181" s="54"/>
      <c r="GX181" s="54"/>
      <c r="GY181" s="54"/>
      <c r="GZ181" s="54"/>
      <c r="HA181" s="54"/>
      <c r="HB181" s="54"/>
      <c r="HC181" s="54"/>
      <c r="HD181" s="54"/>
      <c r="HE181" s="54"/>
      <c r="HF181" s="54"/>
      <c r="HG181" s="54"/>
      <c r="HH181" s="54"/>
      <c r="HI181" s="54"/>
      <c r="HJ181" s="54"/>
      <c r="HK181" s="54"/>
      <c r="HL181" s="54"/>
      <c r="HM181" s="54"/>
      <c r="HN181" s="54"/>
      <c r="HO181" s="54"/>
      <c r="HP181" s="54"/>
      <c r="HQ181" s="54"/>
      <c r="HR181" s="54"/>
      <c r="HS181" s="54"/>
      <c r="HT181" s="54"/>
      <c r="HU181" s="54"/>
      <c r="HV181" s="54"/>
      <c r="HW181" s="54"/>
      <c r="HX181" s="54"/>
      <c r="HY181" s="54"/>
      <c r="HZ181" s="54"/>
      <c r="IA181" s="54"/>
      <c r="IB181" s="54"/>
      <c r="IC181" s="54"/>
      <c r="ID181" s="54"/>
      <c r="IE181" s="54"/>
      <c r="IF181" s="54"/>
      <c r="IG181" s="54"/>
      <c r="IH181" s="54"/>
      <c r="II181" s="54"/>
      <c r="IJ181" s="54"/>
      <c r="IK181" s="54"/>
      <c r="IL181" s="54"/>
      <c r="IM181" s="54"/>
      <c r="IN181" s="54"/>
      <c r="IO181" s="54"/>
      <c r="IP181" s="54"/>
      <c r="IQ181" s="54"/>
      <c r="IR181" s="54"/>
      <c r="IS181" s="54"/>
      <c r="IT181" s="54"/>
      <c r="IU181" s="54"/>
      <c r="IV181" s="54"/>
      <c r="IW181" s="54"/>
      <c r="IX181" s="54"/>
      <c r="IY181" s="54"/>
      <c r="IZ181" s="54"/>
      <c r="JA181" s="54"/>
      <c r="JB181" s="54"/>
      <c r="JC181" s="54"/>
      <c r="JD181" s="54"/>
      <c r="JE181" s="54"/>
      <c r="JF181" s="54"/>
      <c r="JG181" s="54"/>
      <c r="JH181" s="54"/>
      <c r="JI181" s="54"/>
      <c r="JJ181" s="54"/>
      <c r="JK181" s="54"/>
      <c r="JL181" s="54"/>
      <c r="JM181" s="54"/>
      <c r="JN181" s="54"/>
      <c r="JO181" s="54"/>
      <c r="JP181" s="54"/>
      <c r="JQ181" s="54"/>
      <c r="JR181" s="54"/>
      <c r="JS181" s="54"/>
      <c r="JT181" s="54"/>
      <c r="JU181" s="54"/>
      <c r="JV181" s="54"/>
      <c r="JW181" s="54"/>
      <c r="JX181" s="54"/>
      <c r="JY181" s="54"/>
      <c r="JZ181" s="54"/>
      <c r="KA181" s="54"/>
      <c r="KB181" s="54"/>
      <c r="KC181" s="54"/>
      <c r="KD181" s="54"/>
      <c r="KE181" s="54"/>
      <c r="KF181" s="54"/>
      <c r="KG181" s="54"/>
      <c r="KH181" s="54"/>
      <c r="KI181" s="54"/>
      <c r="KJ181" s="54"/>
      <c r="KK181" s="54"/>
      <c r="KL181" s="54"/>
      <c r="KM181" s="54"/>
      <c r="KN181" s="54"/>
      <c r="KO181" s="54"/>
      <c r="KP181" s="54"/>
      <c r="KQ181" s="54"/>
      <c r="KR181" s="54"/>
      <c r="KS181" s="54"/>
      <c r="KT181" s="54"/>
      <c r="KU181" s="54"/>
      <c r="KV181" s="54"/>
      <c r="KW181" s="54"/>
      <c r="KX181" s="54"/>
    </row>
    <row r="182" ht="5.2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c r="BS182" s="54"/>
      <c r="BT182" s="54"/>
      <c r="BU182" s="54"/>
      <c r="BV182" s="54"/>
      <c r="BW182" s="119" t="str">
        <f>if(or(AR120=0,DD120=0),"",qualreseeding!AC164)</f>
        <v/>
      </c>
      <c r="BX182" s="130" t="str">
        <f t="array" ref="BX182">xlookup(BW182,qualdata!$M$2:$M$17,qualdata!$O$2:$O$17,"")</f>
        <v/>
      </c>
      <c r="BY182" s="8"/>
      <c r="BZ182" s="8"/>
      <c r="CA182" s="8"/>
      <c r="CB182" s="93" t="str">
        <f t="array" ref="CB182">xlookup(BW182,qualdata!$M$2:$M$17,qualdata!$N$2:$N$17,"")</f>
        <v/>
      </c>
      <c r="CC182" s="8"/>
      <c r="CD182" s="8"/>
      <c r="CE182" s="8"/>
      <c r="CF182" s="8"/>
      <c r="CG182" s="8"/>
      <c r="CH182" s="8"/>
      <c r="CI182" s="8"/>
      <c r="CJ182" s="8"/>
      <c r="CK182" s="8"/>
      <c r="CL182" s="8"/>
      <c r="CM182" s="8"/>
      <c r="CN182" s="8"/>
      <c r="CO182" s="8"/>
      <c r="CP182" s="8"/>
      <c r="CQ182" s="8"/>
      <c r="CR182" s="8"/>
      <c r="CS182" s="8"/>
      <c r="CT182" s="8"/>
      <c r="CU182" s="8"/>
      <c r="CV182" s="8"/>
      <c r="CW182" s="8"/>
      <c r="CX182" s="94"/>
      <c r="CY182" s="8"/>
      <c r="CZ182" s="8"/>
      <c r="DA182" s="9"/>
      <c r="DB182" s="95"/>
      <c r="DC182" s="8"/>
      <c r="DD182" s="8"/>
      <c r="DE182" s="8"/>
      <c r="DF182" s="96" t="str">
        <f t="array" ref="DF182">xlookup(EF182,qualdata!$M$2:$M$17,qualdata!$N$2:$N$17,"")</f>
        <v/>
      </c>
      <c r="DG182" s="8"/>
      <c r="DH182" s="8"/>
      <c r="DI182" s="8"/>
      <c r="DJ182" s="8"/>
      <c r="DK182" s="8"/>
      <c r="DL182" s="8"/>
      <c r="DM182" s="8"/>
      <c r="DN182" s="8"/>
      <c r="DO182" s="8"/>
      <c r="DP182" s="8"/>
      <c r="DQ182" s="8"/>
      <c r="DR182" s="8"/>
      <c r="DS182" s="8"/>
      <c r="DT182" s="8"/>
      <c r="DU182" s="8"/>
      <c r="DV182" s="8"/>
      <c r="DW182" s="8"/>
      <c r="DX182" s="8"/>
      <c r="DY182" s="8"/>
      <c r="DZ182" s="8"/>
      <c r="EA182" s="8"/>
      <c r="EB182" s="131" t="str">
        <f t="array" ref="EB182">xlookup(EF182,qualdata!$M$2:$M$17,qualdata!$O$2:$O$17,"")</f>
        <v/>
      </c>
      <c r="EC182" s="8"/>
      <c r="ED182" s="8"/>
      <c r="EE182" s="98"/>
      <c r="EF182" s="119" t="str">
        <f>if(or(AR120=0,DD120=0),"",qualreseeding!AD164)</f>
        <v/>
      </c>
      <c r="EG182" s="54"/>
      <c r="EH182" s="54"/>
      <c r="EI182" s="119" t="str">
        <f>if(or(FP120=0,DD120=0),"",qualreseeding!AC170)</f>
        <v/>
      </c>
      <c r="EJ182" s="130" t="str">
        <f t="array" ref="EJ182">xlookup(EI182,qualdata!$M$2:$M$17,qualdata!$O$2:$O$17,"")</f>
        <v/>
      </c>
      <c r="EK182" s="8"/>
      <c r="EL182" s="8"/>
      <c r="EM182" s="8"/>
      <c r="EN182" s="93" t="str">
        <f t="array" ref="EN182">xlookup(EI182,qualdata!$M$2:$M$17,qualdata!$N$2:$N$17,"")</f>
        <v/>
      </c>
      <c r="EO182" s="8"/>
      <c r="EP182" s="8"/>
      <c r="EQ182" s="8"/>
      <c r="ER182" s="8"/>
      <c r="ES182" s="8"/>
      <c r="ET182" s="8"/>
      <c r="EU182" s="8"/>
      <c r="EV182" s="8"/>
      <c r="EW182" s="8"/>
      <c r="EX182" s="8"/>
      <c r="EY182" s="8"/>
      <c r="EZ182" s="8"/>
      <c r="FA182" s="8"/>
      <c r="FB182" s="8"/>
      <c r="FC182" s="8"/>
      <c r="FD182" s="8"/>
      <c r="FE182" s="8"/>
      <c r="FF182" s="8"/>
      <c r="FG182" s="8"/>
      <c r="FH182" s="8"/>
      <c r="FI182" s="8"/>
      <c r="FJ182" s="94"/>
      <c r="FK182" s="8"/>
      <c r="FL182" s="8"/>
      <c r="FM182" s="9"/>
      <c r="FN182" s="95"/>
      <c r="FO182" s="8"/>
      <c r="FP182" s="8"/>
      <c r="FQ182" s="8"/>
      <c r="FR182" s="96" t="str">
        <f t="array" ref="FR182">xlookup(GR182,qualdata!$M$2:$M$17,qualdata!$N$2:$N$17,"")</f>
        <v/>
      </c>
      <c r="FS182" s="8"/>
      <c r="FT182" s="8"/>
      <c r="FU182" s="8"/>
      <c r="FV182" s="8"/>
      <c r="FW182" s="8"/>
      <c r="FX182" s="8"/>
      <c r="FY182" s="8"/>
      <c r="FZ182" s="8"/>
      <c r="GA182" s="8"/>
      <c r="GB182" s="8"/>
      <c r="GC182" s="8"/>
      <c r="GD182" s="8"/>
      <c r="GE182" s="8"/>
      <c r="GF182" s="8"/>
      <c r="GG182" s="8"/>
      <c r="GH182" s="8"/>
      <c r="GI182" s="8"/>
      <c r="GJ182" s="8"/>
      <c r="GK182" s="8"/>
      <c r="GL182" s="8"/>
      <c r="GM182" s="8"/>
      <c r="GN182" s="131" t="str">
        <f t="array" ref="GN182">xlookup(GR182,qualdata!$M$2:$M$17,qualdata!$O$2:$O$17,"")</f>
        <v/>
      </c>
      <c r="GO182" s="8"/>
      <c r="GP182" s="8"/>
      <c r="GQ182" s="98"/>
      <c r="GR182" s="119" t="str">
        <f>if(or(FP120=0,DD120=0),"",qualreseeding!AD170)</f>
        <v/>
      </c>
      <c r="GS182" s="54"/>
      <c r="GT182" s="54"/>
      <c r="GU182" s="54"/>
      <c r="GV182" s="54"/>
      <c r="GW182" s="54"/>
      <c r="GX182" s="54"/>
      <c r="GY182" s="54"/>
      <c r="GZ182" s="54"/>
      <c r="HA182" s="54"/>
      <c r="HB182" s="54"/>
      <c r="HC182" s="54"/>
      <c r="HD182" s="54"/>
      <c r="HE182" s="54"/>
      <c r="HF182" s="54"/>
      <c r="HG182" s="54"/>
      <c r="HH182" s="54"/>
      <c r="HI182" s="54"/>
      <c r="HJ182" s="54"/>
      <c r="HK182" s="54"/>
      <c r="HL182" s="54"/>
      <c r="HM182" s="54"/>
      <c r="HN182" s="54"/>
      <c r="HO182" s="54"/>
      <c r="HP182" s="54"/>
      <c r="HQ182" s="54"/>
      <c r="HR182" s="54"/>
      <c r="HS182" s="54"/>
      <c r="HT182" s="54"/>
      <c r="HU182" s="54"/>
      <c r="HV182" s="54"/>
      <c r="HW182" s="54"/>
      <c r="HX182" s="54"/>
      <c r="HY182" s="54"/>
      <c r="HZ182" s="54"/>
      <c r="IA182" s="54"/>
      <c r="IB182" s="54"/>
      <c r="IC182" s="54"/>
      <c r="ID182" s="54"/>
      <c r="IE182" s="54"/>
      <c r="IF182" s="54"/>
      <c r="IG182" s="54"/>
      <c r="IH182" s="54"/>
      <c r="II182" s="54"/>
      <c r="IJ182" s="54"/>
      <c r="IK182" s="54"/>
      <c r="IL182" s="54"/>
      <c r="IM182" s="54"/>
      <c r="IN182" s="54"/>
      <c r="IO182" s="54"/>
      <c r="IP182" s="54"/>
      <c r="IQ182" s="54"/>
      <c r="IR182" s="54"/>
      <c r="IS182" s="54"/>
      <c r="IT182" s="54"/>
      <c r="IU182" s="54"/>
      <c r="IV182" s="54"/>
      <c r="IW182" s="54"/>
      <c r="IX182" s="54"/>
      <c r="IY182" s="54"/>
      <c r="IZ182" s="54"/>
      <c r="JA182" s="54"/>
      <c r="JB182" s="54"/>
      <c r="JC182" s="54"/>
      <c r="JD182" s="54"/>
      <c r="JE182" s="54"/>
      <c r="JF182" s="54"/>
      <c r="JG182" s="54"/>
      <c r="JH182" s="54"/>
      <c r="JI182" s="54"/>
      <c r="JJ182" s="54"/>
      <c r="JK182" s="54"/>
      <c r="JL182" s="54"/>
      <c r="JM182" s="54"/>
      <c r="JN182" s="54"/>
      <c r="JO182" s="54"/>
      <c r="JP182" s="54"/>
      <c r="JQ182" s="54"/>
      <c r="JR182" s="54"/>
      <c r="JS182" s="54"/>
      <c r="JT182" s="54"/>
      <c r="JU182" s="54"/>
      <c r="JV182" s="54"/>
      <c r="JW182" s="54"/>
      <c r="JX182" s="54"/>
      <c r="JY182" s="54"/>
      <c r="JZ182" s="54"/>
      <c r="KA182" s="54"/>
      <c r="KB182" s="54"/>
      <c r="KC182" s="54"/>
      <c r="KD182" s="54"/>
      <c r="KE182" s="54"/>
      <c r="KF182" s="54"/>
      <c r="KG182" s="54"/>
      <c r="KH182" s="54"/>
      <c r="KI182" s="54"/>
      <c r="KJ182" s="54"/>
      <c r="KK182" s="54"/>
      <c r="KL182" s="54"/>
      <c r="KM182" s="54"/>
      <c r="KN182" s="54"/>
      <c r="KO182" s="54"/>
      <c r="KP182" s="54"/>
      <c r="KQ182" s="54"/>
      <c r="KR182" s="54"/>
      <c r="KS182" s="54"/>
      <c r="KT182" s="54"/>
      <c r="KU182" s="54"/>
      <c r="KV182" s="54"/>
      <c r="KW182" s="54"/>
      <c r="KX182" s="54"/>
    </row>
    <row r="183" ht="5.2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54"/>
      <c r="BK183" s="54"/>
      <c r="BL183" s="54"/>
      <c r="BM183" s="54"/>
      <c r="BN183" s="54"/>
      <c r="BO183" s="54"/>
      <c r="BP183" s="54"/>
      <c r="BQ183" s="54"/>
      <c r="BR183" s="54"/>
      <c r="BS183" s="54"/>
      <c r="BT183" s="54"/>
      <c r="BU183" s="54"/>
      <c r="BV183" s="54"/>
      <c r="BW183" s="108"/>
      <c r="BX183" s="60"/>
      <c r="DA183" s="11"/>
      <c r="DB183" s="10"/>
      <c r="EE183" s="61"/>
      <c r="EF183" s="108"/>
      <c r="EG183" s="54"/>
      <c r="EH183" s="54"/>
      <c r="EI183" s="108"/>
      <c r="EJ183" s="60"/>
      <c r="FM183" s="11"/>
      <c r="FN183" s="10"/>
      <c r="GQ183" s="61"/>
      <c r="GR183" s="108"/>
      <c r="GS183" s="54"/>
      <c r="GT183" s="54"/>
      <c r="GU183" s="54"/>
      <c r="GV183" s="54"/>
      <c r="GW183" s="54"/>
      <c r="GX183" s="54"/>
      <c r="GY183" s="54"/>
      <c r="GZ183" s="54"/>
      <c r="HA183" s="54"/>
      <c r="HB183" s="54"/>
      <c r="HC183" s="54"/>
      <c r="HD183" s="54"/>
      <c r="HE183" s="54"/>
      <c r="HF183" s="54"/>
      <c r="HG183" s="54"/>
      <c r="HH183" s="54"/>
      <c r="HI183" s="54"/>
      <c r="HJ183" s="54"/>
      <c r="HK183" s="54"/>
      <c r="HL183" s="54"/>
      <c r="HM183" s="54"/>
      <c r="HN183" s="54"/>
      <c r="HO183" s="54"/>
      <c r="HP183" s="54"/>
      <c r="HQ183" s="54"/>
      <c r="HR183" s="54"/>
      <c r="HS183" s="54"/>
      <c r="HT183" s="54"/>
      <c r="HU183" s="54"/>
      <c r="HV183" s="54"/>
      <c r="HW183" s="54"/>
      <c r="HX183" s="54"/>
      <c r="HY183" s="54"/>
      <c r="HZ183" s="54"/>
      <c r="IA183" s="54"/>
      <c r="IB183" s="54"/>
      <c r="IC183" s="54"/>
      <c r="ID183" s="54"/>
      <c r="IE183" s="54"/>
      <c r="IF183" s="54"/>
      <c r="IG183" s="54"/>
      <c r="IH183" s="54"/>
      <c r="II183" s="54"/>
      <c r="IJ183" s="54"/>
      <c r="IK183" s="54"/>
      <c r="IL183" s="54"/>
      <c r="IM183" s="54"/>
      <c r="IN183" s="54"/>
      <c r="IO183" s="54"/>
      <c r="IP183" s="54"/>
      <c r="IQ183" s="54"/>
      <c r="IR183" s="54"/>
      <c r="IS183" s="54"/>
      <c r="IT183" s="54"/>
      <c r="IU183" s="54"/>
      <c r="IV183" s="54"/>
      <c r="IW183" s="54"/>
      <c r="IX183" s="54"/>
      <c r="IY183" s="54"/>
      <c r="IZ183" s="54"/>
      <c r="JA183" s="54"/>
      <c r="JB183" s="54"/>
      <c r="JC183" s="54"/>
      <c r="JD183" s="54"/>
      <c r="JE183" s="54"/>
      <c r="JF183" s="54"/>
      <c r="JG183" s="54"/>
      <c r="JH183" s="54"/>
      <c r="JI183" s="54"/>
      <c r="JJ183" s="54"/>
      <c r="JK183" s="54"/>
      <c r="JL183" s="54"/>
      <c r="JM183" s="54"/>
      <c r="JN183" s="54"/>
      <c r="JO183" s="54"/>
      <c r="JP183" s="54"/>
      <c r="JQ183" s="54"/>
      <c r="JR183" s="54"/>
      <c r="JS183" s="54"/>
      <c r="JT183" s="54"/>
      <c r="JU183" s="54"/>
      <c r="JV183" s="54"/>
      <c r="JW183" s="54"/>
      <c r="JX183" s="54"/>
      <c r="JY183" s="54"/>
      <c r="JZ183" s="54"/>
      <c r="KA183" s="54"/>
      <c r="KB183" s="54"/>
      <c r="KC183" s="54"/>
      <c r="KD183" s="54"/>
      <c r="KE183" s="54"/>
      <c r="KF183" s="54"/>
      <c r="KG183" s="54"/>
      <c r="KH183" s="54"/>
      <c r="KI183" s="54"/>
      <c r="KJ183" s="54"/>
      <c r="KK183" s="54"/>
      <c r="KL183" s="54"/>
      <c r="KM183" s="54"/>
      <c r="KN183" s="54"/>
      <c r="KO183" s="54"/>
      <c r="KP183" s="54"/>
      <c r="KQ183" s="54"/>
      <c r="KR183" s="54"/>
      <c r="KS183" s="54"/>
      <c r="KT183" s="54"/>
      <c r="KU183" s="54"/>
      <c r="KV183" s="54"/>
      <c r="KW183" s="54"/>
      <c r="KX183" s="54"/>
    </row>
    <row r="184" ht="5.2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c r="BS184" s="54"/>
      <c r="BT184" s="54"/>
      <c r="BU184" s="54"/>
      <c r="BV184" s="54"/>
      <c r="BW184" s="108"/>
      <c r="BX184" s="60"/>
      <c r="DA184" s="11"/>
      <c r="DB184" s="10"/>
      <c r="EE184" s="61"/>
      <c r="EF184" s="108"/>
      <c r="EG184" s="54"/>
      <c r="EH184" s="54"/>
      <c r="EI184" s="108"/>
      <c r="EJ184" s="60"/>
      <c r="FM184" s="11"/>
      <c r="FN184" s="10"/>
      <c r="GQ184" s="61"/>
      <c r="GR184" s="108"/>
      <c r="GS184" s="54"/>
      <c r="GT184" s="54"/>
      <c r="GU184" s="54"/>
      <c r="GV184" s="54"/>
      <c r="GW184" s="54"/>
      <c r="GX184" s="54"/>
      <c r="GY184" s="54"/>
      <c r="GZ184" s="54"/>
      <c r="HA184" s="54"/>
      <c r="HB184" s="54"/>
      <c r="HC184" s="54"/>
      <c r="HD184" s="54"/>
      <c r="HE184" s="54"/>
      <c r="HF184" s="54"/>
      <c r="HG184" s="54"/>
      <c r="HH184" s="54"/>
      <c r="HI184" s="54"/>
      <c r="HJ184" s="54"/>
      <c r="HK184" s="54"/>
      <c r="HL184" s="54"/>
      <c r="HM184" s="54"/>
      <c r="HN184" s="54"/>
      <c r="HO184" s="54"/>
      <c r="HP184" s="54"/>
      <c r="HQ184" s="54"/>
      <c r="HR184" s="54"/>
      <c r="HS184" s="54"/>
      <c r="HT184" s="54"/>
      <c r="HU184" s="54"/>
      <c r="HV184" s="54"/>
      <c r="HW184" s="54"/>
      <c r="HX184" s="54"/>
      <c r="HY184" s="54"/>
      <c r="HZ184" s="54"/>
      <c r="IA184" s="54"/>
      <c r="IB184" s="54"/>
      <c r="IC184" s="54"/>
      <c r="ID184" s="54"/>
      <c r="IE184" s="54"/>
      <c r="IF184" s="54"/>
      <c r="IG184" s="54"/>
      <c r="IH184" s="54"/>
      <c r="II184" s="54"/>
      <c r="IJ184" s="54"/>
      <c r="IK184" s="54"/>
      <c r="IL184" s="54"/>
      <c r="IM184" s="54"/>
      <c r="IN184" s="54"/>
      <c r="IO184" s="54"/>
      <c r="IP184" s="54"/>
      <c r="IQ184" s="54"/>
      <c r="IR184" s="54"/>
      <c r="IS184" s="54"/>
      <c r="IT184" s="54"/>
      <c r="IU184" s="54"/>
      <c r="IV184" s="54"/>
      <c r="IW184" s="54"/>
      <c r="IX184" s="54"/>
      <c r="IY184" s="54"/>
      <c r="IZ184" s="54"/>
      <c r="JA184" s="54"/>
      <c r="JB184" s="54"/>
      <c r="JC184" s="54"/>
      <c r="JD184" s="54"/>
      <c r="JE184" s="54"/>
      <c r="JF184" s="54"/>
      <c r="JG184" s="54"/>
      <c r="JH184" s="54"/>
      <c r="JI184" s="54"/>
      <c r="JJ184" s="54"/>
      <c r="JK184" s="54"/>
      <c r="JL184" s="54"/>
      <c r="JM184" s="54"/>
      <c r="JN184" s="54"/>
      <c r="JO184" s="54"/>
      <c r="JP184" s="54"/>
      <c r="JQ184" s="54"/>
      <c r="JR184" s="54"/>
      <c r="JS184" s="54"/>
      <c r="JT184" s="54"/>
      <c r="JU184" s="54"/>
      <c r="JV184" s="54"/>
      <c r="JW184" s="54"/>
      <c r="JX184" s="54"/>
      <c r="JY184" s="54"/>
      <c r="JZ184" s="54"/>
      <c r="KA184" s="54"/>
      <c r="KB184" s="54"/>
      <c r="KC184" s="54"/>
      <c r="KD184" s="54"/>
      <c r="KE184" s="54"/>
      <c r="KF184" s="54"/>
      <c r="KG184" s="54"/>
      <c r="KH184" s="54"/>
      <c r="KI184" s="54"/>
      <c r="KJ184" s="54"/>
      <c r="KK184" s="54"/>
      <c r="KL184" s="54"/>
      <c r="KM184" s="54"/>
      <c r="KN184" s="54"/>
      <c r="KO184" s="54"/>
      <c r="KP184" s="54"/>
      <c r="KQ184" s="54"/>
      <c r="KR184" s="54"/>
      <c r="KS184" s="54"/>
      <c r="KT184" s="54"/>
      <c r="KU184" s="54"/>
      <c r="KV184" s="54"/>
      <c r="KW184" s="54"/>
      <c r="KX184" s="54"/>
    </row>
    <row r="185" ht="5.2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c r="BS185" s="54"/>
      <c r="BT185" s="54"/>
      <c r="BU185" s="54"/>
      <c r="BV185" s="54"/>
      <c r="BW185" s="108"/>
      <c r="BX185" s="60"/>
      <c r="DA185" s="11"/>
      <c r="DB185" s="10"/>
      <c r="EE185" s="61"/>
      <c r="EF185" s="108"/>
      <c r="EG185" s="54"/>
      <c r="EH185" s="54"/>
      <c r="EI185" s="108"/>
      <c r="EJ185" s="60"/>
      <c r="FM185" s="11"/>
      <c r="FN185" s="10"/>
      <c r="GQ185" s="61"/>
      <c r="GR185" s="108"/>
      <c r="GS185" s="54"/>
      <c r="GT185" s="54"/>
      <c r="GU185" s="54"/>
      <c r="GV185" s="54"/>
      <c r="GW185" s="54"/>
      <c r="GX185" s="54"/>
      <c r="GY185" s="54"/>
      <c r="GZ185" s="54"/>
      <c r="HA185" s="54"/>
      <c r="HB185" s="54"/>
      <c r="HC185" s="54"/>
      <c r="HD185" s="54"/>
      <c r="HE185" s="54"/>
      <c r="HF185" s="54"/>
      <c r="HG185" s="54"/>
      <c r="HH185" s="54"/>
      <c r="HI185" s="54"/>
      <c r="HJ185" s="54"/>
      <c r="HK185" s="54"/>
      <c r="HL185" s="54"/>
      <c r="HM185" s="54"/>
      <c r="HN185" s="54"/>
      <c r="HO185" s="54"/>
      <c r="HP185" s="54"/>
      <c r="HQ185" s="54"/>
      <c r="HR185" s="54"/>
      <c r="HS185" s="54"/>
      <c r="HT185" s="54"/>
      <c r="HU185" s="54"/>
      <c r="HV185" s="54"/>
      <c r="HW185" s="54"/>
      <c r="HX185" s="54"/>
      <c r="HY185" s="54"/>
      <c r="HZ185" s="54"/>
      <c r="IA185" s="54"/>
      <c r="IB185" s="54"/>
      <c r="IC185" s="54"/>
      <c r="ID185" s="54"/>
      <c r="IE185" s="54"/>
      <c r="IF185" s="54"/>
      <c r="IG185" s="54"/>
      <c r="IH185" s="54"/>
      <c r="II185" s="54"/>
      <c r="IJ185" s="54"/>
      <c r="IK185" s="54"/>
      <c r="IL185" s="54"/>
      <c r="IM185" s="54"/>
      <c r="IN185" s="54"/>
      <c r="IO185" s="54"/>
      <c r="IP185" s="54"/>
      <c r="IQ185" s="54"/>
      <c r="IR185" s="54"/>
      <c r="IS185" s="54"/>
      <c r="IT185" s="54"/>
      <c r="IU185" s="54"/>
      <c r="IV185" s="54"/>
      <c r="IW185" s="54"/>
      <c r="IX185" s="54"/>
      <c r="IY185" s="54"/>
      <c r="IZ185" s="54"/>
      <c r="JA185" s="54"/>
      <c r="JB185" s="54"/>
      <c r="JC185" s="54"/>
      <c r="JD185" s="54"/>
      <c r="JE185" s="54"/>
      <c r="JF185" s="54"/>
      <c r="JG185" s="54"/>
      <c r="JH185" s="54"/>
      <c r="JI185" s="54"/>
      <c r="JJ185" s="54"/>
      <c r="JK185" s="54"/>
      <c r="JL185" s="54"/>
      <c r="JM185" s="54"/>
      <c r="JN185" s="54"/>
      <c r="JO185" s="54"/>
      <c r="JP185" s="54"/>
      <c r="JQ185" s="54"/>
      <c r="JR185" s="54"/>
      <c r="JS185" s="54"/>
      <c r="JT185" s="54"/>
      <c r="JU185" s="54"/>
      <c r="JV185" s="54"/>
      <c r="JW185" s="54"/>
      <c r="JX185" s="54"/>
      <c r="JY185" s="54"/>
      <c r="JZ185" s="54"/>
      <c r="KA185" s="54"/>
      <c r="KB185" s="54"/>
      <c r="KC185" s="54"/>
      <c r="KD185" s="54"/>
      <c r="KE185" s="54"/>
      <c r="KF185" s="54"/>
      <c r="KG185" s="54"/>
      <c r="KH185" s="54"/>
      <c r="KI185" s="54"/>
      <c r="KJ185" s="54"/>
      <c r="KK185" s="54"/>
      <c r="KL185" s="54"/>
      <c r="KM185" s="54"/>
      <c r="KN185" s="54"/>
      <c r="KO185" s="54"/>
      <c r="KP185" s="54"/>
      <c r="KQ185" s="54"/>
      <c r="KR185" s="54"/>
      <c r="KS185" s="54"/>
      <c r="KT185" s="54"/>
      <c r="KU185" s="54"/>
      <c r="KV185" s="54"/>
      <c r="KW185" s="54"/>
      <c r="KX185" s="54"/>
    </row>
    <row r="186" ht="5.2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c r="BS186" s="54"/>
      <c r="BT186" s="54"/>
      <c r="BU186" s="54"/>
      <c r="BV186" s="54"/>
      <c r="BW186" s="119" t="str">
        <f>BW182</f>
        <v/>
      </c>
      <c r="BX186" s="112"/>
      <c r="CF186" s="122"/>
      <c r="CH186" s="11"/>
      <c r="CI186" s="127"/>
      <c r="CK186" s="11"/>
      <c r="CL186" s="126"/>
      <c r="CO186" s="108"/>
      <c r="CX186" s="85">
        <f>sum(CF186:CN188)</f>
        <v>0</v>
      </c>
      <c r="DA186" s="11"/>
      <c r="DB186" s="86">
        <f>sum(DO186:DW188)</f>
        <v>0</v>
      </c>
      <c r="DF186" s="108"/>
      <c r="DG186" s="108"/>
      <c r="DH186" s="108"/>
      <c r="DI186" s="108"/>
      <c r="DJ186" s="108"/>
      <c r="DK186" s="108"/>
      <c r="DL186" s="108"/>
      <c r="DM186" s="108"/>
      <c r="DN186" s="108"/>
      <c r="DO186" s="134"/>
      <c r="DQ186" s="11"/>
      <c r="DR186" s="126"/>
      <c r="DT186" s="11"/>
      <c r="DU186" s="123"/>
      <c r="DX186" s="108"/>
      <c r="DY186" s="108"/>
      <c r="DZ186" s="108"/>
      <c r="EA186" s="108"/>
      <c r="EB186" s="108"/>
      <c r="EC186" s="108"/>
      <c r="ED186" s="108"/>
      <c r="EE186" s="116"/>
      <c r="EF186" s="119" t="str">
        <f>EF182</f>
        <v/>
      </c>
      <c r="EG186" s="54"/>
      <c r="EH186" s="54"/>
      <c r="EI186" s="119" t="str">
        <f>EI182</f>
        <v/>
      </c>
      <c r="EJ186" s="112"/>
      <c r="ER186" s="135"/>
      <c r="ET186" s="11"/>
      <c r="EU186" s="127"/>
      <c r="EW186" s="11"/>
      <c r="EX186" s="139"/>
      <c r="FA186" s="108"/>
      <c r="FJ186" s="85">
        <f>sum(ER186:EZ188)</f>
        <v>0</v>
      </c>
      <c r="FM186" s="11"/>
      <c r="FN186" s="86">
        <f>sum(GA186:GI188)</f>
        <v>0</v>
      </c>
      <c r="FR186" s="108"/>
      <c r="FS186" s="108"/>
      <c r="FT186" s="108"/>
      <c r="FU186" s="108"/>
      <c r="FV186" s="108"/>
      <c r="FW186" s="108"/>
      <c r="FX186" s="108"/>
      <c r="FY186" s="108"/>
      <c r="FZ186" s="108"/>
      <c r="GA186" s="134"/>
      <c r="GC186" s="11"/>
      <c r="GD186" s="126"/>
      <c r="GF186" s="11"/>
      <c r="GG186" s="127"/>
      <c r="GJ186" s="108"/>
      <c r="GK186" s="108"/>
      <c r="GL186" s="108"/>
      <c r="GM186" s="108"/>
      <c r="GN186" s="108"/>
      <c r="GO186" s="108"/>
      <c r="GP186" s="108"/>
      <c r="GQ186" s="116"/>
      <c r="GR186" s="119" t="str">
        <f>GR182</f>
        <v/>
      </c>
      <c r="GS186" s="54"/>
      <c r="GT186" s="54"/>
      <c r="GU186" s="54"/>
      <c r="GV186" s="54"/>
      <c r="GW186" s="54"/>
      <c r="GX186" s="54"/>
      <c r="GY186" s="54"/>
      <c r="GZ186" s="54"/>
      <c r="HA186" s="54"/>
      <c r="HB186" s="54"/>
      <c r="HC186" s="54"/>
      <c r="HD186" s="54"/>
      <c r="HE186" s="54"/>
      <c r="HF186" s="54"/>
      <c r="HG186" s="54"/>
      <c r="HH186" s="54"/>
      <c r="HI186" s="54"/>
      <c r="HJ186" s="54"/>
      <c r="HK186" s="54"/>
      <c r="HL186" s="54"/>
      <c r="HM186" s="54"/>
      <c r="HN186" s="54"/>
      <c r="HO186" s="54"/>
      <c r="HP186" s="54"/>
      <c r="HQ186" s="54"/>
      <c r="HR186" s="54"/>
      <c r="HS186" s="54"/>
      <c r="HT186" s="54"/>
      <c r="HU186" s="54"/>
      <c r="HV186" s="54"/>
      <c r="HW186" s="54"/>
      <c r="HX186" s="54"/>
      <c r="HY186" s="54"/>
      <c r="HZ186" s="54"/>
      <c r="IA186" s="54"/>
      <c r="IB186" s="54"/>
      <c r="IC186" s="54"/>
      <c r="ID186" s="54"/>
      <c r="IE186" s="54"/>
      <c r="IF186" s="54"/>
      <c r="IG186" s="54"/>
      <c r="IH186" s="54"/>
      <c r="II186" s="54"/>
      <c r="IJ186" s="54"/>
      <c r="IK186" s="54"/>
      <c r="IL186" s="54"/>
      <c r="IM186" s="54"/>
      <c r="IN186" s="54"/>
      <c r="IO186" s="54"/>
      <c r="IP186" s="54"/>
      <c r="IQ186" s="54"/>
      <c r="IR186" s="54"/>
      <c r="IS186" s="54"/>
      <c r="IT186" s="54"/>
      <c r="IU186" s="54"/>
      <c r="IV186" s="54"/>
      <c r="IW186" s="54"/>
      <c r="IX186" s="54"/>
      <c r="IY186" s="54"/>
      <c r="IZ186" s="54"/>
      <c r="JA186" s="54"/>
      <c r="JB186" s="54"/>
      <c r="JC186" s="54"/>
      <c r="JD186" s="54"/>
      <c r="JE186" s="54"/>
      <c r="JF186" s="54"/>
      <c r="JG186" s="54"/>
      <c r="JH186" s="54"/>
      <c r="JI186" s="54"/>
      <c r="JJ186" s="54"/>
      <c r="JK186" s="54"/>
      <c r="JL186" s="54"/>
      <c r="JM186" s="54"/>
      <c r="JN186" s="54"/>
      <c r="JO186" s="54"/>
      <c r="JP186" s="54"/>
      <c r="JQ186" s="54"/>
      <c r="JR186" s="54"/>
      <c r="JS186" s="54"/>
      <c r="JT186" s="54"/>
      <c r="JU186" s="54"/>
      <c r="JV186" s="54"/>
      <c r="JW186" s="54"/>
      <c r="JX186" s="54"/>
      <c r="JY186" s="54"/>
      <c r="JZ186" s="54"/>
      <c r="KA186" s="54"/>
      <c r="KB186" s="54"/>
      <c r="KC186" s="54"/>
      <c r="KD186" s="54"/>
      <c r="KE186" s="54"/>
      <c r="KF186" s="54"/>
      <c r="KG186" s="54"/>
      <c r="KH186" s="54"/>
      <c r="KI186" s="54"/>
      <c r="KJ186" s="54"/>
      <c r="KK186" s="54"/>
      <c r="KL186" s="54"/>
      <c r="KM186" s="54"/>
      <c r="KN186" s="54"/>
      <c r="KO186" s="54"/>
      <c r="KP186" s="54"/>
      <c r="KQ186" s="54"/>
      <c r="KR186" s="54"/>
      <c r="KS186" s="54"/>
      <c r="KT186" s="54"/>
      <c r="KU186" s="54"/>
      <c r="KV186" s="54"/>
      <c r="KW186" s="54"/>
      <c r="KX186" s="54"/>
    </row>
    <row r="187" ht="5.2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c r="BS187" s="54"/>
      <c r="BT187" s="54"/>
      <c r="BU187" s="54"/>
      <c r="BV187" s="54"/>
      <c r="BW187" s="108"/>
      <c r="BX187" s="60"/>
      <c r="CH187" s="11"/>
      <c r="CI187" s="10"/>
      <c r="CK187" s="11"/>
      <c r="CL187" s="10"/>
      <c r="DA187" s="11"/>
      <c r="DB187" s="10"/>
      <c r="DF187" s="108"/>
      <c r="DG187" s="108"/>
      <c r="DH187" s="108"/>
      <c r="DI187" s="108"/>
      <c r="DJ187" s="108"/>
      <c r="DK187" s="108"/>
      <c r="DL187" s="108"/>
      <c r="DM187" s="108"/>
      <c r="DN187" s="108"/>
      <c r="DQ187" s="11"/>
      <c r="DR187" s="10"/>
      <c r="DT187" s="11"/>
      <c r="DU187" s="10"/>
      <c r="DX187" s="108"/>
      <c r="DY187" s="108"/>
      <c r="DZ187" s="108"/>
      <c r="EA187" s="108"/>
      <c r="EB187" s="108"/>
      <c r="EC187" s="108"/>
      <c r="ED187" s="108"/>
      <c r="EE187" s="116"/>
      <c r="EF187" s="108"/>
      <c r="EG187" s="54"/>
      <c r="EH187" s="54"/>
      <c r="EI187" s="108"/>
      <c r="EJ187" s="60"/>
      <c r="ET187" s="11"/>
      <c r="EU187" s="10"/>
      <c r="EW187" s="11"/>
      <c r="EX187" s="10"/>
      <c r="FM187" s="11"/>
      <c r="FN187" s="10"/>
      <c r="FR187" s="108"/>
      <c r="FS187" s="108"/>
      <c r="FT187" s="108"/>
      <c r="FU187" s="108"/>
      <c r="FV187" s="108"/>
      <c r="FW187" s="108"/>
      <c r="FX187" s="108"/>
      <c r="FY187" s="108"/>
      <c r="FZ187" s="108"/>
      <c r="GC187" s="11"/>
      <c r="GD187" s="10"/>
      <c r="GF187" s="11"/>
      <c r="GG187" s="10"/>
      <c r="GJ187" s="108"/>
      <c r="GK187" s="108"/>
      <c r="GL187" s="108"/>
      <c r="GM187" s="108"/>
      <c r="GN187" s="108"/>
      <c r="GO187" s="108"/>
      <c r="GP187" s="108"/>
      <c r="GQ187" s="116"/>
      <c r="GR187" s="108"/>
      <c r="GS187" s="54"/>
      <c r="GT187" s="54"/>
      <c r="GU187" s="54"/>
      <c r="GV187" s="54"/>
      <c r="GW187" s="54"/>
      <c r="GX187" s="54"/>
      <c r="GY187" s="54"/>
      <c r="GZ187" s="54"/>
      <c r="HA187" s="54"/>
      <c r="HB187" s="54"/>
      <c r="HC187" s="54"/>
      <c r="HD187" s="54"/>
      <c r="HE187" s="54"/>
      <c r="HF187" s="54"/>
      <c r="HG187" s="54"/>
      <c r="HH187" s="54"/>
      <c r="HI187" s="54"/>
      <c r="HJ187" s="54"/>
      <c r="HK187" s="54"/>
      <c r="HL187" s="54"/>
      <c r="HM187" s="54"/>
      <c r="HN187" s="54"/>
      <c r="HO187" s="54"/>
      <c r="HP187" s="54"/>
      <c r="HQ187" s="54"/>
      <c r="HR187" s="54"/>
      <c r="HS187" s="54"/>
      <c r="HT187" s="54"/>
      <c r="HU187" s="54"/>
      <c r="HV187" s="54"/>
      <c r="HW187" s="54"/>
      <c r="HX187" s="54"/>
      <c r="HY187" s="54"/>
      <c r="HZ187" s="54"/>
      <c r="IA187" s="54"/>
      <c r="IB187" s="54"/>
      <c r="IC187" s="54"/>
      <c r="ID187" s="54"/>
      <c r="IE187" s="54"/>
      <c r="IF187" s="54"/>
      <c r="IG187" s="54"/>
      <c r="IH187" s="54"/>
      <c r="II187" s="54"/>
      <c r="IJ187" s="54"/>
      <c r="IK187" s="54"/>
      <c r="IL187" s="54"/>
      <c r="IM187" s="54"/>
      <c r="IN187" s="54"/>
      <c r="IO187" s="54"/>
      <c r="IP187" s="54"/>
      <c r="IQ187" s="54"/>
      <c r="IR187" s="54"/>
      <c r="IS187" s="54"/>
      <c r="IT187" s="54"/>
      <c r="IU187" s="54"/>
      <c r="IV187" s="54"/>
      <c r="IW187" s="54"/>
      <c r="IX187" s="54"/>
      <c r="IY187" s="54"/>
      <c r="IZ187" s="54"/>
      <c r="JA187" s="54"/>
      <c r="JB187" s="54"/>
      <c r="JC187" s="54"/>
      <c r="JD187" s="54"/>
      <c r="JE187" s="54"/>
      <c r="JF187" s="54"/>
      <c r="JG187" s="54"/>
      <c r="JH187" s="54"/>
      <c r="JI187" s="54"/>
      <c r="JJ187" s="54"/>
      <c r="JK187" s="54"/>
      <c r="JL187" s="54"/>
      <c r="JM187" s="54"/>
      <c r="JN187" s="54"/>
      <c r="JO187" s="54"/>
      <c r="JP187" s="54"/>
      <c r="JQ187" s="54"/>
      <c r="JR187" s="54"/>
      <c r="JS187" s="54"/>
      <c r="JT187" s="54"/>
      <c r="JU187" s="54"/>
      <c r="JV187" s="54"/>
      <c r="JW187" s="54"/>
      <c r="JX187" s="54"/>
      <c r="JY187" s="54"/>
      <c r="JZ187" s="54"/>
      <c r="KA187" s="54"/>
      <c r="KB187" s="54"/>
      <c r="KC187" s="54"/>
      <c r="KD187" s="54"/>
      <c r="KE187" s="54"/>
      <c r="KF187" s="54"/>
      <c r="KG187" s="54"/>
      <c r="KH187" s="54"/>
      <c r="KI187" s="54"/>
      <c r="KJ187" s="54"/>
      <c r="KK187" s="54"/>
      <c r="KL187" s="54"/>
      <c r="KM187" s="54"/>
      <c r="KN187" s="54"/>
      <c r="KO187" s="54"/>
      <c r="KP187" s="54"/>
      <c r="KQ187" s="54"/>
      <c r="KR187" s="54"/>
      <c r="KS187" s="54"/>
      <c r="KT187" s="54"/>
      <c r="KU187" s="54"/>
      <c r="KV187" s="54"/>
      <c r="KW187" s="54"/>
      <c r="KX187" s="54"/>
    </row>
    <row r="188" ht="5.2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c r="BS188" s="54"/>
      <c r="BT188" s="54"/>
      <c r="BU188" s="54"/>
      <c r="BV188" s="54"/>
      <c r="BW188" s="108"/>
      <c r="BX188" s="88"/>
      <c r="BY188" s="13"/>
      <c r="BZ188" s="13"/>
      <c r="CA188" s="13"/>
      <c r="CB188" s="13"/>
      <c r="CC188" s="13"/>
      <c r="CD188" s="13"/>
      <c r="CE188" s="13"/>
      <c r="CF188" s="13"/>
      <c r="CG188" s="13"/>
      <c r="CH188" s="14"/>
      <c r="CI188" s="12"/>
      <c r="CJ188" s="13"/>
      <c r="CK188" s="14"/>
      <c r="CL188" s="12"/>
      <c r="CM188" s="13"/>
      <c r="CN188" s="13"/>
      <c r="CO188" s="13"/>
      <c r="CP188" s="13"/>
      <c r="CQ188" s="13"/>
      <c r="CR188" s="13"/>
      <c r="CS188" s="13"/>
      <c r="CT188" s="13"/>
      <c r="CU188" s="13"/>
      <c r="CV188" s="13"/>
      <c r="CW188" s="13"/>
      <c r="CX188" s="13"/>
      <c r="CY188" s="13"/>
      <c r="CZ188" s="13"/>
      <c r="DA188" s="14"/>
      <c r="DB188" s="12"/>
      <c r="DC188" s="13"/>
      <c r="DD188" s="13"/>
      <c r="DE188" s="13"/>
      <c r="DF188" s="128"/>
      <c r="DG188" s="128"/>
      <c r="DH188" s="128"/>
      <c r="DI188" s="128"/>
      <c r="DJ188" s="128"/>
      <c r="DK188" s="128"/>
      <c r="DL188" s="128"/>
      <c r="DM188" s="128"/>
      <c r="DN188" s="128"/>
      <c r="DO188" s="13"/>
      <c r="DP188" s="13"/>
      <c r="DQ188" s="14"/>
      <c r="DR188" s="12"/>
      <c r="DS188" s="13"/>
      <c r="DT188" s="14"/>
      <c r="DU188" s="12"/>
      <c r="DV188" s="13"/>
      <c r="DW188" s="13"/>
      <c r="DX188" s="128"/>
      <c r="DY188" s="128"/>
      <c r="DZ188" s="128"/>
      <c r="EA188" s="128"/>
      <c r="EB188" s="128"/>
      <c r="EC188" s="128"/>
      <c r="ED188" s="128"/>
      <c r="EE188" s="129"/>
      <c r="EF188" s="108"/>
      <c r="EG188" s="54"/>
      <c r="EH188" s="54"/>
      <c r="EI188" s="108"/>
      <c r="EJ188" s="88"/>
      <c r="EK188" s="13"/>
      <c r="EL188" s="13"/>
      <c r="EM188" s="13"/>
      <c r="EN188" s="13"/>
      <c r="EO188" s="13"/>
      <c r="EP188" s="13"/>
      <c r="EQ188" s="13"/>
      <c r="ER188" s="13"/>
      <c r="ES188" s="13"/>
      <c r="ET188" s="14"/>
      <c r="EU188" s="12"/>
      <c r="EV188" s="13"/>
      <c r="EW188" s="14"/>
      <c r="EX188" s="12"/>
      <c r="EY188" s="13"/>
      <c r="EZ188" s="13"/>
      <c r="FA188" s="13"/>
      <c r="FB188" s="13"/>
      <c r="FC188" s="13"/>
      <c r="FD188" s="13"/>
      <c r="FE188" s="13"/>
      <c r="FF188" s="13"/>
      <c r="FG188" s="13"/>
      <c r="FH188" s="13"/>
      <c r="FI188" s="13"/>
      <c r="FJ188" s="13"/>
      <c r="FK188" s="13"/>
      <c r="FL188" s="13"/>
      <c r="FM188" s="14"/>
      <c r="FN188" s="12"/>
      <c r="FO188" s="13"/>
      <c r="FP188" s="13"/>
      <c r="FQ188" s="13"/>
      <c r="FR188" s="128"/>
      <c r="FS188" s="128"/>
      <c r="FT188" s="128"/>
      <c r="FU188" s="128"/>
      <c r="FV188" s="128"/>
      <c r="FW188" s="128"/>
      <c r="FX188" s="128"/>
      <c r="FY188" s="128"/>
      <c r="FZ188" s="128"/>
      <c r="GA188" s="13"/>
      <c r="GB188" s="13"/>
      <c r="GC188" s="14"/>
      <c r="GD188" s="12"/>
      <c r="GE188" s="13"/>
      <c r="GF188" s="14"/>
      <c r="GG188" s="12"/>
      <c r="GH188" s="13"/>
      <c r="GI188" s="13"/>
      <c r="GJ188" s="128"/>
      <c r="GK188" s="128"/>
      <c r="GL188" s="128"/>
      <c r="GM188" s="128"/>
      <c r="GN188" s="128"/>
      <c r="GO188" s="128"/>
      <c r="GP188" s="128"/>
      <c r="GQ188" s="129"/>
      <c r="GR188" s="108"/>
      <c r="GS188" s="54"/>
      <c r="GT188" s="54"/>
      <c r="GU188" s="54"/>
      <c r="GV188" s="54"/>
      <c r="GW188" s="54"/>
      <c r="GX188" s="54"/>
      <c r="GY188" s="54"/>
      <c r="GZ188" s="54"/>
      <c r="HA188" s="54"/>
      <c r="HB188" s="54"/>
      <c r="HC188" s="54"/>
      <c r="HD188" s="54"/>
      <c r="HE188" s="54"/>
      <c r="HF188" s="54"/>
      <c r="HG188" s="54"/>
      <c r="HH188" s="54"/>
      <c r="HI188" s="54"/>
      <c r="HJ188" s="54"/>
      <c r="HK188" s="54"/>
      <c r="HL188" s="54"/>
      <c r="HM188" s="54"/>
      <c r="HN188" s="54"/>
      <c r="HO188" s="54"/>
      <c r="HP188" s="54"/>
      <c r="HQ188" s="54"/>
      <c r="HR188" s="54"/>
      <c r="HS188" s="54"/>
      <c r="HT188" s="54"/>
      <c r="HU188" s="54"/>
      <c r="HV188" s="54"/>
      <c r="HW188" s="54"/>
      <c r="HX188" s="54"/>
      <c r="HY188" s="54"/>
      <c r="HZ188" s="54"/>
      <c r="IA188" s="54"/>
      <c r="IB188" s="54"/>
      <c r="IC188" s="54"/>
      <c r="ID188" s="54"/>
      <c r="IE188" s="54"/>
      <c r="IF188" s="54"/>
      <c r="IG188" s="54"/>
      <c r="IH188" s="54"/>
      <c r="II188" s="54"/>
      <c r="IJ188" s="54"/>
      <c r="IK188" s="54"/>
      <c r="IL188" s="54"/>
      <c r="IM188" s="54"/>
      <c r="IN188" s="54"/>
      <c r="IO188" s="54"/>
      <c r="IP188" s="54"/>
      <c r="IQ188" s="54"/>
      <c r="IR188" s="54"/>
      <c r="IS188" s="54"/>
      <c r="IT188" s="54"/>
      <c r="IU188" s="54"/>
      <c r="IV188" s="54"/>
      <c r="IW188" s="54"/>
      <c r="IX188" s="54"/>
      <c r="IY188" s="54"/>
      <c r="IZ188" s="54"/>
      <c r="JA188" s="54"/>
      <c r="JB188" s="54"/>
      <c r="JC188" s="54"/>
      <c r="JD188" s="54"/>
      <c r="JE188" s="54"/>
      <c r="JF188" s="54"/>
      <c r="JG188" s="54"/>
      <c r="JH188" s="54"/>
      <c r="JI188" s="54"/>
      <c r="JJ188" s="54"/>
      <c r="JK188" s="54"/>
      <c r="JL188" s="54"/>
      <c r="JM188" s="54"/>
      <c r="JN188" s="54"/>
      <c r="JO188" s="54"/>
      <c r="JP188" s="54"/>
      <c r="JQ188" s="54"/>
      <c r="JR188" s="54"/>
      <c r="JS188" s="54"/>
      <c r="JT188" s="54"/>
      <c r="JU188" s="54"/>
      <c r="JV188" s="54"/>
      <c r="JW188" s="54"/>
      <c r="JX188" s="54"/>
      <c r="JY188" s="54"/>
      <c r="JZ188" s="54"/>
      <c r="KA188" s="54"/>
      <c r="KB188" s="54"/>
      <c r="KC188" s="54"/>
      <c r="KD188" s="54"/>
      <c r="KE188" s="54"/>
      <c r="KF188" s="54"/>
      <c r="KG188" s="54"/>
      <c r="KH188" s="54"/>
      <c r="KI188" s="54"/>
      <c r="KJ188" s="54"/>
      <c r="KK188" s="54"/>
      <c r="KL188" s="54"/>
      <c r="KM188" s="54"/>
      <c r="KN188" s="54"/>
      <c r="KO188" s="54"/>
      <c r="KP188" s="54"/>
      <c r="KQ188" s="54"/>
      <c r="KR188" s="54"/>
      <c r="KS188" s="54"/>
      <c r="KT188" s="54"/>
      <c r="KU188" s="54"/>
      <c r="KV188" s="54"/>
      <c r="KW188" s="54"/>
      <c r="KX188" s="54"/>
    </row>
    <row r="189" ht="5.2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54"/>
      <c r="BU189" s="54"/>
      <c r="BV189" s="54"/>
      <c r="BW189" s="119" t="str">
        <f>if(or(AR120=0,DD120=0),"",qualreseeding!AC165)</f>
        <v/>
      </c>
      <c r="BX189" s="130" t="str">
        <f t="array" ref="BX189">xlookup(BW189,qualdata!$M$2:$M$17,qualdata!$O$2:$O$17,"")</f>
        <v/>
      </c>
      <c r="BY189" s="8"/>
      <c r="BZ189" s="8"/>
      <c r="CA189" s="8"/>
      <c r="CB189" s="93" t="str">
        <f t="array" ref="CB189">xlookup(BW189,qualdata!$M$2:$M$17,qualdata!$N$2:$N$17,"")</f>
        <v/>
      </c>
      <c r="CC189" s="8"/>
      <c r="CD189" s="8"/>
      <c r="CE189" s="8"/>
      <c r="CF189" s="8"/>
      <c r="CG189" s="8"/>
      <c r="CH189" s="8"/>
      <c r="CI189" s="8"/>
      <c r="CJ189" s="8"/>
      <c r="CK189" s="8"/>
      <c r="CL189" s="8"/>
      <c r="CM189" s="8"/>
      <c r="CN189" s="8"/>
      <c r="CO189" s="8"/>
      <c r="CP189" s="8"/>
      <c r="CQ189" s="8"/>
      <c r="CR189" s="8"/>
      <c r="CS189" s="8"/>
      <c r="CT189" s="8"/>
      <c r="CU189" s="8"/>
      <c r="CV189" s="8"/>
      <c r="CW189" s="8"/>
      <c r="CX189" s="94"/>
      <c r="CY189" s="8"/>
      <c r="CZ189" s="8"/>
      <c r="DA189" s="9"/>
      <c r="DB189" s="95"/>
      <c r="DC189" s="8"/>
      <c r="DD189" s="8"/>
      <c r="DE189" s="8"/>
      <c r="DF189" s="96" t="str">
        <f t="array" ref="DF189">xlookup(EF189,qualdata!$M$2:$M$17,qualdata!$N$2:$N$17,"")</f>
        <v/>
      </c>
      <c r="DG189" s="8"/>
      <c r="DH189" s="8"/>
      <c r="DI189" s="8"/>
      <c r="DJ189" s="8"/>
      <c r="DK189" s="8"/>
      <c r="DL189" s="8"/>
      <c r="DM189" s="8"/>
      <c r="DN189" s="8"/>
      <c r="DO189" s="8"/>
      <c r="DP189" s="8"/>
      <c r="DQ189" s="8"/>
      <c r="DR189" s="8"/>
      <c r="DS189" s="8"/>
      <c r="DT189" s="8"/>
      <c r="DU189" s="8"/>
      <c r="DV189" s="8"/>
      <c r="DW189" s="8"/>
      <c r="DX189" s="8"/>
      <c r="DY189" s="8"/>
      <c r="DZ189" s="8"/>
      <c r="EA189" s="8"/>
      <c r="EB189" s="131" t="str">
        <f t="array" ref="EB189">xlookup(EF189,qualdata!$M$2:$M$17,qualdata!$O$2:$O$17,"")</f>
        <v/>
      </c>
      <c r="EC189" s="8"/>
      <c r="ED189" s="8"/>
      <c r="EE189" s="98"/>
      <c r="EF189" s="119" t="str">
        <f>if(or(AR120=0,DD120=0),"",qualreseeding!AD165)</f>
        <v/>
      </c>
      <c r="EG189" s="54"/>
      <c r="EH189" s="54"/>
      <c r="EI189" s="119" t="str">
        <f>if(or(FP120=0,DD120=0),"",qualreseeding!AC171)</f>
        <v/>
      </c>
      <c r="EJ189" s="130" t="str">
        <f t="array" ref="EJ189">xlookup(EI189,qualdata!$M$2:$M$17,qualdata!$O$2:$O$17,"")</f>
        <v/>
      </c>
      <c r="EK189" s="8"/>
      <c r="EL189" s="8"/>
      <c r="EM189" s="8"/>
      <c r="EN189" s="93" t="str">
        <f t="array" ref="EN189">xlookup(EI189,qualdata!$M$2:$M$17,qualdata!$N$2:$N$17,"")</f>
        <v/>
      </c>
      <c r="EO189" s="8"/>
      <c r="EP189" s="8"/>
      <c r="EQ189" s="8"/>
      <c r="ER189" s="8"/>
      <c r="ES189" s="8"/>
      <c r="ET189" s="8"/>
      <c r="EU189" s="8"/>
      <c r="EV189" s="8"/>
      <c r="EW189" s="8"/>
      <c r="EX189" s="8"/>
      <c r="EY189" s="8"/>
      <c r="EZ189" s="8"/>
      <c r="FA189" s="8"/>
      <c r="FB189" s="8"/>
      <c r="FC189" s="8"/>
      <c r="FD189" s="8"/>
      <c r="FE189" s="8"/>
      <c r="FF189" s="8"/>
      <c r="FG189" s="8"/>
      <c r="FH189" s="8"/>
      <c r="FI189" s="8"/>
      <c r="FJ189" s="94"/>
      <c r="FK189" s="8"/>
      <c r="FL189" s="8"/>
      <c r="FM189" s="9"/>
      <c r="FN189" s="95"/>
      <c r="FO189" s="8"/>
      <c r="FP189" s="8"/>
      <c r="FQ189" s="8"/>
      <c r="FR189" s="96" t="str">
        <f t="array" ref="FR189">xlookup(GR189,qualdata!$M$2:$M$17,qualdata!$N$2:$N$17,"")</f>
        <v/>
      </c>
      <c r="FS189" s="8"/>
      <c r="FT189" s="8"/>
      <c r="FU189" s="8"/>
      <c r="FV189" s="8"/>
      <c r="FW189" s="8"/>
      <c r="FX189" s="8"/>
      <c r="FY189" s="8"/>
      <c r="FZ189" s="8"/>
      <c r="GA189" s="8"/>
      <c r="GB189" s="8"/>
      <c r="GC189" s="8"/>
      <c r="GD189" s="8"/>
      <c r="GE189" s="8"/>
      <c r="GF189" s="8"/>
      <c r="GG189" s="8"/>
      <c r="GH189" s="8"/>
      <c r="GI189" s="8"/>
      <c r="GJ189" s="8"/>
      <c r="GK189" s="8"/>
      <c r="GL189" s="8"/>
      <c r="GM189" s="8"/>
      <c r="GN189" s="131" t="str">
        <f t="array" ref="GN189">xlookup(GR189,qualdata!$M$2:$M$17,qualdata!$O$2:$O$17,"")</f>
        <v/>
      </c>
      <c r="GO189" s="8"/>
      <c r="GP189" s="8"/>
      <c r="GQ189" s="98"/>
      <c r="GR189" s="119" t="str">
        <f>if(or(FP120=0,DD120=0),"",qualreseeding!AD171)</f>
        <v/>
      </c>
      <c r="GS189" s="54"/>
      <c r="GT189" s="54"/>
      <c r="GU189" s="54"/>
      <c r="GV189" s="54"/>
      <c r="GW189" s="54"/>
      <c r="GX189" s="54"/>
      <c r="GY189" s="54"/>
      <c r="GZ189" s="54"/>
      <c r="HA189" s="54"/>
      <c r="HB189" s="54"/>
      <c r="HC189" s="54"/>
      <c r="HD189" s="54"/>
      <c r="HE189" s="54"/>
      <c r="HF189" s="54"/>
      <c r="HG189" s="54"/>
      <c r="HH189" s="54"/>
      <c r="HI189" s="54"/>
      <c r="HJ189" s="54"/>
      <c r="HK189" s="54"/>
      <c r="HL189" s="54"/>
      <c r="HM189" s="54"/>
      <c r="HN189" s="54"/>
      <c r="HO189" s="54"/>
      <c r="HP189" s="54"/>
      <c r="HQ189" s="54"/>
      <c r="HR189" s="54"/>
      <c r="HS189" s="54"/>
      <c r="HT189" s="54"/>
      <c r="HU189" s="54"/>
      <c r="HV189" s="54"/>
      <c r="HW189" s="54"/>
      <c r="HX189" s="54"/>
      <c r="HY189" s="54"/>
      <c r="HZ189" s="54"/>
      <c r="IA189" s="54"/>
      <c r="IB189" s="54"/>
      <c r="IC189" s="54"/>
      <c r="ID189" s="54"/>
      <c r="IE189" s="54"/>
      <c r="IF189" s="54"/>
      <c r="IG189" s="54"/>
      <c r="IH189" s="54"/>
      <c r="II189" s="54"/>
      <c r="IJ189" s="54"/>
      <c r="IK189" s="54"/>
      <c r="IL189" s="54"/>
      <c r="IM189" s="54"/>
      <c r="IN189" s="54"/>
      <c r="IO189" s="54"/>
      <c r="IP189" s="54"/>
      <c r="IQ189" s="54"/>
      <c r="IR189" s="54"/>
      <c r="IS189" s="54"/>
      <c r="IT189" s="54"/>
      <c r="IU189" s="54"/>
      <c r="IV189" s="54"/>
      <c r="IW189" s="54"/>
      <c r="IX189" s="54"/>
      <c r="IY189" s="54"/>
      <c r="IZ189" s="54"/>
      <c r="JA189" s="54"/>
      <c r="JB189" s="54"/>
      <c r="JC189" s="54"/>
      <c r="JD189" s="54"/>
      <c r="JE189" s="54"/>
      <c r="JF189" s="54"/>
      <c r="JG189" s="54"/>
      <c r="JH189" s="54"/>
      <c r="JI189" s="54"/>
      <c r="JJ189" s="54"/>
      <c r="JK189" s="54"/>
      <c r="JL189" s="54"/>
      <c r="JM189" s="54"/>
      <c r="JN189" s="54"/>
      <c r="JO189" s="54"/>
      <c r="JP189" s="54"/>
      <c r="JQ189" s="54"/>
      <c r="JR189" s="54"/>
      <c r="JS189" s="54"/>
      <c r="JT189" s="54"/>
      <c r="JU189" s="54"/>
      <c r="JV189" s="54"/>
      <c r="JW189" s="54"/>
      <c r="JX189" s="54"/>
      <c r="JY189" s="54"/>
      <c r="JZ189" s="54"/>
      <c r="KA189" s="54"/>
      <c r="KB189" s="54"/>
      <c r="KC189" s="54"/>
      <c r="KD189" s="54"/>
      <c r="KE189" s="54"/>
      <c r="KF189" s="54"/>
      <c r="KG189" s="54"/>
      <c r="KH189" s="54"/>
      <c r="KI189" s="54"/>
      <c r="KJ189" s="54"/>
      <c r="KK189" s="54"/>
      <c r="KL189" s="54"/>
      <c r="KM189" s="54"/>
      <c r="KN189" s="54"/>
      <c r="KO189" s="54"/>
      <c r="KP189" s="54"/>
      <c r="KQ189" s="54"/>
      <c r="KR189" s="54"/>
      <c r="KS189" s="54"/>
      <c r="KT189" s="54"/>
      <c r="KU189" s="54"/>
      <c r="KV189" s="54"/>
      <c r="KW189" s="54"/>
      <c r="KX189" s="54"/>
    </row>
    <row r="190" ht="5.2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c r="BI190" s="54"/>
      <c r="BJ190" s="54"/>
      <c r="BK190" s="54"/>
      <c r="BL190" s="54"/>
      <c r="BM190" s="54"/>
      <c r="BN190" s="54"/>
      <c r="BO190" s="54"/>
      <c r="BP190" s="54"/>
      <c r="BQ190" s="54"/>
      <c r="BR190" s="54"/>
      <c r="BS190" s="54"/>
      <c r="BT190" s="54"/>
      <c r="BU190" s="54"/>
      <c r="BV190" s="54"/>
      <c r="BW190" s="108"/>
      <c r="BX190" s="60"/>
      <c r="DA190" s="11"/>
      <c r="DB190" s="10"/>
      <c r="EE190" s="61"/>
      <c r="EF190" s="108"/>
      <c r="EG190" s="54"/>
      <c r="EH190" s="54"/>
      <c r="EI190" s="108"/>
      <c r="EJ190" s="60"/>
      <c r="FM190" s="11"/>
      <c r="FN190" s="10"/>
      <c r="GQ190" s="61"/>
      <c r="GR190" s="108"/>
      <c r="GS190" s="54"/>
      <c r="GT190" s="54"/>
      <c r="GU190" s="54"/>
      <c r="GV190" s="54"/>
      <c r="GW190" s="54"/>
      <c r="GX190" s="54"/>
      <c r="GY190" s="54"/>
      <c r="GZ190" s="54"/>
      <c r="HA190" s="54"/>
      <c r="HB190" s="54"/>
      <c r="HC190" s="54"/>
      <c r="HD190" s="54"/>
      <c r="HE190" s="54"/>
      <c r="HF190" s="54"/>
      <c r="HG190" s="54"/>
      <c r="HH190" s="54"/>
      <c r="HI190" s="54"/>
      <c r="HJ190" s="54"/>
      <c r="HK190" s="54"/>
      <c r="HL190" s="54"/>
      <c r="HM190" s="54"/>
      <c r="HN190" s="54"/>
      <c r="HO190" s="54"/>
      <c r="HP190" s="54"/>
      <c r="HQ190" s="54"/>
      <c r="HR190" s="54"/>
      <c r="HS190" s="54"/>
      <c r="HT190" s="54"/>
      <c r="HU190" s="54"/>
      <c r="HV190" s="54"/>
      <c r="HW190" s="54"/>
      <c r="HX190" s="54"/>
      <c r="HY190" s="54"/>
      <c r="HZ190" s="54"/>
      <c r="IA190" s="54"/>
      <c r="IB190" s="54"/>
      <c r="IC190" s="54"/>
      <c r="ID190" s="54"/>
      <c r="IE190" s="54"/>
      <c r="IF190" s="54"/>
      <c r="IG190" s="54"/>
      <c r="IH190" s="54"/>
      <c r="II190" s="54"/>
      <c r="IJ190" s="54"/>
      <c r="IK190" s="54"/>
      <c r="IL190" s="54"/>
      <c r="IM190" s="54"/>
      <c r="IN190" s="54"/>
      <c r="IO190" s="54"/>
      <c r="IP190" s="54"/>
      <c r="IQ190" s="54"/>
      <c r="IR190" s="54"/>
      <c r="IS190" s="54"/>
      <c r="IT190" s="54"/>
      <c r="IU190" s="54"/>
      <c r="IV190" s="54"/>
      <c r="IW190" s="54"/>
      <c r="IX190" s="54"/>
      <c r="IY190" s="54"/>
      <c r="IZ190" s="54"/>
      <c r="JA190" s="54"/>
      <c r="JB190" s="54"/>
      <c r="JC190" s="54"/>
      <c r="JD190" s="54"/>
      <c r="JE190" s="54"/>
      <c r="JF190" s="54"/>
      <c r="JG190" s="54"/>
      <c r="JH190" s="54"/>
      <c r="JI190" s="54"/>
      <c r="JJ190" s="54"/>
      <c r="JK190" s="54"/>
      <c r="JL190" s="54"/>
      <c r="JM190" s="54"/>
      <c r="JN190" s="54"/>
      <c r="JO190" s="54"/>
      <c r="JP190" s="54"/>
      <c r="JQ190" s="54"/>
      <c r="JR190" s="54"/>
      <c r="JS190" s="54"/>
      <c r="JT190" s="54"/>
      <c r="JU190" s="54"/>
      <c r="JV190" s="54"/>
      <c r="JW190" s="54"/>
      <c r="JX190" s="54"/>
      <c r="JY190" s="54"/>
      <c r="JZ190" s="54"/>
      <c r="KA190" s="54"/>
      <c r="KB190" s="54"/>
      <c r="KC190" s="54"/>
      <c r="KD190" s="54"/>
      <c r="KE190" s="54"/>
      <c r="KF190" s="54"/>
      <c r="KG190" s="54"/>
      <c r="KH190" s="54"/>
      <c r="KI190" s="54"/>
      <c r="KJ190" s="54"/>
      <c r="KK190" s="54"/>
      <c r="KL190" s="54"/>
      <c r="KM190" s="54"/>
      <c r="KN190" s="54"/>
      <c r="KO190" s="54"/>
      <c r="KP190" s="54"/>
      <c r="KQ190" s="54"/>
      <c r="KR190" s="54"/>
      <c r="KS190" s="54"/>
      <c r="KT190" s="54"/>
      <c r="KU190" s="54"/>
      <c r="KV190" s="54"/>
      <c r="KW190" s="54"/>
      <c r="KX190" s="54"/>
    </row>
    <row r="191" ht="5.2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54"/>
      <c r="BU191" s="54"/>
      <c r="BV191" s="54"/>
      <c r="BW191" s="108"/>
      <c r="BX191" s="60"/>
      <c r="DA191" s="11"/>
      <c r="DB191" s="10"/>
      <c r="EE191" s="61"/>
      <c r="EF191" s="108"/>
      <c r="EG191" s="54"/>
      <c r="EH191" s="54"/>
      <c r="EI191" s="108"/>
      <c r="EJ191" s="60"/>
      <c r="FM191" s="11"/>
      <c r="FN191" s="10"/>
      <c r="GQ191" s="61"/>
      <c r="GR191" s="108"/>
      <c r="GS191" s="54"/>
      <c r="GT191" s="54"/>
      <c r="GU191" s="54"/>
      <c r="GV191" s="54"/>
      <c r="GW191" s="54"/>
      <c r="GX191" s="54"/>
      <c r="GY191" s="54"/>
      <c r="GZ191" s="54"/>
      <c r="HA191" s="54"/>
      <c r="HB191" s="54"/>
      <c r="HC191" s="54"/>
      <c r="HD191" s="54"/>
      <c r="HE191" s="54"/>
      <c r="HF191" s="54"/>
      <c r="HG191" s="54"/>
      <c r="HH191" s="54"/>
      <c r="HI191" s="54"/>
      <c r="HJ191" s="54"/>
      <c r="HK191" s="54"/>
      <c r="HL191" s="54"/>
      <c r="HM191" s="54"/>
      <c r="HN191" s="54"/>
      <c r="HO191" s="54"/>
      <c r="HP191" s="54"/>
      <c r="HQ191" s="54"/>
      <c r="HR191" s="54"/>
      <c r="HS191" s="54"/>
      <c r="HT191" s="54"/>
      <c r="HU191" s="54"/>
      <c r="HV191" s="54"/>
      <c r="HW191" s="54"/>
      <c r="HX191" s="54"/>
      <c r="HY191" s="54"/>
      <c r="HZ191" s="54"/>
      <c r="IA191" s="54"/>
      <c r="IB191" s="54"/>
      <c r="IC191" s="54"/>
      <c r="ID191" s="54"/>
      <c r="IE191" s="54"/>
      <c r="IF191" s="54"/>
      <c r="IG191" s="54"/>
      <c r="IH191" s="54"/>
      <c r="II191" s="54"/>
      <c r="IJ191" s="54"/>
      <c r="IK191" s="54"/>
      <c r="IL191" s="54"/>
      <c r="IM191" s="54"/>
      <c r="IN191" s="54"/>
      <c r="IO191" s="54"/>
      <c r="IP191" s="54"/>
      <c r="IQ191" s="54"/>
      <c r="IR191" s="54"/>
      <c r="IS191" s="54"/>
      <c r="IT191" s="54"/>
      <c r="IU191" s="54"/>
      <c r="IV191" s="54"/>
      <c r="IW191" s="54"/>
      <c r="IX191" s="54"/>
      <c r="IY191" s="54"/>
      <c r="IZ191" s="54"/>
      <c r="JA191" s="54"/>
      <c r="JB191" s="54"/>
      <c r="JC191" s="54"/>
      <c r="JD191" s="54"/>
      <c r="JE191" s="54"/>
      <c r="JF191" s="54"/>
      <c r="JG191" s="54"/>
      <c r="JH191" s="54"/>
      <c r="JI191" s="54"/>
      <c r="JJ191" s="54"/>
      <c r="JK191" s="54"/>
      <c r="JL191" s="54"/>
      <c r="JM191" s="54"/>
      <c r="JN191" s="54"/>
      <c r="JO191" s="54"/>
      <c r="JP191" s="54"/>
      <c r="JQ191" s="54"/>
      <c r="JR191" s="54"/>
      <c r="JS191" s="54"/>
      <c r="JT191" s="54"/>
      <c r="JU191" s="54"/>
      <c r="JV191" s="54"/>
      <c r="JW191" s="54"/>
      <c r="JX191" s="54"/>
      <c r="JY191" s="54"/>
      <c r="JZ191" s="54"/>
      <c r="KA191" s="54"/>
      <c r="KB191" s="54"/>
      <c r="KC191" s="54"/>
      <c r="KD191" s="54"/>
      <c r="KE191" s="54"/>
      <c r="KF191" s="54"/>
      <c r="KG191" s="54"/>
      <c r="KH191" s="54"/>
      <c r="KI191" s="54"/>
      <c r="KJ191" s="54"/>
      <c r="KK191" s="54"/>
      <c r="KL191" s="54"/>
      <c r="KM191" s="54"/>
      <c r="KN191" s="54"/>
      <c r="KO191" s="54"/>
      <c r="KP191" s="54"/>
      <c r="KQ191" s="54"/>
      <c r="KR191" s="54"/>
      <c r="KS191" s="54"/>
      <c r="KT191" s="54"/>
      <c r="KU191" s="54"/>
      <c r="KV191" s="54"/>
      <c r="KW191" s="54"/>
      <c r="KX191" s="54"/>
    </row>
    <row r="192" ht="5.2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c r="BS192" s="54"/>
      <c r="BT192" s="54"/>
      <c r="BU192" s="54"/>
      <c r="BV192" s="54"/>
      <c r="BW192" s="108"/>
      <c r="BX192" s="60"/>
      <c r="DA192" s="11"/>
      <c r="DB192" s="10"/>
      <c r="EE192" s="61"/>
      <c r="EF192" s="108"/>
      <c r="EG192" s="54"/>
      <c r="EH192" s="54"/>
      <c r="EI192" s="108"/>
      <c r="EJ192" s="60"/>
      <c r="FM192" s="11"/>
      <c r="FN192" s="10"/>
      <c r="GQ192" s="61"/>
      <c r="GR192" s="108"/>
      <c r="GS192" s="54"/>
      <c r="GT192" s="54"/>
      <c r="GU192" s="54"/>
      <c r="GV192" s="54"/>
      <c r="GW192" s="54"/>
      <c r="GX192" s="54"/>
      <c r="GY192" s="54"/>
      <c r="GZ192" s="54"/>
      <c r="HA192" s="54"/>
      <c r="HB192" s="54"/>
      <c r="HC192" s="54"/>
      <c r="HD192" s="54"/>
      <c r="HE192" s="54"/>
      <c r="HF192" s="54"/>
      <c r="HG192" s="54"/>
      <c r="HH192" s="54"/>
      <c r="HI192" s="54"/>
      <c r="HJ192" s="54"/>
      <c r="HK192" s="54"/>
      <c r="HL192" s="54"/>
      <c r="HM192" s="54"/>
      <c r="HN192" s="54"/>
      <c r="HO192" s="54"/>
      <c r="HP192" s="54"/>
      <c r="HQ192" s="54"/>
      <c r="HR192" s="54"/>
      <c r="HS192" s="54"/>
      <c r="HT192" s="54"/>
      <c r="HU192" s="54"/>
      <c r="HV192" s="54"/>
      <c r="HW192" s="54"/>
      <c r="HX192" s="54"/>
      <c r="HY192" s="54"/>
      <c r="HZ192" s="54"/>
      <c r="IA192" s="54"/>
      <c r="IB192" s="54"/>
      <c r="IC192" s="54"/>
      <c r="ID192" s="54"/>
      <c r="IE192" s="54"/>
      <c r="IF192" s="54"/>
      <c r="IG192" s="54"/>
      <c r="IH192" s="54"/>
      <c r="II192" s="54"/>
      <c r="IJ192" s="54"/>
      <c r="IK192" s="54"/>
      <c r="IL192" s="54"/>
      <c r="IM192" s="54"/>
      <c r="IN192" s="54"/>
      <c r="IO192" s="54"/>
      <c r="IP192" s="54"/>
      <c r="IQ192" s="54"/>
      <c r="IR192" s="54"/>
      <c r="IS192" s="54"/>
      <c r="IT192" s="54"/>
      <c r="IU192" s="54"/>
      <c r="IV192" s="54"/>
      <c r="IW192" s="54"/>
      <c r="IX192" s="54"/>
      <c r="IY192" s="54"/>
      <c r="IZ192" s="54"/>
      <c r="JA192" s="54"/>
      <c r="JB192" s="54"/>
      <c r="JC192" s="54"/>
      <c r="JD192" s="54"/>
      <c r="JE192" s="54"/>
      <c r="JF192" s="54"/>
      <c r="JG192" s="54"/>
      <c r="JH192" s="54"/>
      <c r="JI192" s="54"/>
      <c r="JJ192" s="54"/>
      <c r="JK192" s="54"/>
      <c r="JL192" s="54"/>
      <c r="JM192" s="54"/>
      <c r="JN192" s="54"/>
      <c r="JO192" s="54"/>
      <c r="JP192" s="54"/>
      <c r="JQ192" s="54"/>
      <c r="JR192" s="54"/>
      <c r="JS192" s="54"/>
      <c r="JT192" s="54"/>
      <c r="JU192" s="54"/>
      <c r="JV192" s="54"/>
      <c r="JW192" s="54"/>
      <c r="JX192" s="54"/>
      <c r="JY192" s="54"/>
      <c r="JZ192" s="54"/>
      <c r="KA192" s="54"/>
      <c r="KB192" s="54"/>
      <c r="KC192" s="54"/>
      <c r="KD192" s="54"/>
      <c r="KE192" s="54"/>
      <c r="KF192" s="54"/>
      <c r="KG192" s="54"/>
      <c r="KH192" s="54"/>
      <c r="KI192" s="54"/>
      <c r="KJ192" s="54"/>
      <c r="KK192" s="54"/>
      <c r="KL192" s="54"/>
      <c r="KM192" s="54"/>
      <c r="KN192" s="54"/>
      <c r="KO192" s="54"/>
      <c r="KP192" s="54"/>
      <c r="KQ192" s="54"/>
      <c r="KR192" s="54"/>
      <c r="KS192" s="54"/>
      <c r="KT192" s="54"/>
      <c r="KU192" s="54"/>
      <c r="KV192" s="54"/>
      <c r="KW192" s="54"/>
      <c r="KX192" s="54"/>
    </row>
    <row r="193" ht="5.2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c r="BS193" s="54"/>
      <c r="BT193" s="54"/>
      <c r="BU193" s="54"/>
      <c r="BV193" s="54"/>
      <c r="BW193" s="119" t="str">
        <f>BW189</f>
        <v/>
      </c>
      <c r="BX193" s="112"/>
      <c r="CF193" s="122"/>
      <c r="CH193" s="11"/>
      <c r="CI193" s="126"/>
      <c r="CK193" s="11"/>
      <c r="CL193" s="136"/>
      <c r="CO193" s="108"/>
      <c r="CX193" s="85">
        <f>sum(CF193:CN195)</f>
        <v>0</v>
      </c>
      <c r="DA193" s="11"/>
      <c r="DB193" s="86">
        <f>sum(DO193:DW195)</f>
        <v>0</v>
      </c>
      <c r="DF193" s="108"/>
      <c r="DG193" s="108"/>
      <c r="DH193" s="108"/>
      <c r="DI193" s="108"/>
      <c r="DJ193" s="108"/>
      <c r="DK193" s="108"/>
      <c r="DL193" s="108"/>
      <c r="DM193" s="108"/>
      <c r="DN193" s="108"/>
      <c r="DO193" s="121"/>
      <c r="DQ193" s="11"/>
      <c r="DR193" s="127"/>
      <c r="DT193" s="11"/>
      <c r="DU193" s="127"/>
      <c r="DX193" s="108"/>
      <c r="DY193" s="108"/>
      <c r="DZ193" s="108"/>
      <c r="EA193" s="108"/>
      <c r="EB193" s="108"/>
      <c r="EC193" s="108"/>
      <c r="ED193" s="108"/>
      <c r="EE193" s="116"/>
      <c r="EF193" s="119" t="str">
        <f>EF189</f>
        <v/>
      </c>
      <c r="EG193" s="54"/>
      <c r="EH193" s="54"/>
      <c r="EI193" s="119" t="str">
        <f>EI189</f>
        <v/>
      </c>
      <c r="EJ193" s="112"/>
      <c r="ER193" s="122"/>
      <c r="ET193" s="11"/>
      <c r="EU193" s="139"/>
      <c r="EW193" s="11"/>
      <c r="EX193" s="140"/>
      <c r="FA193" s="108"/>
      <c r="FJ193" s="85">
        <f>sum(ER193:EZ195)</f>
        <v>0</v>
      </c>
      <c r="FM193" s="11"/>
      <c r="FN193" s="86">
        <f>sum(GA193:GI195)</f>
        <v>0</v>
      </c>
      <c r="FR193" s="108"/>
      <c r="FS193" s="108"/>
      <c r="FT193" s="108"/>
      <c r="FU193" s="108"/>
      <c r="FV193" s="108"/>
      <c r="FW193" s="108"/>
      <c r="FX193" s="108"/>
      <c r="FY193" s="108"/>
      <c r="FZ193" s="108"/>
      <c r="GA193" s="141"/>
      <c r="GC193" s="11"/>
      <c r="GD193" s="127"/>
      <c r="GF193" s="11"/>
      <c r="GG193" s="127"/>
      <c r="GJ193" s="108"/>
      <c r="GK193" s="108"/>
      <c r="GL193" s="108"/>
      <c r="GM193" s="108"/>
      <c r="GN193" s="108"/>
      <c r="GO193" s="108"/>
      <c r="GP193" s="108"/>
      <c r="GQ193" s="116"/>
      <c r="GR193" s="119" t="str">
        <f>GR189</f>
        <v/>
      </c>
      <c r="GS193" s="54"/>
      <c r="GT193" s="54"/>
      <c r="GU193" s="54"/>
      <c r="GV193" s="54"/>
      <c r="GW193" s="54"/>
      <c r="GX193" s="54"/>
      <c r="GY193" s="54"/>
      <c r="GZ193" s="54"/>
      <c r="HA193" s="54"/>
      <c r="HB193" s="54"/>
      <c r="HC193" s="54"/>
      <c r="HD193" s="54"/>
      <c r="HE193" s="54"/>
      <c r="HF193" s="54"/>
      <c r="HG193" s="54"/>
      <c r="HH193" s="54"/>
      <c r="HI193" s="54"/>
      <c r="HJ193" s="54"/>
      <c r="HK193" s="54"/>
      <c r="HL193" s="54"/>
      <c r="HM193" s="54"/>
      <c r="HN193" s="54"/>
      <c r="HO193" s="54"/>
      <c r="HP193" s="54"/>
      <c r="HQ193" s="54"/>
      <c r="HR193" s="54"/>
      <c r="HS193" s="54"/>
      <c r="HT193" s="54"/>
      <c r="HU193" s="54"/>
      <c r="HV193" s="54"/>
      <c r="HW193" s="54"/>
      <c r="HX193" s="54"/>
      <c r="HY193" s="54"/>
      <c r="HZ193" s="54"/>
      <c r="IA193" s="54"/>
      <c r="IB193" s="54"/>
      <c r="IC193" s="54"/>
      <c r="ID193" s="54"/>
      <c r="IE193" s="54"/>
      <c r="IF193" s="54"/>
      <c r="IG193" s="54"/>
      <c r="IH193" s="54"/>
      <c r="II193" s="54"/>
      <c r="IJ193" s="54"/>
      <c r="IK193" s="54"/>
      <c r="IL193" s="54"/>
      <c r="IM193" s="54"/>
      <c r="IN193" s="54"/>
      <c r="IO193" s="54"/>
      <c r="IP193" s="54"/>
      <c r="IQ193" s="54"/>
      <c r="IR193" s="54"/>
      <c r="IS193" s="54"/>
      <c r="IT193" s="54"/>
      <c r="IU193" s="54"/>
      <c r="IV193" s="54"/>
      <c r="IW193" s="54"/>
      <c r="IX193" s="54"/>
      <c r="IY193" s="54"/>
      <c r="IZ193" s="54"/>
      <c r="JA193" s="54"/>
      <c r="JB193" s="54"/>
      <c r="JC193" s="54"/>
      <c r="JD193" s="54"/>
      <c r="JE193" s="54"/>
      <c r="JF193" s="54"/>
      <c r="JG193" s="54"/>
      <c r="JH193" s="54"/>
      <c r="JI193" s="54"/>
      <c r="JJ193" s="54"/>
      <c r="JK193" s="54"/>
      <c r="JL193" s="54"/>
      <c r="JM193" s="54"/>
      <c r="JN193" s="54"/>
      <c r="JO193" s="54"/>
      <c r="JP193" s="54"/>
      <c r="JQ193" s="54"/>
      <c r="JR193" s="54"/>
      <c r="JS193" s="54"/>
      <c r="JT193" s="54"/>
      <c r="JU193" s="54"/>
      <c r="JV193" s="54"/>
      <c r="JW193" s="54"/>
      <c r="JX193" s="54"/>
      <c r="JY193" s="54"/>
      <c r="JZ193" s="54"/>
      <c r="KA193" s="54"/>
      <c r="KB193" s="54"/>
      <c r="KC193" s="54"/>
      <c r="KD193" s="54"/>
      <c r="KE193" s="54"/>
      <c r="KF193" s="54"/>
      <c r="KG193" s="54"/>
      <c r="KH193" s="54"/>
      <c r="KI193" s="54"/>
      <c r="KJ193" s="54"/>
      <c r="KK193" s="54"/>
      <c r="KL193" s="54"/>
      <c r="KM193" s="54"/>
      <c r="KN193" s="54"/>
      <c r="KO193" s="54"/>
      <c r="KP193" s="54"/>
      <c r="KQ193" s="54"/>
      <c r="KR193" s="54"/>
      <c r="KS193" s="54"/>
      <c r="KT193" s="54"/>
      <c r="KU193" s="54"/>
      <c r="KV193" s="54"/>
      <c r="KW193" s="54"/>
      <c r="KX193" s="54"/>
    </row>
    <row r="194" ht="5.2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c r="BS194" s="54"/>
      <c r="BT194" s="54"/>
      <c r="BU194" s="54"/>
      <c r="BV194" s="54"/>
      <c r="BW194" s="108"/>
      <c r="BX194" s="60"/>
      <c r="CH194" s="11"/>
      <c r="CI194" s="10"/>
      <c r="CK194" s="11"/>
      <c r="CL194" s="10"/>
      <c r="DA194" s="11"/>
      <c r="DB194" s="10"/>
      <c r="DF194" s="108"/>
      <c r="DG194" s="108"/>
      <c r="DH194" s="108"/>
      <c r="DI194" s="108"/>
      <c r="DJ194" s="108"/>
      <c r="DK194" s="108"/>
      <c r="DL194" s="108"/>
      <c r="DM194" s="108"/>
      <c r="DN194" s="108"/>
      <c r="DQ194" s="11"/>
      <c r="DR194" s="10"/>
      <c r="DT194" s="11"/>
      <c r="DU194" s="10"/>
      <c r="DX194" s="108"/>
      <c r="DY194" s="108"/>
      <c r="DZ194" s="108"/>
      <c r="EA194" s="108"/>
      <c r="EB194" s="108"/>
      <c r="EC194" s="108"/>
      <c r="ED194" s="108"/>
      <c r="EE194" s="116"/>
      <c r="EF194" s="108"/>
      <c r="EG194" s="54"/>
      <c r="EH194" s="54"/>
      <c r="EI194" s="108"/>
      <c r="EJ194" s="60"/>
      <c r="ET194" s="11"/>
      <c r="EU194" s="10"/>
      <c r="EW194" s="11"/>
      <c r="EX194" s="10"/>
      <c r="FM194" s="11"/>
      <c r="FN194" s="10"/>
      <c r="FR194" s="108"/>
      <c r="FS194" s="108"/>
      <c r="FT194" s="108"/>
      <c r="FU194" s="108"/>
      <c r="FV194" s="108"/>
      <c r="FW194" s="108"/>
      <c r="FX194" s="108"/>
      <c r="FY194" s="108"/>
      <c r="FZ194" s="108"/>
      <c r="GC194" s="11"/>
      <c r="GD194" s="10"/>
      <c r="GF194" s="11"/>
      <c r="GG194" s="10"/>
      <c r="GJ194" s="108"/>
      <c r="GK194" s="108"/>
      <c r="GL194" s="108"/>
      <c r="GM194" s="108"/>
      <c r="GN194" s="108"/>
      <c r="GO194" s="108"/>
      <c r="GP194" s="108"/>
      <c r="GQ194" s="116"/>
      <c r="GR194" s="108"/>
      <c r="GS194" s="54"/>
      <c r="GT194" s="54"/>
      <c r="GU194" s="54"/>
      <c r="GV194" s="54"/>
      <c r="GW194" s="54"/>
      <c r="GX194" s="54"/>
      <c r="GY194" s="54"/>
      <c r="GZ194" s="54"/>
      <c r="HA194" s="54"/>
      <c r="HB194" s="54"/>
      <c r="HC194" s="54"/>
      <c r="HD194" s="54"/>
      <c r="HE194" s="54"/>
      <c r="HF194" s="54"/>
      <c r="HG194" s="54"/>
      <c r="HH194" s="54"/>
      <c r="HI194" s="54"/>
      <c r="HJ194" s="54"/>
      <c r="HK194" s="54"/>
      <c r="HL194" s="54"/>
      <c r="HM194" s="54"/>
      <c r="HN194" s="54"/>
      <c r="HO194" s="54"/>
      <c r="HP194" s="54"/>
      <c r="HQ194" s="54"/>
      <c r="HR194" s="54"/>
      <c r="HS194" s="54"/>
      <c r="HT194" s="54"/>
      <c r="HU194" s="54"/>
      <c r="HV194" s="54"/>
      <c r="HW194" s="54"/>
      <c r="HX194" s="54"/>
      <c r="HY194" s="54"/>
      <c r="HZ194" s="54"/>
      <c r="IA194" s="54"/>
      <c r="IB194" s="54"/>
      <c r="IC194" s="54"/>
      <c r="ID194" s="54"/>
      <c r="IE194" s="54"/>
      <c r="IF194" s="54"/>
      <c r="IG194" s="54"/>
      <c r="IH194" s="54"/>
      <c r="II194" s="54"/>
      <c r="IJ194" s="54"/>
      <c r="IK194" s="54"/>
      <c r="IL194" s="54"/>
      <c r="IM194" s="54"/>
      <c r="IN194" s="54"/>
      <c r="IO194" s="54"/>
      <c r="IP194" s="54"/>
      <c r="IQ194" s="54"/>
      <c r="IR194" s="54"/>
      <c r="IS194" s="54"/>
      <c r="IT194" s="54"/>
      <c r="IU194" s="54"/>
      <c r="IV194" s="54"/>
      <c r="IW194" s="54"/>
      <c r="IX194" s="54"/>
      <c r="IY194" s="54"/>
      <c r="IZ194" s="54"/>
      <c r="JA194" s="54"/>
      <c r="JB194" s="54"/>
      <c r="JC194" s="54"/>
      <c r="JD194" s="54"/>
      <c r="JE194" s="54"/>
      <c r="JF194" s="54"/>
      <c r="JG194" s="54"/>
      <c r="JH194" s="54"/>
      <c r="JI194" s="54"/>
      <c r="JJ194" s="54"/>
      <c r="JK194" s="54"/>
      <c r="JL194" s="54"/>
      <c r="JM194" s="54"/>
      <c r="JN194" s="54"/>
      <c r="JO194" s="54"/>
      <c r="JP194" s="54"/>
      <c r="JQ194" s="54"/>
      <c r="JR194" s="54"/>
      <c r="JS194" s="54"/>
      <c r="JT194" s="54"/>
      <c r="JU194" s="54"/>
      <c r="JV194" s="54"/>
      <c r="JW194" s="54"/>
      <c r="JX194" s="54"/>
      <c r="JY194" s="54"/>
      <c r="JZ194" s="54"/>
      <c r="KA194" s="54"/>
      <c r="KB194" s="54"/>
      <c r="KC194" s="54"/>
      <c r="KD194" s="54"/>
      <c r="KE194" s="54"/>
      <c r="KF194" s="54"/>
      <c r="KG194" s="54"/>
      <c r="KH194" s="54"/>
      <c r="KI194" s="54"/>
      <c r="KJ194" s="54"/>
      <c r="KK194" s="54"/>
      <c r="KL194" s="54"/>
      <c r="KM194" s="54"/>
      <c r="KN194" s="54"/>
      <c r="KO194" s="54"/>
      <c r="KP194" s="54"/>
      <c r="KQ194" s="54"/>
      <c r="KR194" s="54"/>
      <c r="KS194" s="54"/>
      <c r="KT194" s="54"/>
      <c r="KU194" s="54"/>
      <c r="KV194" s="54"/>
      <c r="KW194" s="54"/>
      <c r="KX194" s="54"/>
    </row>
    <row r="195" ht="5.2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54"/>
      <c r="BU195" s="54"/>
      <c r="BV195" s="54"/>
      <c r="BW195" s="108"/>
      <c r="BX195" s="101"/>
      <c r="BY195" s="102"/>
      <c r="BZ195" s="102"/>
      <c r="CA195" s="102"/>
      <c r="CB195" s="102"/>
      <c r="CC195" s="102"/>
      <c r="CD195" s="102"/>
      <c r="CE195" s="102"/>
      <c r="CF195" s="102"/>
      <c r="CG195" s="102"/>
      <c r="CH195" s="103"/>
      <c r="CI195" s="104"/>
      <c r="CJ195" s="102"/>
      <c r="CK195" s="103"/>
      <c r="CL195" s="104"/>
      <c r="CM195" s="102"/>
      <c r="CN195" s="102"/>
      <c r="CO195" s="102"/>
      <c r="CP195" s="102"/>
      <c r="CQ195" s="102"/>
      <c r="CR195" s="102"/>
      <c r="CS195" s="102"/>
      <c r="CT195" s="102"/>
      <c r="CU195" s="102"/>
      <c r="CV195" s="102"/>
      <c r="CW195" s="102"/>
      <c r="CX195" s="102"/>
      <c r="CY195" s="102"/>
      <c r="CZ195" s="102"/>
      <c r="DA195" s="103"/>
      <c r="DB195" s="104"/>
      <c r="DC195" s="102"/>
      <c r="DD195" s="102"/>
      <c r="DE195" s="102"/>
      <c r="DF195" s="137"/>
      <c r="DG195" s="137"/>
      <c r="DH195" s="137"/>
      <c r="DI195" s="137"/>
      <c r="DJ195" s="137"/>
      <c r="DK195" s="137"/>
      <c r="DL195" s="137"/>
      <c r="DM195" s="137"/>
      <c r="DN195" s="137"/>
      <c r="DO195" s="102"/>
      <c r="DP195" s="102"/>
      <c r="DQ195" s="103"/>
      <c r="DR195" s="104"/>
      <c r="DS195" s="102"/>
      <c r="DT195" s="103"/>
      <c r="DU195" s="104"/>
      <c r="DV195" s="102"/>
      <c r="DW195" s="102"/>
      <c r="DX195" s="137"/>
      <c r="DY195" s="137"/>
      <c r="DZ195" s="137"/>
      <c r="EA195" s="137"/>
      <c r="EB195" s="137"/>
      <c r="EC195" s="137"/>
      <c r="ED195" s="137"/>
      <c r="EE195" s="138"/>
      <c r="EF195" s="108"/>
      <c r="EG195" s="54"/>
      <c r="EH195" s="54"/>
      <c r="EI195" s="108"/>
      <c r="EJ195" s="101"/>
      <c r="EK195" s="102"/>
      <c r="EL195" s="102"/>
      <c r="EM195" s="102"/>
      <c r="EN195" s="102"/>
      <c r="EO195" s="102"/>
      <c r="EP195" s="102"/>
      <c r="EQ195" s="102"/>
      <c r="ER195" s="102"/>
      <c r="ES195" s="102"/>
      <c r="ET195" s="103"/>
      <c r="EU195" s="104"/>
      <c r="EV195" s="102"/>
      <c r="EW195" s="103"/>
      <c r="EX195" s="104"/>
      <c r="EY195" s="102"/>
      <c r="EZ195" s="102"/>
      <c r="FA195" s="102"/>
      <c r="FB195" s="102"/>
      <c r="FC195" s="102"/>
      <c r="FD195" s="102"/>
      <c r="FE195" s="102"/>
      <c r="FF195" s="102"/>
      <c r="FG195" s="102"/>
      <c r="FH195" s="102"/>
      <c r="FI195" s="102"/>
      <c r="FJ195" s="102"/>
      <c r="FK195" s="102"/>
      <c r="FL195" s="102"/>
      <c r="FM195" s="103"/>
      <c r="FN195" s="104"/>
      <c r="FO195" s="102"/>
      <c r="FP195" s="102"/>
      <c r="FQ195" s="102"/>
      <c r="FR195" s="137"/>
      <c r="FS195" s="137"/>
      <c r="FT195" s="137"/>
      <c r="FU195" s="137"/>
      <c r="FV195" s="137"/>
      <c r="FW195" s="137"/>
      <c r="FX195" s="137"/>
      <c r="FY195" s="137"/>
      <c r="FZ195" s="137"/>
      <c r="GA195" s="102"/>
      <c r="GB195" s="102"/>
      <c r="GC195" s="103"/>
      <c r="GD195" s="104"/>
      <c r="GE195" s="102"/>
      <c r="GF195" s="103"/>
      <c r="GG195" s="104"/>
      <c r="GH195" s="102"/>
      <c r="GI195" s="102"/>
      <c r="GJ195" s="137"/>
      <c r="GK195" s="137"/>
      <c r="GL195" s="137"/>
      <c r="GM195" s="137"/>
      <c r="GN195" s="137"/>
      <c r="GO195" s="137"/>
      <c r="GP195" s="137"/>
      <c r="GQ195" s="138"/>
      <c r="GR195" s="108"/>
      <c r="GS195" s="54"/>
      <c r="GT195" s="54"/>
      <c r="GU195" s="54"/>
      <c r="GV195" s="54"/>
      <c r="GW195" s="54"/>
      <c r="GX195" s="54"/>
      <c r="GY195" s="54"/>
      <c r="GZ195" s="54"/>
      <c r="HA195" s="54"/>
      <c r="HB195" s="54"/>
      <c r="HC195" s="54"/>
      <c r="HD195" s="54"/>
      <c r="HE195" s="54"/>
      <c r="HF195" s="54"/>
      <c r="HG195" s="54"/>
      <c r="HH195" s="54"/>
      <c r="HI195" s="54"/>
      <c r="HJ195" s="54"/>
      <c r="HK195" s="54"/>
      <c r="HL195" s="54"/>
      <c r="HM195" s="54"/>
      <c r="HN195" s="54"/>
      <c r="HO195" s="54"/>
      <c r="HP195" s="54"/>
      <c r="HQ195" s="54"/>
      <c r="HR195" s="54"/>
      <c r="HS195" s="54"/>
      <c r="HT195" s="54"/>
      <c r="HU195" s="54"/>
      <c r="HV195" s="54"/>
      <c r="HW195" s="54"/>
      <c r="HX195" s="54"/>
      <c r="HY195" s="54"/>
      <c r="HZ195" s="54"/>
      <c r="IA195" s="54"/>
      <c r="IB195" s="54"/>
      <c r="IC195" s="54"/>
      <c r="ID195" s="54"/>
      <c r="IE195" s="54"/>
      <c r="IF195" s="54"/>
      <c r="IG195" s="54"/>
      <c r="IH195" s="54"/>
      <c r="II195" s="54"/>
      <c r="IJ195" s="54"/>
      <c r="IK195" s="54"/>
      <c r="IL195" s="54"/>
      <c r="IM195" s="54"/>
      <c r="IN195" s="54"/>
      <c r="IO195" s="54"/>
      <c r="IP195" s="54"/>
      <c r="IQ195" s="54"/>
      <c r="IR195" s="54"/>
      <c r="IS195" s="54"/>
      <c r="IT195" s="54"/>
      <c r="IU195" s="54"/>
      <c r="IV195" s="54"/>
      <c r="IW195" s="54"/>
      <c r="IX195" s="54"/>
      <c r="IY195" s="54"/>
      <c r="IZ195" s="54"/>
      <c r="JA195" s="54"/>
      <c r="JB195" s="54"/>
      <c r="JC195" s="54"/>
      <c r="JD195" s="54"/>
      <c r="JE195" s="54"/>
      <c r="JF195" s="54"/>
      <c r="JG195" s="54"/>
      <c r="JH195" s="54"/>
      <c r="JI195" s="54"/>
      <c r="JJ195" s="54"/>
      <c r="JK195" s="54"/>
      <c r="JL195" s="54"/>
      <c r="JM195" s="54"/>
      <c r="JN195" s="54"/>
      <c r="JO195" s="54"/>
      <c r="JP195" s="54"/>
      <c r="JQ195" s="54"/>
      <c r="JR195" s="54"/>
      <c r="JS195" s="54"/>
      <c r="JT195" s="54"/>
      <c r="JU195" s="54"/>
      <c r="JV195" s="54"/>
      <c r="JW195" s="54"/>
      <c r="JX195" s="54"/>
      <c r="JY195" s="54"/>
      <c r="JZ195" s="54"/>
      <c r="KA195" s="54"/>
      <c r="KB195" s="54"/>
      <c r="KC195" s="54"/>
      <c r="KD195" s="54"/>
      <c r="KE195" s="54"/>
      <c r="KF195" s="54"/>
      <c r="KG195" s="54"/>
      <c r="KH195" s="54"/>
      <c r="KI195" s="54"/>
      <c r="KJ195" s="54"/>
      <c r="KK195" s="54"/>
      <c r="KL195" s="54"/>
      <c r="KM195" s="54"/>
      <c r="KN195" s="54"/>
      <c r="KO195" s="54"/>
      <c r="KP195" s="54"/>
      <c r="KQ195" s="54"/>
      <c r="KR195" s="54"/>
      <c r="KS195" s="54"/>
      <c r="KT195" s="54"/>
      <c r="KU195" s="54"/>
      <c r="KV195" s="54"/>
      <c r="KW195" s="54"/>
      <c r="KX195" s="54"/>
    </row>
    <row r="196" ht="5.2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c r="BS196" s="54"/>
      <c r="BT196" s="54"/>
      <c r="BU196" s="54"/>
      <c r="BV196" s="54"/>
      <c r="BW196" s="54"/>
      <c r="BX196" s="54"/>
      <c r="BY196" s="54"/>
      <c r="BZ196" s="54"/>
      <c r="CA196" s="54"/>
      <c r="CB196" s="54"/>
      <c r="CC196" s="54"/>
      <c r="CD196" s="54"/>
      <c r="CE196" s="54"/>
      <c r="CF196" s="54"/>
      <c r="CG196" s="54"/>
      <c r="CH196" s="54"/>
      <c r="CI196" s="54"/>
      <c r="CJ196" s="54"/>
      <c r="CK196" s="54"/>
      <c r="CL196" s="54"/>
      <c r="CM196" s="54"/>
      <c r="CN196" s="54"/>
      <c r="CO196" s="54"/>
      <c r="CP196" s="54"/>
      <c r="CQ196" s="54"/>
      <c r="CR196" s="54"/>
      <c r="CS196" s="54"/>
      <c r="CT196" s="54"/>
      <c r="CU196" s="54"/>
      <c r="CV196" s="54"/>
      <c r="CW196" s="54"/>
      <c r="CX196" s="54"/>
      <c r="CY196" s="54"/>
      <c r="CZ196" s="54"/>
      <c r="DA196" s="54"/>
      <c r="DB196" s="54"/>
      <c r="DC196" s="54"/>
      <c r="DD196" s="54"/>
      <c r="DE196" s="54"/>
      <c r="DF196" s="54"/>
      <c r="DG196" s="54"/>
      <c r="DH196" s="54"/>
      <c r="DI196" s="54"/>
      <c r="DJ196" s="54"/>
      <c r="DK196" s="54"/>
      <c r="DL196" s="54"/>
      <c r="DM196" s="54"/>
      <c r="DN196" s="54"/>
      <c r="DO196" s="54"/>
      <c r="DP196" s="54"/>
      <c r="DQ196" s="54"/>
      <c r="DR196" s="54"/>
      <c r="DS196" s="54"/>
      <c r="DT196" s="54"/>
      <c r="DU196" s="54"/>
      <c r="DV196" s="54"/>
      <c r="DW196" s="54"/>
      <c r="DX196" s="54"/>
      <c r="DY196" s="54"/>
      <c r="DZ196" s="54"/>
      <c r="EA196" s="54"/>
      <c r="EB196" s="54"/>
      <c r="EC196" s="54"/>
      <c r="ED196" s="54"/>
      <c r="EE196" s="54"/>
      <c r="EF196" s="54"/>
      <c r="EG196" s="54"/>
      <c r="EH196" s="54"/>
      <c r="EI196" s="54"/>
      <c r="EJ196" s="54"/>
      <c r="EK196" s="54"/>
      <c r="EL196" s="54"/>
      <c r="EM196" s="54"/>
      <c r="EN196" s="54"/>
      <c r="EO196" s="54"/>
      <c r="EP196" s="54"/>
      <c r="EQ196" s="54"/>
      <c r="ER196" s="54"/>
      <c r="ES196" s="54"/>
      <c r="ET196" s="54"/>
      <c r="EU196" s="54"/>
      <c r="EV196" s="54"/>
      <c r="EW196" s="54"/>
      <c r="EX196" s="54"/>
      <c r="EY196" s="54"/>
      <c r="EZ196" s="54"/>
      <c r="FA196" s="54"/>
      <c r="FB196" s="54"/>
      <c r="FC196" s="54"/>
      <c r="FD196" s="54"/>
      <c r="FE196" s="54"/>
      <c r="FF196" s="54"/>
      <c r="FG196" s="54"/>
      <c r="FH196" s="54"/>
      <c r="FI196" s="54"/>
      <c r="FJ196" s="54"/>
      <c r="FK196" s="54"/>
      <c r="FL196" s="54"/>
      <c r="FM196" s="54"/>
      <c r="FN196" s="54"/>
      <c r="FO196" s="54"/>
      <c r="FP196" s="54"/>
      <c r="FQ196" s="54"/>
      <c r="FR196" s="54"/>
      <c r="FS196" s="54"/>
      <c r="FT196" s="54"/>
      <c r="FU196" s="54"/>
      <c r="FV196" s="54"/>
      <c r="FW196" s="54"/>
      <c r="FX196" s="54"/>
      <c r="FY196" s="54"/>
      <c r="FZ196" s="54"/>
      <c r="GA196" s="54"/>
      <c r="GB196" s="54"/>
      <c r="GC196" s="54"/>
      <c r="GD196" s="54"/>
      <c r="GE196" s="54"/>
      <c r="GF196" s="54"/>
      <c r="GG196" s="54"/>
      <c r="GH196" s="54"/>
      <c r="GI196" s="54"/>
      <c r="GJ196" s="54"/>
      <c r="GK196" s="54"/>
      <c r="GL196" s="54"/>
      <c r="GM196" s="54"/>
      <c r="GN196" s="54"/>
      <c r="GO196" s="54"/>
      <c r="GP196" s="54"/>
      <c r="GQ196" s="54"/>
      <c r="GR196" s="54"/>
      <c r="GS196" s="54"/>
      <c r="GT196" s="54"/>
      <c r="GU196" s="54"/>
      <c r="GV196" s="54"/>
      <c r="GW196" s="54"/>
      <c r="GX196" s="54"/>
      <c r="GY196" s="54"/>
      <c r="GZ196" s="54"/>
      <c r="HA196" s="54"/>
      <c r="HB196" s="54"/>
      <c r="HC196" s="54"/>
      <c r="HD196" s="54"/>
      <c r="HE196" s="54"/>
      <c r="HF196" s="54"/>
      <c r="HG196" s="54"/>
      <c r="HH196" s="54"/>
      <c r="HI196" s="54"/>
      <c r="HJ196" s="54"/>
      <c r="HK196" s="54"/>
      <c r="HL196" s="54"/>
      <c r="HM196" s="54"/>
      <c r="HN196" s="54"/>
      <c r="HO196" s="54"/>
      <c r="HP196" s="54"/>
      <c r="HQ196" s="54"/>
      <c r="HR196" s="54"/>
      <c r="HS196" s="54"/>
      <c r="HT196" s="54"/>
      <c r="HU196" s="54"/>
      <c r="HV196" s="54"/>
      <c r="HW196" s="54"/>
      <c r="HX196" s="54"/>
      <c r="HY196" s="54"/>
      <c r="HZ196" s="54"/>
      <c r="IA196" s="54"/>
      <c r="IB196" s="54"/>
      <c r="IC196" s="54"/>
      <c r="ID196" s="54"/>
      <c r="IE196" s="54"/>
      <c r="IF196" s="54"/>
      <c r="IG196" s="54"/>
      <c r="IH196" s="54"/>
      <c r="II196" s="54"/>
      <c r="IJ196" s="54"/>
      <c r="IK196" s="54"/>
      <c r="IL196" s="54"/>
      <c r="IM196" s="54"/>
      <c r="IN196" s="54"/>
      <c r="IO196" s="54"/>
      <c r="IP196" s="54"/>
      <c r="IQ196" s="54"/>
      <c r="IR196" s="54"/>
      <c r="IS196" s="54"/>
      <c r="IT196" s="54"/>
      <c r="IU196" s="54"/>
      <c r="IV196" s="54"/>
      <c r="IW196" s="54"/>
      <c r="IX196" s="54"/>
      <c r="IY196" s="54"/>
      <c r="IZ196" s="54"/>
      <c r="JA196" s="54"/>
      <c r="JB196" s="54"/>
      <c r="JC196" s="54"/>
      <c r="JD196" s="54"/>
      <c r="JE196" s="54"/>
      <c r="JF196" s="54"/>
      <c r="JG196" s="54"/>
      <c r="JH196" s="54"/>
      <c r="JI196" s="54"/>
      <c r="JJ196" s="54"/>
      <c r="JK196" s="54"/>
      <c r="JL196" s="54"/>
      <c r="JM196" s="54"/>
      <c r="JN196" s="54"/>
      <c r="JO196" s="54"/>
      <c r="JP196" s="54"/>
      <c r="JQ196" s="54"/>
      <c r="JR196" s="54"/>
      <c r="JS196" s="54"/>
      <c r="JT196" s="54"/>
      <c r="JU196" s="54"/>
      <c r="JV196" s="54"/>
      <c r="JW196" s="54"/>
      <c r="JX196" s="54"/>
      <c r="JY196" s="54"/>
      <c r="JZ196" s="54"/>
      <c r="KA196" s="54"/>
      <c r="KB196" s="54"/>
      <c r="KC196" s="54"/>
      <c r="KD196" s="54"/>
      <c r="KE196" s="54"/>
      <c r="KF196" s="54"/>
      <c r="KG196" s="54"/>
      <c r="KH196" s="54"/>
      <c r="KI196" s="54"/>
      <c r="KJ196" s="54"/>
      <c r="KK196" s="54"/>
      <c r="KL196" s="54"/>
      <c r="KM196" s="54"/>
      <c r="KN196" s="54"/>
      <c r="KO196" s="54"/>
      <c r="KP196" s="54"/>
      <c r="KQ196" s="54"/>
      <c r="KR196" s="54"/>
      <c r="KS196" s="54"/>
      <c r="KT196" s="54"/>
      <c r="KU196" s="54"/>
      <c r="KV196" s="54"/>
      <c r="KW196" s="54"/>
      <c r="KX196" s="54"/>
    </row>
    <row r="197" ht="5.2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c r="BS197" s="54"/>
      <c r="BT197" s="54"/>
      <c r="BU197" s="54"/>
      <c r="BV197" s="54"/>
      <c r="BW197" s="54"/>
      <c r="BX197" s="54"/>
      <c r="BY197" s="54"/>
      <c r="BZ197" s="54"/>
      <c r="CA197" s="54"/>
      <c r="CB197" s="54"/>
      <c r="CC197" s="54"/>
      <c r="CD197" s="54"/>
      <c r="CE197" s="54"/>
      <c r="CF197" s="54"/>
      <c r="CG197" s="54"/>
      <c r="CH197" s="54"/>
      <c r="CI197" s="54"/>
      <c r="CJ197" s="54"/>
      <c r="CK197" s="54"/>
      <c r="CL197" s="54"/>
      <c r="CM197" s="54"/>
      <c r="CN197" s="54"/>
      <c r="CO197" s="54"/>
      <c r="CP197" s="54"/>
      <c r="CQ197" s="54"/>
      <c r="CR197" s="54"/>
      <c r="CS197" s="54"/>
      <c r="CT197" s="54"/>
      <c r="CU197" s="54"/>
      <c r="CV197" s="54"/>
      <c r="CW197" s="54"/>
      <c r="CX197" s="54"/>
      <c r="CY197" s="54"/>
      <c r="CZ197" s="54"/>
      <c r="DA197" s="54"/>
      <c r="DB197" s="54"/>
      <c r="DC197" s="54"/>
      <c r="DD197" s="54"/>
      <c r="DE197" s="54"/>
      <c r="DF197" s="54"/>
      <c r="DG197" s="54"/>
      <c r="DH197" s="54"/>
      <c r="DI197" s="54"/>
      <c r="DJ197" s="54"/>
      <c r="DK197" s="54"/>
      <c r="DL197" s="54"/>
      <c r="DM197" s="54"/>
      <c r="DN197" s="54"/>
      <c r="DO197" s="54"/>
      <c r="DP197" s="54"/>
      <c r="DQ197" s="54"/>
      <c r="DR197" s="54"/>
      <c r="DS197" s="54"/>
      <c r="DT197" s="54"/>
      <c r="DU197" s="54"/>
      <c r="DV197" s="54"/>
      <c r="DW197" s="54"/>
      <c r="DX197" s="54"/>
      <c r="DY197" s="54"/>
      <c r="DZ197" s="54"/>
      <c r="EA197" s="54"/>
      <c r="EB197" s="54"/>
      <c r="EC197" s="54"/>
      <c r="ED197" s="54"/>
      <c r="EE197" s="54"/>
      <c r="EF197" s="54"/>
      <c r="EG197" s="54"/>
      <c r="EH197" s="54"/>
      <c r="EI197" s="54"/>
      <c r="EJ197" s="54"/>
      <c r="EK197" s="54"/>
      <c r="EL197" s="54"/>
      <c r="EM197" s="54"/>
      <c r="EN197" s="54"/>
      <c r="EO197" s="54"/>
      <c r="EP197" s="54"/>
      <c r="EQ197" s="54"/>
      <c r="ER197" s="54"/>
      <c r="ES197" s="54"/>
      <c r="ET197" s="54"/>
      <c r="EU197" s="54"/>
      <c r="EV197" s="54"/>
      <c r="EW197" s="54"/>
      <c r="EX197" s="54"/>
      <c r="EY197" s="54"/>
      <c r="EZ197" s="54"/>
      <c r="FA197" s="54"/>
      <c r="FB197" s="54"/>
      <c r="FC197" s="54"/>
      <c r="FD197" s="54"/>
      <c r="FE197" s="54"/>
      <c r="FF197" s="54"/>
      <c r="FG197" s="54"/>
      <c r="FH197" s="54"/>
      <c r="FI197" s="54"/>
      <c r="FJ197" s="54"/>
      <c r="FK197" s="54"/>
      <c r="FL197" s="54"/>
      <c r="FM197" s="54"/>
      <c r="FN197" s="54"/>
      <c r="FO197" s="54"/>
      <c r="FP197" s="54"/>
      <c r="FQ197" s="54"/>
      <c r="FR197" s="54"/>
      <c r="FS197" s="54"/>
      <c r="FT197" s="54"/>
      <c r="FU197" s="54"/>
      <c r="FV197" s="54"/>
      <c r="FW197" s="54"/>
      <c r="FX197" s="54"/>
      <c r="FY197" s="54"/>
      <c r="FZ197" s="54"/>
      <c r="GA197" s="54"/>
      <c r="GB197" s="54"/>
      <c r="GC197" s="54"/>
      <c r="GD197" s="54"/>
      <c r="GE197" s="54"/>
      <c r="GF197" s="54"/>
      <c r="GG197" s="54"/>
      <c r="GH197" s="54"/>
      <c r="GI197" s="54"/>
      <c r="GJ197" s="54"/>
      <c r="GK197" s="54"/>
      <c r="GL197" s="54"/>
      <c r="GM197" s="54"/>
      <c r="GN197" s="54"/>
      <c r="GO197" s="54"/>
      <c r="GP197" s="54"/>
      <c r="GQ197" s="54"/>
      <c r="GR197" s="54"/>
      <c r="GS197" s="54"/>
      <c r="GT197" s="54"/>
      <c r="GU197" s="54"/>
      <c r="GV197" s="54"/>
      <c r="GW197" s="54"/>
      <c r="GX197" s="54"/>
      <c r="GY197" s="54"/>
      <c r="GZ197" s="54"/>
      <c r="HA197" s="54"/>
      <c r="HB197" s="54"/>
      <c r="HC197" s="54"/>
      <c r="HD197" s="54"/>
      <c r="HE197" s="54"/>
      <c r="HF197" s="54"/>
      <c r="HG197" s="54"/>
      <c r="HH197" s="54"/>
      <c r="HI197" s="54"/>
      <c r="HJ197" s="54"/>
      <c r="HK197" s="54"/>
      <c r="HL197" s="54"/>
      <c r="HM197" s="54"/>
      <c r="HN197" s="54"/>
      <c r="HO197" s="54"/>
      <c r="HP197" s="54"/>
      <c r="HQ197" s="54"/>
      <c r="HR197" s="54"/>
      <c r="HS197" s="54"/>
      <c r="HT197" s="54"/>
      <c r="HU197" s="54"/>
      <c r="HV197" s="54"/>
      <c r="HW197" s="54"/>
      <c r="HX197" s="54"/>
      <c r="HY197" s="54"/>
      <c r="HZ197" s="54"/>
      <c r="IA197" s="54"/>
      <c r="IB197" s="54"/>
      <c r="IC197" s="54"/>
      <c r="ID197" s="54"/>
      <c r="IE197" s="54"/>
      <c r="IF197" s="54"/>
      <c r="IG197" s="54"/>
      <c r="IH197" s="54"/>
      <c r="II197" s="54"/>
      <c r="IJ197" s="54"/>
      <c r="IK197" s="54"/>
      <c r="IL197" s="54"/>
      <c r="IM197" s="54"/>
      <c r="IN197" s="54"/>
      <c r="IO197" s="54"/>
      <c r="IP197" s="54"/>
      <c r="IQ197" s="54"/>
      <c r="IR197" s="54"/>
      <c r="IS197" s="54"/>
      <c r="IT197" s="54"/>
      <c r="IU197" s="54"/>
      <c r="IV197" s="54"/>
      <c r="IW197" s="54"/>
      <c r="IX197" s="54"/>
      <c r="IY197" s="54"/>
      <c r="IZ197" s="54"/>
      <c r="JA197" s="54"/>
      <c r="JB197" s="54"/>
      <c r="JC197" s="54"/>
      <c r="JD197" s="54"/>
      <c r="JE197" s="54"/>
      <c r="JF197" s="54"/>
      <c r="JG197" s="54"/>
      <c r="JH197" s="54"/>
      <c r="JI197" s="54"/>
      <c r="JJ197" s="54"/>
      <c r="JK197" s="54"/>
      <c r="JL197" s="54"/>
      <c r="JM197" s="54"/>
      <c r="JN197" s="54"/>
      <c r="JO197" s="54"/>
      <c r="JP197" s="54"/>
      <c r="JQ197" s="54"/>
      <c r="JR197" s="54"/>
      <c r="JS197" s="54"/>
      <c r="JT197" s="54"/>
      <c r="JU197" s="54"/>
      <c r="JV197" s="54"/>
      <c r="JW197" s="54"/>
      <c r="JX197" s="54"/>
      <c r="JY197" s="54"/>
      <c r="JZ197" s="54"/>
      <c r="KA197" s="54"/>
      <c r="KB197" s="54"/>
      <c r="KC197" s="54"/>
      <c r="KD197" s="54"/>
      <c r="KE197" s="54"/>
      <c r="KF197" s="54"/>
      <c r="KG197" s="54"/>
      <c r="KH197" s="54"/>
      <c r="KI197" s="54"/>
      <c r="KJ197" s="54"/>
      <c r="KK197" s="54"/>
      <c r="KL197" s="54"/>
      <c r="KM197" s="54"/>
      <c r="KN197" s="54"/>
      <c r="KO197" s="54"/>
      <c r="KP197" s="54"/>
      <c r="KQ197" s="54"/>
      <c r="KR197" s="54"/>
      <c r="KS197" s="54"/>
      <c r="KT197" s="54"/>
      <c r="KU197" s="54"/>
      <c r="KV197" s="54"/>
      <c r="KW197" s="54"/>
      <c r="KX197" s="54"/>
    </row>
    <row r="198" ht="5.2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S198" s="54"/>
      <c r="BT198" s="54"/>
      <c r="BU198" s="54"/>
      <c r="BV198" s="54"/>
      <c r="BW198" s="54"/>
      <c r="BX198" s="54"/>
      <c r="BY198" s="54"/>
      <c r="BZ198" s="54"/>
      <c r="CA198" s="54"/>
      <c r="CB198" s="54"/>
      <c r="CC198" s="54"/>
      <c r="CD198" s="54"/>
      <c r="CE198" s="54"/>
      <c r="CF198" s="54"/>
      <c r="CG198" s="54"/>
      <c r="CH198" s="54"/>
      <c r="CI198" s="54"/>
      <c r="CJ198" s="54"/>
      <c r="CK198" s="54"/>
      <c r="CL198" s="54"/>
      <c r="CM198" s="54"/>
      <c r="CN198" s="54"/>
      <c r="CO198" s="54"/>
      <c r="CP198" s="54"/>
      <c r="CQ198" s="54"/>
      <c r="CR198" s="54"/>
      <c r="CS198" s="54"/>
      <c r="CT198" s="54"/>
      <c r="CU198" s="54"/>
      <c r="CV198" s="54"/>
      <c r="CW198" s="54"/>
      <c r="CX198" s="54"/>
      <c r="CY198" s="54"/>
      <c r="CZ198" s="54"/>
      <c r="DA198" s="54"/>
      <c r="DB198" s="54"/>
      <c r="DC198" s="54"/>
      <c r="DD198" s="54"/>
      <c r="DE198" s="54"/>
      <c r="DF198" s="54"/>
      <c r="DG198" s="54"/>
      <c r="DH198" s="54"/>
      <c r="DI198" s="54"/>
      <c r="DJ198" s="54"/>
      <c r="DK198" s="54"/>
      <c r="DL198" s="54"/>
      <c r="DM198" s="54"/>
      <c r="DN198" s="54"/>
      <c r="DO198" s="54"/>
      <c r="DP198" s="54"/>
      <c r="DQ198" s="54"/>
      <c r="DR198" s="54"/>
      <c r="DS198" s="54"/>
      <c r="DT198" s="54"/>
      <c r="DU198" s="54"/>
      <c r="DV198" s="54"/>
      <c r="DW198" s="54"/>
      <c r="DX198" s="54"/>
      <c r="DY198" s="54"/>
      <c r="DZ198" s="54"/>
      <c r="EA198" s="54"/>
      <c r="EB198" s="54"/>
      <c r="EC198" s="54"/>
      <c r="ED198" s="54"/>
      <c r="EE198" s="54"/>
      <c r="EF198" s="54"/>
      <c r="EG198" s="54"/>
      <c r="EH198" s="54"/>
      <c r="EI198" s="54"/>
      <c r="EJ198" s="54"/>
      <c r="EK198" s="54"/>
      <c r="EL198" s="54"/>
      <c r="EM198" s="54"/>
      <c r="EN198" s="54"/>
      <c r="EO198" s="54"/>
      <c r="EP198" s="54"/>
      <c r="EQ198" s="54"/>
      <c r="ER198" s="54"/>
      <c r="ES198" s="54"/>
      <c r="ET198" s="54"/>
      <c r="EU198" s="54"/>
      <c r="EV198" s="54"/>
      <c r="EW198" s="54"/>
      <c r="EX198" s="54"/>
      <c r="EY198" s="54"/>
      <c r="EZ198" s="54"/>
      <c r="FA198" s="54"/>
      <c r="FB198" s="54"/>
      <c r="FC198" s="54"/>
      <c r="FD198" s="54"/>
      <c r="FE198" s="54"/>
      <c r="FF198" s="54"/>
      <c r="FG198" s="54"/>
      <c r="FH198" s="54"/>
      <c r="FI198" s="54"/>
      <c r="FJ198" s="54"/>
      <c r="FK198" s="54"/>
      <c r="FL198" s="54"/>
      <c r="FM198" s="54"/>
      <c r="FN198" s="54"/>
      <c r="FO198" s="54"/>
      <c r="FP198" s="54"/>
      <c r="FQ198" s="54"/>
      <c r="FR198" s="54"/>
      <c r="FS198" s="54"/>
      <c r="FT198" s="54"/>
      <c r="FU198" s="54"/>
      <c r="FV198" s="54"/>
      <c r="FW198" s="54"/>
      <c r="FX198" s="54"/>
      <c r="FY198" s="54"/>
      <c r="FZ198" s="54"/>
      <c r="GA198" s="54"/>
      <c r="GB198" s="54"/>
      <c r="GC198" s="54"/>
      <c r="GD198" s="54"/>
      <c r="GE198" s="54"/>
      <c r="GF198" s="54"/>
      <c r="GG198" s="54"/>
      <c r="GH198" s="54"/>
      <c r="GI198" s="54"/>
      <c r="GJ198" s="54"/>
      <c r="GK198" s="54"/>
      <c r="GL198" s="54"/>
      <c r="GM198" s="54"/>
      <c r="GN198" s="54"/>
      <c r="GO198" s="54"/>
      <c r="GP198" s="54"/>
      <c r="GQ198" s="54"/>
      <c r="GR198" s="54"/>
      <c r="GS198" s="54"/>
      <c r="GT198" s="54"/>
      <c r="GU198" s="54"/>
      <c r="GV198" s="54"/>
      <c r="GW198" s="54"/>
      <c r="GX198" s="54"/>
      <c r="GY198" s="54"/>
      <c r="GZ198" s="54"/>
      <c r="HA198" s="54"/>
      <c r="HB198" s="54"/>
      <c r="HC198" s="54"/>
      <c r="HD198" s="54"/>
      <c r="HE198" s="54"/>
      <c r="HF198" s="54"/>
      <c r="HG198" s="54"/>
      <c r="HH198" s="54"/>
      <c r="HI198" s="54"/>
      <c r="HJ198" s="54"/>
      <c r="HK198" s="54"/>
      <c r="HL198" s="54"/>
      <c r="HM198" s="54"/>
      <c r="HN198" s="54"/>
      <c r="HO198" s="54"/>
      <c r="HP198" s="54"/>
      <c r="HQ198" s="54"/>
      <c r="HR198" s="54"/>
      <c r="HS198" s="54"/>
      <c r="HT198" s="54"/>
      <c r="HU198" s="54"/>
      <c r="HV198" s="54"/>
      <c r="HW198" s="54"/>
      <c r="HX198" s="54"/>
      <c r="HY198" s="54"/>
      <c r="HZ198" s="54"/>
      <c r="IA198" s="54"/>
      <c r="IB198" s="54"/>
      <c r="IC198" s="54"/>
      <c r="ID198" s="54"/>
      <c r="IE198" s="54"/>
      <c r="IF198" s="54"/>
      <c r="IG198" s="54"/>
      <c r="IH198" s="54"/>
      <c r="II198" s="54"/>
      <c r="IJ198" s="54"/>
      <c r="IK198" s="54"/>
      <c r="IL198" s="54"/>
      <c r="IM198" s="54"/>
      <c r="IN198" s="54"/>
      <c r="IO198" s="54"/>
      <c r="IP198" s="54"/>
      <c r="IQ198" s="54"/>
      <c r="IR198" s="54"/>
      <c r="IS198" s="54"/>
      <c r="IT198" s="54"/>
      <c r="IU198" s="54"/>
      <c r="IV198" s="54"/>
      <c r="IW198" s="54"/>
      <c r="IX198" s="54"/>
      <c r="IY198" s="54"/>
      <c r="IZ198" s="54"/>
      <c r="JA198" s="54"/>
      <c r="JB198" s="54"/>
      <c r="JC198" s="54"/>
      <c r="JD198" s="54"/>
      <c r="JE198" s="54"/>
      <c r="JF198" s="54"/>
      <c r="JG198" s="54"/>
      <c r="JH198" s="54"/>
      <c r="JI198" s="54"/>
      <c r="JJ198" s="54"/>
      <c r="JK198" s="54"/>
      <c r="JL198" s="54"/>
      <c r="JM198" s="54"/>
      <c r="JN198" s="54"/>
      <c r="JO198" s="54"/>
      <c r="JP198" s="54"/>
      <c r="JQ198" s="54"/>
      <c r="JR198" s="54"/>
      <c r="JS198" s="54"/>
      <c r="JT198" s="54"/>
      <c r="JU198" s="54"/>
      <c r="JV198" s="54"/>
      <c r="JW198" s="54"/>
      <c r="JX198" s="54"/>
      <c r="JY198" s="54"/>
      <c r="JZ198" s="54"/>
      <c r="KA198" s="54"/>
      <c r="KB198" s="54"/>
      <c r="KC198" s="54"/>
      <c r="KD198" s="54"/>
      <c r="KE198" s="54"/>
      <c r="KF198" s="54"/>
      <c r="KG198" s="54"/>
      <c r="KH198" s="54"/>
      <c r="KI198" s="54"/>
      <c r="KJ198" s="54"/>
      <c r="KK198" s="54"/>
      <c r="KL198" s="54"/>
      <c r="KM198" s="54"/>
      <c r="KN198" s="54"/>
      <c r="KO198" s="54"/>
      <c r="KP198" s="54"/>
      <c r="KQ198" s="54"/>
      <c r="KR198" s="54"/>
      <c r="KS198" s="54"/>
      <c r="KT198" s="54"/>
      <c r="KU198" s="54"/>
      <c r="KV198" s="54"/>
      <c r="KW198" s="54"/>
      <c r="KX198" s="54"/>
    </row>
    <row r="199" ht="5.2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c r="BS199" s="54"/>
      <c r="BT199" s="54"/>
      <c r="BU199" s="54"/>
      <c r="BV199" s="54"/>
      <c r="BW199" s="54"/>
      <c r="BX199" s="54"/>
      <c r="BY199" s="54"/>
      <c r="BZ199" s="54"/>
      <c r="CA199" s="54"/>
      <c r="CB199" s="54"/>
      <c r="CC199" s="54"/>
      <c r="CD199" s="54"/>
      <c r="CE199" s="54"/>
      <c r="CF199" s="54"/>
      <c r="CG199" s="54"/>
      <c r="CH199" s="54"/>
      <c r="CI199" s="54"/>
      <c r="CJ199" s="54"/>
      <c r="CK199" s="54"/>
      <c r="CL199" s="54"/>
      <c r="CM199" s="54"/>
      <c r="CN199" s="54"/>
      <c r="CO199" s="54"/>
      <c r="CP199" s="54"/>
      <c r="CQ199" s="54"/>
      <c r="CR199" s="54"/>
      <c r="CS199" s="54"/>
      <c r="CT199" s="54"/>
      <c r="CU199" s="54"/>
      <c r="CV199" s="54"/>
      <c r="CW199" s="54"/>
      <c r="CX199" s="54"/>
      <c r="CY199" s="54"/>
      <c r="CZ199" s="54"/>
      <c r="DA199" s="54"/>
      <c r="DB199" s="54"/>
      <c r="DC199" s="54"/>
      <c r="DD199" s="54">
        <f>if(or(ED211="",EH211="",ED218="",EH218="",ED225="",EH225=""),0,1)</f>
        <v>0</v>
      </c>
      <c r="DE199" s="54"/>
      <c r="DF199" s="54"/>
      <c r="DG199" s="54"/>
      <c r="DH199" s="54"/>
      <c r="DI199" s="54"/>
      <c r="DJ199" s="54"/>
      <c r="DK199" s="54"/>
      <c r="DL199" s="54"/>
      <c r="DM199" s="54"/>
      <c r="DN199" s="54"/>
      <c r="DO199" s="54"/>
      <c r="DP199" s="54"/>
      <c r="DQ199" s="54"/>
      <c r="DR199" s="54"/>
      <c r="DS199" s="54"/>
      <c r="DT199" s="54"/>
      <c r="DU199" s="54"/>
      <c r="DV199" s="54"/>
      <c r="DW199" s="54"/>
      <c r="DX199" s="54"/>
      <c r="DY199" s="54"/>
      <c r="DZ199" s="54"/>
      <c r="EA199" s="54"/>
      <c r="EB199" s="54"/>
      <c r="EC199" s="54"/>
      <c r="ED199" s="54"/>
      <c r="EE199" s="54"/>
      <c r="EF199" s="54"/>
      <c r="EG199" s="54"/>
      <c r="EH199" s="54"/>
      <c r="EI199" s="54"/>
      <c r="EJ199" s="54"/>
      <c r="EK199" s="54"/>
      <c r="EL199" s="54"/>
      <c r="EM199" s="54"/>
      <c r="EN199" s="54"/>
      <c r="EO199" s="54"/>
      <c r="EP199" s="54"/>
      <c r="EQ199" s="54"/>
      <c r="ER199" s="54"/>
      <c r="ES199" s="54"/>
      <c r="ET199" s="54"/>
      <c r="EU199" s="54"/>
      <c r="EV199" s="54"/>
      <c r="EW199" s="54"/>
      <c r="EX199" s="54"/>
      <c r="EY199" s="54"/>
      <c r="EZ199" s="54"/>
      <c r="FA199" s="54"/>
      <c r="FB199" s="54"/>
      <c r="FC199" s="54"/>
      <c r="FD199" s="54"/>
      <c r="FE199" s="54"/>
      <c r="FF199" s="54"/>
      <c r="FG199" s="54"/>
      <c r="FH199" s="54"/>
      <c r="FI199" s="54"/>
      <c r="FJ199" s="54"/>
      <c r="FK199" s="54"/>
      <c r="FL199" s="54"/>
      <c r="FM199" s="54"/>
      <c r="FN199" s="54"/>
      <c r="FO199" s="54"/>
      <c r="FP199" s="54"/>
      <c r="FQ199" s="54"/>
      <c r="FR199" s="54"/>
      <c r="FS199" s="54"/>
      <c r="FT199" s="54"/>
      <c r="FU199" s="54"/>
      <c r="FV199" s="54"/>
      <c r="FW199" s="54"/>
      <c r="FX199" s="54"/>
      <c r="FY199" s="54"/>
      <c r="FZ199" s="54"/>
      <c r="GA199" s="54"/>
      <c r="GB199" s="54"/>
      <c r="GC199" s="54"/>
      <c r="GD199" s="54"/>
      <c r="GE199" s="54"/>
      <c r="GF199" s="54"/>
      <c r="GG199" s="54"/>
      <c r="GH199" s="54"/>
      <c r="GI199" s="54"/>
      <c r="GJ199" s="54"/>
      <c r="GK199" s="54"/>
      <c r="GL199" s="54"/>
      <c r="GM199" s="54"/>
      <c r="GN199" s="54"/>
      <c r="GO199" s="54"/>
      <c r="GP199" s="54"/>
      <c r="GQ199" s="54"/>
      <c r="GR199" s="54"/>
      <c r="GS199" s="54"/>
      <c r="GT199" s="54"/>
      <c r="GU199" s="54"/>
      <c r="GV199" s="54"/>
      <c r="GW199" s="54"/>
      <c r="GX199" s="54"/>
      <c r="GY199" s="54"/>
      <c r="GZ199" s="54"/>
      <c r="HA199" s="54"/>
      <c r="HB199" s="54"/>
      <c r="HC199" s="54"/>
      <c r="HD199" s="54"/>
      <c r="HE199" s="54"/>
      <c r="HF199" s="54"/>
      <c r="HG199" s="54"/>
      <c r="HH199" s="54"/>
      <c r="HI199" s="54"/>
      <c r="HJ199" s="54"/>
      <c r="HK199" s="54"/>
      <c r="HL199" s="54"/>
      <c r="HM199" s="54"/>
      <c r="HN199" s="54"/>
      <c r="HO199" s="54"/>
      <c r="HP199" s="54"/>
      <c r="HQ199" s="54"/>
      <c r="HR199" s="54"/>
      <c r="HS199" s="54"/>
      <c r="HT199" s="54"/>
      <c r="HU199" s="54"/>
      <c r="HV199" s="54"/>
      <c r="HW199" s="54"/>
      <c r="HX199" s="54"/>
      <c r="HY199" s="54"/>
      <c r="HZ199" s="54"/>
      <c r="IA199" s="54"/>
      <c r="IB199" s="54"/>
      <c r="IC199" s="54"/>
      <c r="ID199" s="54"/>
      <c r="IE199" s="54"/>
      <c r="IF199" s="54"/>
      <c r="IG199" s="54"/>
      <c r="IH199" s="54"/>
      <c r="II199" s="54"/>
      <c r="IJ199" s="54"/>
      <c r="IK199" s="54"/>
      <c r="IL199" s="54"/>
      <c r="IM199" s="54"/>
      <c r="IN199" s="54"/>
      <c r="IO199" s="54"/>
      <c r="IP199" s="54"/>
      <c r="IQ199" s="54"/>
      <c r="IR199" s="54"/>
      <c r="IS199" s="54"/>
      <c r="IT199" s="54"/>
      <c r="IU199" s="54"/>
      <c r="IV199" s="54"/>
      <c r="IW199" s="54"/>
      <c r="IX199" s="54"/>
      <c r="IY199" s="54"/>
      <c r="IZ199" s="54"/>
      <c r="JA199" s="54"/>
      <c r="JB199" s="54"/>
      <c r="JC199" s="54"/>
      <c r="JD199" s="54"/>
      <c r="JE199" s="54"/>
      <c r="JF199" s="54"/>
      <c r="JG199" s="54"/>
      <c r="JH199" s="54"/>
      <c r="JI199" s="54"/>
      <c r="JJ199" s="54"/>
      <c r="JK199" s="54"/>
      <c r="JL199" s="54"/>
      <c r="JM199" s="54"/>
      <c r="JN199" s="54"/>
      <c r="JO199" s="54"/>
      <c r="JP199" s="54"/>
      <c r="JQ199" s="54"/>
      <c r="JR199" s="54"/>
      <c r="JS199" s="54"/>
      <c r="JT199" s="54"/>
      <c r="JU199" s="54"/>
      <c r="JV199" s="54"/>
      <c r="JW199" s="54"/>
      <c r="JX199" s="54"/>
      <c r="JY199" s="54"/>
      <c r="JZ199" s="54"/>
      <c r="KA199" s="54"/>
      <c r="KB199" s="54"/>
      <c r="KC199" s="54"/>
      <c r="KD199" s="54"/>
      <c r="KE199" s="54"/>
      <c r="KF199" s="54"/>
      <c r="KG199" s="54"/>
      <c r="KH199" s="54"/>
      <c r="KI199" s="54"/>
      <c r="KJ199" s="54"/>
      <c r="KK199" s="54"/>
      <c r="KL199" s="54"/>
      <c r="KM199" s="54"/>
      <c r="KN199" s="54"/>
      <c r="KO199" s="54"/>
      <c r="KP199" s="54"/>
      <c r="KQ199" s="54"/>
      <c r="KR199" s="54"/>
      <c r="KS199" s="54"/>
      <c r="KT199" s="54"/>
      <c r="KU199" s="54"/>
      <c r="KV199" s="54"/>
      <c r="KW199" s="54"/>
      <c r="KX199" s="54"/>
    </row>
    <row r="200" ht="5.2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c r="BU200" s="54"/>
      <c r="BV200" s="54"/>
      <c r="BW200" s="54"/>
      <c r="BX200" s="54"/>
      <c r="BY200" s="54"/>
      <c r="BZ200" s="54"/>
      <c r="CA200" s="54"/>
      <c r="CB200" s="54"/>
      <c r="CC200" s="54"/>
      <c r="CD200" s="54"/>
      <c r="CE200" s="54"/>
      <c r="CF200" s="54"/>
      <c r="CG200" s="54"/>
      <c r="CH200" s="54"/>
      <c r="CI200" s="54"/>
      <c r="CJ200" s="54"/>
      <c r="CK200" s="54"/>
      <c r="CL200" s="54"/>
      <c r="CM200" s="54"/>
      <c r="CN200" s="54"/>
      <c r="CO200" s="54"/>
      <c r="CP200" s="54"/>
      <c r="CQ200" s="54"/>
      <c r="CR200" s="54"/>
      <c r="CS200" s="54"/>
      <c r="CT200" s="54"/>
      <c r="CU200" s="54"/>
      <c r="CV200" s="54"/>
      <c r="CW200" s="54"/>
      <c r="CX200" s="54"/>
      <c r="CY200" s="54"/>
      <c r="CZ200" s="54"/>
      <c r="DA200" s="54"/>
      <c r="DB200" s="54"/>
      <c r="DC200" s="108"/>
      <c r="DD200" s="57" t="s">
        <v>67</v>
      </c>
      <c r="DE200" s="58"/>
      <c r="DF200" s="58"/>
      <c r="DG200" s="58"/>
      <c r="DH200" s="58"/>
      <c r="DI200" s="58"/>
      <c r="DJ200" s="58"/>
      <c r="DK200" s="58"/>
      <c r="DL200" s="58"/>
      <c r="DM200" s="58"/>
      <c r="DN200" s="58"/>
      <c r="DO200" s="58"/>
      <c r="DP200" s="58"/>
      <c r="DQ200" s="58"/>
      <c r="DR200" s="58"/>
      <c r="DS200" s="58"/>
      <c r="DT200" s="58"/>
      <c r="DU200" s="58"/>
      <c r="DV200" s="58"/>
      <c r="DW200" s="58"/>
      <c r="DX200" s="58"/>
      <c r="DY200" s="58"/>
      <c r="DZ200" s="58"/>
      <c r="EA200" s="58"/>
      <c r="EB200" s="58"/>
      <c r="EC200" s="58"/>
      <c r="ED200" s="58"/>
      <c r="EE200" s="58"/>
      <c r="EF200" s="58"/>
      <c r="EG200" s="58"/>
      <c r="EH200" s="58"/>
      <c r="EI200" s="58"/>
      <c r="EJ200" s="58"/>
      <c r="EK200" s="58"/>
      <c r="EL200" s="58"/>
      <c r="EM200" s="58"/>
      <c r="EN200" s="58"/>
      <c r="EO200" s="58"/>
      <c r="EP200" s="58"/>
      <c r="EQ200" s="58"/>
      <c r="ER200" s="58"/>
      <c r="ES200" s="58"/>
      <c r="ET200" s="58"/>
      <c r="EU200" s="58"/>
      <c r="EV200" s="58"/>
      <c r="EW200" s="58"/>
      <c r="EX200" s="58"/>
      <c r="EY200" s="58"/>
      <c r="EZ200" s="58"/>
      <c r="FA200" s="58"/>
      <c r="FB200" s="58"/>
      <c r="FC200" s="58"/>
      <c r="FD200" s="58"/>
      <c r="FE200" s="58"/>
      <c r="FF200" s="58"/>
      <c r="FG200" s="58"/>
      <c r="FH200" s="58"/>
      <c r="FI200" s="58"/>
      <c r="FJ200" s="58"/>
      <c r="FK200" s="59"/>
      <c r="FL200" s="108"/>
      <c r="FM200" s="54"/>
      <c r="FN200" s="54"/>
      <c r="FO200" s="54"/>
      <c r="FP200" s="54"/>
      <c r="FQ200" s="54"/>
      <c r="FR200" s="54"/>
      <c r="FS200" s="54"/>
      <c r="FT200" s="54"/>
      <c r="FU200" s="54"/>
      <c r="FV200" s="54"/>
      <c r="FW200" s="54"/>
      <c r="FX200" s="54"/>
      <c r="FY200" s="54"/>
      <c r="FZ200" s="54"/>
      <c r="GA200" s="54"/>
      <c r="GB200" s="54"/>
      <c r="GC200" s="54"/>
      <c r="GD200" s="54"/>
      <c r="GE200" s="54"/>
      <c r="GF200" s="54"/>
      <c r="GG200" s="54"/>
      <c r="GH200" s="54"/>
      <c r="GI200" s="54"/>
      <c r="GJ200" s="54"/>
      <c r="GK200" s="54"/>
      <c r="GL200" s="54"/>
      <c r="GM200" s="54"/>
      <c r="GN200" s="54"/>
      <c r="GO200" s="54"/>
      <c r="GP200" s="54"/>
      <c r="GQ200" s="54"/>
      <c r="GR200" s="54"/>
      <c r="GS200" s="54"/>
      <c r="GT200" s="54"/>
      <c r="GU200" s="54"/>
      <c r="GV200" s="54"/>
      <c r="GW200" s="54"/>
      <c r="GX200" s="54"/>
      <c r="GY200" s="54"/>
      <c r="GZ200" s="54"/>
      <c r="HA200" s="54"/>
      <c r="HB200" s="54"/>
      <c r="HC200" s="54"/>
      <c r="HD200" s="54"/>
      <c r="HE200" s="54"/>
      <c r="HF200" s="54"/>
      <c r="HG200" s="54"/>
      <c r="HH200" s="54"/>
      <c r="HI200" s="54"/>
      <c r="HJ200" s="54"/>
      <c r="HK200" s="54"/>
      <c r="HL200" s="54"/>
      <c r="HM200" s="54"/>
      <c r="HN200" s="54"/>
      <c r="HO200" s="54"/>
      <c r="HP200" s="54"/>
      <c r="HQ200" s="54"/>
      <c r="HR200" s="54"/>
      <c r="HS200" s="54"/>
      <c r="HT200" s="54"/>
      <c r="HU200" s="54"/>
      <c r="HV200" s="54"/>
      <c r="HW200" s="54"/>
      <c r="HX200" s="54"/>
      <c r="HY200" s="54"/>
      <c r="HZ200" s="54"/>
      <c r="IA200" s="54"/>
      <c r="IB200" s="54"/>
      <c r="IC200" s="54"/>
      <c r="ID200" s="54"/>
      <c r="IE200" s="54"/>
      <c r="IF200" s="54"/>
      <c r="IG200" s="54"/>
      <c r="IH200" s="54"/>
      <c r="II200" s="54"/>
      <c r="IJ200" s="54"/>
      <c r="IK200" s="54"/>
      <c r="IL200" s="54"/>
      <c r="IM200" s="54"/>
      <c r="IN200" s="54"/>
      <c r="IO200" s="54"/>
      <c r="IP200" s="54"/>
      <c r="IQ200" s="54"/>
      <c r="IR200" s="54"/>
      <c r="IS200" s="54"/>
      <c r="IT200" s="54"/>
      <c r="IU200" s="54"/>
      <c r="IV200" s="54"/>
      <c r="IW200" s="54"/>
      <c r="IX200" s="54"/>
      <c r="IY200" s="54"/>
      <c r="IZ200" s="54"/>
      <c r="JA200" s="54"/>
      <c r="JB200" s="54"/>
      <c r="JC200" s="54"/>
      <c r="JD200" s="54"/>
      <c r="JE200" s="54"/>
      <c r="JF200" s="54"/>
      <c r="JG200" s="54"/>
      <c r="JH200" s="54"/>
      <c r="JI200" s="54"/>
      <c r="JJ200" s="54"/>
      <c r="JK200" s="54"/>
      <c r="JL200" s="54"/>
      <c r="JM200" s="54"/>
      <c r="JN200" s="54"/>
      <c r="JO200" s="54"/>
      <c r="JP200" s="54"/>
      <c r="JQ200" s="54"/>
      <c r="JR200" s="54"/>
      <c r="JS200" s="54"/>
      <c r="JT200" s="54"/>
      <c r="JU200" s="54"/>
      <c r="JV200" s="54"/>
      <c r="JW200" s="54"/>
      <c r="JX200" s="54"/>
      <c r="JY200" s="54"/>
      <c r="JZ200" s="54"/>
      <c r="KA200" s="54"/>
      <c r="KB200" s="54"/>
      <c r="KC200" s="54"/>
      <c r="KD200" s="54"/>
      <c r="KE200" s="54"/>
      <c r="KF200" s="54"/>
      <c r="KG200" s="54"/>
      <c r="KH200" s="54"/>
      <c r="KI200" s="54"/>
      <c r="KJ200" s="54"/>
      <c r="KK200" s="54"/>
      <c r="KL200" s="54"/>
      <c r="KM200" s="54"/>
      <c r="KN200" s="54"/>
      <c r="KO200" s="54"/>
      <c r="KP200" s="54"/>
      <c r="KQ200" s="54"/>
      <c r="KR200" s="54"/>
      <c r="KS200" s="54"/>
      <c r="KT200" s="54"/>
      <c r="KU200" s="54"/>
      <c r="KV200" s="54"/>
      <c r="KW200" s="54"/>
      <c r="KX200" s="54"/>
    </row>
    <row r="201" ht="5.2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54"/>
      <c r="BU201" s="54"/>
      <c r="BV201" s="54"/>
      <c r="BW201" s="54"/>
      <c r="BX201" s="54"/>
      <c r="BY201" s="54"/>
      <c r="BZ201" s="54"/>
      <c r="CA201" s="54"/>
      <c r="CB201" s="54"/>
      <c r="CC201" s="54"/>
      <c r="CD201" s="54"/>
      <c r="CE201" s="54"/>
      <c r="CF201" s="54"/>
      <c r="CG201" s="54"/>
      <c r="CH201" s="54"/>
      <c r="CI201" s="54"/>
      <c r="CJ201" s="54"/>
      <c r="CK201" s="54"/>
      <c r="CL201" s="54"/>
      <c r="CM201" s="54"/>
      <c r="CN201" s="54"/>
      <c r="CO201" s="54"/>
      <c r="CP201" s="54"/>
      <c r="CQ201" s="54"/>
      <c r="CR201" s="54"/>
      <c r="CS201" s="54"/>
      <c r="CT201" s="54"/>
      <c r="CU201" s="54"/>
      <c r="CV201" s="54"/>
      <c r="CW201" s="54"/>
      <c r="CX201" s="54"/>
      <c r="CY201" s="54"/>
      <c r="CZ201" s="54"/>
      <c r="DA201" s="54"/>
      <c r="DB201" s="54"/>
      <c r="DC201" s="108"/>
      <c r="DD201" s="60"/>
      <c r="FK201" s="61"/>
      <c r="FL201" s="108"/>
      <c r="FM201" s="54"/>
      <c r="FN201" s="54"/>
      <c r="FO201" s="54"/>
      <c r="FP201" s="54"/>
      <c r="FQ201" s="54"/>
      <c r="FR201" s="54"/>
      <c r="FS201" s="54"/>
      <c r="FT201" s="54"/>
      <c r="FU201" s="54"/>
      <c r="FV201" s="54"/>
      <c r="FW201" s="54"/>
      <c r="FX201" s="54"/>
      <c r="FY201" s="54"/>
      <c r="FZ201" s="54"/>
      <c r="GA201" s="54"/>
      <c r="GB201" s="54"/>
      <c r="GC201" s="54"/>
      <c r="GD201" s="54"/>
      <c r="GE201" s="54"/>
      <c r="GF201" s="54"/>
      <c r="GG201" s="54"/>
      <c r="GH201" s="54"/>
      <c r="GI201" s="54"/>
      <c r="GJ201" s="54"/>
      <c r="GK201" s="54"/>
      <c r="GL201" s="54"/>
      <c r="GM201" s="54"/>
      <c r="GN201" s="54"/>
      <c r="GO201" s="54"/>
      <c r="GP201" s="54"/>
      <c r="GQ201" s="54"/>
      <c r="GR201" s="54"/>
      <c r="GS201" s="54"/>
      <c r="GT201" s="54"/>
      <c r="GU201" s="54"/>
      <c r="GV201" s="54"/>
      <c r="GW201" s="54"/>
      <c r="GX201" s="54"/>
      <c r="GY201" s="54"/>
      <c r="GZ201" s="54"/>
      <c r="HA201" s="54"/>
      <c r="HB201" s="54"/>
      <c r="HC201" s="54"/>
      <c r="HD201" s="54"/>
      <c r="HE201" s="54"/>
      <c r="HF201" s="54"/>
      <c r="HG201" s="54"/>
      <c r="HH201" s="54"/>
      <c r="HI201" s="54"/>
      <c r="HJ201" s="54"/>
      <c r="HK201" s="54"/>
      <c r="HL201" s="54"/>
      <c r="HM201" s="54"/>
      <c r="HN201" s="54"/>
      <c r="HO201" s="54"/>
      <c r="HP201" s="54"/>
      <c r="HQ201" s="54"/>
      <c r="HR201" s="54"/>
      <c r="HS201" s="54"/>
      <c r="HT201" s="54"/>
      <c r="HU201" s="54"/>
      <c r="HV201" s="54"/>
      <c r="HW201" s="54"/>
      <c r="HX201" s="54"/>
      <c r="HY201" s="54"/>
      <c r="HZ201" s="54"/>
      <c r="IA201" s="54"/>
      <c r="IB201" s="54"/>
      <c r="IC201" s="54"/>
      <c r="ID201" s="54"/>
      <c r="IE201" s="54"/>
      <c r="IF201" s="54"/>
      <c r="IG201" s="54"/>
      <c r="IH201" s="54"/>
      <c r="II201" s="54"/>
      <c r="IJ201" s="54"/>
      <c r="IK201" s="54"/>
      <c r="IL201" s="54"/>
      <c r="IM201" s="54"/>
      <c r="IN201" s="54"/>
      <c r="IO201" s="54"/>
      <c r="IP201" s="54"/>
      <c r="IQ201" s="54"/>
      <c r="IR201" s="54"/>
      <c r="IS201" s="54"/>
      <c r="IT201" s="54"/>
      <c r="IU201" s="54"/>
      <c r="IV201" s="54"/>
      <c r="IW201" s="54"/>
      <c r="IX201" s="54"/>
      <c r="IY201" s="54"/>
      <c r="IZ201" s="54"/>
      <c r="JA201" s="54"/>
      <c r="JB201" s="54"/>
      <c r="JC201" s="54"/>
      <c r="JD201" s="54"/>
      <c r="JE201" s="54"/>
      <c r="JF201" s="54"/>
      <c r="JG201" s="54"/>
      <c r="JH201" s="54"/>
      <c r="JI201" s="54"/>
      <c r="JJ201" s="54"/>
      <c r="JK201" s="54"/>
      <c r="JL201" s="54"/>
      <c r="JM201" s="54"/>
      <c r="JN201" s="54"/>
      <c r="JO201" s="54"/>
      <c r="JP201" s="54"/>
      <c r="JQ201" s="54"/>
      <c r="JR201" s="54"/>
      <c r="JS201" s="54"/>
      <c r="JT201" s="54"/>
      <c r="JU201" s="54"/>
      <c r="JV201" s="54"/>
      <c r="JW201" s="54"/>
      <c r="JX201" s="54"/>
      <c r="JY201" s="54"/>
      <c r="JZ201" s="54"/>
      <c r="KA201" s="54"/>
      <c r="KB201" s="54"/>
      <c r="KC201" s="54"/>
      <c r="KD201" s="54"/>
      <c r="KE201" s="54"/>
      <c r="KF201" s="54"/>
      <c r="KG201" s="54"/>
      <c r="KH201" s="54"/>
      <c r="KI201" s="54"/>
      <c r="KJ201" s="54"/>
      <c r="KK201" s="54"/>
      <c r="KL201" s="54"/>
      <c r="KM201" s="54"/>
      <c r="KN201" s="54"/>
      <c r="KO201" s="54"/>
      <c r="KP201" s="54"/>
      <c r="KQ201" s="54"/>
      <c r="KR201" s="54"/>
      <c r="KS201" s="54"/>
      <c r="KT201" s="54"/>
      <c r="KU201" s="54"/>
      <c r="KV201" s="54"/>
      <c r="KW201" s="54"/>
      <c r="KX201" s="54"/>
    </row>
    <row r="202" ht="5.2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54"/>
      <c r="BK202" s="54"/>
      <c r="BL202" s="54"/>
      <c r="BM202" s="54"/>
      <c r="BN202" s="54"/>
      <c r="BO202" s="54"/>
      <c r="BP202" s="54"/>
      <c r="BQ202" s="54"/>
      <c r="BR202" s="54"/>
      <c r="BS202" s="54"/>
      <c r="BT202" s="54"/>
      <c r="BU202" s="54"/>
      <c r="BV202" s="54"/>
      <c r="BW202" s="54"/>
      <c r="BX202" s="54"/>
      <c r="BY202" s="54"/>
      <c r="BZ202" s="54"/>
      <c r="CA202" s="54"/>
      <c r="CB202" s="54"/>
      <c r="CC202" s="54"/>
      <c r="CD202" s="54"/>
      <c r="CE202" s="54"/>
      <c r="CF202" s="54"/>
      <c r="CG202" s="54"/>
      <c r="CH202" s="54"/>
      <c r="CI202" s="54"/>
      <c r="CJ202" s="54"/>
      <c r="CK202" s="54"/>
      <c r="CL202" s="54"/>
      <c r="CM202" s="54"/>
      <c r="CN202" s="54"/>
      <c r="CO202" s="54"/>
      <c r="CP202" s="54"/>
      <c r="CQ202" s="54"/>
      <c r="CR202" s="54"/>
      <c r="CS202" s="54"/>
      <c r="CT202" s="54"/>
      <c r="CU202" s="54"/>
      <c r="CV202" s="54"/>
      <c r="CW202" s="54"/>
      <c r="CX202" s="54"/>
      <c r="CY202" s="54"/>
      <c r="CZ202" s="54"/>
      <c r="DA202" s="54"/>
      <c r="DB202" s="54"/>
      <c r="DC202" s="108"/>
      <c r="DD202" s="60"/>
      <c r="FK202" s="61"/>
      <c r="FL202" s="108"/>
      <c r="FM202" s="54"/>
      <c r="FN202" s="54"/>
      <c r="FO202" s="54"/>
      <c r="FP202" s="54"/>
      <c r="FQ202" s="54"/>
      <c r="FR202" s="54"/>
      <c r="FS202" s="54"/>
      <c r="FT202" s="54"/>
      <c r="FU202" s="54"/>
      <c r="FV202" s="54"/>
      <c r="FW202" s="54"/>
      <c r="FX202" s="54"/>
      <c r="FY202" s="54"/>
      <c r="FZ202" s="54"/>
      <c r="GA202" s="54"/>
      <c r="GB202" s="54"/>
      <c r="GC202" s="54"/>
      <c r="GD202" s="54"/>
      <c r="GE202" s="54"/>
      <c r="GF202" s="54"/>
      <c r="GG202" s="54"/>
      <c r="GH202" s="54"/>
      <c r="GI202" s="54"/>
      <c r="GJ202" s="54"/>
      <c r="GK202" s="54"/>
      <c r="GL202" s="54"/>
      <c r="GM202" s="54"/>
      <c r="GN202" s="54"/>
      <c r="GO202" s="54"/>
      <c r="GP202" s="54"/>
      <c r="GQ202" s="54"/>
      <c r="GR202" s="54"/>
      <c r="GS202" s="54"/>
      <c r="GT202" s="54"/>
      <c r="GU202" s="54"/>
      <c r="GV202" s="54"/>
      <c r="GW202" s="54"/>
      <c r="GX202" s="54"/>
      <c r="GY202" s="54"/>
      <c r="GZ202" s="54"/>
      <c r="HA202" s="54"/>
      <c r="HB202" s="54"/>
      <c r="HC202" s="54"/>
      <c r="HD202" s="54"/>
      <c r="HE202" s="54"/>
      <c r="HF202" s="54"/>
      <c r="HG202" s="54"/>
      <c r="HH202" s="54"/>
      <c r="HI202" s="54"/>
      <c r="HJ202" s="54"/>
      <c r="HK202" s="54"/>
      <c r="HL202" s="54"/>
      <c r="HM202" s="54"/>
      <c r="HN202" s="54"/>
      <c r="HO202" s="54"/>
      <c r="HP202" s="54"/>
      <c r="HQ202" s="54"/>
      <c r="HR202" s="54"/>
      <c r="HS202" s="54"/>
      <c r="HT202" s="54"/>
      <c r="HU202" s="54"/>
      <c r="HV202" s="54"/>
      <c r="HW202" s="54"/>
      <c r="HX202" s="54"/>
      <c r="HY202" s="54"/>
      <c r="HZ202" s="54"/>
      <c r="IA202" s="54"/>
      <c r="IB202" s="54"/>
      <c r="IC202" s="54"/>
      <c r="ID202" s="54"/>
      <c r="IE202" s="54"/>
      <c r="IF202" s="54"/>
      <c r="IG202" s="54"/>
      <c r="IH202" s="54"/>
      <c r="II202" s="54"/>
      <c r="IJ202" s="54"/>
      <c r="IK202" s="54"/>
      <c r="IL202" s="54"/>
      <c r="IM202" s="54"/>
      <c r="IN202" s="54"/>
      <c r="IO202" s="54"/>
      <c r="IP202" s="54"/>
      <c r="IQ202" s="54"/>
      <c r="IR202" s="54"/>
      <c r="IS202" s="54"/>
      <c r="IT202" s="54"/>
      <c r="IU202" s="54"/>
      <c r="IV202" s="54"/>
      <c r="IW202" s="54"/>
      <c r="IX202" s="54"/>
      <c r="IY202" s="54"/>
      <c r="IZ202" s="54"/>
      <c r="JA202" s="54"/>
      <c r="JB202" s="54"/>
      <c r="JC202" s="54"/>
      <c r="JD202" s="54"/>
      <c r="JE202" s="54"/>
      <c r="JF202" s="54"/>
      <c r="JG202" s="54"/>
      <c r="JH202" s="54"/>
      <c r="JI202" s="54"/>
      <c r="JJ202" s="54"/>
      <c r="JK202" s="54"/>
      <c r="JL202" s="54"/>
      <c r="JM202" s="54"/>
      <c r="JN202" s="54"/>
      <c r="JO202" s="54"/>
      <c r="JP202" s="54"/>
      <c r="JQ202" s="54"/>
      <c r="JR202" s="54"/>
      <c r="JS202" s="54"/>
      <c r="JT202" s="54"/>
      <c r="JU202" s="54"/>
      <c r="JV202" s="54"/>
      <c r="JW202" s="54"/>
      <c r="JX202" s="54"/>
      <c r="JY202" s="54"/>
      <c r="JZ202" s="54"/>
      <c r="KA202" s="54"/>
      <c r="KB202" s="54"/>
      <c r="KC202" s="54"/>
      <c r="KD202" s="54"/>
      <c r="KE202" s="54"/>
      <c r="KF202" s="54"/>
      <c r="KG202" s="54"/>
      <c r="KH202" s="54"/>
      <c r="KI202" s="54"/>
      <c r="KJ202" s="54"/>
      <c r="KK202" s="54"/>
      <c r="KL202" s="54"/>
      <c r="KM202" s="54"/>
      <c r="KN202" s="54"/>
      <c r="KO202" s="54"/>
      <c r="KP202" s="54"/>
      <c r="KQ202" s="54"/>
      <c r="KR202" s="54"/>
      <c r="KS202" s="54"/>
      <c r="KT202" s="54"/>
      <c r="KU202" s="54"/>
      <c r="KV202" s="54"/>
      <c r="KW202" s="54"/>
      <c r="KX202" s="54"/>
    </row>
    <row r="203" ht="5.2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54"/>
      <c r="BU203" s="54"/>
      <c r="BV203" s="54"/>
      <c r="BW203" s="54"/>
      <c r="BX203" s="54"/>
      <c r="BY203" s="54"/>
      <c r="BZ203" s="54"/>
      <c r="CA203" s="54"/>
      <c r="CB203" s="54"/>
      <c r="CC203" s="54"/>
      <c r="CD203" s="54"/>
      <c r="CE203" s="54"/>
      <c r="CF203" s="54"/>
      <c r="CG203" s="54"/>
      <c r="CH203" s="54"/>
      <c r="CI203" s="54"/>
      <c r="CJ203" s="54"/>
      <c r="CK203" s="54"/>
      <c r="CL203" s="54"/>
      <c r="CM203" s="54"/>
      <c r="CN203" s="54"/>
      <c r="CO203" s="54"/>
      <c r="CP203" s="54"/>
      <c r="CQ203" s="54"/>
      <c r="CR203" s="54"/>
      <c r="CS203" s="54"/>
      <c r="CT203" s="54"/>
      <c r="CU203" s="54"/>
      <c r="CV203" s="54"/>
      <c r="CW203" s="54"/>
      <c r="CX203" s="54"/>
      <c r="CY203" s="54"/>
      <c r="CZ203" s="54"/>
      <c r="DA203" s="54"/>
      <c r="DB203" s="54"/>
      <c r="DC203" s="108"/>
      <c r="DD203" s="60"/>
      <c r="FK203" s="61"/>
      <c r="FL203" s="108"/>
      <c r="FM203" s="54"/>
      <c r="FN203" s="54"/>
      <c r="FO203" s="54"/>
      <c r="FP203" s="54"/>
      <c r="FQ203" s="54"/>
      <c r="FR203" s="54"/>
      <c r="FS203" s="54"/>
      <c r="FT203" s="54"/>
      <c r="FU203" s="54"/>
      <c r="FV203" s="54"/>
      <c r="FW203" s="54"/>
      <c r="FX203" s="54"/>
      <c r="FY203" s="54"/>
      <c r="FZ203" s="54"/>
      <c r="GA203" s="54"/>
      <c r="GB203" s="54"/>
      <c r="GC203" s="54"/>
      <c r="GD203" s="54"/>
      <c r="GE203" s="54"/>
      <c r="GF203" s="54"/>
      <c r="GG203" s="54"/>
      <c r="GH203" s="54"/>
      <c r="GI203" s="54"/>
      <c r="GJ203" s="54"/>
      <c r="GK203" s="54"/>
      <c r="GL203" s="54"/>
      <c r="GM203" s="54"/>
      <c r="GN203" s="54"/>
      <c r="GO203" s="54"/>
      <c r="GP203" s="54"/>
      <c r="GQ203" s="54"/>
      <c r="GR203" s="54"/>
      <c r="GS203" s="54"/>
      <c r="GT203" s="54"/>
      <c r="GU203" s="54"/>
      <c r="GV203" s="54"/>
      <c r="GW203" s="54"/>
      <c r="GX203" s="54"/>
      <c r="GY203" s="54"/>
      <c r="GZ203" s="54"/>
      <c r="HA203" s="54"/>
      <c r="HB203" s="54"/>
      <c r="HC203" s="54"/>
      <c r="HD203" s="54"/>
      <c r="HE203" s="54"/>
      <c r="HF203" s="54"/>
      <c r="HG203" s="54"/>
      <c r="HH203" s="54"/>
      <c r="HI203" s="54"/>
      <c r="HJ203" s="54"/>
      <c r="HK203" s="54"/>
      <c r="HL203" s="54"/>
      <c r="HM203" s="54"/>
      <c r="HN203" s="54"/>
      <c r="HO203" s="54"/>
      <c r="HP203" s="54"/>
      <c r="HQ203" s="54"/>
      <c r="HR203" s="54"/>
      <c r="HS203" s="54"/>
      <c r="HT203" s="54"/>
      <c r="HU203" s="54"/>
      <c r="HV203" s="54"/>
      <c r="HW203" s="54"/>
      <c r="HX203" s="54"/>
      <c r="HY203" s="54"/>
      <c r="HZ203" s="54"/>
      <c r="IA203" s="54"/>
      <c r="IB203" s="54"/>
      <c r="IC203" s="54"/>
      <c r="ID203" s="54"/>
      <c r="IE203" s="54"/>
      <c r="IF203" s="54"/>
      <c r="IG203" s="54"/>
      <c r="IH203" s="54"/>
      <c r="II203" s="54"/>
      <c r="IJ203" s="54"/>
      <c r="IK203" s="54"/>
      <c r="IL203" s="54"/>
      <c r="IM203" s="54"/>
      <c r="IN203" s="54"/>
      <c r="IO203" s="54"/>
      <c r="IP203" s="54"/>
      <c r="IQ203" s="54"/>
      <c r="IR203" s="54"/>
      <c r="IS203" s="54"/>
      <c r="IT203" s="54"/>
      <c r="IU203" s="54"/>
      <c r="IV203" s="54"/>
      <c r="IW203" s="54"/>
      <c r="IX203" s="54"/>
      <c r="IY203" s="54"/>
      <c r="IZ203" s="54"/>
      <c r="JA203" s="54"/>
      <c r="JB203" s="54"/>
      <c r="JC203" s="54"/>
      <c r="JD203" s="54"/>
      <c r="JE203" s="54"/>
      <c r="JF203" s="54"/>
      <c r="JG203" s="54"/>
      <c r="JH203" s="54"/>
      <c r="JI203" s="54"/>
      <c r="JJ203" s="54"/>
      <c r="JK203" s="54"/>
      <c r="JL203" s="54"/>
      <c r="JM203" s="54"/>
      <c r="JN203" s="54"/>
      <c r="JO203" s="54"/>
      <c r="JP203" s="54"/>
      <c r="JQ203" s="54"/>
      <c r="JR203" s="54"/>
      <c r="JS203" s="54"/>
      <c r="JT203" s="54"/>
      <c r="JU203" s="54"/>
      <c r="JV203" s="54"/>
      <c r="JW203" s="54"/>
      <c r="JX203" s="54"/>
      <c r="JY203" s="54"/>
      <c r="JZ203" s="54"/>
      <c r="KA203" s="54"/>
      <c r="KB203" s="54"/>
      <c r="KC203" s="54"/>
      <c r="KD203" s="54"/>
      <c r="KE203" s="54"/>
      <c r="KF203" s="54"/>
      <c r="KG203" s="54"/>
      <c r="KH203" s="54"/>
      <c r="KI203" s="54"/>
      <c r="KJ203" s="54"/>
      <c r="KK203" s="54"/>
      <c r="KL203" s="54"/>
      <c r="KM203" s="54"/>
      <c r="KN203" s="54"/>
      <c r="KO203" s="54"/>
      <c r="KP203" s="54"/>
      <c r="KQ203" s="54"/>
      <c r="KR203" s="54"/>
      <c r="KS203" s="54"/>
      <c r="KT203" s="54"/>
      <c r="KU203" s="54"/>
      <c r="KV203" s="54"/>
      <c r="KW203" s="54"/>
      <c r="KX203" s="54"/>
    </row>
    <row r="204" ht="5.2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c r="BI204" s="54"/>
      <c r="BJ204" s="54"/>
      <c r="BK204" s="54"/>
      <c r="BL204" s="54"/>
      <c r="BM204" s="54"/>
      <c r="BN204" s="54"/>
      <c r="BO204" s="54"/>
      <c r="BP204" s="54"/>
      <c r="BQ204" s="54"/>
      <c r="BR204" s="54"/>
      <c r="BS204" s="54"/>
      <c r="BT204" s="54"/>
      <c r="BU204" s="54"/>
      <c r="BV204" s="54"/>
      <c r="BW204" s="54"/>
      <c r="BX204" s="54"/>
      <c r="BY204" s="54"/>
      <c r="BZ204" s="54"/>
      <c r="CA204" s="54"/>
      <c r="CB204" s="54"/>
      <c r="CC204" s="54"/>
      <c r="CD204" s="54"/>
      <c r="CE204" s="54"/>
      <c r="CF204" s="54"/>
      <c r="CG204" s="54"/>
      <c r="CH204" s="54"/>
      <c r="CI204" s="54"/>
      <c r="CJ204" s="54"/>
      <c r="CK204" s="54"/>
      <c r="CL204" s="54"/>
      <c r="CM204" s="54"/>
      <c r="CN204" s="54"/>
      <c r="CO204" s="54"/>
      <c r="CP204" s="54"/>
      <c r="CQ204" s="54"/>
      <c r="CR204" s="54"/>
      <c r="CS204" s="54"/>
      <c r="CT204" s="54"/>
      <c r="CU204" s="54"/>
      <c r="CV204" s="54"/>
      <c r="CW204" s="54"/>
      <c r="CX204" s="54"/>
      <c r="CY204" s="54"/>
      <c r="CZ204" s="54"/>
      <c r="DA204" s="54"/>
      <c r="DB204" s="54"/>
      <c r="DC204" s="108"/>
      <c r="DD204" s="60"/>
      <c r="FK204" s="61"/>
      <c r="FL204" s="108"/>
      <c r="FM204" s="54"/>
      <c r="FN204" s="54"/>
      <c r="FO204" s="54"/>
      <c r="FP204" s="54"/>
      <c r="FQ204" s="54"/>
      <c r="FR204" s="54"/>
      <c r="FS204" s="54"/>
      <c r="FT204" s="54"/>
      <c r="FU204" s="54"/>
      <c r="FV204" s="54"/>
      <c r="FW204" s="54"/>
      <c r="FX204" s="54"/>
      <c r="FY204" s="54"/>
      <c r="FZ204" s="54"/>
      <c r="GA204" s="54"/>
      <c r="GB204" s="54"/>
      <c r="GC204" s="54"/>
      <c r="GD204" s="54"/>
      <c r="GE204" s="54"/>
      <c r="GF204" s="54"/>
      <c r="GG204" s="54"/>
      <c r="GH204" s="54"/>
      <c r="GI204" s="54"/>
      <c r="GJ204" s="54"/>
      <c r="GK204" s="54"/>
      <c r="GL204" s="54"/>
      <c r="GM204" s="54"/>
      <c r="GN204" s="54"/>
      <c r="GO204" s="54"/>
      <c r="GP204" s="54"/>
      <c r="GQ204" s="54"/>
      <c r="GR204" s="54"/>
      <c r="GS204" s="54"/>
      <c r="GT204" s="54"/>
      <c r="GU204" s="54"/>
      <c r="GV204" s="54"/>
      <c r="GW204" s="54"/>
      <c r="GX204" s="54"/>
      <c r="GY204" s="54"/>
      <c r="GZ204" s="54"/>
      <c r="HA204" s="54"/>
      <c r="HB204" s="54"/>
      <c r="HC204" s="54"/>
      <c r="HD204" s="54"/>
      <c r="HE204" s="54"/>
      <c r="HF204" s="54"/>
      <c r="HG204" s="54"/>
      <c r="HH204" s="54"/>
      <c r="HI204" s="54"/>
      <c r="HJ204" s="54"/>
      <c r="HK204" s="54"/>
      <c r="HL204" s="54"/>
      <c r="HM204" s="54"/>
      <c r="HN204" s="54"/>
      <c r="HO204" s="54"/>
      <c r="HP204" s="54"/>
      <c r="HQ204" s="54"/>
      <c r="HR204" s="54"/>
      <c r="HS204" s="54"/>
      <c r="HT204" s="54"/>
      <c r="HU204" s="54"/>
      <c r="HV204" s="54"/>
      <c r="HW204" s="54"/>
      <c r="HX204" s="54"/>
      <c r="HY204" s="54"/>
      <c r="HZ204" s="54"/>
      <c r="IA204" s="54"/>
      <c r="IB204" s="54"/>
      <c r="IC204" s="54"/>
      <c r="ID204" s="54"/>
      <c r="IE204" s="54"/>
      <c r="IF204" s="54"/>
      <c r="IG204" s="54"/>
      <c r="IH204" s="54"/>
      <c r="II204" s="54"/>
      <c r="IJ204" s="54"/>
      <c r="IK204" s="54"/>
      <c r="IL204" s="54"/>
      <c r="IM204" s="54"/>
      <c r="IN204" s="54"/>
      <c r="IO204" s="54"/>
      <c r="IP204" s="54"/>
      <c r="IQ204" s="54"/>
      <c r="IR204" s="54"/>
      <c r="IS204" s="54"/>
      <c r="IT204" s="54"/>
      <c r="IU204" s="54"/>
      <c r="IV204" s="54"/>
      <c r="IW204" s="54"/>
      <c r="IX204" s="54"/>
      <c r="IY204" s="54"/>
      <c r="IZ204" s="54"/>
      <c r="JA204" s="54"/>
      <c r="JB204" s="54"/>
      <c r="JC204" s="54"/>
      <c r="JD204" s="54"/>
      <c r="JE204" s="54"/>
      <c r="JF204" s="54"/>
      <c r="JG204" s="54"/>
      <c r="JH204" s="54"/>
      <c r="JI204" s="54"/>
      <c r="JJ204" s="54"/>
      <c r="JK204" s="54"/>
      <c r="JL204" s="54"/>
      <c r="JM204" s="54"/>
      <c r="JN204" s="54"/>
      <c r="JO204" s="54"/>
      <c r="JP204" s="54"/>
      <c r="JQ204" s="54"/>
      <c r="JR204" s="54"/>
      <c r="JS204" s="54"/>
      <c r="JT204" s="54"/>
      <c r="JU204" s="54"/>
      <c r="JV204" s="54"/>
      <c r="JW204" s="54"/>
      <c r="JX204" s="54"/>
      <c r="JY204" s="54"/>
      <c r="JZ204" s="54"/>
      <c r="KA204" s="54"/>
      <c r="KB204" s="54"/>
      <c r="KC204" s="54"/>
      <c r="KD204" s="54"/>
      <c r="KE204" s="54"/>
      <c r="KF204" s="54"/>
      <c r="KG204" s="54"/>
      <c r="KH204" s="54"/>
      <c r="KI204" s="54"/>
      <c r="KJ204" s="54"/>
      <c r="KK204" s="54"/>
      <c r="KL204" s="54"/>
      <c r="KM204" s="54"/>
      <c r="KN204" s="54"/>
      <c r="KO204" s="54"/>
      <c r="KP204" s="54"/>
      <c r="KQ204" s="54"/>
      <c r="KR204" s="54"/>
      <c r="KS204" s="54"/>
      <c r="KT204" s="54"/>
      <c r="KU204" s="54"/>
      <c r="KV204" s="54"/>
      <c r="KW204" s="54"/>
      <c r="KX204" s="54"/>
    </row>
    <row r="205" ht="5.2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54"/>
      <c r="BK205" s="54"/>
      <c r="BL205" s="54"/>
      <c r="BM205" s="54"/>
      <c r="BN205" s="54"/>
      <c r="BO205" s="54"/>
      <c r="BP205" s="54"/>
      <c r="BQ205" s="54"/>
      <c r="BR205" s="54"/>
      <c r="BS205" s="54"/>
      <c r="BT205" s="54"/>
      <c r="BU205" s="54"/>
      <c r="BV205" s="54"/>
      <c r="BW205" s="54"/>
      <c r="BX205" s="54"/>
      <c r="BY205" s="54"/>
      <c r="BZ205" s="54"/>
      <c r="CA205" s="54"/>
      <c r="CB205" s="54"/>
      <c r="CC205" s="54"/>
      <c r="CD205" s="54"/>
      <c r="CE205" s="54"/>
      <c r="CF205" s="54"/>
      <c r="CG205" s="54"/>
      <c r="CH205" s="54"/>
      <c r="CI205" s="54"/>
      <c r="CJ205" s="54"/>
      <c r="CK205" s="54"/>
      <c r="CL205" s="54"/>
      <c r="CM205" s="54"/>
      <c r="CN205" s="54"/>
      <c r="CO205" s="54"/>
      <c r="CP205" s="54"/>
      <c r="CQ205" s="54"/>
      <c r="CR205" s="54"/>
      <c r="CS205" s="54"/>
      <c r="CT205" s="54"/>
      <c r="CU205" s="54"/>
      <c r="CV205" s="54"/>
      <c r="CW205" s="54"/>
      <c r="CX205" s="54"/>
      <c r="CY205" s="54"/>
      <c r="CZ205" s="54"/>
      <c r="DA205" s="54"/>
      <c r="DB205" s="54"/>
      <c r="DC205" s="108"/>
      <c r="DD205" s="110" t="s">
        <v>2</v>
      </c>
      <c r="EH205" s="111" t="s">
        <v>4</v>
      </c>
      <c r="FK205" s="61"/>
      <c r="FL205" s="108"/>
      <c r="FM205" s="54"/>
      <c r="FN205" s="54"/>
      <c r="FO205" s="54"/>
      <c r="FP205" s="54"/>
      <c r="FQ205" s="54"/>
      <c r="FR205" s="54"/>
      <c r="FS205" s="54"/>
      <c r="FT205" s="54"/>
      <c r="FU205" s="54"/>
      <c r="FV205" s="54"/>
      <c r="FW205" s="54"/>
      <c r="FX205" s="54"/>
      <c r="FY205" s="54"/>
      <c r="FZ205" s="54"/>
      <c r="GA205" s="54"/>
      <c r="GB205" s="54"/>
      <c r="GC205" s="54"/>
      <c r="GD205" s="54"/>
      <c r="GE205" s="54"/>
      <c r="GF205" s="54"/>
      <c r="GG205" s="54"/>
      <c r="GH205" s="54"/>
      <c r="GI205" s="54"/>
      <c r="GJ205" s="54"/>
      <c r="GK205" s="54"/>
      <c r="GL205" s="54"/>
      <c r="GM205" s="54"/>
      <c r="GN205" s="54"/>
      <c r="GO205" s="54"/>
      <c r="GP205" s="54"/>
      <c r="GQ205" s="54"/>
      <c r="GR205" s="54"/>
      <c r="GS205" s="54"/>
      <c r="GT205" s="54"/>
      <c r="GU205" s="54"/>
      <c r="GV205" s="54"/>
      <c r="GW205" s="54"/>
      <c r="GX205" s="54"/>
      <c r="GY205" s="54"/>
      <c r="GZ205" s="54"/>
      <c r="HA205" s="54"/>
      <c r="HB205" s="54"/>
      <c r="HC205" s="54"/>
      <c r="HD205" s="54"/>
      <c r="HE205" s="54"/>
      <c r="HF205" s="54"/>
      <c r="HG205" s="54"/>
      <c r="HH205" s="54"/>
      <c r="HI205" s="54"/>
      <c r="HJ205" s="54"/>
      <c r="HK205" s="54"/>
      <c r="HL205" s="54"/>
      <c r="HM205" s="54"/>
      <c r="HN205" s="54"/>
      <c r="HO205" s="54"/>
      <c r="HP205" s="54"/>
      <c r="HQ205" s="54"/>
      <c r="HR205" s="54"/>
      <c r="HS205" s="54"/>
      <c r="HT205" s="54"/>
      <c r="HU205" s="54"/>
      <c r="HV205" s="54"/>
      <c r="HW205" s="54"/>
      <c r="HX205" s="54"/>
      <c r="HY205" s="54"/>
      <c r="HZ205" s="54"/>
      <c r="IA205" s="54"/>
      <c r="IB205" s="54"/>
      <c r="IC205" s="54"/>
      <c r="ID205" s="54"/>
      <c r="IE205" s="54"/>
      <c r="IF205" s="54"/>
      <c r="IG205" s="54"/>
      <c r="IH205" s="54"/>
      <c r="II205" s="54"/>
      <c r="IJ205" s="54"/>
      <c r="IK205" s="54"/>
      <c r="IL205" s="54"/>
      <c r="IM205" s="54"/>
      <c r="IN205" s="54"/>
      <c r="IO205" s="54"/>
      <c r="IP205" s="54"/>
      <c r="IQ205" s="54"/>
      <c r="IR205" s="54"/>
      <c r="IS205" s="54"/>
      <c r="IT205" s="54"/>
      <c r="IU205" s="54"/>
      <c r="IV205" s="54"/>
      <c r="IW205" s="54"/>
      <c r="IX205" s="54"/>
      <c r="IY205" s="54"/>
      <c r="IZ205" s="54"/>
      <c r="JA205" s="54"/>
      <c r="JB205" s="54"/>
      <c r="JC205" s="54"/>
      <c r="JD205" s="54"/>
      <c r="JE205" s="54"/>
      <c r="JF205" s="54"/>
      <c r="JG205" s="54"/>
      <c r="JH205" s="54"/>
      <c r="JI205" s="54"/>
      <c r="JJ205" s="54"/>
      <c r="JK205" s="54"/>
      <c r="JL205" s="54"/>
      <c r="JM205" s="54"/>
      <c r="JN205" s="54"/>
      <c r="JO205" s="54"/>
      <c r="JP205" s="54"/>
      <c r="JQ205" s="54"/>
      <c r="JR205" s="54"/>
      <c r="JS205" s="54"/>
      <c r="JT205" s="54"/>
      <c r="JU205" s="54"/>
      <c r="JV205" s="54"/>
      <c r="JW205" s="54"/>
      <c r="JX205" s="54"/>
      <c r="JY205" s="54"/>
      <c r="JZ205" s="54"/>
      <c r="KA205" s="54"/>
      <c r="KB205" s="54"/>
      <c r="KC205" s="54"/>
      <c r="KD205" s="54"/>
      <c r="KE205" s="54"/>
      <c r="KF205" s="54"/>
      <c r="KG205" s="54"/>
      <c r="KH205" s="54"/>
      <c r="KI205" s="54"/>
      <c r="KJ205" s="54"/>
      <c r="KK205" s="54"/>
      <c r="KL205" s="54"/>
      <c r="KM205" s="54"/>
      <c r="KN205" s="54"/>
      <c r="KO205" s="54"/>
      <c r="KP205" s="54"/>
      <c r="KQ205" s="54"/>
      <c r="KR205" s="54"/>
      <c r="KS205" s="54"/>
      <c r="KT205" s="54"/>
      <c r="KU205" s="54"/>
      <c r="KV205" s="54"/>
      <c r="KW205" s="54"/>
      <c r="KX205" s="54"/>
    </row>
    <row r="206" ht="5.2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54"/>
      <c r="BK206" s="54"/>
      <c r="BL206" s="54"/>
      <c r="BM206" s="54"/>
      <c r="BN206" s="54"/>
      <c r="BO206" s="54"/>
      <c r="BP206" s="54"/>
      <c r="BQ206" s="54"/>
      <c r="BR206" s="54"/>
      <c r="BS206" s="54"/>
      <c r="BT206" s="54"/>
      <c r="BU206" s="54"/>
      <c r="BV206" s="54"/>
      <c r="BW206" s="54"/>
      <c r="BX206" s="54"/>
      <c r="BY206" s="54"/>
      <c r="BZ206" s="54"/>
      <c r="CA206" s="54"/>
      <c r="CB206" s="54"/>
      <c r="CC206" s="54"/>
      <c r="CD206" s="54"/>
      <c r="CE206" s="54"/>
      <c r="CF206" s="54"/>
      <c r="CG206" s="54"/>
      <c r="CH206" s="54"/>
      <c r="CI206" s="54"/>
      <c r="CJ206" s="54"/>
      <c r="CK206" s="54"/>
      <c r="CL206" s="54"/>
      <c r="CM206" s="54"/>
      <c r="CN206" s="54"/>
      <c r="CO206" s="54"/>
      <c r="CP206" s="54"/>
      <c r="CQ206" s="54"/>
      <c r="CR206" s="54"/>
      <c r="CS206" s="54"/>
      <c r="CT206" s="54"/>
      <c r="CU206" s="54"/>
      <c r="CV206" s="54"/>
      <c r="CW206" s="54"/>
      <c r="CX206" s="54"/>
      <c r="CY206" s="54"/>
      <c r="CZ206" s="54"/>
      <c r="DA206" s="54"/>
      <c r="DB206" s="54"/>
      <c r="DC206" s="108"/>
      <c r="DD206" s="60"/>
      <c r="FK206" s="61"/>
      <c r="FL206" s="108"/>
      <c r="FM206" s="54"/>
      <c r="FN206" s="54"/>
      <c r="FO206" s="54"/>
      <c r="FP206" s="54"/>
      <c r="FQ206" s="54"/>
      <c r="FR206" s="54"/>
      <c r="FS206" s="54"/>
      <c r="FT206" s="54"/>
      <c r="FU206" s="54"/>
      <c r="FV206" s="54"/>
      <c r="FW206" s="54"/>
      <c r="FX206" s="54"/>
      <c r="FY206" s="54"/>
      <c r="FZ206" s="54"/>
      <c r="GA206" s="54"/>
      <c r="GB206" s="54"/>
      <c r="GC206" s="54"/>
      <c r="GD206" s="54"/>
      <c r="GE206" s="54"/>
      <c r="GF206" s="54"/>
      <c r="GG206" s="54"/>
      <c r="GH206" s="54"/>
      <c r="GI206" s="54"/>
      <c r="GJ206" s="54"/>
      <c r="GK206" s="54"/>
      <c r="GL206" s="54"/>
      <c r="GM206" s="54"/>
      <c r="GN206" s="54"/>
      <c r="GO206" s="54"/>
      <c r="GP206" s="54"/>
      <c r="GQ206" s="54"/>
      <c r="GR206" s="54"/>
      <c r="GS206" s="54"/>
      <c r="GT206" s="54"/>
      <c r="GU206" s="54"/>
      <c r="GV206" s="54"/>
      <c r="GW206" s="54"/>
      <c r="GX206" s="54"/>
      <c r="GY206" s="54"/>
      <c r="GZ206" s="54"/>
      <c r="HA206" s="54"/>
      <c r="HB206" s="54"/>
      <c r="HC206" s="54"/>
      <c r="HD206" s="54"/>
      <c r="HE206" s="54"/>
      <c r="HF206" s="54"/>
      <c r="HG206" s="54"/>
      <c r="HH206" s="54"/>
      <c r="HI206" s="54"/>
      <c r="HJ206" s="54"/>
      <c r="HK206" s="54"/>
      <c r="HL206" s="54"/>
      <c r="HM206" s="54"/>
      <c r="HN206" s="54"/>
      <c r="HO206" s="54"/>
      <c r="HP206" s="54"/>
      <c r="HQ206" s="54"/>
      <c r="HR206" s="54"/>
      <c r="HS206" s="54"/>
      <c r="HT206" s="54"/>
      <c r="HU206" s="54"/>
      <c r="HV206" s="54"/>
      <c r="HW206" s="54"/>
      <c r="HX206" s="54"/>
      <c r="HY206" s="54"/>
      <c r="HZ206" s="54"/>
      <c r="IA206" s="54"/>
      <c r="IB206" s="54"/>
      <c r="IC206" s="54"/>
      <c r="ID206" s="54"/>
      <c r="IE206" s="54"/>
      <c r="IF206" s="54"/>
      <c r="IG206" s="54"/>
      <c r="IH206" s="54"/>
      <c r="II206" s="54"/>
      <c r="IJ206" s="54"/>
      <c r="IK206" s="54"/>
      <c r="IL206" s="54"/>
      <c r="IM206" s="54"/>
      <c r="IN206" s="54"/>
      <c r="IO206" s="54"/>
      <c r="IP206" s="54"/>
      <c r="IQ206" s="54"/>
      <c r="IR206" s="54"/>
      <c r="IS206" s="54"/>
      <c r="IT206" s="54"/>
      <c r="IU206" s="54"/>
      <c r="IV206" s="54"/>
      <c r="IW206" s="54"/>
      <c r="IX206" s="54"/>
      <c r="IY206" s="54"/>
      <c r="IZ206" s="54"/>
      <c r="JA206" s="54"/>
      <c r="JB206" s="54"/>
      <c r="JC206" s="54"/>
      <c r="JD206" s="54"/>
      <c r="JE206" s="54"/>
      <c r="JF206" s="54"/>
      <c r="JG206" s="54"/>
      <c r="JH206" s="54"/>
      <c r="JI206" s="54"/>
      <c r="JJ206" s="54"/>
      <c r="JK206" s="54"/>
      <c r="JL206" s="54"/>
      <c r="JM206" s="54"/>
      <c r="JN206" s="54"/>
      <c r="JO206" s="54"/>
      <c r="JP206" s="54"/>
      <c r="JQ206" s="54"/>
      <c r="JR206" s="54"/>
      <c r="JS206" s="54"/>
      <c r="JT206" s="54"/>
      <c r="JU206" s="54"/>
      <c r="JV206" s="54"/>
      <c r="JW206" s="54"/>
      <c r="JX206" s="54"/>
      <c r="JY206" s="54"/>
      <c r="JZ206" s="54"/>
      <c r="KA206" s="54"/>
      <c r="KB206" s="54"/>
      <c r="KC206" s="54"/>
      <c r="KD206" s="54"/>
      <c r="KE206" s="54"/>
      <c r="KF206" s="54"/>
      <c r="KG206" s="54"/>
      <c r="KH206" s="54"/>
      <c r="KI206" s="54"/>
      <c r="KJ206" s="54"/>
      <c r="KK206" s="54"/>
      <c r="KL206" s="54"/>
      <c r="KM206" s="54"/>
      <c r="KN206" s="54"/>
      <c r="KO206" s="54"/>
      <c r="KP206" s="54"/>
      <c r="KQ206" s="54"/>
      <c r="KR206" s="54"/>
      <c r="KS206" s="54"/>
      <c r="KT206" s="54"/>
      <c r="KU206" s="54"/>
      <c r="KV206" s="54"/>
      <c r="KW206" s="54"/>
      <c r="KX206" s="54"/>
    </row>
    <row r="207" ht="5.2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c r="BS207" s="54"/>
      <c r="BT207" s="54"/>
      <c r="BU207" s="54"/>
      <c r="BV207" s="54"/>
      <c r="BW207" s="54"/>
      <c r="BX207" s="54"/>
      <c r="BY207" s="54"/>
      <c r="BZ207" s="54"/>
      <c r="CA207" s="54"/>
      <c r="CB207" s="54"/>
      <c r="CC207" s="54"/>
      <c r="CD207" s="54"/>
      <c r="CE207" s="54"/>
      <c r="CF207" s="54"/>
      <c r="CG207" s="54"/>
      <c r="CH207" s="54"/>
      <c r="CI207" s="54"/>
      <c r="CJ207" s="54"/>
      <c r="CK207" s="54"/>
      <c r="CL207" s="54"/>
      <c r="CM207" s="54"/>
      <c r="CN207" s="54"/>
      <c r="CO207" s="54"/>
      <c r="CP207" s="54"/>
      <c r="CQ207" s="54"/>
      <c r="CR207" s="54"/>
      <c r="CS207" s="54"/>
      <c r="CT207" s="54"/>
      <c r="CU207" s="54"/>
      <c r="CV207" s="54"/>
      <c r="CW207" s="54"/>
      <c r="CX207" s="54"/>
      <c r="CY207" s="54"/>
      <c r="CZ207" s="54"/>
      <c r="DA207" s="54"/>
      <c r="DB207" s="54"/>
      <c r="DC207" s="108"/>
      <c r="DD207" s="60"/>
      <c r="FK207" s="61"/>
      <c r="FL207" s="108"/>
      <c r="FM207" s="54"/>
      <c r="FN207" s="54"/>
      <c r="FO207" s="54"/>
      <c r="FP207" s="54"/>
      <c r="FQ207" s="54"/>
      <c r="FR207" s="54"/>
      <c r="FS207" s="54"/>
      <c r="FT207" s="54"/>
      <c r="FU207" s="54"/>
      <c r="FV207" s="54"/>
      <c r="FW207" s="54"/>
      <c r="FX207" s="54"/>
      <c r="FY207" s="54"/>
      <c r="FZ207" s="54"/>
      <c r="GA207" s="54"/>
      <c r="GB207" s="54"/>
      <c r="GC207" s="54"/>
      <c r="GD207" s="54"/>
      <c r="GE207" s="54"/>
      <c r="GF207" s="54"/>
      <c r="GG207" s="54"/>
      <c r="GH207" s="54"/>
      <c r="GI207" s="54"/>
      <c r="GJ207" s="54"/>
      <c r="GK207" s="54"/>
      <c r="GL207" s="54"/>
      <c r="GM207" s="54"/>
      <c r="GN207" s="54"/>
      <c r="GO207" s="54"/>
      <c r="GP207" s="54"/>
      <c r="GQ207" s="54"/>
      <c r="GR207" s="54"/>
      <c r="GS207" s="54"/>
      <c r="GT207" s="54"/>
      <c r="GU207" s="54"/>
      <c r="GV207" s="54"/>
      <c r="GW207" s="54"/>
      <c r="GX207" s="54"/>
      <c r="GY207" s="54"/>
      <c r="GZ207" s="54"/>
      <c r="HA207" s="54"/>
      <c r="HB207" s="54"/>
      <c r="HC207" s="54"/>
      <c r="HD207" s="54"/>
      <c r="HE207" s="54"/>
      <c r="HF207" s="54"/>
      <c r="HG207" s="54"/>
      <c r="HH207" s="54"/>
      <c r="HI207" s="54"/>
      <c r="HJ207" s="54"/>
      <c r="HK207" s="54"/>
      <c r="HL207" s="54"/>
      <c r="HM207" s="54"/>
      <c r="HN207" s="54"/>
      <c r="HO207" s="54"/>
      <c r="HP207" s="54"/>
      <c r="HQ207" s="54"/>
      <c r="HR207" s="54"/>
      <c r="HS207" s="54"/>
      <c r="HT207" s="54"/>
      <c r="HU207" s="54"/>
      <c r="HV207" s="54"/>
      <c r="HW207" s="54"/>
      <c r="HX207" s="54"/>
      <c r="HY207" s="54"/>
      <c r="HZ207" s="54"/>
      <c r="IA207" s="54"/>
      <c r="IB207" s="54"/>
      <c r="IC207" s="54"/>
      <c r="ID207" s="54"/>
      <c r="IE207" s="54"/>
      <c r="IF207" s="54"/>
      <c r="IG207" s="54"/>
      <c r="IH207" s="54"/>
      <c r="II207" s="54"/>
      <c r="IJ207" s="54"/>
      <c r="IK207" s="54"/>
      <c r="IL207" s="54"/>
      <c r="IM207" s="54"/>
      <c r="IN207" s="54"/>
      <c r="IO207" s="54"/>
      <c r="IP207" s="54"/>
      <c r="IQ207" s="54"/>
      <c r="IR207" s="54"/>
      <c r="IS207" s="54"/>
      <c r="IT207" s="54"/>
      <c r="IU207" s="54"/>
      <c r="IV207" s="54"/>
      <c r="IW207" s="54"/>
      <c r="IX207" s="54"/>
      <c r="IY207" s="54"/>
      <c r="IZ207" s="54"/>
      <c r="JA207" s="54"/>
      <c r="JB207" s="54"/>
      <c r="JC207" s="54"/>
      <c r="JD207" s="54"/>
      <c r="JE207" s="54"/>
      <c r="JF207" s="54"/>
      <c r="JG207" s="54"/>
      <c r="JH207" s="54"/>
      <c r="JI207" s="54"/>
      <c r="JJ207" s="54"/>
      <c r="JK207" s="54"/>
      <c r="JL207" s="54"/>
      <c r="JM207" s="54"/>
      <c r="JN207" s="54"/>
      <c r="JO207" s="54"/>
      <c r="JP207" s="54"/>
      <c r="JQ207" s="54"/>
      <c r="JR207" s="54"/>
      <c r="JS207" s="54"/>
      <c r="JT207" s="54"/>
      <c r="JU207" s="54"/>
      <c r="JV207" s="54"/>
      <c r="JW207" s="54"/>
      <c r="JX207" s="54"/>
      <c r="JY207" s="54"/>
      <c r="JZ207" s="54"/>
      <c r="KA207" s="54"/>
      <c r="KB207" s="54"/>
      <c r="KC207" s="54"/>
      <c r="KD207" s="54"/>
      <c r="KE207" s="54"/>
      <c r="KF207" s="54"/>
      <c r="KG207" s="54"/>
      <c r="KH207" s="54"/>
      <c r="KI207" s="54"/>
      <c r="KJ207" s="54"/>
      <c r="KK207" s="54"/>
      <c r="KL207" s="54"/>
      <c r="KM207" s="54"/>
      <c r="KN207" s="54"/>
      <c r="KO207" s="54"/>
      <c r="KP207" s="54"/>
      <c r="KQ207" s="54"/>
      <c r="KR207" s="54"/>
      <c r="KS207" s="54"/>
      <c r="KT207" s="54"/>
      <c r="KU207" s="54"/>
      <c r="KV207" s="54"/>
      <c r="KW207" s="54"/>
      <c r="KX207" s="54"/>
    </row>
    <row r="208" ht="5.2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c r="BI208" s="54"/>
      <c r="BJ208" s="54"/>
      <c r="BK208" s="54"/>
      <c r="BL208" s="54"/>
      <c r="BM208" s="54"/>
      <c r="BN208" s="54"/>
      <c r="BO208" s="54"/>
      <c r="BP208" s="54"/>
      <c r="BQ208" s="54"/>
      <c r="BR208" s="54"/>
      <c r="BS208" s="54"/>
      <c r="BT208" s="54"/>
      <c r="BU208" s="54"/>
      <c r="BV208" s="54"/>
      <c r="BW208" s="54"/>
      <c r="BX208" s="54"/>
      <c r="BY208" s="54"/>
      <c r="BZ208" s="54"/>
      <c r="CA208" s="54"/>
      <c r="CB208" s="54"/>
      <c r="CC208" s="54"/>
      <c r="CD208" s="54"/>
      <c r="CE208" s="54"/>
      <c r="CF208" s="54"/>
      <c r="CG208" s="54"/>
      <c r="CH208" s="54"/>
      <c r="CI208" s="54"/>
      <c r="CJ208" s="54"/>
      <c r="CK208" s="54"/>
      <c r="CL208" s="54"/>
      <c r="CM208" s="54"/>
      <c r="CN208" s="54"/>
      <c r="CO208" s="54"/>
      <c r="CP208" s="54"/>
      <c r="CQ208" s="54"/>
      <c r="CR208" s="54"/>
      <c r="CS208" s="54"/>
      <c r="CT208" s="54"/>
      <c r="CU208" s="54"/>
      <c r="CV208" s="54"/>
      <c r="CW208" s="54"/>
      <c r="CX208" s="54"/>
      <c r="CY208" s="54"/>
      <c r="CZ208" s="54"/>
      <c r="DA208" s="54"/>
      <c r="DB208" s="54"/>
      <c r="DC208" s="108"/>
      <c r="DD208" s="112"/>
      <c r="DL208" s="113" t="s">
        <v>57</v>
      </c>
      <c r="DN208" s="11"/>
      <c r="DO208" s="114" t="s">
        <v>58</v>
      </c>
      <c r="DQ208" s="11"/>
      <c r="DR208" s="114" t="s">
        <v>59</v>
      </c>
      <c r="DU208" s="108"/>
      <c r="ED208" s="115" t="s">
        <v>3</v>
      </c>
      <c r="EL208" s="108"/>
      <c r="EM208" s="108"/>
      <c r="EN208" s="108"/>
      <c r="EO208" s="108"/>
      <c r="EP208" s="108"/>
      <c r="EQ208" s="108"/>
      <c r="ER208" s="108"/>
      <c r="ES208" s="108"/>
      <c r="ET208" s="108"/>
      <c r="EU208" s="113" t="s">
        <v>59</v>
      </c>
      <c r="EW208" s="11"/>
      <c r="EX208" s="114" t="s">
        <v>58</v>
      </c>
      <c r="EZ208" s="11"/>
      <c r="FA208" s="114" t="s">
        <v>57</v>
      </c>
      <c r="FD208" s="108"/>
      <c r="FE208" s="108"/>
      <c r="FF208" s="108"/>
      <c r="FG208" s="108"/>
      <c r="FH208" s="108"/>
      <c r="FI208" s="108"/>
      <c r="FJ208" s="108"/>
      <c r="FK208" s="116"/>
      <c r="FL208" s="108"/>
      <c r="FM208" s="54"/>
      <c r="FN208" s="54"/>
      <c r="FO208" s="54"/>
      <c r="FP208" s="54"/>
      <c r="FQ208" s="54"/>
      <c r="FR208" s="54"/>
      <c r="FS208" s="54"/>
      <c r="FT208" s="54"/>
      <c r="FU208" s="54"/>
      <c r="FV208" s="54"/>
      <c r="FW208" s="54"/>
      <c r="FX208" s="54"/>
      <c r="FY208" s="54"/>
      <c r="FZ208" s="54"/>
      <c r="GA208" s="54"/>
      <c r="GB208" s="54"/>
      <c r="GC208" s="54"/>
      <c r="GD208" s="54"/>
      <c r="GE208" s="54"/>
      <c r="GF208" s="54"/>
      <c r="GG208" s="54"/>
      <c r="GH208" s="54"/>
      <c r="GI208" s="54"/>
      <c r="GJ208" s="54"/>
      <c r="GK208" s="54"/>
      <c r="GL208" s="54"/>
      <c r="GM208" s="54"/>
      <c r="GN208" s="54"/>
      <c r="GO208" s="54"/>
      <c r="GP208" s="54"/>
      <c r="GQ208" s="54"/>
      <c r="GR208" s="54"/>
      <c r="GS208" s="54"/>
      <c r="GT208" s="54"/>
      <c r="GU208" s="54"/>
      <c r="GV208" s="54"/>
      <c r="GW208" s="54"/>
      <c r="GX208" s="54"/>
      <c r="GY208" s="54"/>
      <c r="GZ208" s="54"/>
      <c r="HA208" s="54"/>
      <c r="HB208" s="54"/>
      <c r="HC208" s="54"/>
      <c r="HD208" s="54"/>
      <c r="HE208" s="54"/>
      <c r="HF208" s="54"/>
      <c r="HG208" s="54"/>
      <c r="HH208" s="54"/>
      <c r="HI208" s="54"/>
      <c r="HJ208" s="54"/>
      <c r="HK208" s="54"/>
      <c r="HL208" s="54"/>
      <c r="HM208" s="54"/>
      <c r="HN208" s="54"/>
      <c r="HO208" s="54"/>
      <c r="HP208" s="54"/>
      <c r="HQ208" s="54"/>
      <c r="HR208" s="54"/>
      <c r="HS208" s="54"/>
      <c r="HT208" s="54"/>
      <c r="HU208" s="54"/>
      <c r="HV208" s="54"/>
      <c r="HW208" s="54"/>
      <c r="HX208" s="54"/>
      <c r="HY208" s="54"/>
      <c r="HZ208" s="54"/>
      <c r="IA208" s="54"/>
      <c r="IB208" s="54"/>
      <c r="IC208" s="54"/>
      <c r="ID208" s="54"/>
      <c r="IE208" s="54"/>
      <c r="IF208" s="54"/>
      <c r="IG208" s="54"/>
      <c r="IH208" s="54"/>
      <c r="II208" s="54"/>
      <c r="IJ208" s="54"/>
      <c r="IK208" s="54"/>
      <c r="IL208" s="54"/>
      <c r="IM208" s="54"/>
      <c r="IN208" s="54"/>
      <c r="IO208" s="54"/>
      <c r="IP208" s="54"/>
      <c r="IQ208" s="54"/>
      <c r="IR208" s="54"/>
      <c r="IS208" s="54"/>
      <c r="IT208" s="54"/>
      <c r="IU208" s="54"/>
      <c r="IV208" s="54"/>
      <c r="IW208" s="54"/>
      <c r="IX208" s="54"/>
      <c r="IY208" s="54"/>
      <c r="IZ208" s="54"/>
      <c r="JA208" s="54"/>
      <c r="JB208" s="54"/>
      <c r="JC208" s="54"/>
      <c r="JD208" s="54"/>
      <c r="JE208" s="54"/>
      <c r="JF208" s="54"/>
      <c r="JG208" s="54"/>
      <c r="JH208" s="54"/>
      <c r="JI208" s="54"/>
      <c r="JJ208" s="54"/>
      <c r="JK208" s="54"/>
      <c r="JL208" s="54"/>
      <c r="JM208" s="54"/>
      <c r="JN208" s="54"/>
      <c r="JO208" s="54"/>
      <c r="JP208" s="54"/>
      <c r="JQ208" s="54"/>
      <c r="JR208" s="54"/>
      <c r="JS208" s="54"/>
      <c r="JT208" s="54"/>
      <c r="JU208" s="54"/>
      <c r="JV208" s="54"/>
      <c r="JW208" s="54"/>
      <c r="JX208" s="54"/>
      <c r="JY208" s="54"/>
      <c r="JZ208" s="54"/>
      <c r="KA208" s="54"/>
      <c r="KB208" s="54"/>
      <c r="KC208" s="54"/>
      <c r="KD208" s="54"/>
      <c r="KE208" s="54"/>
      <c r="KF208" s="54"/>
      <c r="KG208" s="54"/>
      <c r="KH208" s="54"/>
      <c r="KI208" s="54"/>
      <c r="KJ208" s="54"/>
      <c r="KK208" s="54"/>
      <c r="KL208" s="54"/>
      <c r="KM208" s="54"/>
      <c r="KN208" s="54"/>
      <c r="KO208" s="54"/>
      <c r="KP208" s="54"/>
      <c r="KQ208" s="54"/>
      <c r="KR208" s="54"/>
      <c r="KS208" s="54"/>
      <c r="KT208" s="54"/>
      <c r="KU208" s="54"/>
      <c r="KV208" s="54"/>
      <c r="KW208" s="54"/>
      <c r="KX208" s="54"/>
    </row>
    <row r="209" ht="5.2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c r="BS209" s="54"/>
      <c r="BT209" s="54"/>
      <c r="BU209" s="54"/>
      <c r="BV209" s="54"/>
      <c r="BW209" s="54"/>
      <c r="BX209" s="54"/>
      <c r="BY209" s="54"/>
      <c r="BZ209" s="54"/>
      <c r="CA209" s="54"/>
      <c r="CB209" s="54"/>
      <c r="CC209" s="54"/>
      <c r="CD209" s="54"/>
      <c r="CE209" s="54"/>
      <c r="CF209" s="54"/>
      <c r="CG209" s="54"/>
      <c r="CH209" s="54"/>
      <c r="CI209" s="54"/>
      <c r="CJ209" s="54"/>
      <c r="CK209" s="54"/>
      <c r="CL209" s="54"/>
      <c r="CM209" s="54"/>
      <c r="CN209" s="54"/>
      <c r="CO209" s="54"/>
      <c r="CP209" s="54"/>
      <c r="CQ209" s="54"/>
      <c r="CR209" s="54"/>
      <c r="CS209" s="54"/>
      <c r="CT209" s="54"/>
      <c r="CU209" s="54"/>
      <c r="CV209" s="54"/>
      <c r="CW209" s="54"/>
      <c r="CX209" s="54"/>
      <c r="CY209" s="54"/>
      <c r="CZ209" s="54"/>
      <c r="DA209" s="54"/>
      <c r="DB209" s="54"/>
      <c r="DC209" s="108"/>
      <c r="DD209" s="60"/>
      <c r="DN209" s="11"/>
      <c r="DO209" s="10"/>
      <c r="DQ209" s="11"/>
      <c r="DR209" s="10"/>
      <c r="EL209" s="108"/>
      <c r="EM209" s="108"/>
      <c r="EN209" s="108"/>
      <c r="EO209" s="108"/>
      <c r="EP209" s="108"/>
      <c r="EQ209" s="108"/>
      <c r="ER209" s="108"/>
      <c r="ES209" s="108"/>
      <c r="ET209" s="108"/>
      <c r="EW209" s="11"/>
      <c r="EX209" s="10"/>
      <c r="EZ209" s="11"/>
      <c r="FA209" s="10"/>
      <c r="FD209" s="108"/>
      <c r="FE209" s="108"/>
      <c r="FF209" s="108"/>
      <c r="FG209" s="108"/>
      <c r="FH209" s="108"/>
      <c r="FI209" s="108"/>
      <c r="FJ209" s="108"/>
      <c r="FK209" s="116"/>
      <c r="FL209" s="108"/>
      <c r="FM209" s="54"/>
      <c r="FN209" s="54"/>
      <c r="FO209" s="54"/>
      <c r="FP209" s="54"/>
      <c r="FQ209" s="54"/>
      <c r="FR209" s="54"/>
      <c r="FS209" s="54"/>
      <c r="FT209" s="54"/>
      <c r="FU209" s="54"/>
      <c r="FV209" s="54"/>
      <c r="FW209" s="54"/>
      <c r="FX209" s="54"/>
      <c r="FY209" s="54"/>
      <c r="FZ209" s="54"/>
      <c r="GA209" s="54"/>
      <c r="GB209" s="54"/>
      <c r="GC209" s="54"/>
      <c r="GD209" s="54"/>
      <c r="GE209" s="54"/>
      <c r="GF209" s="54"/>
      <c r="GG209" s="54"/>
      <c r="GH209" s="54"/>
      <c r="GI209" s="54"/>
      <c r="GJ209" s="54"/>
      <c r="GK209" s="54"/>
      <c r="GL209" s="54"/>
      <c r="GM209" s="54"/>
      <c r="GN209" s="54"/>
      <c r="GO209" s="54"/>
      <c r="GP209" s="54"/>
      <c r="GQ209" s="54"/>
      <c r="GR209" s="54"/>
      <c r="GS209" s="54"/>
      <c r="GT209" s="54"/>
      <c r="GU209" s="54"/>
      <c r="GV209" s="54"/>
      <c r="GW209" s="54"/>
      <c r="GX209" s="54"/>
      <c r="GY209" s="54"/>
      <c r="GZ209" s="54"/>
      <c r="HA209" s="54"/>
      <c r="HB209" s="54"/>
      <c r="HC209" s="54"/>
      <c r="HD209" s="54"/>
      <c r="HE209" s="54"/>
      <c r="HF209" s="54"/>
      <c r="HG209" s="54"/>
      <c r="HH209" s="54"/>
      <c r="HI209" s="54"/>
      <c r="HJ209" s="54"/>
      <c r="HK209" s="54"/>
      <c r="HL209" s="54"/>
      <c r="HM209" s="54"/>
      <c r="HN209" s="54"/>
      <c r="HO209" s="54"/>
      <c r="HP209" s="54"/>
      <c r="HQ209" s="54"/>
      <c r="HR209" s="54"/>
      <c r="HS209" s="54"/>
      <c r="HT209" s="54"/>
      <c r="HU209" s="54"/>
      <c r="HV209" s="54"/>
      <c r="HW209" s="54"/>
      <c r="HX209" s="54"/>
      <c r="HY209" s="54"/>
      <c r="HZ209" s="54"/>
      <c r="IA209" s="54"/>
      <c r="IB209" s="54"/>
      <c r="IC209" s="54"/>
      <c r="ID209" s="54"/>
      <c r="IE209" s="54"/>
      <c r="IF209" s="54"/>
      <c r="IG209" s="54"/>
      <c r="IH209" s="54"/>
      <c r="II209" s="54"/>
      <c r="IJ209" s="54"/>
      <c r="IK209" s="54"/>
      <c r="IL209" s="54"/>
      <c r="IM209" s="54"/>
      <c r="IN209" s="54"/>
      <c r="IO209" s="54"/>
      <c r="IP209" s="54"/>
      <c r="IQ209" s="54"/>
      <c r="IR209" s="54"/>
      <c r="IS209" s="54"/>
      <c r="IT209" s="54"/>
      <c r="IU209" s="54"/>
      <c r="IV209" s="54"/>
      <c r="IW209" s="54"/>
      <c r="IX209" s="54"/>
      <c r="IY209" s="54"/>
      <c r="IZ209" s="54"/>
      <c r="JA209" s="54"/>
      <c r="JB209" s="54"/>
      <c r="JC209" s="54"/>
      <c r="JD209" s="54"/>
      <c r="JE209" s="54"/>
      <c r="JF209" s="54"/>
      <c r="JG209" s="54"/>
      <c r="JH209" s="54"/>
      <c r="JI209" s="54"/>
      <c r="JJ209" s="54"/>
      <c r="JK209" s="54"/>
      <c r="JL209" s="54"/>
      <c r="JM209" s="54"/>
      <c r="JN209" s="54"/>
      <c r="JO209" s="54"/>
      <c r="JP209" s="54"/>
      <c r="JQ209" s="54"/>
      <c r="JR209" s="54"/>
      <c r="JS209" s="54"/>
      <c r="JT209" s="54"/>
      <c r="JU209" s="54"/>
      <c r="JV209" s="54"/>
      <c r="JW209" s="54"/>
      <c r="JX209" s="54"/>
      <c r="JY209" s="54"/>
      <c r="JZ209" s="54"/>
      <c r="KA209" s="54"/>
      <c r="KB209" s="54"/>
      <c r="KC209" s="54"/>
      <c r="KD209" s="54"/>
      <c r="KE209" s="54"/>
      <c r="KF209" s="54"/>
      <c r="KG209" s="54"/>
      <c r="KH209" s="54"/>
      <c r="KI209" s="54"/>
      <c r="KJ209" s="54"/>
      <c r="KK209" s="54"/>
      <c r="KL209" s="54"/>
      <c r="KM209" s="54"/>
      <c r="KN209" s="54"/>
      <c r="KO209" s="54"/>
      <c r="KP209" s="54"/>
      <c r="KQ209" s="54"/>
      <c r="KR209" s="54"/>
      <c r="KS209" s="54"/>
      <c r="KT209" s="54"/>
      <c r="KU209" s="54"/>
      <c r="KV209" s="54"/>
      <c r="KW209" s="54"/>
      <c r="KX209" s="54"/>
    </row>
    <row r="210" ht="5.2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c r="BI210" s="54"/>
      <c r="BJ210" s="54"/>
      <c r="BK210" s="54"/>
      <c r="BL210" s="54"/>
      <c r="BM210" s="54"/>
      <c r="BN210" s="54"/>
      <c r="BO210" s="54"/>
      <c r="BP210" s="54"/>
      <c r="BQ210" s="54"/>
      <c r="BR210" s="54"/>
      <c r="BS210" s="54"/>
      <c r="BT210" s="54"/>
      <c r="BU210" s="54"/>
      <c r="BV210" s="54"/>
      <c r="BW210" s="54"/>
      <c r="BX210" s="54"/>
      <c r="BY210" s="54"/>
      <c r="BZ210" s="54"/>
      <c r="CA210" s="54"/>
      <c r="CB210" s="54"/>
      <c r="CC210" s="54"/>
      <c r="CD210" s="54"/>
      <c r="CE210" s="54"/>
      <c r="CF210" s="54"/>
      <c r="CG210" s="54"/>
      <c r="CH210" s="54"/>
      <c r="CI210" s="54"/>
      <c r="CJ210" s="54"/>
      <c r="CK210" s="54"/>
      <c r="CL210" s="54"/>
      <c r="CM210" s="54"/>
      <c r="CN210" s="54"/>
      <c r="CO210" s="54"/>
      <c r="CP210" s="54"/>
      <c r="CQ210" s="54"/>
      <c r="CR210" s="54"/>
      <c r="CS210" s="54"/>
      <c r="CT210" s="54"/>
      <c r="CU210" s="54"/>
      <c r="CV210" s="54"/>
      <c r="CW210" s="54"/>
      <c r="CX210" s="54"/>
      <c r="CY210" s="54"/>
      <c r="CZ210" s="54"/>
      <c r="DA210" s="54"/>
      <c r="DB210" s="54"/>
      <c r="DC210" s="108"/>
      <c r="DD210" s="70"/>
      <c r="DE210" s="71"/>
      <c r="DF210" s="71"/>
      <c r="DG210" s="71"/>
      <c r="DH210" s="71"/>
      <c r="DI210" s="71"/>
      <c r="DJ210" s="71"/>
      <c r="DK210" s="71"/>
      <c r="DL210" s="71"/>
      <c r="DM210" s="71"/>
      <c r="DN210" s="72"/>
      <c r="DO210" s="73"/>
      <c r="DP210" s="71"/>
      <c r="DQ210" s="72"/>
      <c r="DR210" s="73"/>
      <c r="DS210" s="71"/>
      <c r="DT210" s="71"/>
      <c r="DU210" s="71"/>
      <c r="DV210" s="71"/>
      <c r="DW210" s="71"/>
      <c r="DX210" s="71"/>
      <c r="DY210" s="71"/>
      <c r="DZ210" s="71"/>
      <c r="EA210" s="71"/>
      <c r="EB210" s="71"/>
      <c r="EC210" s="71"/>
      <c r="ED210" s="71"/>
      <c r="EE210" s="71"/>
      <c r="EF210" s="71"/>
      <c r="EG210" s="71"/>
      <c r="EH210" s="71"/>
      <c r="EI210" s="71"/>
      <c r="EJ210" s="71"/>
      <c r="EK210" s="71"/>
      <c r="EL210" s="117"/>
      <c r="EM210" s="117"/>
      <c r="EN210" s="117"/>
      <c r="EO210" s="117"/>
      <c r="EP210" s="117"/>
      <c r="EQ210" s="117"/>
      <c r="ER210" s="117"/>
      <c r="ES210" s="117"/>
      <c r="ET210" s="117"/>
      <c r="EU210" s="71"/>
      <c r="EV210" s="71"/>
      <c r="EW210" s="72"/>
      <c r="EX210" s="73"/>
      <c r="EY210" s="71"/>
      <c r="EZ210" s="72"/>
      <c r="FA210" s="73"/>
      <c r="FB210" s="71"/>
      <c r="FC210" s="71"/>
      <c r="FD210" s="117"/>
      <c r="FE210" s="117"/>
      <c r="FF210" s="117"/>
      <c r="FG210" s="117"/>
      <c r="FH210" s="117"/>
      <c r="FI210" s="117"/>
      <c r="FJ210" s="117"/>
      <c r="FK210" s="118"/>
      <c r="FL210" s="108"/>
      <c r="FM210" s="54"/>
      <c r="FN210" s="54"/>
      <c r="FO210" s="54"/>
      <c r="FP210" s="54"/>
      <c r="FQ210" s="54"/>
      <c r="FR210" s="54"/>
      <c r="FS210" s="54"/>
      <c r="FT210" s="54"/>
      <c r="FU210" s="54"/>
      <c r="FV210" s="54"/>
      <c r="FW210" s="54"/>
      <c r="FX210" s="54"/>
      <c r="FY210" s="54"/>
      <c r="FZ210" s="54"/>
      <c r="GA210" s="54"/>
      <c r="GB210" s="54"/>
      <c r="GC210" s="54"/>
      <c r="GD210" s="54"/>
      <c r="GE210" s="54"/>
      <c r="GF210" s="54"/>
      <c r="GG210" s="54"/>
      <c r="GH210" s="54"/>
      <c r="GI210" s="54"/>
      <c r="GJ210" s="54"/>
      <c r="GK210" s="54"/>
      <c r="GL210" s="54"/>
      <c r="GM210" s="54"/>
      <c r="GN210" s="54"/>
      <c r="GO210" s="54"/>
      <c r="GP210" s="54"/>
      <c r="GQ210" s="54"/>
      <c r="GR210" s="54"/>
      <c r="GS210" s="54"/>
      <c r="GT210" s="54"/>
      <c r="GU210" s="54"/>
      <c r="GV210" s="54"/>
      <c r="GW210" s="54"/>
      <c r="GX210" s="54"/>
      <c r="GY210" s="54"/>
      <c r="GZ210" s="54"/>
      <c r="HA210" s="54"/>
      <c r="HB210" s="54"/>
      <c r="HC210" s="54"/>
      <c r="HD210" s="54"/>
      <c r="HE210" s="54"/>
      <c r="HF210" s="54"/>
      <c r="HG210" s="54"/>
      <c r="HH210" s="54"/>
      <c r="HI210" s="54"/>
      <c r="HJ210" s="54"/>
      <c r="HK210" s="54"/>
      <c r="HL210" s="54"/>
      <c r="HM210" s="54"/>
      <c r="HN210" s="54"/>
      <c r="HO210" s="54"/>
      <c r="HP210" s="54"/>
      <c r="HQ210" s="54"/>
      <c r="HR210" s="54"/>
      <c r="HS210" s="54"/>
      <c r="HT210" s="54"/>
      <c r="HU210" s="54"/>
      <c r="HV210" s="54"/>
      <c r="HW210" s="54"/>
      <c r="HX210" s="54"/>
      <c r="HY210" s="54"/>
      <c r="HZ210" s="54"/>
      <c r="IA210" s="54"/>
      <c r="IB210" s="54"/>
      <c r="IC210" s="54"/>
      <c r="ID210" s="54"/>
      <c r="IE210" s="54"/>
      <c r="IF210" s="54"/>
      <c r="IG210" s="54"/>
      <c r="IH210" s="54"/>
      <c r="II210" s="54"/>
      <c r="IJ210" s="54"/>
      <c r="IK210" s="54"/>
      <c r="IL210" s="54"/>
      <c r="IM210" s="54"/>
      <c r="IN210" s="54"/>
      <c r="IO210" s="54"/>
      <c r="IP210" s="54"/>
      <c r="IQ210" s="54"/>
      <c r="IR210" s="54"/>
      <c r="IS210" s="54"/>
      <c r="IT210" s="54"/>
      <c r="IU210" s="54"/>
      <c r="IV210" s="54"/>
      <c r="IW210" s="54"/>
      <c r="IX210" s="54"/>
      <c r="IY210" s="54"/>
      <c r="IZ210" s="54"/>
      <c r="JA210" s="54"/>
      <c r="JB210" s="54"/>
      <c r="JC210" s="54"/>
      <c r="JD210" s="54"/>
      <c r="JE210" s="54"/>
      <c r="JF210" s="54"/>
      <c r="JG210" s="54"/>
      <c r="JH210" s="54"/>
      <c r="JI210" s="54"/>
      <c r="JJ210" s="54"/>
      <c r="JK210" s="54"/>
      <c r="JL210" s="54"/>
      <c r="JM210" s="54"/>
      <c r="JN210" s="54"/>
      <c r="JO210" s="54"/>
      <c r="JP210" s="54"/>
      <c r="JQ210" s="54"/>
      <c r="JR210" s="54"/>
      <c r="JS210" s="54"/>
      <c r="JT210" s="54"/>
      <c r="JU210" s="54"/>
      <c r="JV210" s="54"/>
      <c r="JW210" s="54"/>
      <c r="JX210" s="54"/>
      <c r="JY210" s="54"/>
      <c r="JZ210" s="54"/>
      <c r="KA210" s="54"/>
      <c r="KB210" s="54"/>
      <c r="KC210" s="54"/>
      <c r="KD210" s="54"/>
      <c r="KE210" s="54"/>
      <c r="KF210" s="54"/>
      <c r="KG210" s="54"/>
      <c r="KH210" s="54"/>
      <c r="KI210" s="54"/>
      <c r="KJ210" s="54"/>
      <c r="KK210" s="54"/>
      <c r="KL210" s="54"/>
      <c r="KM210" s="54"/>
      <c r="KN210" s="54"/>
      <c r="KO210" s="54"/>
      <c r="KP210" s="54"/>
      <c r="KQ210" s="54"/>
      <c r="KR210" s="54"/>
      <c r="KS210" s="54"/>
      <c r="KT210" s="54"/>
      <c r="KU210" s="54"/>
      <c r="KV210" s="54"/>
      <c r="KW210" s="54"/>
      <c r="KX210" s="54"/>
    </row>
    <row r="211" ht="5.2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c r="BU211" s="54"/>
      <c r="BV211" s="54"/>
      <c r="BW211" s="54"/>
      <c r="BX211" s="54"/>
      <c r="BY211" s="54"/>
      <c r="BZ211" s="54"/>
      <c r="CA211" s="54"/>
      <c r="CB211" s="54"/>
      <c r="CC211" s="54"/>
      <c r="CD211" s="54"/>
      <c r="CE211" s="54"/>
      <c r="CF211" s="54"/>
      <c r="CG211" s="54"/>
      <c r="CH211" s="54"/>
      <c r="CI211" s="54"/>
      <c r="CJ211" s="54"/>
      <c r="CK211" s="54"/>
      <c r="CL211" s="54"/>
      <c r="CM211" s="54"/>
      <c r="CN211" s="54"/>
      <c r="CO211" s="54"/>
      <c r="CP211" s="54"/>
      <c r="CQ211" s="54"/>
      <c r="CR211" s="54"/>
      <c r="CS211" s="54"/>
      <c r="CT211" s="54"/>
      <c r="CU211" s="54"/>
      <c r="CV211" s="54"/>
      <c r="CW211" s="54"/>
      <c r="CX211" s="54"/>
      <c r="CY211" s="54"/>
      <c r="CZ211" s="54"/>
      <c r="DA211" s="54"/>
      <c r="DB211" s="54"/>
      <c r="DC211" s="119" t="str">
        <f>if(or(BX163=0,EJ163=0),"",qualreseeding!AC308)</f>
        <v/>
      </c>
      <c r="DD211" s="120" t="str">
        <f t="array" ref="DD211">xlookup(DC211,qualdata!$M$2:$M$17,qualdata!$O$2:$O$17,"")</f>
        <v/>
      </c>
      <c r="DH211" s="79" t="str">
        <f t="array" ref="DH211">xlookup(DC211,qualdata!$M$2:$M$17,qualdata!$N$2:$N$17,"")</f>
        <v/>
      </c>
      <c r="ED211" s="67"/>
      <c r="EG211" s="11"/>
      <c r="EH211" s="80"/>
      <c r="EL211" s="81" t="str">
        <f t="array" ref="EL211">xlookup(FL211,qualdata!$M$2:$M$17,qualdata!$N$2:$N$17,"")</f>
        <v/>
      </c>
      <c r="FH211" s="121" t="str">
        <f t="array" ref="FH211">xlookup(FL211,qualdata!$M$2:$M$17,qualdata!$O$2:$O$17,"")</f>
        <v/>
      </c>
      <c r="FK211" s="61"/>
      <c r="FL211" s="119" t="str">
        <f>if(or(BX163=0,EJ163=0),"",qualreseeding!AD308)</f>
        <v/>
      </c>
      <c r="FM211" s="54"/>
      <c r="FN211" s="54"/>
      <c r="FO211" s="54"/>
      <c r="FP211" s="54"/>
      <c r="FQ211" s="54"/>
      <c r="FR211" s="54"/>
      <c r="FS211" s="54"/>
      <c r="FT211" s="54"/>
      <c r="FU211" s="54"/>
      <c r="FV211" s="54"/>
      <c r="FW211" s="54"/>
      <c r="FX211" s="54"/>
      <c r="FY211" s="54"/>
      <c r="FZ211" s="54"/>
      <c r="GA211" s="54"/>
      <c r="GB211" s="54"/>
      <c r="GC211" s="54"/>
      <c r="GD211" s="54"/>
      <c r="GE211" s="54"/>
      <c r="GF211" s="54"/>
      <c r="GG211" s="54"/>
      <c r="GH211" s="54"/>
      <c r="GI211" s="54"/>
      <c r="GJ211" s="54"/>
      <c r="GK211" s="54"/>
      <c r="GL211" s="54"/>
      <c r="GM211" s="54"/>
      <c r="GN211" s="54"/>
      <c r="GO211" s="54"/>
      <c r="GP211" s="54"/>
      <c r="GQ211" s="54"/>
      <c r="GR211" s="54"/>
      <c r="GS211" s="54"/>
      <c r="GT211" s="54"/>
      <c r="GU211" s="54"/>
      <c r="GV211" s="54"/>
      <c r="GW211" s="54"/>
      <c r="GX211" s="54"/>
      <c r="GY211" s="54"/>
      <c r="GZ211" s="54"/>
      <c r="HA211" s="54"/>
      <c r="HB211" s="54"/>
      <c r="HC211" s="54"/>
      <c r="HD211" s="54"/>
      <c r="HE211" s="54"/>
      <c r="HF211" s="54"/>
      <c r="HG211" s="54"/>
      <c r="HH211" s="54"/>
      <c r="HI211" s="54"/>
      <c r="HJ211" s="54"/>
      <c r="HK211" s="54"/>
      <c r="HL211" s="54"/>
      <c r="HM211" s="54"/>
      <c r="HN211" s="54"/>
      <c r="HO211" s="54"/>
      <c r="HP211" s="54"/>
      <c r="HQ211" s="54"/>
      <c r="HR211" s="54"/>
      <c r="HS211" s="54"/>
      <c r="HT211" s="54"/>
      <c r="HU211" s="54"/>
      <c r="HV211" s="54"/>
      <c r="HW211" s="54"/>
      <c r="HX211" s="54"/>
      <c r="HY211" s="54"/>
      <c r="HZ211" s="54"/>
      <c r="IA211" s="54"/>
      <c r="IB211" s="54"/>
      <c r="IC211" s="54"/>
      <c r="ID211" s="54"/>
      <c r="IE211" s="54"/>
      <c r="IF211" s="54"/>
      <c r="IG211" s="54"/>
      <c r="IH211" s="54"/>
      <c r="II211" s="54"/>
      <c r="IJ211" s="54"/>
      <c r="IK211" s="54"/>
      <c r="IL211" s="54"/>
      <c r="IM211" s="54"/>
      <c r="IN211" s="54"/>
      <c r="IO211" s="54"/>
      <c r="IP211" s="54"/>
      <c r="IQ211" s="54"/>
      <c r="IR211" s="54"/>
      <c r="IS211" s="54"/>
      <c r="IT211" s="54"/>
      <c r="IU211" s="54"/>
      <c r="IV211" s="54"/>
      <c r="IW211" s="54"/>
      <c r="IX211" s="54"/>
      <c r="IY211" s="54"/>
      <c r="IZ211" s="54"/>
      <c r="JA211" s="54"/>
      <c r="JB211" s="54"/>
      <c r="JC211" s="54"/>
      <c r="JD211" s="54"/>
      <c r="JE211" s="54"/>
      <c r="JF211" s="54"/>
      <c r="JG211" s="54"/>
      <c r="JH211" s="54"/>
      <c r="JI211" s="54"/>
      <c r="JJ211" s="54"/>
      <c r="JK211" s="54"/>
      <c r="JL211" s="54"/>
      <c r="JM211" s="54"/>
      <c r="JN211" s="54"/>
      <c r="JO211" s="54"/>
      <c r="JP211" s="54"/>
      <c r="JQ211" s="54"/>
      <c r="JR211" s="54"/>
      <c r="JS211" s="54"/>
      <c r="JT211" s="54"/>
      <c r="JU211" s="54"/>
      <c r="JV211" s="54"/>
      <c r="JW211" s="54"/>
      <c r="JX211" s="54"/>
      <c r="JY211" s="54"/>
      <c r="JZ211" s="54"/>
      <c r="KA211" s="54"/>
      <c r="KB211" s="54"/>
      <c r="KC211" s="54"/>
      <c r="KD211" s="54"/>
      <c r="KE211" s="54"/>
      <c r="KF211" s="54"/>
      <c r="KG211" s="54"/>
      <c r="KH211" s="54"/>
      <c r="KI211" s="54"/>
      <c r="KJ211" s="54"/>
      <c r="KK211" s="54"/>
      <c r="KL211" s="54"/>
      <c r="KM211" s="54"/>
      <c r="KN211" s="54"/>
      <c r="KO211" s="54"/>
      <c r="KP211" s="54"/>
      <c r="KQ211" s="54"/>
      <c r="KR211" s="54"/>
      <c r="KS211" s="54"/>
      <c r="KT211" s="54"/>
      <c r="KU211" s="54"/>
      <c r="KV211" s="54"/>
      <c r="KW211" s="54"/>
      <c r="KX211" s="54"/>
    </row>
    <row r="212" ht="5.2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54"/>
      <c r="BK212" s="54"/>
      <c r="BL212" s="54"/>
      <c r="BM212" s="54"/>
      <c r="BN212" s="54"/>
      <c r="BO212" s="54"/>
      <c r="BP212" s="54"/>
      <c r="BQ212" s="54"/>
      <c r="BR212" s="54"/>
      <c r="BS212" s="54"/>
      <c r="BT212" s="54"/>
      <c r="BU212" s="54"/>
      <c r="BV212" s="54"/>
      <c r="BW212" s="54"/>
      <c r="BX212" s="54"/>
      <c r="BY212" s="54"/>
      <c r="BZ212" s="54"/>
      <c r="CA212" s="54"/>
      <c r="CB212" s="54"/>
      <c r="CC212" s="54"/>
      <c r="CD212" s="54"/>
      <c r="CE212" s="54"/>
      <c r="CF212" s="54"/>
      <c r="CG212" s="54"/>
      <c r="CH212" s="54"/>
      <c r="CI212" s="54"/>
      <c r="CJ212" s="54"/>
      <c r="CK212" s="54"/>
      <c r="CL212" s="54"/>
      <c r="CM212" s="54"/>
      <c r="CN212" s="54"/>
      <c r="CO212" s="54"/>
      <c r="CP212" s="54"/>
      <c r="CQ212" s="54"/>
      <c r="CR212" s="54"/>
      <c r="CS212" s="54"/>
      <c r="CT212" s="54"/>
      <c r="CU212" s="54"/>
      <c r="CV212" s="54"/>
      <c r="CW212" s="54"/>
      <c r="CX212" s="54"/>
      <c r="CY212" s="54"/>
      <c r="CZ212" s="54"/>
      <c r="DA212" s="54"/>
      <c r="DB212" s="54"/>
      <c r="DC212" s="108"/>
      <c r="DD212" s="60"/>
      <c r="EG212" s="11"/>
      <c r="EH212" s="10"/>
      <c r="FK212" s="61"/>
      <c r="FL212" s="108"/>
      <c r="FM212" s="54"/>
      <c r="FN212" s="54"/>
      <c r="FO212" s="54"/>
      <c r="FP212" s="54"/>
      <c r="FQ212" s="54"/>
      <c r="FR212" s="54"/>
      <c r="FS212" s="54"/>
      <c r="FT212" s="54"/>
      <c r="FU212" s="54"/>
      <c r="FV212" s="54"/>
      <c r="FW212" s="54"/>
      <c r="FX212" s="54"/>
      <c r="FY212" s="54"/>
      <c r="FZ212" s="54"/>
      <c r="GA212" s="54"/>
      <c r="GB212" s="54"/>
      <c r="GC212" s="54"/>
      <c r="GD212" s="54"/>
      <c r="GE212" s="54"/>
      <c r="GF212" s="54"/>
      <c r="GG212" s="54"/>
      <c r="GH212" s="54"/>
      <c r="GI212" s="54"/>
      <c r="GJ212" s="54"/>
      <c r="GK212" s="54"/>
      <c r="GL212" s="54"/>
      <c r="GM212" s="54"/>
      <c r="GN212" s="54"/>
      <c r="GO212" s="54"/>
      <c r="GP212" s="54"/>
      <c r="GQ212" s="54"/>
      <c r="GR212" s="54"/>
      <c r="GS212" s="54"/>
      <c r="GT212" s="54"/>
      <c r="GU212" s="54"/>
      <c r="GV212" s="54"/>
      <c r="GW212" s="54"/>
      <c r="GX212" s="54"/>
      <c r="GY212" s="54"/>
      <c r="GZ212" s="54"/>
      <c r="HA212" s="54"/>
      <c r="HB212" s="54"/>
      <c r="HC212" s="54"/>
      <c r="HD212" s="54"/>
      <c r="HE212" s="54"/>
      <c r="HF212" s="54"/>
      <c r="HG212" s="54"/>
      <c r="HH212" s="54"/>
      <c r="HI212" s="54"/>
      <c r="HJ212" s="54"/>
      <c r="HK212" s="54"/>
      <c r="HL212" s="54"/>
      <c r="HM212" s="54"/>
      <c r="HN212" s="54"/>
      <c r="HO212" s="54"/>
      <c r="HP212" s="54"/>
      <c r="HQ212" s="54"/>
      <c r="HR212" s="54"/>
      <c r="HS212" s="54"/>
      <c r="HT212" s="54"/>
      <c r="HU212" s="54"/>
      <c r="HV212" s="54"/>
      <c r="HW212" s="54"/>
      <c r="HX212" s="54"/>
      <c r="HY212" s="54"/>
      <c r="HZ212" s="54"/>
      <c r="IA212" s="54"/>
      <c r="IB212" s="54"/>
      <c r="IC212" s="54"/>
      <c r="ID212" s="54"/>
      <c r="IE212" s="54"/>
      <c r="IF212" s="54"/>
      <c r="IG212" s="54"/>
      <c r="IH212" s="54"/>
      <c r="II212" s="54"/>
      <c r="IJ212" s="54"/>
      <c r="IK212" s="54"/>
      <c r="IL212" s="54"/>
      <c r="IM212" s="54"/>
      <c r="IN212" s="54"/>
      <c r="IO212" s="54"/>
      <c r="IP212" s="54"/>
      <c r="IQ212" s="54"/>
      <c r="IR212" s="54"/>
      <c r="IS212" s="54"/>
      <c r="IT212" s="54"/>
      <c r="IU212" s="54"/>
      <c r="IV212" s="54"/>
      <c r="IW212" s="54"/>
      <c r="IX212" s="54"/>
      <c r="IY212" s="54"/>
      <c r="IZ212" s="54"/>
      <c r="JA212" s="54"/>
      <c r="JB212" s="54"/>
      <c r="JC212" s="54"/>
      <c r="JD212" s="54"/>
      <c r="JE212" s="54"/>
      <c r="JF212" s="54"/>
      <c r="JG212" s="54"/>
      <c r="JH212" s="54"/>
      <c r="JI212" s="54"/>
      <c r="JJ212" s="54"/>
      <c r="JK212" s="54"/>
      <c r="JL212" s="54"/>
      <c r="JM212" s="54"/>
      <c r="JN212" s="54"/>
      <c r="JO212" s="54"/>
      <c r="JP212" s="54"/>
      <c r="JQ212" s="54"/>
      <c r="JR212" s="54"/>
      <c r="JS212" s="54"/>
      <c r="JT212" s="54"/>
      <c r="JU212" s="54"/>
      <c r="JV212" s="54"/>
      <c r="JW212" s="54"/>
      <c r="JX212" s="54"/>
      <c r="JY212" s="54"/>
      <c r="JZ212" s="54"/>
      <c r="KA212" s="54"/>
      <c r="KB212" s="54"/>
      <c r="KC212" s="54"/>
      <c r="KD212" s="54"/>
      <c r="KE212" s="54"/>
      <c r="KF212" s="54"/>
      <c r="KG212" s="54"/>
      <c r="KH212" s="54"/>
      <c r="KI212" s="54"/>
      <c r="KJ212" s="54"/>
      <c r="KK212" s="54"/>
      <c r="KL212" s="54"/>
      <c r="KM212" s="54"/>
      <c r="KN212" s="54"/>
      <c r="KO212" s="54"/>
      <c r="KP212" s="54"/>
      <c r="KQ212" s="54"/>
      <c r="KR212" s="54"/>
      <c r="KS212" s="54"/>
      <c r="KT212" s="54"/>
      <c r="KU212" s="54"/>
      <c r="KV212" s="54"/>
      <c r="KW212" s="54"/>
      <c r="KX212" s="54"/>
    </row>
    <row r="213" ht="5.2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54"/>
      <c r="BK213" s="54"/>
      <c r="BL213" s="54"/>
      <c r="BM213" s="54"/>
      <c r="BN213" s="54"/>
      <c r="BO213" s="54"/>
      <c r="BP213" s="54"/>
      <c r="BQ213" s="54"/>
      <c r="BR213" s="54"/>
      <c r="BS213" s="54"/>
      <c r="BT213" s="54"/>
      <c r="BU213" s="54"/>
      <c r="BV213" s="54"/>
      <c r="BW213" s="54"/>
      <c r="BX213" s="54"/>
      <c r="BY213" s="54"/>
      <c r="BZ213" s="54"/>
      <c r="CA213" s="54"/>
      <c r="CB213" s="54"/>
      <c r="CC213" s="54"/>
      <c r="CD213" s="54"/>
      <c r="CE213" s="54"/>
      <c r="CF213" s="54"/>
      <c r="CG213" s="54"/>
      <c r="CH213" s="54"/>
      <c r="CI213" s="54"/>
      <c r="CJ213" s="54"/>
      <c r="CK213" s="54"/>
      <c r="CL213" s="54"/>
      <c r="CM213" s="54"/>
      <c r="CN213" s="54"/>
      <c r="CO213" s="54"/>
      <c r="CP213" s="54"/>
      <c r="CQ213" s="54"/>
      <c r="CR213" s="54"/>
      <c r="CS213" s="54"/>
      <c r="CT213" s="54"/>
      <c r="CU213" s="54"/>
      <c r="CV213" s="54"/>
      <c r="CW213" s="54"/>
      <c r="CX213" s="54"/>
      <c r="CY213" s="54"/>
      <c r="CZ213" s="54"/>
      <c r="DA213" s="54"/>
      <c r="DB213" s="54"/>
      <c r="DC213" s="108"/>
      <c r="DD213" s="60"/>
      <c r="EG213" s="11"/>
      <c r="EH213" s="10"/>
      <c r="FK213" s="61"/>
      <c r="FL213" s="108"/>
      <c r="FM213" s="54"/>
      <c r="FN213" s="54"/>
      <c r="FO213" s="54"/>
      <c r="FP213" s="54"/>
      <c r="FQ213" s="54"/>
      <c r="FR213" s="54"/>
      <c r="FS213" s="54"/>
      <c r="FT213" s="54"/>
      <c r="FU213" s="54"/>
      <c r="FV213" s="54"/>
      <c r="FW213" s="54"/>
      <c r="FX213" s="54"/>
      <c r="FY213" s="54"/>
      <c r="FZ213" s="54"/>
      <c r="GA213" s="54"/>
      <c r="GB213" s="54"/>
      <c r="GC213" s="54"/>
      <c r="GD213" s="54"/>
      <c r="GE213" s="54"/>
      <c r="GF213" s="54"/>
      <c r="GG213" s="54"/>
      <c r="GH213" s="54"/>
      <c r="GI213" s="54"/>
      <c r="GJ213" s="54"/>
      <c r="GK213" s="54"/>
      <c r="GL213" s="54"/>
      <c r="GM213" s="54"/>
      <c r="GN213" s="54"/>
      <c r="GO213" s="54"/>
      <c r="GP213" s="54"/>
      <c r="GQ213" s="54"/>
      <c r="GR213" s="54"/>
      <c r="GS213" s="54"/>
      <c r="GT213" s="54"/>
      <c r="GU213" s="54"/>
      <c r="GV213" s="54"/>
      <c r="GW213" s="54"/>
      <c r="GX213" s="54"/>
      <c r="GY213" s="54"/>
      <c r="GZ213" s="54"/>
      <c r="HA213" s="54"/>
      <c r="HB213" s="54"/>
      <c r="HC213" s="54"/>
      <c r="HD213" s="54"/>
      <c r="HE213" s="54"/>
      <c r="HF213" s="54"/>
      <c r="HG213" s="54"/>
      <c r="HH213" s="54"/>
      <c r="HI213" s="54"/>
      <c r="HJ213" s="54"/>
      <c r="HK213" s="54"/>
      <c r="HL213" s="54"/>
      <c r="HM213" s="54"/>
      <c r="HN213" s="54"/>
      <c r="HO213" s="54"/>
      <c r="HP213" s="54"/>
      <c r="HQ213" s="54"/>
      <c r="HR213" s="54"/>
      <c r="HS213" s="54"/>
      <c r="HT213" s="54"/>
      <c r="HU213" s="54"/>
      <c r="HV213" s="54"/>
      <c r="HW213" s="54"/>
      <c r="HX213" s="54"/>
      <c r="HY213" s="54"/>
      <c r="HZ213" s="54"/>
      <c r="IA213" s="54"/>
      <c r="IB213" s="54"/>
      <c r="IC213" s="54"/>
      <c r="ID213" s="54"/>
      <c r="IE213" s="54"/>
      <c r="IF213" s="54"/>
      <c r="IG213" s="54"/>
      <c r="IH213" s="54"/>
      <c r="II213" s="54"/>
      <c r="IJ213" s="54"/>
      <c r="IK213" s="54"/>
      <c r="IL213" s="54"/>
      <c r="IM213" s="54"/>
      <c r="IN213" s="54"/>
      <c r="IO213" s="54"/>
      <c r="IP213" s="54"/>
      <c r="IQ213" s="54"/>
      <c r="IR213" s="54"/>
      <c r="IS213" s="54"/>
      <c r="IT213" s="54"/>
      <c r="IU213" s="54"/>
      <c r="IV213" s="54"/>
      <c r="IW213" s="54"/>
      <c r="IX213" s="54"/>
      <c r="IY213" s="54"/>
      <c r="IZ213" s="54"/>
      <c r="JA213" s="54"/>
      <c r="JB213" s="54"/>
      <c r="JC213" s="54"/>
      <c r="JD213" s="54"/>
      <c r="JE213" s="54"/>
      <c r="JF213" s="54"/>
      <c r="JG213" s="54"/>
      <c r="JH213" s="54"/>
      <c r="JI213" s="54"/>
      <c r="JJ213" s="54"/>
      <c r="JK213" s="54"/>
      <c r="JL213" s="54"/>
      <c r="JM213" s="54"/>
      <c r="JN213" s="54"/>
      <c r="JO213" s="54"/>
      <c r="JP213" s="54"/>
      <c r="JQ213" s="54"/>
      <c r="JR213" s="54"/>
      <c r="JS213" s="54"/>
      <c r="JT213" s="54"/>
      <c r="JU213" s="54"/>
      <c r="JV213" s="54"/>
      <c r="JW213" s="54"/>
      <c r="JX213" s="54"/>
      <c r="JY213" s="54"/>
      <c r="JZ213" s="54"/>
      <c r="KA213" s="54"/>
      <c r="KB213" s="54"/>
      <c r="KC213" s="54"/>
      <c r="KD213" s="54"/>
      <c r="KE213" s="54"/>
      <c r="KF213" s="54"/>
      <c r="KG213" s="54"/>
      <c r="KH213" s="54"/>
      <c r="KI213" s="54"/>
      <c r="KJ213" s="54"/>
      <c r="KK213" s="54"/>
      <c r="KL213" s="54"/>
      <c r="KM213" s="54"/>
      <c r="KN213" s="54"/>
      <c r="KO213" s="54"/>
      <c r="KP213" s="54"/>
      <c r="KQ213" s="54"/>
      <c r="KR213" s="54"/>
      <c r="KS213" s="54"/>
      <c r="KT213" s="54"/>
      <c r="KU213" s="54"/>
      <c r="KV213" s="54"/>
      <c r="KW213" s="54"/>
      <c r="KX213" s="54"/>
    </row>
    <row r="214" ht="5.2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c r="BI214" s="54"/>
      <c r="BJ214" s="54"/>
      <c r="BK214" s="54"/>
      <c r="BL214" s="54"/>
      <c r="BM214" s="54"/>
      <c r="BN214" s="54"/>
      <c r="BO214" s="54"/>
      <c r="BP214" s="54"/>
      <c r="BQ214" s="54"/>
      <c r="BR214" s="54"/>
      <c r="BS214" s="54"/>
      <c r="BT214" s="54"/>
      <c r="BU214" s="54"/>
      <c r="BV214" s="54"/>
      <c r="BW214" s="54"/>
      <c r="BX214" s="54"/>
      <c r="BY214" s="54"/>
      <c r="BZ214" s="54"/>
      <c r="CA214" s="54"/>
      <c r="CB214" s="54"/>
      <c r="CC214" s="54"/>
      <c r="CD214" s="54"/>
      <c r="CE214" s="54"/>
      <c r="CF214" s="54"/>
      <c r="CG214" s="54"/>
      <c r="CH214" s="54"/>
      <c r="CI214" s="54"/>
      <c r="CJ214" s="54"/>
      <c r="CK214" s="54"/>
      <c r="CL214" s="54"/>
      <c r="CM214" s="54"/>
      <c r="CN214" s="54"/>
      <c r="CO214" s="54"/>
      <c r="CP214" s="54"/>
      <c r="CQ214" s="54"/>
      <c r="CR214" s="54"/>
      <c r="CS214" s="54"/>
      <c r="CT214" s="54"/>
      <c r="CU214" s="54"/>
      <c r="CV214" s="54"/>
      <c r="CW214" s="54"/>
      <c r="CX214" s="54"/>
      <c r="CY214" s="54"/>
      <c r="CZ214" s="54"/>
      <c r="DA214" s="54"/>
      <c r="DB214" s="54"/>
      <c r="DC214" s="108"/>
      <c r="DD214" s="60"/>
      <c r="EG214" s="11"/>
      <c r="EH214" s="10"/>
      <c r="FK214" s="61"/>
      <c r="FL214" s="108"/>
      <c r="FM214" s="54"/>
      <c r="FN214" s="54"/>
      <c r="FO214" s="54"/>
      <c r="FP214" s="54"/>
      <c r="FQ214" s="54"/>
      <c r="FR214" s="54"/>
      <c r="FS214" s="54"/>
      <c r="FT214" s="54"/>
      <c r="FU214" s="54"/>
      <c r="FV214" s="54"/>
      <c r="FW214" s="54"/>
      <c r="FX214" s="54"/>
      <c r="FY214" s="54"/>
      <c r="FZ214" s="54"/>
      <c r="GA214" s="54"/>
      <c r="GB214" s="54"/>
      <c r="GC214" s="54"/>
      <c r="GD214" s="54"/>
      <c r="GE214" s="54"/>
      <c r="GF214" s="54"/>
      <c r="GG214" s="54"/>
      <c r="GH214" s="54"/>
      <c r="GI214" s="54"/>
      <c r="GJ214" s="54"/>
      <c r="GK214" s="54"/>
      <c r="GL214" s="54"/>
      <c r="GM214" s="54"/>
      <c r="GN214" s="54"/>
      <c r="GO214" s="54"/>
      <c r="GP214" s="54"/>
      <c r="GQ214" s="54"/>
      <c r="GR214" s="54"/>
      <c r="GS214" s="54"/>
      <c r="GT214" s="54"/>
      <c r="GU214" s="54"/>
      <c r="GV214" s="54"/>
      <c r="GW214" s="54"/>
      <c r="GX214" s="54"/>
      <c r="GY214" s="54"/>
      <c r="GZ214" s="54"/>
      <c r="HA214" s="54"/>
      <c r="HB214" s="54"/>
      <c r="HC214" s="54"/>
      <c r="HD214" s="54"/>
      <c r="HE214" s="54"/>
      <c r="HF214" s="54"/>
      <c r="HG214" s="54"/>
      <c r="HH214" s="54"/>
      <c r="HI214" s="54"/>
      <c r="HJ214" s="54"/>
      <c r="HK214" s="54"/>
      <c r="HL214" s="54"/>
      <c r="HM214" s="54"/>
      <c r="HN214" s="54"/>
      <c r="HO214" s="54"/>
      <c r="HP214" s="54"/>
      <c r="HQ214" s="54"/>
      <c r="HR214" s="54"/>
      <c r="HS214" s="54"/>
      <c r="HT214" s="54"/>
      <c r="HU214" s="54"/>
      <c r="HV214" s="54"/>
      <c r="HW214" s="54"/>
      <c r="HX214" s="54"/>
      <c r="HY214" s="54"/>
      <c r="HZ214" s="54"/>
      <c r="IA214" s="54"/>
      <c r="IB214" s="54"/>
      <c r="IC214" s="54"/>
      <c r="ID214" s="54"/>
      <c r="IE214" s="54"/>
      <c r="IF214" s="54"/>
      <c r="IG214" s="54"/>
      <c r="IH214" s="54"/>
      <c r="II214" s="54"/>
      <c r="IJ214" s="54"/>
      <c r="IK214" s="54"/>
      <c r="IL214" s="54"/>
      <c r="IM214" s="54"/>
      <c r="IN214" s="54"/>
      <c r="IO214" s="54"/>
      <c r="IP214" s="54"/>
      <c r="IQ214" s="54"/>
      <c r="IR214" s="54"/>
      <c r="IS214" s="54"/>
      <c r="IT214" s="54"/>
      <c r="IU214" s="54"/>
      <c r="IV214" s="54"/>
      <c r="IW214" s="54"/>
      <c r="IX214" s="54"/>
      <c r="IY214" s="54"/>
      <c r="IZ214" s="54"/>
      <c r="JA214" s="54"/>
      <c r="JB214" s="54"/>
      <c r="JC214" s="54"/>
      <c r="JD214" s="54"/>
      <c r="JE214" s="54"/>
      <c r="JF214" s="54"/>
      <c r="JG214" s="54"/>
      <c r="JH214" s="54"/>
      <c r="JI214" s="54"/>
      <c r="JJ214" s="54"/>
      <c r="JK214" s="54"/>
      <c r="JL214" s="54"/>
      <c r="JM214" s="54"/>
      <c r="JN214" s="54"/>
      <c r="JO214" s="54"/>
      <c r="JP214" s="54"/>
      <c r="JQ214" s="54"/>
      <c r="JR214" s="54"/>
      <c r="JS214" s="54"/>
      <c r="JT214" s="54"/>
      <c r="JU214" s="54"/>
      <c r="JV214" s="54"/>
      <c r="JW214" s="54"/>
      <c r="JX214" s="54"/>
      <c r="JY214" s="54"/>
      <c r="JZ214" s="54"/>
      <c r="KA214" s="54"/>
      <c r="KB214" s="54"/>
      <c r="KC214" s="54"/>
      <c r="KD214" s="54"/>
      <c r="KE214" s="54"/>
      <c r="KF214" s="54"/>
      <c r="KG214" s="54"/>
      <c r="KH214" s="54"/>
      <c r="KI214" s="54"/>
      <c r="KJ214" s="54"/>
      <c r="KK214" s="54"/>
      <c r="KL214" s="54"/>
      <c r="KM214" s="54"/>
      <c r="KN214" s="54"/>
      <c r="KO214" s="54"/>
      <c r="KP214" s="54"/>
      <c r="KQ214" s="54"/>
      <c r="KR214" s="54"/>
      <c r="KS214" s="54"/>
      <c r="KT214" s="54"/>
      <c r="KU214" s="54"/>
      <c r="KV214" s="54"/>
      <c r="KW214" s="54"/>
      <c r="KX214" s="54"/>
    </row>
    <row r="215" ht="5.2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c r="BS215" s="54"/>
      <c r="BT215" s="54"/>
      <c r="BU215" s="54"/>
      <c r="BV215" s="54"/>
      <c r="BW215" s="54"/>
      <c r="BX215" s="54"/>
      <c r="BY215" s="54"/>
      <c r="BZ215" s="54"/>
      <c r="CA215" s="54"/>
      <c r="CB215" s="54"/>
      <c r="CC215" s="54"/>
      <c r="CD215" s="54"/>
      <c r="CE215" s="54"/>
      <c r="CF215" s="54"/>
      <c r="CG215" s="54"/>
      <c r="CH215" s="54"/>
      <c r="CI215" s="54"/>
      <c r="CJ215" s="54"/>
      <c r="CK215" s="54"/>
      <c r="CL215" s="54"/>
      <c r="CM215" s="54"/>
      <c r="CN215" s="54"/>
      <c r="CO215" s="54"/>
      <c r="CP215" s="54"/>
      <c r="CQ215" s="54"/>
      <c r="CR215" s="54"/>
      <c r="CS215" s="54"/>
      <c r="CT215" s="54"/>
      <c r="CU215" s="54"/>
      <c r="CV215" s="54"/>
      <c r="CW215" s="54"/>
      <c r="CX215" s="54"/>
      <c r="CY215" s="54"/>
      <c r="CZ215" s="54"/>
      <c r="DA215" s="54"/>
      <c r="DB215" s="54"/>
      <c r="DC215" s="119" t="str">
        <f>DC211</f>
        <v/>
      </c>
      <c r="DD215" s="112"/>
      <c r="DL215" s="122"/>
      <c r="DN215" s="11"/>
      <c r="DO215" s="127"/>
      <c r="DQ215" s="11"/>
      <c r="DR215" s="124"/>
      <c r="DU215" s="108"/>
      <c r="ED215" s="85">
        <f>sum(DL215:DT217)</f>
        <v>0</v>
      </c>
      <c r="EG215" s="11"/>
      <c r="EH215" s="86">
        <f>sum(EU215:FC217)</f>
        <v>0</v>
      </c>
      <c r="EL215" s="108"/>
      <c r="EM215" s="108"/>
      <c r="EN215" s="108"/>
      <c r="EO215" s="108"/>
      <c r="EP215" s="108"/>
      <c r="EQ215" s="108"/>
      <c r="ER215" s="108"/>
      <c r="ES215" s="108"/>
      <c r="ET215" s="108"/>
      <c r="EU215" s="125"/>
      <c r="EW215" s="11"/>
      <c r="EX215" s="126"/>
      <c r="EZ215" s="11"/>
      <c r="FA215" s="127"/>
      <c r="FD215" s="108"/>
      <c r="FE215" s="108"/>
      <c r="FF215" s="108"/>
      <c r="FG215" s="108"/>
      <c r="FH215" s="108"/>
      <c r="FI215" s="108"/>
      <c r="FJ215" s="108"/>
      <c r="FK215" s="116"/>
      <c r="FL215" s="119" t="str">
        <f>FL211</f>
        <v/>
      </c>
      <c r="FM215" s="54"/>
      <c r="FN215" s="54"/>
      <c r="FO215" s="54"/>
      <c r="FP215" s="54"/>
      <c r="FQ215" s="54"/>
      <c r="FR215" s="54"/>
      <c r="FS215" s="54"/>
      <c r="FT215" s="54"/>
      <c r="FU215" s="54"/>
      <c r="FV215" s="54"/>
      <c r="FW215" s="54"/>
      <c r="FX215" s="54"/>
      <c r="FY215" s="54"/>
      <c r="FZ215" s="54"/>
      <c r="GA215" s="54"/>
      <c r="GB215" s="54"/>
      <c r="GC215" s="54"/>
      <c r="GD215" s="54"/>
      <c r="GE215" s="54"/>
      <c r="GF215" s="54"/>
      <c r="GG215" s="54"/>
      <c r="GH215" s="54"/>
      <c r="GI215" s="54"/>
      <c r="GJ215" s="54"/>
      <c r="GK215" s="54"/>
      <c r="GL215" s="54"/>
      <c r="GM215" s="54"/>
      <c r="GN215" s="54"/>
      <c r="GO215" s="54"/>
      <c r="GP215" s="54"/>
      <c r="GQ215" s="54"/>
      <c r="GR215" s="54"/>
      <c r="GS215" s="54"/>
      <c r="GT215" s="54"/>
      <c r="GU215" s="54"/>
      <c r="GV215" s="54"/>
      <c r="GW215" s="54"/>
      <c r="GX215" s="54"/>
      <c r="GY215" s="54"/>
      <c r="GZ215" s="54"/>
      <c r="HA215" s="54"/>
      <c r="HB215" s="54"/>
      <c r="HC215" s="54"/>
      <c r="HD215" s="54"/>
      <c r="HE215" s="54"/>
      <c r="HF215" s="54"/>
      <c r="HG215" s="54"/>
      <c r="HH215" s="54"/>
      <c r="HI215" s="54"/>
      <c r="HJ215" s="54"/>
      <c r="HK215" s="54"/>
      <c r="HL215" s="54"/>
      <c r="HM215" s="54"/>
      <c r="HN215" s="54"/>
      <c r="HO215" s="54"/>
      <c r="HP215" s="54"/>
      <c r="HQ215" s="54"/>
      <c r="HR215" s="54"/>
      <c r="HS215" s="54"/>
      <c r="HT215" s="54"/>
      <c r="HU215" s="54"/>
      <c r="HV215" s="54"/>
      <c r="HW215" s="54"/>
      <c r="HX215" s="54"/>
      <c r="HY215" s="54"/>
      <c r="HZ215" s="54"/>
      <c r="IA215" s="54"/>
      <c r="IB215" s="54"/>
      <c r="IC215" s="54"/>
      <c r="ID215" s="54"/>
      <c r="IE215" s="54"/>
      <c r="IF215" s="54"/>
      <c r="IG215" s="54"/>
      <c r="IH215" s="54"/>
      <c r="II215" s="54"/>
      <c r="IJ215" s="54"/>
      <c r="IK215" s="54"/>
      <c r="IL215" s="54"/>
      <c r="IM215" s="54"/>
      <c r="IN215" s="54"/>
      <c r="IO215" s="54"/>
      <c r="IP215" s="54"/>
      <c r="IQ215" s="54"/>
      <c r="IR215" s="54"/>
      <c r="IS215" s="54"/>
      <c r="IT215" s="54"/>
      <c r="IU215" s="54"/>
      <c r="IV215" s="54"/>
      <c r="IW215" s="54"/>
      <c r="IX215" s="54"/>
      <c r="IY215" s="54"/>
      <c r="IZ215" s="54"/>
      <c r="JA215" s="54"/>
      <c r="JB215" s="54"/>
      <c r="JC215" s="54"/>
      <c r="JD215" s="54"/>
      <c r="JE215" s="54"/>
      <c r="JF215" s="54"/>
      <c r="JG215" s="54"/>
      <c r="JH215" s="54"/>
      <c r="JI215" s="54"/>
      <c r="JJ215" s="54"/>
      <c r="JK215" s="54"/>
      <c r="JL215" s="54"/>
      <c r="JM215" s="54"/>
      <c r="JN215" s="54"/>
      <c r="JO215" s="54"/>
      <c r="JP215" s="54"/>
      <c r="JQ215" s="54"/>
      <c r="JR215" s="54"/>
      <c r="JS215" s="54"/>
      <c r="JT215" s="54"/>
      <c r="JU215" s="54"/>
      <c r="JV215" s="54"/>
      <c r="JW215" s="54"/>
      <c r="JX215" s="54"/>
      <c r="JY215" s="54"/>
      <c r="JZ215" s="54"/>
      <c r="KA215" s="54"/>
      <c r="KB215" s="54"/>
      <c r="KC215" s="54"/>
      <c r="KD215" s="54"/>
      <c r="KE215" s="54"/>
      <c r="KF215" s="54"/>
      <c r="KG215" s="54"/>
      <c r="KH215" s="54"/>
      <c r="KI215" s="54"/>
      <c r="KJ215" s="54"/>
      <c r="KK215" s="54"/>
      <c r="KL215" s="54"/>
      <c r="KM215" s="54"/>
      <c r="KN215" s="54"/>
      <c r="KO215" s="54"/>
      <c r="KP215" s="54"/>
      <c r="KQ215" s="54"/>
      <c r="KR215" s="54"/>
      <c r="KS215" s="54"/>
      <c r="KT215" s="54"/>
      <c r="KU215" s="54"/>
      <c r="KV215" s="54"/>
      <c r="KW215" s="54"/>
      <c r="KX215" s="54"/>
    </row>
    <row r="216" ht="5.2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c r="BI216" s="54"/>
      <c r="BJ216" s="54"/>
      <c r="BK216" s="54"/>
      <c r="BL216" s="54"/>
      <c r="BM216" s="54"/>
      <c r="BN216" s="54"/>
      <c r="BO216" s="54"/>
      <c r="BP216" s="54"/>
      <c r="BQ216" s="54"/>
      <c r="BR216" s="54"/>
      <c r="BS216" s="54"/>
      <c r="BT216" s="54"/>
      <c r="BU216" s="54"/>
      <c r="BV216" s="54"/>
      <c r="BW216" s="54"/>
      <c r="BX216" s="54"/>
      <c r="BY216" s="54"/>
      <c r="BZ216" s="54"/>
      <c r="CA216" s="54"/>
      <c r="CB216" s="54"/>
      <c r="CC216" s="54"/>
      <c r="CD216" s="54"/>
      <c r="CE216" s="54"/>
      <c r="CF216" s="54"/>
      <c r="CG216" s="54"/>
      <c r="CH216" s="54"/>
      <c r="CI216" s="54"/>
      <c r="CJ216" s="54"/>
      <c r="CK216" s="54"/>
      <c r="CL216" s="54"/>
      <c r="CM216" s="54"/>
      <c r="CN216" s="54"/>
      <c r="CO216" s="54"/>
      <c r="CP216" s="54"/>
      <c r="CQ216" s="54"/>
      <c r="CR216" s="54"/>
      <c r="CS216" s="54"/>
      <c r="CT216" s="54"/>
      <c r="CU216" s="54"/>
      <c r="CV216" s="54"/>
      <c r="CW216" s="54"/>
      <c r="CX216" s="54"/>
      <c r="CY216" s="54"/>
      <c r="CZ216" s="54"/>
      <c r="DA216" s="54"/>
      <c r="DB216" s="54"/>
      <c r="DC216" s="108"/>
      <c r="DD216" s="60"/>
      <c r="DN216" s="11"/>
      <c r="DO216" s="10"/>
      <c r="DQ216" s="11"/>
      <c r="DR216" s="10"/>
      <c r="EG216" s="11"/>
      <c r="EH216" s="10"/>
      <c r="EL216" s="108"/>
      <c r="EM216" s="108"/>
      <c r="EN216" s="108"/>
      <c r="EO216" s="108"/>
      <c r="EP216" s="108"/>
      <c r="EQ216" s="108"/>
      <c r="ER216" s="108"/>
      <c r="ES216" s="108"/>
      <c r="ET216" s="108"/>
      <c r="EW216" s="11"/>
      <c r="EX216" s="10"/>
      <c r="EZ216" s="11"/>
      <c r="FA216" s="10"/>
      <c r="FD216" s="108"/>
      <c r="FE216" s="108"/>
      <c r="FF216" s="108"/>
      <c r="FG216" s="108"/>
      <c r="FH216" s="108"/>
      <c r="FI216" s="108"/>
      <c r="FJ216" s="108"/>
      <c r="FK216" s="116"/>
      <c r="FL216" s="108"/>
      <c r="FM216" s="54"/>
      <c r="FN216" s="54"/>
      <c r="FO216" s="54"/>
      <c r="FP216" s="54"/>
      <c r="FQ216" s="54"/>
      <c r="FR216" s="54"/>
      <c r="FS216" s="54"/>
      <c r="FT216" s="54"/>
      <c r="FU216" s="54"/>
      <c r="FV216" s="54"/>
      <c r="FW216" s="54"/>
      <c r="FX216" s="54"/>
      <c r="FY216" s="54"/>
      <c r="FZ216" s="54"/>
      <c r="GA216" s="54"/>
      <c r="GB216" s="54"/>
      <c r="GC216" s="54"/>
      <c r="GD216" s="54"/>
      <c r="GE216" s="54"/>
      <c r="GF216" s="54"/>
      <c r="GG216" s="54"/>
      <c r="GH216" s="54"/>
      <c r="GI216" s="54"/>
      <c r="GJ216" s="54"/>
      <c r="GK216" s="54"/>
      <c r="GL216" s="54"/>
      <c r="GM216" s="54"/>
      <c r="GN216" s="54"/>
      <c r="GO216" s="54"/>
      <c r="GP216" s="54"/>
      <c r="GQ216" s="54"/>
      <c r="GR216" s="54"/>
      <c r="GS216" s="54"/>
      <c r="GT216" s="54"/>
      <c r="GU216" s="54"/>
      <c r="GV216" s="54"/>
      <c r="GW216" s="54"/>
      <c r="GX216" s="54"/>
      <c r="GY216" s="54"/>
      <c r="GZ216" s="54"/>
      <c r="HA216" s="54"/>
      <c r="HB216" s="54"/>
      <c r="HC216" s="54"/>
      <c r="HD216" s="54"/>
      <c r="HE216" s="54"/>
      <c r="HF216" s="54"/>
      <c r="HG216" s="54"/>
      <c r="HH216" s="54"/>
      <c r="HI216" s="54"/>
      <c r="HJ216" s="54"/>
      <c r="HK216" s="54"/>
      <c r="HL216" s="54"/>
      <c r="HM216" s="54"/>
      <c r="HN216" s="54"/>
      <c r="HO216" s="54"/>
      <c r="HP216" s="54"/>
      <c r="HQ216" s="54"/>
      <c r="HR216" s="54"/>
      <c r="HS216" s="54"/>
      <c r="HT216" s="54"/>
      <c r="HU216" s="54"/>
      <c r="HV216" s="54"/>
      <c r="HW216" s="54"/>
      <c r="HX216" s="54"/>
      <c r="HY216" s="54"/>
      <c r="HZ216" s="54"/>
      <c r="IA216" s="54"/>
      <c r="IB216" s="54"/>
      <c r="IC216" s="54"/>
      <c r="ID216" s="54"/>
      <c r="IE216" s="54"/>
      <c r="IF216" s="54"/>
      <c r="IG216" s="54"/>
      <c r="IH216" s="54"/>
      <c r="II216" s="54"/>
      <c r="IJ216" s="54"/>
      <c r="IK216" s="54"/>
      <c r="IL216" s="54"/>
      <c r="IM216" s="54"/>
      <c r="IN216" s="54"/>
      <c r="IO216" s="54"/>
      <c r="IP216" s="54"/>
      <c r="IQ216" s="54"/>
      <c r="IR216" s="54"/>
      <c r="IS216" s="54"/>
      <c r="IT216" s="54"/>
      <c r="IU216" s="54"/>
      <c r="IV216" s="54"/>
      <c r="IW216" s="54"/>
      <c r="IX216" s="54"/>
      <c r="IY216" s="54"/>
      <c r="IZ216" s="54"/>
      <c r="JA216" s="54"/>
      <c r="JB216" s="54"/>
      <c r="JC216" s="54"/>
      <c r="JD216" s="54"/>
      <c r="JE216" s="54"/>
      <c r="JF216" s="54"/>
      <c r="JG216" s="54"/>
      <c r="JH216" s="54"/>
      <c r="JI216" s="54"/>
      <c r="JJ216" s="54"/>
      <c r="JK216" s="54"/>
      <c r="JL216" s="54"/>
      <c r="JM216" s="54"/>
      <c r="JN216" s="54"/>
      <c r="JO216" s="54"/>
      <c r="JP216" s="54"/>
      <c r="JQ216" s="54"/>
      <c r="JR216" s="54"/>
      <c r="JS216" s="54"/>
      <c r="JT216" s="54"/>
      <c r="JU216" s="54"/>
      <c r="JV216" s="54"/>
      <c r="JW216" s="54"/>
      <c r="JX216" s="54"/>
      <c r="JY216" s="54"/>
      <c r="JZ216" s="54"/>
      <c r="KA216" s="54"/>
      <c r="KB216" s="54"/>
      <c r="KC216" s="54"/>
      <c r="KD216" s="54"/>
      <c r="KE216" s="54"/>
      <c r="KF216" s="54"/>
      <c r="KG216" s="54"/>
      <c r="KH216" s="54"/>
      <c r="KI216" s="54"/>
      <c r="KJ216" s="54"/>
      <c r="KK216" s="54"/>
      <c r="KL216" s="54"/>
      <c r="KM216" s="54"/>
      <c r="KN216" s="54"/>
      <c r="KO216" s="54"/>
      <c r="KP216" s="54"/>
      <c r="KQ216" s="54"/>
      <c r="KR216" s="54"/>
      <c r="KS216" s="54"/>
      <c r="KT216" s="54"/>
      <c r="KU216" s="54"/>
      <c r="KV216" s="54"/>
      <c r="KW216" s="54"/>
      <c r="KX216" s="54"/>
    </row>
    <row r="217" ht="5.2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c r="BI217" s="54"/>
      <c r="BJ217" s="54"/>
      <c r="BK217" s="54"/>
      <c r="BL217" s="54"/>
      <c r="BM217" s="54"/>
      <c r="BN217" s="54"/>
      <c r="BO217" s="54"/>
      <c r="BP217" s="54"/>
      <c r="BQ217" s="54"/>
      <c r="BR217" s="54"/>
      <c r="BS217" s="54"/>
      <c r="BT217" s="54"/>
      <c r="BU217" s="54"/>
      <c r="BV217" s="54"/>
      <c r="BW217" s="54"/>
      <c r="BX217" s="54"/>
      <c r="BY217" s="54"/>
      <c r="BZ217" s="54"/>
      <c r="CA217" s="54"/>
      <c r="CB217" s="54"/>
      <c r="CC217" s="54"/>
      <c r="CD217" s="54"/>
      <c r="CE217" s="54"/>
      <c r="CF217" s="54"/>
      <c r="CG217" s="54"/>
      <c r="CH217" s="54"/>
      <c r="CI217" s="54"/>
      <c r="CJ217" s="54"/>
      <c r="CK217" s="54"/>
      <c r="CL217" s="54"/>
      <c r="CM217" s="54"/>
      <c r="CN217" s="54"/>
      <c r="CO217" s="54"/>
      <c r="CP217" s="54"/>
      <c r="CQ217" s="54"/>
      <c r="CR217" s="54"/>
      <c r="CS217" s="54"/>
      <c r="CT217" s="54"/>
      <c r="CU217" s="54"/>
      <c r="CV217" s="54"/>
      <c r="CW217" s="54"/>
      <c r="CX217" s="54"/>
      <c r="CY217" s="54"/>
      <c r="CZ217" s="54"/>
      <c r="DA217" s="54"/>
      <c r="DB217" s="54"/>
      <c r="DC217" s="108"/>
      <c r="DD217" s="88"/>
      <c r="DE217" s="13"/>
      <c r="DF217" s="13"/>
      <c r="DG217" s="13"/>
      <c r="DH217" s="13"/>
      <c r="DI217" s="13"/>
      <c r="DJ217" s="13"/>
      <c r="DK217" s="13"/>
      <c r="DL217" s="13"/>
      <c r="DM217" s="13"/>
      <c r="DN217" s="14"/>
      <c r="DO217" s="12"/>
      <c r="DP217" s="13"/>
      <c r="DQ217" s="14"/>
      <c r="DR217" s="12"/>
      <c r="DS217" s="13"/>
      <c r="DT217" s="13"/>
      <c r="DU217" s="13"/>
      <c r="DV217" s="13"/>
      <c r="DW217" s="13"/>
      <c r="DX217" s="13"/>
      <c r="DY217" s="13"/>
      <c r="DZ217" s="13"/>
      <c r="EA217" s="13"/>
      <c r="EB217" s="13"/>
      <c r="EC217" s="13"/>
      <c r="ED217" s="13"/>
      <c r="EE217" s="13"/>
      <c r="EF217" s="13"/>
      <c r="EG217" s="14"/>
      <c r="EH217" s="12"/>
      <c r="EI217" s="13"/>
      <c r="EJ217" s="13"/>
      <c r="EK217" s="13"/>
      <c r="EL217" s="128"/>
      <c r="EM217" s="128"/>
      <c r="EN217" s="128"/>
      <c r="EO217" s="128"/>
      <c r="EP217" s="128"/>
      <c r="EQ217" s="128"/>
      <c r="ER217" s="128"/>
      <c r="ES217" s="128"/>
      <c r="ET217" s="128"/>
      <c r="EU217" s="13"/>
      <c r="EV217" s="13"/>
      <c r="EW217" s="14"/>
      <c r="EX217" s="12"/>
      <c r="EY217" s="13"/>
      <c r="EZ217" s="14"/>
      <c r="FA217" s="12"/>
      <c r="FB217" s="13"/>
      <c r="FC217" s="13"/>
      <c r="FD217" s="128"/>
      <c r="FE217" s="128"/>
      <c r="FF217" s="128"/>
      <c r="FG217" s="128"/>
      <c r="FH217" s="128"/>
      <c r="FI217" s="128"/>
      <c r="FJ217" s="128"/>
      <c r="FK217" s="129"/>
      <c r="FL217" s="108"/>
      <c r="FM217" s="54"/>
      <c r="FN217" s="54"/>
      <c r="FO217" s="54"/>
      <c r="FP217" s="54"/>
      <c r="FQ217" s="54"/>
      <c r="FR217" s="54"/>
      <c r="FS217" s="54"/>
      <c r="FT217" s="54"/>
      <c r="FU217" s="54"/>
      <c r="FV217" s="54"/>
      <c r="FW217" s="54"/>
      <c r="FX217" s="54"/>
      <c r="FY217" s="54"/>
      <c r="FZ217" s="54"/>
      <c r="GA217" s="54"/>
      <c r="GB217" s="54"/>
      <c r="GC217" s="54"/>
      <c r="GD217" s="54"/>
      <c r="GE217" s="54"/>
      <c r="GF217" s="54"/>
      <c r="GG217" s="54"/>
      <c r="GH217" s="54"/>
      <c r="GI217" s="54"/>
      <c r="GJ217" s="54"/>
      <c r="GK217" s="54"/>
      <c r="GL217" s="54"/>
      <c r="GM217" s="54"/>
      <c r="GN217" s="54"/>
      <c r="GO217" s="54"/>
      <c r="GP217" s="54"/>
      <c r="GQ217" s="54"/>
      <c r="GR217" s="54"/>
      <c r="GS217" s="54"/>
      <c r="GT217" s="54"/>
      <c r="GU217" s="54"/>
      <c r="GV217" s="54"/>
      <c r="GW217" s="54"/>
      <c r="GX217" s="54"/>
      <c r="GY217" s="54"/>
      <c r="GZ217" s="54"/>
      <c r="HA217" s="54"/>
      <c r="HB217" s="54"/>
      <c r="HC217" s="54"/>
      <c r="HD217" s="54"/>
      <c r="HE217" s="54"/>
      <c r="HF217" s="54"/>
      <c r="HG217" s="54"/>
      <c r="HH217" s="54"/>
      <c r="HI217" s="54"/>
      <c r="HJ217" s="54"/>
      <c r="HK217" s="54"/>
      <c r="HL217" s="54"/>
      <c r="HM217" s="54"/>
      <c r="HN217" s="54"/>
      <c r="HO217" s="54"/>
      <c r="HP217" s="54"/>
      <c r="HQ217" s="54"/>
      <c r="HR217" s="54"/>
      <c r="HS217" s="54"/>
      <c r="HT217" s="54"/>
      <c r="HU217" s="54"/>
      <c r="HV217" s="54"/>
      <c r="HW217" s="54"/>
      <c r="HX217" s="54"/>
      <c r="HY217" s="54"/>
      <c r="HZ217" s="54"/>
      <c r="IA217" s="54"/>
      <c r="IB217" s="54"/>
      <c r="IC217" s="54"/>
      <c r="ID217" s="54"/>
      <c r="IE217" s="54"/>
      <c r="IF217" s="54"/>
      <c r="IG217" s="54"/>
      <c r="IH217" s="54"/>
      <c r="II217" s="54"/>
      <c r="IJ217" s="54"/>
      <c r="IK217" s="54"/>
      <c r="IL217" s="54"/>
      <c r="IM217" s="54"/>
      <c r="IN217" s="54"/>
      <c r="IO217" s="54"/>
      <c r="IP217" s="54"/>
      <c r="IQ217" s="54"/>
      <c r="IR217" s="54"/>
      <c r="IS217" s="54"/>
      <c r="IT217" s="54"/>
      <c r="IU217" s="54"/>
      <c r="IV217" s="54"/>
      <c r="IW217" s="54"/>
      <c r="IX217" s="54"/>
      <c r="IY217" s="54"/>
      <c r="IZ217" s="54"/>
      <c r="JA217" s="54"/>
      <c r="JB217" s="54"/>
      <c r="JC217" s="54"/>
      <c r="JD217" s="54"/>
      <c r="JE217" s="54"/>
      <c r="JF217" s="54"/>
      <c r="JG217" s="54"/>
      <c r="JH217" s="54"/>
      <c r="JI217" s="54"/>
      <c r="JJ217" s="54"/>
      <c r="JK217" s="54"/>
      <c r="JL217" s="54"/>
      <c r="JM217" s="54"/>
      <c r="JN217" s="54"/>
      <c r="JO217" s="54"/>
      <c r="JP217" s="54"/>
      <c r="JQ217" s="54"/>
      <c r="JR217" s="54"/>
      <c r="JS217" s="54"/>
      <c r="JT217" s="54"/>
      <c r="JU217" s="54"/>
      <c r="JV217" s="54"/>
      <c r="JW217" s="54"/>
      <c r="JX217" s="54"/>
      <c r="JY217" s="54"/>
      <c r="JZ217" s="54"/>
      <c r="KA217" s="54"/>
      <c r="KB217" s="54"/>
      <c r="KC217" s="54"/>
      <c r="KD217" s="54"/>
      <c r="KE217" s="54"/>
      <c r="KF217" s="54"/>
      <c r="KG217" s="54"/>
      <c r="KH217" s="54"/>
      <c r="KI217" s="54"/>
      <c r="KJ217" s="54"/>
      <c r="KK217" s="54"/>
      <c r="KL217" s="54"/>
      <c r="KM217" s="54"/>
      <c r="KN217" s="54"/>
      <c r="KO217" s="54"/>
      <c r="KP217" s="54"/>
      <c r="KQ217" s="54"/>
      <c r="KR217" s="54"/>
      <c r="KS217" s="54"/>
      <c r="KT217" s="54"/>
      <c r="KU217" s="54"/>
      <c r="KV217" s="54"/>
      <c r="KW217" s="54"/>
      <c r="KX217" s="54"/>
    </row>
    <row r="218" ht="5.2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c r="BI218" s="54"/>
      <c r="BJ218" s="54"/>
      <c r="BK218" s="54"/>
      <c r="BL218" s="54"/>
      <c r="BM218" s="54"/>
      <c r="BN218" s="54"/>
      <c r="BO218" s="54"/>
      <c r="BP218" s="54"/>
      <c r="BQ218" s="54"/>
      <c r="BR218" s="54"/>
      <c r="BS218" s="54"/>
      <c r="BT218" s="54"/>
      <c r="BU218" s="54"/>
      <c r="BV218" s="54"/>
      <c r="BW218" s="54"/>
      <c r="BX218" s="54"/>
      <c r="BY218" s="54"/>
      <c r="BZ218" s="54"/>
      <c r="CA218" s="54"/>
      <c r="CB218" s="54"/>
      <c r="CC218" s="54"/>
      <c r="CD218" s="54"/>
      <c r="CE218" s="54"/>
      <c r="CF218" s="54"/>
      <c r="CG218" s="54"/>
      <c r="CH218" s="54"/>
      <c r="CI218" s="54"/>
      <c r="CJ218" s="54"/>
      <c r="CK218" s="54"/>
      <c r="CL218" s="54"/>
      <c r="CM218" s="54"/>
      <c r="CN218" s="54"/>
      <c r="CO218" s="54"/>
      <c r="CP218" s="54"/>
      <c r="CQ218" s="54"/>
      <c r="CR218" s="54"/>
      <c r="CS218" s="54"/>
      <c r="CT218" s="54"/>
      <c r="CU218" s="54"/>
      <c r="CV218" s="54"/>
      <c r="CW218" s="54"/>
      <c r="CX218" s="54"/>
      <c r="CY218" s="54"/>
      <c r="CZ218" s="54"/>
      <c r="DA218" s="54"/>
      <c r="DB218" s="54"/>
      <c r="DC218" s="119" t="str">
        <f>if(or(BX163=0,EJ163=0),"",qualreseeding!AC309)</f>
        <v/>
      </c>
      <c r="DD218" s="130" t="str">
        <f t="array" ref="DD218">xlookup(DC218,qualdata!$M$2:$M$17,qualdata!$O$2:$O$17,"")</f>
        <v/>
      </c>
      <c r="DE218" s="8"/>
      <c r="DF218" s="8"/>
      <c r="DG218" s="8"/>
      <c r="DH218" s="93" t="str">
        <f t="array" ref="DH218">xlookup(DC218,qualdata!$M$2:$M$17,qualdata!$N$2:$N$17,"")</f>
        <v/>
      </c>
      <c r="DI218" s="8"/>
      <c r="DJ218" s="8"/>
      <c r="DK218" s="8"/>
      <c r="DL218" s="8"/>
      <c r="DM218" s="8"/>
      <c r="DN218" s="8"/>
      <c r="DO218" s="8"/>
      <c r="DP218" s="8"/>
      <c r="DQ218" s="8"/>
      <c r="DR218" s="8"/>
      <c r="DS218" s="8"/>
      <c r="DT218" s="8"/>
      <c r="DU218" s="8"/>
      <c r="DV218" s="8"/>
      <c r="DW218" s="8"/>
      <c r="DX218" s="8"/>
      <c r="DY218" s="8"/>
      <c r="DZ218" s="8"/>
      <c r="EA218" s="8"/>
      <c r="EB218" s="8"/>
      <c r="EC218" s="8"/>
      <c r="ED218" s="94"/>
      <c r="EE218" s="8"/>
      <c r="EF218" s="8"/>
      <c r="EG218" s="9"/>
      <c r="EH218" s="95"/>
      <c r="EI218" s="8"/>
      <c r="EJ218" s="8"/>
      <c r="EK218" s="8"/>
      <c r="EL218" s="96" t="str">
        <f t="array" ref="EL218">xlookup(FL218,qualdata!$M$2:$M$17,qualdata!$N$2:$N$17,"")</f>
        <v/>
      </c>
      <c r="EM218" s="8"/>
      <c r="EN218" s="8"/>
      <c r="EO218" s="8"/>
      <c r="EP218" s="8"/>
      <c r="EQ218" s="8"/>
      <c r="ER218" s="8"/>
      <c r="ES218" s="8"/>
      <c r="ET218" s="8"/>
      <c r="EU218" s="8"/>
      <c r="EV218" s="8"/>
      <c r="EW218" s="8"/>
      <c r="EX218" s="8"/>
      <c r="EY218" s="8"/>
      <c r="EZ218" s="8"/>
      <c r="FA218" s="8"/>
      <c r="FB218" s="8"/>
      <c r="FC218" s="8"/>
      <c r="FD218" s="8"/>
      <c r="FE218" s="8"/>
      <c r="FF218" s="8"/>
      <c r="FG218" s="8"/>
      <c r="FH218" s="131" t="str">
        <f t="array" ref="FH218">xlookup(FL218,qualdata!$M$2:$M$17,qualdata!$O$2:$O$17,"")</f>
        <v/>
      </c>
      <c r="FI218" s="8"/>
      <c r="FJ218" s="8"/>
      <c r="FK218" s="98"/>
      <c r="FL218" s="119" t="str">
        <f>if(or(BX163=0,EJ163=0),"",qualreseeding!AD309)</f>
        <v/>
      </c>
      <c r="FM218" s="54"/>
      <c r="FN218" s="54"/>
      <c r="FO218" s="54"/>
      <c r="FP218" s="54"/>
      <c r="FQ218" s="54"/>
      <c r="FR218" s="54"/>
      <c r="FS218" s="54"/>
      <c r="FT218" s="54"/>
      <c r="FU218" s="54"/>
      <c r="FV218" s="54"/>
      <c r="FW218" s="54"/>
      <c r="FX218" s="54"/>
      <c r="FY218" s="54"/>
      <c r="FZ218" s="54"/>
      <c r="GA218" s="54"/>
      <c r="GB218" s="54"/>
      <c r="GC218" s="54"/>
      <c r="GD218" s="54"/>
      <c r="GE218" s="54"/>
      <c r="GF218" s="54"/>
      <c r="GG218" s="54"/>
      <c r="GH218" s="54"/>
      <c r="GI218" s="54"/>
      <c r="GJ218" s="54"/>
      <c r="GK218" s="54"/>
      <c r="GL218" s="54"/>
      <c r="GM218" s="54"/>
      <c r="GN218" s="54"/>
      <c r="GO218" s="54"/>
      <c r="GP218" s="54"/>
      <c r="GQ218" s="54"/>
      <c r="GR218" s="54"/>
      <c r="GS218" s="54"/>
      <c r="GT218" s="54"/>
      <c r="GU218" s="54"/>
      <c r="GV218" s="54"/>
      <c r="GW218" s="54"/>
      <c r="GX218" s="54"/>
      <c r="GY218" s="54"/>
      <c r="GZ218" s="54"/>
      <c r="HA218" s="54"/>
      <c r="HB218" s="54"/>
      <c r="HC218" s="54"/>
      <c r="HD218" s="54"/>
      <c r="HE218" s="54"/>
      <c r="HF218" s="54"/>
      <c r="HG218" s="54"/>
      <c r="HH218" s="54"/>
      <c r="HI218" s="54"/>
      <c r="HJ218" s="54"/>
      <c r="HK218" s="54"/>
      <c r="HL218" s="54"/>
      <c r="HM218" s="54"/>
      <c r="HN218" s="54"/>
      <c r="HO218" s="54"/>
      <c r="HP218" s="54"/>
      <c r="HQ218" s="54"/>
      <c r="HR218" s="54"/>
      <c r="HS218" s="54"/>
      <c r="HT218" s="54"/>
      <c r="HU218" s="54"/>
      <c r="HV218" s="54"/>
      <c r="HW218" s="54"/>
      <c r="HX218" s="54"/>
      <c r="HY218" s="54"/>
      <c r="HZ218" s="54"/>
      <c r="IA218" s="54"/>
      <c r="IB218" s="54"/>
      <c r="IC218" s="54"/>
      <c r="ID218" s="54"/>
      <c r="IE218" s="54"/>
      <c r="IF218" s="54"/>
      <c r="IG218" s="54"/>
      <c r="IH218" s="54"/>
      <c r="II218" s="54"/>
      <c r="IJ218" s="54"/>
      <c r="IK218" s="54"/>
      <c r="IL218" s="54"/>
      <c r="IM218" s="54"/>
      <c r="IN218" s="54"/>
      <c r="IO218" s="54"/>
      <c r="IP218" s="54"/>
      <c r="IQ218" s="54"/>
      <c r="IR218" s="54"/>
      <c r="IS218" s="54"/>
      <c r="IT218" s="54"/>
      <c r="IU218" s="54"/>
      <c r="IV218" s="54"/>
      <c r="IW218" s="54"/>
      <c r="IX218" s="54"/>
      <c r="IY218" s="54"/>
      <c r="IZ218" s="54"/>
      <c r="JA218" s="54"/>
      <c r="JB218" s="54"/>
      <c r="JC218" s="54"/>
      <c r="JD218" s="54"/>
      <c r="JE218" s="54"/>
      <c r="JF218" s="54"/>
      <c r="JG218" s="54"/>
      <c r="JH218" s="54"/>
      <c r="JI218" s="54"/>
      <c r="JJ218" s="54"/>
      <c r="JK218" s="54"/>
      <c r="JL218" s="54"/>
      <c r="JM218" s="54"/>
      <c r="JN218" s="54"/>
      <c r="JO218" s="54"/>
      <c r="JP218" s="54"/>
      <c r="JQ218" s="54"/>
      <c r="JR218" s="54"/>
      <c r="JS218" s="54"/>
      <c r="JT218" s="54"/>
      <c r="JU218" s="54"/>
      <c r="JV218" s="54"/>
      <c r="JW218" s="54"/>
      <c r="JX218" s="54"/>
      <c r="JY218" s="54"/>
      <c r="JZ218" s="54"/>
      <c r="KA218" s="54"/>
      <c r="KB218" s="54"/>
      <c r="KC218" s="54"/>
      <c r="KD218" s="54"/>
      <c r="KE218" s="54"/>
      <c r="KF218" s="54"/>
      <c r="KG218" s="54"/>
      <c r="KH218" s="54"/>
      <c r="KI218" s="54"/>
      <c r="KJ218" s="54"/>
      <c r="KK218" s="54"/>
      <c r="KL218" s="54"/>
      <c r="KM218" s="54"/>
      <c r="KN218" s="54"/>
      <c r="KO218" s="54"/>
      <c r="KP218" s="54"/>
      <c r="KQ218" s="54"/>
      <c r="KR218" s="54"/>
      <c r="KS218" s="54"/>
      <c r="KT218" s="54"/>
      <c r="KU218" s="54"/>
      <c r="KV218" s="54"/>
      <c r="KW218" s="54"/>
      <c r="KX218" s="54"/>
    </row>
    <row r="219" ht="5.2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c r="BI219" s="54"/>
      <c r="BJ219" s="54"/>
      <c r="BK219" s="54"/>
      <c r="BL219" s="54"/>
      <c r="BM219" s="54"/>
      <c r="BN219" s="54"/>
      <c r="BO219" s="54"/>
      <c r="BP219" s="54"/>
      <c r="BQ219" s="54"/>
      <c r="BR219" s="54"/>
      <c r="BS219" s="54"/>
      <c r="BT219" s="54"/>
      <c r="BU219" s="54"/>
      <c r="BV219" s="54"/>
      <c r="BW219" s="54"/>
      <c r="BX219" s="54"/>
      <c r="BY219" s="54"/>
      <c r="BZ219" s="54"/>
      <c r="CA219" s="54"/>
      <c r="CB219" s="54"/>
      <c r="CC219" s="54"/>
      <c r="CD219" s="54"/>
      <c r="CE219" s="54"/>
      <c r="CF219" s="54"/>
      <c r="CG219" s="54"/>
      <c r="CH219" s="54"/>
      <c r="CI219" s="54"/>
      <c r="CJ219" s="54"/>
      <c r="CK219" s="54"/>
      <c r="CL219" s="54"/>
      <c r="CM219" s="54"/>
      <c r="CN219" s="54"/>
      <c r="CO219" s="54"/>
      <c r="CP219" s="54"/>
      <c r="CQ219" s="54"/>
      <c r="CR219" s="54"/>
      <c r="CS219" s="54"/>
      <c r="CT219" s="54"/>
      <c r="CU219" s="54"/>
      <c r="CV219" s="54"/>
      <c r="CW219" s="54"/>
      <c r="CX219" s="54"/>
      <c r="CY219" s="54"/>
      <c r="CZ219" s="54"/>
      <c r="DA219" s="54"/>
      <c r="DB219" s="54"/>
      <c r="DC219" s="108"/>
      <c r="DD219" s="60"/>
      <c r="EG219" s="11"/>
      <c r="EH219" s="10"/>
      <c r="FK219" s="61"/>
      <c r="FL219" s="108"/>
      <c r="FM219" s="54"/>
      <c r="FN219" s="54"/>
      <c r="FO219" s="54"/>
      <c r="FP219" s="54"/>
      <c r="FQ219" s="54"/>
      <c r="FR219" s="54"/>
      <c r="FS219" s="54"/>
      <c r="FT219" s="54"/>
      <c r="FU219" s="54"/>
      <c r="FV219" s="54"/>
      <c r="FW219" s="54"/>
      <c r="FX219" s="54"/>
      <c r="FY219" s="54"/>
      <c r="FZ219" s="54"/>
      <c r="GA219" s="54"/>
      <c r="GB219" s="54"/>
      <c r="GC219" s="54"/>
      <c r="GD219" s="54"/>
      <c r="GE219" s="54"/>
      <c r="GF219" s="54"/>
      <c r="GG219" s="54"/>
      <c r="GH219" s="54"/>
      <c r="GI219" s="54"/>
      <c r="GJ219" s="54"/>
      <c r="GK219" s="54"/>
      <c r="GL219" s="54"/>
      <c r="GM219" s="54"/>
      <c r="GN219" s="54"/>
      <c r="GO219" s="54"/>
      <c r="GP219" s="54"/>
      <c r="GQ219" s="54"/>
      <c r="GR219" s="54"/>
      <c r="GS219" s="54"/>
      <c r="GT219" s="54"/>
      <c r="GU219" s="54"/>
      <c r="GV219" s="54"/>
      <c r="GW219" s="54"/>
      <c r="GX219" s="54"/>
      <c r="GY219" s="54"/>
      <c r="GZ219" s="54"/>
      <c r="HA219" s="54"/>
      <c r="HB219" s="54"/>
      <c r="HC219" s="54"/>
      <c r="HD219" s="54"/>
      <c r="HE219" s="54"/>
      <c r="HF219" s="54"/>
      <c r="HG219" s="54"/>
      <c r="HH219" s="54"/>
      <c r="HI219" s="54"/>
      <c r="HJ219" s="54"/>
      <c r="HK219" s="54"/>
      <c r="HL219" s="54"/>
      <c r="HM219" s="54"/>
      <c r="HN219" s="54"/>
      <c r="HO219" s="54"/>
      <c r="HP219" s="54"/>
      <c r="HQ219" s="54"/>
      <c r="HR219" s="54"/>
      <c r="HS219" s="54"/>
      <c r="HT219" s="54"/>
      <c r="HU219" s="54"/>
      <c r="HV219" s="54"/>
      <c r="HW219" s="54"/>
      <c r="HX219" s="54"/>
      <c r="HY219" s="54"/>
      <c r="HZ219" s="54"/>
      <c r="IA219" s="54"/>
      <c r="IB219" s="54"/>
      <c r="IC219" s="54"/>
      <c r="ID219" s="54"/>
      <c r="IE219" s="54"/>
      <c r="IF219" s="54"/>
      <c r="IG219" s="54"/>
      <c r="IH219" s="54"/>
      <c r="II219" s="54"/>
      <c r="IJ219" s="54"/>
      <c r="IK219" s="54"/>
      <c r="IL219" s="54"/>
      <c r="IM219" s="54"/>
      <c r="IN219" s="54"/>
      <c r="IO219" s="54"/>
      <c r="IP219" s="54"/>
      <c r="IQ219" s="54"/>
      <c r="IR219" s="54"/>
      <c r="IS219" s="54"/>
      <c r="IT219" s="54"/>
      <c r="IU219" s="54"/>
      <c r="IV219" s="54"/>
      <c r="IW219" s="54"/>
      <c r="IX219" s="54"/>
      <c r="IY219" s="54"/>
      <c r="IZ219" s="54"/>
      <c r="JA219" s="54"/>
      <c r="JB219" s="54"/>
      <c r="JC219" s="54"/>
      <c r="JD219" s="54"/>
      <c r="JE219" s="54"/>
      <c r="JF219" s="54"/>
      <c r="JG219" s="54"/>
      <c r="JH219" s="54"/>
      <c r="JI219" s="54"/>
      <c r="JJ219" s="54"/>
      <c r="JK219" s="54"/>
      <c r="JL219" s="54"/>
      <c r="JM219" s="54"/>
      <c r="JN219" s="54"/>
      <c r="JO219" s="54"/>
      <c r="JP219" s="54"/>
      <c r="JQ219" s="54"/>
      <c r="JR219" s="54"/>
      <c r="JS219" s="54"/>
      <c r="JT219" s="54"/>
      <c r="JU219" s="54"/>
      <c r="JV219" s="54"/>
      <c r="JW219" s="54"/>
      <c r="JX219" s="54"/>
      <c r="JY219" s="54"/>
      <c r="JZ219" s="54"/>
      <c r="KA219" s="54"/>
      <c r="KB219" s="54"/>
      <c r="KC219" s="54"/>
      <c r="KD219" s="54"/>
      <c r="KE219" s="54"/>
      <c r="KF219" s="54"/>
      <c r="KG219" s="54"/>
      <c r="KH219" s="54"/>
      <c r="KI219" s="54"/>
      <c r="KJ219" s="54"/>
      <c r="KK219" s="54"/>
      <c r="KL219" s="54"/>
      <c r="KM219" s="54"/>
      <c r="KN219" s="54"/>
      <c r="KO219" s="54"/>
      <c r="KP219" s="54"/>
      <c r="KQ219" s="54"/>
      <c r="KR219" s="54"/>
      <c r="KS219" s="54"/>
      <c r="KT219" s="54"/>
      <c r="KU219" s="54"/>
      <c r="KV219" s="54"/>
      <c r="KW219" s="54"/>
      <c r="KX219" s="54"/>
    </row>
    <row r="220" ht="5.2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c r="AP220" s="54"/>
      <c r="AQ220" s="54"/>
      <c r="AR220" s="54"/>
      <c r="AS220" s="54"/>
      <c r="AT220" s="54"/>
      <c r="AU220" s="54"/>
      <c r="AV220" s="54"/>
      <c r="AW220" s="54"/>
      <c r="AX220" s="54"/>
      <c r="AY220" s="54"/>
      <c r="AZ220" s="54"/>
      <c r="BA220" s="54"/>
      <c r="BB220" s="54"/>
      <c r="BC220" s="54"/>
      <c r="BD220" s="54"/>
      <c r="BE220" s="54"/>
      <c r="BF220" s="54"/>
      <c r="BG220" s="54"/>
      <c r="BH220" s="54"/>
      <c r="BI220" s="54"/>
      <c r="BJ220" s="54"/>
      <c r="BK220" s="54"/>
      <c r="BL220" s="54"/>
      <c r="BM220" s="54"/>
      <c r="BN220" s="54"/>
      <c r="BO220" s="54"/>
      <c r="BP220" s="54"/>
      <c r="BQ220" s="54"/>
      <c r="BR220" s="54"/>
      <c r="BS220" s="54"/>
      <c r="BT220" s="54"/>
      <c r="BU220" s="54"/>
      <c r="BV220" s="54"/>
      <c r="BW220" s="54"/>
      <c r="BX220" s="54"/>
      <c r="BY220" s="54"/>
      <c r="BZ220" s="54"/>
      <c r="CA220" s="54"/>
      <c r="CB220" s="54"/>
      <c r="CC220" s="54"/>
      <c r="CD220" s="54"/>
      <c r="CE220" s="54"/>
      <c r="CF220" s="54"/>
      <c r="CG220" s="54"/>
      <c r="CH220" s="54"/>
      <c r="CI220" s="54"/>
      <c r="CJ220" s="54"/>
      <c r="CK220" s="54"/>
      <c r="CL220" s="54"/>
      <c r="CM220" s="54"/>
      <c r="CN220" s="54"/>
      <c r="CO220" s="54"/>
      <c r="CP220" s="54"/>
      <c r="CQ220" s="54"/>
      <c r="CR220" s="54"/>
      <c r="CS220" s="54"/>
      <c r="CT220" s="54"/>
      <c r="CU220" s="54"/>
      <c r="CV220" s="54"/>
      <c r="CW220" s="54"/>
      <c r="CX220" s="54"/>
      <c r="CY220" s="54"/>
      <c r="CZ220" s="54"/>
      <c r="DA220" s="54"/>
      <c r="DB220" s="54"/>
      <c r="DC220" s="108"/>
      <c r="DD220" s="60"/>
      <c r="EG220" s="11"/>
      <c r="EH220" s="10"/>
      <c r="FK220" s="61"/>
      <c r="FL220" s="108"/>
      <c r="FM220" s="54"/>
      <c r="FN220" s="54"/>
      <c r="FO220" s="54"/>
      <c r="FP220" s="54"/>
      <c r="FQ220" s="54"/>
      <c r="FR220" s="54"/>
      <c r="FS220" s="54"/>
      <c r="FT220" s="54"/>
      <c r="FU220" s="54"/>
      <c r="FV220" s="54"/>
      <c r="FW220" s="54"/>
      <c r="FX220" s="54"/>
      <c r="FY220" s="54"/>
      <c r="FZ220" s="54"/>
      <c r="GA220" s="54"/>
      <c r="GB220" s="54"/>
      <c r="GC220" s="54"/>
      <c r="GD220" s="54"/>
      <c r="GE220" s="54"/>
      <c r="GF220" s="54"/>
      <c r="GG220" s="54"/>
      <c r="GH220" s="54"/>
      <c r="GI220" s="54"/>
      <c r="GJ220" s="54"/>
      <c r="GK220" s="54"/>
      <c r="GL220" s="54"/>
      <c r="GM220" s="54"/>
      <c r="GN220" s="54"/>
      <c r="GO220" s="54"/>
      <c r="GP220" s="54"/>
      <c r="GQ220" s="54"/>
      <c r="GR220" s="54"/>
      <c r="GS220" s="54"/>
      <c r="GT220" s="54"/>
      <c r="GU220" s="54"/>
      <c r="GV220" s="54"/>
      <c r="GW220" s="54"/>
      <c r="GX220" s="54"/>
      <c r="GY220" s="54"/>
      <c r="GZ220" s="54"/>
      <c r="HA220" s="54"/>
      <c r="HB220" s="54"/>
      <c r="HC220" s="54"/>
      <c r="HD220" s="54"/>
      <c r="HE220" s="54"/>
      <c r="HF220" s="54"/>
      <c r="HG220" s="54"/>
      <c r="HH220" s="54"/>
      <c r="HI220" s="54"/>
      <c r="HJ220" s="54"/>
      <c r="HK220" s="54"/>
      <c r="HL220" s="54"/>
      <c r="HM220" s="54"/>
      <c r="HN220" s="54"/>
      <c r="HO220" s="54"/>
      <c r="HP220" s="54"/>
      <c r="HQ220" s="54"/>
      <c r="HR220" s="54"/>
      <c r="HS220" s="54"/>
      <c r="HT220" s="54"/>
      <c r="HU220" s="54"/>
      <c r="HV220" s="54"/>
      <c r="HW220" s="54"/>
      <c r="HX220" s="142" t="s">
        <v>68</v>
      </c>
      <c r="HY220" s="142"/>
      <c r="HZ220" s="142"/>
      <c r="IA220" s="142"/>
      <c r="IB220" s="142"/>
      <c r="IC220" s="142"/>
      <c r="ID220" s="142"/>
      <c r="IE220" s="142"/>
      <c r="IF220" s="142"/>
      <c r="IG220" s="142"/>
      <c r="IH220" s="142"/>
      <c r="II220" s="142"/>
      <c r="IJ220" s="142"/>
      <c r="IK220" s="142"/>
      <c r="IL220" s="142"/>
      <c r="IM220" s="142"/>
      <c r="IN220" s="142"/>
      <c r="IO220" s="142"/>
      <c r="IP220" s="142"/>
      <c r="IQ220" s="142"/>
      <c r="IR220" s="142"/>
      <c r="IS220" s="142"/>
      <c r="IT220" s="142"/>
      <c r="IU220" s="142"/>
      <c r="IV220" s="142"/>
      <c r="IW220" s="142"/>
      <c r="IX220" s="142"/>
      <c r="IY220" s="142"/>
      <c r="IZ220" s="142"/>
      <c r="JA220" s="142"/>
      <c r="JB220" s="142"/>
      <c r="JC220" s="142"/>
      <c r="JD220" s="142"/>
      <c r="JE220" s="142"/>
      <c r="JF220" s="142"/>
      <c r="JG220" s="142"/>
      <c r="JH220" s="142"/>
      <c r="JI220" s="142"/>
      <c r="JJ220" s="142"/>
      <c r="JK220" s="142"/>
      <c r="JL220" s="142"/>
      <c r="JM220" s="142"/>
      <c r="JN220" s="142"/>
      <c r="JO220" s="142"/>
      <c r="JP220" s="142"/>
      <c r="JQ220" s="142"/>
      <c r="JR220" s="142"/>
      <c r="JS220" s="142"/>
      <c r="JT220" s="142"/>
      <c r="JU220" s="142"/>
      <c r="JV220" s="142"/>
      <c r="JW220" s="142"/>
      <c r="JX220" s="142"/>
      <c r="JY220" s="142"/>
      <c r="JZ220" s="142"/>
      <c r="KA220" s="142"/>
      <c r="KB220" s="142"/>
      <c r="KC220" s="142"/>
      <c r="KD220" s="142"/>
      <c r="KE220" s="142"/>
      <c r="KF220" s="142"/>
      <c r="KG220" s="142"/>
      <c r="KH220" s="142"/>
      <c r="KI220" s="142"/>
      <c r="KJ220" s="142"/>
      <c r="KK220" s="142"/>
      <c r="KL220" s="142"/>
      <c r="KM220" s="142"/>
      <c r="KN220" s="142"/>
      <c r="KO220" s="142"/>
      <c r="KP220" s="142"/>
      <c r="KQ220" s="142"/>
      <c r="KR220" s="142"/>
      <c r="KS220" s="142"/>
      <c r="KT220" s="142"/>
      <c r="KU220" s="54"/>
      <c r="KV220" s="54"/>
      <c r="KW220" s="54"/>
      <c r="KX220" s="54"/>
    </row>
    <row r="221" ht="5.2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c r="AP221" s="54"/>
      <c r="AQ221" s="54"/>
      <c r="AR221" s="54"/>
      <c r="AS221" s="54"/>
      <c r="AT221" s="54"/>
      <c r="AU221" s="54"/>
      <c r="AV221" s="54"/>
      <c r="AW221" s="54"/>
      <c r="AX221" s="54"/>
      <c r="AY221" s="54"/>
      <c r="AZ221" s="54"/>
      <c r="BA221" s="54"/>
      <c r="BB221" s="54"/>
      <c r="BC221" s="54"/>
      <c r="BD221" s="54"/>
      <c r="BE221" s="54"/>
      <c r="BF221" s="54"/>
      <c r="BG221" s="54"/>
      <c r="BH221" s="54"/>
      <c r="BI221" s="54"/>
      <c r="BJ221" s="54"/>
      <c r="BK221" s="54"/>
      <c r="BL221" s="54"/>
      <c r="BM221" s="54"/>
      <c r="BN221" s="54"/>
      <c r="BO221" s="54"/>
      <c r="BP221" s="54"/>
      <c r="BQ221" s="54"/>
      <c r="BR221" s="54"/>
      <c r="BS221" s="54"/>
      <c r="BT221" s="54"/>
      <c r="BU221" s="54"/>
      <c r="BV221" s="54"/>
      <c r="BW221" s="54"/>
      <c r="BX221" s="54"/>
      <c r="BY221" s="54"/>
      <c r="BZ221" s="54"/>
      <c r="CA221" s="54"/>
      <c r="CB221" s="54"/>
      <c r="CC221" s="54"/>
      <c r="CD221" s="54"/>
      <c r="CE221" s="54"/>
      <c r="CF221" s="54"/>
      <c r="CG221" s="54"/>
      <c r="CH221" s="54"/>
      <c r="CI221" s="54"/>
      <c r="CJ221" s="54"/>
      <c r="CK221" s="54"/>
      <c r="CL221" s="54"/>
      <c r="CM221" s="54"/>
      <c r="CN221" s="54"/>
      <c r="CO221" s="54"/>
      <c r="CP221" s="54"/>
      <c r="CQ221" s="54"/>
      <c r="CR221" s="54"/>
      <c r="CS221" s="54"/>
      <c r="CT221" s="54"/>
      <c r="CU221" s="54"/>
      <c r="CV221" s="54"/>
      <c r="CW221" s="54"/>
      <c r="CX221" s="54"/>
      <c r="CY221" s="54"/>
      <c r="CZ221" s="54"/>
      <c r="DA221" s="54"/>
      <c r="DB221" s="54"/>
      <c r="DC221" s="108"/>
      <c r="DD221" s="60"/>
      <c r="EG221" s="11"/>
      <c r="EH221" s="10"/>
      <c r="FK221" s="61"/>
      <c r="FL221" s="108"/>
      <c r="FM221" s="54"/>
      <c r="FN221" s="54"/>
      <c r="FO221" s="54"/>
      <c r="FP221" s="54"/>
      <c r="FQ221" s="54"/>
      <c r="FR221" s="54"/>
      <c r="FS221" s="54"/>
      <c r="FT221" s="54"/>
      <c r="FU221" s="54"/>
      <c r="FV221" s="54"/>
      <c r="FW221" s="54"/>
      <c r="FX221" s="54"/>
      <c r="FY221" s="54"/>
      <c r="FZ221" s="54"/>
      <c r="GA221" s="54"/>
      <c r="GB221" s="54"/>
      <c r="GC221" s="54"/>
      <c r="GD221" s="54"/>
      <c r="GE221" s="54"/>
      <c r="GF221" s="54"/>
      <c r="GG221" s="54"/>
      <c r="GH221" s="54"/>
      <c r="GI221" s="54"/>
      <c r="GJ221" s="54"/>
      <c r="GK221" s="54"/>
      <c r="GL221" s="54"/>
      <c r="GM221" s="54"/>
      <c r="GN221" s="54"/>
      <c r="GO221" s="54"/>
      <c r="GP221" s="54"/>
      <c r="GQ221" s="54"/>
      <c r="GR221" s="54"/>
      <c r="GS221" s="54"/>
      <c r="GT221" s="54"/>
      <c r="GU221" s="54"/>
      <c r="GV221" s="54"/>
      <c r="GW221" s="54"/>
      <c r="GX221" s="54"/>
      <c r="GY221" s="54"/>
      <c r="GZ221" s="54"/>
      <c r="HA221" s="54"/>
      <c r="HB221" s="54"/>
      <c r="HC221" s="54"/>
      <c r="HD221" s="54"/>
      <c r="HE221" s="54"/>
      <c r="HF221" s="54"/>
      <c r="HG221" s="54"/>
      <c r="HH221" s="54"/>
      <c r="HI221" s="54"/>
      <c r="HJ221" s="54"/>
      <c r="HK221" s="54"/>
      <c r="HL221" s="54"/>
      <c r="HM221" s="54"/>
      <c r="HN221" s="54"/>
      <c r="HO221" s="54"/>
      <c r="HP221" s="54"/>
      <c r="HQ221" s="54"/>
      <c r="HR221" s="54"/>
      <c r="HS221" s="54"/>
      <c r="HT221" s="54"/>
      <c r="HU221" s="54"/>
      <c r="HV221" s="54"/>
      <c r="HW221" s="54"/>
      <c r="HX221" s="142"/>
      <c r="HY221" s="142"/>
      <c r="HZ221" s="142"/>
      <c r="IA221" s="142"/>
      <c r="IB221" s="142"/>
      <c r="IC221" s="142"/>
      <c r="ID221" s="142"/>
      <c r="IE221" s="142"/>
      <c r="IF221" s="142"/>
      <c r="IG221" s="142"/>
      <c r="IH221" s="142"/>
      <c r="II221" s="142"/>
      <c r="IJ221" s="142"/>
      <c r="IK221" s="142"/>
      <c r="IL221" s="142"/>
      <c r="IM221" s="142"/>
      <c r="IN221" s="142"/>
      <c r="IO221" s="142"/>
      <c r="IP221" s="142"/>
      <c r="IQ221" s="142"/>
      <c r="IR221" s="142"/>
      <c r="IS221" s="142"/>
      <c r="IT221" s="142"/>
      <c r="IU221" s="142"/>
      <c r="IV221" s="142"/>
      <c r="IW221" s="142"/>
      <c r="IX221" s="142"/>
      <c r="IY221" s="142"/>
      <c r="IZ221" s="142"/>
      <c r="JA221" s="142"/>
      <c r="JB221" s="142"/>
      <c r="JC221" s="142"/>
      <c r="JD221" s="142"/>
      <c r="JE221" s="142"/>
      <c r="JF221" s="142"/>
      <c r="JG221" s="142"/>
      <c r="JH221" s="142"/>
      <c r="JI221" s="142"/>
      <c r="JJ221" s="142"/>
      <c r="JK221" s="142"/>
      <c r="JL221" s="142"/>
      <c r="JM221" s="142"/>
      <c r="JN221" s="142"/>
      <c r="JO221" s="142"/>
      <c r="JP221" s="142"/>
      <c r="JQ221" s="142"/>
      <c r="JR221" s="142"/>
      <c r="JS221" s="142"/>
      <c r="JT221" s="142"/>
      <c r="JU221" s="142"/>
      <c r="JV221" s="142"/>
      <c r="JW221" s="142"/>
      <c r="JX221" s="142"/>
      <c r="JY221" s="142"/>
      <c r="JZ221" s="142"/>
      <c r="KA221" s="142"/>
      <c r="KB221" s="142"/>
      <c r="KC221" s="142"/>
      <c r="KD221" s="142"/>
      <c r="KE221" s="142"/>
      <c r="KF221" s="142"/>
      <c r="KG221" s="142"/>
      <c r="KH221" s="142"/>
      <c r="KI221" s="142"/>
      <c r="KJ221" s="142"/>
      <c r="KK221" s="142"/>
      <c r="KL221" s="142"/>
      <c r="KM221" s="142"/>
      <c r="KN221" s="142"/>
      <c r="KO221" s="142"/>
      <c r="KP221" s="142"/>
      <c r="KQ221" s="142"/>
      <c r="KR221" s="142"/>
      <c r="KS221" s="142"/>
      <c r="KT221" s="142"/>
      <c r="KU221" s="54"/>
      <c r="KV221" s="54"/>
      <c r="KW221" s="54"/>
      <c r="KX221" s="54"/>
    </row>
    <row r="222" ht="5.2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c r="AP222" s="54"/>
      <c r="AQ222" s="54"/>
      <c r="AR222" s="54"/>
      <c r="AS222" s="54"/>
      <c r="AT222" s="54"/>
      <c r="AU222" s="54"/>
      <c r="AV222" s="54"/>
      <c r="AW222" s="54"/>
      <c r="AX222" s="54"/>
      <c r="AY222" s="54"/>
      <c r="AZ222" s="54"/>
      <c r="BA222" s="54"/>
      <c r="BB222" s="54"/>
      <c r="BC222" s="54"/>
      <c r="BD222" s="54"/>
      <c r="BE222" s="54"/>
      <c r="BF222" s="54"/>
      <c r="BG222" s="54"/>
      <c r="BH222" s="54"/>
      <c r="BI222" s="54"/>
      <c r="BJ222" s="54"/>
      <c r="BK222" s="54"/>
      <c r="BL222" s="54"/>
      <c r="BM222" s="54"/>
      <c r="BN222" s="54"/>
      <c r="BO222" s="54"/>
      <c r="BP222" s="54"/>
      <c r="BQ222" s="54"/>
      <c r="BR222" s="54"/>
      <c r="BS222" s="54"/>
      <c r="BT222" s="54"/>
      <c r="BU222" s="54"/>
      <c r="BV222" s="54"/>
      <c r="BW222" s="54"/>
      <c r="BX222" s="54"/>
      <c r="BY222" s="54"/>
      <c r="BZ222" s="54"/>
      <c r="CA222" s="54"/>
      <c r="CB222" s="54"/>
      <c r="CC222" s="54"/>
      <c r="CD222" s="54"/>
      <c r="CE222" s="54"/>
      <c r="CF222" s="54"/>
      <c r="CG222" s="54"/>
      <c r="CH222" s="54"/>
      <c r="CI222" s="54"/>
      <c r="CJ222" s="54"/>
      <c r="CK222" s="54"/>
      <c r="CL222" s="54"/>
      <c r="CM222" s="54"/>
      <c r="CN222" s="54"/>
      <c r="CO222" s="54"/>
      <c r="CP222" s="54"/>
      <c r="CQ222" s="54"/>
      <c r="CR222" s="54"/>
      <c r="CS222" s="54"/>
      <c r="CT222" s="54"/>
      <c r="CU222" s="54"/>
      <c r="CV222" s="54"/>
      <c r="CW222" s="54"/>
      <c r="CX222" s="54"/>
      <c r="CY222" s="54"/>
      <c r="CZ222" s="54"/>
      <c r="DA222" s="54"/>
      <c r="DB222" s="54"/>
      <c r="DC222" s="119" t="str">
        <f>DC218</f>
        <v/>
      </c>
      <c r="DD222" s="112"/>
      <c r="DL222" s="135"/>
      <c r="DN222" s="11"/>
      <c r="DO222" s="127"/>
      <c r="DQ222" s="11"/>
      <c r="DR222" s="139"/>
      <c r="DU222" s="108"/>
      <c r="ED222" s="85">
        <f>sum(DL222:DT224)</f>
        <v>0</v>
      </c>
      <c r="EG222" s="11"/>
      <c r="EH222" s="86">
        <f>sum(EU222:FC224)</f>
        <v>0</v>
      </c>
      <c r="EL222" s="108"/>
      <c r="EM222" s="108"/>
      <c r="EN222" s="108"/>
      <c r="EO222" s="108"/>
      <c r="EP222" s="108"/>
      <c r="EQ222" s="108"/>
      <c r="ER222" s="108"/>
      <c r="ES222" s="108"/>
      <c r="ET222" s="108"/>
      <c r="EU222" s="134"/>
      <c r="EW222" s="11"/>
      <c r="EX222" s="139"/>
      <c r="EZ222" s="11"/>
      <c r="FA222" s="127"/>
      <c r="FD222" s="108"/>
      <c r="FE222" s="108"/>
      <c r="FF222" s="108"/>
      <c r="FG222" s="108"/>
      <c r="FH222" s="108"/>
      <c r="FI222" s="108"/>
      <c r="FJ222" s="108"/>
      <c r="FK222" s="116"/>
      <c r="FL222" s="119" t="str">
        <f>FL218</f>
        <v/>
      </c>
      <c r="FM222" s="54"/>
      <c r="FN222" s="54"/>
      <c r="FO222" s="54"/>
      <c r="FP222" s="54"/>
      <c r="FQ222" s="54"/>
      <c r="FR222" s="54"/>
      <c r="FS222" s="54"/>
      <c r="FT222" s="54"/>
      <c r="FU222" s="54"/>
      <c r="FV222" s="54"/>
      <c r="FW222" s="54"/>
      <c r="FX222" s="54"/>
      <c r="FY222" s="54"/>
      <c r="FZ222" s="54"/>
      <c r="GA222" s="54"/>
      <c r="GB222" s="54"/>
      <c r="GC222" s="54"/>
      <c r="GD222" s="54"/>
      <c r="GE222" s="54"/>
      <c r="GF222" s="54"/>
      <c r="GG222" s="54"/>
      <c r="GH222" s="54"/>
      <c r="GI222" s="54"/>
      <c r="GJ222" s="54"/>
      <c r="GK222" s="54"/>
      <c r="GL222" s="54"/>
      <c r="GM222" s="54"/>
      <c r="GN222" s="54"/>
      <c r="GO222" s="54"/>
      <c r="GP222" s="54"/>
      <c r="GQ222" s="54"/>
      <c r="GR222" s="54"/>
      <c r="GS222" s="54"/>
      <c r="GT222" s="54"/>
      <c r="GU222" s="54"/>
      <c r="GV222" s="54"/>
      <c r="GW222" s="54"/>
      <c r="GX222" s="54"/>
      <c r="GY222" s="54"/>
      <c r="GZ222" s="54"/>
      <c r="HA222" s="54"/>
      <c r="HB222" s="54"/>
      <c r="HC222" s="54"/>
      <c r="HD222" s="54"/>
      <c r="HE222" s="54"/>
      <c r="HF222" s="54"/>
      <c r="HG222" s="54"/>
      <c r="HH222" s="54"/>
      <c r="HI222" s="54"/>
      <c r="HJ222" s="54"/>
      <c r="HK222" s="54"/>
      <c r="HL222" s="54"/>
      <c r="HM222" s="54"/>
      <c r="HN222" s="54"/>
      <c r="HO222" s="54"/>
      <c r="HP222" s="54"/>
      <c r="HQ222" s="54"/>
      <c r="HR222" s="54"/>
      <c r="HS222" s="54"/>
      <c r="HT222" s="54"/>
      <c r="HU222" s="54"/>
      <c r="HV222" s="54"/>
      <c r="HW222" s="54"/>
      <c r="HX222" s="142"/>
      <c r="HY222" s="142"/>
      <c r="HZ222" s="142"/>
      <c r="IA222" s="142"/>
      <c r="IB222" s="142"/>
      <c r="IC222" s="142"/>
      <c r="ID222" s="142"/>
      <c r="IE222" s="142"/>
      <c r="IF222" s="142"/>
      <c r="IG222" s="142"/>
      <c r="IH222" s="142"/>
      <c r="II222" s="142"/>
      <c r="IJ222" s="142"/>
      <c r="IK222" s="142"/>
      <c r="IL222" s="142"/>
      <c r="IM222" s="142"/>
      <c r="IN222" s="142"/>
      <c r="IO222" s="142"/>
      <c r="IP222" s="142"/>
      <c r="IQ222" s="142"/>
      <c r="IR222" s="142"/>
      <c r="IS222" s="142"/>
      <c r="IT222" s="142"/>
      <c r="IU222" s="142"/>
      <c r="IV222" s="142"/>
      <c r="IW222" s="142"/>
      <c r="IX222" s="142"/>
      <c r="IY222" s="142"/>
      <c r="IZ222" s="142"/>
      <c r="JA222" s="142"/>
      <c r="JB222" s="142"/>
      <c r="JC222" s="142"/>
      <c r="JD222" s="142"/>
      <c r="JE222" s="142"/>
      <c r="JF222" s="142"/>
      <c r="JG222" s="142"/>
      <c r="JH222" s="142"/>
      <c r="JI222" s="142"/>
      <c r="JJ222" s="142"/>
      <c r="JK222" s="142"/>
      <c r="JL222" s="142"/>
      <c r="JM222" s="142"/>
      <c r="JN222" s="142"/>
      <c r="JO222" s="142"/>
      <c r="JP222" s="142"/>
      <c r="JQ222" s="142"/>
      <c r="JR222" s="142"/>
      <c r="JS222" s="142"/>
      <c r="JT222" s="142"/>
      <c r="JU222" s="142"/>
      <c r="JV222" s="142"/>
      <c r="JW222" s="142"/>
      <c r="JX222" s="142"/>
      <c r="JY222" s="142"/>
      <c r="JZ222" s="142"/>
      <c r="KA222" s="142"/>
      <c r="KB222" s="142"/>
      <c r="KC222" s="142"/>
      <c r="KD222" s="142"/>
      <c r="KE222" s="142"/>
      <c r="KF222" s="142"/>
      <c r="KG222" s="142"/>
      <c r="KH222" s="142"/>
      <c r="KI222" s="142"/>
      <c r="KJ222" s="142"/>
      <c r="KK222" s="142"/>
      <c r="KL222" s="142"/>
      <c r="KM222" s="142"/>
      <c r="KN222" s="142"/>
      <c r="KO222" s="142"/>
      <c r="KP222" s="142"/>
      <c r="KQ222" s="142"/>
      <c r="KR222" s="142"/>
      <c r="KS222" s="142"/>
      <c r="KT222" s="142"/>
      <c r="KU222" s="54"/>
      <c r="KV222" s="54"/>
      <c r="KW222" s="54"/>
      <c r="KX222" s="54"/>
    </row>
    <row r="223" ht="5.2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c r="AP223" s="54"/>
      <c r="AQ223" s="54"/>
      <c r="AR223" s="54"/>
      <c r="AS223" s="54"/>
      <c r="AT223" s="54"/>
      <c r="AU223" s="54"/>
      <c r="AV223" s="54"/>
      <c r="AW223" s="54"/>
      <c r="AX223" s="54"/>
      <c r="AY223" s="54"/>
      <c r="AZ223" s="54"/>
      <c r="BA223" s="54"/>
      <c r="BB223" s="54"/>
      <c r="BC223" s="54"/>
      <c r="BD223" s="54"/>
      <c r="BE223" s="54"/>
      <c r="BF223" s="54"/>
      <c r="BG223" s="54"/>
      <c r="BH223" s="54"/>
      <c r="BI223" s="54"/>
      <c r="BJ223" s="54"/>
      <c r="BK223" s="54"/>
      <c r="BL223" s="54"/>
      <c r="BM223" s="54"/>
      <c r="BN223" s="54"/>
      <c r="BO223" s="54"/>
      <c r="BP223" s="54"/>
      <c r="BQ223" s="54"/>
      <c r="BR223" s="54"/>
      <c r="BS223" s="54"/>
      <c r="BT223" s="54"/>
      <c r="BU223" s="54"/>
      <c r="BV223" s="54"/>
      <c r="BW223" s="54"/>
      <c r="BX223" s="54"/>
      <c r="BY223" s="54"/>
      <c r="BZ223" s="54"/>
      <c r="CA223" s="54"/>
      <c r="CB223" s="54"/>
      <c r="CC223" s="54"/>
      <c r="CD223" s="54"/>
      <c r="CE223" s="54"/>
      <c r="CF223" s="54"/>
      <c r="CG223" s="54"/>
      <c r="CH223" s="54"/>
      <c r="CI223" s="54"/>
      <c r="CJ223" s="54"/>
      <c r="CK223" s="54"/>
      <c r="CL223" s="54"/>
      <c r="CM223" s="54"/>
      <c r="CN223" s="54"/>
      <c r="CO223" s="54"/>
      <c r="CP223" s="54"/>
      <c r="CQ223" s="54"/>
      <c r="CR223" s="54"/>
      <c r="CS223" s="54"/>
      <c r="CT223" s="54"/>
      <c r="CU223" s="54"/>
      <c r="CV223" s="54"/>
      <c r="CW223" s="54"/>
      <c r="CX223" s="54"/>
      <c r="CY223" s="54"/>
      <c r="CZ223" s="54"/>
      <c r="DA223" s="54"/>
      <c r="DB223" s="54"/>
      <c r="DC223" s="108"/>
      <c r="DD223" s="60"/>
      <c r="DN223" s="11"/>
      <c r="DO223" s="10"/>
      <c r="DQ223" s="11"/>
      <c r="DR223" s="10"/>
      <c r="EG223" s="11"/>
      <c r="EH223" s="10"/>
      <c r="EL223" s="108"/>
      <c r="EM223" s="108"/>
      <c r="EN223" s="108"/>
      <c r="EO223" s="108"/>
      <c r="EP223" s="108"/>
      <c r="EQ223" s="108"/>
      <c r="ER223" s="108"/>
      <c r="ES223" s="108"/>
      <c r="ET223" s="108"/>
      <c r="EW223" s="11"/>
      <c r="EX223" s="10"/>
      <c r="EZ223" s="11"/>
      <c r="FA223" s="10"/>
      <c r="FD223" s="108"/>
      <c r="FE223" s="108"/>
      <c r="FF223" s="108"/>
      <c r="FG223" s="108"/>
      <c r="FH223" s="108"/>
      <c r="FI223" s="108"/>
      <c r="FJ223" s="108"/>
      <c r="FK223" s="116"/>
      <c r="FL223" s="108"/>
      <c r="FM223" s="54"/>
      <c r="FN223" s="54"/>
      <c r="FO223" s="54"/>
      <c r="FP223" s="54"/>
      <c r="FQ223" s="54"/>
      <c r="FR223" s="54"/>
      <c r="FS223" s="54"/>
      <c r="FT223" s="54"/>
      <c r="FU223" s="54"/>
      <c r="FV223" s="54"/>
      <c r="FW223" s="54"/>
      <c r="FX223" s="54"/>
      <c r="FY223" s="54"/>
      <c r="FZ223" s="54"/>
      <c r="GA223" s="54"/>
      <c r="GB223" s="54"/>
      <c r="GC223" s="54"/>
      <c r="GD223" s="54"/>
      <c r="GE223" s="54"/>
      <c r="GF223" s="54"/>
      <c r="GG223" s="54"/>
      <c r="GH223" s="54"/>
      <c r="GI223" s="54"/>
      <c r="GJ223" s="54"/>
      <c r="GK223" s="54"/>
      <c r="GL223" s="54"/>
      <c r="GM223" s="54"/>
      <c r="GN223" s="54"/>
      <c r="GO223" s="54"/>
      <c r="GP223" s="54"/>
      <c r="GQ223" s="54"/>
      <c r="GR223" s="54"/>
      <c r="GS223" s="54"/>
      <c r="GT223" s="54"/>
      <c r="GU223" s="54"/>
      <c r="GV223" s="54"/>
      <c r="GW223" s="54"/>
      <c r="GX223" s="54"/>
      <c r="GY223" s="54"/>
      <c r="GZ223" s="54"/>
      <c r="HA223" s="54"/>
      <c r="HB223" s="54"/>
      <c r="HC223" s="54"/>
      <c r="HD223" s="54"/>
      <c r="HE223" s="54"/>
      <c r="HF223" s="54"/>
      <c r="HG223" s="54"/>
      <c r="HH223" s="54"/>
      <c r="HI223" s="54"/>
      <c r="HJ223" s="54"/>
      <c r="HK223" s="54"/>
      <c r="HL223" s="54"/>
      <c r="HM223" s="54"/>
      <c r="HN223" s="54"/>
      <c r="HO223" s="54"/>
      <c r="HP223" s="54"/>
      <c r="HQ223" s="54"/>
      <c r="HR223" s="54"/>
      <c r="HS223" s="54"/>
      <c r="HT223" s="54"/>
      <c r="HU223" s="54"/>
      <c r="HV223" s="54"/>
      <c r="HW223" s="54"/>
      <c r="HX223" s="142"/>
      <c r="HY223" s="142"/>
      <c r="HZ223" s="142"/>
      <c r="IA223" s="142"/>
      <c r="IB223" s="142"/>
      <c r="IC223" s="142"/>
      <c r="ID223" s="142"/>
      <c r="IE223" s="142"/>
      <c r="IF223" s="142"/>
      <c r="IG223" s="142"/>
      <c r="IH223" s="142"/>
      <c r="II223" s="142"/>
      <c r="IJ223" s="142"/>
      <c r="IK223" s="142"/>
      <c r="IL223" s="142"/>
      <c r="IM223" s="142"/>
      <c r="IN223" s="142"/>
      <c r="IO223" s="142"/>
      <c r="IP223" s="142"/>
      <c r="IQ223" s="142"/>
      <c r="IR223" s="142"/>
      <c r="IS223" s="142"/>
      <c r="IT223" s="142"/>
      <c r="IU223" s="142"/>
      <c r="IV223" s="142"/>
      <c r="IW223" s="142"/>
      <c r="IX223" s="142"/>
      <c r="IY223" s="142"/>
      <c r="IZ223" s="142"/>
      <c r="JA223" s="142"/>
      <c r="JB223" s="142"/>
      <c r="JC223" s="142"/>
      <c r="JD223" s="142"/>
      <c r="JE223" s="142"/>
      <c r="JF223" s="142"/>
      <c r="JG223" s="142"/>
      <c r="JH223" s="142"/>
      <c r="JI223" s="142"/>
      <c r="JJ223" s="142"/>
      <c r="JK223" s="142"/>
      <c r="JL223" s="142"/>
      <c r="JM223" s="142"/>
      <c r="JN223" s="142"/>
      <c r="JO223" s="142"/>
      <c r="JP223" s="142"/>
      <c r="JQ223" s="142"/>
      <c r="JR223" s="142"/>
      <c r="JS223" s="142"/>
      <c r="JT223" s="142"/>
      <c r="JU223" s="142"/>
      <c r="JV223" s="142"/>
      <c r="JW223" s="142"/>
      <c r="JX223" s="142"/>
      <c r="JY223" s="142"/>
      <c r="JZ223" s="142"/>
      <c r="KA223" s="142"/>
      <c r="KB223" s="142"/>
      <c r="KC223" s="142"/>
      <c r="KD223" s="142"/>
      <c r="KE223" s="142"/>
      <c r="KF223" s="142"/>
      <c r="KG223" s="142"/>
      <c r="KH223" s="142"/>
      <c r="KI223" s="142"/>
      <c r="KJ223" s="142"/>
      <c r="KK223" s="142"/>
      <c r="KL223" s="142"/>
      <c r="KM223" s="142"/>
      <c r="KN223" s="142"/>
      <c r="KO223" s="142"/>
      <c r="KP223" s="142"/>
      <c r="KQ223" s="142"/>
      <c r="KR223" s="142"/>
      <c r="KS223" s="142"/>
      <c r="KT223" s="142"/>
      <c r="KU223" s="54"/>
      <c r="KV223" s="54"/>
      <c r="KW223" s="54"/>
      <c r="KX223" s="54"/>
    </row>
    <row r="224" ht="5.2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c r="AL224" s="54"/>
      <c r="AM224" s="54"/>
      <c r="AN224" s="54"/>
      <c r="AO224" s="54"/>
      <c r="AP224" s="54"/>
      <c r="AQ224" s="54"/>
      <c r="AR224" s="54"/>
      <c r="AS224" s="54"/>
      <c r="AT224" s="54"/>
      <c r="AU224" s="54"/>
      <c r="AV224" s="54"/>
      <c r="AW224" s="54"/>
      <c r="AX224" s="54"/>
      <c r="AY224" s="54"/>
      <c r="AZ224" s="54"/>
      <c r="BA224" s="54"/>
      <c r="BB224" s="54"/>
      <c r="BC224" s="54"/>
      <c r="BD224" s="54"/>
      <c r="BE224" s="54"/>
      <c r="BF224" s="54"/>
      <c r="BG224" s="54"/>
      <c r="BH224" s="54"/>
      <c r="BI224" s="54"/>
      <c r="BJ224" s="54"/>
      <c r="BK224" s="54"/>
      <c r="BL224" s="54"/>
      <c r="BM224" s="54"/>
      <c r="BN224" s="54"/>
      <c r="BO224" s="54"/>
      <c r="BP224" s="54"/>
      <c r="BQ224" s="54"/>
      <c r="BR224" s="54"/>
      <c r="BS224" s="54"/>
      <c r="BT224" s="54"/>
      <c r="BU224" s="54"/>
      <c r="BV224" s="54"/>
      <c r="BW224" s="54"/>
      <c r="BX224" s="54"/>
      <c r="BY224" s="54"/>
      <c r="BZ224" s="54"/>
      <c r="CA224" s="54"/>
      <c r="CB224" s="54"/>
      <c r="CC224" s="54"/>
      <c r="CD224" s="54"/>
      <c r="CE224" s="54"/>
      <c r="CF224" s="54"/>
      <c r="CG224" s="54"/>
      <c r="CH224" s="54"/>
      <c r="CI224" s="54"/>
      <c r="CJ224" s="54"/>
      <c r="CK224" s="54"/>
      <c r="CL224" s="54"/>
      <c r="CM224" s="54"/>
      <c r="CN224" s="54"/>
      <c r="CO224" s="54"/>
      <c r="CP224" s="54"/>
      <c r="CQ224" s="54"/>
      <c r="CR224" s="54"/>
      <c r="CS224" s="54"/>
      <c r="CT224" s="54"/>
      <c r="CU224" s="54"/>
      <c r="CV224" s="54"/>
      <c r="CW224" s="54"/>
      <c r="CX224" s="54"/>
      <c r="CY224" s="54"/>
      <c r="CZ224" s="54"/>
      <c r="DA224" s="54"/>
      <c r="DB224" s="54"/>
      <c r="DC224" s="108"/>
      <c r="DD224" s="88"/>
      <c r="DE224" s="13"/>
      <c r="DF224" s="13"/>
      <c r="DG224" s="13"/>
      <c r="DH224" s="13"/>
      <c r="DI224" s="13"/>
      <c r="DJ224" s="13"/>
      <c r="DK224" s="13"/>
      <c r="DL224" s="13"/>
      <c r="DM224" s="13"/>
      <c r="DN224" s="14"/>
      <c r="DO224" s="12"/>
      <c r="DP224" s="13"/>
      <c r="DQ224" s="14"/>
      <c r="DR224" s="12"/>
      <c r="DS224" s="13"/>
      <c r="DT224" s="13"/>
      <c r="DU224" s="13"/>
      <c r="DV224" s="13"/>
      <c r="DW224" s="13"/>
      <c r="DX224" s="13"/>
      <c r="DY224" s="13"/>
      <c r="DZ224" s="13"/>
      <c r="EA224" s="13"/>
      <c r="EB224" s="13"/>
      <c r="EC224" s="13"/>
      <c r="ED224" s="13"/>
      <c r="EE224" s="13"/>
      <c r="EF224" s="13"/>
      <c r="EG224" s="14"/>
      <c r="EH224" s="12"/>
      <c r="EI224" s="13"/>
      <c r="EJ224" s="13"/>
      <c r="EK224" s="13"/>
      <c r="EL224" s="128"/>
      <c r="EM224" s="128"/>
      <c r="EN224" s="128"/>
      <c r="EO224" s="128"/>
      <c r="EP224" s="128"/>
      <c r="EQ224" s="128"/>
      <c r="ER224" s="128"/>
      <c r="ES224" s="128"/>
      <c r="ET224" s="128"/>
      <c r="EU224" s="13"/>
      <c r="EV224" s="13"/>
      <c r="EW224" s="14"/>
      <c r="EX224" s="12"/>
      <c r="EY224" s="13"/>
      <c r="EZ224" s="14"/>
      <c r="FA224" s="12"/>
      <c r="FB224" s="13"/>
      <c r="FC224" s="13"/>
      <c r="FD224" s="128"/>
      <c r="FE224" s="128"/>
      <c r="FF224" s="128"/>
      <c r="FG224" s="128"/>
      <c r="FH224" s="128"/>
      <c r="FI224" s="128"/>
      <c r="FJ224" s="128"/>
      <c r="FK224" s="129"/>
      <c r="FL224" s="108"/>
      <c r="FM224" s="54"/>
      <c r="FN224" s="54"/>
      <c r="FO224" s="54"/>
      <c r="FP224" s="54"/>
      <c r="FQ224" s="54"/>
      <c r="FR224" s="54"/>
      <c r="FS224" s="54"/>
      <c r="FT224" s="54"/>
      <c r="FU224" s="54"/>
      <c r="FV224" s="54"/>
      <c r="FW224" s="54"/>
      <c r="FX224" s="54"/>
      <c r="FY224" s="54"/>
      <c r="FZ224" s="54"/>
      <c r="GA224" s="54"/>
      <c r="GB224" s="54"/>
      <c r="GC224" s="54"/>
      <c r="GD224" s="54"/>
      <c r="GE224" s="54"/>
      <c r="GF224" s="54"/>
      <c r="GG224" s="54"/>
      <c r="GH224" s="54"/>
      <c r="GI224" s="54"/>
      <c r="GJ224" s="54"/>
      <c r="GK224" s="54"/>
      <c r="GL224" s="54"/>
      <c r="GM224" s="54"/>
      <c r="GN224" s="54"/>
      <c r="GO224" s="54"/>
      <c r="GP224" s="54"/>
      <c r="GQ224" s="54"/>
      <c r="GR224" s="54"/>
      <c r="GS224" s="54"/>
      <c r="GT224" s="54"/>
      <c r="GU224" s="54"/>
      <c r="GV224" s="54"/>
      <c r="GW224" s="54"/>
      <c r="GX224" s="54"/>
      <c r="GY224" s="54"/>
      <c r="GZ224" s="54"/>
      <c r="HA224" s="54"/>
      <c r="HB224" s="54"/>
      <c r="HC224" s="54"/>
      <c r="HD224" s="54"/>
      <c r="HE224" s="54"/>
      <c r="HF224" s="54"/>
      <c r="HG224" s="54"/>
      <c r="HH224" s="54"/>
      <c r="HI224" s="54"/>
      <c r="HJ224" s="54"/>
      <c r="HK224" s="54"/>
      <c r="HL224" s="54"/>
      <c r="HM224" s="54"/>
      <c r="HN224" s="54"/>
      <c r="HO224" s="54"/>
      <c r="HP224" s="54"/>
      <c r="HQ224" s="54"/>
      <c r="HR224" s="54"/>
      <c r="HS224" s="54"/>
      <c r="HT224" s="54"/>
      <c r="HU224" s="54"/>
      <c r="HV224" s="54"/>
      <c r="HW224" s="54"/>
      <c r="HX224" s="142"/>
      <c r="HY224" s="142"/>
      <c r="HZ224" s="142"/>
      <c r="IA224" s="142"/>
      <c r="IB224" s="142"/>
      <c r="IC224" s="142"/>
      <c r="ID224" s="142"/>
      <c r="IE224" s="142"/>
      <c r="IF224" s="142"/>
      <c r="IG224" s="142"/>
      <c r="IH224" s="142"/>
      <c r="II224" s="142"/>
      <c r="IJ224" s="142"/>
      <c r="IK224" s="142"/>
      <c r="IL224" s="142"/>
      <c r="IM224" s="142"/>
      <c r="IN224" s="142"/>
      <c r="IO224" s="142"/>
      <c r="IP224" s="142"/>
      <c r="IQ224" s="142"/>
      <c r="IR224" s="142"/>
      <c r="IS224" s="142"/>
      <c r="IT224" s="142"/>
      <c r="IU224" s="142"/>
      <c r="IV224" s="142"/>
      <c r="IW224" s="142"/>
      <c r="IX224" s="142"/>
      <c r="IY224" s="142"/>
      <c r="IZ224" s="142"/>
      <c r="JA224" s="142"/>
      <c r="JB224" s="142"/>
      <c r="JC224" s="142"/>
      <c r="JD224" s="142"/>
      <c r="JE224" s="142"/>
      <c r="JF224" s="142"/>
      <c r="JG224" s="142"/>
      <c r="JH224" s="142"/>
      <c r="JI224" s="142"/>
      <c r="JJ224" s="142"/>
      <c r="JK224" s="142"/>
      <c r="JL224" s="142"/>
      <c r="JM224" s="142"/>
      <c r="JN224" s="142"/>
      <c r="JO224" s="142"/>
      <c r="JP224" s="142"/>
      <c r="JQ224" s="142"/>
      <c r="JR224" s="142"/>
      <c r="JS224" s="142"/>
      <c r="JT224" s="142"/>
      <c r="JU224" s="142"/>
      <c r="JV224" s="142"/>
      <c r="JW224" s="142"/>
      <c r="JX224" s="142"/>
      <c r="JY224" s="142"/>
      <c r="JZ224" s="142"/>
      <c r="KA224" s="142"/>
      <c r="KB224" s="142"/>
      <c r="KC224" s="142"/>
      <c r="KD224" s="142"/>
      <c r="KE224" s="142"/>
      <c r="KF224" s="142"/>
      <c r="KG224" s="142"/>
      <c r="KH224" s="142"/>
      <c r="KI224" s="142"/>
      <c r="KJ224" s="142"/>
      <c r="KK224" s="142"/>
      <c r="KL224" s="142"/>
      <c r="KM224" s="142"/>
      <c r="KN224" s="142"/>
      <c r="KO224" s="142"/>
      <c r="KP224" s="142"/>
      <c r="KQ224" s="142"/>
      <c r="KR224" s="142"/>
      <c r="KS224" s="142"/>
      <c r="KT224" s="142"/>
      <c r="KU224" s="54"/>
      <c r="KV224" s="54"/>
      <c r="KW224" s="54"/>
      <c r="KX224" s="54"/>
    </row>
    <row r="225" ht="5.2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c r="BI225" s="54"/>
      <c r="BJ225" s="54"/>
      <c r="BK225" s="54"/>
      <c r="BL225" s="54"/>
      <c r="BM225" s="54"/>
      <c r="BN225" s="54"/>
      <c r="BO225" s="54"/>
      <c r="BP225" s="54"/>
      <c r="BQ225" s="54"/>
      <c r="BR225" s="54"/>
      <c r="BS225" s="54"/>
      <c r="BT225" s="54"/>
      <c r="BU225" s="54"/>
      <c r="BV225" s="54"/>
      <c r="BW225" s="54"/>
      <c r="BX225" s="54"/>
      <c r="BY225" s="54"/>
      <c r="BZ225" s="54"/>
      <c r="CA225" s="54"/>
      <c r="CB225" s="54"/>
      <c r="CC225" s="54"/>
      <c r="CD225" s="54"/>
      <c r="CE225" s="54"/>
      <c r="CF225" s="54"/>
      <c r="CG225" s="54"/>
      <c r="CH225" s="54"/>
      <c r="CI225" s="54"/>
      <c r="CJ225" s="54"/>
      <c r="CK225" s="54"/>
      <c r="CL225" s="54"/>
      <c r="CM225" s="54"/>
      <c r="CN225" s="54"/>
      <c r="CO225" s="54"/>
      <c r="CP225" s="54"/>
      <c r="CQ225" s="54"/>
      <c r="CR225" s="54"/>
      <c r="CS225" s="54"/>
      <c r="CT225" s="54"/>
      <c r="CU225" s="54"/>
      <c r="CV225" s="54"/>
      <c r="CW225" s="54"/>
      <c r="CX225" s="54"/>
      <c r="CY225" s="54"/>
      <c r="CZ225" s="54"/>
      <c r="DA225" s="54"/>
      <c r="DB225" s="54"/>
      <c r="DC225" s="119" t="str">
        <f>if(or(BX163=0,EJ163=0),"",qualreseeding!AC310)</f>
        <v/>
      </c>
      <c r="DD225" s="130" t="str">
        <f t="array" ref="DD225">xlookup(DC225,qualdata!$M$2:$M$17,qualdata!$O$2:$O$17,"")</f>
        <v/>
      </c>
      <c r="DE225" s="8"/>
      <c r="DF225" s="8"/>
      <c r="DG225" s="8"/>
      <c r="DH225" s="93" t="str">
        <f t="array" ref="DH225">xlookup(DC225,qualdata!$M$2:$M$17,qualdata!$N$2:$N$17,"")</f>
        <v/>
      </c>
      <c r="DI225" s="8"/>
      <c r="DJ225" s="8"/>
      <c r="DK225" s="8"/>
      <c r="DL225" s="8"/>
      <c r="DM225" s="8"/>
      <c r="DN225" s="8"/>
      <c r="DO225" s="8"/>
      <c r="DP225" s="8"/>
      <c r="DQ225" s="8"/>
      <c r="DR225" s="8"/>
      <c r="DS225" s="8"/>
      <c r="DT225" s="8"/>
      <c r="DU225" s="8"/>
      <c r="DV225" s="8"/>
      <c r="DW225" s="8"/>
      <c r="DX225" s="8"/>
      <c r="DY225" s="8"/>
      <c r="DZ225" s="8"/>
      <c r="EA225" s="8"/>
      <c r="EB225" s="8"/>
      <c r="EC225" s="8"/>
      <c r="ED225" s="94"/>
      <c r="EE225" s="8"/>
      <c r="EF225" s="8"/>
      <c r="EG225" s="9"/>
      <c r="EH225" s="95"/>
      <c r="EI225" s="8"/>
      <c r="EJ225" s="8"/>
      <c r="EK225" s="8"/>
      <c r="EL225" s="96" t="str">
        <f t="array" ref="EL225">xlookup(FL225,qualdata!$M$2:$M$17,qualdata!$N$2:$N$17,"")</f>
        <v/>
      </c>
      <c r="EM225" s="8"/>
      <c r="EN225" s="8"/>
      <c r="EO225" s="8"/>
      <c r="EP225" s="8"/>
      <c r="EQ225" s="8"/>
      <c r="ER225" s="8"/>
      <c r="ES225" s="8"/>
      <c r="ET225" s="8"/>
      <c r="EU225" s="8"/>
      <c r="EV225" s="8"/>
      <c r="EW225" s="8"/>
      <c r="EX225" s="8"/>
      <c r="EY225" s="8"/>
      <c r="EZ225" s="8"/>
      <c r="FA225" s="8"/>
      <c r="FB225" s="8"/>
      <c r="FC225" s="8"/>
      <c r="FD225" s="8"/>
      <c r="FE225" s="8"/>
      <c r="FF225" s="8"/>
      <c r="FG225" s="8"/>
      <c r="FH225" s="131" t="str">
        <f t="array" ref="FH225">xlookup(FL225,qualdata!$M$2:$M$17,qualdata!$O$2:$O$17,"")</f>
        <v/>
      </c>
      <c r="FI225" s="8"/>
      <c r="FJ225" s="8"/>
      <c r="FK225" s="98"/>
      <c r="FL225" s="119" t="str">
        <f>if(or(BX163=0,EJ163=0),"",qualreseeding!AD310)</f>
        <v/>
      </c>
      <c r="FM225" s="54"/>
      <c r="FN225" s="54"/>
      <c r="FO225" s="54"/>
      <c r="FP225" s="54"/>
      <c r="FQ225" s="54"/>
      <c r="FR225" s="54"/>
      <c r="FS225" s="54"/>
      <c r="FT225" s="54"/>
      <c r="FU225" s="54"/>
      <c r="FV225" s="54"/>
      <c r="FW225" s="54"/>
      <c r="FX225" s="54"/>
      <c r="FY225" s="54"/>
      <c r="FZ225" s="54"/>
      <c r="GA225" s="54"/>
      <c r="GB225" s="54"/>
      <c r="GC225" s="54"/>
      <c r="GD225" s="54"/>
      <c r="GE225" s="54"/>
      <c r="GF225" s="54"/>
      <c r="GG225" s="54"/>
      <c r="GH225" s="54"/>
      <c r="GI225" s="54"/>
      <c r="GJ225" s="54"/>
      <c r="GK225" s="54"/>
      <c r="GL225" s="54"/>
      <c r="GM225" s="54"/>
      <c r="GN225" s="54"/>
      <c r="GO225" s="54"/>
      <c r="GP225" s="54"/>
      <c r="GQ225" s="54"/>
      <c r="GR225" s="54"/>
      <c r="GS225" s="54"/>
      <c r="GT225" s="54"/>
      <c r="GU225" s="54"/>
      <c r="GV225" s="54"/>
      <c r="GW225" s="54"/>
      <c r="GX225" s="54"/>
      <c r="GY225" s="54"/>
      <c r="GZ225" s="54"/>
      <c r="HA225" s="54"/>
      <c r="HB225" s="54"/>
      <c r="HC225" s="54"/>
      <c r="HD225" s="54"/>
      <c r="HE225" s="54"/>
      <c r="HF225" s="54"/>
      <c r="HG225" s="54"/>
      <c r="HH225" s="54"/>
      <c r="HI225" s="54"/>
      <c r="HJ225" s="54"/>
      <c r="HK225" s="54"/>
      <c r="HL225" s="54"/>
      <c r="HM225" s="54"/>
      <c r="HN225" s="54"/>
      <c r="HO225" s="54"/>
      <c r="HP225" s="54"/>
      <c r="HQ225" s="54"/>
      <c r="HR225" s="54"/>
      <c r="HS225" s="54"/>
      <c r="HT225" s="54"/>
      <c r="HU225" s="54"/>
      <c r="HV225" s="54"/>
      <c r="HW225" s="54"/>
      <c r="HX225" s="142"/>
      <c r="HY225" s="142"/>
      <c r="HZ225" s="142"/>
      <c r="IA225" s="142"/>
      <c r="IB225" s="142"/>
      <c r="IC225" s="142"/>
      <c r="ID225" s="142"/>
      <c r="IE225" s="142"/>
      <c r="IF225" s="142"/>
      <c r="IG225" s="142"/>
      <c r="IH225" s="142"/>
      <c r="II225" s="142"/>
      <c r="IJ225" s="142"/>
      <c r="IK225" s="142"/>
      <c r="IL225" s="142"/>
      <c r="IM225" s="142"/>
      <c r="IN225" s="142"/>
      <c r="IO225" s="142"/>
      <c r="IP225" s="142"/>
      <c r="IQ225" s="142"/>
      <c r="IR225" s="142"/>
      <c r="IS225" s="142"/>
      <c r="IT225" s="142"/>
      <c r="IU225" s="142"/>
      <c r="IV225" s="142"/>
      <c r="IW225" s="142"/>
      <c r="IX225" s="142"/>
      <c r="IY225" s="142"/>
      <c r="IZ225" s="142"/>
      <c r="JA225" s="142"/>
      <c r="JB225" s="142"/>
      <c r="JC225" s="142"/>
      <c r="JD225" s="142"/>
      <c r="JE225" s="142"/>
      <c r="JF225" s="142"/>
      <c r="JG225" s="142"/>
      <c r="JH225" s="142"/>
      <c r="JI225" s="142"/>
      <c r="JJ225" s="142"/>
      <c r="JK225" s="142"/>
      <c r="JL225" s="142"/>
      <c r="JM225" s="142"/>
      <c r="JN225" s="142"/>
      <c r="JO225" s="142"/>
      <c r="JP225" s="142"/>
      <c r="JQ225" s="142"/>
      <c r="JR225" s="142"/>
      <c r="JS225" s="142"/>
      <c r="JT225" s="142"/>
      <c r="JU225" s="142"/>
      <c r="JV225" s="142"/>
      <c r="JW225" s="142"/>
      <c r="JX225" s="142"/>
      <c r="JY225" s="142"/>
      <c r="JZ225" s="142"/>
      <c r="KA225" s="142"/>
      <c r="KB225" s="142"/>
      <c r="KC225" s="142"/>
      <c r="KD225" s="142"/>
      <c r="KE225" s="142"/>
      <c r="KF225" s="142"/>
      <c r="KG225" s="142"/>
      <c r="KH225" s="142"/>
      <c r="KI225" s="142"/>
      <c r="KJ225" s="142"/>
      <c r="KK225" s="142"/>
      <c r="KL225" s="142"/>
      <c r="KM225" s="142"/>
      <c r="KN225" s="142"/>
      <c r="KO225" s="142"/>
      <c r="KP225" s="142"/>
      <c r="KQ225" s="142"/>
      <c r="KR225" s="142"/>
      <c r="KS225" s="142"/>
      <c r="KT225" s="142"/>
      <c r="KU225" s="54"/>
      <c r="KV225" s="54"/>
      <c r="KW225" s="54"/>
      <c r="KX225" s="54"/>
    </row>
    <row r="226" ht="5.2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c r="AL226" s="54"/>
      <c r="AM226" s="54"/>
      <c r="AN226" s="54"/>
      <c r="AO226" s="54"/>
      <c r="AP226" s="54"/>
      <c r="AQ226" s="54"/>
      <c r="AR226" s="54"/>
      <c r="AS226" s="54"/>
      <c r="AT226" s="54"/>
      <c r="AU226" s="54"/>
      <c r="AV226" s="54"/>
      <c r="AW226" s="54"/>
      <c r="AX226" s="54"/>
      <c r="AY226" s="54"/>
      <c r="AZ226" s="54"/>
      <c r="BA226" s="54"/>
      <c r="BB226" s="54"/>
      <c r="BC226" s="54"/>
      <c r="BD226" s="54"/>
      <c r="BE226" s="54"/>
      <c r="BF226" s="54"/>
      <c r="BG226" s="54"/>
      <c r="BH226" s="54"/>
      <c r="BI226" s="54"/>
      <c r="BJ226" s="54"/>
      <c r="BK226" s="54"/>
      <c r="BL226" s="54"/>
      <c r="BM226" s="54"/>
      <c r="BN226" s="54"/>
      <c r="BO226" s="54"/>
      <c r="BP226" s="54"/>
      <c r="BQ226" s="54"/>
      <c r="BR226" s="54"/>
      <c r="BS226" s="54"/>
      <c r="BT226" s="54"/>
      <c r="BU226" s="54"/>
      <c r="BV226" s="54"/>
      <c r="BW226" s="54"/>
      <c r="BX226" s="54"/>
      <c r="BY226" s="54"/>
      <c r="BZ226" s="54"/>
      <c r="CA226" s="54"/>
      <c r="CB226" s="54"/>
      <c r="CC226" s="54"/>
      <c r="CD226" s="54"/>
      <c r="CE226" s="54"/>
      <c r="CF226" s="54"/>
      <c r="CG226" s="54"/>
      <c r="CH226" s="54"/>
      <c r="CI226" s="54"/>
      <c r="CJ226" s="54"/>
      <c r="CK226" s="54"/>
      <c r="CL226" s="54"/>
      <c r="CM226" s="54"/>
      <c r="CN226" s="54"/>
      <c r="CO226" s="54"/>
      <c r="CP226" s="54"/>
      <c r="CQ226" s="54"/>
      <c r="CR226" s="54"/>
      <c r="CS226" s="54"/>
      <c r="CT226" s="54"/>
      <c r="CU226" s="54"/>
      <c r="CV226" s="54"/>
      <c r="CW226" s="54"/>
      <c r="CX226" s="54"/>
      <c r="CY226" s="54"/>
      <c r="CZ226" s="54"/>
      <c r="DA226" s="54"/>
      <c r="DB226" s="54"/>
      <c r="DC226" s="108"/>
      <c r="DD226" s="60"/>
      <c r="EG226" s="11"/>
      <c r="EH226" s="10"/>
      <c r="FK226" s="61"/>
      <c r="FL226" s="108"/>
      <c r="FM226" s="54"/>
      <c r="FN226" s="54"/>
      <c r="FO226" s="54"/>
      <c r="FP226" s="54"/>
      <c r="FQ226" s="54"/>
      <c r="FR226" s="54"/>
      <c r="FS226" s="54"/>
      <c r="FT226" s="54"/>
      <c r="FU226" s="54"/>
      <c r="FV226" s="54"/>
      <c r="FW226" s="54"/>
      <c r="FX226" s="54"/>
      <c r="FY226" s="54"/>
      <c r="FZ226" s="54"/>
      <c r="GA226" s="54"/>
      <c r="GB226" s="54"/>
      <c r="GC226" s="54"/>
      <c r="GD226" s="54"/>
      <c r="GE226" s="54"/>
      <c r="GF226" s="54"/>
      <c r="GG226" s="54"/>
      <c r="GH226" s="54"/>
      <c r="GI226" s="54"/>
      <c r="GJ226" s="54"/>
      <c r="GK226" s="54"/>
      <c r="GL226" s="54"/>
      <c r="GM226" s="54"/>
      <c r="GN226" s="54"/>
      <c r="GO226" s="54"/>
      <c r="GP226" s="54"/>
      <c r="GQ226" s="54"/>
      <c r="GR226" s="54"/>
      <c r="GS226" s="54"/>
      <c r="GT226" s="54"/>
      <c r="GU226" s="54"/>
      <c r="GV226" s="54"/>
      <c r="GW226" s="54"/>
      <c r="GX226" s="54"/>
      <c r="GY226" s="54"/>
      <c r="GZ226" s="54"/>
      <c r="HA226" s="54"/>
      <c r="HB226" s="54"/>
      <c r="HC226" s="54"/>
      <c r="HD226" s="54"/>
      <c r="HE226" s="54"/>
      <c r="HF226" s="54"/>
      <c r="HG226" s="54"/>
      <c r="HH226" s="54"/>
      <c r="HI226" s="54"/>
      <c r="HJ226" s="54"/>
      <c r="HK226" s="54"/>
      <c r="HL226" s="54"/>
      <c r="HM226" s="54"/>
      <c r="HN226" s="54"/>
      <c r="HO226" s="54"/>
      <c r="HP226" s="54"/>
      <c r="HQ226" s="54"/>
      <c r="HR226" s="54"/>
      <c r="HS226" s="54"/>
      <c r="HT226" s="54"/>
      <c r="HU226" s="54"/>
      <c r="HV226" s="54"/>
      <c r="HW226" s="54"/>
      <c r="HX226" s="142"/>
      <c r="HY226" s="142"/>
      <c r="HZ226" s="142"/>
      <c r="IA226" s="142"/>
      <c r="IB226" s="142"/>
      <c r="IC226" s="142"/>
      <c r="ID226" s="142"/>
      <c r="IE226" s="142"/>
      <c r="IF226" s="142"/>
      <c r="IG226" s="142"/>
      <c r="IH226" s="142"/>
      <c r="II226" s="142"/>
      <c r="IJ226" s="142"/>
      <c r="IK226" s="142"/>
      <c r="IL226" s="142"/>
      <c r="IM226" s="142"/>
      <c r="IN226" s="142"/>
      <c r="IO226" s="142"/>
      <c r="IP226" s="142"/>
      <c r="IQ226" s="142"/>
      <c r="IR226" s="142"/>
      <c r="IS226" s="142"/>
      <c r="IT226" s="142"/>
      <c r="IU226" s="142"/>
      <c r="IV226" s="142"/>
      <c r="IW226" s="142"/>
      <c r="IX226" s="142"/>
      <c r="IY226" s="142"/>
      <c r="IZ226" s="142"/>
      <c r="JA226" s="142"/>
      <c r="JB226" s="142"/>
      <c r="JC226" s="142"/>
      <c r="JD226" s="142"/>
      <c r="JE226" s="142"/>
      <c r="JF226" s="142"/>
      <c r="JG226" s="142"/>
      <c r="JH226" s="142"/>
      <c r="JI226" s="142"/>
      <c r="JJ226" s="142"/>
      <c r="JK226" s="142"/>
      <c r="JL226" s="142"/>
      <c r="JM226" s="142"/>
      <c r="JN226" s="142"/>
      <c r="JO226" s="142"/>
      <c r="JP226" s="142"/>
      <c r="JQ226" s="142"/>
      <c r="JR226" s="142"/>
      <c r="JS226" s="142"/>
      <c r="JT226" s="142"/>
      <c r="JU226" s="142"/>
      <c r="JV226" s="142"/>
      <c r="JW226" s="142"/>
      <c r="JX226" s="142"/>
      <c r="JY226" s="142"/>
      <c r="JZ226" s="142"/>
      <c r="KA226" s="142"/>
      <c r="KB226" s="142"/>
      <c r="KC226" s="142"/>
      <c r="KD226" s="142"/>
      <c r="KE226" s="142"/>
      <c r="KF226" s="142"/>
      <c r="KG226" s="142"/>
      <c r="KH226" s="142"/>
      <c r="KI226" s="142"/>
      <c r="KJ226" s="142"/>
      <c r="KK226" s="142"/>
      <c r="KL226" s="142"/>
      <c r="KM226" s="142"/>
      <c r="KN226" s="142"/>
      <c r="KO226" s="142"/>
      <c r="KP226" s="142"/>
      <c r="KQ226" s="142"/>
      <c r="KR226" s="142"/>
      <c r="KS226" s="142"/>
      <c r="KT226" s="142"/>
      <c r="KU226" s="54"/>
      <c r="KV226" s="54"/>
      <c r="KW226" s="54"/>
      <c r="KX226" s="54"/>
    </row>
    <row r="227" ht="5.2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c r="BI227" s="54"/>
      <c r="BJ227" s="54"/>
      <c r="BK227" s="54"/>
      <c r="BL227" s="54"/>
      <c r="BM227" s="54"/>
      <c r="BN227" s="54"/>
      <c r="BO227" s="54"/>
      <c r="BP227" s="54"/>
      <c r="BQ227" s="54"/>
      <c r="BR227" s="54"/>
      <c r="BS227" s="54"/>
      <c r="BT227" s="54"/>
      <c r="BU227" s="54"/>
      <c r="BV227" s="54"/>
      <c r="BW227" s="54"/>
      <c r="BX227" s="54"/>
      <c r="BY227" s="54"/>
      <c r="BZ227" s="54"/>
      <c r="CA227" s="54"/>
      <c r="CB227" s="54"/>
      <c r="CC227" s="54"/>
      <c r="CD227" s="54"/>
      <c r="CE227" s="54"/>
      <c r="CF227" s="54"/>
      <c r="CG227" s="54"/>
      <c r="CH227" s="54"/>
      <c r="CI227" s="54"/>
      <c r="CJ227" s="54"/>
      <c r="CK227" s="54"/>
      <c r="CL227" s="54"/>
      <c r="CM227" s="54"/>
      <c r="CN227" s="54"/>
      <c r="CO227" s="54"/>
      <c r="CP227" s="54"/>
      <c r="CQ227" s="54"/>
      <c r="CR227" s="54"/>
      <c r="CS227" s="54"/>
      <c r="CT227" s="54"/>
      <c r="CU227" s="54"/>
      <c r="CV227" s="54"/>
      <c r="CW227" s="54"/>
      <c r="CX227" s="54"/>
      <c r="CY227" s="54"/>
      <c r="CZ227" s="54"/>
      <c r="DA227" s="54"/>
      <c r="DB227" s="54"/>
      <c r="DC227" s="108"/>
      <c r="DD227" s="60"/>
      <c r="EG227" s="11"/>
      <c r="EH227" s="10"/>
      <c r="FK227" s="61"/>
      <c r="FL227" s="108"/>
      <c r="FM227" s="54"/>
      <c r="FN227" s="54"/>
      <c r="FO227" s="54"/>
      <c r="FP227" s="54"/>
      <c r="FQ227" s="54"/>
      <c r="FR227" s="54"/>
      <c r="FS227" s="54"/>
      <c r="FT227" s="54"/>
      <c r="FU227" s="54"/>
      <c r="FV227" s="54"/>
      <c r="FW227" s="54"/>
      <c r="FX227" s="54"/>
      <c r="FY227" s="54"/>
      <c r="FZ227" s="54"/>
      <c r="GA227" s="54"/>
      <c r="GB227" s="54"/>
      <c r="GC227" s="54"/>
      <c r="GD227" s="54"/>
      <c r="GE227" s="54"/>
      <c r="GF227" s="54"/>
      <c r="GG227" s="54"/>
      <c r="GH227" s="54"/>
      <c r="GI227" s="54"/>
      <c r="GJ227" s="54"/>
      <c r="GK227" s="54"/>
      <c r="GL227" s="54"/>
      <c r="GM227" s="54"/>
      <c r="GN227" s="54"/>
      <c r="GO227" s="54"/>
      <c r="GP227" s="54"/>
      <c r="GQ227" s="54"/>
      <c r="GR227" s="54"/>
      <c r="GS227" s="54"/>
      <c r="GT227" s="54"/>
      <c r="GU227" s="54"/>
      <c r="GV227" s="54"/>
      <c r="GW227" s="54"/>
      <c r="GX227" s="54"/>
      <c r="GY227" s="54"/>
      <c r="GZ227" s="54"/>
      <c r="HA227" s="54"/>
      <c r="HB227" s="54"/>
      <c r="HC227" s="54"/>
      <c r="HD227" s="54"/>
      <c r="HE227" s="54"/>
      <c r="HF227" s="54"/>
      <c r="HG227" s="54"/>
      <c r="HH227" s="54"/>
      <c r="HI227" s="54"/>
      <c r="HJ227" s="54"/>
      <c r="HK227" s="54"/>
      <c r="HL227" s="54"/>
      <c r="HM227" s="54"/>
      <c r="HN227" s="54"/>
      <c r="HO227" s="54"/>
      <c r="HP227" s="54"/>
      <c r="HQ227" s="54"/>
      <c r="HR227" s="54"/>
      <c r="HS227" s="54"/>
      <c r="HT227" s="54"/>
      <c r="HU227" s="54"/>
      <c r="HV227" s="54"/>
      <c r="HW227" s="54"/>
      <c r="HX227" s="142"/>
      <c r="HY227" s="142"/>
      <c r="HZ227" s="142"/>
      <c r="IA227" s="142"/>
      <c r="IB227" s="142"/>
      <c r="IC227" s="142"/>
      <c r="ID227" s="142"/>
      <c r="IE227" s="142"/>
      <c r="IF227" s="142"/>
      <c r="IG227" s="142"/>
      <c r="IH227" s="142"/>
      <c r="II227" s="142"/>
      <c r="IJ227" s="142"/>
      <c r="IK227" s="142"/>
      <c r="IL227" s="142"/>
      <c r="IM227" s="142"/>
      <c r="IN227" s="142"/>
      <c r="IO227" s="142"/>
      <c r="IP227" s="142"/>
      <c r="IQ227" s="142"/>
      <c r="IR227" s="142"/>
      <c r="IS227" s="142"/>
      <c r="IT227" s="142"/>
      <c r="IU227" s="142"/>
      <c r="IV227" s="142"/>
      <c r="IW227" s="142"/>
      <c r="IX227" s="142"/>
      <c r="IY227" s="142"/>
      <c r="IZ227" s="142"/>
      <c r="JA227" s="142"/>
      <c r="JB227" s="142"/>
      <c r="JC227" s="142"/>
      <c r="JD227" s="142"/>
      <c r="JE227" s="142"/>
      <c r="JF227" s="142"/>
      <c r="JG227" s="142"/>
      <c r="JH227" s="142"/>
      <c r="JI227" s="142"/>
      <c r="JJ227" s="142"/>
      <c r="JK227" s="142"/>
      <c r="JL227" s="142"/>
      <c r="JM227" s="142"/>
      <c r="JN227" s="142"/>
      <c r="JO227" s="142"/>
      <c r="JP227" s="142"/>
      <c r="JQ227" s="142"/>
      <c r="JR227" s="142"/>
      <c r="JS227" s="142"/>
      <c r="JT227" s="142"/>
      <c r="JU227" s="142"/>
      <c r="JV227" s="142"/>
      <c r="JW227" s="142"/>
      <c r="JX227" s="142"/>
      <c r="JY227" s="142"/>
      <c r="JZ227" s="142"/>
      <c r="KA227" s="142"/>
      <c r="KB227" s="142"/>
      <c r="KC227" s="142"/>
      <c r="KD227" s="142"/>
      <c r="KE227" s="142"/>
      <c r="KF227" s="142"/>
      <c r="KG227" s="142"/>
      <c r="KH227" s="142"/>
      <c r="KI227" s="142"/>
      <c r="KJ227" s="142"/>
      <c r="KK227" s="142"/>
      <c r="KL227" s="142"/>
      <c r="KM227" s="142"/>
      <c r="KN227" s="142"/>
      <c r="KO227" s="142"/>
      <c r="KP227" s="142"/>
      <c r="KQ227" s="142"/>
      <c r="KR227" s="142"/>
      <c r="KS227" s="142"/>
      <c r="KT227" s="142"/>
      <c r="KU227" s="54"/>
      <c r="KV227" s="54"/>
      <c r="KW227" s="54"/>
      <c r="KX227" s="54"/>
    </row>
    <row r="228" ht="5.2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c r="AL228" s="54"/>
      <c r="AM228" s="54"/>
      <c r="AN228" s="54"/>
      <c r="AO228" s="54"/>
      <c r="AP228" s="54"/>
      <c r="AQ228" s="54"/>
      <c r="AR228" s="54"/>
      <c r="AS228" s="54"/>
      <c r="AT228" s="54"/>
      <c r="AU228" s="54"/>
      <c r="AV228" s="54"/>
      <c r="AW228" s="54"/>
      <c r="AX228" s="54"/>
      <c r="AY228" s="54"/>
      <c r="AZ228" s="54"/>
      <c r="BA228" s="54"/>
      <c r="BB228" s="54"/>
      <c r="BC228" s="54"/>
      <c r="BD228" s="54"/>
      <c r="BE228" s="54"/>
      <c r="BF228" s="54"/>
      <c r="BG228" s="54"/>
      <c r="BH228" s="54"/>
      <c r="BI228" s="54"/>
      <c r="BJ228" s="54"/>
      <c r="BK228" s="54"/>
      <c r="BL228" s="54"/>
      <c r="BM228" s="54"/>
      <c r="BN228" s="54"/>
      <c r="BO228" s="54"/>
      <c r="BP228" s="54"/>
      <c r="BQ228" s="54"/>
      <c r="BR228" s="54"/>
      <c r="BS228" s="54"/>
      <c r="BT228" s="54"/>
      <c r="BU228" s="54"/>
      <c r="BV228" s="54"/>
      <c r="BW228" s="54"/>
      <c r="BX228" s="54"/>
      <c r="BY228" s="54"/>
      <c r="BZ228" s="54"/>
      <c r="CA228" s="54"/>
      <c r="CB228" s="54"/>
      <c r="CC228" s="54"/>
      <c r="CD228" s="54"/>
      <c r="CE228" s="54"/>
      <c r="CF228" s="54"/>
      <c r="CG228" s="54"/>
      <c r="CH228" s="54"/>
      <c r="CI228" s="54"/>
      <c r="CJ228" s="54"/>
      <c r="CK228" s="54"/>
      <c r="CL228" s="54"/>
      <c r="CM228" s="54"/>
      <c r="CN228" s="54"/>
      <c r="CO228" s="54"/>
      <c r="CP228" s="54"/>
      <c r="CQ228" s="54"/>
      <c r="CR228" s="54"/>
      <c r="CS228" s="54"/>
      <c r="CT228" s="54"/>
      <c r="CU228" s="54"/>
      <c r="CV228" s="54"/>
      <c r="CW228" s="54"/>
      <c r="CX228" s="54"/>
      <c r="CY228" s="54"/>
      <c r="CZ228" s="54"/>
      <c r="DA228" s="54"/>
      <c r="DB228" s="54"/>
      <c r="DC228" s="108"/>
      <c r="DD228" s="60"/>
      <c r="EG228" s="11"/>
      <c r="EH228" s="10"/>
      <c r="FK228" s="61"/>
      <c r="FL228" s="108"/>
      <c r="FM228" s="54"/>
      <c r="FN228" s="54"/>
      <c r="FO228" s="54"/>
      <c r="FP228" s="54"/>
      <c r="FQ228" s="54"/>
      <c r="FR228" s="54"/>
      <c r="FS228" s="54"/>
      <c r="FT228" s="54"/>
      <c r="FU228" s="54"/>
      <c r="FV228" s="54"/>
      <c r="FW228" s="54"/>
      <c r="FX228" s="54"/>
      <c r="FY228" s="54"/>
      <c r="FZ228" s="54"/>
      <c r="GA228" s="54"/>
      <c r="GB228" s="54"/>
      <c r="GC228" s="54"/>
      <c r="GD228" s="54"/>
      <c r="GE228" s="54"/>
      <c r="GF228" s="54"/>
      <c r="GG228" s="54"/>
      <c r="GH228" s="54"/>
      <c r="GI228" s="54"/>
      <c r="GJ228" s="54"/>
      <c r="GK228" s="54"/>
      <c r="GL228" s="54"/>
      <c r="GM228" s="54"/>
      <c r="GN228" s="54"/>
      <c r="GO228" s="54"/>
      <c r="GP228" s="54"/>
      <c r="GQ228" s="54"/>
      <c r="GR228" s="54"/>
      <c r="GS228" s="54"/>
      <c r="GT228" s="54"/>
      <c r="GU228" s="54"/>
      <c r="GV228" s="54"/>
      <c r="GW228" s="54"/>
      <c r="GX228" s="54"/>
      <c r="GY228" s="54"/>
      <c r="GZ228" s="54"/>
      <c r="HA228" s="54"/>
      <c r="HB228" s="54"/>
      <c r="HC228" s="54"/>
      <c r="HD228" s="54"/>
      <c r="HE228" s="54"/>
      <c r="HF228" s="54"/>
      <c r="HG228" s="54"/>
      <c r="HH228" s="54"/>
      <c r="HI228" s="54"/>
      <c r="HJ228" s="54"/>
      <c r="HK228" s="54"/>
      <c r="HL228" s="54"/>
      <c r="HM228" s="54"/>
      <c r="HN228" s="54"/>
      <c r="HO228" s="54"/>
      <c r="HP228" s="54"/>
      <c r="HQ228" s="54"/>
      <c r="HR228" s="54"/>
      <c r="HS228" s="54"/>
      <c r="HT228" s="54"/>
      <c r="HU228" s="54"/>
      <c r="HV228" s="54"/>
      <c r="HW228" s="54"/>
      <c r="HX228" s="142"/>
      <c r="HY228" s="142"/>
      <c r="HZ228" s="142"/>
      <c r="IA228" s="142"/>
      <c r="IB228" s="142"/>
      <c r="IC228" s="142"/>
      <c r="ID228" s="142"/>
      <c r="IE228" s="142"/>
      <c r="IF228" s="142"/>
      <c r="IG228" s="142"/>
      <c r="IH228" s="142"/>
      <c r="II228" s="142"/>
      <c r="IJ228" s="142"/>
      <c r="IK228" s="142"/>
      <c r="IL228" s="142"/>
      <c r="IM228" s="142"/>
      <c r="IN228" s="142"/>
      <c r="IO228" s="142"/>
      <c r="IP228" s="142"/>
      <c r="IQ228" s="142"/>
      <c r="IR228" s="142"/>
      <c r="IS228" s="142"/>
      <c r="IT228" s="142"/>
      <c r="IU228" s="142"/>
      <c r="IV228" s="142"/>
      <c r="IW228" s="142"/>
      <c r="IX228" s="142"/>
      <c r="IY228" s="142"/>
      <c r="IZ228" s="142"/>
      <c r="JA228" s="142"/>
      <c r="JB228" s="142"/>
      <c r="JC228" s="142"/>
      <c r="JD228" s="142"/>
      <c r="JE228" s="142"/>
      <c r="JF228" s="142"/>
      <c r="JG228" s="142"/>
      <c r="JH228" s="142"/>
      <c r="JI228" s="142"/>
      <c r="JJ228" s="142"/>
      <c r="JK228" s="142"/>
      <c r="JL228" s="142"/>
      <c r="JM228" s="142"/>
      <c r="JN228" s="142"/>
      <c r="JO228" s="142"/>
      <c r="JP228" s="142"/>
      <c r="JQ228" s="142"/>
      <c r="JR228" s="142"/>
      <c r="JS228" s="142"/>
      <c r="JT228" s="142"/>
      <c r="JU228" s="142"/>
      <c r="JV228" s="142"/>
      <c r="JW228" s="142"/>
      <c r="JX228" s="142"/>
      <c r="JY228" s="142"/>
      <c r="JZ228" s="142"/>
      <c r="KA228" s="142"/>
      <c r="KB228" s="142"/>
      <c r="KC228" s="142"/>
      <c r="KD228" s="142"/>
      <c r="KE228" s="142"/>
      <c r="KF228" s="142"/>
      <c r="KG228" s="142"/>
      <c r="KH228" s="142"/>
      <c r="KI228" s="142"/>
      <c r="KJ228" s="142"/>
      <c r="KK228" s="142"/>
      <c r="KL228" s="142"/>
      <c r="KM228" s="142"/>
      <c r="KN228" s="142"/>
      <c r="KO228" s="142"/>
      <c r="KP228" s="142"/>
      <c r="KQ228" s="142"/>
      <c r="KR228" s="142"/>
      <c r="KS228" s="142"/>
      <c r="KT228" s="142"/>
      <c r="KU228" s="54"/>
      <c r="KV228" s="54"/>
      <c r="KW228" s="54"/>
      <c r="KX228" s="54"/>
    </row>
    <row r="229" ht="5.2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c r="AP229" s="54"/>
      <c r="AQ229" s="54"/>
      <c r="AR229" s="54"/>
      <c r="AS229" s="54"/>
      <c r="AT229" s="54"/>
      <c r="AU229" s="54"/>
      <c r="AV229" s="54"/>
      <c r="AW229" s="54"/>
      <c r="AX229" s="54"/>
      <c r="AY229" s="54"/>
      <c r="AZ229" s="54"/>
      <c r="BA229" s="54"/>
      <c r="BB229" s="54"/>
      <c r="BC229" s="54"/>
      <c r="BD229" s="54"/>
      <c r="BE229" s="54"/>
      <c r="BF229" s="54"/>
      <c r="BG229" s="54"/>
      <c r="BH229" s="54"/>
      <c r="BI229" s="54"/>
      <c r="BJ229" s="54"/>
      <c r="BK229" s="54"/>
      <c r="BL229" s="54"/>
      <c r="BM229" s="54"/>
      <c r="BN229" s="54"/>
      <c r="BO229" s="54"/>
      <c r="BP229" s="54"/>
      <c r="BQ229" s="54"/>
      <c r="BR229" s="54"/>
      <c r="BS229" s="54"/>
      <c r="BT229" s="54"/>
      <c r="BU229" s="54"/>
      <c r="BV229" s="54"/>
      <c r="BW229" s="54"/>
      <c r="BX229" s="54"/>
      <c r="BY229" s="54"/>
      <c r="BZ229" s="54"/>
      <c r="CA229" s="54"/>
      <c r="CB229" s="54"/>
      <c r="CC229" s="54"/>
      <c r="CD229" s="54"/>
      <c r="CE229" s="54"/>
      <c r="CF229" s="54"/>
      <c r="CG229" s="54"/>
      <c r="CH229" s="54"/>
      <c r="CI229" s="54"/>
      <c r="CJ229" s="54"/>
      <c r="CK229" s="54"/>
      <c r="CL229" s="54"/>
      <c r="CM229" s="54"/>
      <c r="CN229" s="54"/>
      <c r="CO229" s="54"/>
      <c r="CP229" s="54"/>
      <c r="CQ229" s="54"/>
      <c r="CR229" s="54"/>
      <c r="CS229" s="54"/>
      <c r="CT229" s="54"/>
      <c r="CU229" s="54"/>
      <c r="CV229" s="54"/>
      <c r="CW229" s="54"/>
      <c r="CX229" s="54"/>
      <c r="CY229" s="54"/>
      <c r="CZ229" s="54"/>
      <c r="DA229" s="54"/>
      <c r="DB229" s="54"/>
      <c r="DC229" s="119" t="str">
        <f>DC225</f>
        <v/>
      </c>
      <c r="DD229" s="112"/>
      <c r="DL229" s="122"/>
      <c r="DN229" s="11"/>
      <c r="DO229" s="126"/>
      <c r="DQ229" s="11"/>
      <c r="DR229" s="136"/>
      <c r="DU229" s="108"/>
      <c r="ED229" s="85">
        <f>sum(DL229:DT231)</f>
        <v>0</v>
      </c>
      <c r="EG229" s="11"/>
      <c r="EH229" s="86">
        <f>sum(EU229:FC231)</f>
        <v>0</v>
      </c>
      <c r="EL229" s="108"/>
      <c r="EM229" s="108"/>
      <c r="EN229" s="108"/>
      <c r="EO229" s="108"/>
      <c r="EP229" s="108"/>
      <c r="EQ229" s="108"/>
      <c r="ER229" s="108"/>
      <c r="ES229" s="108"/>
      <c r="ET229" s="108"/>
      <c r="EU229" s="121"/>
      <c r="EW229" s="11"/>
      <c r="EX229" s="123"/>
      <c r="EZ229" s="11"/>
      <c r="FA229" s="127"/>
      <c r="FD229" s="108"/>
      <c r="FE229" s="108"/>
      <c r="FF229" s="108"/>
      <c r="FG229" s="108"/>
      <c r="FH229" s="108"/>
      <c r="FI229" s="108"/>
      <c r="FJ229" s="108"/>
      <c r="FK229" s="116"/>
      <c r="FL229" s="119" t="str">
        <f>FL225</f>
        <v/>
      </c>
      <c r="FM229" s="54"/>
      <c r="FN229" s="54"/>
      <c r="FO229" s="54"/>
      <c r="FP229" s="54"/>
      <c r="FQ229" s="54"/>
      <c r="FR229" s="54"/>
      <c r="FS229" s="54"/>
      <c r="FT229" s="54"/>
      <c r="FU229" s="54"/>
      <c r="FV229" s="54"/>
      <c r="FW229" s="54"/>
      <c r="FX229" s="54"/>
      <c r="FY229" s="54"/>
      <c r="FZ229" s="54"/>
      <c r="GA229" s="54"/>
      <c r="GB229" s="54"/>
      <c r="GC229" s="54"/>
      <c r="GD229" s="54"/>
      <c r="GE229" s="54"/>
      <c r="GF229" s="54"/>
      <c r="GG229" s="54"/>
      <c r="GH229" s="54"/>
      <c r="GI229" s="54"/>
      <c r="GJ229" s="54"/>
      <c r="GK229" s="54"/>
      <c r="GL229" s="54"/>
      <c r="GM229" s="54"/>
      <c r="GN229" s="54"/>
      <c r="GO229" s="54"/>
      <c r="GP229" s="54"/>
      <c r="GQ229" s="54"/>
      <c r="GR229" s="54"/>
      <c r="GS229" s="54"/>
      <c r="GT229" s="54"/>
      <c r="GU229" s="54"/>
      <c r="GV229" s="54"/>
      <c r="GW229" s="54"/>
      <c r="GX229" s="54"/>
      <c r="GY229" s="54"/>
      <c r="GZ229" s="54"/>
      <c r="HA229" s="54"/>
      <c r="HB229" s="54"/>
      <c r="HC229" s="54"/>
      <c r="HD229" s="54"/>
      <c r="HE229" s="54"/>
      <c r="HF229" s="54"/>
      <c r="HG229" s="54"/>
      <c r="HH229" s="54"/>
      <c r="HI229" s="54"/>
      <c r="HJ229" s="54"/>
      <c r="HK229" s="54"/>
      <c r="HL229" s="54"/>
      <c r="HM229" s="54"/>
      <c r="HN229" s="54"/>
      <c r="HO229" s="54"/>
      <c r="HP229" s="54"/>
      <c r="HQ229" s="54"/>
      <c r="HR229" s="54"/>
      <c r="HS229" s="54"/>
      <c r="HT229" s="54"/>
      <c r="HU229" s="54"/>
      <c r="HV229" s="54"/>
      <c r="HW229" s="54"/>
      <c r="HX229" s="142"/>
      <c r="HY229" s="142"/>
      <c r="HZ229" s="142"/>
      <c r="IA229" s="142"/>
      <c r="IB229" s="142"/>
      <c r="IC229" s="142"/>
      <c r="ID229" s="142"/>
      <c r="IE229" s="142"/>
      <c r="IF229" s="142"/>
      <c r="IG229" s="142"/>
      <c r="IH229" s="142"/>
      <c r="II229" s="142"/>
      <c r="IJ229" s="142"/>
      <c r="IK229" s="142"/>
      <c r="IL229" s="142"/>
      <c r="IM229" s="142"/>
      <c r="IN229" s="142"/>
      <c r="IO229" s="142"/>
      <c r="IP229" s="142"/>
      <c r="IQ229" s="142"/>
      <c r="IR229" s="142"/>
      <c r="IS229" s="142"/>
      <c r="IT229" s="142"/>
      <c r="IU229" s="142"/>
      <c r="IV229" s="142"/>
      <c r="IW229" s="142"/>
      <c r="IX229" s="142"/>
      <c r="IY229" s="142"/>
      <c r="IZ229" s="142"/>
      <c r="JA229" s="142"/>
      <c r="JB229" s="142"/>
      <c r="JC229" s="142"/>
      <c r="JD229" s="142"/>
      <c r="JE229" s="142"/>
      <c r="JF229" s="142"/>
      <c r="JG229" s="142"/>
      <c r="JH229" s="142"/>
      <c r="JI229" s="142"/>
      <c r="JJ229" s="142"/>
      <c r="JK229" s="142"/>
      <c r="JL229" s="142"/>
      <c r="JM229" s="142"/>
      <c r="JN229" s="142"/>
      <c r="JO229" s="142"/>
      <c r="JP229" s="142"/>
      <c r="JQ229" s="142"/>
      <c r="JR229" s="142"/>
      <c r="JS229" s="142"/>
      <c r="JT229" s="142"/>
      <c r="JU229" s="142"/>
      <c r="JV229" s="142"/>
      <c r="JW229" s="142"/>
      <c r="JX229" s="142"/>
      <c r="JY229" s="142"/>
      <c r="JZ229" s="142"/>
      <c r="KA229" s="142"/>
      <c r="KB229" s="142"/>
      <c r="KC229" s="142"/>
      <c r="KD229" s="142"/>
      <c r="KE229" s="142"/>
      <c r="KF229" s="142"/>
      <c r="KG229" s="142"/>
      <c r="KH229" s="142"/>
      <c r="KI229" s="142"/>
      <c r="KJ229" s="142"/>
      <c r="KK229" s="142"/>
      <c r="KL229" s="142"/>
      <c r="KM229" s="142"/>
      <c r="KN229" s="142"/>
      <c r="KO229" s="142"/>
      <c r="KP229" s="142"/>
      <c r="KQ229" s="142"/>
      <c r="KR229" s="142"/>
      <c r="KS229" s="142"/>
      <c r="KT229" s="142"/>
      <c r="KU229" s="54"/>
      <c r="KV229" s="54"/>
      <c r="KW229" s="54"/>
      <c r="KX229" s="54"/>
    </row>
    <row r="230" ht="5.2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c r="AL230" s="54"/>
      <c r="AM230" s="54"/>
      <c r="AN230" s="54"/>
      <c r="AO230" s="54"/>
      <c r="AP230" s="54"/>
      <c r="AQ230" s="54"/>
      <c r="AR230" s="54"/>
      <c r="AS230" s="54"/>
      <c r="AT230" s="54"/>
      <c r="AU230" s="54"/>
      <c r="AV230" s="54"/>
      <c r="AW230" s="54"/>
      <c r="AX230" s="54"/>
      <c r="AY230" s="54"/>
      <c r="AZ230" s="54"/>
      <c r="BA230" s="54"/>
      <c r="BB230" s="54"/>
      <c r="BC230" s="54"/>
      <c r="BD230" s="54"/>
      <c r="BE230" s="54"/>
      <c r="BF230" s="54"/>
      <c r="BG230" s="54"/>
      <c r="BH230" s="54"/>
      <c r="BI230" s="54"/>
      <c r="BJ230" s="54"/>
      <c r="BK230" s="54"/>
      <c r="BL230" s="54"/>
      <c r="BM230" s="54"/>
      <c r="BN230" s="54"/>
      <c r="BO230" s="54"/>
      <c r="BP230" s="54"/>
      <c r="BQ230" s="54"/>
      <c r="BR230" s="54"/>
      <c r="BS230" s="54"/>
      <c r="BT230" s="54"/>
      <c r="BU230" s="54"/>
      <c r="BV230" s="54"/>
      <c r="BW230" s="54"/>
      <c r="BX230" s="54"/>
      <c r="BY230" s="54"/>
      <c r="BZ230" s="54"/>
      <c r="CA230" s="54"/>
      <c r="CB230" s="54"/>
      <c r="CC230" s="54"/>
      <c r="CD230" s="54"/>
      <c r="CE230" s="54"/>
      <c r="CF230" s="54"/>
      <c r="CG230" s="54"/>
      <c r="CH230" s="54"/>
      <c r="CI230" s="54"/>
      <c r="CJ230" s="54"/>
      <c r="CK230" s="54"/>
      <c r="CL230" s="54"/>
      <c r="CM230" s="54"/>
      <c r="CN230" s="54"/>
      <c r="CO230" s="54"/>
      <c r="CP230" s="54"/>
      <c r="CQ230" s="54"/>
      <c r="CR230" s="54"/>
      <c r="CS230" s="54"/>
      <c r="CT230" s="54"/>
      <c r="CU230" s="54"/>
      <c r="CV230" s="54"/>
      <c r="CW230" s="54"/>
      <c r="CX230" s="54"/>
      <c r="CY230" s="54"/>
      <c r="CZ230" s="54"/>
      <c r="DA230" s="54"/>
      <c r="DB230" s="54"/>
      <c r="DC230" s="108"/>
      <c r="DD230" s="60"/>
      <c r="DN230" s="11"/>
      <c r="DO230" s="10"/>
      <c r="DQ230" s="11"/>
      <c r="DR230" s="10"/>
      <c r="EG230" s="11"/>
      <c r="EH230" s="10"/>
      <c r="EL230" s="108"/>
      <c r="EM230" s="108"/>
      <c r="EN230" s="108"/>
      <c r="EO230" s="108"/>
      <c r="EP230" s="108"/>
      <c r="EQ230" s="108"/>
      <c r="ER230" s="108"/>
      <c r="ES230" s="108"/>
      <c r="ET230" s="108"/>
      <c r="EW230" s="11"/>
      <c r="EX230" s="10"/>
      <c r="EZ230" s="11"/>
      <c r="FA230" s="10"/>
      <c r="FD230" s="108"/>
      <c r="FE230" s="108"/>
      <c r="FF230" s="108"/>
      <c r="FG230" s="108"/>
      <c r="FH230" s="108"/>
      <c r="FI230" s="108"/>
      <c r="FJ230" s="108"/>
      <c r="FK230" s="116"/>
      <c r="FL230" s="108"/>
      <c r="FM230" s="54"/>
      <c r="FN230" s="54"/>
      <c r="FO230" s="54"/>
      <c r="FP230" s="54"/>
      <c r="FQ230" s="54"/>
      <c r="FR230" s="54"/>
      <c r="FS230" s="54"/>
      <c r="FT230" s="54"/>
      <c r="FU230" s="54"/>
      <c r="FV230" s="54"/>
      <c r="FW230" s="54"/>
      <c r="FX230" s="54"/>
      <c r="FY230" s="54"/>
      <c r="FZ230" s="54"/>
      <c r="GA230" s="54"/>
      <c r="GB230" s="54"/>
      <c r="GC230" s="54"/>
      <c r="GD230" s="54"/>
      <c r="GE230" s="54"/>
      <c r="GF230" s="54"/>
      <c r="GG230" s="54"/>
      <c r="GH230" s="54"/>
      <c r="GI230" s="54"/>
      <c r="GJ230" s="54"/>
      <c r="GK230" s="54"/>
      <c r="GL230" s="54"/>
      <c r="GM230" s="54"/>
      <c r="GN230" s="54"/>
      <c r="GO230" s="54"/>
      <c r="GP230" s="54"/>
      <c r="GQ230" s="54"/>
      <c r="GR230" s="54"/>
      <c r="GS230" s="54"/>
      <c r="GT230" s="54"/>
      <c r="GU230" s="54"/>
      <c r="GV230" s="54"/>
      <c r="GW230" s="54"/>
      <c r="GX230" s="54"/>
      <c r="GY230" s="54"/>
      <c r="GZ230" s="54"/>
      <c r="HA230" s="54"/>
      <c r="HB230" s="54"/>
      <c r="HC230" s="54"/>
      <c r="HD230" s="54"/>
      <c r="HE230" s="54"/>
      <c r="HF230" s="54"/>
      <c r="HG230" s="54"/>
      <c r="HH230" s="54"/>
      <c r="HI230" s="54"/>
      <c r="HJ230" s="54"/>
      <c r="HK230" s="54"/>
      <c r="HL230" s="54"/>
      <c r="HM230" s="54"/>
      <c r="HN230" s="54"/>
      <c r="HO230" s="54"/>
      <c r="HP230" s="54"/>
      <c r="HQ230" s="54"/>
      <c r="HR230" s="54"/>
      <c r="HS230" s="54"/>
      <c r="HT230" s="54"/>
      <c r="HU230" s="54"/>
      <c r="HV230" s="54"/>
      <c r="HW230" s="54"/>
      <c r="HX230" s="142"/>
      <c r="HY230" s="142"/>
      <c r="HZ230" s="142"/>
      <c r="IA230" s="142"/>
      <c r="IB230" s="142"/>
      <c r="IC230" s="142"/>
      <c r="ID230" s="142"/>
      <c r="IE230" s="142"/>
      <c r="IF230" s="142"/>
      <c r="IG230" s="142"/>
      <c r="IH230" s="142"/>
      <c r="II230" s="142"/>
      <c r="IJ230" s="142"/>
      <c r="IK230" s="142"/>
      <c r="IL230" s="142"/>
      <c r="IM230" s="142"/>
      <c r="IN230" s="142"/>
      <c r="IO230" s="142"/>
      <c r="IP230" s="142"/>
      <c r="IQ230" s="142"/>
      <c r="IR230" s="142"/>
      <c r="IS230" s="142"/>
      <c r="IT230" s="142"/>
      <c r="IU230" s="142"/>
      <c r="IV230" s="142"/>
      <c r="IW230" s="142"/>
      <c r="IX230" s="142"/>
      <c r="IY230" s="142"/>
      <c r="IZ230" s="142"/>
      <c r="JA230" s="142"/>
      <c r="JB230" s="142"/>
      <c r="JC230" s="142"/>
      <c r="JD230" s="142"/>
      <c r="JE230" s="142"/>
      <c r="JF230" s="142"/>
      <c r="JG230" s="142"/>
      <c r="JH230" s="142"/>
      <c r="JI230" s="142"/>
      <c r="JJ230" s="142"/>
      <c r="JK230" s="142"/>
      <c r="JL230" s="142"/>
      <c r="JM230" s="142"/>
      <c r="JN230" s="142"/>
      <c r="JO230" s="142"/>
      <c r="JP230" s="142"/>
      <c r="JQ230" s="142"/>
      <c r="JR230" s="142"/>
      <c r="JS230" s="142"/>
      <c r="JT230" s="142"/>
      <c r="JU230" s="142"/>
      <c r="JV230" s="142"/>
      <c r="JW230" s="142"/>
      <c r="JX230" s="142"/>
      <c r="JY230" s="142"/>
      <c r="JZ230" s="142"/>
      <c r="KA230" s="142"/>
      <c r="KB230" s="142"/>
      <c r="KC230" s="142"/>
      <c r="KD230" s="142"/>
      <c r="KE230" s="142"/>
      <c r="KF230" s="142"/>
      <c r="KG230" s="142"/>
      <c r="KH230" s="142"/>
      <c r="KI230" s="142"/>
      <c r="KJ230" s="142"/>
      <c r="KK230" s="142"/>
      <c r="KL230" s="142"/>
      <c r="KM230" s="142"/>
      <c r="KN230" s="142"/>
      <c r="KO230" s="142"/>
      <c r="KP230" s="142"/>
      <c r="KQ230" s="142"/>
      <c r="KR230" s="142"/>
      <c r="KS230" s="142"/>
      <c r="KT230" s="142"/>
      <c r="KU230" s="54"/>
      <c r="KV230" s="54"/>
      <c r="KW230" s="54"/>
      <c r="KX230" s="54"/>
    </row>
    <row r="231" ht="5.2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c r="AL231" s="54"/>
      <c r="AM231" s="54"/>
      <c r="AN231" s="54"/>
      <c r="AO231" s="54"/>
      <c r="AP231" s="54"/>
      <c r="AQ231" s="54"/>
      <c r="AR231" s="54"/>
      <c r="AS231" s="54"/>
      <c r="AT231" s="54"/>
      <c r="AU231" s="54"/>
      <c r="AV231" s="54"/>
      <c r="AW231" s="54"/>
      <c r="AX231" s="54"/>
      <c r="AY231" s="54"/>
      <c r="AZ231" s="54"/>
      <c r="BA231" s="54"/>
      <c r="BB231" s="54"/>
      <c r="BC231" s="54"/>
      <c r="BD231" s="54"/>
      <c r="BE231" s="54"/>
      <c r="BF231" s="54"/>
      <c r="BG231" s="54"/>
      <c r="BH231" s="54"/>
      <c r="BI231" s="54"/>
      <c r="BJ231" s="54"/>
      <c r="BK231" s="54"/>
      <c r="BL231" s="54"/>
      <c r="BM231" s="54"/>
      <c r="BN231" s="54"/>
      <c r="BO231" s="54"/>
      <c r="BP231" s="54"/>
      <c r="BQ231" s="54"/>
      <c r="BR231" s="54"/>
      <c r="BS231" s="54"/>
      <c r="BT231" s="54"/>
      <c r="BU231" s="54"/>
      <c r="BV231" s="54"/>
      <c r="BW231" s="54"/>
      <c r="BX231" s="54"/>
      <c r="BY231" s="54"/>
      <c r="BZ231" s="54"/>
      <c r="CA231" s="54"/>
      <c r="CB231" s="54"/>
      <c r="CC231" s="54"/>
      <c r="CD231" s="54"/>
      <c r="CE231" s="54"/>
      <c r="CF231" s="54"/>
      <c r="CG231" s="54"/>
      <c r="CH231" s="54"/>
      <c r="CI231" s="54"/>
      <c r="CJ231" s="54"/>
      <c r="CK231" s="54"/>
      <c r="CL231" s="54"/>
      <c r="CM231" s="54"/>
      <c r="CN231" s="54"/>
      <c r="CO231" s="54"/>
      <c r="CP231" s="54"/>
      <c r="CQ231" s="54"/>
      <c r="CR231" s="54"/>
      <c r="CS231" s="54"/>
      <c r="CT231" s="54"/>
      <c r="CU231" s="54"/>
      <c r="CV231" s="54"/>
      <c r="CW231" s="54"/>
      <c r="CX231" s="54"/>
      <c r="CY231" s="54"/>
      <c r="CZ231" s="54"/>
      <c r="DA231" s="54"/>
      <c r="DB231" s="54"/>
      <c r="DC231" s="108"/>
      <c r="DD231" s="101"/>
      <c r="DE231" s="102"/>
      <c r="DF231" s="102"/>
      <c r="DG231" s="102"/>
      <c r="DH231" s="102"/>
      <c r="DI231" s="102"/>
      <c r="DJ231" s="102"/>
      <c r="DK231" s="102"/>
      <c r="DL231" s="102"/>
      <c r="DM231" s="102"/>
      <c r="DN231" s="103"/>
      <c r="DO231" s="104"/>
      <c r="DP231" s="102"/>
      <c r="DQ231" s="103"/>
      <c r="DR231" s="104"/>
      <c r="DS231" s="102"/>
      <c r="DT231" s="102"/>
      <c r="DU231" s="102"/>
      <c r="DV231" s="102"/>
      <c r="DW231" s="102"/>
      <c r="DX231" s="102"/>
      <c r="DY231" s="102"/>
      <c r="DZ231" s="102"/>
      <c r="EA231" s="102"/>
      <c r="EB231" s="102"/>
      <c r="EC231" s="102"/>
      <c r="ED231" s="102"/>
      <c r="EE231" s="102"/>
      <c r="EF231" s="102"/>
      <c r="EG231" s="103"/>
      <c r="EH231" s="104"/>
      <c r="EI231" s="102"/>
      <c r="EJ231" s="102"/>
      <c r="EK231" s="102"/>
      <c r="EL231" s="137"/>
      <c r="EM231" s="137"/>
      <c r="EN231" s="137"/>
      <c r="EO231" s="137"/>
      <c r="EP231" s="137"/>
      <c r="EQ231" s="137"/>
      <c r="ER231" s="137"/>
      <c r="ES231" s="137"/>
      <c r="ET231" s="137"/>
      <c r="EU231" s="102"/>
      <c r="EV231" s="102"/>
      <c r="EW231" s="103"/>
      <c r="EX231" s="104"/>
      <c r="EY231" s="102"/>
      <c r="EZ231" s="103"/>
      <c r="FA231" s="104"/>
      <c r="FB231" s="102"/>
      <c r="FC231" s="102"/>
      <c r="FD231" s="137"/>
      <c r="FE231" s="137"/>
      <c r="FF231" s="137"/>
      <c r="FG231" s="137"/>
      <c r="FH231" s="137"/>
      <c r="FI231" s="137"/>
      <c r="FJ231" s="137"/>
      <c r="FK231" s="138"/>
      <c r="FL231" s="108"/>
      <c r="FM231" s="54"/>
      <c r="FN231" s="54"/>
      <c r="FO231" s="54"/>
      <c r="FP231" s="54"/>
      <c r="FQ231" s="54"/>
      <c r="FR231" s="54"/>
      <c r="FS231" s="54"/>
      <c r="FT231" s="54"/>
      <c r="FU231" s="54"/>
      <c r="FV231" s="54"/>
      <c r="FW231" s="54"/>
      <c r="FX231" s="54"/>
      <c r="FY231" s="54"/>
      <c r="FZ231" s="54"/>
      <c r="GA231" s="54"/>
      <c r="GB231" s="54"/>
      <c r="GC231" s="54"/>
      <c r="GD231" s="54"/>
      <c r="GE231" s="54"/>
      <c r="GF231" s="54"/>
      <c r="GG231" s="54"/>
      <c r="GH231" s="54"/>
      <c r="GI231" s="54"/>
      <c r="GJ231" s="54"/>
      <c r="GK231" s="54"/>
      <c r="GL231" s="54"/>
      <c r="GM231" s="54"/>
      <c r="GN231" s="54"/>
      <c r="GO231" s="54"/>
      <c r="GP231" s="54"/>
      <c r="GQ231" s="54"/>
      <c r="GR231" s="54"/>
      <c r="GS231" s="54"/>
      <c r="GT231" s="54"/>
      <c r="GU231" s="54"/>
      <c r="GV231" s="54"/>
      <c r="GW231" s="54"/>
      <c r="GX231" s="54"/>
      <c r="GY231" s="54"/>
      <c r="GZ231" s="54"/>
      <c r="HA231" s="54"/>
      <c r="HB231" s="54"/>
      <c r="HC231" s="54"/>
      <c r="HD231" s="54"/>
      <c r="HE231" s="54"/>
      <c r="HF231" s="54"/>
      <c r="HG231" s="54"/>
      <c r="HH231" s="54"/>
      <c r="HI231" s="54"/>
      <c r="HJ231" s="54"/>
      <c r="HK231" s="54"/>
      <c r="HL231" s="54"/>
      <c r="HM231" s="54"/>
      <c r="HN231" s="54"/>
      <c r="HO231" s="54"/>
      <c r="HP231" s="54"/>
      <c r="HQ231" s="54"/>
      <c r="HR231" s="54"/>
      <c r="HS231" s="54"/>
      <c r="HT231" s="54"/>
      <c r="HU231" s="54"/>
      <c r="HV231" s="54"/>
      <c r="HW231" s="54"/>
      <c r="HX231" s="142"/>
      <c r="HY231" s="142"/>
      <c r="HZ231" s="142"/>
      <c r="IA231" s="142"/>
      <c r="IB231" s="142"/>
      <c r="IC231" s="142"/>
      <c r="ID231" s="142"/>
      <c r="IE231" s="142"/>
      <c r="IF231" s="142"/>
      <c r="IG231" s="142"/>
      <c r="IH231" s="142"/>
      <c r="II231" s="142"/>
      <c r="IJ231" s="142"/>
      <c r="IK231" s="142"/>
      <c r="IL231" s="142"/>
      <c r="IM231" s="142"/>
      <c r="IN231" s="142"/>
      <c r="IO231" s="142"/>
      <c r="IP231" s="142"/>
      <c r="IQ231" s="142"/>
      <c r="IR231" s="142"/>
      <c r="IS231" s="142"/>
      <c r="IT231" s="142"/>
      <c r="IU231" s="142"/>
      <c r="IV231" s="142"/>
      <c r="IW231" s="142"/>
      <c r="IX231" s="142"/>
      <c r="IY231" s="142"/>
      <c r="IZ231" s="142"/>
      <c r="JA231" s="142"/>
      <c r="JB231" s="142"/>
      <c r="JC231" s="142"/>
      <c r="JD231" s="142"/>
      <c r="JE231" s="142"/>
      <c r="JF231" s="142"/>
      <c r="JG231" s="142"/>
      <c r="JH231" s="142"/>
      <c r="JI231" s="142"/>
      <c r="JJ231" s="142"/>
      <c r="JK231" s="142"/>
      <c r="JL231" s="142"/>
      <c r="JM231" s="142"/>
      <c r="JN231" s="142"/>
      <c r="JO231" s="142"/>
      <c r="JP231" s="142"/>
      <c r="JQ231" s="142"/>
      <c r="JR231" s="142"/>
      <c r="JS231" s="142"/>
      <c r="JT231" s="142"/>
      <c r="JU231" s="142"/>
      <c r="JV231" s="142"/>
      <c r="JW231" s="142"/>
      <c r="JX231" s="142"/>
      <c r="JY231" s="142"/>
      <c r="JZ231" s="142"/>
      <c r="KA231" s="142"/>
      <c r="KB231" s="142"/>
      <c r="KC231" s="142"/>
      <c r="KD231" s="142"/>
      <c r="KE231" s="142"/>
      <c r="KF231" s="142"/>
      <c r="KG231" s="142"/>
      <c r="KH231" s="142"/>
      <c r="KI231" s="142"/>
      <c r="KJ231" s="142"/>
      <c r="KK231" s="142"/>
      <c r="KL231" s="142"/>
      <c r="KM231" s="142"/>
      <c r="KN231" s="142"/>
      <c r="KO231" s="142"/>
      <c r="KP231" s="142"/>
      <c r="KQ231" s="142"/>
      <c r="KR231" s="142"/>
      <c r="KS231" s="142"/>
      <c r="KT231" s="142"/>
      <c r="KU231" s="54"/>
      <c r="KV231" s="54"/>
      <c r="KW231" s="54"/>
      <c r="KX231" s="54"/>
    </row>
    <row r="232" ht="5.2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c r="AL232" s="54"/>
      <c r="AM232" s="54"/>
      <c r="AN232" s="54"/>
      <c r="AO232" s="54"/>
      <c r="AP232" s="54"/>
      <c r="AQ232" s="54"/>
      <c r="AR232" s="54"/>
      <c r="AS232" s="54"/>
      <c r="AT232" s="54"/>
      <c r="AU232" s="54"/>
      <c r="AV232" s="54"/>
      <c r="AW232" s="54"/>
      <c r="AX232" s="54"/>
      <c r="AY232" s="54"/>
      <c r="AZ232" s="54"/>
      <c r="BA232" s="54"/>
      <c r="BB232" s="54"/>
      <c r="BC232" s="54"/>
      <c r="BD232" s="54"/>
      <c r="BE232" s="54"/>
      <c r="BF232" s="54"/>
      <c r="BG232" s="54"/>
      <c r="BH232" s="54"/>
      <c r="BI232" s="54"/>
      <c r="BJ232" s="54"/>
      <c r="BK232" s="54"/>
      <c r="BL232" s="54"/>
      <c r="BM232" s="54"/>
      <c r="BN232" s="54"/>
      <c r="BO232" s="54"/>
      <c r="BP232" s="54"/>
      <c r="BQ232" s="54"/>
      <c r="BR232" s="54"/>
      <c r="BS232" s="54"/>
      <c r="BT232" s="54"/>
      <c r="BU232" s="54"/>
      <c r="BV232" s="54"/>
      <c r="BW232" s="54"/>
      <c r="BX232" s="54"/>
      <c r="BY232" s="54"/>
      <c r="BZ232" s="54"/>
      <c r="CA232" s="54"/>
      <c r="CB232" s="54"/>
      <c r="CC232" s="54"/>
      <c r="CD232" s="54"/>
      <c r="CE232" s="54"/>
      <c r="CF232" s="54"/>
      <c r="CG232" s="54"/>
      <c r="CH232" s="54"/>
      <c r="CI232" s="54"/>
      <c r="CJ232" s="54"/>
      <c r="CK232" s="54"/>
      <c r="CL232" s="54"/>
      <c r="CM232" s="54"/>
      <c r="CN232" s="54"/>
      <c r="CO232" s="54"/>
      <c r="CP232" s="54"/>
      <c r="CQ232" s="54"/>
      <c r="CR232" s="54"/>
      <c r="CS232" s="54"/>
      <c r="CT232" s="54"/>
      <c r="CU232" s="54"/>
      <c r="CV232" s="54"/>
      <c r="CW232" s="54"/>
      <c r="CX232" s="54"/>
      <c r="CY232" s="54"/>
      <c r="CZ232" s="54"/>
      <c r="DA232" s="54"/>
      <c r="DB232" s="54"/>
      <c r="DC232" s="54"/>
      <c r="DD232" s="54"/>
      <c r="DE232" s="54"/>
      <c r="DF232" s="54"/>
      <c r="DG232" s="54"/>
      <c r="DH232" s="54"/>
      <c r="DI232" s="54"/>
      <c r="DJ232" s="54"/>
      <c r="DK232" s="54"/>
      <c r="DL232" s="54"/>
      <c r="DM232" s="54"/>
      <c r="DN232" s="54"/>
      <c r="DO232" s="54"/>
      <c r="DP232" s="54"/>
      <c r="DQ232" s="54"/>
      <c r="DR232" s="54"/>
      <c r="DS232" s="54"/>
      <c r="DT232" s="54"/>
      <c r="DU232" s="54"/>
      <c r="DV232" s="54"/>
      <c r="DW232" s="54"/>
      <c r="DX232" s="54"/>
      <c r="DY232" s="54"/>
      <c r="DZ232" s="54"/>
      <c r="EA232" s="54"/>
      <c r="EB232" s="54"/>
      <c r="EC232" s="54"/>
      <c r="ED232" s="54"/>
      <c r="EE232" s="54"/>
      <c r="EF232" s="54"/>
      <c r="EG232" s="54"/>
      <c r="EH232" s="54"/>
      <c r="EI232" s="54"/>
      <c r="EJ232" s="54"/>
      <c r="EK232" s="54"/>
      <c r="EL232" s="54"/>
      <c r="EM232" s="54"/>
      <c r="EN232" s="54"/>
      <c r="EO232" s="54"/>
      <c r="EP232" s="54"/>
      <c r="EQ232" s="54"/>
      <c r="ER232" s="54"/>
      <c r="ES232" s="54"/>
      <c r="ET232" s="54"/>
      <c r="EU232" s="54"/>
      <c r="EV232" s="54"/>
      <c r="EW232" s="54"/>
      <c r="EX232" s="54"/>
      <c r="EY232" s="54"/>
      <c r="EZ232" s="54"/>
      <c r="FA232" s="54"/>
      <c r="FB232" s="54"/>
      <c r="FC232" s="54"/>
      <c r="FD232" s="54"/>
      <c r="FE232" s="54"/>
      <c r="FF232" s="54"/>
      <c r="FG232" s="54"/>
      <c r="FH232" s="54"/>
      <c r="FI232" s="54"/>
      <c r="FJ232" s="54"/>
      <c r="FK232" s="54"/>
      <c r="FL232" s="54"/>
      <c r="FM232" s="54"/>
      <c r="FN232" s="54"/>
      <c r="FO232" s="54"/>
      <c r="FP232" s="54"/>
      <c r="FQ232" s="54"/>
      <c r="FR232" s="54"/>
      <c r="FS232" s="54"/>
      <c r="FT232" s="54"/>
      <c r="FU232" s="54"/>
      <c r="FV232" s="54"/>
      <c r="FW232" s="54"/>
      <c r="FX232" s="54"/>
      <c r="FY232" s="54"/>
      <c r="FZ232" s="54"/>
      <c r="GA232" s="54"/>
      <c r="GB232" s="54"/>
      <c r="GC232" s="54"/>
      <c r="GD232" s="54"/>
      <c r="GE232" s="54"/>
      <c r="GF232" s="54"/>
      <c r="GG232" s="54"/>
      <c r="GH232" s="54"/>
      <c r="GI232" s="54"/>
      <c r="GJ232" s="54"/>
      <c r="GK232" s="54"/>
      <c r="GL232" s="54"/>
      <c r="GM232" s="54"/>
      <c r="GN232" s="54"/>
      <c r="GO232" s="54"/>
      <c r="GP232" s="54"/>
      <c r="GQ232" s="54"/>
      <c r="GR232" s="54"/>
      <c r="GS232" s="54"/>
      <c r="GT232" s="54"/>
      <c r="GU232" s="54"/>
      <c r="GV232" s="54"/>
      <c r="GW232" s="54"/>
      <c r="GX232" s="54"/>
      <c r="GY232" s="54"/>
      <c r="GZ232" s="54"/>
      <c r="HA232" s="54"/>
      <c r="HB232" s="54"/>
      <c r="HC232" s="54"/>
      <c r="HD232" s="54"/>
      <c r="HE232" s="54"/>
      <c r="HF232" s="54"/>
      <c r="HG232" s="54"/>
      <c r="HH232" s="54"/>
      <c r="HI232" s="54"/>
      <c r="HJ232" s="54"/>
      <c r="HK232" s="54"/>
      <c r="HL232" s="54"/>
      <c r="HM232" s="54"/>
      <c r="HN232" s="54"/>
      <c r="HO232" s="54"/>
      <c r="HP232" s="54"/>
      <c r="HQ232" s="54"/>
      <c r="HR232" s="54"/>
      <c r="HS232" s="54"/>
      <c r="HT232" s="54"/>
      <c r="HU232" s="54"/>
      <c r="HV232" s="54"/>
      <c r="HW232" s="54"/>
      <c r="HX232" s="142"/>
      <c r="HY232" s="142"/>
      <c r="HZ232" s="142"/>
      <c r="IA232" s="142"/>
      <c r="IB232" s="142"/>
      <c r="IC232" s="142"/>
      <c r="ID232" s="142"/>
      <c r="IE232" s="142"/>
      <c r="IF232" s="142"/>
      <c r="IG232" s="142"/>
      <c r="IH232" s="142"/>
      <c r="II232" s="142"/>
      <c r="IJ232" s="142"/>
      <c r="IK232" s="142"/>
      <c r="IL232" s="142"/>
      <c r="IM232" s="142"/>
      <c r="IN232" s="142"/>
      <c r="IO232" s="142"/>
      <c r="IP232" s="142"/>
      <c r="IQ232" s="142"/>
      <c r="IR232" s="142"/>
      <c r="IS232" s="142"/>
      <c r="IT232" s="142"/>
      <c r="IU232" s="142"/>
      <c r="IV232" s="142"/>
      <c r="IW232" s="142"/>
      <c r="IX232" s="142"/>
      <c r="IY232" s="142"/>
      <c r="IZ232" s="142"/>
      <c r="JA232" s="142"/>
      <c r="JB232" s="142"/>
      <c r="JC232" s="142"/>
      <c r="JD232" s="142"/>
      <c r="JE232" s="142"/>
      <c r="JF232" s="142"/>
      <c r="JG232" s="142"/>
      <c r="JH232" s="142"/>
      <c r="JI232" s="142"/>
      <c r="JJ232" s="142"/>
      <c r="JK232" s="142"/>
      <c r="JL232" s="142"/>
      <c r="JM232" s="142"/>
      <c r="JN232" s="142"/>
      <c r="JO232" s="142"/>
      <c r="JP232" s="142"/>
      <c r="JQ232" s="142"/>
      <c r="JR232" s="142"/>
      <c r="JS232" s="142"/>
      <c r="JT232" s="142"/>
      <c r="JU232" s="142"/>
      <c r="JV232" s="142"/>
      <c r="JW232" s="142"/>
      <c r="JX232" s="142"/>
      <c r="JY232" s="142"/>
      <c r="JZ232" s="142"/>
      <c r="KA232" s="142"/>
      <c r="KB232" s="142"/>
      <c r="KC232" s="142"/>
      <c r="KD232" s="142"/>
      <c r="KE232" s="142"/>
      <c r="KF232" s="142"/>
      <c r="KG232" s="142"/>
      <c r="KH232" s="142"/>
      <c r="KI232" s="142"/>
      <c r="KJ232" s="142"/>
      <c r="KK232" s="142"/>
      <c r="KL232" s="142"/>
      <c r="KM232" s="142"/>
      <c r="KN232" s="142"/>
      <c r="KO232" s="142"/>
      <c r="KP232" s="142"/>
      <c r="KQ232" s="142"/>
      <c r="KR232" s="142"/>
      <c r="KS232" s="142"/>
      <c r="KT232" s="142"/>
      <c r="KU232" s="54"/>
      <c r="KV232" s="54"/>
      <c r="KW232" s="54"/>
      <c r="KX232" s="54"/>
    </row>
    <row r="233" ht="5.2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c r="AL233" s="54"/>
      <c r="AM233" s="54"/>
      <c r="AN233" s="54"/>
      <c r="AO233" s="54"/>
      <c r="AP233" s="54"/>
      <c r="AQ233" s="54"/>
      <c r="AR233" s="54"/>
      <c r="AS233" s="54"/>
      <c r="AT233" s="54"/>
      <c r="AU233" s="54"/>
      <c r="AV233" s="54"/>
      <c r="AW233" s="54"/>
      <c r="AX233" s="54"/>
      <c r="AY233" s="54"/>
      <c r="AZ233" s="54"/>
      <c r="BA233" s="54"/>
      <c r="BB233" s="54"/>
      <c r="BC233" s="54"/>
      <c r="BD233" s="54"/>
      <c r="BE233" s="54"/>
      <c r="BF233" s="54"/>
      <c r="BG233" s="54"/>
      <c r="BH233" s="54"/>
      <c r="BI233" s="54"/>
      <c r="BJ233" s="54"/>
      <c r="BK233" s="54"/>
      <c r="BL233" s="54"/>
      <c r="BM233" s="54"/>
      <c r="BN233" s="54"/>
      <c r="BO233" s="54"/>
      <c r="BP233" s="54"/>
      <c r="BQ233" s="54"/>
      <c r="BR233" s="54"/>
      <c r="BS233" s="54"/>
      <c r="BT233" s="54"/>
      <c r="BU233" s="54"/>
      <c r="BV233" s="54"/>
      <c r="BW233" s="54"/>
      <c r="BX233" s="54"/>
      <c r="BY233" s="54"/>
      <c r="BZ233" s="54"/>
      <c r="CA233" s="54"/>
      <c r="CB233" s="54"/>
      <c r="CC233" s="54"/>
      <c r="CD233" s="54"/>
      <c r="CE233" s="54"/>
      <c r="CF233" s="54"/>
      <c r="CG233" s="54"/>
      <c r="CH233" s="54"/>
      <c r="CI233" s="54"/>
      <c r="CJ233" s="54"/>
      <c r="CK233" s="54"/>
      <c r="CL233" s="54"/>
      <c r="CM233" s="54"/>
      <c r="CN233" s="54"/>
      <c r="CO233" s="54"/>
      <c r="CP233" s="54"/>
      <c r="CQ233" s="54"/>
      <c r="CR233" s="54"/>
      <c r="CS233" s="54"/>
      <c r="CT233" s="54"/>
      <c r="CU233" s="54"/>
      <c r="CV233" s="54"/>
      <c r="CW233" s="54"/>
      <c r="CX233" s="54"/>
      <c r="CY233" s="54"/>
      <c r="CZ233" s="54"/>
      <c r="DA233" s="54"/>
      <c r="DB233" s="54"/>
      <c r="DC233" s="54"/>
      <c r="DD233" s="54"/>
      <c r="DE233" s="54"/>
      <c r="DF233" s="54"/>
      <c r="DG233" s="54"/>
      <c r="DH233" s="54"/>
      <c r="DI233" s="54"/>
      <c r="DJ233" s="54"/>
      <c r="DK233" s="54"/>
      <c r="DL233" s="54"/>
      <c r="DM233" s="54"/>
      <c r="DN233" s="54"/>
      <c r="DO233" s="54"/>
      <c r="DP233" s="54"/>
      <c r="DQ233" s="54"/>
      <c r="DR233" s="54"/>
      <c r="DS233" s="54"/>
      <c r="DT233" s="54"/>
      <c r="DU233" s="54"/>
      <c r="DV233" s="54"/>
      <c r="DW233" s="54"/>
      <c r="DX233" s="54"/>
      <c r="DY233" s="54"/>
      <c r="DZ233" s="54"/>
      <c r="EA233" s="54"/>
      <c r="EB233" s="54"/>
      <c r="EC233" s="54"/>
      <c r="ED233" s="54"/>
      <c r="EE233" s="54"/>
      <c r="EF233" s="54"/>
      <c r="EG233" s="54"/>
      <c r="EH233" s="54"/>
      <c r="EI233" s="54"/>
      <c r="EJ233" s="54"/>
      <c r="EK233" s="54"/>
      <c r="EL233" s="54"/>
      <c r="EM233" s="54"/>
      <c r="EN233" s="54"/>
      <c r="EO233" s="54"/>
      <c r="EP233" s="54"/>
      <c r="EQ233" s="54"/>
      <c r="ER233" s="54"/>
      <c r="ES233" s="54"/>
      <c r="ET233" s="54"/>
      <c r="EU233" s="54"/>
      <c r="EV233" s="54"/>
      <c r="EW233" s="54"/>
      <c r="EX233" s="54"/>
      <c r="EY233" s="54"/>
      <c r="EZ233" s="54"/>
      <c r="FA233" s="54"/>
      <c r="FB233" s="54"/>
      <c r="FC233" s="54"/>
      <c r="FD233" s="54"/>
      <c r="FE233" s="54"/>
      <c r="FF233" s="54"/>
      <c r="FG233" s="54"/>
      <c r="FH233" s="54"/>
      <c r="FI233" s="54"/>
      <c r="FJ233" s="54"/>
      <c r="FK233" s="54"/>
      <c r="FL233" s="54"/>
      <c r="FM233" s="54"/>
      <c r="FN233" s="54"/>
      <c r="FO233" s="54"/>
      <c r="FP233" s="54"/>
      <c r="FQ233" s="54"/>
      <c r="FR233" s="54"/>
      <c r="FS233" s="54"/>
      <c r="FT233" s="54"/>
      <c r="FU233" s="54"/>
      <c r="FV233" s="54"/>
      <c r="FW233" s="54"/>
      <c r="FX233" s="54"/>
      <c r="FY233" s="54"/>
      <c r="FZ233" s="54"/>
      <c r="GA233" s="54"/>
      <c r="GB233" s="54"/>
      <c r="GC233" s="54"/>
      <c r="GD233" s="54"/>
      <c r="GE233" s="54"/>
      <c r="GF233" s="54"/>
      <c r="GG233" s="54"/>
      <c r="GH233" s="54"/>
      <c r="GI233" s="54"/>
      <c r="GJ233" s="54"/>
      <c r="GK233" s="54"/>
      <c r="GL233" s="54"/>
      <c r="GM233" s="54"/>
      <c r="GN233" s="54"/>
      <c r="GO233" s="54"/>
      <c r="GP233" s="54"/>
      <c r="GQ233" s="54"/>
      <c r="GR233" s="54"/>
      <c r="GS233" s="54"/>
      <c r="GT233" s="54"/>
      <c r="GU233" s="54"/>
      <c r="GV233" s="54"/>
      <c r="GW233" s="54"/>
      <c r="GX233" s="54"/>
      <c r="GY233" s="54"/>
      <c r="GZ233" s="54"/>
      <c r="HA233" s="54"/>
      <c r="HB233" s="54"/>
      <c r="HC233" s="54"/>
      <c r="HD233" s="54"/>
      <c r="HE233" s="54"/>
      <c r="HF233" s="54"/>
      <c r="HG233" s="54"/>
      <c r="HH233" s="54"/>
      <c r="HI233" s="54"/>
      <c r="HJ233" s="54"/>
      <c r="HK233" s="54"/>
      <c r="HL233" s="54"/>
      <c r="HM233" s="54"/>
      <c r="HN233" s="54"/>
      <c r="HO233" s="54"/>
      <c r="HP233" s="54"/>
      <c r="HQ233" s="54"/>
      <c r="HR233" s="54"/>
      <c r="HS233" s="54"/>
      <c r="HT233" s="54"/>
      <c r="HU233" s="54"/>
      <c r="HV233" s="54"/>
      <c r="HW233" s="54"/>
      <c r="HX233" s="142"/>
      <c r="HY233" s="142"/>
      <c r="HZ233" s="142"/>
      <c r="IA233" s="142"/>
      <c r="IB233" s="142"/>
      <c r="IC233" s="142"/>
      <c r="ID233" s="142"/>
      <c r="IE233" s="142"/>
      <c r="IF233" s="142"/>
      <c r="IG233" s="142"/>
      <c r="IH233" s="142"/>
      <c r="II233" s="142"/>
      <c r="IJ233" s="142"/>
      <c r="IK233" s="142"/>
      <c r="IL233" s="142"/>
      <c r="IM233" s="142"/>
      <c r="IN233" s="142"/>
      <c r="IO233" s="142"/>
      <c r="IP233" s="142"/>
      <c r="IQ233" s="142"/>
      <c r="IR233" s="142"/>
      <c r="IS233" s="142"/>
      <c r="IT233" s="142"/>
      <c r="IU233" s="142"/>
      <c r="IV233" s="142"/>
      <c r="IW233" s="142"/>
      <c r="IX233" s="142"/>
      <c r="IY233" s="142"/>
      <c r="IZ233" s="142"/>
      <c r="JA233" s="142"/>
      <c r="JB233" s="142"/>
      <c r="JC233" s="142"/>
      <c r="JD233" s="142"/>
      <c r="JE233" s="142"/>
      <c r="JF233" s="142"/>
      <c r="JG233" s="142"/>
      <c r="JH233" s="142"/>
      <c r="JI233" s="142"/>
      <c r="JJ233" s="142"/>
      <c r="JK233" s="142"/>
      <c r="JL233" s="142"/>
      <c r="JM233" s="142"/>
      <c r="JN233" s="142"/>
      <c r="JO233" s="142"/>
      <c r="JP233" s="142"/>
      <c r="JQ233" s="142"/>
      <c r="JR233" s="142"/>
      <c r="JS233" s="142"/>
      <c r="JT233" s="142"/>
      <c r="JU233" s="142"/>
      <c r="JV233" s="142"/>
      <c r="JW233" s="142"/>
      <c r="JX233" s="142"/>
      <c r="JY233" s="142"/>
      <c r="JZ233" s="142"/>
      <c r="KA233" s="142"/>
      <c r="KB233" s="142"/>
      <c r="KC233" s="142"/>
      <c r="KD233" s="142"/>
      <c r="KE233" s="142"/>
      <c r="KF233" s="142"/>
      <c r="KG233" s="142"/>
      <c r="KH233" s="142"/>
      <c r="KI233" s="142"/>
      <c r="KJ233" s="142"/>
      <c r="KK233" s="142"/>
      <c r="KL233" s="142"/>
      <c r="KM233" s="142"/>
      <c r="KN233" s="142"/>
      <c r="KO233" s="142"/>
      <c r="KP233" s="142"/>
      <c r="KQ233" s="142"/>
      <c r="KR233" s="142"/>
      <c r="KS233" s="142"/>
      <c r="KT233" s="142"/>
      <c r="KU233" s="54"/>
      <c r="KV233" s="54"/>
      <c r="KW233" s="54"/>
      <c r="KX233" s="54"/>
    </row>
    <row r="234" ht="5.2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c r="AP234" s="54"/>
      <c r="AQ234" s="54"/>
      <c r="AR234" s="54"/>
      <c r="AS234" s="54"/>
      <c r="AT234" s="54"/>
      <c r="AU234" s="54"/>
      <c r="AV234" s="54"/>
      <c r="AW234" s="54"/>
      <c r="AX234" s="54"/>
      <c r="AY234" s="54"/>
      <c r="AZ234" s="54"/>
      <c r="BA234" s="54"/>
      <c r="BB234" s="54"/>
      <c r="BC234" s="54"/>
      <c r="BD234" s="54"/>
      <c r="BE234" s="54"/>
      <c r="BF234" s="54"/>
      <c r="BG234" s="54"/>
      <c r="BH234" s="54"/>
      <c r="BI234" s="54"/>
      <c r="BJ234" s="54"/>
      <c r="BK234" s="54"/>
      <c r="BL234" s="54"/>
      <c r="BM234" s="54"/>
      <c r="BN234" s="54"/>
      <c r="BO234" s="54"/>
      <c r="BP234" s="54"/>
      <c r="BQ234" s="54"/>
      <c r="BR234" s="54"/>
      <c r="BS234" s="54"/>
      <c r="BT234" s="54"/>
      <c r="BU234" s="54"/>
      <c r="BV234" s="54"/>
      <c r="BW234" s="54"/>
      <c r="BX234" s="54"/>
      <c r="BY234" s="54"/>
      <c r="BZ234" s="54"/>
      <c r="CA234" s="54"/>
      <c r="CB234" s="54"/>
      <c r="CC234" s="54"/>
      <c r="CD234" s="54"/>
      <c r="CE234" s="54"/>
      <c r="CF234" s="54"/>
      <c r="CG234" s="54"/>
      <c r="CH234" s="54"/>
      <c r="CI234" s="54"/>
      <c r="CJ234" s="54"/>
      <c r="CK234" s="54"/>
      <c r="CL234" s="54"/>
      <c r="CM234" s="54"/>
      <c r="CN234" s="54"/>
      <c r="CO234" s="54"/>
      <c r="CP234" s="54"/>
      <c r="CQ234" s="54"/>
      <c r="CR234" s="54"/>
      <c r="CS234" s="54"/>
      <c r="CT234" s="54"/>
      <c r="CU234" s="54"/>
      <c r="CV234" s="54"/>
      <c r="CW234" s="54"/>
      <c r="CX234" s="54"/>
      <c r="CY234" s="54"/>
      <c r="CZ234" s="54"/>
      <c r="DA234" s="54"/>
      <c r="DB234" s="54"/>
      <c r="DC234" s="54"/>
      <c r="DD234" s="54"/>
      <c r="DE234" s="54"/>
      <c r="DF234" s="54"/>
      <c r="DG234" s="54"/>
      <c r="DH234" s="54"/>
      <c r="DI234" s="54"/>
      <c r="DJ234" s="54"/>
      <c r="DK234" s="54"/>
      <c r="DL234" s="54"/>
      <c r="DM234" s="54"/>
      <c r="DN234" s="54"/>
      <c r="DO234" s="54"/>
      <c r="DP234" s="54"/>
      <c r="DQ234" s="54"/>
      <c r="DR234" s="54"/>
      <c r="DS234" s="54"/>
      <c r="DT234" s="54"/>
      <c r="DU234" s="54"/>
      <c r="DV234" s="54"/>
      <c r="DW234" s="54"/>
      <c r="DX234" s="54"/>
      <c r="DY234" s="54"/>
      <c r="DZ234" s="54"/>
      <c r="EA234" s="54"/>
      <c r="EB234" s="54"/>
      <c r="EC234" s="54"/>
      <c r="ED234" s="54"/>
      <c r="EE234" s="54"/>
      <c r="EF234" s="54"/>
      <c r="EG234" s="54"/>
      <c r="EH234" s="54"/>
      <c r="EI234" s="54"/>
      <c r="EJ234" s="54"/>
      <c r="EK234" s="54"/>
      <c r="EL234" s="54"/>
      <c r="EM234" s="54"/>
      <c r="EN234" s="54"/>
      <c r="EO234" s="54"/>
      <c r="EP234" s="54"/>
      <c r="EQ234" s="54"/>
      <c r="ER234" s="54"/>
      <c r="ES234" s="54"/>
      <c r="ET234" s="54"/>
      <c r="EU234" s="54"/>
      <c r="EV234" s="54"/>
      <c r="EW234" s="54"/>
      <c r="EX234" s="54"/>
      <c r="EY234" s="54"/>
      <c r="EZ234" s="54"/>
      <c r="FA234" s="54"/>
      <c r="FB234" s="54"/>
      <c r="FC234" s="54"/>
      <c r="FD234" s="54"/>
      <c r="FE234" s="54"/>
      <c r="FF234" s="54"/>
      <c r="FG234" s="54"/>
      <c r="FH234" s="54"/>
      <c r="FI234" s="54"/>
      <c r="FJ234" s="54"/>
      <c r="FK234" s="54"/>
      <c r="FL234" s="54"/>
      <c r="FM234" s="54"/>
      <c r="FN234" s="54"/>
      <c r="FO234" s="54"/>
      <c r="FP234" s="54"/>
      <c r="FQ234" s="54"/>
      <c r="FR234" s="54"/>
      <c r="FS234" s="54"/>
      <c r="FT234" s="54"/>
      <c r="FU234" s="54"/>
      <c r="FV234" s="54"/>
      <c r="FW234" s="54"/>
      <c r="FX234" s="54"/>
      <c r="FY234" s="54"/>
      <c r="FZ234" s="54"/>
      <c r="GA234" s="54"/>
      <c r="GB234" s="54"/>
      <c r="GC234" s="54"/>
      <c r="GD234" s="54"/>
      <c r="GE234" s="54"/>
      <c r="GF234" s="54"/>
      <c r="GG234" s="54"/>
      <c r="GH234" s="54"/>
      <c r="GI234" s="54"/>
      <c r="GJ234" s="54"/>
      <c r="GK234" s="54"/>
      <c r="GL234" s="54"/>
      <c r="GM234" s="54"/>
      <c r="GN234" s="54"/>
      <c r="GO234" s="54"/>
      <c r="GP234" s="54"/>
      <c r="GQ234" s="54"/>
      <c r="GR234" s="54"/>
      <c r="GS234" s="54"/>
      <c r="GT234" s="54"/>
      <c r="GU234" s="54"/>
      <c r="GV234" s="54"/>
      <c r="GW234" s="54"/>
      <c r="GX234" s="54"/>
      <c r="GY234" s="54"/>
      <c r="GZ234" s="54"/>
      <c r="HA234" s="54"/>
      <c r="HB234" s="54"/>
      <c r="HC234" s="54"/>
      <c r="HD234" s="54"/>
      <c r="HE234" s="54"/>
      <c r="HF234" s="54"/>
      <c r="HG234" s="54"/>
      <c r="HH234" s="54"/>
      <c r="HI234" s="54"/>
      <c r="HJ234" s="54"/>
      <c r="HK234" s="54"/>
      <c r="HL234" s="54"/>
      <c r="HM234" s="54"/>
      <c r="HN234" s="54"/>
      <c r="HO234" s="54"/>
      <c r="HP234" s="54"/>
      <c r="HQ234" s="54"/>
      <c r="HR234" s="54"/>
      <c r="HS234" s="54"/>
      <c r="HT234" s="54"/>
      <c r="HU234" s="54"/>
      <c r="HV234" s="54"/>
      <c r="HW234" s="54"/>
      <c r="HX234" s="142"/>
      <c r="HY234" s="142"/>
      <c r="HZ234" s="142"/>
      <c r="IA234" s="142"/>
      <c r="IB234" s="142"/>
      <c r="IC234" s="142"/>
      <c r="ID234" s="142"/>
      <c r="IE234" s="142"/>
      <c r="IF234" s="142"/>
      <c r="IG234" s="142"/>
      <c r="IH234" s="142"/>
      <c r="II234" s="142"/>
      <c r="IJ234" s="142"/>
      <c r="IK234" s="142"/>
      <c r="IL234" s="142"/>
      <c r="IM234" s="142"/>
      <c r="IN234" s="142"/>
      <c r="IO234" s="142"/>
      <c r="IP234" s="142"/>
      <c r="IQ234" s="142"/>
      <c r="IR234" s="142"/>
      <c r="IS234" s="142"/>
      <c r="IT234" s="142"/>
      <c r="IU234" s="142"/>
      <c r="IV234" s="142"/>
      <c r="IW234" s="142"/>
      <c r="IX234" s="142"/>
      <c r="IY234" s="142"/>
      <c r="IZ234" s="142"/>
      <c r="JA234" s="142"/>
      <c r="JB234" s="142"/>
      <c r="JC234" s="142"/>
      <c r="JD234" s="142"/>
      <c r="JE234" s="142"/>
      <c r="JF234" s="142"/>
      <c r="JG234" s="142"/>
      <c r="JH234" s="142"/>
      <c r="JI234" s="142"/>
      <c r="JJ234" s="142"/>
      <c r="JK234" s="142"/>
      <c r="JL234" s="142"/>
      <c r="JM234" s="142"/>
      <c r="JN234" s="142"/>
      <c r="JO234" s="142"/>
      <c r="JP234" s="142"/>
      <c r="JQ234" s="142"/>
      <c r="JR234" s="142"/>
      <c r="JS234" s="142"/>
      <c r="JT234" s="142"/>
      <c r="JU234" s="142"/>
      <c r="JV234" s="142"/>
      <c r="JW234" s="142"/>
      <c r="JX234" s="142"/>
      <c r="JY234" s="142"/>
      <c r="JZ234" s="142"/>
      <c r="KA234" s="142"/>
      <c r="KB234" s="142"/>
      <c r="KC234" s="142"/>
      <c r="KD234" s="142"/>
      <c r="KE234" s="142"/>
      <c r="KF234" s="142"/>
      <c r="KG234" s="142"/>
      <c r="KH234" s="142"/>
      <c r="KI234" s="142"/>
      <c r="KJ234" s="142"/>
      <c r="KK234" s="142"/>
      <c r="KL234" s="142"/>
      <c r="KM234" s="142"/>
      <c r="KN234" s="142"/>
      <c r="KO234" s="142"/>
      <c r="KP234" s="142"/>
      <c r="KQ234" s="142"/>
      <c r="KR234" s="142"/>
      <c r="KS234" s="142"/>
      <c r="KT234" s="142"/>
      <c r="KU234" s="54"/>
      <c r="KV234" s="54"/>
      <c r="KW234" s="54"/>
      <c r="KX234" s="54"/>
    </row>
    <row r="235" ht="5.2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c r="AL235" s="54"/>
      <c r="AM235" s="54"/>
      <c r="AN235" s="54"/>
      <c r="AO235" s="54"/>
      <c r="AP235" s="54"/>
      <c r="AQ235" s="54"/>
      <c r="AR235" s="54"/>
      <c r="AS235" s="54"/>
      <c r="AT235" s="54"/>
      <c r="AU235" s="54"/>
      <c r="AV235" s="54"/>
      <c r="AW235" s="54"/>
      <c r="AX235" s="54"/>
      <c r="AY235" s="54"/>
      <c r="AZ235" s="54"/>
      <c r="BA235" s="54"/>
      <c r="BB235" s="54"/>
      <c r="BC235" s="54"/>
      <c r="BD235" s="54"/>
      <c r="BE235" s="54"/>
      <c r="BF235" s="54"/>
      <c r="BG235" s="54"/>
      <c r="BH235" s="54"/>
      <c r="BI235" s="54"/>
      <c r="BJ235" s="54"/>
      <c r="BK235" s="54"/>
      <c r="BL235" s="54"/>
      <c r="BM235" s="54"/>
      <c r="BN235" s="54"/>
      <c r="BO235" s="54"/>
      <c r="BP235" s="54"/>
      <c r="BQ235" s="54"/>
      <c r="BR235" s="54"/>
      <c r="BS235" s="54"/>
      <c r="BT235" s="54"/>
      <c r="BU235" s="54"/>
      <c r="BV235" s="54"/>
      <c r="BW235" s="54"/>
      <c r="BX235" s="54"/>
      <c r="BY235" s="54"/>
      <c r="BZ235" s="54"/>
      <c r="CA235" s="54"/>
      <c r="CB235" s="54"/>
      <c r="CC235" s="54"/>
      <c r="CD235" s="54"/>
      <c r="CE235" s="54"/>
      <c r="CF235" s="54"/>
      <c r="CG235" s="54"/>
      <c r="CH235" s="54"/>
      <c r="CI235" s="54"/>
      <c r="CJ235" s="54"/>
      <c r="CK235" s="54"/>
      <c r="CL235" s="54"/>
      <c r="CM235" s="54"/>
      <c r="CN235" s="54"/>
      <c r="CO235" s="54"/>
      <c r="CP235" s="54"/>
      <c r="CQ235" s="54"/>
      <c r="CR235" s="54"/>
      <c r="CS235" s="54"/>
      <c r="CT235" s="54"/>
      <c r="CU235" s="54"/>
      <c r="CV235" s="54"/>
      <c r="CW235" s="54"/>
      <c r="CX235" s="54"/>
      <c r="CY235" s="54"/>
      <c r="CZ235" s="54"/>
      <c r="DA235" s="54"/>
      <c r="DB235" s="54"/>
      <c r="DC235" s="54"/>
      <c r="DD235" s="54"/>
      <c r="DE235" s="54"/>
      <c r="DF235" s="54"/>
      <c r="DG235" s="54"/>
      <c r="DH235" s="54"/>
      <c r="DI235" s="54"/>
      <c r="DJ235" s="54"/>
      <c r="DK235" s="54"/>
      <c r="DL235" s="54"/>
      <c r="DM235" s="54"/>
      <c r="DN235" s="54"/>
      <c r="DO235" s="54"/>
      <c r="DP235" s="54"/>
      <c r="DQ235" s="54"/>
      <c r="DR235" s="54"/>
      <c r="DS235" s="54"/>
      <c r="DT235" s="54"/>
      <c r="DU235" s="54"/>
      <c r="DV235" s="54"/>
      <c r="DW235" s="54"/>
      <c r="DX235" s="54"/>
      <c r="DY235" s="54"/>
      <c r="DZ235" s="54"/>
      <c r="EA235" s="54"/>
      <c r="EB235" s="54"/>
      <c r="EC235" s="54"/>
      <c r="ED235" s="54"/>
      <c r="EE235" s="54"/>
      <c r="EF235" s="54"/>
      <c r="EG235" s="54"/>
      <c r="EH235" s="54"/>
      <c r="EI235" s="54"/>
      <c r="EJ235" s="54"/>
      <c r="EK235" s="54"/>
      <c r="EL235" s="54"/>
      <c r="EM235" s="54"/>
      <c r="EN235" s="54"/>
      <c r="EO235" s="54"/>
      <c r="EP235" s="54"/>
      <c r="EQ235" s="54"/>
      <c r="ER235" s="54"/>
      <c r="ES235" s="54"/>
      <c r="ET235" s="54"/>
      <c r="EU235" s="54"/>
      <c r="EV235" s="54"/>
      <c r="EW235" s="54"/>
      <c r="EX235" s="54"/>
      <c r="EY235" s="54"/>
      <c r="EZ235" s="54"/>
      <c r="FA235" s="54"/>
      <c r="FB235" s="54"/>
      <c r="FC235" s="54"/>
      <c r="FD235" s="54"/>
      <c r="FE235" s="54"/>
      <c r="FF235" s="54"/>
      <c r="FG235" s="54"/>
      <c r="FH235" s="54"/>
      <c r="FI235" s="54"/>
      <c r="FJ235" s="54"/>
      <c r="FK235" s="54"/>
      <c r="FL235" s="54"/>
      <c r="FM235" s="54"/>
      <c r="FN235" s="54"/>
      <c r="FO235" s="54"/>
      <c r="FP235" s="54"/>
      <c r="FQ235" s="54"/>
      <c r="FR235" s="54"/>
      <c r="FS235" s="54"/>
      <c r="FT235" s="54"/>
      <c r="FU235" s="54"/>
      <c r="FV235" s="54"/>
      <c r="FW235" s="54"/>
      <c r="FX235" s="54"/>
      <c r="FY235" s="54"/>
      <c r="FZ235" s="54"/>
      <c r="GA235" s="54"/>
      <c r="GB235" s="54"/>
      <c r="GC235" s="54"/>
      <c r="GD235" s="54"/>
      <c r="GE235" s="54"/>
      <c r="GF235" s="54"/>
      <c r="GG235" s="54"/>
      <c r="GH235" s="54"/>
      <c r="GI235" s="54"/>
      <c r="GJ235" s="54"/>
      <c r="GK235" s="54"/>
      <c r="GL235" s="54"/>
      <c r="GM235" s="54"/>
      <c r="GN235" s="54"/>
      <c r="GO235" s="54"/>
      <c r="GP235" s="54"/>
      <c r="GQ235" s="54"/>
      <c r="GR235" s="54"/>
      <c r="GS235" s="54"/>
      <c r="GT235" s="54"/>
      <c r="GU235" s="54"/>
      <c r="GV235" s="54"/>
      <c r="GW235" s="54"/>
      <c r="GX235" s="54"/>
      <c r="GY235" s="54"/>
      <c r="GZ235" s="54"/>
      <c r="HA235" s="54"/>
      <c r="HB235" s="54"/>
      <c r="HC235" s="54"/>
      <c r="HD235" s="54"/>
      <c r="HE235" s="54"/>
      <c r="HF235" s="54"/>
      <c r="HG235" s="54"/>
      <c r="HH235" s="54"/>
      <c r="HI235" s="54"/>
      <c r="HJ235" s="54"/>
      <c r="HK235" s="54"/>
      <c r="HL235" s="54"/>
      <c r="HM235" s="54"/>
      <c r="HN235" s="54"/>
      <c r="HO235" s="54"/>
      <c r="HP235" s="54"/>
      <c r="HQ235" s="54"/>
      <c r="HR235" s="54"/>
      <c r="HS235" s="54"/>
      <c r="HT235" s="54"/>
      <c r="HU235" s="54"/>
      <c r="HV235" s="54"/>
      <c r="HW235" s="54"/>
      <c r="HX235" s="142"/>
      <c r="HY235" s="142"/>
      <c r="HZ235" s="142"/>
      <c r="IA235" s="142"/>
      <c r="IB235" s="142"/>
      <c r="IC235" s="142"/>
      <c r="ID235" s="142"/>
      <c r="IE235" s="142"/>
      <c r="IF235" s="142"/>
      <c r="IG235" s="142"/>
      <c r="IH235" s="142"/>
      <c r="II235" s="142"/>
      <c r="IJ235" s="142"/>
      <c r="IK235" s="142"/>
      <c r="IL235" s="142"/>
      <c r="IM235" s="142"/>
      <c r="IN235" s="142"/>
      <c r="IO235" s="142"/>
      <c r="IP235" s="142"/>
      <c r="IQ235" s="142"/>
      <c r="IR235" s="142"/>
      <c r="IS235" s="142"/>
      <c r="IT235" s="142"/>
      <c r="IU235" s="142"/>
      <c r="IV235" s="142"/>
      <c r="IW235" s="142"/>
      <c r="IX235" s="142"/>
      <c r="IY235" s="142"/>
      <c r="IZ235" s="142"/>
      <c r="JA235" s="142"/>
      <c r="JB235" s="142"/>
      <c r="JC235" s="142"/>
      <c r="JD235" s="142"/>
      <c r="JE235" s="142"/>
      <c r="JF235" s="142"/>
      <c r="JG235" s="142"/>
      <c r="JH235" s="142"/>
      <c r="JI235" s="142"/>
      <c r="JJ235" s="142"/>
      <c r="JK235" s="142"/>
      <c r="JL235" s="142"/>
      <c r="JM235" s="142"/>
      <c r="JN235" s="142"/>
      <c r="JO235" s="142"/>
      <c r="JP235" s="142"/>
      <c r="JQ235" s="142"/>
      <c r="JR235" s="142"/>
      <c r="JS235" s="142"/>
      <c r="JT235" s="142"/>
      <c r="JU235" s="142"/>
      <c r="JV235" s="142"/>
      <c r="JW235" s="142"/>
      <c r="JX235" s="142"/>
      <c r="JY235" s="142"/>
      <c r="JZ235" s="142"/>
      <c r="KA235" s="142"/>
      <c r="KB235" s="142"/>
      <c r="KC235" s="142"/>
      <c r="KD235" s="142"/>
      <c r="KE235" s="142"/>
      <c r="KF235" s="142"/>
      <c r="KG235" s="142"/>
      <c r="KH235" s="142"/>
      <c r="KI235" s="142"/>
      <c r="KJ235" s="142"/>
      <c r="KK235" s="142"/>
      <c r="KL235" s="142"/>
      <c r="KM235" s="142"/>
      <c r="KN235" s="142"/>
      <c r="KO235" s="142"/>
      <c r="KP235" s="142"/>
      <c r="KQ235" s="142"/>
      <c r="KR235" s="142"/>
      <c r="KS235" s="142"/>
      <c r="KT235" s="142"/>
      <c r="KU235" s="54"/>
      <c r="KV235" s="54"/>
      <c r="KW235" s="54"/>
      <c r="KX235" s="54"/>
    </row>
    <row r="236" ht="5.2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c r="AL236" s="54"/>
      <c r="AM236" s="142"/>
      <c r="AN236" s="142"/>
      <c r="AO236" s="142"/>
      <c r="AP236" s="142"/>
      <c r="AQ236" s="142"/>
      <c r="AR236" s="142"/>
      <c r="AS236" s="142"/>
      <c r="AT236" s="142"/>
      <c r="AU236" s="142"/>
      <c r="AV236" s="142"/>
      <c r="AW236" s="142"/>
      <c r="AX236" s="142"/>
      <c r="AY236" s="142"/>
      <c r="AZ236" s="142"/>
      <c r="BA236" s="142"/>
      <c r="BB236" s="142"/>
      <c r="BC236" s="142"/>
      <c r="BD236" s="142"/>
      <c r="BE236" s="142"/>
      <c r="BF236" s="142"/>
      <c r="BG236" s="142"/>
      <c r="BH236" s="142"/>
      <c r="BI236" s="142"/>
      <c r="BJ236" s="142"/>
      <c r="BK236" s="142"/>
      <c r="BL236" s="142"/>
      <c r="BM236" s="142"/>
      <c r="BN236" s="142"/>
      <c r="BO236" s="142"/>
      <c r="BP236" s="142"/>
      <c r="BQ236" s="142"/>
      <c r="BR236" s="142"/>
      <c r="BS236" s="142"/>
      <c r="BT236" s="142"/>
      <c r="BU236" s="142"/>
      <c r="BV236" s="142"/>
      <c r="BW236" s="142"/>
      <c r="BX236" s="142"/>
      <c r="BY236" s="142"/>
      <c r="BZ236" s="142"/>
      <c r="CA236" s="142"/>
      <c r="CB236" s="142"/>
      <c r="CC236" s="142"/>
      <c r="CD236" s="142"/>
      <c r="CE236" s="142"/>
      <c r="CF236" s="142"/>
      <c r="CG236" s="142"/>
      <c r="CH236" s="142"/>
      <c r="CI236" s="142"/>
      <c r="CJ236" s="142"/>
      <c r="CK236" s="142"/>
      <c r="CL236" s="142"/>
      <c r="CM236" s="142"/>
      <c r="CN236" s="142"/>
      <c r="CO236" s="142"/>
      <c r="CP236" s="142"/>
      <c r="CQ236" s="142"/>
      <c r="CR236" s="142"/>
      <c r="CS236" s="142"/>
      <c r="CT236" s="142"/>
      <c r="CU236" s="142"/>
      <c r="CV236" s="142"/>
      <c r="CW236" s="142"/>
      <c r="CX236" s="142"/>
      <c r="CY236" s="142"/>
      <c r="CZ236" s="142"/>
      <c r="DA236" s="142"/>
      <c r="DB236" s="142"/>
      <c r="DC236" s="142"/>
      <c r="DD236" s="142"/>
      <c r="DE236" s="142"/>
      <c r="DF236" s="142"/>
      <c r="DG236" s="142"/>
      <c r="DH236" s="142"/>
      <c r="DI236" s="142"/>
      <c r="DJ236" s="142"/>
      <c r="DK236" s="142"/>
      <c r="DL236" s="142"/>
      <c r="DM236" s="142"/>
      <c r="DN236" s="142"/>
      <c r="DO236" s="142"/>
      <c r="DP236" s="142"/>
      <c r="DQ236" s="142"/>
      <c r="DR236" s="142"/>
      <c r="DS236" s="142"/>
      <c r="DT236" s="142"/>
      <c r="DU236" s="142"/>
      <c r="DV236" s="142"/>
      <c r="DW236" s="142"/>
      <c r="DX236" s="142"/>
      <c r="DY236" s="142"/>
      <c r="DZ236" s="142"/>
      <c r="EA236" s="142"/>
      <c r="EB236" s="142"/>
      <c r="EC236" s="142"/>
      <c r="ED236" s="142"/>
      <c r="EE236" s="142"/>
      <c r="EF236" s="142"/>
      <c r="EG236" s="142"/>
      <c r="EH236" s="142"/>
      <c r="EI236" s="142"/>
      <c r="EJ236" s="142"/>
      <c r="EK236" s="142"/>
      <c r="EL236" s="142"/>
      <c r="EM236" s="142"/>
      <c r="EN236" s="142"/>
      <c r="EO236" s="142"/>
      <c r="EP236" s="142"/>
      <c r="EQ236" s="142"/>
      <c r="ER236" s="142"/>
      <c r="ES236" s="142"/>
      <c r="ET236" s="142"/>
      <c r="EU236" s="142"/>
      <c r="EV236" s="142"/>
      <c r="EW236" s="142"/>
      <c r="EX236" s="142"/>
      <c r="EY236" s="142"/>
      <c r="EZ236" s="142"/>
      <c r="FA236" s="142"/>
      <c r="FB236" s="142"/>
      <c r="FC236" s="142"/>
      <c r="FD236" s="142"/>
      <c r="FE236" s="142"/>
      <c r="FF236" s="142"/>
      <c r="FG236" s="142"/>
      <c r="FH236" s="142"/>
      <c r="FI236" s="142"/>
      <c r="FJ236" s="142"/>
      <c r="FK236" s="142"/>
      <c r="FL236" s="142"/>
      <c r="FM236" s="142"/>
      <c r="FN236" s="142"/>
      <c r="FO236" s="142"/>
      <c r="FP236" s="142"/>
      <c r="FQ236" s="142"/>
      <c r="FR236" s="142"/>
      <c r="FS236" s="142"/>
      <c r="FT236" s="142"/>
      <c r="FU236" s="142"/>
      <c r="FV236" s="142"/>
      <c r="FW236" s="142"/>
      <c r="FX236" s="142"/>
      <c r="FY236" s="142"/>
      <c r="FZ236" s="142"/>
      <c r="GA236" s="142"/>
      <c r="GB236" s="142"/>
      <c r="GC236" s="142"/>
      <c r="GD236" s="142"/>
      <c r="GE236" s="142"/>
      <c r="GF236" s="142"/>
      <c r="GG236" s="142"/>
      <c r="GH236" s="142"/>
      <c r="GI236" s="142"/>
      <c r="GJ236" s="142"/>
      <c r="GK236" s="142"/>
      <c r="GL236" s="142"/>
      <c r="GM236" s="142"/>
      <c r="GN236" s="142"/>
      <c r="GO236" s="142"/>
      <c r="GP236" s="142"/>
      <c r="GQ236" s="142"/>
      <c r="GR236" s="142"/>
      <c r="GS236" s="142"/>
      <c r="GT236" s="142"/>
      <c r="GU236" s="142"/>
      <c r="GV236" s="142"/>
      <c r="GW236" s="142"/>
      <c r="GX236" s="142"/>
      <c r="GY236" s="142"/>
      <c r="GZ236" s="142"/>
      <c r="HA236" s="142"/>
      <c r="HB236" s="142"/>
      <c r="HC236" s="142"/>
      <c r="HD236" s="142"/>
      <c r="HE236" s="142"/>
      <c r="HF236" s="142"/>
      <c r="HG236" s="142"/>
      <c r="HH236" s="142"/>
      <c r="HI236" s="142"/>
      <c r="HJ236" s="142"/>
      <c r="HK236" s="142"/>
      <c r="HL236" s="142"/>
      <c r="HM236" s="142"/>
      <c r="HN236" s="142"/>
      <c r="HO236" s="142"/>
      <c r="HP236" s="142"/>
      <c r="HQ236" s="142"/>
      <c r="HR236" s="142"/>
      <c r="HS236" s="142"/>
      <c r="HT236" s="142"/>
      <c r="HU236" s="54"/>
      <c r="HV236" s="54"/>
      <c r="HW236" s="54"/>
      <c r="HX236" s="142"/>
      <c r="HY236" s="142"/>
      <c r="HZ236" s="142"/>
      <c r="IA236" s="142"/>
      <c r="IB236" s="142"/>
      <c r="IC236" s="142"/>
      <c r="ID236" s="142"/>
      <c r="IE236" s="142"/>
      <c r="IF236" s="142"/>
      <c r="IG236" s="142"/>
      <c r="IH236" s="142"/>
      <c r="II236" s="142"/>
      <c r="IJ236" s="142"/>
      <c r="IK236" s="142"/>
      <c r="IL236" s="142"/>
      <c r="IM236" s="142"/>
      <c r="IN236" s="142"/>
      <c r="IO236" s="142"/>
      <c r="IP236" s="142"/>
      <c r="IQ236" s="142"/>
      <c r="IR236" s="142"/>
      <c r="IS236" s="142"/>
      <c r="IT236" s="142"/>
      <c r="IU236" s="142"/>
      <c r="IV236" s="142"/>
      <c r="IW236" s="142"/>
      <c r="IX236" s="142"/>
      <c r="IY236" s="142"/>
      <c r="IZ236" s="142"/>
      <c r="JA236" s="142"/>
      <c r="JB236" s="142"/>
      <c r="JC236" s="142"/>
      <c r="JD236" s="142"/>
      <c r="JE236" s="142"/>
      <c r="JF236" s="142"/>
      <c r="JG236" s="142"/>
      <c r="JH236" s="142"/>
      <c r="JI236" s="142"/>
      <c r="JJ236" s="142"/>
      <c r="JK236" s="142"/>
      <c r="JL236" s="142"/>
      <c r="JM236" s="142"/>
      <c r="JN236" s="142"/>
      <c r="JO236" s="142"/>
      <c r="JP236" s="142"/>
      <c r="JQ236" s="142"/>
      <c r="JR236" s="142"/>
      <c r="JS236" s="142"/>
      <c r="JT236" s="142"/>
      <c r="JU236" s="142"/>
      <c r="JV236" s="142"/>
      <c r="JW236" s="142"/>
      <c r="JX236" s="142"/>
      <c r="JY236" s="142"/>
      <c r="JZ236" s="142"/>
      <c r="KA236" s="142"/>
      <c r="KB236" s="142"/>
      <c r="KC236" s="142"/>
      <c r="KD236" s="142"/>
      <c r="KE236" s="142"/>
      <c r="KF236" s="142"/>
      <c r="KG236" s="142"/>
      <c r="KH236" s="142"/>
      <c r="KI236" s="142"/>
      <c r="KJ236" s="142"/>
      <c r="KK236" s="142"/>
      <c r="KL236" s="142"/>
      <c r="KM236" s="142"/>
      <c r="KN236" s="142"/>
      <c r="KO236" s="142"/>
      <c r="KP236" s="142"/>
      <c r="KQ236" s="142"/>
      <c r="KR236" s="142"/>
      <c r="KS236" s="142"/>
      <c r="KT236" s="142"/>
      <c r="KU236" s="54"/>
      <c r="KV236" s="54"/>
      <c r="KW236" s="54"/>
      <c r="KX236" s="54"/>
    </row>
    <row r="237" ht="5.2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c r="AL237" s="54"/>
      <c r="AM237" s="142"/>
      <c r="AN237" s="142"/>
      <c r="AO237" s="142"/>
      <c r="AP237" s="142"/>
      <c r="AQ237" s="142"/>
      <c r="AR237" s="142"/>
      <c r="AS237" s="142"/>
      <c r="AT237" s="142"/>
      <c r="AU237" s="142"/>
      <c r="AV237" s="142"/>
      <c r="AW237" s="142"/>
      <c r="AX237" s="142"/>
      <c r="AY237" s="142"/>
      <c r="AZ237" s="142"/>
      <c r="BA237" s="142"/>
      <c r="BB237" s="142"/>
      <c r="BC237" s="142"/>
      <c r="BD237" s="142"/>
      <c r="BE237" s="142"/>
      <c r="BF237" s="142"/>
      <c r="BG237" s="142"/>
      <c r="BH237" s="142"/>
      <c r="BI237" s="142"/>
      <c r="BJ237" s="142"/>
      <c r="BK237" s="142"/>
      <c r="BL237" s="142"/>
      <c r="BM237" s="142"/>
      <c r="BN237" s="142"/>
      <c r="BO237" s="142"/>
      <c r="BP237" s="142"/>
      <c r="BQ237" s="142"/>
      <c r="BR237" s="142"/>
      <c r="BS237" s="142"/>
      <c r="BT237" s="142"/>
      <c r="BU237" s="142"/>
      <c r="BV237" s="142"/>
      <c r="BW237" s="142"/>
      <c r="BX237" s="142"/>
      <c r="BY237" s="142"/>
      <c r="BZ237" s="142"/>
      <c r="CA237" s="142"/>
      <c r="CB237" s="142"/>
      <c r="CC237" s="142"/>
      <c r="CD237" s="142"/>
      <c r="CE237" s="142"/>
      <c r="CF237" s="142"/>
      <c r="CG237" s="142"/>
      <c r="CH237" s="142"/>
      <c r="CI237" s="142"/>
      <c r="CJ237" s="142"/>
      <c r="CK237" s="142"/>
      <c r="CL237" s="142"/>
      <c r="CM237" s="142"/>
      <c r="CN237" s="142"/>
      <c r="CO237" s="142"/>
      <c r="CP237" s="142"/>
      <c r="CQ237" s="142"/>
      <c r="CR237" s="142"/>
      <c r="CS237" s="142"/>
      <c r="CT237" s="142"/>
      <c r="CU237" s="142"/>
      <c r="CV237" s="142"/>
      <c r="CW237" s="142"/>
      <c r="CX237" s="142"/>
      <c r="CY237" s="142"/>
      <c r="CZ237" s="142"/>
      <c r="DA237" s="142"/>
      <c r="DB237" s="142"/>
      <c r="DC237" s="142"/>
      <c r="DD237" s="142"/>
      <c r="DE237" s="142"/>
      <c r="DF237" s="142"/>
      <c r="DG237" s="142"/>
      <c r="DH237" s="142"/>
      <c r="DI237" s="142"/>
      <c r="DJ237" s="142"/>
      <c r="DK237" s="142"/>
      <c r="DL237" s="142"/>
      <c r="DM237" s="142"/>
      <c r="DN237" s="142"/>
      <c r="DO237" s="142"/>
      <c r="DP237" s="142"/>
      <c r="DQ237" s="142"/>
      <c r="DR237" s="142"/>
      <c r="DS237" s="142"/>
      <c r="DT237" s="142"/>
      <c r="DU237" s="142"/>
      <c r="DV237" s="142"/>
      <c r="DW237" s="142"/>
      <c r="DX237" s="142"/>
      <c r="DY237" s="142"/>
      <c r="DZ237" s="142"/>
      <c r="EA237" s="142"/>
      <c r="EB237" s="142"/>
      <c r="EC237" s="142"/>
      <c r="ED237" s="142"/>
      <c r="EE237" s="142"/>
      <c r="EF237" s="142"/>
      <c r="EG237" s="142"/>
      <c r="EH237" s="142"/>
      <c r="EI237" s="142"/>
      <c r="EJ237" s="142"/>
      <c r="EK237" s="142"/>
      <c r="EL237" s="142"/>
      <c r="EM237" s="142"/>
      <c r="EN237" s="142"/>
      <c r="EO237" s="142"/>
      <c r="EP237" s="142"/>
      <c r="EQ237" s="142"/>
      <c r="ER237" s="142"/>
      <c r="ES237" s="142"/>
      <c r="ET237" s="142"/>
      <c r="EU237" s="142"/>
      <c r="EV237" s="142"/>
      <c r="EW237" s="142"/>
      <c r="EX237" s="142"/>
      <c r="EY237" s="142"/>
      <c r="EZ237" s="142"/>
      <c r="FA237" s="142"/>
      <c r="FB237" s="142"/>
      <c r="FC237" s="142"/>
      <c r="FD237" s="142"/>
      <c r="FE237" s="142"/>
      <c r="FF237" s="142"/>
      <c r="FG237" s="142"/>
      <c r="FH237" s="142"/>
      <c r="FI237" s="142"/>
      <c r="FJ237" s="142"/>
      <c r="FK237" s="142"/>
      <c r="FL237" s="142"/>
      <c r="FM237" s="142"/>
      <c r="FN237" s="142"/>
      <c r="FO237" s="142"/>
      <c r="FP237" s="142"/>
      <c r="FQ237" s="142"/>
      <c r="FR237" s="142"/>
      <c r="FS237" s="142"/>
      <c r="FT237" s="142"/>
      <c r="FU237" s="142"/>
      <c r="FV237" s="142"/>
      <c r="FW237" s="142"/>
      <c r="FX237" s="142"/>
      <c r="FY237" s="142"/>
      <c r="FZ237" s="142"/>
      <c r="GA237" s="142"/>
      <c r="GB237" s="142"/>
      <c r="GC237" s="142"/>
      <c r="GD237" s="142"/>
      <c r="GE237" s="142"/>
      <c r="GF237" s="142"/>
      <c r="GG237" s="142"/>
      <c r="GH237" s="142"/>
      <c r="GI237" s="142"/>
      <c r="GJ237" s="142"/>
      <c r="GK237" s="142"/>
      <c r="GL237" s="142"/>
      <c r="GM237" s="142"/>
      <c r="GN237" s="142"/>
      <c r="GO237" s="142"/>
      <c r="GP237" s="142"/>
      <c r="GQ237" s="142"/>
      <c r="GR237" s="142"/>
      <c r="GS237" s="142"/>
      <c r="GT237" s="142"/>
      <c r="GU237" s="142"/>
      <c r="GV237" s="142"/>
      <c r="GW237" s="142"/>
      <c r="GX237" s="142"/>
      <c r="GY237" s="142"/>
      <c r="GZ237" s="142"/>
      <c r="HA237" s="142"/>
      <c r="HB237" s="142"/>
      <c r="HC237" s="142"/>
      <c r="HD237" s="142"/>
      <c r="HE237" s="142"/>
      <c r="HF237" s="142"/>
      <c r="HG237" s="142"/>
      <c r="HH237" s="142"/>
      <c r="HI237" s="142"/>
      <c r="HJ237" s="142"/>
      <c r="HK237" s="142"/>
      <c r="HL237" s="142"/>
      <c r="HM237" s="142"/>
      <c r="HN237" s="142"/>
      <c r="HO237" s="142"/>
      <c r="HP237" s="142"/>
      <c r="HQ237" s="142"/>
      <c r="HR237" s="142"/>
      <c r="HS237" s="142"/>
      <c r="HT237" s="142"/>
      <c r="HU237" s="54"/>
      <c r="HV237" s="54"/>
      <c r="HW237" s="54"/>
      <c r="HX237" s="142"/>
      <c r="HY237" s="142"/>
      <c r="HZ237" s="142"/>
      <c r="IA237" s="142"/>
      <c r="IB237" s="142"/>
      <c r="IC237" s="142"/>
      <c r="ID237" s="142"/>
      <c r="IE237" s="142"/>
      <c r="IF237" s="142"/>
      <c r="IG237" s="142"/>
      <c r="IH237" s="142"/>
      <c r="II237" s="142"/>
      <c r="IJ237" s="142"/>
      <c r="IK237" s="142"/>
      <c r="IL237" s="142"/>
      <c r="IM237" s="142"/>
      <c r="IN237" s="142"/>
      <c r="IO237" s="142"/>
      <c r="IP237" s="142"/>
      <c r="IQ237" s="142"/>
      <c r="IR237" s="142"/>
      <c r="IS237" s="142"/>
      <c r="IT237" s="142"/>
      <c r="IU237" s="142"/>
      <c r="IV237" s="142"/>
      <c r="IW237" s="142"/>
      <c r="IX237" s="142"/>
      <c r="IY237" s="142"/>
      <c r="IZ237" s="142"/>
      <c r="JA237" s="142"/>
      <c r="JB237" s="142"/>
      <c r="JC237" s="142"/>
      <c r="JD237" s="142"/>
      <c r="JE237" s="142"/>
      <c r="JF237" s="142"/>
      <c r="JG237" s="142"/>
      <c r="JH237" s="142"/>
      <c r="JI237" s="142"/>
      <c r="JJ237" s="142"/>
      <c r="JK237" s="142"/>
      <c r="JL237" s="142"/>
      <c r="JM237" s="142"/>
      <c r="JN237" s="142"/>
      <c r="JO237" s="142"/>
      <c r="JP237" s="142"/>
      <c r="JQ237" s="142"/>
      <c r="JR237" s="142"/>
      <c r="JS237" s="142"/>
      <c r="JT237" s="142"/>
      <c r="JU237" s="142"/>
      <c r="JV237" s="142"/>
      <c r="JW237" s="142"/>
      <c r="JX237" s="142"/>
      <c r="JY237" s="142"/>
      <c r="JZ237" s="142"/>
      <c r="KA237" s="142"/>
      <c r="KB237" s="142"/>
      <c r="KC237" s="142"/>
      <c r="KD237" s="142"/>
      <c r="KE237" s="142"/>
      <c r="KF237" s="142"/>
      <c r="KG237" s="142"/>
      <c r="KH237" s="142"/>
      <c r="KI237" s="142"/>
      <c r="KJ237" s="142"/>
      <c r="KK237" s="142"/>
      <c r="KL237" s="142"/>
      <c r="KM237" s="142"/>
      <c r="KN237" s="142"/>
      <c r="KO237" s="142"/>
      <c r="KP237" s="142"/>
      <c r="KQ237" s="142"/>
      <c r="KR237" s="142"/>
      <c r="KS237" s="142"/>
      <c r="KT237" s="142"/>
      <c r="KU237" s="54"/>
      <c r="KV237" s="54"/>
      <c r="KW237" s="54"/>
      <c r="KX237" s="54"/>
    </row>
  </sheetData>
  <mergeCells count="636">
    <mergeCell ref="DR43:DT45"/>
    <mergeCell ref="DU43:EC45"/>
    <mergeCell ref="DD39:DG42"/>
    <mergeCell ref="DH39:EC42"/>
    <mergeCell ref="ED39:EG42"/>
    <mergeCell ref="EH39:EK42"/>
    <mergeCell ref="DD43:DK45"/>
    <mergeCell ref="DL43:DN45"/>
    <mergeCell ref="DO43:DQ45"/>
    <mergeCell ref="EU36:EW38"/>
    <mergeCell ref="EX36:EZ38"/>
    <mergeCell ref="FA36:FC38"/>
    <mergeCell ref="EL39:FG42"/>
    <mergeCell ref="FH39:FK42"/>
    <mergeCell ref="EU43:EW45"/>
    <mergeCell ref="EX43:EZ45"/>
    <mergeCell ref="EL60:FG63"/>
    <mergeCell ref="FH60:FK63"/>
    <mergeCell ref="EL67:FG70"/>
    <mergeCell ref="FH67:FK70"/>
    <mergeCell ref="FA43:FC45"/>
    <mergeCell ref="EL46:FG49"/>
    <mergeCell ref="FH46:FK49"/>
    <mergeCell ref="EX50:EZ52"/>
    <mergeCell ref="FA50:FC52"/>
    <mergeCell ref="EL53:FG56"/>
    <mergeCell ref="FH53:FK56"/>
    <mergeCell ref="EU71:EW73"/>
    <mergeCell ref="EX71:EZ73"/>
    <mergeCell ref="FA71:FC73"/>
    <mergeCell ref="EU50:EW52"/>
    <mergeCell ref="EU57:EW59"/>
    <mergeCell ref="EX57:EZ59"/>
    <mergeCell ref="FA57:FC59"/>
    <mergeCell ref="EU64:EW66"/>
    <mergeCell ref="EX64:EZ66"/>
    <mergeCell ref="FA64:FC66"/>
    <mergeCell ref="EU15:EW17"/>
    <mergeCell ref="EX15:EZ17"/>
    <mergeCell ref="EL18:FG21"/>
    <mergeCell ref="FH18:FK21"/>
    <mergeCell ref="DD7:FK11"/>
    <mergeCell ref="DD12:EG14"/>
    <mergeCell ref="EH12:FK14"/>
    <mergeCell ref="DD15:DK17"/>
    <mergeCell ref="DL15:DN17"/>
    <mergeCell ref="DO15:DQ17"/>
    <mergeCell ref="DR15:DT17"/>
    <mergeCell ref="FA15:FC17"/>
    <mergeCell ref="DR22:DT24"/>
    <mergeCell ref="DU22:EC24"/>
    <mergeCell ref="ED22:EG24"/>
    <mergeCell ref="EH22:EK24"/>
    <mergeCell ref="EU22:EW24"/>
    <mergeCell ref="EX22:EZ24"/>
    <mergeCell ref="FA22:FC24"/>
    <mergeCell ref="EL25:FG28"/>
    <mergeCell ref="FH25:FK28"/>
    <mergeCell ref="DL29:DN31"/>
    <mergeCell ref="DO29:DQ31"/>
    <mergeCell ref="DR29:DT31"/>
    <mergeCell ref="DU29:EC31"/>
    <mergeCell ref="ED29:EG31"/>
    <mergeCell ref="EH29:EK31"/>
    <mergeCell ref="EU29:EW31"/>
    <mergeCell ref="EX29:EZ31"/>
    <mergeCell ref="FA29:FC31"/>
    <mergeCell ref="EL32:FG35"/>
    <mergeCell ref="FH32:FK35"/>
    <mergeCell ref="DR50:DT52"/>
    <mergeCell ref="DU50:EC52"/>
    <mergeCell ref="DD46:DG49"/>
    <mergeCell ref="DH46:EC49"/>
    <mergeCell ref="ED46:EG49"/>
    <mergeCell ref="EH46:EK49"/>
    <mergeCell ref="DD50:DK52"/>
    <mergeCell ref="DL50:DN52"/>
    <mergeCell ref="DO50:DQ52"/>
    <mergeCell ref="DR57:DT59"/>
    <mergeCell ref="DU57:EC59"/>
    <mergeCell ref="ED57:EG59"/>
    <mergeCell ref="EH57:EK59"/>
    <mergeCell ref="ED50:EG52"/>
    <mergeCell ref="EH50:EK52"/>
    <mergeCell ref="DD53:DG56"/>
    <mergeCell ref="DH53:EC56"/>
    <mergeCell ref="ED53:EG56"/>
    <mergeCell ref="EH53:EK56"/>
    <mergeCell ref="DD57:DK59"/>
    <mergeCell ref="DR64:DT66"/>
    <mergeCell ref="DU64:EC66"/>
    <mergeCell ref="ED64:EG66"/>
    <mergeCell ref="EH64:EK66"/>
    <mergeCell ref="DL57:DN59"/>
    <mergeCell ref="DO57:DQ59"/>
    <mergeCell ref="DD60:DG63"/>
    <mergeCell ref="DH60:EC63"/>
    <mergeCell ref="ED60:EG63"/>
    <mergeCell ref="EH60:EK63"/>
    <mergeCell ref="DD64:DK66"/>
    <mergeCell ref="DU15:EC17"/>
    <mergeCell ref="ED15:EK17"/>
    <mergeCell ref="DD18:DG21"/>
    <mergeCell ref="DH18:EC21"/>
    <mergeCell ref="ED18:EG21"/>
    <mergeCell ref="EH18:EK21"/>
    <mergeCell ref="DD22:DK24"/>
    <mergeCell ref="DL22:DN24"/>
    <mergeCell ref="DO22:DQ24"/>
    <mergeCell ref="DD25:DG28"/>
    <mergeCell ref="DH25:EC28"/>
    <mergeCell ref="ED25:EG28"/>
    <mergeCell ref="EH25:EK28"/>
    <mergeCell ref="DD29:DK31"/>
    <mergeCell ref="DR36:DT38"/>
    <mergeCell ref="DU36:EC38"/>
    <mergeCell ref="ED36:EG38"/>
    <mergeCell ref="EH36:EK38"/>
    <mergeCell ref="DD32:DG35"/>
    <mergeCell ref="DH32:EC35"/>
    <mergeCell ref="ED32:EG35"/>
    <mergeCell ref="EH32:EK35"/>
    <mergeCell ref="DD36:DK38"/>
    <mergeCell ref="DL36:DN38"/>
    <mergeCell ref="DO36:DQ38"/>
    <mergeCell ref="ED43:EG45"/>
    <mergeCell ref="EH43:EK45"/>
    <mergeCell ref="DL71:DN73"/>
    <mergeCell ref="DO71:DQ73"/>
    <mergeCell ref="ED129:EK131"/>
    <mergeCell ref="EU129:EW131"/>
    <mergeCell ref="GP129:GW131"/>
    <mergeCell ref="HG129:HI131"/>
    <mergeCell ref="HJ129:HL131"/>
    <mergeCell ref="HM129:HO131"/>
    <mergeCell ref="CL129:CN131"/>
    <mergeCell ref="CO129:CQ131"/>
    <mergeCell ref="DD129:DK131"/>
    <mergeCell ref="DL129:DN131"/>
    <mergeCell ref="DO129:DQ131"/>
    <mergeCell ref="DR129:DT131"/>
    <mergeCell ref="DU129:EC131"/>
    <mergeCell ref="AR129:AY131"/>
    <mergeCell ref="AZ129:BB131"/>
    <mergeCell ref="BC129:BE131"/>
    <mergeCell ref="BF129:BH131"/>
    <mergeCell ref="BI129:BQ131"/>
    <mergeCell ref="BR129:BY131"/>
    <mergeCell ref="CI129:CK131"/>
    <mergeCell ref="GP132:GS135"/>
    <mergeCell ref="GT132:GW135"/>
    <mergeCell ref="GX132:HS135"/>
    <mergeCell ref="HT132:HW135"/>
    <mergeCell ref="DH132:EC135"/>
    <mergeCell ref="ED132:EG135"/>
    <mergeCell ref="EH132:EK135"/>
    <mergeCell ref="EL132:FG135"/>
    <mergeCell ref="FH132:FK135"/>
    <mergeCell ref="FP132:FS135"/>
    <mergeCell ref="FT132:GO135"/>
    <mergeCell ref="AR132:AU135"/>
    <mergeCell ref="AV132:BQ135"/>
    <mergeCell ref="BR132:BU135"/>
    <mergeCell ref="BV132:BY135"/>
    <mergeCell ref="BZ132:CU135"/>
    <mergeCell ref="CV132:CY135"/>
    <mergeCell ref="DD132:DG135"/>
    <mergeCell ref="AR136:AY138"/>
    <mergeCell ref="AZ136:BB138"/>
    <mergeCell ref="BC136:BE138"/>
    <mergeCell ref="BF136:BH138"/>
    <mergeCell ref="BI136:BQ138"/>
    <mergeCell ref="BR136:BU138"/>
    <mergeCell ref="BV136:BY138"/>
    <mergeCell ref="CI136:CK138"/>
    <mergeCell ref="CL136:CN138"/>
    <mergeCell ref="CO136:CQ138"/>
    <mergeCell ref="DD136:DK138"/>
    <mergeCell ref="DL136:DN138"/>
    <mergeCell ref="DO136:DQ138"/>
    <mergeCell ref="DR136:DT138"/>
    <mergeCell ref="DU136:EC138"/>
    <mergeCell ref="ED136:EG138"/>
    <mergeCell ref="EH136:EK138"/>
    <mergeCell ref="EU136:EW138"/>
    <mergeCell ref="EX136:EZ138"/>
    <mergeCell ref="FA136:FC138"/>
    <mergeCell ref="FP136:FW138"/>
    <mergeCell ref="GT143:GW145"/>
    <mergeCell ref="HG143:HI145"/>
    <mergeCell ref="GP139:GS142"/>
    <mergeCell ref="GT139:GW142"/>
    <mergeCell ref="GX139:HS142"/>
    <mergeCell ref="HT139:HW142"/>
    <mergeCell ref="GD143:GF145"/>
    <mergeCell ref="GG143:GO145"/>
    <mergeCell ref="GP143:GS145"/>
    <mergeCell ref="HJ136:HL138"/>
    <mergeCell ref="HM136:HO138"/>
    <mergeCell ref="FX136:FZ138"/>
    <mergeCell ref="GA136:GC138"/>
    <mergeCell ref="GD136:GF138"/>
    <mergeCell ref="GG136:GO138"/>
    <mergeCell ref="GP136:GS138"/>
    <mergeCell ref="GT136:GW138"/>
    <mergeCell ref="HG136:HI138"/>
    <mergeCell ref="DH139:EC142"/>
    <mergeCell ref="ED139:EG142"/>
    <mergeCell ref="EH139:EK142"/>
    <mergeCell ref="EL139:FG142"/>
    <mergeCell ref="FH139:FK142"/>
    <mergeCell ref="FP139:FS142"/>
    <mergeCell ref="FT139:GO142"/>
    <mergeCell ref="AR139:AU142"/>
    <mergeCell ref="AV139:BQ142"/>
    <mergeCell ref="BR139:BU142"/>
    <mergeCell ref="BV139:BY142"/>
    <mergeCell ref="BZ139:CU142"/>
    <mergeCell ref="CV139:CY142"/>
    <mergeCell ref="DD139:DG142"/>
    <mergeCell ref="AR143:AY145"/>
    <mergeCell ref="AZ143:BB145"/>
    <mergeCell ref="BC143:BE145"/>
    <mergeCell ref="BF143:BH145"/>
    <mergeCell ref="BI143:BQ145"/>
    <mergeCell ref="BR143:BU145"/>
    <mergeCell ref="BV143:BY145"/>
    <mergeCell ref="CI143:CK145"/>
    <mergeCell ref="CL143:CN145"/>
    <mergeCell ref="CO143:CQ145"/>
    <mergeCell ref="DD143:DK145"/>
    <mergeCell ref="DL143:DN145"/>
    <mergeCell ref="DO143:DQ145"/>
    <mergeCell ref="DR143:DT145"/>
    <mergeCell ref="HJ143:HL145"/>
    <mergeCell ref="HM143:HO145"/>
    <mergeCell ref="FX143:FZ145"/>
    <mergeCell ref="GA143:GC145"/>
    <mergeCell ref="GA172:GC174"/>
    <mergeCell ref="GD172:GF174"/>
    <mergeCell ref="GG172:GI174"/>
    <mergeCell ref="FR175:GM178"/>
    <mergeCell ref="GN175:GQ178"/>
    <mergeCell ref="DU143:EC145"/>
    <mergeCell ref="ED143:EG145"/>
    <mergeCell ref="EH143:EK145"/>
    <mergeCell ref="EU143:EW145"/>
    <mergeCell ref="EX143:EZ145"/>
    <mergeCell ref="FA143:FC145"/>
    <mergeCell ref="FP143:FW145"/>
    <mergeCell ref="DR150:DT152"/>
    <mergeCell ref="DU150:EC152"/>
    <mergeCell ref="ED150:EG152"/>
    <mergeCell ref="EH150:EK152"/>
    <mergeCell ref="DD146:DG149"/>
    <mergeCell ref="DH146:EC149"/>
    <mergeCell ref="ED146:EG149"/>
    <mergeCell ref="EH146:EK149"/>
    <mergeCell ref="EL146:FG149"/>
    <mergeCell ref="FH146:FK149"/>
    <mergeCell ref="DD150:DK152"/>
    <mergeCell ref="FA150:FC152"/>
    <mergeCell ref="DL157:DN159"/>
    <mergeCell ref="DO157:DQ159"/>
    <mergeCell ref="EJ164:GQ168"/>
    <mergeCell ref="EJ169:FM171"/>
    <mergeCell ref="FN169:GQ171"/>
    <mergeCell ref="EU150:EW152"/>
    <mergeCell ref="EX150:EZ152"/>
    <mergeCell ref="EL153:FG156"/>
    <mergeCell ref="FH153:FK156"/>
    <mergeCell ref="EU157:EW159"/>
    <mergeCell ref="EX157:EZ159"/>
    <mergeCell ref="FA157:FC159"/>
    <mergeCell ref="ED157:EG159"/>
    <mergeCell ref="EH157:EK159"/>
    <mergeCell ref="DL150:DN152"/>
    <mergeCell ref="DO150:DQ152"/>
    <mergeCell ref="DD153:DG156"/>
    <mergeCell ref="DH153:EC156"/>
    <mergeCell ref="ED153:EG156"/>
    <mergeCell ref="EH153:EK156"/>
    <mergeCell ref="DD157:DK159"/>
    <mergeCell ref="CO172:CW174"/>
    <mergeCell ref="CX172:DE174"/>
    <mergeCell ref="DO172:DQ174"/>
    <mergeCell ref="DR172:DT174"/>
    <mergeCell ref="EJ172:EQ174"/>
    <mergeCell ref="ER172:ET174"/>
    <mergeCell ref="EU172:EW174"/>
    <mergeCell ref="EX172:EZ174"/>
    <mergeCell ref="FA172:FI174"/>
    <mergeCell ref="FJ172:FQ174"/>
    <mergeCell ref="DR157:DT159"/>
    <mergeCell ref="DU157:EC159"/>
    <mergeCell ref="BX164:EE168"/>
    <mergeCell ref="BX169:DA171"/>
    <mergeCell ref="DB169:EE171"/>
    <mergeCell ref="BX172:CE174"/>
    <mergeCell ref="CF172:CH174"/>
    <mergeCell ref="DU172:DW174"/>
    <mergeCell ref="EB175:EE178"/>
    <mergeCell ref="EJ175:EM178"/>
    <mergeCell ref="EN175:FI178"/>
    <mergeCell ref="FJ175:FM178"/>
    <mergeCell ref="FN175:FQ178"/>
    <mergeCell ref="CI172:CK174"/>
    <mergeCell ref="CL172:CN174"/>
    <mergeCell ref="BX175:CA178"/>
    <mergeCell ref="CB175:CW178"/>
    <mergeCell ref="CX175:DA178"/>
    <mergeCell ref="DB175:DE178"/>
    <mergeCell ref="DF175:EA178"/>
    <mergeCell ref="EN189:FI192"/>
    <mergeCell ref="FJ189:FM192"/>
    <mergeCell ref="FN189:FQ192"/>
    <mergeCell ref="FR189:GM192"/>
    <mergeCell ref="GN189:GQ192"/>
    <mergeCell ref="BX189:CA192"/>
    <mergeCell ref="CB189:CW192"/>
    <mergeCell ref="CX189:DA192"/>
    <mergeCell ref="DB189:DE192"/>
    <mergeCell ref="DF189:EA192"/>
    <mergeCell ref="EB189:EE192"/>
    <mergeCell ref="EJ189:EM192"/>
    <mergeCell ref="FA179:FI181"/>
    <mergeCell ref="FJ179:FM181"/>
    <mergeCell ref="FN179:FQ181"/>
    <mergeCell ref="GA179:GC181"/>
    <mergeCell ref="GD179:GF181"/>
    <mergeCell ref="GG179:GI181"/>
    <mergeCell ref="DO179:DQ181"/>
    <mergeCell ref="DR179:DT181"/>
    <mergeCell ref="DU179:DW181"/>
    <mergeCell ref="EJ179:EQ181"/>
    <mergeCell ref="ER179:ET181"/>
    <mergeCell ref="EU179:EW181"/>
    <mergeCell ref="EX179:EZ181"/>
    <mergeCell ref="BX179:CE181"/>
    <mergeCell ref="CF179:CH181"/>
    <mergeCell ref="CI179:CK181"/>
    <mergeCell ref="CL179:CN181"/>
    <mergeCell ref="CO179:CW181"/>
    <mergeCell ref="CX179:DA181"/>
    <mergeCell ref="DB179:DE181"/>
    <mergeCell ref="EN182:FI185"/>
    <mergeCell ref="FJ182:FM185"/>
    <mergeCell ref="FN182:FQ185"/>
    <mergeCell ref="FR182:GM185"/>
    <mergeCell ref="GN182:GQ185"/>
    <mergeCell ref="BX182:CA185"/>
    <mergeCell ref="CB182:CW185"/>
    <mergeCell ref="CX182:DA185"/>
    <mergeCell ref="DB182:DE185"/>
    <mergeCell ref="DF182:EA185"/>
    <mergeCell ref="EB182:EE185"/>
    <mergeCell ref="EJ182:EM185"/>
    <mergeCell ref="FA186:FI188"/>
    <mergeCell ref="FJ186:FM188"/>
    <mergeCell ref="FN186:FQ188"/>
    <mergeCell ref="GA186:GC188"/>
    <mergeCell ref="GD186:GF188"/>
    <mergeCell ref="GG186:GI188"/>
    <mergeCell ref="FN193:FQ195"/>
    <mergeCell ref="GA193:GC195"/>
    <mergeCell ref="GD193:GF195"/>
    <mergeCell ref="GG193:GI195"/>
    <mergeCell ref="BX193:CE195"/>
    <mergeCell ref="CF193:CH195"/>
    <mergeCell ref="CI193:CK195"/>
    <mergeCell ref="CL193:CN195"/>
    <mergeCell ref="CO193:CW195"/>
    <mergeCell ref="CX193:DA195"/>
    <mergeCell ref="DB193:DE195"/>
    <mergeCell ref="DU208:EC210"/>
    <mergeCell ref="ED208:EK210"/>
    <mergeCell ref="DD211:DG214"/>
    <mergeCell ref="DH211:EC214"/>
    <mergeCell ref="ED211:EG214"/>
    <mergeCell ref="EH211:EK214"/>
    <mergeCell ref="DD215:DK217"/>
    <mergeCell ref="DR222:DT224"/>
    <mergeCell ref="DU222:EC224"/>
    <mergeCell ref="ED222:EG224"/>
    <mergeCell ref="EH222:EK224"/>
    <mergeCell ref="DL215:DN217"/>
    <mergeCell ref="DO215:DQ217"/>
    <mergeCell ref="DD218:DG221"/>
    <mergeCell ref="DH218:EC221"/>
    <mergeCell ref="ED218:EG221"/>
    <mergeCell ref="EH218:EK221"/>
    <mergeCell ref="DD222:DK224"/>
    <mergeCell ref="DR229:DT231"/>
    <mergeCell ref="DU229:EC231"/>
    <mergeCell ref="ED229:EG231"/>
    <mergeCell ref="EH229:EK231"/>
    <mergeCell ref="DD225:DG228"/>
    <mergeCell ref="DH225:EC228"/>
    <mergeCell ref="ED225:EG228"/>
    <mergeCell ref="EH225:EK228"/>
    <mergeCell ref="DD229:DK231"/>
    <mergeCell ref="DL229:DN231"/>
    <mergeCell ref="DO229:DQ231"/>
    <mergeCell ref="FA193:FI195"/>
    <mergeCell ref="FJ193:FM195"/>
    <mergeCell ref="DO193:DQ195"/>
    <mergeCell ref="DR193:DT195"/>
    <mergeCell ref="DU193:DW195"/>
    <mergeCell ref="EJ193:EQ195"/>
    <mergeCell ref="ER193:ET195"/>
    <mergeCell ref="EU193:EW195"/>
    <mergeCell ref="EX193:EZ195"/>
    <mergeCell ref="EU208:EW210"/>
    <mergeCell ref="EX208:EZ210"/>
    <mergeCell ref="EL211:FG214"/>
    <mergeCell ref="FH211:FK214"/>
    <mergeCell ref="DD200:FK204"/>
    <mergeCell ref="DD205:EG207"/>
    <mergeCell ref="EH205:FK207"/>
    <mergeCell ref="DD208:DK210"/>
    <mergeCell ref="DL208:DN210"/>
    <mergeCell ref="DO208:DQ210"/>
    <mergeCell ref="DR208:DT210"/>
    <mergeCell ref="FA208:FC210"/>
    <mergeCell ref="DR215:DT217"/>
    <mergeCell ref="DU215:EC217"/>
    <mergeCell ref="ED215:EG217"/>
    <mergeCell ref="EH215:EK217"/>
    <mergeCell ref="EU215:EW217"/>
    <mergeCell ref="EX215:EZ217"/>
    <mergeCell ref="FA215:FC217"/>
    <mergeCell ref="EL218:FG221"/>
    <mergeCell ref="FH218:FK221"/>
    <mergeCell ref="EU229:EW231"/>
    <mergeCell ref="EX229:EZ231"/>
    <mergeCell ref="FA229:FC231"/>
    <mergeCell ref="DL222:DN224"/>
    <mergeCell ref="DO222:DQ224"/>
    <mergeCell ref="EU222:EW224"/>
    <mergeCell ref="EX222:EZ224"/>
    <mergeCell ref="FA222:FC224"/>
    <mergeCell ref="EL225:FG228"/>
    <mergeCell ref="FH225:FK228"/>
    <mergeCell ref="FA93:FI95"/>
    <mergeCell ref="FJ93:FM95"/>
    <mergeCell ref="DO93:DQ95"/>
    <mergeCell ref="DR93:DT95"/>
    <mergeCell ref="DU93:DW95"/>
    <mergeCell ref="EJ93:EQ95"/>
    <mergeCell ref="ER93:ET95"/>
    <mergeCell ref="EU93:EW95"/>
    <mergeCell ref="EX93:EZ95"/>
    <mergeCell ref="ER100:ET102"/>
    <mergeCell ref="EU100:EW102"/>
    <mergeCell ref="EX100:EZ102"/>
    <mergeCell ref="FA100:FI102"/>
    <mergeCell ref="EN103:FI106"/>
    <mergeCell ref="FJ103:FM106"/>
    <mergeCell ref="FN103:FQ106"/>
    <mergeCell ref="FA107:FI109"/>
    <mergeCell ref="FJ107:FM109"/>
    <mergeCell ref="FN107:FQ109"/>
    <mergeCell ref="FJ100:FM102"/>
    <mergeCell ref="FN100:FQ102"/>
    <mergeCell ref="GA100:GC102"/>
    <mergeCell ref="GD100:GF102"/>
    <mergeCell ref="FR103:GM106"/>
    <mergeCell ref="GN103:GQ106"/>
    <mergeCell ref="GA107:GC109"/>
    <mergeCell ref="GD107:GF109"/>
    <mergeCell ref="GG107:GI109"/>
    <mergeCell ref="EJ96:EM99"/>
    <mergeCell ref="EN96:FI99"/>
    <mergeCell ref="FJ96:FM99"/>
    <mergeCell ref="FN96:FQ99"/>
    <mergeCell ref="FR96:GM99"/>
    <mergeCell ref="GN96:GQ99"/>
    <mergeCell ref="EJ100:EQ102"/>
    <mergeCell ref="GG100:GI102"/>
    <mergeCell ref="ED71:EG73"/>
    <mergeCell ref="EH71:EK73"/>
    <mergeCell ref="EJ78:GQ82"/>
    <mergeCell ref="EJ83:FM85"/>
    <mergeCell ref="FN83:GQ85"/>
    <mergeCell ref="DL64:DN66"/>
    <mergeCell ref="DO64:DQ66"/>
    <mergeCell ref="DD67:DG70"/>
    <mergeCell ref="DH67:EC70"/>
    <mergeCell ref="ED67:EG70"/>
    <mergeCell ref="EH67:EK70"/>
    <mergeCell ref="DD71:DK73"/>
    <mergeCell ref="CO86:CW88"/>
    <mergeCell ref="CX86:DE88"/>
    <mergeCell ref="FJ86:FQ88"/>
    <mergeCell ref="GA86:GC88"/>
    <mergeCell ref="GD86:GF88"/>
    <mergeCell ref="GG86:GI88"/>
    <mergeCell ref="FN93:FQ95"/>
    <mergeCell ref="GA93:GC95"/>
    <mergeCell ref="GD93:GF95"/>
    <mergeCell ref="GG93:GI95"/>
    <mergeCell ref="DO86:DQ88"/>
    <mergeCell ref="DR86:DT88"/>
    <mergeCell ref="EJ86:EQ88"/>
    <mergeCell ref="ER86:ET88"/>
    <mergeCell ref="EU86:EW88"/>
    <mergeCell ref="EX86:EZ88"/>
    <mergeCell ref="FA86:FI88"/>
    <mergeCell ref="EB89:EE92"/>
    <mergeCell ref="EJ89:EM92"/>
    <mergeCell ref="EN89:FI92"/>
    <mergeCell ref="FJ89:FM92"/>
    <mergeCell ref="FN89:FQ92"/>
    <mergeCell ref="FR89:GM92"/>
    <mergeCell ref="GN89:GQ92"/>
    <mergeCell ref="BX93:CE95"/>
    <mergeCell ref="CF93:CH95"/>
    <mergeCell ref="CI93:CK95"/>
    <mergeCell ref="CL93:CN95"/>
    <mergeCell ref="CO93:CW95"/>
    <mergeCell ref="CX93:DA95"/>
    <mergeCell ref="DB93:DE95"/>
    <mergeCell ref="DR71:DT73"/>
    <mergeCell ref="DU71:EC73"/>
    <mergeCell ref="BX78:EE82"/>
    <mergeCell ref="BX83:DA85"/>
    <mergeCell ref="DB83:EE85"/>
    <mergeCell ref="BX86:CE88"/>
    <mergeCell ref="CF86:CH88"/>
    <mergeCell ref="DU86:DW88"/>
    <mergeCell ref="CI86:CK88"/>
    <mergeCell ref="CL86:CN88"/>
    <mergeCell ref="BX89:CA92"/>
    <mergeCell ref="CB89:CW92"/>
    <mergeCell ref="CX89:DA92"/>
    <mergeCell ref="DB89:DE92"/>
    <mergeCell ref="DF89:EA92"/>
    <mergeCell ref="CL100:CN102"/>
    <mergeCell ref="CO100:CW102"/>
    <mergeCell ref="CX100:DA102"/>
    <mergeCell ref="DB100:DE102"/>
    <mergeCell ref="DO100:DQ102"/>
    <mergeCell ref="DR100:DT102"/>
    <mergeCell ref="DF103:EA106"/>
    <mergeCell ref="EB103:EE106"/>
    <mergeCell ref="EJ103:EM106"/>
    <mergeCell ref="BX96:CA99"/>
    <mergeCell ref="CB96:CW99"/>
    <mergeCell ref="CX96:DA99"/>
    <mergeCell ref="DB96:DE99"/>
    <mergeCell ref="DF96:EA99"/>
    <mergeCell ref="EB96:EE99"/>
    <mergeCell ref="BX100:CE102"/>
    <mergeCell ref="DU100:DW102"/>
    <mergeCell ref="EU107:EW109"/>
    <mergeCell ref="EX107:EZ109"/>
    <mergeCell ref="CF107:CH109"/>
    <mergeCell ref="CI107:CK109"/>
    <mergeCell ref="DO107:DQ109"/>
    <mergeCell ref="DR107:DT109"/>
    <mergeCell ref="DU107:DW109"/>
    <mergeCell ref="EJ107:EQ109"/>
    <mergeCell ref="ER107:ET109"/>
    <mergeCell ref="FA114:FI116"/>
    <mergeCell ref="FJ114:FM116"/>
    <mergeCell ref="FN114:FQ116"/>
    <mergeCell ref="GA114:GC116"/>
    <mergeCell ref="GD114:GF116"/>
    <mergeCell ref="GG114:GI116"/>
    <mergeCell ref="DO114:DQ116"/>
    <mergeCell ref="DR114:DT116"/>
    <mergeCell ref="DU114:DW116"/>
    <mergeCell ref="EJ114:EQ116"/>
    <mergeCell ref="ER114:ET116"/>
    <mergeCell ref="EU114:EW116"/>
    <mergeCell ref="EX114:EZ116"/>
    <mergeCell ref="DD121:FK125"/>
    <mergeCell ref="FP121:HW125"/>
    <mergeCell ref="AR121:CY125"/>
    <mergeCell ref="AR126:BU128"/>
    <mergeCell ref="BV126:CY128"/>
    <mergeCell ref="DD126:EG128"/>
    <mergeCell ref="EH126:FK128"/>
    <mergeCell ref="FP126:GS128"/>
    <mergeCell ref="GT126:HW128"/>
    <mergeCell ref="CL107:CN109"/>
    <mergeCell ref="CO107:CW109"/>
    <mergeCell ref="CX107:DA109"/>
    <mergeCell ref="DB107:DE109"/>
    <mergeCell ref="CF100:CH102"/>
    <mergeCell ref="CI100:CK102"/>
    <mergeCell ref="BX103:CA106"/>
    <mergeCell ref="CB103:CW106"/>
    <mergeCell ref="CX103:DA106"/>
    <mergeCell ref="DB103:DE106"/>
    <mergeCell ref="BX107:CE109"/>
    <mergeCell ref="EN110:FI113"/>
    <mergeCell ref="FJ110:FM113"/>
    <mergeCell ref="FN110:FQ113"/>
    <mergeCell ref="FR110:GM113"/>
    <mergeCell ref="GN110:GQ113"/>
    <mergeCell ref="BX110:CA113"/>
    <mergeCell ref="CB110:CW113"/>
    <mergeCell ref="CX110:DA113"/>
    <mergeCell ref="DB110:DE113"/>
    <mergeCell ref="DF110:EA113"/>
    <mergeCell ref="EB110:EE113"/>
    <mergeCell ref="EJ110:EM113"/>
    <mergeCell ref="BX114:CE116"/>
    <mergeCell ref="CF114:CH116"/>
    <mergeCell ref="CI114:CK116"/>
    <mergeCell ref="CL114:CN116"/>
    <mergeCell ref="CO114:CW116"/>
    <mergeCell ref="CX114:DA116"/>
    <mergeCell ref="DB114:DE116"/>
    <mergeCell ref="EX129:EZ131"/>
    <mergeCell ref="FA129:FC131"/>
    <mergeCell ref="FP129:FW131"/>
    <mergeCell ref="FX129:FZ131"/>
    <mergeCell ref="GA129:GC131"/>
    <mergeCell ref="GD129:GF131"/>
    <mergeCell ref="GG129:GO131"/>
    <mergeCell ref="DO186:DQ188"/>
    <mergeCell ref="DR186:DT188"/>
    <mergeCell ref="DU186:DW188"/>
    <mergeCell ref="EJ186:EQ188"/>
    <mergeCell ref="ER186:ET188"/>
    <mergeCell ref="EU186:EW188"/>
    <mergeCell ref="EX186:EZ188"/>
    <mergeCell ref="BX186:CE188"/>
    <mergeCell ref="CF186:CH188"/>
    <mergeCell ref="CI186:CK188"/>
    <mergeCell ref="CL186:CN188"/>
    <mergeCell ref="CO186:CW188"/>
    <mergeCell ref="CX186:DA188"/>
    <mergeCell ref="DB186:DE188"/>
  </mergeCells>
  <conditionalFormatting sqref="DH18:EC21 DH25:EC28 DH32:EC35 DH39:EC42 DH46:EC49 DH53:EC56 DH60:EC62 DH67 CB89:CW92 EN89:FI92 CB96:CW99 EN96:FI99 CB103:CW106 EN103:FI106 CB110:CW113 EN110:FI113 AV132:BQ135 DH132:EC135 FT132:GO135 AV139:BQ142 DH139:EC142 FT139:GO142 DH146:EC149 DH153:EC156 CB175:CW178 EN175:FI178 CB182:CW185 EN182:FI185 CB189:CW192 EN189:FI192 DH211:EC214 DH218:EC221 DH225:EC228">
    <cfRule type="expression" dxfId="4" priority="1">
      <formula>ED18&gt;EH18</formula>
    </cfRule>
  </conditionalFormatting>
  <conditionalFormatting sqref="DD18:DG21 DD25:DG28 DD32:DG35 DD39:DG42 DD46:DG49 DD53:DG56 DD60:DG62 DD67:DG69 BX89:CA92 EJ89:EM92 BX96:CA99 EJ96:EM99 BX103:CA106 EJ103:EM106 BX110:CA113 EJ110:EM113 AR132:AU135 DD132:DG135 FP132:FS135 AR139:AU142 DD139:DG142 FP139:FS142 DD146:DG149 DD153:DG156 BX175:CA178 EJ175:EM178 BX182:CA185 EJ182:EM185 BX189:CA192 EJ189:EM192 DD211:DG214 DD218:DG221 DD225:DG228">
    <cfRule type="expression" dxfId="4" priority="2">
      <formula>ED18&gt;EH18</formula>
    </cfRule>
  </conditionalFormatting>
  <conditionalFormatting sqref="EL18:FG21 EL25:FG28 EL32:FG35 EL39:FG42 EL46:FG49 EL53:FG56 EL60:FG63 EL67:FG70 DF89:EA92 FR89:GM92 DF96:EA99 FR96:GM99 DF103:EA106 FR103:GM106 DF110:EA113 FR110:GM113 BZ132:CU135 EL132:FG135 GX132:HS135 BZ139:CU142 EL139:FG142 GX139:HS142 EL146:FG149 EL153:FG156 DF175:EA178 FR175:GM178 DF182:EA185 FR182:GM185 DF189:EA192 FR189:GM192 EL211:FG214 EL218:FG221 EL225:FG228">
    <cfRule type="expression" dxfId="4" priority="3">
      <formula>EH18&gt;ED18</formula>
    </cfRule>
  </conditionalFormatting>
  <conditionalFormatting sqref="FH18:FK21 FH25:FK28 FH32:FK35 FH39:FK42 FH46:FK49 FH53:FK56 FH60:FK63 FH67:FK70 EB89:EE92 GN89:GQ92 EB96:EE99 GN96:GQ99 EB103:EE106 GN103:GQ106 EB110:EE113 GN110:GQ113 CV132:CY135 FH132:FK135 HT132:HW135 CV139:CY142 FH139:FK142 HT139:HW142 FH146:FK149 FH153:FK156 EB175:EE178 GN175:GQ178 EB182:EE185 GN182:GQ185 EB189:EE192 GN189:GQ192 FH211:FK214 FH218:FK221 FH225:FK228">
    <cfRule type="expression" dxfId="4" priority="4">
      <formula>EH18&gt;ED18</formula>
    </cfRule>
  </conditionalFormatting>
  <conditionalFormatting sqref="ED18:EG21 ED25:EG28 ED32:EG35 ED39:EG42 ED46:EG49 ED53:EG56 ED60:EG63 ED67:EG70 CX89:DA92 FJ89:FM92 CX96:DA99 FJ96:FM99 CX103:DA106 FJ103:FM106 CX110:DA113 FJ110:FM113 BR132:BU135 ED132:EG135 GP132:GS135 BR139:BU142 ED139:EG142 GP139:GS142 ED146:EG149 ED153:EG156 CX175:DA178 FJ175:FM178 CX182:DA185 FJ182:FM185 CX189:DA192 FJ189:FM192 ED211:EG214 ED218:EG221 ED225:EG228">
    <cfRule type="expression" dxfId="5" priority="5">
      <formula>ED18&gt;EH18</formula>
    </cfRule>
  </conditionalFormatting>
  <conditionalFormatting sqref="EH18:EK21 EH25:EK28 EH32:EK35 EH39:EK42 EH46:EK49 EH53:EK56 EH60:EK63 EH67:EK70 DB89:DE92 FN89:FQ92 DB96:DE99 FN96:FQ99 DB103:DE106 FN103:FQ106 DB110:DE113 FN110:FQ113 BV132:BY135 EH132:EK135 GT132:GW135 BV139:BY142 EH139:EK142 GT139:GW142 EH146:EK149 EH153:EK156 DB175:DE178 FN175:FQ178 DB182:DE185 FN182:FQ185 DB189:DE192 FN189:FQ192 EH211:EK214 EH218:EK221 EH225:EK228">
    <cfRule type="expression" dxfId="5" priority="6">
      <formula>EH18&gt;ED18</formula>
    </cfRule>
  </conditionalFormatting>
  <conditionalFormatting sqref="DL22:DN24 DL29:DN31 DL36:DN38 DL43:DN45 DL50:DN52 DL57:DN59 DL64:DN66 DL71:DN73 CF93:CH95 ER93:ET95 CF100:CH102 ER100:ET102 CF107:CH109 ER107:ET109 CF114:CH116 ER114:ET116 AZ136:BB138 DL136:DN138 FX136:FZ138 AZ143:BB145 DL143:DN145 FX143:FZ145 DL150:DN152 DL157:DN159 CF179:CH181 ER179:ET181 CF186:CH188 ER186:ET188 CF193:CH195 ER193:ET195 DL215:DN217 DL222:DN224 DL229:DN231">
    <cfRule type="expression" dxfId="6" priority="7">
      <formula>DL22&gt;FA22</formula>
    </cfRule>
  </conditionalFormatting>
  <conditionalFormatting sqref="DO22:DQ24 DO29:DQ31 DO36:DQ38 DO43:DQ45 DO50:DQ52 DO57:DQ59 DO64:DQ66 DO71:DQ73 CI93:CK95 EU93:EW95 CI100:CK102 EU100:EW102 CI107:CK109 EU107:EW109 CI114:CK116 EU114:EW116 BC136:BE138 DO136:DQ138 GA136:GC138 BC143:BE145 DO143:DQ145 GA143:GC145 DO150:DQ152 DO157:DQ159 CI179:CK181 EU179:EW181 CI186:CK188 EU186:EW188 CI193:CK195 EU193:EW195 DO215:DQ217 DO222:DQ224 DO229:DQ231">
    <cfRule type="expression" dxfId="6" priority="8">
      <formula>DO22&gt;EX22</formula>
    </cfRule>
  </conditionalFormatting>
  <conditionalFormatting sqref="DR22:DT24 DR29:DT31 DR36:DT38 DR43:DT45 DR50:DT52 DR57:DT59 DR64:DT66 DR71:DT73 CL93:CN95 EX93:EZ95 CL100:CN102 EX100:EZ102 CL107:CN109 EX107:EZ109 CL114:CN116 EX114:EZ116 BF136:BH138 DR136:DT138 GD136:GF138 BF143:BH145 DR143:DT145 GD143:GF145 DR150:DT152 DR157:DT159 CL179:CN181 EX179:EZ181 CL186:CN188 EX186:EZ188 CL193:CN195 EX193:EZ195 DR215:DT217 DR222:DT224 DR229:DT231">
    <cfRule type="expression" dxfId="6" priority="9">
      <formula>DR22&gt;EU22</formula>
    </cfRule>
  </conditionalFormatting>
  <conditionalFormatting sqref="DL22:DN24 DL29:DN31 DL36:DN38 DL43:DN45 DL50:DN52 DL57:DN59 DL64:DN66 DL71:DN73 CF93:CH95 ER93:ET95 CF100:CH102 ER100:ET102 CF107:CH109 ER107:ET109 CF114:CH116 ER114:ET116 AZ136:BB138 DL136:DN138 FX136:FZ138 AZ143:BB145 DL143:DN145 FX143:FZ145 DL150:DN152 DL157:DN159 CF179:CH181 ER179:ET181 CF186:CH188 ER186:ET188 CF193:CH195 ER193:ET195 DL215:DN217 DL222:DN224 DL229:DN231">
    <cfRule type="expression" dxfId="7" priority="10">
      <formula>DL22&lt;FA22</formula>
    </cfRule>
  </conditionalFormatting>
  <conditionalFormatting sqref="DO22:DQ24 DO29:DQ31 DO36:DQ38 DO43:DQ45 DO50:DQ52 DO57:DQ59 DO64:DQ66 DO71:DQ73 CI93:CK95 EU93:EW95 CI100:CK102 EU100:EW102 CI107:CK109 EU107:EW109 CI114:CK116 EU114:EW116 BC136:BE138 DO136:DQ138 GA136:GC138 BC143:BE145 DO143:DQ145 GA143:GC145 DO150:DQ152 DO157:DQ159 CI179:CK181 EU179:EW181 CI186:CK188 EU186:EW188 CI193:CK195 EU193:EW195 DO215:DQ217 DO222:DQ224 DO229:DQ231">
    <cfRule type="expression" dxfId="7" priority="11">
      <formula>DO22&lt;EX22</formula>
    </cfRule>
  </conditionalFormatting>
  <conditionalFormatting sqref="DR22:DT24 DR29:DT31 DR36:DT38 DR43:DT45 DR50:DT52 DR57:DT59 DR64:DT66 DR71:DT73 CL93:CN95 EX93:EZ95 CL100:CN102 EX100:EZ102 CL107:CN109 EX107:EZ109 CL114:CN116 EX114:EZ116 BF136:BH138 DR136:DT138 GD136:GF138 BF143:BH145 DR143:DT145 GD143:GF145 DR150:DT152 DR157:DT159 CL179:CN181 EX179:EZ181 CL186:CN188 EX186:EZ188 CL193:CN195 EX193:EZ195 DR215:DT217 DR222:DT224 DR229:DT231">
    <cfRule type="expression" dxfId="7" priority="12">
      <formula>DR22&lt;EU22</formula>
    </cfRule>
  </conditionalFormatting>
  <conditionalFormatting sqref="FA22:FC24 FA29:FC31 FA36:FC38 FA43:FC45 FA50:FC52 FA57:FC59 FA64:FC66 FA71:FC73 DU93:DW95 GG93:GI95 DU100:DW102 GG100:GI102 DU107:DW109 GG107:GI109 DU114:DW116 GG114:GI116 CO136:CQ138 FA136:FC138 HM136:HO138 CO143:CQ145 FA143:FC145 HM143:HO145 FA150:FC152 FA157:FC159 DU179:DW181 GG179:GI181 DU186:DW188 GG186:GI188 DU193:DW195 GG193:GI195 FA215:FC217 FA222:FC224 FA229:FC231">
    <cfRule type="expression" dxfId="6" priority="13">
      <formula>FA22&gt;DL22</formula>
    </cfRule>
  </conditionalFormatting>
  <conditionalFormatting sqref="FA22:FC24 FA29:FC31 FA36:FC38 FA43:FC45 FA50:FC52 FA57:FC59 FA64:FC66 FA71:FC73 DU93:DW95 GG93:GI95 DU100:DW102 GG100:GI102 DU107:DW109 GG107:GI109 DU114:DW116 GG114:GI116 CO136:CQ138 FA136:FC138 HM136:HO138 CO143:CQ145 FA143:FC145 HM143:HO145 FA150:FC152 FA157:FC159 DU179:DW181 GG179:GI181 DU186:DW188 GG186:GI188 DU193:DW195 GG193:GI195 FA215:FC217 FA222:FC224 FA229:FC231">
    <cfRule type="expression" dxfId="7" priority="14">
      <formula>FA22&lt;DL22</formula>
    </cfRule>
  </conditionalFormatting>
  <conditionalFormatting sqref="EX22:EZ24 EX29:EZ31 EX36:EZ38 EX43:EZ45 EX50:EZ52 EX57:EZ59 EX64:EZ66 EX71:EZ73 DR93:DT95 GD93:GF95 DR100:DT102 GD100:GF102 DR107:DT109 GD107:GF109 DR114:DT116 GD114:GF116 CL136:CN138 EX136:EZ138 HJ136:HL138 CL143:CN145 EX143:EZ145 HJ143:HL145 EX150:EZ152 EX157:EZ159 DR179:DT181 GD179:GF181 DR186:DT188 GD186:GF188 DR193:DT195 GD193:GF195 EX215:EZ217 EX222:EZ224 EX229:EZ231">
    <cfRule type="expression" dxfId="6" priority="15">
      <formula>EX22&gt;DO22</formula>
    </cfRule>
  </conditionalFormatting>
  <conditionalFormatting sqref="EX22:EZ24 EX29:EZ31 EX36:EZ38 EX43:EZ45 EX50:EZ52 EX57:EZ59 EX64:EZ66 EX71:EZ73 DR93:DT95 GD93:GF95 DR100:DT102 GD100:GF102 DR107:DT109 GD107:GF109 DR114:DT116 GD114:GF116 CL136:CN138 EX136:EZ138 HJ136:HL138 CL143:CN145 EX143:EZ145 HJ143:HL145 EX150:EZ152 EX157:EZ159 DR179:DT181 GD179:GF181 DR186:DT188 GD186:GF188 DR193:DT195 GD193:GF195 EX215:EZ217 EX222:EZ224 EX229:EZ231">
    <cfRule type="expression" dxfId="7" priority="16">
      <formula>EX22&lt;DO22</formula>
    </cfRule>
  </conditionalFormatting>
  <conditionalFormatting sqref="EU22:EW24 EU29:EW31 EU36:EW38 EU43:EW45 EU50:EW52 EU57:EW59 EU64:EW66 EU71:EW73 DO93:DQ95 GA93:GC95 DO100:DQ102 GA100:GC102 DO107:DQ109 GA107:GC109 DO114:DQ116 GA114:GC116 CI136:CK138 EU136:EW138 HG136:HI138 CI143:CK145 EU143:EW145 HG143:HI145 EU150:EW152 EU157:EW159 DO179:DQ181 GA179:GC181 DO186:DQ188 GA186:GC188 DO193:DQ195 GA193:GC195 EU215:EW217 EU222:EW224 EU229:EW231">
    <cfRule type="expression" dxfId="6" priority="17">
      <formula>EU22&gt;DR22</formula>
    </cfRule>
  </conditionalFormatting>
  <conditionalFormatting sqref="EU22:EW24 EU29:EW31 EU36:EW38 EU43:EW45 EU50:EW52 EU57:EW59 EU64:EW66 EU71:EW73 DO93:DQ95 GA93:GC95 DO100:DQ102 GA100:GC102 DO107:DQ109 GA107:GC109 DO114:DQ116 GA114:GC116 CI136:CK138 EU136:EW138 HG136:HI138 CI143:CK145 EU143:EW145 HG143:HI145 EU150:EW152 EU157:EW159 DO179:DQ181 GA179:GC181 DO186:DQ188 GA186:GC188 DO193:DQ195 GA193:GC195 EU215:EW217 EU222:EW224 EU229:EW231">
    <cfRule type="expression" dxfId="7" priority="18">
      <formula>EU22&lt;DR22</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showGridLines="0" workbookViewId="0"/>
  </sheetViews>
  <sheetFormatPr customHeight="1" defaultColWidth="12.63" defaultRowHeight="15.75"/>
  <cols>
    <col customWidth="1" min="1" max="310" width="0.88"/>
  </cols>
  <sheetData>
    <row r="1" ht="5.25" customHeight="1">
      <c r="A1" s="54"/>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4"/>
      <c r="GJ1" s="54"/>
      <c r="GK1" s="54"/>
      <c r="GL1" s="54"/>
      <c r="GM1" s="54"/>
      <c r="GN1" s="54"/>
      <c r="GO1" s="54"/>
      <c r="GP1" s="54"/>
      <c r="GQ1" s="54"/>
      <c r="GR1" s="54"/>
      <c r="GS1" s="54"/>
      <c r="GT1" s="54"/>
      <c r="GU1" s="54"/>
      <c r="GV1" s="54"/>
      <c r="GW1" s="54"/>
      <c r="GX1" s="54"/>
      <c r="GY1" s="54"/>
      <c r="GZ1" s="54"/>
      <c r="HA1" s="54"/>
      <c r="HB1" s="54"/>
      <c r="HC1" s="54"/>
      <c r="HD1" s="54"/>
      <c r="HE1" s="54"/>
      <c r="HF1" s="54"/>
      <c r="HG1" s="54"/>
      <c r="HH1" s="54"/>
      <c r="HI1" s="54"/>
      <c r="HJ1" s="54"/>
      <c r="HK1" s="54"/>
      <c r="HL1" s="54"/>
      <c r="HM1" s="54"/>
      <c r="HN1" s="54"/>
      <c r="HO1" s="54"/>
      <c r="HP1" s="54"/>
      <c r="HQ1" s="54"/>
      <c r="HR1" s="54"/>
      <c r="HS1" s="54"/>
      <c r="HT1" s="54"/>
      <c r="HU1" s="54"/>
      <c r="HV1" s="54"/>
      <c r="HW1" s="54"/>
      <c r="HX1" s="54"/>
      <c r="HY1" s="54"/>
      <c r="HZ1" s="54"/>
      <c r="IA1" s="54"/>
      <c r="IB1" s="54"/>
      <c r="IC1" s="54"/>
      <c r="ID1" s="54"/>
      <c r="IE1" s="54"/>
      <c r="IF1" s="54"/>
      <c r="IG1" s="54"/>
      <c r="IH1" s="54"/>
      <c r="II1" s="54"/>
      <c r="IJ1" s="54"/>
      <c r="IK1" s="54"/>
      <c r="IL1" s="54"/>
      <c r="IM1" s="54"/>
      <c r="IN1" s="54"/>
      <c r="IO1" s="54"/>
      <c r="IP1" s="54"/>
      <c r="IQ1" s="54"/>
      <c r="IR1" s="54"/>
      <c r="IS1" s="54"/>
      <c r="IT1" s="54"/>
      <c r="IU1" s="54"/>
      <c r="IV1" s="54"/>
      <c r="IW1" s="54"/>
      <c r="IX1" s="54"/>
      <c r="IY1" s="54"/>
      <c r="IZ1" s="54"/>
      <c r="JA1" s="54"/>
      <c r="JB1" s="54"/>
      <c r="JC1" s="54"/>
      <c r="JD1" s="54"/>
      <c r="JE1" s="54"/>
      <c r="JF1" s="54"/>
      <c r="JG1" s="54"/>
      <c r="JH1" s="54"/>
      <c r="JI1" s="54"/>
      <c r="JJ1" s="54"/>
      <c r="JK1" s="54"/>
      <c r="JL1" s="54"/>
      <c r="JM1" s="54"/>
      <c r="JN1" s="54"/>
      <c r="JO1" s="54"/>
      <c r="JP1" s="54"/>
      <c r="JQ1" s="54"/>
      <c r="JR1" s="54"/>
      <c r="JS1" s="54"/>
      <c r="JT1" s="54"/>
      <c r="JU1" s="54"/>
      <c r="JV1" s="54"/>
      <c r="JW1" s="54"/>
      <c r="JX1" s="54"/>
      <c r="JY1" s="54"/>
      <c r="JZ1" s="54"/>
      <c r="KA1" s="54"/>
      <c r="KB1" s="54"/>
      <c r="KC1" s="54"/>
      <c r="KD1" s="54"/>
      <c r="KE1" s="54"/>
      <c r="KF1" s="54"/>
      <c r="KG1" s="54"/>
      <c r="KH1" s="54"/>
      <c r="KI1" s="54"/>
      <c r="KJ1" s="54"/>
      <c r="KK1" s="54"/>
      <c r="KL1" s="54"/>
      <c r="KM1" s="54"/>
      <c r="KN1" s="54"/>
      <c r="KO1" s="54"/>
      <c r="KP1" s="54"/>
      <c r="KQ1" s="54"/>
      <c r="KR1" s="54"/>
      <c r="KS1" s="54"/>
      <c r="KT1" s="54"/>
      <c r="KU1" s="54"/>
      <c r="KV1" s="54"/>
      <c r="KW1" s="54"/>
      <c r="KX1" s="54"/>
    </row>
    <row r="2" ht="5.25" customHeight="1">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c r="CG2" s="54"/>
      <c r="CH2" s="54"/>
      <c r="CI2" s="54"/>
      <c r="CJ2" s="54"/>
      <c r="CK2" s="54"/>
      <c r="CL2" s="54"/>
      <c r="CM2" s="54"/>
      <c r="CN2" s="54"/>
      <c r="CO2" s="54"/>
      <c r="CP2" s="54"/>
      <c r="CQ2" s="54"/>
      <c r="CR2" s="54"/>
      <c r="CS2" s="54"/>
      <c r="CT2" s="54"/>
      <c r="CU2" s="54"/>
      <c r="CV2" s="54"/>
      <c r="CW2" s="54"/>
      <c r="CX2" s="54"/>
      <c r="CY2" s="54"/>
      <c r="CZ2" s="54"/>
      <c r="DA2" s="54"/>
      <c r="DB2" s="54"/>
      <c r="DC2" s="54"/>
      <c r="DD2" s="54"/>
      <c r="DE2" s="54"/>
      <c r="DF2" s="54"/>
      <c r="DG2" s="54"/>
      <c r="DH2" s="54"/>
      <c r="DI2" s="54"/>
      <c r="DJ2" s="54"/>
      <c r="DK2" s="54"/>
      <c r="DL2" s="54"/>
      <c r="DM2" s="54"/>
      <c r="DN2" s="54"/>
      <c r="DO2" s="54"/>
      <c r="DP2" s="54"/>
      <c r="DQ2" s="54"/>
      <c r="DR2" s="54"/>
      <c r="DS2" s="54"/>
      <c r="DT2" s="54"/>
      <c r="DU2" s="54"/>
      <c r="DV2" s="54"/>
      <c r="DW2" s="54"/>
      <c r="DX2" s="54"/>
      <c r="DY2" s="54"/>
      <c r="DZ2" s="54"/>
      <c r="EA2" s="54"/>
      <c r="EB2" s="54"/>
      <c r="EC2" s="54"/>
      <c r="ED2" s="54"/>
      <c r="EE2" s="54"/>
      <c r="EF2" s="54"/>
      <c r="EG2" s="54"/>
      <c r="EH2" s="54"/>
      <c r="EI2" s="54"/>
      <c r="EJ2" s="54"/>
      <c r="EK2" s="54"/>
      <c r="EL2" s="54"/>
      <c r="EM2" s="54"/>
      <c r="EN2" s="54"/>
      <c r="EO2" s="54"/>
      <c r="EP2" s="54"/>
      <c r="EQ2" s="54"/>
      <c r="ER2" s="54"/>
      <c r="ES2" s="54"/>
      <c r="ET2" s="54"/>
      <c r="EU2" s="54"/>
      <c r="EV2" s="54"/>
      <c r="EW2" s="54"/>
      <c r="EX2" s="54"/>
      <c r="EY2" s="54"/>
      <c r="EZ2" s="54"/>
      <c r="FA2" s="54"/>
      <c r="FB2" s="54"/>
      <c r="FC2" s="54"/>
      <c r="FD2" s="54"/>
      <c r="FE2" s="54"/>
      <c r="FF2" s="54"/>
      <c r="FG2" s="54"/>
      <c r="FH2" s="54"/>
      <c r="FI2" s="54"/>
      <c r="FJ2" s="54"/>
      <c r="FK2" s="54"/>
      <c r="FL2" s="54"/>
      <c r="FM2" s="54"/>
      <c r="FN2" s="54"/>
      <c r="FO2" s="54"/>
      <c r="FP2" s="54"/>
      <c r="FQ2" s="54"/>
      <c r="FR2" s="54"/>
      <c r="FS2" s="54"/>
      <c r="FT2" s="54"/>
      <c r="FU2" s="54"/>
      <c r="FV2" s="54"/>
      <c r="FW2" s="54"/>
      <c r="FX2" s="54"/>
      <c r="FY2" s="54"/>
      <c r="FZ2" s="54"/>
      <c r="GA2" s="54"/>
      <c r="GB2" s="54"/>
      <c r="GC2" s="54"/>
      <c r="GD2" s="54"/>
      <c r="GE2" s="54"/>
      <c r="GF2" s="54"/>
      <c r="GG2" s="54"/>
      <c r="GH2" s="54"/>
      <c r="GI2" s="54"/>
      <c r="GJ2" s="54"/>
      <c r="GK2" s="54"/>
      <c r="GL2" s="54"/>
      <c r="GM2" s="54"/>
      <c r="GN2" s="54"/>
      <c r="GO2" s="54"/>
      <c r="GP2" s="54"/>
      <c r="GQ2" s="54"/>
      <c r="GR2" s="54"/>
      <c r="GS2" s="54"/>
      <c r="GT2" s="54"/>
      <c r="GU2" s="54"/>
      <c r="GV2" s="54"/>
      <c r="GW2" s="54"/>
      <c r="GX2" s="54"/>
      <c r="GY2" s="54"/>
      <c r="GZ2" s="54"/>
      <c r="HA2" s="54"/>
      <c r="HB2" s="54"/>
      <c r="HC2" s="54"/>
      <c r="HD2" s="54"/>
      <c r="HE2" s="54"/>
      <c r="HF2" s="54"/>
      <c r="HG2" s="54"/>
      <c r="HH2" s="54"/>
      <c r="HI2" s="54"/>
      <c r="HJ2" s="54"/>
      <c r="HK2" s="54"/>
      <c r="HL2" s="54"/>
      <c r="HM2" s="54"/>
      <c r="HN2" s="54"/>
      <c r="HO2" s="54"/>
      <c r="HP2" s="54"/>
      <c r="HQ2" s="54"/>
      <c r="HR2" s="54"/>
      <c r="HS2" s="54"/>
      <c r="HT2" s="54"/>
      <c r="HU2" s="54"/>
      <c r="HV2" s="54"/>
      <c r="HW2" s="54"/>
      <c r="HX2" s="54"/>
      <c r="HY2" s="54"/>
      <c r="HZ2" s="54"/>
      <c r="IA2" s="54"/>
      <c r="IB2" s="54"/>
      <c r="IC2" s="54"/>
      <c r="ID2" s="54"/>
      <c r="IE2" s="54"/>
      <c r="IF2" s="54"/>
      <c r="IG2" s="54"/>
      <c r="IH2" s="54"/>
      <c r="II2" s="54"/>
      <c r="IJ2" s="54"/>
      <c r="IK2" s="54"/>
      <c r="IL2" s="54"/>
      <c r="IM2" s="54"/>
      <c r="IN2" s="54"/>
      <c r="IO2" s="54"/>
      <c r="IP2" s="54"/>
      <c r="IQ2" s="54"/>
      <c r="IR2" s="54"/>
      <c r="IS2" s="54"/>
      <c r="IT2" s="54"/>
      <c r="IU2" s="54"/>
      <c r="IV2" s="54"/>
      <c r="IW2" s="54"/>
      <c r="IX2" s="54"/>
      <c r="IY2" s="54"/>
      <c r="IZ2" s="54"/>
      <c r="JA2" s="54"/>
      <c r="JB2" s="54"/>
      <c r="JC2" s="54"/>
      <c r="JD2" s="54"/>
      <c r="JE2" s="54"/>
      <c r="JF2" s="54"/>
      <c r="JG2" s="54"/>
      <c r="JH2" s="54"/>
      <c r="JI2" s="54"/>
      <c r="JJ2" s="54"/>
      <c r="JK2" s="54"/>
      <c r="JL2" s="54"/>
      <c r="JM2" s="54"/>
      <c r="JN2" s="54"/>
      <c r="JO2" s="54"/>
      <c r="JP2" s="54"/>
      <c r="JQ2" s="54"/>
      <c r="JR2" s="54"/>
      <c r="JS2" s="54"/>
      <c r="JT2" s="54"/>
      <c r="JU2" s="54"/>
      <c r="JV2" s="54"/>
      <c r="JW2" s="54"/>
      <c r="JX2" s="54"/>
      <c r="JY2" s="54"/>
      <c r="JZ2" s="54"/>
      <c r="KA2" s="54"/>
      <c r="KB2" s="54"/>
      <c r="KC2" s="54"/>
      <c r="KD2" s="54"/>
      <c r="KE2" s="54"/>
      <c r="KF2" s="54"/>
      <c r="KG2" s="54"/>
      <c r="KH2" s="54"/>
      <c r="KI2" s="54"/>
      <c r="KJ2" s="54"/>
      <c r="KK2" s="54"/>
      <c r="KL2" s="54"/>
      <c r="KM2" s="54"/>
      <c r="KN2" s="54"/>
      <c r="KO2" s="54"/>
      <c r="KP2" s="54"/>
      <c r="KQ2" s="54"/>
      <c r="KR2" s="54"/>
      <c r="KS2" s="54"/>
      <c r="KT2" s="54"/>
      <c r="KU2" s="54"/>
      <c r="KV2" s="54"/>
      <c r="KW2" s="54"/>
      <c r="KX2" s="54"/>
    </row>
    <row r="3" ht="5.25" customHeight="1">
      <c r="A3" s="54"/>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c r="CG3" s="54"/>
      <c r="CH3" s="54"/>
      <c r="CI3" s="54"/>
      <c r="CJ3" s="54"/>
      <c r="CK3" s="54"/>
      <c r="CL3" s="54"/>
      <c r="CM3" s="54"/>
      <c r="CN3" s="54"/>
      <c r="CO3" s="54"/>
      <c r="CP3" s="54"/>
      <c r="CQ3" s="54"/>
      <c r="CR3" s="54"/>
      <c r="CS3" s="54"/>
      <c r="CT3" s="54"/>
      <c r="CU3" s="54"/>
      <c r="CV3" s="54"/>
      <c r="CW3" s="54"/>
      <c r="CX3" s="54"/>
      <c r="CY3" s="54"/>
      <c r="CZ3" s="54"/>
      <c r="DA3" s="54"/>
      <c r="DB3" s="54"/>
      <c r="DC3" s="54"/>
      <c r="DD3" s="54"/>
      <c r="DE3" s="54"/>
      <c r="DF3" s="54"/>
      <c r="DG3" s="54"/>
      <c r="DH3" s="54"/>
      <c r="DI3" s="54"/>
      <c r="DJ3" s="54"/>
      <c r="DK3" s="54"/>
      <c r="DL3" s="54"/>
      <c r="DM3" s="54"/>
      <c r="DN3" s="54"/>
      <c r="DO3" s="54"/>
      <c r="DP3" s="54"/>
      <c r="DQ3" s="54"/>
      <c r="DR3" s="54"/>
      <c r="DS3" s="54"/>
      <c r="DT3" s="54"/>
      <c r="DU3" s="54"/>
      <c r="DV3" s="54"/>
      <c r="DW3" s="54"/>
      <c r="DX3" s="54"/>
      <c r="DY3" s="54"/>
      <c r="DZ3" s="54"/>
      <c r="EA3" s="54"/>
      <c r="EB3" s="54"/>
      <c r="EC3" s="54"/>
      <c r="ED3" s="54"/>
      <c r="EE3" s="54"/>
      <c r="EF3" s="54"/>
      <c r="EG3" s="54"/>
      <c r="EH3" s="54"/>
      <c r="EI3" s="54"/>
      <c r="EJ3" s="54"/>
      <c r="EK3" s="54"/>
      <c r="EL3" s="54"/>
      <c r="EM3" s="54"/>
      <c r="EN3" s="54"/>
      <c r="EO3" s="54"/>
      <c r="EP3" s="54"/>
      <c r="EQ3" s="54"/>
      <c r="ER3" s="54"/>
      <c r="ES3" s="54"/>
      <c r="ET3" s="54"/>
      <c r="EU3" s="54"/>
      <c r="EV3" s="54"/>
      <c r="EW3" s="54"/>
      <c r="EX3" s="54"/>
      <c r="EY3" s="54"/>
      <c r="EZ3" s="54"/>
      <c r="FA3" s="54"/>
      <c r="FB3" s="54"/>
      <c r="FC3" s="54"/>
      <c r="FD3" s="54"/>
      <c r="FE3" s="54"/>
      <c r="FF3" s="54"/>
      <c r="FG3" s="54"/>
      <c r="FH3" s="54"/>
      <c r="FI3" s="54"/>
      <c r="FJ3" s="54"/>
      <c r="FK3" s="54"/>
      <c r="FL3" s="54"/>
      <c r="FM3" s="54"/>
      <c r="FN3" s="54"/>
      <c r="FO3" s="54"/>
      <c r="FP3" s="54"/>
      <c r="FQ3" s="54"/>
      <c r="FR3" s="54"/>
      <c r="FS3" s="54"/>
      <c r="FT3" s="54"/>
      <c r="FU3" s="54"/>
      <c r="FV3" s="54"/>
      <c r="FW3" s="54"/>
      <c r="FX3" s="54"/>
      <c r="FY3" s="54"/>
      <c r="FZ3" s="54"/>
      <c r="GA3" s="54"/>
      <c r="GB3" s="54"/>
      <c r="GC3" s="54"/>
      <c r="GD3" s="54"/>
      <c r="GE3" s="54"/>
      <c r="GF3" s="54"/>
      <c r="GG3" s="54"/>
      <c r="GH3" s="54"/>
      <c r="GI3" s="54"/>
      <c r="GJ3" s="54"/>
      <c r="GK3" s="54"/>
      <c r="GL3" s="54"/>
      <c r="GM3" s="54"/>
      <c r="GN3" s="54"/>
      <c r="GO3" s="54"/>
      <c r="GP3" s="54"/>
      <c r="GQ3" s="54"/>
      <c r="GR3" s="54"/>
      <c r="GS3" s="54"/>
      <c r="GT3" s="54"/>
      <c r="GU3" s="54"/>
      <c r="GV3" s="54"/>
      <c r="GW3" s="54"/>
      <c r="GX3" s="54"/>
      <c r="GY3" s="54"/>
      <c r="GZ3" s="54"/>
      <c r="HA3" s="54"/>
      <c r="HB3" s="54"/>
      <c r="HC3" s="54"/>
      <c r="HD3" s="54"/>
      <c r="HE3" s="54"/>
      <c r="HF3" s="54"/>
      <c r="HG3" s="54"/>
      <c r="HH3" s="54"/>
      <c r="HI3" s="54"/>
      <c r="HJ3" s="54"/>
      <c r="HK3" s="54"/>
      <c r="HL3" s="54"/>
      <c r="HM3" s="54"/>
      <c r="HN3" s="54"/>
      <c r="HO3" s="54"/>
      <c r="HP3" s="54"/>
      <c r="HQ3" s="54"/>
      <c r="HR3" s="54"/>
      <c r="HS3" s="54"/>
      <c r="HT3" s="54"/>
      <c r="HU3" s="54"/>
      <c r="HV3" s="54"/>
      <c r="HW3" s="54"/>
      <c r="HX3" s="54"/>
      <c r="HY3" s="54"/>
      <c r="HZ3" s="54"/>
      <c r="IA3" s="54"/>
      <c r="IB3" s="54"/>
      <c r="IC3" s="54"/>
      <c r="ID3" s="54"/>
      <c r="IE3" s="54"/>
      <c r="IF3" s="54"/>
      <c r="IG3" s="54"/>
      <c r="IH3" s="54"/>
      <c r="II3" s="54"/>
      <c r="IJ3" s="54"/>
      <c r="IK3" s="54"/>
      <c r="IL3" s="54"/>
      <c r="IM3" s="54"/>
      <c r="IN3" s="54"/>
      <c r="IO3" s="54"/>
      <c r="IP3" s="54"/>
      <c r="IQ3" s="54"/>
      <c r="IR3" s="54"/>
      <c r="IS3" s="54"/>
      <c r="IT3" s="54"/>
      <c r="IU3" s="54"/>
      <c r="IV3" s="54"/>
      <c r="IW3" s="54"/>
      <c r="IX3" s="54"/>
      <c r="IY3" s="54"/>
      <c r="IZ3" s="54"/>
      <c r="JA3" s="54"/>
      <c r="JB3" s="54"/>
      <c r="JC3" s="54"/>
      <c r="JD3" s="54"/>
      <c r="JE3" s="54"/>
      <c r="JF3" s="54"/>
      <c r="JG3" s="54"/>
      <c r="JH3" s="54"/>
      <c r="JI3" s="54"/>
      <c r="JJ3" s="54"/>
      <c r="JK3" s="54"/>
      <c r="JL3" s="54"/>
      <c r="JM3" s="54"/>
      <c r="JN3" s="54"/>
      <c r="JO3" s="54"/>
      <c r="JP3" s="54"/>
      <c r="JQ3" s="54"/>
      <c r="JR3" s="54"/>
      <c r="JS3" s="54"/>
      <c r="JT3" s="54"/>
      <c r="JU3" s="54"/>
      <c r="JV3" s="54"/>
      <c r="JW3" s="54"/>
      <c r="JX3" s="54"/>
      <c r="JY3" s="54"/>
      <c r="JZ3" s="54"/>
      <c r="KA3" s="54"/>
      <c r="KB3" s="54"/>
      <c r="KC3" s="54"/>
      <c r="KD3" s="54"/>
      <c r="KE3" s="54"/>
      <c r="KF3" s="54"/>
      <c r="KG3" s="54"/>
      <c r="KH3" s="54"/>
      <c r="KI3" s="54"/>
      <c r="KJ3" s="54"/>
      <c r="KK3" s="54"/>
      <c r="KL3" s="54"/>
      <c r="KM3" s="54"/>
      <c r="KN3" s="54"/>
      <c r="KO3" s="54"/>
      <c r="KP3" s="54"/>
      <c r="KQ3" s="54"/>
      <c r="KR3" s="54"/>
      <c r="KS3" s="54"/>
      <c r="KT3" s="54"/>
      <c r="KU3" s="54"/>
      <c r="KV3" s="54"/>
      <c r="KW3" s="54"/>
      <c r="KX3" s="54"/>
    </row>
    <row r="4" ht="5.25" customHeight="1">
      <c r="A4" s="54"/>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c r="BU4" s="54"/>
      <c r="BV4" s="54"/>
      <c r="BW4" s="54"/>
      <c r="BX4" s="54"/>
      <c r="BY4" s="54"/>
      <c r="BZ4" s="54"/>
      <c r="CA4" s="54"/>
      <c r="CB4" s="54"/>
      <c r="CC4" s="54"/>
      <c r="CD4" s="54"/>
      <c r="CE4" s="54"/>
      <c r="CF4" s="54"/>
      <c r="CG4" s="54"/>
      <c r="CH4" s="54"/>
      <c r="CI4" s="54"/>
      <c r="CJ4" s="54"/>
      <c r="CK4" s="54"/>
      <c r="CL4" s="54"/>
      <c r="CM4" s="54"/>
      <c r="CN4" s="54"/>
      <c r="CO4" s="54"/>
      <c r="CP4" s="54"/>
      <c r="CQ4" s="54"/>
      <c r="CR4" s="54"/>
      <c r="CS4" s="54"/>
      <c r="CT4" s="54"/>
      <c r="CU4" s="54"/>
      <c r="CV4" s="54"/>
      <c r="CW4" s="54"/>
      <c r="CX4" s="54"/>
      <c r="CY4" s="54"/>
      <c r="CZ4" s="54"/>
      <c r="DA4" s="54"/>
      <c r="DB4" s="54"/>
      <c r="DC4" s="54"/>
      <c r="DD4" s="54"/>
      <c r="DE4" s="54"/>
      <c r="DF4" s="54"/>
      <c r="DG4" s="54"/>
      <c r="DH4" s="54"/>
      <c r="DI4" s="54"/>
      <c r="DJ4" s="54"/>
      <c r="DK4" s="54"/>
      <c r="DL4" s="54"/>
      <c r="DM4" s="54"/>
      <c r="DN4" s="54"/>
      <c r="DO4" s="54"/>
      <c r="DP4" s="54"/>
      <c r="DQ4" s="54"/>
      <c r="DR4" s="54"/>
      <c r="DS4" s="54"/>
      <c r="DT4" s="54"/>
      <c r="DU4" s="54"/>
      <c r="DV4" s="54"/>
      <c r="DW4" s="54"/>
      <c r="DX4" s="54"/>
      <c r="DY4" s="54"/>
      <c r="DZ4" s="54"/>
      <c r="EA4" s="54"/>
      <c r="EB4" s="54"/>
      <c r="EC4" s="54"/>
      <c r="ED4" s="54"/>
      <c r="EE4" s="54"/>
      <c r="EF4" s="54"/>
      <c r="EG4" s="54"/>
      <c r="EH4" s="54"/>
      <c r="EI4" s="54"/>
      <c r="EJ4" s="54"/>
      <c r="EK4" s="54"/>
      <c r="EL4" s="54"/>
      <c r="EM4" s="54"/>
      <c r="EN4" s="54"/>
      <c r="EO4" s="54"/>
      <c r="EP4" s="54"/>
      <c r="EQ4" s="54"/>
      <c r="ER4" s="54"/>
      <c r="ES4" s="54"/>
      <c r="ET4" s="54"/>
      <c r="EU4" s="54"/>
      <c r="EV4" s="54"/>
      <c r="EW4" s="54"/>
      <c r="EX4" s="54"/>
      <c r="EY4" s="54"/>
      <c r="EZ4" s="54"/>
      <c r="FA4" s="54"/>
      <c r="FB4" s="54"/>
      <c r="FC4" s="54"/>
      <c r="FD4" s="54"/>
      <c r="FE4" s="54"/>
      <c r="FF4" s="54"/>
      <c r="FG4" s="54"/>
      <c r="FH4" s="54"/>
      <c r="FI4" s="54"/>
      <c r="FJ4" s="54"/>
      <c r="FK4" s="54"/>
      <c r="FL4" s="54"/>
      <c r="FM4" s="54"/>
      <c r="FN4" s="54"/>
      <c r="FO4" s="54"/>
      <c r="FP4" s="54"/>
      <c r="FQ4" s="54"/>
      <c r="FR4" s="54"/>
      <c r="FS4" s="54"/>
      <c r="FT4" s="54"/>
      <c r="FU4" s="54"/>
      <c r="FV4" s="54"/>
      <c r="FW4" s="54"/>
      <c r="FX4" s="54"/>
      <c r="FY4" s="54"/>
      <c r="FZ4" s="54"/>
      <c r="GA4" s="54"/>
      <c r="GB4" s="54"/>
      <c r="GC4" s="54"/>
      <c r="GD4" s="54"/>
      <c r="GE4" s="54"/>
      <c r="GF4" s="54"/>
      <c r="GG4" s="54"/>
      <c r="GH4" s="54"/>
      <c r="GI4" s="54"/>
      <c r="GJ4" s="54"/>
      <c r="GK4" s="54"/>
      <c r="GL4" s="54"/>
      <c r="GM4" s="54"/>
      <c r="GN4" s="54"/>
      <c r="GO4" s="54"/>
      <c r="GP4" s="54"/>
      <c r="GQ4" s="54"/>
      <c r="GR4" s="54"/>
      <c r="GS4" s="54"/>
      <c r="GT4" s="54"/>
      <c r="GU4" s="54"/>
      <c r="GV4" s="54"/>
      <c r="GW4" s="54"/>
      <c r="GX4" s="54"/>
      <c r="GY4" s="54"/>
      <c r="GZ4" s="54"/>
      <c r="HA4" s="54"/>
      <c r="HB4" s="54"/>
      <c r="HC4" s="54"/>
      <c r="HD4" s="54"/>
      <c r="HE4" s="54"/>
      <c r="HF4" s="54"/>
      <c r="HG4" s="54"/>
      <c r="HH4" s="54"/>
      <c r="HI4" s="54"/>
      <c r="HJ4" s="54"/>
      <c r="HK4" s="54"/>
      <c r="HL4" s="54"/>
      <c r="HM4" s="54"/>
      <c r="HN4" s="54"/>
      <c r="HO4" s="54"/>
      <c r="HP4" s="54"/>
      <c r="HQ4" s="54"/>
      <c r="HR4" s="54"/>
      <c r="HS4" s="54"/>
      <c r="HT4" s="54"/>
      <c r="HU4" s="54"/>
      <c r="HV4" s="54"/>
      <c r="HW4" s="54"/>
      <c r="HX4" s="54"/>
      <c r="HY4" s="54"/>
      <c r="HZ4" s="54"/>
      <c r="IA4" s="54"/>
      <c r="IB4" s="54"/>
      <c r="IC4" s="54"/>
      <c r="ID4" s="54"/>
      <c r="IE4" s="54"/>
      <c r="IF4" s="54"/>
      <c r="IG4" s="54"/>
      <c r="IH4" s="54"/>
      <c r="II4" s="54"/>
      <c r="IJ4" s="54"/>
      <c r="IK4" s="54"/>
      <c r="IL4" s="54"/>
      <c r="IM4" s="54"/>
      <c r="IN4" s="54"/>
      <c r="IO4" s="54"/>
      <c r="IP4" s="54"/>
      <c r="IQ4" s="54"/>
      <c r="IR4" s="54"/>
      <c r="IS4" s="54"/>
      <c r="IT4" s="54"/>
      <c r="IU4" s="54"/>
      <c r="IV4" s="54"/>
      <c r="IW4" s="54"/>
      <c r="IX4" s="54"/>
      <c r="IY4" s="54"/>
      <c r="IZ4" s="54"/>
      <c r="JA4" s="54"/>
      <c r="JB4" s="54"/>
      <c r="JC4" s="54"/>
      <c r="JD4" s="54"/>
      <c r="JE4" s="54"/>
      <c r="JF4" s="54"/>
      <c r="JG4" s="54"/>
      <c r="JH4" s="54"/>
      <c r="JI4" s="54"/>
      <c r="JJ4" s="54"/>
      <c r="JK4" s="54"/>
      <c r="JL4" s="54"/>
      <c r="JM4" s="54"/>
      <c r="JN4" s="54"/>
      <c r="JO4" s="54"/>
      <c r="JP4" s="54"/>
      <c r="JQ4" s="54"/>
      <c r="JR4" s="54"/>
      <c r="JS4" s="54"/>
      <c r="JT4" s="54"/>
      <c r="JU4" s="54"/>
      <c r="JV4" s="54"/>
      <c r="JW4" s="54"/>
      <c r="JX4" s="54"/>
      <c r="JY4" s="54"/>
      <c r="JZ4" s="54"/>
      <c r="KA4" s="54"/>
      <c r="KB4" s="54"/>
      <c r="KC4" s="54"/>
      <c r="KD4" s="54"/>
      <c r="KE4" s="54"/>
      <c r="KF4" s="54"/>
      <c r="KG4" s="54"/>
      <c r="KH4" s="54"/>
      <c r="KI4" s="54"/>
      <c r="KJ4" s="54"/>
      <c r="KK4" s="54"/>
      <c r="KL4" s="54"/>
      <c r="KM4" s="54"/>
      <c r="KN4" s="54"/>
      <c r="KO4" s="54"/>
      <c r="KP4" s="54"/>
      <c r="KQ4" s="54"/>
      <c r="KR4" s="54"/>
      <c r="KS4" s="54"/>
      <c r="KT4" s="54"/>
      <c r="KU4" s="54"/>
      <c r="KV4" s="54"/>
      <c r="KW4" s="54"/>
      <c r="KX4" s="54"/>
    </row>
    <row r="5" ht="5.25" customHeight="1">
      <c r="A5" s="54"/>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c r="DB5" s="54"/>
      <c r="DC5" s="54"/>
      <c r="DD5" s="55"/>
      <c r="DE5" s="54"/>
      <c r="DF5" s="54"/>
      <c r="DG5" s="54"/>
      <c r="DH5" s="54"/>
      <c r="DI5" s="54"/>
      <c r="DJ5" s="54"/>
      <c r="DK5" s="54"/>
      <c r="DL5" s="54"/>
      <c r="DM5" s="54"/>
      <c r="DN5" s="54"/>
      <c r="DO5" s="54"/>
      <c r="DP5" s="54"/>
      <c r="DQ5" s="54"/>
      <c r="DR5" s="54"/>
      <c r="DS5" s="54"/>
      <c r="DT5" s="54"/>
      <c r="DU5" s="54"/>
      <c r="DV5" s="54"/>
      <c r="DW5" s="54"/>
      <c r="DX5" s="54"/>
      <c r="DY5" s="54"/>
      <c r="DZ5" s="54"/>
      <c r="EA5" s="54"/>
      <c r="EB5" s="54"/>
      <c r="EC5" s="54"/>
      <c r="ED5" s="54"/>
      <c r="EE5" s="54"/>
      <c r="EF5" s="54"/>
      <c r="EG5" s="54"/>
      <c r="EH5" s="54"/>
      <c r="EI5" s="54"/>
      <c r="EJ5" s="54"/>
      <c r="EK5" s="54"/>
      <c r="EL5" s="54"/>
      <c r="EM5" s="54"/>
      <c r="EN5" s="54"/>
      <c r="EO5" s="54"/>
      <c r="EP5" s="54"/>
      <c r="EQ5" s="54"/>
      <c r="ER5" s="54"/>
      <c r="ES5" s="54"/>
      <c r="ET5" s="54"/>
      <c r="EU5" s="54"/>
      <c r="EV5" s="54"/>
      <c r="EW5" s="54"/>
      <c r="EX5" s="54"/>
      <c r="EY5" s="54"/>
      <c r="EZ5" s="54"/>
      <c r="FA5" s="54"/>
      <c r="FB5" s="54"/>
      <c r="FC5" s="54"/>
      <c r="FD5" s="54"/>
      <c r="FE5" s="54"/>
      <c r="FF5" s="54"/>
      <c r="FG5" s="54"/>
      <c r="FH5" s="54"/>
      <c r="FI5" s="54"/>
      <c r="FJ5" s="54"/>
      <c r="FK5" s="54"/>
      <c r="FL5" s="54"/>
      <c r="FM5" s="54"/>
      <c r="FN5" s="54"/>
      <c r="FO5" s="54"/>
      <c r="FP5" s="54"/>
      <c r="FQ5" s="54"/>
      <c r="FR5" s="54"/>
      <c r="FS5" s="54"/>
      <c r="FT5" s="54"/>
      <c r="FU5" s="54"/>
      <c r="FV5" s="54"/>
      <c r="FW5" s="54"/>
      <c r="FX5" s="54"/>
      <c r="FY5" s="54"/>
      <c r="FZ5" s="54"/>
      <c r="GA5" s="54"/>
      <c r="GB5" s="54"/>
      <c r="GC5" s="54"/>
      <c r="GD5" s="54"/>
      <c r="GE5" s="54"/>
      <c r="GF5" s="54"/>
      <c r="GG5" s="54"/>
      <c r="GH5" s="54"/>
      <c r="GI5" s="54"/>
      <c r="GJ5" s="54"/>
      <c r="GK5" s="54"/>
      <c r="GL5" s="54"/>
      <c r="GM5" s="54"/>
      <c r="GN5" s="54"/>
      <c r="GO5" s="54"/>
      <c r="GP5" s="54"/>
      <c r="GQ5" s="54"/>
      <c r="GR5" s="54"/>
      <c r="GS5" s="54"/>
      <c r="GT5" s="54"/>
      <c r="GU5" s="54"/>
      <c r="GV5" s="54"/>
      <c r="GW5" s="54"/>
      <c r="GX5" s="54"/>
      <c r="GY5" s="54"/>
      <c r="GZ5" s="54"/>
      <c r="HA5" s="54"/>
      <c r="HB5" s="54"/>
      <c r="HC5" s="54"/>
      <c r="HD5" s="54"/>
      <c r="HE5" s="54"/>
      <c r="HF5" s="54"/>
      <c r="HG5" s="54"/>
      <c r="HH5" s="54"/>
      <c r="HI5" s="54"/>
      <c r="HJ5" s="54"/>
      <c r="HK5" s="54"/>
      <c r="HL5" s="54"/>
      <c r="HM5" s="54"/>
      <c r="HN5" s="54"/>
      <c r="HO5" s="54"/>
      <c r="HP5" s="54"/>
      <c r="HQ5" s="54"/>
      <c r="HR5" s="54"/>
      <c r="HS5" s="54"/>
      <c r="HT5" s="54"/>
      <c r="HU5" s="54"/>
      <c r="HV5" s="54"/>
      <c r="HW5" s="54"/>
      <c r="HX5" s="54"/>
      <c r="HY5" s="54"/>
      <c r="HZ5" s="54"/>
      <c r="IA5" s="54"/>
      <c r="IB5" s="54"/>
      <c r="IC5" s="54"/>
      <c r="ID5" s="54"/>
      <c r="IE5" s="54"/>
      <c r="IF5" s="54"/>
      <c r="IG5" s="54"/>
      <c r="IH5" s="54"/>
      <c r="II5" s="54"/>
      <c r="IJ5" s="54"/>
      <c r="IK5" s="54"/>
      <c r="IL5" s="54"/>
      <c r="IM5" s="54"/>
      <c r="IN5" s="54"/>
      <c r="IO5" s="54"/>
      <c r="IP5" s="54"/>
      <c r="IQ5" s="54"/>
      <c r="IR5" s="54"/>
      <c r="IS5" s="54"/>
      <c r="IT5" s="54"/>
      <c r="IU5" s="54"/>
      <c r="IV5" s="54"/>
      <c r="IW5" s="54"/>
      <c r="IX5" s="54"/>
      <c r="IY5" s="54"/>
      <c r="IZ5" s="54"/>
      <c r="JA5" s="54"/>
      <c r="JB5" s="54"/>
      <c r="JC5" s="54"/>
      <c r="JD5" s="54"/>
      <c r="JE5" s="54"/>
      <c r="JF5" s="54"/>
      <c r="JG5" s="54"/>
      <c r="JH5" s="54"/>
      <c r="JI5" s="54"/>
      <c r="JJ5" s="54"/>
      <c r="JK5" s="54"/>
      <c r="JL5" s="54"/>
      <c r="JM5" s="54"/>
      <c r="JN5" s="54"/>
      <c r="JO5" s="54"/>
      <c r="JP5" s="54"/>
      <c r="JQ5" s="54"/>
      <c r="JR5" s="54"/>
      <c r="JS5" s="54"/>
      <c r="JT5" s="54"/>
      <c r="JU5" s="54"/>
      <c r="JV5" s="54"/>
      <c r="JW5" s="54"/>
      <c r="JX5" s="54"/>
      <c r="JY5" s="54"/>
      <c r="JZ5" s="54"/>
      <c r="KA5" s="54"/>
      <c r="KB5" s="54"/>
      <c r="KC5" s="54"/>
      <c r="KD5" s="54"/>
      <c r="KE5" s="54"/>
      <c r="KF5" s="54"/>
      <c r="KG5" s="54"/>
      <c r="KH5" s="54"/>
      <c r="KI5" s="54"/>
      <c r="KJ5" s="54"/>
      <c r="KK5" s="54"/>
      <c r="KL5" s="54"/>
      <c r="KM5" s="54"/>
      <c r="KN5" s="54"/>
      <c r="KO5" s="54"/>
      <c r="KP5" s="54"/>
      <c r="KQ5" s="54"/>
      <c r="KR5" s="54"/>
      <c r="KS5" s="54"/>
      <c r="KT5" s="54"/>
      <c r="KU5" s="54"/>
      <c r="KV5" s="54"/>
      <c r="KW5" s="54"/>
      <c r="KX5" s="54"/>
    </row>
    <row r="6" ht="5.25" customHeight="1">
      <c r="A6" s="54"/>
      <c r="B6" s="54"/>
      <c r="C6" s="54"/>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c r="BN6" s="54"/>
      <c r="BO6" s="54"/>
      <c r="BP6" s="54"/>
      <c r="BQ6" s="54"/>
      <c r="BR6" s="54"/>
      <c r="BS6" s="54"/>
      <c r="BT6" s="54"/>
      <c r="BU6" s="54"/>
      <c r="BV6" s="54"/>
      <c r="BW6" s="54"/>
      <c r="BX6" s="54"/>
      <c r="BY6" s="54"/>
      <c r="BZ6" s="54"/>
      <c r="CA6" s="54"/>
      <c r="CB6" s="54"/>
      <c r="CC6" s="54"/>
      <c r="CD6" s="54"/>
      <c r="CE6" s="54"/>
      <c r="CF6" s="54"/>
      <c r="CG6" s="54"/>
      <c r="CH6" s="54"/>
      <c r="CI6" s="54"/>
      <c r="CJ6" s="54"/>
      <c r="CK6" s="54"/>
      <c r="CL6" s="54"/>
      <c r="CM6" s="54"/>
      <c r="CN6" s="54"/>
      <c r="CO6" s="54"/>
      <c r="CP6" s="54"/>
      <c r="CQ6" s="54"/>
      <c r="CR6" s="54"/>
      <c r="CS6" s="54"/>
      <c r="CT6" s="54"/>
      <c r="CU6" s="54"/>
      <c r="CV6" s="54"/>
      <c r="CW6" s="54"/>
      <c r="CX6" s="54"/>
      <c r="CY6" s="54"/>
      <c r="CZ6" s="54"/>
      <c r="DA6" s="54"/>
      <c r="DB6" s="54"/>
      <c r="DC6" s="54"/>
      <c r="DD6" s="56">
        <f>IF(or(ED18="",EH18="",ED25="",EH25="",ED32="",EH32="",ED39="",EH39="",ED46="",EH46="",ED53="",EH53="",ED60="",EH60="",ED67="",EH67=""),0,1)</f>
        <v>0</v>
      </c>
      <c r="DE6" s="54"/>
      <c r="DF6" s="54"/>
      <c r="DG6" s="54"/>
      <c r="DH6" s="54"/>
      <c r="DI6" s="54"/>
      <c r="DJ6" s="54"/>
      <c r="DK6" s="54"/>
      <c r="DL6" s="54"/>
      <c r="DM6" s="54"/>
      <c r="DN6" s="54"/>
      <c r="DO6" s="54"/>
      <c r="DP6" s="54"/>
      <c r="DQ6" s="54"/>
      <c r="DR6" s="54"/>
      <c r="DS6" s="54"/>
      <c r="DT6" s="54"/>
      <c r="DU6" s="54"/>
      <c r="DV6" s="54"/>
      <c r="DW6" s="54"/>
      <c r="DX6" s="54"/>
      <c r="DY6" s="54"/>
      <c r="DZ6" s="54"/>
      <c r="EA6" s="54"/>
      <c r="EB6" s="54"/>
      <c r="EC6" s="54"/>
      <c r="ED6" s="54"/>
      <c r="EE6" s="54"/>
      <c r="EF6" s="54"/>
      <c r="EG6" s="54"/>
      <c r="EH6" s="54"/>
      <c r="EI6" s="54"/>
      <c r="EJ6" s="54"/>
      <c r="EK6" s="54"/>
      <c r="EL6" s="54"/>
      <c r="EM6" s="54"/>
      <c r="EN6" s="54"/>
      <c r="EO6" s="54"/>
      <c r="EP6" s="54"/>
      <c r="EQ6" s="54"/>
      <c r="ER6" s="54"/>
      <c r="ES6" s="54"/>
      <c r="ET6" s="54"/>
      <c r="EU6" s="54"/>
      <c r="EV6" s="54"/>
      <c r="EW6" s="54"/>
      <c r="EX6" s="54"/>
      <c r="EY6" s="54"/>
      <c r="EZ6" s="54"/>
      <c r="FA6" s="54"/>
      <c r="FB6" s="54"/>
      <c r="FC6" s="54"/>
      <c r="FD6" s="54"/>
      <c r="FE6" s="54"/>
      <c r="FF6" s="54"/>
      <c r="FG6" s="54"/>
      <c r="FH6" s="54"/>
      <c r="FI6" s="54"/>
      <c r="FJ6" s="54"/>
      <c r="FK6" s="54"/>
      <c r="FL6" s="54"/>
      <c r="FM6" s="54"/>
      <c r="FN6" s="54"/>
      <c r="FO6" s="54"/>
      <c r="FP6" s="54"/>
      <c r="FQ6" s="54"/>
      <c r="FR6" s="54"/>
      <c r="FS6" s="54"/>
      <c r="FT6" s="54"/>
      <c r="FU6" s="54"/>
      <c r="FV6" s="54"/>
      <c r="FW6" s="54"/>
      <c r="FX6" s="54"/>
      <c r="FY6" s="54"/>
      <c r="FZ6" s="54"/>
      <c r="GA6" s="54"/>
      <c r="GB6" s="54"/>
      <c r="GC6" s="54"/>
      <c r="GD6" s="54"/>
      <c r="GE6" s="54"/>
      <c r="GF6" s="54"/>
      <c r="GG6" s="54"/>
      <c r="GH6" s="54"/>
      <c r="GI6" s="54"/>
      <c r="GJ6" s="54"/>
      <c r="GK6" s="54"/>
      <c r="GL6" s="54"/>
      <c r="GM6" s="54"/>
      <c r="GN6" s="54"/>
      <c r="GO6" s="54"/>
      <c r="GP6" s="54"/>
      <c r="GQ6" s="54"/>
      <c r="GR6" s="54"/>
      <c r="GS6" s="54"/>
      <c r="GT6" s="54"/>
      <c r="GU6" s="54"/>
      <c r="GV6" s="54"/>
      <c r="GW6" s="54"/>
      <c r="GX6" s="54"/>
      <c r="GY6" s="54"/>
      <c r="GZ6" s="54"/>
      <c r="HA6" s="54"/>
      <c r="HB6" s="54"/>
      <c r="HC6" s="54"/>
      <c r="HD6" s="54"/>
      <c r="HE6" s="54"/>
      <c r="HF6" s="54"/>
      <c r="HG6" s="54"/>
      <c r="HH6" s="54"/>
      <c r="HI6" s="54"/>
      <c r="HJ6" s="54"/>
      <c r="HK6" s="54"/>
      <c r="HL6" s="54"/>
      <c r="HM6" s="54"/>
      <c r="HN6" s="54"/>
      <c r="HO6" s="54"/>
      <c r="HP6" s="54"/>
      <c r="HQ6" s="54"/>
      <c r="HR6" s="54"/>
      <c r="HS6" s="54"/>
      <c r="HT6" s="54"/>
      <c r="HU6" s="54"/>
      <c r="HV6" s="54"/>
      <c r="HW6" s="54"/>
      <c r="HX6" s="54"/>
      <c r="HY6" s="54"/>
      <c r="HZ6" s="54"/>
      <c r="IA6" s="54"/>
      <c r="IB6" s="54"/>
      <c r="IC6" s="54"/>
      <c r="ID6" s="54"/>
      <c r="IE6" s="54"/>
      <c r="IF6" s="54"/>
      <c r="IG6" s="54"/>
      <c r="IH6" s="54"/>
      <c r="II6" s="54"/>
      <c r="IJ6" s="54"/>
      <c r="IK6" s="54"/>
      <c r="IL6" s="54"/>
      <c r="IM6" s="54"/>
      <c r="IN6" s="54"/>
      <c r="IO6" s="54"/>
      <c r="IP6" s="54"/>
      <c r="IQ6" s="54"/>
      <c r="IR6" s="54"/>
      <c r="IS6" s="54"/>
      <c r="IT6" s="54"/>
      <c r="IU6" s="54"/>
      <c r="IV6" s="54"/>
      <c r="IW6" s="54"/>
      <c r="IX6" s="54"/>
      <c r="IY6" s="54"/>
      <c r="IZ6" s="54"/>
      <c r="JA6" s="54"/>
      <c r="JB6" s="54"/>
      <c r="JC6" s="54"/>
      <c r="JD6" s="54"/>
      <c r="JE6" s="54"/>
      <c r="JF6" s="54"/>
      <c r="JG6" s="54"/>
      <c r="JH6" s="54"/>
      <c r="JI6" s="54"/>
      <c r="JJ6" s="54"/>
      <c r="JK6" s="54"/>
      <c r="JL6" s="54"/>
      <c r="JM6" s="54"/>
      <c r="JN6" s="54"/>
      <c r="JO6" s="54"/>
      <c r="JP6" s="54"/>
      <c r="JQ6" s="54"/>
      <c r="JR6" s="54"/>
      <c r="JS6" s="54"/>
      <c r="JT6" s="54"/>
      <c r="JU6" s="54"/>
      <c r="JV6" s="54"/>
      <c r="JW6" s="54"/>
      <c r="JX6" s="54"/>
      <c r="JY6" s="54"/>
      <c r="JZ6" s="54"/>
      <c r="KA6" s="54"/>
      <c r="KB6" s="54"/>
      <c r="KC6" s="54"/>
      <c r="KD6" s="54"/>
      <c r="KE6" s="54"/>
      <c r="KF6" s="54"/>
      <c r="KG6" s="54"/>
      <c r="KH6" s="54"/>
      <c r="KI6" s="54"/>
      <c r="KJ6" s="54"/>
      <c r="KK6" s="54"/>
      <c r="KL6" s="54"/>
      <c r="KM6" s="54"/>
      <c r="KN6" s="54"/>
      <c r="KO6" s="54"/>
      <c r="KP6" s="54"/>
      <c r="KQ6" s="54"/>
      <c r="KR6" s="54"/>
      <c r="KS6" s="54"/>
      <c r="KT6" s="54"/>
      <c r="KU6" s="54"/>
      <c r="KV6" s="54"/>
      <c r="KW6" s="54"/>
      <c r="KX6" s="54"/>
    </row>
    <row r="7" ht="5.25" customHeight="1">
      <c r="A7" s="54"/>
      <c r="B7" s="54"/>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7" t="s">
        <v>56</v>
      </c>
      <c r="DE7" s="58"/>
      <c r="DF7" s="58"/>
      <c r="DG7" s="58"/>
      <c r="DH7" s="58"/>
      <c r="DI7" s="58"/>
      <c r="DJ7" s="58"/>
      <c r="DK7" s="58"/>
      <c r="DL7" s="58"/>
      <c r="DM7" s="58"/>
      <c r="DN7" s="58"/>
      <c r="DO7" s="58"/>
      <c r="DP7" s="58"/>
      <c r="DQ7" s="58"/>
      <c r="DR7" s="58"/>
      <c r="DS7" s="58"/>
      <c r="DT7" s="58"/>
      <c r="DU7" s="58"/>
      <c r="DV7" s="58"/>
      <c r="DW7" s="58"/>
      <c r="DX7" s="58"/>
      <c r="DY7" s="58"/>
      <c r="DZ7" s="58"/>
      <c r="EA7" s="58"/>
      <c r="EB7" s="58"/>
      <c r="EC7" s="58"/>
      <c r="ED7" s="58"/>
      <c r="EE7" s="58"/>
      <c r="EF7" s="58"/>
      <c r="EG7" s="58"/>
      <c r="EH7" s="58"/>
      <c r="EI7" s="58"/>
      <c r="EJ7" s="58"/>
      <c r="EK7" s="58"/>
      <c r="EL7" s="58"/>
      <c r="EM7" s="58"/>
      <c r="EN7" s="58"/>
      <c r="EO7" s="58"/>
      <c r="EP7" s="58"/>
      <c r="EQ7" s="58"/>
      <c r="ER7" s="58"/>
      <c r="ES7" s="58"/>
      <c r="ET7" s="58"/>
      <c r="EU7" s="58"/>
      <c r="EV7" s="58"/>
      <c r="EW7" s="58"/>
      <c r="EX7" s="58"/>
      <c r="EY7" s="58"/>
      <c r="EZ7" s="58"/>
      <c r="FA7" s="58"/>
      <c r="FB7" s="58"/>
      <c r="FC7" s="58"/>
      <c r="FD7" s="58"/>
      <c r="FE7" s="58"/>
      <c r="FF7" s="58"/>
      <c r="FG7" s="58"/>
      <c r="FH7" s="58"/>
      <c r="FI7" s="58"/>
      <c r="FJ7" s="58"/>
      <c r="FK7" s="59"/>
      <c r="FL7" s="54"/>
      <c r="FM7" s="54"/>
      <c r="FN7" s="54"/>
      <c r="FO7" s="54"/>
      <c r="FP7" s="54"/>
      <c r="FQ7" s="54"/>
      <c r="FR7" s="54"/>
      <c r="FS7" s="54"/>
      <c r="FT7" s="54"/>
      <c r="FU7" s="54"/>
      <c r="FV7" s="54"/>
      <c r="FW7" s="54"/>
      <c r="FX7" s="54"/>
      <c r="FY7" s="54"/>
      <c r="FZ7" s="54"/>
      <c r="GA7" s="54"/>
      <c r="GB7" s="54"/>
      <c r="GC7" s="54"/>
      <c r="GD7" s="54"/>
      <c r="GE7" s="54"/>
      <c r="GF7" s="54"/>
      <c r="GG7" s="54"/>
      <c r="GH7" s="54"/>
      <c r="GI7" s="54"/>
      <c r="GJ7" s="54"/>
      <c r="GK7" s="54"/>
      <c r="GL7" s="54"/>
      <c r="GM7" s="54"/>
      <c r="GN7" s="54"/>
      <c r="GO7" s="54"/>
      <c r="GP7" s="54"/>
      <c r="GQ7" s="54"/>
      <c r="GR7" s="54"/>
      <c r="GS7" s="54"/>
      <c r="GT7" s="54"/>
      <c r="GU7" s="54"/>
      <c r="GV7" s="54"/>
      <c r="GW7" s="54"/>
      <c r="GX7" s="54"/>
      <c r="GY7" s="54"/>
      <c r="GZ7" s="54"/>
      <c r="HA7" s="54"/>
      <c r="HB7" s="54"/>
      <c r="HC7" s="54"/>
      <c r="HD7" s="54"/>
      <c r="HE7" s="54"/>
      <c r="HF7" s="54"/>
      <c r="HG7" s="54"/>
      <c r="HH7" s="54"/>
      <c r="HI7" s="54"/>
      <c r="HJ7" s="54"/>
      <c r="HK7" s="54"/>
      <c r="HL7" s="54"/>
      <c r="HM7" s="54"/>
      <c r="HN7" s="54"/>
      <c r="HO7" s="54"/>
      <c r="HP7" s="54"/>
      <c r="HQ7" s="54"/>
      <c r="HR7" s="54"/>
      <c r="HS7" s="54"/>
      <c r="HT7" s="54"/>
      <c r="HU7" s="54"/>
      <c r="HV7" s="54"/>
      <c r="HW7" s="54"/>
      <c r="HX7" s="54"/>
      <c r="HY7" s="54"/>
      <c r="HZ7" s="54"/>
      <c r="IA7" s="54"/>
      <c r="IB7" s="54"/>
      <c r="IC7" s="54"/>
      <c r="ID7" s="54"/>
      <c r="IE7" s="54"/>
      <c r="IF7" s="54"/>
      <c r="IG7" s="54"/>
      <c r="IH7" s="54"/>
      <c r="II7" s="54"/>
      <c r="IJ7" s="54"/>
      <c r="IK7" s="54"/>
      <c r="IL7" s="54"/>
      <c r="IM7" s="54"/>
      <c r="IN7" s="54"/>
      <c r="IO7" s="54"/>
      <c r="IP7" s="54"/>
      <c r="IQ7" s="54"/>
      <c r="IR7" s="54"/>
      <c r="IS7" s="54"/>
      <c r="IT7" s="54"/>
      <c r="IU7" s="54"/>
      <c r="IV7" s="54"/>
      <c r="IW7" s="54"/>
      <c r="IX7" s="54"/>
      <c r="IY7" s="54"/>
      <c r="IZ7" s="54"/>
      <c r="JA7" s="54"/>
      <c r="JB7" s="54"/>
      <c r="JC7" s="54"/>
      <c r="JD7" s="54"/>
      <c r="JE7" s="54"/>
      <c r="JF7" s="54"/>
      <c r="JG7" s="54"/>
      <c r="JH7" s="54"/>
      <c r="JI7" s="54"/>
      <c r="JJ7" s="54"/>
      <c r="JK7" s="54"/>
      <c r="JL7" s="54"/>
      <c r="JM7" s="54"/>
      <c r="JN7" s="54"/>
      <c r="JO7" s="54"/>
      <c r="JP7" s="54"/>
      <c r="JQ7" s="54"/>
      <c r="JR7" s="54"/>
      <c r="JS7" s="54"/>
      <c r="JT7" s="54"/>
      <c r="JU7" s="54"/>
      <c r="JV7" s="54"/>
      <c r="JW7" s="54"/>
      <c r="JX7" s="54"/>
      <c r="JY7" s="54"/>
      <c r="JZ7" s="54"/>
      <c r="KA7" s="54"/>
      <c r="KB7" s="54"/>
      <c r="KC7" s="54"/>
      <c r="KD7" s="54"/>
      <c r="KE7" s="54"/>
      <c r="KF7" s="54"/>
      <c r="KG7" s="54"/>
      <c r="KH7" s="54"/>
      <c r="KI7" s="54"/>
      <c r="KJ7" s="54"/>
      <c r="KK7" s="54"/>
      <c r="KL7" s="54"/>
      <c r="KM7" s="54"/>
      <c r="KN7" s="54"/>
      <c r="KO7" s="54"/>
      <c r="KP7" s="54"/>
      <c r="KQ7" s="54"/>
      <c r="KR7" s="54"/>
      <c r="KS7" s="54"/>
      <c r="KT7" s="54"/>
      <c r="KU7" s="54"/>
      <c r="KV7" s="54"/>
      <c r="KW7" s="54"/>
      <c r="KX7" s="54"/>
    </row>
    <row r="8" ht="5.25" customHeight="1">
      <c r="A8" s="54"/>
      <c r="B8" s="54"/>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60"/>
      <c r="FK8" s="61"/>
      <c r="FL8" s="54"/>
      <c r="FM8" s="54"/>
      <c r="FN8" s="54"/>
      <c r="FO8" s="54"/>
      <c r="FP8" s="54"/>
      <c r="FQ8" s="54"/>
      <c r="FR8" s="54"/>
      <c r="FS8" s="54"/>
      <c r="FT8" s="54"/>
      <c r="FU8" s="54"/>
      <c r="FV8" s="54"/>
      <c r="FW8" s="54"/>
      <c r="FX8" s="54"/>
      <c r="FY8" s="54"/>
      <c r="FZ8" s="54"/>
      <c r="GA8" s="54"/>
      <c r="GB8" s="54"/>
      <c r="GC8" s="54"/>
      <c r="GD8" s="54"/>
      <c r="GE8" s="54"/>
      <c r="GF8" s="54"/>
      <c r="GG8" s="54"/>
      <c r="GH8" s="54"/>
      <c r="GI8" s="54"/>
      <c r="GJ8" s="54"/>
      <c r="GK8" s="54"/>
      <c r="GL8" s="54"/>
      <c r="GM8" s="54"/>
      <c r="GN8" s="54"/>
      <c r="GO8" s="54"/>
      <c r="GP8" s="54"/>
      <c r="GQ8" s="54"/>
      <c r="GR8" s="54"/>
      <c r="GS8" s="54"/>
      <c r="GT8" s="54"/>
      <c r="GU8" s="54"/>
      <c r="GV8" s="54"/>
      <c r="GW8" s="54"/>
      <c r="GX8" s="54"/>
      <c r="GY8" s="54"/>
      <c r="GZ8" s="54"/>
      <c r="HA8" s="54"/>
      <c r="HB8" s="54"/>
      <c r="HC8" s="54"/>
      <c r="HD8" s="54"/>
      <c r="HE8" s="54"/>
      <c r="HF8" s="54"/>
      <c r="HG8" s="54"/>
      <c r="HH8" s="54"/>
      <c r="HI8" s="54"/>
      <c r="HJ8" s="54"/>
      <c r="HK8" s="54"/>
      <c r="HL8" s="54"/>
      <c r="HM8" s="54"/>
      <c r="HN8" s="54"/>
      <c r="HO8" s="54"/>
      <c r="HP8" s="54"/>
      <c r="HQ8" s="54"/>
      <c r="HR8" s="54"/>
      <c r="HS8" s="54"/>
      <c r="HT8" s="54"/>
      <c r="HU8" s="54"/>
      <c r="HV8" s="54"/>
      <c r="HW8" s="54"/>
      <c r="HX8" s="54"/>
      <c r="HY8" s="54"/>
      <c r="HZ8" s="54"/>
      <c r="IA8" s="54"/>
      <c r="IB8" s="54"/>
      <c r="IC8" s="54"/>
      <c r="ID8" s="54"/>
      <c r="IE8" s="54"/>
      <c r="IF8" s="54"/>
      <c r="IG8" s="54"/>
      <c r="IH8" s="54"/>
      <c r="II8" s="54"/>
      <c r="IJ8" s="54"/>
      <c r="IK8" s="54"/>
      <c r="IL8" s="54"/>
      <c r="IM8" s="54"/>
      <c r="IN8" s="54"/>
      <c r="IO8" s="54"/>
      <c r="IP8" s="54"/>
      <c r="IQ8" s="54"/>
      <c r="IR8" s="54"/>
      <c r="IS8" s="54"/>
      <c r="IT8" s="54"/>
      <c r="IU8" s="54"/>
      <c r="IV8" s="54"/>
      <c r="IW8" s="54"/>
      <c r="IX8" s="54"/>
      <c r="IY8" s="54"/>
      <c r="IZ8" s="54"/>
      <c r="JA8" s="54"/>
      <c r="JB8" s="54"/>
      <c r="JC8" s="54"/>
      <c r="JD8" s="54"/>
      <c r="JE8" s="54"/>
      <c r="JF8" s="54"/>
      <c r="JG8" s="54"/>
      <c r="JH8" s="54"/>
      <c r="JI8" s="54"/>
      <c r="JJ8" s="54"/>
      <c r="JK8" s="54"/>
      <c r="JL8" s="54"/>
      <c r="JM8" s="54"/>
      <c r="JN8" s="54"/>
      <c r="JO8" s="54"/>
      <c r="JP8" s="54"/>
      <c r="JQ8" s="54"/>
      <c r="JR8" s="54"/>
      <c r="JS8" s="54"/>
      <c r="JT8" s="54"/>
      <c r="JU8" s="54"/>
      <c r="JV8" s="54"/>
      <c r="JW8" s="54"/>
      <c r="JX8" s="54"/>
      <c r="JY8" s="54"/>
      <c r="JZ8" s="54"/>
      <c r="KA8" s="54"/>
      <c r="KB8" s="54"/>
      <c r="KC8" s="54"/>
      <c r="KD8" s="54"/>
      <c r="KE8" s="54"/>
      <c r="KF8" s="54"/>
      <c r="KG8" s="54"/>
      <c r="KH8" s="54"/>
      <c r="KI8" s="54"/>
      <c r="KJ8" s="54"/>
      <c r="KK8" s="54"/>
      <c r="KL8" s="54"/>
      <c r="KM8" s="54"/>
      <c r="KN8" s="54"/>
      <c r="KO8" s="54"/>
      <c r="KP8" s="54"/>
      <c r="KQ8" s="54"/>
      <c r="KR8" s="54"/>
      <c r="KS8" s="54"/>
      <c r="KT8" s="54"/>
      <c r="KU8" s="54"/>
      <c r="KV8" s="54"/>
      <c r="KW8" s="54"/>
      <c r="KX8" s="54"/>
    </row>
    <row r="9" ht="5.25" customHeight="1">
      <c r="A9" s="54"/>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c r="CS9" s="54"/>
      <c r="CT9" s="54"/>
      <c r="CU9" s="54"/>
      <c r="CV9" s="54"/>
      <c r="CW9" s="54"/>
      <c r="CX9" s="54"/>
      <c r="CY9" s="54"/>
      <c r="CZ9" s="54"/>
      <c r="DA9" s="54"/>
      <c r="DB9" s="54"/>
      <c r="DC9" s="54"/>
      <c r="DD9" s="60"/>
      <c r="FK9" s="61"/>
      <c r="FL9" s="54"/>
      <c r="FM9" s="54"/>
      <c r="FN9" s="54"/>
      <c r="FO9" s="54"/>
      <c r="FP9" s="54"/>
      <c r="FQ9" s="54"/>
      <c r="FR9" s="54"/>
      <c r="FS9" s="54"/>
      <c r="FT9" s="54"/>
      <c r="FU9" s="54"/>
      <c r="FV9" s="54"/>
      <c r="FW9" s="54"/>
      <c r="FX9" s="54"/>
      <c r="FY9" s="54"/>
      <c r="FZ9" s="54"/>
      <c r="GA9" s="54"/>
      <c r="GB9" s="54"/>
      <c r="GC9" s="54"/>
      <c r="GD9" s="54"/>
      <c r="GE9" s="54"/>
      <c r="GF9" s="54"/>
      <c r="GG9" s="54"/>
      <c r="GH9" s="54"/>
      <c r="GI9" s="54"/>
      <c r="GJ9" s="54"/>
      <c r="GK9" s="54"/>
      <c r="GL9" s="54"/>
      <c r="GM9" s="54"/>
      <c r="GN9" s="54"/>
      <c r="GO9" s="54"/>
      <c r="GP9" s="54"/>
      <c r="GQ9" s="54"/>
      <c r="GR9" s="54"/>
      <c r="GS9" s="54"/>
      <c r="GT9" s="54"/>
      <c r="GU9" s="54"/>
      <c r="GV9" s="54"/>
      <c r="GW9" s="54"/>
      <c r="GX9" s="54"/>
      <c r="GY9" s="54"/>
      <c r="GZ9" s="54"/>
      <c r="HA9" s="54"/>
      <c r="HB9" s="54"/>
      <c r="HC9" s="54"/>
      <c r="HD9" s="54"/>
      <c r="HE9" s="54"/>
      <c r="HF9" s="54"/>
      <c r="HG9" s="54"/>
      <c r="HH9" s="54"/>
      <c r="HI9" s="54"/>
      <c r="HJ9" s="54"/>
      <c r="HK9" s="54"/>
      <c r="HL9" s="54"/>
      <c r="HM9" s="54"/>
      <c r="HN9" s="54"/>
      <c r="HO9" s="54"/>
      <c r="HP9" s="54"/>
      <c r="HQ9" s="54"/>
      <c r="HR9" s="54"/>
      <c r="HS9" s="54"/>
      <c r="HT9" s="54"/>
      <c r="HU9" s="54"/>
      <c r="HV9" s="54"/>
      <c r="HW9" s="54"/>
      <c r="HX9" s="54"/>
      <c r="HY9" s="54"/>
      <c r="HZ9" s="54"/>
      <c r="IA9" s="54"/>
      <c r="IB9" s="54"/>
      <c r="IC9" s="54"/>
      <c r="ID9" s="54"/>
      <c r="IE9" s="54"/>
      <c r="IF9" s="54"/>
      <c r="IG9" s="54"/>
      <c r="IH9" s="54"/>
      <c r="II9" s="54"/>
      <c r="IJ9" s="54"/>
      <c r="IK9" s="54"/>
      <c r="IL9" s="54"/>
      <c r="IM9" s="54"/>
      <c r="IN9" s="54"/>
      <c r="IO9" s="54"/>
      <c r="IP9" s="54"/>
      <c r="IQ9" s="54"/>
      <c r="IR9" s="54"/>
      <c r="IS9" s="54"/>
      <c r="IT9" s="54"/>
      <c r="IU9" s="54"/>
      <c r="IV9" s="54"/>
      <c r="IW9" s="54"/>
      <c r="IX9" s="54"/>
      <c r="IY9" s="54"/>
      <c r="IZ9" s="54"/>
      <c r="JA9" s="54"/>
      <c r="JB9" s="54"/>
      <c r="JC9" s="54"/>
      <c r="JD9" s="54"/>
      <c r="JE9" s="54"/>
      <c r="JF9" s="54"/>
      <c r="JG9" s="54"/>
      <c r="JH9" s="54"/>
      <c r="JI9" s="54"/>
      <c r="JJ9" s="54"/>
      <c r="JK9" s="54"/>
      <c r="JL9" s="54"/>
      <c r="JM9" s="54"/>
      <c r="JN9" s="54"/>
      <c r="JO9" s="54"/>
      <c r="JP9" s="54"/>
      <c r="JQ9" s="54"/>
      <c r="JR9" s="54"/>
      <c r="JS9" s="54"/>
      <c r="JT9" s="54"/>
      <c r="JU9" s="54"/>
      <c r="JV9" s="54"/>
      <c r="JW9" s="54"/>
      <c r="JX9" s="54"/>
      <c r="JY9" s="54"/>
      <c r="JZ9" s="54"/>
      <c r="KA9" s="54"/>
      <c r="KB9" s="54"/>
      <c r="KC9" s="54"/>
      <c r="KD9" s="54"/>
      <c r="KE9" s="54"/>
      <c r="KF9" s="54"/>
      <c r="KG9" s="54"/>
      <c r="KH9" s="54"/>
      <c r="KI9" s="54"/>
      <c r="KJ9" s="54"/>
      <c r="KK9" s="54"/>
      <c r="KL9" s="54"/>
      <c r="KM9" s="54"/>
      <c r="KN9" s="54"/>
      <c r="KO9" s="54"/>
      <c r="KP9" s="54"/>
      <c r="KQ9" s="54"/>
      <c r="KR9" s="54"/>
      <c r="KS9" s="54"/>
      <c r="KT9" s="54"/>
      <c r="KU9" s="54"/>
      <c r="KV9" s="54"/>
      <c r="KW9" s="54"/>
      <c r="KX9" s="54"/>
    </row>
    <row r="10" ht="5.25" customHeight="1">
      <c r="A10" s="54"/>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c r="CA10" s="54"/>
      <c r="CB10" s="54"/>
      <c r="CC10" s="54"/>
      <c r="CD10" s="54"/>
      <c r="CE10" s="54"/>
      <c r="CF10" s="54"/>
      <c r="CG10" s="54"/>
      <c r="CH10" s="54"/>
      <c r="CI10" s="54"/>
      <c r="CJ10" s="54"/>
      <c r="CK10" s="54"/>
      <c r="CL10" s="54"/>
      <c r="CM10" s="54"/>
      <c r="CN10" s="54"/>
      <c r="CO10" s="54"/>
      <c r="CP10" s="54"/>
      <c r="CQ10" s="54"/>
      <c r="CR10" s="54"/>
      <c r="CS10" s="54"/>
      <c r="CT10" s="54"/>
      <c r="CU10" s="54"/>
      <c r="CV10" s="54"/>
      <c r="CW10" s="54"/>
      <c r="CX10" s="54"/>
      <c r="CY10" s="54"/>
      <c r="CZ10" s="54"/>
      <c r="DA10" s="54"/>
      <c r="DB10" s="54"/>
      <c r="DC10" s="54"/>
      <c r="DD10" s="60"/>
      <c r="FK10" s="61"/>
      <c r="FL10" s="54"/>
      <c r="FM10" s="54"/>
      <c r="FN10" s="54"/>
      <c r="FO10" s="54"/>
      <c r="FP10" s="54"/>
      <c r="FQ10" s="54"/>
      <c r="FR10" s="54"/>
      <c r="FS10" s="54"/>
      <c r="FT10" s="54"/>
      <c r="FU10" s="54"/>
      <c r="FV10" s="54"/>
      <c r="FW10" s="54"/>
      <c r="FX10" s="54"/>
      <c r="FY10" s="54"/>
      <c r="FZ10" s="54"/>
      <c r="GA10" s="54"/>
      <c r="GB10" s="54"/>
      <c r="GC10" s="54"/>
      <c r="GD10" s="54"/>
      <c r="GE10" s="54"/>
      <c r="GF10" s="54"/>
      <c r="GG10" s="54"/>
      <c r="GH10" s="54"/>
      <c r="GI10" s="54"/>
      <c r="GJ10" s="54"/>
      <c r="GK10" s="54"/>
      <c r="GL10" s="54"/>
      <c r="GM10" s="54"/>
      <c r="GN10" s="54"/>
      <c r="GO10" s="54"/>
      <c r="GP10" s="54"/>
      <c r="GQ10" s="54"/>
      <c r="GR10" s="54"/>
      <c r="GS10" s="54"/>
      <c r="GT10" s="54"/>
      <c r="GU10" s="54"/>
      <c r="GV10" s="54"/>
      <c r="GW10" s="54"/>
      <c r="GX10" s="54"/>
      <c r="GY10" s="54"/>
      <c r="GZ10" s="54"/>
      <c r="HA10" s="54"/>
      <c r="HB10" s="54"/>
      <c r="HC10" s="54"/>
      <c r="HD10" s="54"/>
      <c r="HE10" s="54"/>
      <c r="HF10" s="54"/>
      <c r="HG10" s="54"/>
      <c r="HH10" s="54"/>
      <c r="HI10" s="54"/>
      <c r="HJ10" s="54"/>
      <c r="HK10" s="54"/>
      <c r="HL10" s="54"/>
      <c r="HM10" s="54"/>
      <c r="HN10" s="54"/>
      <c r="HO10" s="54"/>
      <c r="HP10" s="54"/>
      <c r="HQ10" s="54"/>
      <c r="HR10" s="54"/>
      <c r="HS10" s="54"/>
      <c r="HT10" s="54"/>
      <c r="HU10" s="54"/>
      <c r="HV10" s="54"/>
      <c r="HW10" s="54"/>
      <c r="HX10" s="54"/>
      <c r="HY10" s="54"/>
      <c r="HZ10" s="54"/>
      <c r="IA10" s="54"/>
      <c r="IB10" s="54"/>
      <c r="IC10" s="54"/>
      <c r="ID10" s="54"/>
      <c r="IE10" s="54"/>
      <c r="IF10" s="54"/>
      <c r="IG10" s="54"/>
      <c r="IH10" s="54"/>
      <c r="II10" s="54"/>
      <c r="IJ10" s="54"/>
      <c r="IK10" s="54"/>
      <c r="IL10" s="54"/>
      <c r="IM10" s="54"/>
      <c r="IN10" s="54"/>
      <c r="IO10" s="54"/>
      <c r="IP10" s="54"/>
      <c r="IQ10" s="54"/>
      <c r="IR10" s="54"/>
      <c r="IS10" s="54"/>
      <c r="IT10" s="54"/>
      <c r="IU10" s="54"/>
      <c r="IV10" s="54"/>
      <c r="IW10" s="54"/>
      <c r="IX10" s="54"/>
      <c r="IY10" s="54"/>
      <c r="IZ10" s="54"/>
      <c r="JA10" s="54"/>
      <c r="JB10" s="54"/>
      <c r="JC10" s="54"/>
      <c r="JD10" s="54"/>
      <c r="JE10" s="54"/>
      <c r="JF10" s="54"/>
      <c r="JG10" s="54"/>
      <c r="JH10" s="54"/>
      <c r="JI10" s="54"/>
      <c r="JJ10" s="54"/>
      <c r="JK10" s="54"/>
      <c r="JL10" s="54"/>
      <c r="JM10" s="54"/>
      <c r="JN10" s="54"/>
      <c r="JO10" s="54"/>
      <c r="JP10" s="54"/>
      <c r="JQ10" s="54"/>
      <c r="JR10" s="54"/>
      <c r="JS10" s="54"/>
      <c r="JT10" s="54"/>
      <c r="JU10" s="54"/>
      <c r="JV10" s="54"/>
      <c r="JW10" s="54"/>
      <c r="JX10" s="54"/>
      <c r="JY10" s="54"/>
      <c r="JZ10" s="54"/>
      <c r="KA10" s="54"/>
      <c r="KB10" s="54"/>
      <c r="KC10" s="54"/>
      <c r="KD10" s="54"/>
      <c r="KE10" s="54"/>
      <c r="KF10" s="54"/>
      <c r="KG10" s="54"/>
      <c r="KH10" s="54"/>
      <c r="KI10" s="54"/>
      <c r="KJ10" s="54"/>
      <c r="KK10" s="54"/>
      <c r="KL10" s="54"/>
      <c r="KM10" s="54"/>
      <c r="KN10" s="54"/>
      <c r="KO10" s="54"/>
      <c r="KP10" s="54"/>
      <c r="KQ10" s="54"/>
      <c r="KR10" s="54"/>
      <c r="KS10" s="54"/>
      <c r="KT10" s="54"/>
      <c r="KU10" s="54"/>
      <c r="KV10" s="54"/>
      <c r="KW10" s="54"/>
      <c r="KX10" s="54"/>
    </row>
    <row r="11" ht="5.25" customHeight="1">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c r="CC11" s="54"/>
      <c r="CD11" s="54"/>
      <c r="CE11" s="54"/>
      <c r="CF11" s="54"/>
      <c r="CG11" s="54"/>
      <c r="CH11" s="54"/>
      <c r="CI11" s="54"/>
      <c r="CJ11" s="54"/>
      <c r="CK11" s="54"/>
      <c r="CL11" s="54"/>
      <c r="CM11" s="54"/>
      <c r="CN11" s="54"/>
      <c r="CO11" s="54"/>
      <c r="CP11" s="54"/>
      <c r="CQ11" s="54"/>
      <c r="CR11" s="54"/>
      <c r="CS11" s="54"/>
      <c r="CT11" s="54"/>
      <c r="CU11" s="54"/>
      <c r="CV11" s="54"/>
      <c r="CW11" s="54"/>
      <c r="CX11" s="54"/>
      <c r="CY11" s="54"/>
      <c r="CZ11" s="54"/>
      <c r="DA11" s="54"/>
      <c r="DB11" s="54"/>
      <c r="DC11" s="54"/>
      <c r="DD11" s="60"/>
      <c r="FK11" s="61"/>
      <c r="FL11" s="54"/>
      <c r="FM11" s="54"/>
      <c r="FN11" s="54"/>
      <c r="FO11" s="54"/>
      <c r="FP11" s="54"/>
      <c r="FQ11" s="54"/>
      <c r="FR11" s="54"/>
      <c r="FS11" s="54"/>
      <c r="FT11" s="54"/>
      <c r="FU11" s="54"/>
      <c r="FV11" s="54"/>
      <c r="FW11" s="54"/>
      <c r="FX11" s="54"/>
      <c r="FY11" s="54"/>
      <c r="FZ11" s="54"/>
      <c r="GA11" s="54"/>
      <c r="GB11" s="54"/>
      <c r="GC11" s="54"/>
      <c r="GD11" s="54"/>
      <c r="GE11" s="54"/>
      <c r="GF11" s="54"/>
      <c r="GG11" s="54"/>
      <c r="GH11" s="54"/>
      <c r="GI11" s="54"/>
      <c r="GJ11" s="54"/>
      <c r="GK11" s="54"/>
      <c r="GL11" s="54"/>
      <c r="GM11" s="54"/>
      <c r="GN11" s="54"/>
      <c r="GO11" s="54"/>
      <c r="GP11" s="54"/>
      <c r="GQ11" s="54"/>
      <c r="GR11" s="54"/>
      <c r="GS11" s="54"/>
      <c r="GT11" s="54"/>
      <c r="GU11" s="54"/>
      <c r="GV11" s="54"/>
      <c r="GW11" s="54"/>
      <c r="GX11" s="54"/>
      <c r="GY11" s="54"/>
      <c r="GZ11" s="54"/>
      <c r="HA11" s="54"/>
      <c r="HB11" s="54"/>
      <c r="HC11" s="54"/>
      <c r="HD11" s="54"/>
      <c r="HE11" s="54"/>
      <c r="HF11" s="54"/>
      <c r="HG11" s="54"/>
      <c r="HH11" s="54"/>
      <c r="HI11" s="54"/>
      <c r="HJ11" s="54"/>
      <c r="HK11" s="54"/>
      <c r="HL11" s="54"/>
      <c r="HM11" s="54"/>
      <c r="HN11" s="54"/>
      <c r="HO11" s="54"/>
      <c r="HP11" s="54"/>
      <c r="HQ11" s="54"/>
      <c r="HR11" s="54"/>
      <c r="HS11" s="54"/>
      <c r="HT11" s="54"/>
      <c r="HU11" s="54"/>
      <c r="HV11" s="54"/>
      <c r="HW11" s="54"/>
      <c r="HX11" s="54"/>
      <c r="HY11" s="54"/>
      <c r="HZ11" s="54"/>
      <c r="IA11" s="54"/>
      <c r="IB11" s="54"/>
      <c r="IC11" s="54"/>
      <c r="ID11" s="54"/>
      <c r="IE11" s="54"/>
      <c r="IF11" s="54"/>
      <c r="IG11" s="54"/>
      <c r="IH11" s="54"/>
      <c r="II11" s="54"/>
      <c r="IJ11" s="54"/>
      <c r="IK11" s="54"/>
      <c r="IL11" s="54"/>
      <c r="IM11" s="54"/>
      <c r="IN11" s="54"/>
      <c r="IO11" s="54"/>
      <c r="IP11" s="54"/>
      <c r="IQ11" s="54"/>
      <c r="IR11" s="54"/>
      <c r="IS11" s="54"/>
      <c r="IT11" s="54"/>
      <c r="IU11" s="54"/>
      <c r="IV11" s="54"/>
      <c r="IW11" s="54"/>
      <c r="IX11" s="54"/>
      <c r="IY11" s="54"/>
      <c r="IZ11" s="54"/>
      <c r="JA11" s="54"/>
      <c r="JB11" s="54"/>
      <c r="JC11" s="54"/>
      <c r="JD11" s="54"/>
      <c r="JE11" s="54"/>
      <c r="JF11" s="54"/>
      <c r="JG11" s="54"/>
      <c r="JH11" s="54"/>
      <c r="JI11" s="54"/>
      <c r="JJ11" s="54"/>
      <c r="JK11" s="54"/>
      <c r="JL11" s="54"/>
      <c r="JM11" s="54"/>
      <c r="JN11" s="54"/>
      <c r="JO11" s="54"/>
      <c r="JP11" s="54"/>
      <c r="JQ11" s="54"/>
      <c r="JR11" s="54"/>
      <c r="JS11" s="54"/>
      <c r="JT11" s="54"/>
      <c r="JU11" s="54"/>
      <c r="JV11" s="54"/>
      <c r="JW11" s="54"/>
      <c r="JX11" s="54"/>
      <c r="JY11" s="54"/>
      <c r="JZ11" s="54"/>
      <c r="KA11" s="54"/>
      <c r="KB11" s="54"/>
      <c r="KC11" s="54"/>
      <c r="KD11" s="54"/>
      <c r="KE11" s="54"/>
      <c r="KF11" s="54"/>
      <c r="KG11" s="54"/>
      <c r="KH11" s="54"/>
      <c r="KI11" s="54"/>
      <c r="KJ11" s="54"/>
      <c r="KK11" s="54"/>
      <c r="KL11" s="54"/>
      <c r="KM11" s="54"/>
      <c r="KN11" s="54"/>
      <c r="KO11" s="54"/>
      <c r="KP11" s="54"/>
      <c r="KQ11" s="54"/>
      <c r="KR11" s="54"/>
      <c r="KS11" s="54"/>
      <c r="KT11" s="54"/>
      <c r="KU11" s="54"/>
      <c r="KV11" s="54"/>
      <c r="KW11" s="54"/>
      <c r="KX11" s="54"/>
    </row>
    <row r="12" ht="5.25" customHeight="1">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c r="CC12" s="54"/>
      <c r="CD12" s="54"/>
      <c r="CE12" s="54"/>
      <c r="CF12" s="54"/>
      <c r="CG12" s="54"/>
      <c r="CH12" s="54"/>
      <c r="CI12" s="54"/>
      <c r="CJ12" s="54"/>
      <c r="CK12" s="54"/>
      <c r="CL12" s="54"/>
      <c r="CM12" s="54"/>
      <c r="CN12" s="54"/>
      <c r="CO12" s="54"/>
      <c r="CP12" s="54"/>
      <c r="CQ12" s="54"/>
      <c r="CR12" s="54"/>
      <c r="CS12" s="54"/>
      <c r="CT12" s="54"/>
      <c r="CU12" s="54"/>
      <c r="CV12" s="54"/>
      <c r="CW12" s="54"/>
      <c r="CX12" s="54"/>
      <c r="CY12" s="54"/>
      <c r="CZ12" s="54"/>
      <c r="DA12" s="54"/>
      <c r="DB12" s="54"/>
      <c r="DC12" s="55"/>
      <c r="DD12" s="62" t="s">
        <v>2</v>
      </c>
      <c r="EH12" s="63" t="s">
        <v>4</v>
      </c>
      <c r="FK12" s="61"/>
      <c r="FL12" s="55"/>
      <c r="FM12" s="54"/>
      <c r="FN12" s="54"/>
      <c r="FO12" s="54"/>
      <c r="FP12" s="54"/>
      <c r="FQ12" s="54"/>
      <c r="FR12" s="54"/>
      <c r="FS12" s="54"/>
      <c r="FT12" s="54"/>
      <c r="FU12" s="54"/>
      <c r="FV12" s="54"/>
      <c r="FW12" s="54"/>
      <c r="FX12" s="54"/>
      <c r="FY12" s="54"/>
      <c r="FZ12" s="54"/>
      <c r="GA12" s="54"/>
      <c r="GB12" s="54"/>
      <c r="GC12" s="54"/>
      <c r="GD12" s="54"/>
      <c r="GE12" s="54"/>
      <c r="GF12" s="54"/>
      <c r="GG12" s="54"/>
      <c r="GH12" s="54"/>
      <c r="GI12" s="54"/>
      <c r="GJ12" s="54"/>
      <c r="GK12" s="54"/>
      <c r="GL12" s="54"/>
      <c r="GM12" s="54"/>
      <c r="GN12" s="54"/>
      <c r="GO12" s="54"/>
      <c r="GP12" s="54"/>
      <c r="GQ12" s="54"/>
      <c r="GR12" s="54"/>
      <c r="GS12" s="54"/>
      <c r="GT12" s="54"/>
      <c r="GU12" s="54"/>
      <c r="GV12" s="54"/>
      <c r="GW12" s="54"/>
      <c r="GX12" s="54"/>
      <c r="GY12" s="54"/>
      <c r="GZ12" s="54"/>
      <c r="HA12" s="54"/>
      <c r="HB12" s="54"/>
      <c r="HC12" s="54"/>
      <c r="HD12" s="54"/>
      <c r="HE12" s="54"/>
      <c r="HF12" s="54"/>
      <c r="HG12" s="54"/>
      <c r="HH12" s="54"/>
      <c r="HI12" s="54"/>
      <c r="HJ12" s="54"/>
      <c r="HK12" s="54"/>
      <c r="HL12" s="54"/>
      <c r="HM12" s="54"/>
      <c r="HN12" s="54"/>
      <c r="HO12" s="54"/>
      <c r="HP12" s="54"/>
      <c r="HQ12" s="54"/>
      <c r="HR12" s="54"/>
      <c r="HS12" s="54"/>
      <c r="HT12" s="54"/>
      <c r="HU12" s="54"/>
      <c r="HV12" s="54"/>
      <c r="HW12" s="54"/>
      <c r="HX12" s="54"/>
      <c r="HY12" s="54"/>
      <c r="HZ12" s="54"/>
      <c r="IA12" s="54"/>
      <c r="IB12" s="54"/>
      <c r="IC12" s="54"/>
      <c r="ID12" s="54"/>
      <c r="IE12" s="54"/>
      <c r="IF12" s="54"/>
      <c r="IG12" s="54"/>
      <c r="IH12" s="54"/>
      <c r="II12" s="54"/>
      <c r="IJ12" s="54"/>
      <c r="IK12" s="54"/>
      <c r="IL12" s="54"/>
      <c r="IM12" s="54"/>
      <c r="IN12" s="54"/>
      <c r="IO12" s="54"/>
      <c r="IP12" s="54"/>
      <c r="IQ12" s="54"/>
      <c r="IR12" s="54"/>
      <c r="IS12" s="54"/>
      <c r="IT12" s="54"/>
      <c r="IU12" s="54"/>
      <c r="IV12" s="54"/>
      <c r="IW12" s="54"/>
      <c r="IX12" s="54"/>
      <c r="IY12" s="54"/>
      <c r="IZ12" s="54"/>
      <c r="JA12" s="54"/>
      <c r="JB12" s="54"/>
      <c r="JC12" s="54"/>
      <c r="JD12" s="54"/>
      <c r="JE12" s="54"/>
      <c r="JF12" s="54"/>
      <c r="JG12" s="54"/>
      <c r="JH12" s="54"/>
      <c r="JI12" s="54"/>
      <c r="JJ12" s="54"/>
      <c r="JK12" s="54"/>
      <c r="JL12" s="54"/>
      <c r="JM12" s="54"/>
      <c r="JN12" s="54"/>
      <c r="JO12" s="54"/>
      <c r="JP12" s="54"/>
      <c r="JQ12" s="54"/>
      <c r="JR12" s="54"/>
      <c r="JS12" s="54"/>
      <c r="JT12" s="54"/>
      <c r="JU12" s="54"/>
      <c r="JV12" s="54"/>
      <c r="JW12" s="54"/>
      <c r="JX12" s="54"/>
      <c r="JY12" s="54"/>
      <c r="JZ12" s="54"/>
      <c r="KA12" s="54"/>
      <c r="KB12" s="54"/>
      <c r="KC12" s="54"/>
      <c r="KD12" s="54"/>
      <c r="KE12" s="54"/>
      <c r="KF12" s="54"/>
      <c r="KG12" s="54"/>
      <c r="KH12" s="54"/>
      <c r="KI12" s="54"/>
      <c r="KJ12" s="54"/>
      <c r="KK12" s="54"/>
      <c r="KL12" s="54"/>
      <c r="KM12" s="54"/>
      <c r="KN12" s="54"/>
      <c r="KO12" s="54"/>
      <c r="KP12" s="54"/>
      <c r="KQ12" s="54"/>
      <c r="KR12" s="54"/>
      <c r="KS12" s="54"/>
      <c r="KT12" s="54"/>
      <c r="KU12" s="54"/>
      <c r="KV12" s="54"/>
      <c r="KW12" s="54"/>
      <c r="KX12" s="54"/>
    </row>
    <row r="13" ht="5.25" customHeight="1">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c r="CC13" s="54"/>
      <c r="CD13" s="54"/>
      <c r="CE13" s="54"/>
      <c r="CF13" s="54"/>
      <c r="CG13" s="54"/>
      <c r="CH13" s="54"/>
      <c r="CI13" s="54"/>
      <c r="CJ13" s="54"/>
      <c r="CK13" s="54"/>
      <c r="CL13" s="54"/>
      <c r="CM13" s="54"/>
      <c r="CN13" s="54"/>
      <c r="CO13" s="54"/>
      <c r="CP13" s="54"/>
      <c r="CQ13" s="54"/>
      <c r="CR13" s="54"/>
      <c r="CS13" s="54"/>
      <c r="CT13" s="54"/>
      <c r="CU13" s="54"/>
      <c r="CV13" s="54"/>
      <c r="CW13" s="54"/>
      <c r="CX13" s="54"/>
      <c r="CY13" s="54"/>
      <c r="CZ13" s="54"/>
      <c r="DA13" s="54"/>
      <c r="DB13" s="54"/>
      <c r="DC13" s="55"/>
      <c r="DD13" s="60"/>
      <c r="FK13" s="61"/>
      <c r="FL13" s="55"/>
      <c r="FM13" s="54"/>
      <c r="FN13" s="54"/>
      <c r="FO13" s="54"/>
      <c r="FP13" s="54"/>
      <c r="FQ13" s="54"/>
      <c r="FR13" s="54"/>
      <c r="FS13" s="54"/>
      <c r="FT13" s="54"/>
      <c r="FU13" s="54"/>
      <c r="FV13" s="54"/>
      <c r="FW13" s="54"/>
      <c r="FX13" s="54"/>
      <c r="FY13" s="54"/>
      <c r="FZ13" s="54"/>
      <c r="GA13" s="54"/>
      <c r="GB13" s="54"/>
      <c r="GC13" s="54"/>
      <c r="GD13" s="54"/>
      <c r="GE13" s="54"/>
      <c r="GF13" s="54"/>
      <c r="GG13" s="54"/>
      <c r="GH13" s="54"/>
      <c r="GI13" s="54"/>
      <c r="GJ13" s="54"/>
      <c r="GK13" s="54"/>
      <c r="GL13" s="54"/>
      <c r="GM13" s="54"/>
      <c r="GN13" s="54"/>
      <c r="GO13" s="54"/>
      <c r="GP13" s="54"/>
      <c r="GQ13" s="54"/>
      <c r="GR13" s="54"/>
      <c r="GS13" s="54"/>
      <c r="GT13" s="54"/>
      <c r="GU13" s="54"/>
      <c r="GV13" s="54"/>
      <c r="GW13" s="54"/>
      <c r="GX13" s="54"/>
      <c r="GY13" s="54"/>
      <c r="GZ13" s="54"/>
      <c r="HA13" s="54"/>
      <c r="HB13" s="54"/>
      <c r="HC13" s="54"/>
      <c r="HD13" s="54"/>
      <c r="HE13" s="54"/>
      <c r="HF13" s="54"/>
      <c r="HG13" s="54"/>
      <c r="HH13" s="54"/>
      <c r="HI13" s="54"/>
      <c r="HJ13" s="54"/>
      <c r="HK13" s="54"/>
      <c r="HL13" s="54"/>
      <c r="HM13" s="54"/>
      <c r="HN13" s="54"/>
      <c r="HO13" s="54"/>
      <c r="HP13" s="54"/>
      <c r="HQ13" s="54"/>
      <c r="HR13" s="54"/>
      <c r="HS13" s="54"/>
      <c r="HT13" s="54"/>
      <c r="HU13" s="54"/>
      <c r="HV13" s="54"/>
      <c r="HW13" s="54"/>
      <c r="HX13" s="54"/>
      <c r="HY13" s="54"/>
      <c r="HZ13" s="54"/>
      <c r="IA13" s="54"/>
      <c r="IB13" s="54"/>
      <c r="IC13" s="54"/>
      <c r="ID13" s="54"/>
      <c r="IE13" s="54"/>
      <c r="IF13" s="54"/>
      <c r="IG13" s="54"/>
      <c r="IH13" s="54"/>
      <c r="II13" s="54"/>
      <c r="IJ13" s="54"/>
      <c r="IK13" s="54"/>
      <c r="IL13" s="54"/>
      <c r="IM13" s="54"/>
      <c r="IN13" s="54"/>
      <c r="IO13" s="54"/>
      <c r="IP13" s="54"/>
      <c r="IQ13" s="54"/>
      <c r="IR13" s="54"/>
      <c r="IS13" s="54"/>
      <c r="IT13" s="54"/>
      <c r="IU13" s="54"/>
      <c r="IV13" s="54"/>
      <c r="IW13" s="54"/>
      <c r="IX13" s="54"/>
      <c r="IY13" s="54"/>
      <c r="IZ13" s="54"/>
      <c r="JA13" s="54"/>
      <c r="JB13" s="54"/>
      <c r="JC13" s="54"/>
      <c r="JD13" s="54"/>
      <c r="JE13" s="54"/>
      <c r="JF13" s="54"/>
      <c r="JG13" s="54"/>
      <c r="JH13" s="54"/>
      <c r="JI13" s="54"/>
      <c r="JJ13" s="54"/>
      <c r="JK13" s="54"/>
      <c r="JL13" s="54"/>
      <c r="JM13" s="54"/>
      <c r="JN13" s="54"/>
      <c r="JO13" s="54"/>
      <c r="JP13" s="54"/>
      <c r="JQ13" s="54"/>
      <c r="JR13" s="54"/>
      <c r="JS13" s="54"/>
      <c r="JT13" s="54"/>
      <c r="JU13" s="54"/>
      <c r="JV13" s="54"/>
      <c r="JW13" s="54"/>
      <c r="JX13" s="54"/>
      <c r="JY13" s="54"/>
      <c r="JZ13" s="54"/>
      <c r="KA13" s="54"/>
      <c r="KB13" s="54"/>
      <c r="KC13" s="54"/>
      <c r="KD13" s="54"/>
      <c r="KE13" s="54"/>
      <c r="KF13" s="54"/>
      <c r="KG13" s="54"/>
      <c r="KH13" s="54"/>
      <c r="KI13" s="54"/>
      <c r="KJ13" s="54"/>
      <c r="KK13" s="54"/>
      <c r="KL13" s="54"/>
      <c r="KM13" s="54"/>
      <c r="KN13" s="54"/>
      <c r="KO13" s="54"/>
      <c r="KP13" s="54"/>
      <c r="KQ13" s="54"/>
      <c r="KR13" s="54"/>
      <c r="KS13" s="54"/>
      <c r="KT13" s="54"/>
      <c r="KU13" s="54"/>
      <c r="KV13" s="54"/>
      <c r="KW13" s="54"/>
      <c r="KX13" s="54"/>
    </row>
    <row r="14" ht="5.25" customHeight="1">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c r="BU14" s="54"/>
      <c r="BV14" s="54"/>
      <c r="BW14" s="54"/>
      <c r="BX14" s="54"/>
      <c r="BY14" s="54"/>
      <c r="BZ14" s="54"/>
      <c r="CA14" s="54"/>
      <c r="CB14" s="54"/>
      <c r="CC14" s="54"/>
      <c r="CD14" s="54"/>
      <c r="CE14" s="54"/>
      <c r="CF14" s="54"/>
      <c r="CG14" s="54"/>
      <c r="CH14" s="54"/>
      <c r="CI14" s="54"/>
      <c r="CJ14" s="54"/>
      <c r="CK14" s="54"/>
      <c r="CL14" s="54"/>
      <c r="CM14" s="54"/>
      <c r="CN14" s="54"/>
      <c r="CO14" s="54"/>
      <c r="CP14" s="54"/>
      <c r="CQ14" s="54"/>
      <c r="CR14" s="54"/>
      <c r="CS14" s="54"/>
      <c r="CT14" s="54"/>
      <c r="CU14" s="54"/>
      <c r="CV14" s="54"/>
      <c r="CW14" s="54"/>
      <c r="CX14" s="54"/>
      <c r="CY14" s="54"/>
      <c r="CZ14" s="54"/>
      <c r="DA14" s="54"/>
      <c r="DB14" s="54"/>
      <c r="DC14" s="55"/>
      <c r="DD14" s="60"/>
      <c r="FK14" s="61"/>
      <c r="FL14" s="55"/>
      <c r="FM14" s="54"/>
      <c r="FN14" s="54"/>
      <c r="FO14" s="54"/>
      <c r="FP14" s="54"/>
      <c r="FQ14" s="54"/>
      <c r="FR14" s="54"/>
      <c r="FS14" s="54"/>
      <c r="FT14" s="54"/>
      <c r="FU14" s="54"/>
      <c r="FV14" s="54"/>
      <c r="FW14" s="54"/>
      <c r="FX14" s="54"/>
      <c r="FY14" s="54"/>
      <c r="FZ14" s="54"/>
      <c r="GA14" s="54"/>
      <c r="GB14" s="54"/>
      <c r="GC14" s="54"/>
      <c r="GD14" s="54"/>
      <c r="GE14" s="54"/>
      <c r="GF14" s="54"/>
      <c r="GG14" s="54"/>
      <c r="GH14" s="54"/>
      <c r="GI14" s="54"/>
      <c r="GJ14" s="54"/>
      <c r="GK14" s="54"/>
      <c r="GL14" s="54"/>
      <c r="GM14" s="54"/>
      <c r="GN14" s="54"/>
      <c r="GO14" s="54"/>
      <c r="GP14" s="54"/>
      <c r="GQ14" s="54"/>
      <c r="GR14" s="54"/>
      <c r="GS14" s="54"/>
      <c r="GT14" s="54"/>
      <c r="GU14" s="54"/>
      <c r="GV14" s="54"/>
      <c r="GW14" s="54"/>
      <c r="GX14" s="54"/>
      <c r="GY14" s="54"/>
      <c r="GZ14" s="54"/>
      <c r="HA14" s="54"/>
      <c r="HB14" s="54"/>
      <c r="HC14" s="54"/>
      <c r="HD14" s="54"/>
      <c r="HE14" s="54"/>
      <c r="HF14" s="54"/>
      <c r="HG14" s="54"/>
      <c r="HH14" s="54"/>
      <c r="HI14" s="54"/>
      <c r="HJ14" s="54"/>
      <c r="HK14" s="54"/>
      <c r="HL14" s="54"/>
      <c r="HM14" s="54"/>
      <c r="HN14" s="54"/>
      <c r="HO14" s="54"/>
      <c r="HP14" s="54"/>
      <c r="HQ14" s="54"/>
      <c r="HR14" s="54"/>
      <c r="HS14" s="54"/>
      <c r="HT14" s="54"/>
      <c r="HU14" s="54"/>
      <c r="HV14" s="54"/>
      <c r="HW14" s="54"/>
      <c r="HX14" s="54"/>
      <c r="HY14" s="54"/>
      <c r="HZ14" s="54"/>
      <c r="IA14" s="54"/>
      <c r="IB14" s="54"/>
      <c r="IC14" s="54"/>
      <c r="ID14" s="54"/>
      <c r="IE14" s="54"/>
      <c r="IF14" s="54"/>
      <c r="IG14" s="54"/>
      <c r="IH14" s="54"/>
      <c r="II14" s="54"/>
      <c r="IJ14" s="54"/>
      <c r="IK14" s="54"/>
      <c r="IL14" s="54"/>
      <c r="IM14" s="54"/>
      <c r="IN14" s="54"/>
      <c r="IO14" s="54"/>
      <c r="IP14" s="54"/>
      <c r="IQ14" s="54"/>
      <c r="IR14" s="54"/>
      <c r="IS14" s="54"/>
      <c r="IT14" s="54"/>
      <c r="IU14" s="54"/>
      <c r="IV14" s="54"/>
      <c r="IW14" s="54"/>
      <c r="IX14" s="54"/>
      <c r="IY14" s="54"/>
      <c r="IZ14" s="54"/>
      <c r="JA14" s="54"/>
      <c r="JB14" s="54"/>
      <c r="JC14" s="54"/>
      <c r="JD14" s="54"/>
      <c r="JE14" s="54"/>
      <c r="JF14" s="54"/>
      <c r="JG14" s="54"/>
      <c r="JH14" s="54"/>
      <c r="JI14" s="54"/>
      <c r="JJ14" s="54"/>
      <c r="JK14" s="54"/>
      <c r="JL14" s="54"/>
      <c r="JM14" s="54"/>
      <c r="JN14" s="54"/>
      <c r="JO14" s="54"/>
      <c r="JP14" s="54"/>
      <c r="JQ14" s="54"/>
      <c r="JR14" s="54"/>
      <c r="JS14" s="54"/>
      <c r="JT14" s="54"/>
      <c r="JU14" s="54"/>
      <c r="JV14" s="54"/>
      <c r="JW14" s="54"/>
      <c r="JX14" s="54"/>
      <c r="JY14" s="54"/>
      <c r="JZ14" s="54"/>
      <c r="KA14" s="54"/>
      <c r="KB14" s="54"/>
      <c r="KC14" s="54"/>
      <c r="KD14" s="54"/>
      <c r="KE14" s="54"/>
      <c r="KF14" s="54"/>
      <c r="KG14" s="54"/>
      <c r="KH14" s="54"/>
      <c r="KI14" s="54"/>
      <c r="KJ14" s="54"/>
      <c r="KK14" s="54"/>
      <c r="KL14" s="54"/>
      <c r="KM14" s="54"/>
      <c r="KN14" s="54"/>
      <c r="KO14" s="54"/>
      <c r="KP14" s="54"/>
      <c r="KQ14" s="54"/>
      <c r="KR14" s="54"/>
      <c r="KS14" s="54"/>
      <c r="KT14" s="54"/>
      <c r="KU14" s="54"/>
      <c r="KV14" s="54"/>
      <c r="KW14" s="54"/>
      <c r="KX14" s="54"/>
    </row>
    <row r="15" ht="5.25" customHeight="1">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4"/>
      <c r="BZ15" s="54"/>
      <c r="CA15" s="54"/>
      <c r="CB15" s="54"/>
      <c r="CC15" s="54"/>
      <c r="CD15" s="54"/>
      <c r="CE15" s="54"/>
      <c r="CF15" s="54"/>
      <c r="CG15" s="54"/>
      <c r="CH15" s="54"/>
      <c r="CI15" s="54"/>
      <c r="CJ15" s="54"/>
      <c r="CK15" s="54"/>
      <c r="CL15" s="54"/>
      <c r="CM15" s="54"/>
      <c r="CN15" s="54"/>
      <c r="CO15" s="54"/>
      <c r="CP15" s="54"/>
      <c r="CQ15" s="54"/>
      <c r="CR15" s="54"/>
      <c r="CS15" s="54"/>
      <c r="CT15" s="54"/>
      <c r="CU15" s="54"/>
      <c r="CV15" s="54"/>
      <c r="CW15" s="54"/>
      <c r="CX15" s="54"/>
      <c r="CY15" s="54"/>
      <c r="CZ15" s="54"/>
      <c r="DA15" s="54"/>
      <c r="DB15" s="54"/>
      <c r="DC15" s="55"/>
      <c r="DD15" s="64"/>
      <c r="DL15" s="65" t="s">
        <v>57</v>
      </c>
      <c r="DN15" s="11"/>
      <c r="DO15" s="66" t="s">
        <v>58</v>
      </c>
      <c r="DQ15" s="11"/>
      <c r="DR15" s="66" t="s">
        <v>59</v>
      </c>
      <c r="DU15" s="54"/>
      <c r="ED15" s="67" t="s">
        <v>3</v>
      </c>
      <c r="EL15" s="54"/>
      <c r="EM15" s="54"/>
      <c r="EN15" s="54"/>
      <c r="EO15" s="54"/>
      <c r="EP15" s="54"/>
      <c r="EQ15" s="54"/>
      <c r="ER15" s="54"/>
      <c r="ES15" s="54"/>
      <c r="ET15" s="54"/>
      <c r="EU15" s="65" t="s">
        <v>59</v>
      </c>
      <c r="EW15" s="11"/>
      <c r="EX15" s="66" t="s">
        <v>58</v>
      </c>
      <c r="EZ15" s="11"/>
      <c r="FA15" s="66" t="s">
        <v>57</v>
      </c>
      <c r="FD15" s="68"/>
      <c r="FE15" s="54"/>
      <c r="FF15" s="54"/>
      <c r="FG15" s="54"/>
      <c r="FH15" s="54"/>
      <c r="FI15" s="54"/>
      <c r="FJ15" s="54"/>
      <c r="FK15" s="69"/>
      <c r="FL15" s="55"/>
      <c r="FM15" s="54"/>
      <c r="FN15" s="54"/>
      <c r="FO15" s="54"/>
      <c r="FP15" s="54"/>
      <c r="FQ15" s="54"/>
      <c r="FR15" s="54"/>
      <c r="FS15" s="54"/>
      <c r="FT15" s="54"/>
      <c r="FU15" s="54"/>
      <c r="FV15" s="54"/>
      <c r="FW15" s="54"/>
      <c r="FX15" s="54"/>
      <c r="FY15" s="54"/>
      <c r="FZ15" s="54"/>
      <c r="GA15" s="54"/>
      <c r="GB15" s="54"/>
      <c r="GC15" s="54"/>
      <c r="GD15" s="54"/>
      <c r="GE15" s="54"/>
      <c r="GF15" s="54"/>
      <c r="GG15" s="54"/>
      <c r="GH15" s="54"/>
      <c r="GI15" s="54"/>
      <c r="GJ15" s="54"/>
      <c r="GK15" s="54"/>
      <c r="GL15" s="54"/>
      <c r="GM15" s="54"/>
      <c r="GN15" s="54"/>
      <c r="GO15" s="54"/>
      <c r="GP15" s="54"/>
      <c r="GQ15" s="54"/>
      <c r="GR15" s="54"/>
      <c r="GS15" s="54"/>
      <c r="GT15" s="54"/>
      <c r="GU15" s="54"/>
      <c r="GV15" s="54"/>
      <c r="GW15" s="54"/>
      <c r="GX15" s="54"/>
      <c r="GY15" s="54"/>
      <c r="GZ15" s="54"/>
      <c r="HA15" s="54"/>
      <c r="HB15" s="54"/>
      <c r="HC15" s="54"/>
      <c r="HD15" s="54"/>
      <c r="HE15" s="54"/>
      <c r="HF15" s="54"/>
      <c r="HG15" s="54"/>
      <c r="HH15" s="54"/>
      <c r="HI15" s="54"/>
      <c r="HJ15" s="54"/>
      <c r="HK15" s="54"/>
      <c r="HL15" s="54"/>
      <c r="HM15" s="54"/>
      <c r="HN15" s="54"/>
      <c r="HO15" s="54"/>
      <c r="HP15" s="54"/>
      <c r="HQ15" s="54"/>
      <c r="HR15" s="54"/>
      <c r="HS15" s="54"/>
      <c r="HT15" s="54"/>
      <c r="HU15" s="54"/>
      <c r="HV15" s="54"/>
      <c r="HW15" s="54"/>
      <c r="HX15" s="54"/>
      <c r="HY15" s="54"/>
      <c r="HZ15" s="54"/>
      <c r="IA15" s="54"/>
      <c r="IB15" s="54"/>
      <c r="IC15" s="54"/>
      <c r="ID15" s="54"/>
      <c r="IE15" s="54"/>
      <c r="IF15" s="54"/>
      <c r="IG15" s="54"/>
      <c r="IH15" s="54"/>
      <c r="II15" s="54"/>
      <c r="IJ15" s="54"/>
      <c r="IK15" s="54"/>
      <c r="IL15" s="54"/>
      <c r="IM15" s="54"/>
      <c r="IN15" s="54"/>
      <c r="IO15" s="54"/>
      <c r="IP15" s="54"/>
      <c r="IQ15" s="54"/>
      <c r="IR15" s="54"/>
      <c r="IS15" s="54"/>
      <c r="IT15" s="54"/>
      <c r="IU15" s="54"/>
      <c r="IV15" s="54"/>
      <c r="IW15" s="54"/>
      <c r="IX15" s="54"/>
      <c r="IY15" s="54"/>
      <c r="IZ15" s="54"/>
      <c r="JA15" s="54"/>
      <c r="JB15" s="54"/>
      <c r="JC15" s="54"/>
      <c r="JD15" s="54"/>
      <c r="JE15" s="54"/>
      <c r="JF15" s="54"/>
      <c r="JG15" s="54"/>
      <c r="JH15" s="54"/>
      <c r="JI15" s="54"/>
      <c r="JJ15" s="54"/>
      <c r="JK15" s="54"/>
      <c r="JL15" s="54"/>
      <c r="JM15" s="54"/>
      <c r="JN15" s="54"/>
      <c r="JO15" s="54"/>
      <c r="JP15" s="54"/>
      <c r="JQ15" s="54"/>
      <c r="JR15" s="54"/>
      <c r="JS15" s="54"/>
      <c r="JT15" s="54"/>
      <c r="JU15" s="54"/>
      <c r="JV15" s="54"/>
      <c r="JW15" s="54"/>
      <c r="JX15" s="54"/>
      <c r="JY15" s="54"/>
      <c r="JZ15" s="54"/>
      <c r="KA15" s="54"/>
      <c r="KB15" s="54"/>
      <c r="KC15" s="54"/>
      <c r="KD15" s="54"/>
      <c r="KE15" s="54"/>
      <c r="KF15" s="54"/>
      <c r="KG15" s="54"/>
      <c r="KH15" s="54"/>
      <c r="KI15" s="54"/>
      <c r="KJ15" s="54"/>
      <c r="KK15" s="54"/>
      <c r="KL15" s="54"/>
      <c r="KM15" s="54"/>
      <c r="KN15" s="54"/>
      <c r="KO15" s="54"/>
      <c r="KP15" s="54"/>
      <c r="KQ15" s="54"/>
      <c r="KR15" s="54"/>
      <c r="KS15" s="54"/>
      <c r="KT15" s="54"/>
      <c r="KU15" s="54"/>
      <c r="KV15" s="54"/>
      <c r="KW15" s="54"/>
      <c r="KX15" s="54"/>
    </row>
    <row r="16" ht="5.25" customHeight="1">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c r="DA16" s="54"/>
      <c r="DB16" s="54"/>
      <c r="DC16" s="55"/>
      <c r="DD16" s="60"/>
      <c r="DN16" s="11"/>
      <c r="DO16" s="10"/>
      <c r="DQ16" s="11"/>
      <c r="DR16" s="10"/>
      <c r="EL16" s="54"/>
      <c r="EM16" s="54"/>
      <c r="EN16" s="54"/>
      <c r="EO16" s="54"/>
      <c r="EP16" s="54"/>
      <c r="EQ16" s="54"/>
      <c r="ER16" s="54"/>
      <c r="ES16" s="54"/>
      <c r="ET16" s="54"/>
      <c r="EW16" s="11"/>
      <c r="EX16" s="10"/>
      <c r="EZ16" s="11"/>
      <c r="FA16" s="10"/>
      <c r="FD16" s="68"/>
      <c r="FE16" s="54"/>
      <c r="FF16" s="54"/>
      <c r="FG16" s="54"/>
      <c r="FH16" s="54"/>
      <c r="FI16" s="54"/>
      <c r="FJ16" s="54"/>
      <c r="FK16" s="69"/>
      <c r="FL16" s="55"/>
      <c r="FM16" s="54"/>
      <c r="FN16" s="54"/>
      <c r="FO16" s="54"/>
      <c r="FP16" s="54"/>
      <c r="FQ16" s="54"/>
      <c r="FR16" s="54"/>
      <c r="FS16" s="54"/>
      <c r="FT16" s="54"/>
      <c r="FU16" s="54"/>
      <c r="FV16" s="54"/>
      <c r="FW16" s="54"/>
      <c r="FX16" s="54"/>
      <c r="FY16" s="54"/>
      <c r="FZ16" s="54"/>
      <c r="GA16" s="54"/>
      <c r="GB16" s="54"/>
      <c r="GC16" s="54"/>
      <c r="GD16" s="54"/>
      <c r="GE16" s="54"/>
      <c r="GF16" s="54"/>
      <c r="GG16" s="54"/>
      <c r="GH16" s="54"/>
      <c r="GI16" s="54"/>
      <c r="GJ16" s="54"/>
      <c r="GK16" s="54"/>
      <c r="GL16" s="54"/>
      <c r="GM16" s="54"/>
      <c r="GN16" s="54"/>
      <c r="GO16" s="54"/>
      <c r="GP16" s="54"/>
      <c r="GQ16" s="54"/>
      <c r="GR16" s="54"/>
      <c r="GS16" s="54"/>
      <c r="GT16" s="54"/>
      <c r="GU16" s="54"/>
      <c r="GV16" s="54"/>
      <c r="GW16" s="54"/>
      <c r="GX16" s="54"/>
      <c r="GY16" s="54"/>
      <c r="GZ16" s="54"/>
      <c r="HA16" s="54"/>
      <c r="HB16" s="54"/>
      <c r="HC16" s="54"/>
      <c r="HD16" s="54"/>
      <c r="HE16" s="54"/>
      <c r="HF16" s="54"/>
      <c r="HG16" s="54"/>
      <c r="HH16" s="54"/>
      <c r="HI16" s="54"/>
      <c r="HJ16" s="54"/>
      <c r="HK16" s="54"/>
      <c r="HL16" s="54"/>
      <c r="HM16" s="54"/>
      <c r="HN16" s="54"/>
      <c r="HO16" s="54"/>
      <c r="HP16" s="54"/>
      <c r="HQ16" s="54"/>
      <c r="HR16" s="54"/>
      <c r="HS16" s="54"/>
      <c r="HT16" s="54"/>
      <c r="HU16" s="54"/>
      <c r="HV16" s="54"/>
      <c r="HW16" s="54"/>
      <c r="HX16" s="54"/>
      <c r="HY16" s="54"/>
      <c r="HZ16" s="54"/>
      <c r="IA16" s="54"/>
      <c r="IB16" s="54"/>
      <c r="IC16" s="54"/>
      <c r="ID16" s="54"/>
      <c r="IE16" s="54"/>
      <c r="IF16" s="54"/>
      <c r="IG16" s="54"/>
      <c r="IH16" s="54"/>
      <c r="II16" s="54"/>
      <c r="IJ16" s="54"/>
      <c r="IK16" s="54"/>
      <c r="IL16" s="54"/>
      <c r="IM16" s="54"/>
      <c r="IN16" s="54"/>
      <c r="IO16" s="54"/>
      <c r="IP16" s="54"/>
      <c r="IQ16" s="54"/>
      <c r="IR16" s="54"/>
      <c r="IS16" s="54"/>
      <c r="IT16" s="54"/>
      <c r="IU16" s="54"/>
      <c r="IV16" s="54"/>
      <c r="IW16" s="54"/>
      <c r="IX16" s="54"/>
      <c r="IY16" s="54"/>
      <c r="IZ16" s="54"/>
      <c r="JA16" s="54"/>
      <c r="JB16" s="54"/>
      <c r="JC16" s="54"/>
      <c r="JD16" s="54"/>
      <c r="JE16" s="54"/>
      <c r="JF16" s="54"/>
      <c r="JG16" s="54"/>
      <c r="JH16" s="54"/>
      <c r="JI16" s="54"/>
      <c r="JJ16" s="54"/>
      <c r="JK16" s="54"/>
      <c r="JL16" s="54"/>
      <c r="JM16" s="54"/>
      <c r="JN16" s="54"/>
      <c r="JO16" s="54"/>
      <c r="JP16" s="54"/>
      <c r="JQ16" s="54"/>
      <c r="JR16" s="54"/>
      <c r="JS16" s="54"/>
      <c r="JT16" s="54"/>
      <c r="JU16" s="54"/>
      <c r="JV16" s="54"/>
      <c r="JW16" s="54"/>
      <c r="JX16" s="54"/>
      <c r="JY16" s="54"/>
      <c r="JZ16" s="54"/>
      <c r="KA16" s="54"/>
      <c r="KB16" s="54"/>
      <c r="KC16" s="54"/>
      <c r="KD16" s="54"/>
      <c r="KE16" s="54"/>
      <c r="KF16" s="54"/>
      <c r="KG16" s="54"/>
      <c r="KH16" s="54"/>
      <c r="KI16" s="54"/>
      <c r="KJ16" s="54"/>
      <c r="KK16" s="54"/>
      <c r="KL16" s="54"/>
      <c r="KM16" s="54"/>
      <c r="KN16" s="54"/>
      <c r="KO16" s="54"/>
      <c r="KP16" s="54"/>
      <c r="KQ16" s="54"/>
      <c r="KR16" s="54"/>
      <c r="KS16" s="54"/>
      <c r="KT16" s="54"/>
      <c r="KU16" s="54"/>
      <c r="KV16" s="54"/>
      <c r="KW16" s="54"/>
      <c r="KX16" s="54"/>
    </row>
    <row r="17" ht="5.25" customHeight="1">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L17" s="54"/>
      <c r="CM17" s="54"/>
      <c r="CN17" s="54"/>
      <c r="CO17" s="54"/>
      <c r="CP17" s="54"/>
      <c r="CQ17" s="54"/>
      <c r="CR17" s="54"/>
      <c r="CS17" s="54"/>
      <c r="CT17" s="54"/>
      <c r="CU17" s="54"/>
      <c r="CV17" s="54"/>
      <c r="CW17" s="54"/>
      <c r="CX17" s="54"/>
      <c r="CY17" s="54"/>
      <c r="CZ17" s="54"/>
      <c r="DA17" s="54"/>
      <c r="DB17" s="54"/>
      <c r="DC17" s="55"/>
      <c r="DD17" s="70"/>
      <c r="DE17" s="71"/>
      <c r="DF17" s="71"/>
      <c r="DG17" s="71"/>
      <c r="DH17" s="71"/>
      <c r="DI17" s="71"/>
      <c r="DJ17" s="71"/>
      <c r="DK17" s="71"/>
      <c r="DL17" s="71"/>
      <c r="DM17" s="71"/>
      <c r="DN17" s="72"/>
      <c r="DO17" s="73"/>
      <c r="DP17" s="71"/>
      <c r="DQ17" s="72"/>
      <c r="DR17" s="73"/>
      <c r="DS17" s="71"/>
      <c r="DT17" s="71"/>
      <c r="DU17" s="71"/>
      <c r="DV17" s="71"/>
      <c r="DW17" s="71"/>
      <c r="DX17" s="71"/>
      <c r="DY17" s="71"/>
      <c r="DZ17" s="71"/>
      <c r="EA17" s="71"/>
      <c r="EB17" s="71"/>
      <c r="EC17" s="71"/>
      <c r="ED17" s="71"/>
      <c r="EE17" s="71"/>
      <c r="EF17" s="71"/>
      <c r="EG17" s="71"/>
      <c r="EH17" s="71"/>
      <c r="EI17" s="71"/>
      <c r="EJ17" s="71"/>
      <c r="EK17" s="71"/>
      <c r="EL17" s="74"/>
      <c r="EM17" s="74"/>
      <c r="EN17" s="74"/>
      <c r="EO17" s="74"/>
      <c r="EP17" s="74"/>
      <c r="EQ17" s="74"/>
      <c r="ER17" s="74"/>
      <c r="ES17" s="74"/>
      <c r="ET17" s="74"/>
      <c r="EU17" s="71"/>
      <c r="EV17" s="71"/>
      <c r="EW17" s="72"/>
      <c r="EX17" s="73"/>
      <c r="EY17" s="71"/>
      <c r="EZ17" s="72"/>
      <c r="FA17" s="73"/>
      <c r="FB17" s="71"/>
      <c r="FC17" s="71"/>
      <c r="FD17" s="75"/>
      <c r="FE17" s="74"/>
      <c r="FF17" s="74"/>
      <c r="FG17" s="74"/>
      <c r="FH17" s="74"/>
      <c r="FI17" s="74"/>
      <c r="FJ17" s="74"/>
      <c r="FK17" s="76"/>
      <c r="FL17" s="55"/>
      <c r="FM17" s="54"/>
      <c r="FN17" s="54"/>
      <c r="FO17" s="54"/>
      <c r="FP17" s="54"/>
      <c r="FQ17" s="54"/>
      <c r="FR17" s="54"/>
      <c r="FS17" s="54"/>
      <c r="FT17" s="54"/>
      <c r="FU17" s="54"/>
      <c r="FV17" s="54"/>
      <c r="FW17" s="54"/>
      <c r="FX17" s="54"/>
      <c r="FY17" s="54"/>
      <c r="FZ17" s="54"/>
      <c r="GA17" s="54"/>
      <c r="GB17" s="54"/>
      <c r="GC17" s="54"/>
      <c r="GD17" s="54"/>
      <c r="GE17" s="54"/>
      <c r="GF17" s="54"/>
      <c r="GG17" s="54"/>
      <c r="GH17" s="54"/>
      <c r="GI17" s="54"/>
      <c r="GJ17" s="54"/>
      <c r="GK17" s="54"/>
      <c r="GL17" s="54"/>
      <c r="GM17" s="54"/>
      <c r="GN17" s="54"/>
      <c r="GO17" s="54"/>
      <c r="GP17" s="54"/>
      <c r="GQ17" s="54"/>
      <c r="GR17" s="54"/>
      <c r="GS17" s="54"/>
      <c r="GT17" s="54"/>
      <c r="GU17" s="54"/>
      <c r="GV17" s="54"/>
      <c r="GW17" s="54"/>
      <c r="GX17" s="54"/>
      <c r="GY17" s="54"/>
      <c r="GZ17" s="54"/>
      <c r="HA17" s="54"/>
      <c r="HB17" s="54"/>
      <c r="HC17" s="54"/>
      <c r="HD17" s="54"/>
      <c r="HE17" s="54"/>
      <c r="HF17" s="54"/>
      <c r="HG17" s="54"/>
      <c r="HH17" s="54"/>
      <c r="HI17" s="54"/>
      <c r="HJ17" s="54"/>
      <c r="HK17" s="54"/>
      <c r="HL17" s="54"/>
      <c r="HM17" s="54"/>
      <c r="HN17" s="54"/>
      <c r="HO17" s="54"/>
      <c r="HP17" s="54"/>
      <c r="HQ17" s="54"/>
      <c r="HR17" s="54"/>
      <c r="HS17" s="54"/>
      <c r="HT17" s="54"/>
      <c r="HU17" s="54"/>
      <c r="HV17" s="54"/>
      <c r="HW17" s="54"/>
      <c r="HX17" s="54"/>
      <c r="HY17" s="54"/>
      <c r="HZ17" s="54"/>
      <c r="IA17" s="54"/>
      <c r="IB17" s="54"/>
      <c r="IC17" s="54"/>
      <c r="ID17" s="54"/>
      <c r="IE17" s="54"/>
      <c r="IF17" s="54"/>
      <c r="IG17" s="54"/>
      <c r="IH17" s="54"/>
      <c r="II17" s="54"/>
      <c r="IJ17" s="54"/>
      <c r="IK17" s="54"/>
      <c r="IL17" s="54"/>
      <c r="IM17" s="54"/>
      <c r="IN17" s="54"/>
      <c r="IO17" s="54"/>
      <c r="IP17" s="54"/>
      <c r="IQ17" s="54"/>
      <c r="IR17" s="54"/>
      <c r="IS17" s="54"/>
      <c r="IT17" s="54"/>
      <c r="IU17" s="54"/>
      <c r="IV17" s="54"/>
      <c r="IW17" s="54"/>
      <c r="IX17" s="54"/>
      <c r="IY17" s="54"/>
      <c r="IZ17" s="54"/>
      <c r="JA17" s="54"/>
      <c r="JB17" s="54"/>
      <c r="JC17" s="54"/>
      <c r="JD17" s="54"/>
      <c r="JE17" s="54"/>
      <c r="JF17" s="54"/>
      <c r="JG17" s="54"/>
      <c r="JH17" s="54"/>
      <c r="JI17" s="54"/>
      <c r="JJ17" s="54"/>
      <c r="JK17" s="54"/>
      <c r="JL17" s="54"/>
      <c r="JM17" s="54"/>
      <c r="JN17" s="54"/>
      <c r="JO17" s="54"/>
      <c r="JP17" s="54"/>
      <c r="JQ17" s="54"/>
      <c r="JR17" s="54"/>
      <c r="JS17" s="54"/>
      <c r="JT17" s="54"/>
      <c r="JU17" s="54"/>
      <c r="JV17" s="54"/>
      <c r="JW17" s="54"/>
      <c r="JX17" s="54"/>
      <c r="JY17" s="54"/>
      <c r="JZ17" s="54"/>
      <c r="KA17" s="54"/>
      <c r="KB17" s="54"/>
      <c r="KC17" s="54"/>
      <c r="KD17" s="54"/>
      <c r="KE17" s="54"/>
      <c r="KF17" s="54"/>
      <c r="KG17" s="54"/>
      <c r="KH17" s="54"/>
      <c r="KI17" s="54"/>
      <c r="KJ17" s="54"/>
      <c r="KK17" s="54"/>
      <c r="KL17" s="54"/>
      <c r="KM17" s="54"/>
      <c r="KN17" s="54"/>
      <c r="KO17" s="54"/>
      <c r="KP17" s="54"/>
      <c r="KQ17" s="54"/>
      <c r="KR17" s="54"/>
      <c r="KS17" s="54"/>
      <c r="KT17" s="54"/>
      <c r="KU17" s="54"/>
      <c r="KV17" s="54"/>
      <c r="KW17" s="54"/>
      <c r="KX17" s="54"/>
    </row>
    <row r="18" ht="5.25" customHeight="1">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4"/>
      <c r="CY18" s="54"/>
      <c r="CZ18" s="54"/>
      <c r="DA18" s="54"/>
      <c r="DB18" s="56"/>
      <c r="DC18" s="77">
        <f>'Choose matchups (Main)'!Q5</f>
        <v>1</v>
      </c>
      <c r="DD18" s="78" t="str">
        <f t="array" ref="DD18">xlookup(DC18,data!$M$2:$M$17,data!$O$2:$O$17,"")</f>
        <v/>
      </c>
      <c r="DH18" s="79" t="str">
        <f t="array" ref="DH18">xlookup(DC18,data!$M$2:$M$17,data!$N$2:$N$17,"")</f>
        <v>Team 1 (Group 2)</v>
      </c>
      <c r="ED18" s="67"/>
      <c r="EG18" s="11"/>
      <c r="EH18" s="80"/>
      <c r="EL18" s="81" t="str">
        <f t="array" ref="EL18">xlookup(FL18,data!$M$2:$M$17,data!$N$2:$N$17,"")</f>
        <v>TBD</v>
      </c>
      <c r="FH18" s="82" t="str">
        <f t="array" ref="FH18">xlookup(FL18,data!$M$2:$M$17,data!$O$2:$O$17,"")</f>
        <v/>
      </c>
      <c r="FK18" s="61"/>
      <c r="FL18" s="77">
        <f t="array" ref="FL18">xlookup(DC18,data!$M$2:$M$17,data!$P$2:$P$17,"")</f>
        <v>9</v>
      </c>
      <c r="FM18" s="56"/>
      <c r="FN18" s="54"/>
      <c r="FO18" s="54"/>
      <c r="FP18" s="54"/>
      <c r="FQ18" s="54"/>
      <c r="FR18" s="54"/>
      <c r="FS18" s="54"/>
      <c r="FT18" s="54"/>
      <c r="FU18" s="54"/>
      <c r="FV18" s="54"/>
      <c r="FW18" s="54"/>
      <c r="FX18" s="54"/>
      <c r="FY18" s="54"/>
      <c r="FZ18" s="54"/>
      <c r="GA18" s="54"/>
      <c r="GB18" s="54"/>
      <c r="GC18" s="54"/>
      <c r="GD18" s="54"/>
      <c r="GE18" s="54"/>
      <c r="GF18" s="54"/>
      <c r="GG18" s="54"/>
      <c r="GH18" s="54"/>
      <c r="GI18" s="54"/>
      <c r="GJ18" s="54"/>
      <c r="GK18" s="54"/>
      <c r="GL18" s="54"/>
      <c r="GM18" s="54"/>
      <c r="GN18" s="54"/>
      <c r="GO18" s="54"/>
      <c r="GP18" s="54"/>
      <c r="GQ18" s="54"/>
      <c r="GR18" s="54"/>
      <c r="GS18" s="54"/>
      <c r="GT18" s="54"/>
      <c r="GU18" s="54"/>
      <c r="GV18" s="54"/>
      <c r="GW18" s="54"/>
      <c r="GX18" s="54"/>
      <c r="GY18" s="54"/>
      <c r="GZ18" s="54"/>
      <c r="HA18" s="54"/>
      <c r="HB18" s="54"/>
      <c r="HC18" s="54"/>
      <c r="HD18" s="54"/>
      <c r="HE18" s="54"/>
      <c r="HF18" s="54"/>
      <c r="HG18" s="54"/>
      <c r="HH18" s="54"/>
      <c r="HI18" s="54"/>
      <c r="HJ18" s="54"/>
      <c r="HK18" s="54"/>
      <c r="HL18" s="54"/>
      <c r="HM18" s="54"/>
      <c r="HN18" s="54"/>
      <c r="HO18" s="54"/>
      <c r="HP18" s="54"/>
      <c r="HQ18" s="54"/>
      <c r="HR18" s="54"/>
      <c r="HS18" s="54"/>
      <c r="HT18" s="54"/>
      <c r="HU18" s="54"/>
      <c r="HV18" s="54"/>
      <c r="HW18" s="54"/>
      <c r="HX18" s="54"/>
      <c r="HY18" s="54"/>
      <c r="HZ18" s="54"/>
      <c r="IA18" s="54"/>
      <c r="IB18" s="54"/>
      <c r="IC18" s="54"/>
      <c r="ID18" s="54"/>
      <c r="IE18" s="54"/>
      <c r="IF18" s="54"/>
      <c r="IG18" s="54"/>
      <c r="IH18" s="54"/>
      <c r="II18" s="54"/>
      <c r="IJ18" s="54"/>
      <c r="IK18" s="54"/>
      <c r="IL18" s="54"/>
      <c r="IM18" s="54"/>
      <c r="IN18" s="54"/>
      <c r="IO18" s="54"/>
      <c r="IP18" s="54"/>
      <c r="IQ18" s="54"/>
      <c r="IR18" s="54"/>
      <c r="IS18" s="54"/>
      <c r="IT18" s="54"/>
      <c r="IU18" s="54"/>
      <c r="IV18" s="54"/>
      <c r="IW18" s="54"/>
      <c r="IX18" s="54"/>
      <c r="IY18" s="54"/>
      <c r="IZ18" s="54"/>
      <c r="JA18" s="54"/>
      <c r="JB18" s="54"/>
      <c r="JC18" s="54"/>
      <c r="JD18" s="54"/>
      <c r="JE18" s="54"/>
      <c r="JF18" s="54"/>
      <c r="JG18" s="54"/>
      <c r="JH18" s="54"/>
      <c r="JI18" s="54"/>
      <c r="JJ18" s="54"/>
      <c r="JK18" s="54"/>
      <c r="JL18" s="54"/>
      <c r="JM18" s="54"/>
      <c r="JN18" s="54"/>
      <c r="JO18" s="54"/>
      <c r="JP18" s="54"/>
      <c r="JQ18" s="54"/>
      <c r="JR18" s="54"/>
      <c r="JS18" s="54"/>
      <c r="JT18" s="54"/>
      <c r="JU18" s="54"/>
      <c r="JV18" s="54"/>
      <c r="JW18" s="54"/>
      <c r="JX18" s="54"/>
      <c r="JY18" s="54"/>
      <c r="JZ18" s="54"/>
      <c r="KA18" s="54"/>
      <c r="KB18" s="54"/>
      <c r="KC18" s="54"/>
      <c r="KD18" s="54"/>
      <c r="KE18" s="54"/>
      <c r="KF18" s="54"/>
      <c r="KG18" s="54"/>
      <c r="KH18" s="54"/>
      <c r="KI18" s="54"/>
      <c r="KJ18" s="54"/>
      <c r="KK18" s="54"/>
      <c r="KL18" s="54"/>
      <c r="KM18" s="54"/>
      <c r="KN18" s="54"/>
      <c r="KO18" s="54"/>
      <c r="KP18" s="54"/>
      <c r="KQ18" s="54"/>
      <c r="KR18" s="54"/>
      <c r="KS18" s="54"/>
      <c r="KT18" s="54"/>
      <c r="KU18" s="54"/>
      <c r="KV18" s="54"/>
      <c r="KW18" s="54"/>
      <c r="KX18" s="54"/>
    </row>
    <row r="19" ht="5.25" customHeight="1">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4"/>
      <c r="CY19" s="54"/>
      <c r="CZ19" s="54"/>
      <c r="DA19" s="54"/>
      <c r="DB19" s="56"/>
      <c r="DC19" s="56"/>
      <c r="DD19" s="60"/>
      <c r="EG19" s="11"/>
      <c r="EH19" s="10"/>
      <c r="FK19" s="61"/>
      <c r="FL19" s="56"/>
      <c r="FM19" s="56"/>
      <c r="FN19" s="54"/>
      <c r="FO19" s="54"/>
      <c r="FP19" s="54"/>
      <c r="FQ19" s="54"/>
      <c r="FR19" s="54"/>
      <c r="FS19" s="54"/>
      <c r="FT19" s="54"/>
      <c r="FU19" s="54"/>
      <c r="FV19" s="54"/>
      <c r="FW19" s="54"/>
      <c r="FX19" s="54"/>
      <c r="FY19" s="54"/>
      <c r="FZ19" s="54"/>
      <c r="GA19" s="54"/>
      <c r="GB19" s="54"/>
      <c r="GC19" s="54"/>
      <c r="GD19" s="54"/>
      <c r="GE19" s="54"/>
      <c r="GF19" s="54"/>
      <c r="GG19" s="54"/>
      <c r="GH19" s="54"/>
      <c r="GI19" s="54"/>
      <c r="GJ19" s="54"/>
      <c r="GK19" s="54"/>
      <c r="GL19" s="54"/>
      <c r="GM19" s="54"/>
      <c r="GN19" s="54"/>
      <c r="GO19" s="54"/>
      <c r="GP19" s="54"/>
      <c r="GQ19" s="54"/>
      <c r="GR19" s="54"/>
      <c r="GS19" s="54"/>
      <c r="GT19" s="54"/>
      <c r="GU19" s="54"/>
      <c r="GV19" s="54"/>
      <c r="GW19" s="54"/>
      <c r="GX19" s="54"/>
      <c r="GY19" s="54"/>
      <c r="GZ19" s="54"/>
      <c r="HA19" s="54"/>
      <c r="HB19" s="54"/>
      <c r="HC19" s="54"/>
      <c r="HD19" s="54"/>
      <c r="HE19" s="54"/>
      <c r="HF19" s="54"/>
      <c r="HG19" s="54"/>
      <c r="HH19" s="54"/>
      <c r="HI19" s="54"/>
      <c r="HJ19" s="54"/>
      <c r="HK19" s="54"/>
      <c r="HL19" s="54"/>
      <c r="HM19" s="54"/>
      <c r="HN19" s="54"/>
      <c r="HO19" s="54"/>
      <c r="HP19" s="54"/>
      <c r="HQ19" s="54"/>
      <c r="HR19" s="54"/>
      <c r="HS19" s="54"/>
      <c r="HT19" s="54"/>
      <c r="HU19" s="54"/>
      <c r="HV19" s="54"/>
      <c r="HW19" s="54"/>
      <c r="HX19" s="54"/>
      <c r="HY19" s="54"/>
      <c r="HZ19" s="54"/>
      <c r="IA19" s="54"/>
      <c r="IB19" s="54"/>
      <c r="IC19" s="54"/>
      <c r="ID19" s="54"/>
      <c r="IE19" s="54"/>
      <c r="IF19" s="54"/>
      <c r="IG19" s="54"/>
      <c r="IH19" s="54"/>
      <c r="II19" s="54"/>
      <c r="IJ19" s="54"/>
      <c r="IK19" s="54"/>
      <c r="IL19" s="54"/>
      <c r="IM19" s="54"/>
      <c r="IN19" s="54"/>
      <c r="IO19" s="54"/>
      <c r="IP19" s="54"/>
      <c r="IQ19" s="54"/>
      <c r="IR19" s="54"/>
      <c r="IS19" s="54"/>
      <c r="IT19" s="54"/>
      <c r="IU19" s="54"/>
      <c r="IV19" s="54"/>
      <c r="IW19" s="54"/>
      <c r="IX19" s="54"/>
      <c r="IY19" s="54"/>
      <c r="IZ19" s="54"/>
      <c r="JA19" s="54"/>
      <c r="JB19" s="54"/>
      <c r="JC19" s="54"/>
      <c r="JD19" s="54"/>
      <c r="JE19" s="54"/>
      <c r="JF19" s="54"/>
      <c r="JG19" s="54"/>
      <c r="JH19" s="54"/>
      <c r="JI19" s="54"/>
      <c r="JJ19" s="54"/>
      <c r="JK19" s="54"/>
      <c r="JL19" s="54"/>
      <c r="JM19" s="54"/>
      <c r="JN19" s="54"/>
      <c r="JO19" s="54"/>
      <c r="JP19" s="54"/>
      <c r="JQ19" s="54"/>
      <c r="JR19" s="54"/>
      <c r="JS19" s="54"/>
      <c r="JT19" s="54"/>
      <c r="JU19" s="54"/>
      <c r="JV19" s="54"/>
      <c r="JW19" s="54"/>
      <c r="JX19" s="54"/>
      <c r="JY19" s="54"/>
      <c r="JZ19" s="54"/>
      <c r="KA19" s="54"/>
      <c r="KB19" s="54"/>
      <c r="KC19" s="54"/>
      <c r="KD19" s="54"/>
      <c r="KE19" s="54"/>
      <c r="KF19" s="54"/>
      <c r="KG19" s="54"/>
      <c r="KH19" s="54"/>
      <c r="KI19" s="54"/>
      <c r="KJ19" s="54"/>
      <c r="KK19" s="54"/>
      <c r="KL19" s="54"/>
      <c r="KM19" s="54"/>
      <c r="KN19" s="54"/>
      <c r="KO19" s="54"/>
      <c r="KP19" s="54"/>
      <c r="KQ19" s="54"/>
      <c r="KR19" s="54"/>
      <c r="KS19" s="54"/>
      <c r="KT19" s="54"/>
      <c r="KU19" s="54"/>
      <c r="KV19" s="54"/>
      <c r="KW19" s="54"/>
      <c r="KX19" s="54"/>
    </row>
    <row r="20" ht="5.25" customHeight="1">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M20" s="54"/>
      <c r="CN20" s="54"/>
      <c r="CO20" s="54"/>
      <c r="CP20" s="54"/>
      <c r="CQ20" s="54"/>
      <c r="CR20" s="54"/>
      <c r="CS20" s="54"/>
      <c r="CT20" s="54"/>
      <c r="CU20" s="54"/>
      <c r="CV20" s="54"/>
      <c r="CW20" s="54"/>
      <c r="CX20" s="54"/>
      <c r="CY20" s="54"/>
      <c r="CZ20" s="54"/>
      <c r="DA20" s="54"/>
      <c r="DB20" s="56"/>
      <c r="DC20" s="56"/>
      <c r="DD20" s="60"/>
      <c r="EG20" s="11"/>
      <c r="EH20" s="10"/>
      <c r="FK20" s="61"/>
      <c r="FL20" s="56"/>
      <c r="FM20" s="56"/>
      <c r="FN20" s="54"/>
      <c r="FO20" s="54"/>
      <c r="FP20" s="54"/>
      <c r="FQ20" s="54"/>
      <c r="FR20" s="54"/>
      <c r="FS20" s="54"/>
      <c r="FT20" s="54"/>
      <c r="FU20" s="54"/>
      <c r="FV20" s="54"/>
      <c r="FW20" s="54"/>
      <c r="FX20" s="54"/>
      <c r="FY20" s="54"/>
      <c r="FZ20" s="54"/>
      <c r="GA20" s="54"/>
      <c r="GB20" s="54"/>
      <c r="GC20" s="54"/>
      <c r="GD20" s="54"/>
      <c r="GE20" s="54"/>
      <c r="GF20" s="54"/>
      <c r="GG20" s="54"/>
      <c r="GH20" s="54"/>
      <c r="GI20" s="54"/>
      <c r="GJ20" s="54"/>
      <c r="GK20" s="54"/>
      <c r="GL20" s="54"/>
      <c r="GM20" s="54"/>
      <c r="GN20" s="54"/>
      <c r="GO20" s="54"/>
      <c r="GP20" s="54"/>
      <c r="GQ20" s="54"/>
      <c r="GR20" s="54"/>
      <c r="GS20" s="54"/>
      <c r="GT20" s="54"/>
      <c r="GU20" s="54"/>
      <c r="GV20" s="54"/>
      <c r="GW20" s="54"/>
      <c r="GX20" s="54"/>
      <c r="GY20" s="54"/>
      <c r="GZ20" s="54"/>
      <c r="HA20" s="54"/>
      <c r="HB20" s="54"/>
      <c r="HC20" s="54"/>
      <c r="HD20" s="54"/>
      <c r="HE20" s="54"/>
      <c r="HF20" s="54"/>
      <c r="HG20" s="54"/>
      <c r="HH20" s="54"/>
      <c r="HI20" s="54"/>
      <c r="HJ20" s="54"/>
      <c r="HK20" s="54"/>
      <c r="HL20" s="54"/>
      <c r="HM20" s="54"/>
      <c r="HN20" s="54"/>
      <c r="HO20" s="54"/>
      <c r="HP20" s="54"/>
      <c r="HQ20" s="54"/>
      <c r="HR20" s="54"/>
      <c r="HS20" s="54"/>
      <c r="HT20" s="54"/>
      <c r="HU20" s="54"/>
      <c r="HV20" s="54"/>
      <c r="HW20" s="54"/>
      <c r="HX20" s="54"/>
      <c r="HY20" s="54"/>
      <c r="HZ20" s="54"/>
      <c r="IA20" s="54"/>
      <c r="IB20" s="54"/>
      <c r="IC20" s="54"/>
      <c r="ID20" s="54"/>
      <c r="IE20" s="54"/>
      <c r="IF20" s="54"/>
      <c r="IG20" s="54"/>
      <c r="IH20" s="54"/>
      <c r="II20" s="54"/>
      <c r="IJ20" s="54"/>
      <c r="IK20" s="54"/>
      <c r="IL20" s="54"/>
      <c r="IM20" s="54"/>
      <c r="IN20" s="54"/>
      <c r="IO20" s="54"/>
      <c r="IP20" s="54"/>
      <c r="IQ20" s="54"/>
      <c r="IR20" s="54"/>
      <c r="IS20" s="54"/>
      <c r="IT20" s="54"/>
      <c r="IU20" s="54"/>
      <c r="IV20" s="54"/>
      <c r="IW20" s="54"/>
      <c r="IX20" s="54"/>
      <c r="IY20" s="54"/>
      <c r="IZ20" s="54"/>
      <c r="JA20" s="54"/>
      <c r="JB20" s="54"/>
      <c r="JC20" s="54"/>
      <c r="JD20" s="54"/>
      <c r="JE20" s="54"/>
      <c r="JF20" s="54"/>
      <c r="JG20" s="54"/>
      <c r="JH20" s="54"/>
      <c r="JI20" s="54"/>
      <c r="JJ20" s="54"/>
      <c r="JK20" s="54"/>
      <c r="JL20" s="54"/>
      <c r="JM20" s="54"/>
      <c r="JN20" s="54"/>
      <c r="JO20" s="54"/>
      <c r="JP20" s="54"/>
      <c r="JQ20" s="54"/>
      <c r="JR20" s="54"/>
      <c r="JS20" s="54"/>
      <c r="JT20" s="54"/>
      <c r="JU20" s="54"/>
      <c r="JV20" s="54"/>
      <c r="JW20" s="54"/>
      <c r="JX20" s="54"/>
      <c r="JY20" s="54"/>
      <c r="JZ20" s="54"/>
      <c r="KA20" s="54"/>
      <c r="KB20" s="54"/>
      <c r="KC20" s="54"/>
      <c r="KD20" s="54"/>
      <c r="KE20" s="54"/>
      <c r="KF20" s="54"/>
      <c r="KG20" s="54"/>
      <c r="KH20" s="54"/>
      <c r="KI20" s="54"/>
      <c r="KJ20" s="54"/>
      <c r="KK20" s="54"/>
      <c r="KL20" s="54"/>
      <c r="KM20" s="54"/>
      <c r="KN20" s="54"/>
      <c r="KO20" s="54"/>
      <c r="KP20" s="54"/>
      <c r="KQ20" s="54"/>
      <c r="KR20" s="54"/>
      <c r="KS20" s="54"/>
      <c r="KT20" s="54"/>
      <c r="KU20" s="54"/>
      <c r="KV20" s="54"/>
      <c r="KW20" s="54"/>
      <c r="KX20" s="54"/>
    </row>
    <row r="21" ht="5.25" customHeight="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c r="CO21" s="54"/>
      <c r="CP21" s="54"/>
      <c r="CQ21" s="54"/>
      <c r="CR21" s="54"/>
      <c r="CS21" s="54"/>
      <c r="CT21" s="54"/>
      <c r="CU21" s="54"/>
      <c r="CV21" s="54"/>
      <c r="CW21" s="54"/>
      <c r="CX21" s="54"/>
      <c r="CY21" s="54"/>
      <c r="CZ21" s="54"/>
      <c r="DA21" s="54"/>
      <c r="DB21" s="56"/>
      <c r="DC21" s="56"/>
      <c r="DD21" s="60"/>
      <c r="EG21" s="11"/>
      <c r="EH21" s="10"/>
      <c r="FK21" s="61"/>
      <c r="FL21" s="56"/>
      <c r="FM21" s="56"/>
      <c r="FN21" s="54"/>
      <c r="FO21" s="54"/>
      <c r="FP21" s="54"/>
      <c r="FQ21" s="54"/>
      <c r="FR21" s="54"/>
      <c r="FS21" s="54"/>
      <c r="FT21" s="54"/>
      <c r="FU21" s="54"/>
      <c r="FV21" s="54"/>
      <c r="FW21" s="54"/>
      <c r="FX21" s="54"/>
      <c r="FY21" s="54"/>
      <c r="FZ21" s="54"/>
      <c r="GA21" s="54"/>
      <c r="GB21" s="54"/>
      <c r="GC21" s="54"/>
      <c r="GD21" s="54"/>
      <c r="GE21" s="54"/>
      <c r="GF21" s="54"/>
      <c r="GG21" s="54"/>
      <c r="GH21" s="54"/>
      <c r="GI21" s="54"/>
      <c r="GJ21" s="54"/>
      <c r="GK21" s="54"/>
      <c r="GL21" s="54"/>
      <c r="GM21" s="54"/>
      <c r="GN21" s="54"/>
      <c r="GO21" s="54"/>
      <c r="GP21" s="54"/>
      <c r="GQ21" s="54"/>
      <c r="GR21" s="54"/>
      <c r="GS21" s="54"/>
      <c r="GT21" s="54"/>
      <c r="GU21" s="54"/>
      <c r="GV21" s="54"/>
      <c r="GW21" s="54"/>
      <c r="GX21" s="54"/>
      <c r="GY21" s="54"/>
      <c r="GZ21" s="54"/>
      <c r="HA21" s="54"/>
      <c r="HB21" s="54"/>
      <c r="HC21" s="54"/>
      <c r="HD21" s="54"/>
      <c r="HE21" s="54"/>
      <c r="HF21" s="54"/>
      <c r="HG21" s="54"/>
      <c r="HH21" s="54"/>
      <c r="HI21" s="54"/>
      <c r="HJ21" s="54"/>
      <c r="HK21" s="54"/>
      <c r="HL21" s="54"/>
      <c r="HM21" s="54"/>
      <c r="HN21" s="54"/>
      <c r="HO21" s="54"/>
      <c r="HP21" s="54"/>
      <c r="HQ21" s="54"/>
      <c r="HR21" s="54"/>
      <c r="HS21" s="54"/>
      <c r="HT21" s="54"/>
      <c r="HU21" s="54"/>
      <c r="HV21" s="54"/>
      <c r="HW21" s="54"/>
      <c r="HX21" s="54"/>
      <c r="HY21" s="54"/>
      <c r="HZ21" s="54"/>
      <c r="IA21" s="54"/>
      <c r="IB21" s="54"/>
      <c r="IC21" s="54"/>
      <c r="ID21" s="54"/>
      <c r="IE21" s="54"/>
      <c r="IF21" s="54"/>
      <c r="IG21" s="54"/>
      <c r="IH21" s="54"/>
      <c r="II21" s="54"/>
      <c r="IJ21" s="54"/>
      <c r="IK21" s="54"/>
      <c r="IL21" s="54"/>
      <c r="IM21" s="54"/>
      <c r="IN21" s="54"/>
      <c r="IO21" s="54"/>
      <c r="IP21" s="54"/>
      <c r="IQ21" s="54"/>
      <c r="IR21" s="54"/>
      <c r="IS21" s="54"/>
      <c r="IT21" s="54"/>
      <c r="IU21" s="54"/>
      <c r="IV21" s="54"/>
      <c r="IW21" s="54"/>
      <c r="IX21" s="54"/>
      <c r="IY21" s="54"/>
      <c r="IZ21" s="54"/>
      <c r="JA21" s="54"/>
      <c r="JB21" s="54"/>
      <c r="JC21" s="54"/>
      <c r="JD21" s="54"/>
      <c r="JE21" s="54"/>
      <c r="JF21" s="54"/>
      <c r="JG21" s="54"/>
      <c r="JH21" s="54"/>
      <c r="JI21" s="54"/>
      <c r="JJ21" s="54"/>
      <c r="JK21" s="54"/>
      <c r="JL21" s="54"/>
      <c r="JM21" s="54"/>
      <c r="JN21" s="54"/>
      <c r="JO21" s="54"/>
      <c r="JP21" s="54"/>
      <c r="JQ21" s="54"/>
      <c r="JR21" s="54"/>
      <c r="JS21" s="54"/>
      <c r="JT21" s="54"/>
      <c r="JU21" s="54"/>
      <c r="JV21" s="54"/>
      <c r="JW21" s="54"/>
      <c r="JX21" s="54"/>
      <c r="JY21" s="54"/>
      <c r="JZ21" s="54"/>
      <c r="KA21" s="54"/>
      <c r="KB21" s="54"/>
      <c r="KC21" s="54"/>
      <c r="KD21" s="54"/>
      <c r="KE21" s="54"/>
      <c r="KF21" s="54"/>
      <c r="KG21" s="54"/>
      <c r="KH21" s="54"/>
      <c r="KI21" s="54"/>
      <c r="KJ21" s="54"/>
      <c r="KK21" s="54"/>
      <c r="KL21" s="54"/>
      <c r="KM21" s="54"/>
      <c r="KN21" s="54"/>
      <c r="KO21" s="54"/>
      <c r="KP21" s="54"/>
      <c r="KQ21" s="54"/>
      <c r="KR21" s="54"/>
      <c r="KS21" s="54"/>
      <c r="KT21" s="54"/>
      <c r="KU21" s="54"/>
      <c r="KV21" s="54"/>
      <c r="KW21" s="54"/>
      <c r="KX21" s="54"/>
    </row>
    <row r="22" ht="5.25" customHeight="1">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M22" s="54"/>
      <c r="CN22" s="54"/>
      <c r="CO22" s="54"/>
      <c r="CP22" s="54"/>
      <c r="CQ22" s="54"/>
      <c r="CR22" s="54"/>
      <c r="CS22" s="54"/>
      <c r="CT22" s="54"/>
      <c r="CU22" s="54"/>
      <c r="CV22" s="54"/>
      <c r="CW22" s="54"/>
      <c r="CX22" s="54"/>
      <c r="CY22" s="54"/>
      <c r="CZ22" s="54"/>
      <c r="DA22" s="54"/>
      <c r="DB22" s="56"/>
      <c r="DC22" s="56">
        <f>DC18</f>
        <v>1</v>
      </c>
      <c r="DD22" s="64"/>
      <c r="DL22" s="83"/>
      <c r="DN22" s="11"/>
      <c r="DO22" s="84"/>
      <c r="DQ22" s="11"/>
      <c r="DR22" s="84"/>
      <c r="DU22" s="54"/>
      <c r="ED22" s="85">
        <f>sum(DL22:DT24)</f>
        <v>0</v>
      </c>
      <c r="EG22" s="11"/>
      <c r="EH22" s="86">
        <f>sum(EU22:FC24)</f>
        <v>0</v>
      </c>
      <c r="EL22" s="54"/>
      <c r="EM22" s="54"/>
      <c r="EN22" s="54"/>
      <c r="EO22" s="54"/>
      <c r="EP22" s="54"/>
      <c r="EQ22" s="54"/>
      <c r="ER22" s="54"/>
      <c r="ES22" s="54"/>
      <c r="ET22" s="54"/>
      <c r="EU22" s="83"/>
      <c r="EW22" s="11"/>
      <c r="EX22" s="87"/>
      <c r="EZ22" s="11"/>
      <c r="FA22" s="84"/>
      <c r="FD22" s="68"/>
      <c r="FE22" s="54"/>
      <c r="FF22" s="54"/>
      <c r="FG22" s="54"/>
      <c r="FH22" s="54"/>
      <c r="FI22" s="54"/>
      <c r="FJ22" s="54"/>
      <c r="FK22" s="69"/>
      <c r="FL22" s="56">
        <f>FL18</f>
        <v>9</v>
      </c>
      <c r="FM22" s="56"/>
      <c r="FN22" s="54"/>
      <c r="FO22" s="54"/>
      <c r="FP22" s="54"/>
      <c r="FQ22" s="54"/>
      <c r="FR22" s="54"/>
      <c r="FS22" s="54"/>
      <c r="FT22" s="54"/>
      <c r="FU22" s="54"/>
      <c r="FV22" s="54"/>
      <c r="FW22" s="54"/>
      <c r="FX22" s="54"/>
      <c r="FY22" s="54"/>
      <c r="FZ22" s="54"/>
      <c r="GA22" s="54"/>
      <c r="GB22" s="54"/>
      <c r="GC22" s="54"/>
      <c r="GD22" s="54"/>
      <c r="GE22" s="54"/>
      <c r="GF22" s="54"/>
      <c r="GG22" s="54"/>
      <c r="GH22" s="54"/>
      <c r="GI22" s="54"/>
      <c r="GJ22" s="54"/>
      <c r="GK22" s="54"/>
      <c r="GL22" s="54"/>
      <c r="GM22" s="54"/>
      <c r="GN22" s="54"/>
      <c r="GO22" s="54"/>
      <c r="GP22" s="54"/>
      <c r="GQ22" s="54"/>
      <c r="GR22" s="54"/>
      <c r="GS22" s="54"/>
      <c r="GT22" s="54"/>
      <c r="GU22" s="54"/>
      <c r="GV22" s="54"/>
      <c r="GW22" s="54"/>
      <c r="GX22" s="54"/>
      <c r="GY22" s="54"/>
      <c r="GZ22" s="54"/>
      <c r="HA22" s="54"/>
      <c r="HB22" s="54"/>
      <c r="HC22" s="54"/>
      <c r="HD22" s="54"/>
      <c r="HE22" s="54"/>
      <c r="HF22" s="54"/>
      <c r="HG22" s="54"/>
      <c r="HH22" s="54"/>
      <c r="HI22" s="54"/>
      <c r="HJ22" s="54"/>
      <c r="HK22" s="54"/>
      <c r="HL22" s="54"/>
      <c r="HM22" s="54"/>
      <c r="HN22" s="54"/>
      <c r="HO22" s="54"/>
      <c r="HP22" s="54"/>
      <c r="HQ22" s="54"/>
      <c r="HR22" s="54"/>
      <c r="HS22" s="54"/>
      <c r="HT22" s="54"/>
      <c r="HU22" s="54"/>
      <c r="HV22" s="54"/>
      <c r="HW22" s="54"/>
      <c r="HX22" s="54"/>
      <c r="HY22" s="54"/>
      <c r="HZ22" s="54"/>
      <c r="IA22" s="54"/>
      <c r="IB22" s="54"/>
      <c r="IC22" s="54"/>
      <c r="ID22" s="54"/>
      <c r="IE22" s="54"/>
      <c r="IF22" s="54"/>
      <c r="IG22" s="54"/>
      <c r="IH22" s="54"/>
      <c r="II22" s="54"/>
      <c r="IJ22" s="54"/>
      <c r="IK22" s="54"/>
      <c r="IL22" s="54"/>
      <c r="IM22" s="54"/>
      <c r="IN22" s="54"/>
      <c r="IO22" s="54"/>
      <c r="IP22" s="54"/>
      <c r="IQ22" s="54"/>
      <c r="IR22" s="54"/>
      <c r="IS22" s="54"/>
      <c r="IT22" s="54"/>
      <c r="IU22" s="54"/>
      <c r="IV22" s="54"/>
      <c r="IW22" s="54"/>
      <c r="IX22" s="54"/>
      <c r="IY22" s="54"/>
      <c r="IZ22" s="54"/>
      <c r="JA22" s="54"/>
      <c r="JB22" s="54"/>
      <c r="JC22" s="54"/>
      <c r="JD22" s="54"/>
      <c r="JE22" s="54"/>
      <c r="JF22" s="54"/>
      <c r="JG22" s="54"/>
      <c r="JH22" s="54"/>
      <c r="JI22" s="54"/>
      <c r="JJ22" s="54"/>
      <c r="JK22" s="54"/>
      <c r="JL22" s="54"/>
      <c r="JM22" s="54"/>
      <c r="JN22" s="54"/>
      <c r="JO22" s="54"/>
      <c r="JP22" s="54"/>
      <c r="JQ22" s="54"/>
      <c r="JR22" s="54"/>
      <c r="JS22" s="54"/>
      <c r="JT22" s="54"/>
      <c r="JU22" s="54"/>
      <c r="JV22" s="54"/>
      <c r="JW22" s="54"/>
      <c r="JX22" s="54"/>
      <c r="JY22" s="54"/>
      <c r="JZ22" s="54"/>
      <c r="KA22" s="54"/>
      <c r="KB22" s="54"/>
      <c r="KC22" s="54"/>
      <c r="KD22" s="54"/>
      <c r="KE22" s="54"/>
      <c r="KF22" s="54"/>
      <c r="KG22" s="54"/>
      <c r="KH22" s="54"/>
      <c r="KI22" s="54"/>
      <c r="KJ22" s="54"/>
      <c r="KK22" s="54"/>
      <c r="KL22" s="54"/>
      <c r="KM22" s="54"/>
      <c r="KN22" s="54"/>
      <c r="KO22" s="54"/>
      <c r="KP22" s="54"/>
      <c r="KQ22" s="54"/>
      <c r="KR22" s="54"/>
      <c r="KS22" s="54"/>
      <c r="KT22" s="54"/>
      <c r="KU22" s="54"/>
      <c r="KV22" s="54"/>
      <c r="KW22" s="54"/>
      <c r="KX22" s="54"/>
    </row>
    <row r="23" ht="5.25" customHeight="1">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6"/>
      <c r="DC23" s="56"/>
      <c r="DD23" s="60"/>
      <c r="DN23" s="11"/>
      <c r="DO23" s="10"/>
      <c r="DQ23" s="11"/>
      <c r="DR23" s="10"/>
      <c r="EG23" s="11"/>
      <c r="EH23" s="10"/>
      <c r="EL23" s="54"/>
      <c r="EM23" s="54"/>
      <c r="EN23" s="54"/>
      <c r="EO23" s="54"/>
      <c r="EP23" s="54"/>
      <c r="EQ23" s="54"/>
      <c r="ER23" s="54"/>
      <c r="ES23" s="54"/>
      <c r="ET23" s="54"/>
      <c r="EW23" s="11"/>
      <c r="EX23" s="10"/>
      <c r="EZ23" s="11"/>
      <c r="FA23" s="10"/>
      <c r="FD23" s="68"/>
      <c r="FE23" s="54"/>
      <c r="FF23" s="54"/>
      <c r="FG23" s="54"/>
      <c r="FH23" s="54"/>
      <c r="FI23" s="54"/>
      <c r="FJ23" s="54"/>
      <c r="FK23" s="69"/>
      <c r="FL23" s="56"/>
      <c r="FM23" s="56"/>
      <c r="FN23" s="54"/>
      <c r="FO23" s="54"/>
      <c r="FP23" s="54"/>
      <c r="FQ23" s="54"/>
      <c r="FR23" s="54"/>
      <c r="FS23" s="54"/>
      <c r="FT23" s="54"/>
      <c r="FU23" s="54"/>
      <c r="FV23" s="54"/>
      <c r="FW23" s="54"/>
      <c r="FX23" s="54"/>
      <c r="FY23" s="54"/>
      <c r="FZ23" s="54"/>
      <c r="GA23" s="54"/>
      <c r="GB23" s="54"/>
      <c r="GC23" s="54"/>
      <c r="GD23" s="54"/>
      <c r="GE23" s="54"/>
      <c r="GF23" s="54"/>
      <c r="GG23" s="54"/>
      <c r="GH23" s="54"/>
      <c r="GI23" s="54"/>
      <c r="GJ23" s="54"/>
      <c r="GK23" s="54"/>
      <c r="GL23" s="54"/>
      <c r="GM23" s="54"/>
      <c r="GN23" s="54"/>
      <c r="GO23" s="54"/>
      <c r="GP23" s="54"/>
      <c r="GQ23" s="54"/>
      <c r="GR23" s="54"/>
      <c r="GS23" s="54"/>
      <c r="GT23" s="54"/>
      <c r="GU23" s="54"/>
      <c r="GV23" s="54"/>
      <c r="GW23" s="54"/>
      <c r="GX23" s="54"/>
      <c r="GY23" s="54"/>
      <c r="GZ23" s="54"/>
      <c r="HA23" s="54"/>
      <c r="HB23" s="54"/>
      <c r="HC23" s="54"/>
      <c r="HD23" s="54"/>
      <c r="HE23" s="54"/>
      <c r="HF23" s="54"/>
      <c r="HG23" s="54"/>
      <c r="HH23" s="54"/>
      <c r="HI23" s="54"/>
      <c r="HJ23" s="54"/>
      <c r="HK23" s="54"/>
      <c r="HL23" s="54"/>
      <c r="HM23" s="54"/>
      <c r="HN23" s="54"/>
      <c r="HO23" s="54"/>
      <c r="HP23" s="54"/>
      <c r="HQ23" s="54"/>
      <c r="HR23" s="54"/>
      <c r="HS23" s="54"/>
      <c r="HT23" s="54"/>
      <c r="HU23" s="54"/>
      <c r="HV23" s="54"/>
      <c r="HW23" s="54"/>
      <c r="HX23" s="54"/>
      <c r="HY23" s="54"/>
      <c r="HZ23" s="54"/>
      <c r="IA23" s="54"/>
      <c r="IB23" s="54"/>
      <c r="IC23" s="54"/>
      <c r="ID23" s="54"/>
      <c r="IE23" s="54"/>
      <c r="IF23" s="54"/>
      <c r="IG23" s="54"/>
      <c r="IH23" s="54"/>
      <c r="II23" s="54"/>
      <c r="IJ23" s="54"/>
      <c r="IK23" s="54"/>
      <c r="IL23" s="54"/>
      <c r="IM23" s="54"/>
      <c r="IN23" s="54"/>
      <c r="IO23" s="54"/>
      <c r="IP23" s="54"/>
      <c r="IQ23" s="54"/>
      <c r="IR23" s="54"/>
      <c r="IS23" s="54"/>
      <c r="IT23" s="54"/>
      <c r="IU23" s="54"/>
      <c r="IV23" s="54"/>
      <c r="IW23" s="54"/>
      <c r="IX23" s="54"/>
      <c r="IY23" s="54"/>
      <c r="IZ23" s="54"/>
      <c r="JA23" s="54"/>
      <c r="JB23" s="54"/>
      <c r="JC23" s="54"/>
      <c r="JD23" s="54"/>
      <c r="JE23" s="54"/>
      <c r="JF23" s="54"/>
      <c r="JG23" s="54"/>
      <c r="JH23" s="54"/>
      <c r="JI23" s="54"/>
      <c r="JJ23" s="54"/>
      <c r="JK23" s="54"/>
      <c r="JL23" s="54"/>
      <c r="JM23" s="54"/>
      <c r="JN23" s="54"/>
      <c r="JO23" s="54"/>
      <c r="JP23" s="54"/>
      <c r="JQ23" s="54"/>
      <c r="JR23" s="54"/>
      <c r="JS23" s="54"/>
      <c r="JT23" s="54"/>
      <c r="JU23" s="54"/>
      <c r="JV23" s="54"/>
      <c r="JW23" s="54"/>
      <c r="JX23" s="54"/>
      <c r="JY23" s="54"/>
      <c r="JZ23" s="54"/>
      <c r="KA23" s="54"/>
      <c r="KB23" s="54"/>
      <c r="KC23" s="54"/>
      <c r="KD23" s="54"/>
      <c r="KE23" s="54"/>
      <c r="KF23" s="54"/>
      <c r="KG23" s="54"/>
      <c r="KH23" s="54"/>
      <c r="KI23" s="54"/>
      <c r="KJ23" s="54"/>
      <c r="KK23" s="54"/>
      <c r="KL23" s="54"/>
      <c r="KM23" s="54"/>
      <c r="KN23" s="54"/>
      <c r="KO23" s="54"/>
      <c r="KP23" s="54"/>
      <c r="KQ23" s="54"/>
      <c r="KR23" s="54"/>
      <c r="KS23" s="54"/>
      <c r="KT23" s="54"/>
      <c r="KU23" s="54"/>
      <c r="KV23" s="54"/>
      <c r="KW23" s="54"/>
      <c r="KX23" s="54"/>
    </row>
    <row r="24" ht="5.25" customHeight="1">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M24" s="54"/>
      <c r="CN24" s="54"/>
      <c r="CO24" s="54"/>
      <c r="CP24" s="54"/>
      <c r="CQ24" s="54"/>
      <c r="CR24" s="54"/>
      <c r="CS24" s="54"/>
      <c r="CT24" s="54"/>
      <c r="CU24" s="54"/>
      <c r="CV24" s="54"/>
      <c r="CW24" s="54"/>
      <c r="CX24" s="54"/>
      <c r="CY24" s="54"/>
      <c r="CZ24" s="54"/>
      <c r="DA24" s="54"/>
      <c r="DB24" s="56"/>
      <c r="DC24" s="56"/>
      <c r="DD24" s="88"/>
      <c r="DE24" s="13"/>
      <c r="DF24" s="13"/>
      <c r="DG24" s="13"/>
      <c r="DH24" s="13"/>
      <c r="DI24" s="13"/>
      <c r="DJ24" s="13"/>
      <c r="DK24" s="13"/>
      <c r="DL24" s="13"/>
      <c r="DM24" s="13"/>
      <c r="DN24" s="14"/>
      <c r="DO24" s="12"/>
      <c r="DP24" s="13"/>
      <c r="DQ24" s="14"/>
      <c r="DR24" s="12"/>
      <c r="DS24" s="13"/>
      <c r="DT24" s="13"/>
      <c r="DU24" s="13"/>
      <c r="DV24" s="13"/>
      <c r="DW24" s="13"/>
      <c r="DX24" s="13"/>
      <c r="DY24" s="13"/>
      <c r="DZ24" s="13"/>
      <c r="EA24" s="13"/>
      <c r="EB24" s="13"/>
      <c r="EC24" s="13"/>
      <c r="ED24" s="13"/>
      <c r="EE24" s="13"/>
      <c r="EF24" s="13"/>
      <c r="EG24" s="14"/>
      <c r="EH24" s="12"/>
      <c r="EI24" s="13"/>
      <c r="EJ24" s="13"/>
      <c r="EK24" s="13"/>
      <c r="EL24" s="89"/>
      <c r="EM24" s="89"/>
      <c r="EN24" s="89"/>
      <c r="EO24" s="89"/>
      <c r="EP24" s="89"/>
      <c r="EQ24" s="89"/>
      <c r="ER24" s="89"/>
      <c r="ES24" s="89"/>
      <c r="ET24" s="89"/>
      <c r="EU24" s="13"/>
      <c r="EV24" s="13"/>
      <c r="EW24" s="14"/>
      <c r="EX24" s="12"/>
      <c r="EY24" s="13"/>
      <c r="EZ24" s="14"/>
      <c r="FA24" s="12"/>
      <c r="FB24" s="13"/>
      <c r="FC24" s="13"/>
      <c r="FD24" s="90"/>
      <c r="FE24" s="89"/>
      <c r="FF24" s="89"/>
      <c r="FG24" s="89"/>
      <c r="FH24" s="89"/>
      <c r="FI24" s="89"/>
      <c r="FJ24" s="89"/>
      <c r="FK24" s="91"/>
      <c r="FL24" s="56"/>
      <c r="FM24" s="56"/>
      <c r="FN24" s="54"/>
      <c r="FO24" s="54"/>
      <c r="FP24" s="54"/>
      <c r="FQ24" s="54"/>
      <c r="FR24" s="54"/>
      <c r="FS24" s="54"/>
      <c r="FT24" s="54"/>
      <c r="FU24" s="54"/>
      <c r="FV24" s="54"/>
      <c r="FW24" s="54"/>
      <c r="FX24" s="54"/>
      <c r="FY24" s="54"/>
      <c r="FZ24" s="54"/>
      <c r="GA24" s="54"/>
      <c r="GB24" s="54"/>
      <c r="GC24" s="54"/>
      <c r="GD24" s="54"/>
      <c r="GE24" s="54"/>
      <c r="GF24" s="54"/>
      <c r="GG24" s="54"/>
      <c r="GH24" s="54"/>
      <c r="GI24" s="54"/>
      <c r="GJ24" s="54"/>
      <c r="GK24" s="54"/>
      <c r="GL24" s="54"/>
      <c r="GM24" s="54"/>
      <c r="GN24" s="54"/>
      <c r="GO24" s="54"/>
      <c r="GP24" s="54"/>
      <c r="GQ24" s="54"/>
      <c r="GR24" s="54"/>
      <c r="GS24" s="54"/>
      <c r="GT24" s="54"/>
      <c r="GU24" s="54"/>
      <c r="GV24" s="54"/>
      <c r="GW24" s="54"/>
      <c r="GX24" s="54"/>
      <c r="GY24" s="54"/>
      <c r="GZ24" s="54"/>
      <c r="HA24" s="54"/>
      <c r="HB24" s="54"/>
      <c r="HC24" s="54"/>
      <c r="HD24" s="54"/>
      <c r="HE24" s="54"/>
      <c r="HF24" s="54"/>
      <c r="HG24" s="54"/>
      <c r="HH24" s="54"/>
      <c r="HI24" s="54"/>
      <c r="HJ24" s="54"/>
      <c r="HK24" s="54"/>
      <c r="HL24" s="54"/>
      <c r="HM24" s="54"/>
      <c r="HN24" s="54"/>
      <c r="HO24" s="54"/>
      <c r="HP24" s="54"/>
      <c r="HQ24" s="54"/>
      <c r="HR24" s="54"/>
      <c r="HS24" s="54"/>
      <c r="HT24" s="54"/>
      <c r="HU24" s="54"/>
      <c r="HV24" s="54"/>
      <c r="HW24" s="54"/>
      <c r="HX24" s="54"/>
      <c r="HY24" s="54"/>
      <c r="HZ24" s="54"/>
      <c r="IA24" s="54"/>
      <c r="IB24" s="54"/>
      <c r="IC24" s="54"/>
      <c r="ID24" s="54"/>
      <c r="IE24" s="54"/>
      <c r="IF24" s="54"/>
      <c r="IG24" s="54"/>
      <c r="IH24" s="54"/>
      <c r="II24" s="54"/>
      <c r="IJ24" s="54"/>
      <c r="IK24" s="54"/>
      <c r="IL24" s="54"/>
      <c r="IM24" s="54"/>
      <c r="IN24" s="54"/>
      <c r="IO24" s="54"/>
      <c r="IP24" s="54"/>
      <c r="IQ24" s="54"/>
      <c r="IR24" s="54"/>
      <c r="IS24" s="54"/>
      <c r="IT24" s="54"/>
      <c r="IU24" s="54"/>
      <c r="IV24" s="54"/>
      <c r="IW24" s="54"/>
      <c r="IX24" s="54"/>
      <c r="IY24" s="54"/>
      <c r="IZ24" s="54"/>
      <c r="JA24" s="54"/>
      <c r="JB24" s="54"/>
      <c r="JC24" s="54"/>
      <c r="JD24" s="54"/>
      <c r="JE24" s="54"/>
      <c r="JF24" s="54"/>
      <c r="JG24" s="54"/>
      <c r="JH24" s="54"/>
      <c r="JI24" s="54"/>
      <c r="JJ24" s="54"/>
      <c r="JK24" s="54"/>
      <c r="JL24" s="54"/>
      <c r="JM24" s="54"/>
      <c r="JN24" s="54"/>
      <c r="JO24" s="54"/>
      <c r="JP24" s="54"/>
      <c r="JQ24" s="54"/>
      <c r="JR24" s="54"/>
      <c r="JS24" s="54"/>
      <c r="JT24" s="54"/>
      <c r="JU24" s="54"/>
      <c r="JV24" s="54"/>
      <c r="JW24" s="54"/>
      <c r="JX24" s="54"/>
      <c r="JY24" s="54"/>
      <c r="JZ24" s="54"/>
      <c r="KA24" s="54"/>
      <c r="KB24" s="54"/>
      <c r="KC24" s="54"/>
      <c r="KD24" s="54"/>
      <c r="KE24" s="54"/>
      <c r="KF24" s="54"/>
      <c r="KG24" s="54"/>
      <c r="KH24" s="54"/>
      <c r="KI24" s="54"/>
      <c r="KJ24" s="54"/>
      <c r="KK24" s="54"/>
      <c r="KL24" s="54"/>
      <c r="KM24" s="54"/>
      <c r="KN24" s="54"/>
      <c r="KO24" s="54"/>
      <c r="KP24" s="54"/>
      <c r="KQ24" s="54"/>
      <c r="KR24" s="54"/>
      <c r="KS24" s="54"/>
      <c r="KT24" s="54"/>
      <c r="KU24" s="54"/>
      <c r="KV24" s="54"/>
      <c r="KW24" s="54"/>
      <c r="KX24" s="54"/>
    </row>
    <row r="25" ht="5.25" customHeight="1">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M25" s="54"/>
      <c r="CN25" s="54"/>
      <c r="CO25" s="54"/>
      <c r="CP25" s="54"/>
      <c r="CQ25" s="54"/>
      <c r="CR25" s="54"/>
      <c r="CS25" s="54"/>
      <c r="CT25" s="54"/>
      <c r="CU25" s="54"/>
      <c r="CV25" s="54"/>
      <c r="CW25" s="54"/>
      <c r="CX25" s="54"/>
      <c r="CY25" s="54"/>
      <c r="CZ25" s="54"/>
      <c r="DA25" s="54"/>
      <c r="DB25" s="56"/>
      <c r="DC25" s="56">
        <f>'Choose matchups (Main)'!Q6</f>
        <v>2</v>
      </c>
      <c r="DD25" s="92" t="str">
        <f t="array" ref="DD25">xlookup(DC25,data!$M$2:$M$17,data!$O$2:$O$17,"")</f>
        <v/>
      </c>
      <c r="DE25" s="8"/>
      <c r="DF25" s="8"/>
      <c r="DG25" s="8"/>
      <c r="DH25" s="93" t="str">
        <f t="array" ref="DH25">xlookup(DC25,data!$M$2:$M$17,data!$N$2:$N$17,"")</f>
        <v>Team 2 (Group 2)</v>
      </c>
      <c r="DI25" s="8"/>
      <c r="DJ25" s="8"/>
      <c r="DK25" s="8"/>
      <c r="DL25" s="8"/>
      <c r="DM25" s="8"/>
      <c r="DN25" s="8"/>
      <c r="DO25" s="8"/>
      <c r="DP25" s="8"/>
      <c r="DQ25" s="8"/>
      <c r="DR25" s="8"/>
      <c r="DS25" s="8"/>
      <c r="DT25" s="8"/>
      <c r="DU25" s="8"/>
      <c r="DV25" s="8"/>
      <c r="DW25" s="8"/>
      <c r="DX25" s="8"/>
      <c r="DY25" s="8"/>
      <c r="DZ25" s="8"/>
      <c r="EA25" s="8"/>
      <c r="EB25" s="8"/>
      <c r="EC25" s="8"/>
      <c r="ED25" s="94"/>
      <c r="EE25" s="8"/>
      <c r="EF25" s="8"/>
      <c r="EG25" s="9"/>
      <c r="EH25" s="95"/>
      <c r="EI25" s="8"/>
      <c r="EJ25" s="8"/>
      <c r="EK25" s="8"/>
      <c r="EL25" s="96" t="str">
        <f t="array" ref="EL25">xlookup(FL25,data!$M$2:$M$17,data!$N$2:$N$17,"")</f>
        <v>TBD</v>
      </c>
      <c r="EM25" s="8"/>
      <c r="EN25" s="8"/>
      <c r="EO25" s="8"/>
      <c r="EP25" s="8"/>
      <c r="EQ25" s="8"/>
      <c r="ER25" s="8"/>
      <c r="ES25" s="8"/>
      <c r="ET25" s="8"/>
      <c r="EU25" s="8"/>
      <c r="EV25" s="8"/>
      <c r="EW25" s="8"/>
      <c r="EX25" s="8"/>
      <c r="EY25" s="8"/>
      <c r="EZ25" s="8"/>
      <c r="FA25" s="8"/>
      <c r="FB25" s="8"/>
      <c r="FC25" s="8"/>
      <c r="FD25" s="8"/>
      <c r="FE25" s="8"/>
      <c r="FF25" s="8"/>
      <c r="FG25" s="8"/>
      <c r="FH25" s="97" t="str">
        <f t="array" ref="FH25">xlookup(FL25,data!$M$2:$M$17,data!$O$2:$O$17,"")</f>
        <v/>
      </c>
      <c r="FI25" s="8"/>
      <c r="FJ25" s="8"/>
      <c r="FK25" s="98"/>
      <c r="FL25" s="77">
        <f t="array" ref="FL25">xlookup(DC25,data!$M$2:$M$17,data!$P$2:$P$17,"")</f>
        <v>9</v>
      </c>
      <c r="FM25" s="56"/>
      <c r="FN25" s="54"/>
      <c r="FO25" s="54"/>
      <c r="FP25" s="54"/>
      <c r="FQ25" s="54"/>
      <c r="FR25" s="54"/>
      <c r="FS25" s="54"/>
      <c r="FT25" s="54"/>
      <c r="FU25" s="54"/>
      <c r="FV25" s="54"/>
      <c r="FW25" s="54"/>
      <c r="FX25" s="54"/>
      <c r="FY25" s="54"/>
      <c r="FZ25" s="54"/>
      <c r="GA25" s="54"/>
      <c r="GB25" s="54"/>
      <c r="GC25" s="54"/>
      <c r="GD25" s="54"/>
      <c r="GE25" s="54"/>
      <c r="GF25" s="54"/>
      <c r="GG25" s="54"/>
      <c r="GH25" s="54"/>
      <c r="GI25" s="54"/>
      <c r="GJ25" s="54"/>
      <c r="GK25" s="54"/>
      <c r="GL25" s="54"/>
      <c r="GM25" s="54"/>
      <c r="GN25" s="54"/>
      <c r="GO25" s="54"/>
      <c r="GP25" s="54"/>
      <c r="GQ25" s="54"/>
      <c r="GR25" s="54"/>
      <c r="GS25" s="54"/>
      <c r="GT25" s="54"/>
      <c r="GU25" s="54"/>
      <c r="GV25" s="54"/>
      <c r="GW25" s="54"/>
      <c r="GX25" s="54"/>
      <c r="GY25" s="54"/>
      <c r="GZ25" s="54"/>
      <c r="HA25" s="54"/>
      <c r="HB25" s="54"/>
      <c r="HC25" s="54"/>
      <c r="HD25" s="54"/>
      <c r="HE25" s="54"/>
      <c r="HF25" s="54"/>
      <c r="HG25" s="54"/>
      <c r="HH25" s="54"/>
      <c r="HI25" s="54"/>
      <c r="HJ25" s="54"/>
      <c r="HK25" s="54"/>
      <c r="HL25" s="54"/>
      <c r="HM25" s="54"/>
      <c r="HN25" s="54"/>
      <c r="HO25" s="54"/>
      <c r="HP25" s="54"/>
      <c r="HQ25" s="54"/>
      <c r="HR25" s="54"/>
      <c r="HS25" s="54"/>
      <c r="HT25" s="54"/>
      <c r="HU25" s="54"/>
      <c r="HV25" s="54"/>
      <c r="HW25" s="54"/>
      <c r="HX25" s="54"/>
      <c r="HY25" s="54"/>
      <c r="HZ25" s="54"/>
      <c r="IA25" s="54"/>
      <c r="IB25" s="54"/>
      <c r="IC25" s="54"/>
      <c r="ID25" s="54"/>
      <c r="IE25" s="54"/>
      <c r="IF25" s="54"/>
      <c r="IG25" s="54"/>
      <c r="IH25" s="54"/>
      <c r="II25" s="54"/>
      <c r="IJ25" s="54"/>
      <c r="IK25" s="54"/>
      <c r="IL25" s="54"/>
      <c r="IM25" s="54"/>
      <c r="IN25" s="54"/>
      <c r="IO25" s="54"/>
      <c r="IP25" s="54"/>
      <c r="IQ25" s="54"/>
      <c r="IR25" s="54"/>
      <c r="IS25" s="54"/>
      <c r="IT25" s="54"/>
      <c r="IU25" s="54"/>
      <c r="IV25" s="54"/>
      <c r="IW25" s="54"/>
      <c r="IX25" s="54"/>
      <c r="IY25" s="54"/>
      <c r="IZ25" s="54"/>
      <c r="JA25" s="54"/>
      <c r="JB25" s="54"/>
      <c r="JC25" s="54"/>
      <c r="JD25" s="54"/>
      <c r="JE25" s="54"/>
      <c r="JF25" s="54"/>
      <c r="JG25" s="54"/>
      <c r="JH25" s="54"/>
      <c r="JI25" s="54"/>
      <c r="JJ25" s="54"/>
      <c r="JK25" s="54"/>
      <c r="JL25" s="54"/>
      <c r="JM25" s="54"/>
      <c r="JN25" s="54"/>
      <c r="JO25" s="54"/>
      <c r="JP25" s="54"/>
      <c r="JQ25" s="54"/>
      <c r="JR25" s="54"/>
      <c r="JS25" s="54"/>
      <c r="JT25" s="54"/>
      <c r="JU25" s="54"/>
      <c r="JV25" s="54"/>
      <c r="JW25" s="54"/>
      <c r="JX25" s="54"/>
      <c r="JY25" s="54"/>
      <c r="JZ25" s="54"/>
      <c r="KA25" s="54"/>
      <c r="KB25" s="54"/>
      <c r="KC25" s="54"/>
      <c r="KD25" s="54"/>
      <c r="KE25" s="54"/>
      <c r="KF25" s="54"/>
      <c r="KG25" s="54"/>
      <c r="KH25" s="54"/>
      <c r="KI25" s="54"/>
      <c r="KJ25" s="54"/>
      <c r="KK25" s="54"/>
      <c r="KL25" s="54"/>
      <c r="KM25" s="54"/>
      <c r="KN25" s="54"/>
      <c r="KO25" s="54"/>
      <c r="KP25" s="54"/>
      <c r="KQ25" s="54"/>
      <c r="KR25" s="54"/>
      <c r="KS25" s="54"/>
      <c r="KT25" s="54"/>
      <c r="KU25" s="54"/>
      <c r="KV25" s="54"/>
      <c r="KW25" s="54"/>
      <c r="KX25" s="54"/>
    </row>
    <row r="26" ht="5.25" customHeight="1">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M26" s="54"/>
      <c r="CN26" s="54"/>
      <c r="CO26" s="54"/>
      <c r="CP26" s="54"/>
      <c r="CQ26" s="54"/>
      <c r="CR26" s="54"/>
      <c r="CS26" s="54"/>
      <c r="CT26" s="54"/>
      <c r="CU26" s="54"/>
      <c r="CV26" s="54"/>
      <c r="CW26" s="54"/>
      <c r="CX26" s="54"/>
      <c r="CY26" s="54"/>
      <c r="CZ26" s="54"/>
      <c r="DA26" s="54"/>
      <c r="DB26" s="56"/>
      <c r="DC26" s="56"/>
      <c r="DD26" s="60"/>
      <c r="EG26" s="11"/>
      <c r="EH26" s="10"/>
      <c r="FK26" s="61"/>
      <c r="FL26" s="56"/>
      <c r="FM26" s="56"/>
      <c r="FN26" s="54"/>
      <c r="FO26" s="54"/>
      <c r="FP26" s="54"/>
      <c r="FQ26" s="54"/>
      <c r="FR26" s="54"/>
      <c r="FS26" s="54"/>
      <c r="FT26" s="54"/>
      <c r="FU26" s="54"/>
      <c r="FV26" s="54"/>
      <c r="FW26" s="54"/>
      <c r="FX26" s="54"/>
      <c r="FY26" s="54"/>
      <c r="FZ26" s="54"/>
      <c r="GA26" s="54"/>
      <c r="GB26" s="54"/>
      <c r="GC26" s="54"/>
      <c r="GD26" s="54"/>
      <c r="GE26" s="54"/>
      <c r="GF26" s="54"/>
      <c r="GG26" s="54"/>
      <c r="GH26" s="54"/>
      <c r="GI26" s="54"/>
      <c r="GJ26" s="54"/>
      <c r="GK26" s="54"/>
      <c r="GL26" s="54"/>
      <c r="GM26" s="54"/>
      <c r="GN26" s="54"/>
      <c r="GO26" s="54"/>
      <c r="GP26" s="54"/>
      <c r="GQ26" s="54"/>
      <c r="GR26" s="54"/>
      <c r="GS26" s="54"/>
      <c r="GT26" s="54"/>
      <c r="GU26" s="54"/>
      <c r="GV26" s="54"/>
      <c r="GW26" s="54"/>
      <c r="GX26" s="54"/>
      <c r="GY26" s="54"/>
      <c r="GZ26" s="54"/>
      <c r="HA26" s="54"/>
      <c r="HB26" s="54"/>
      <c r="HC26" s="54"/>
      <c r="HD26" s="54"/>
      <c r="HE26" s="54"/>
      <c r="HF26" s="54"/>
      <c r="HG26" s="54"/>
      <c r="HH26" s="54"/>
      <c r="HI26" s="54"/>
      <c r="HJ26" s="54"/>
      <c r="HK26" s="54"/>
      <c r="HL26" s="54"/>
      <c r="HM26" s="54"/>
      <c r="HN26" s="54"/>
      <c r="HO26" s="54"/>
      <c r="HP26" s="54"/>
      <c r="HQ26" s="54"/>
      <c r="HR26" s="54"/>
      <c r="HS26" s="54"/>
      <c r="HT26" s="54"/>
      <c r="HU26" s="54"/>
      <c r="HV26" s="54"/>
      <c r="HW26" s="54"/>
      <c r="HX26" s="54"/>
      <c r="HY26" s="54"/>
      <c r="HZ26" s="54"/>
      <c r="IA26" s="54"/>
      <c r="IB26" s="54"/>
      <c r="IC26" s="54"/>
      <c r="ID26" s="54"/>
      <c r="IE26" s="54"/>
      <c r="IF26" s="54"/>
      <c r="IG26" s="54"/>
      <c r="IH26" s="54"/>
      <c r="II26" s="54"/>
      <c r="IJ26" s="54"/>
      <c r="IK26" s="54"/>
      <c r="IL26" s="54"/>
      <c r="IM26" s="54"/>
      <c r="IN26" s="54"/>
      <c r="IO26" s="54"/>
      <c r="IP26" s="54"/>
      <c r="IQ26" s="54"/>
      <c r="IR26" s="54"/>
      <c r="IS26" s="54"/>
      <c r="IT26" s="54"/>
      <c r="IU26" s="54"/>
      <c r="IV26" s="54"/>
      <c r="IW26" s="54"/>
      <c r="IX26" s="54"/>
      <c r="IY26" s="54"/>
      <c r="IZ26" s="54"/>
      <c r="JA26" s="54"/>
      <c r="JB26" s="54"/>
      <c r="JC26" s="54"/>
      <c r="JD26" s="54"/>
      <c r="JE26" s="54"/>
      <c r="JF26" s="54"/>
      <c r="JG26" s="54"/>
      <c r="JH26" s="54"/>
      <c r="JI26" s="54"/>
      <c r="JJ26" s="54"/>
      <c r="JK26" s="54"/>
      <c r="JL26" s="54"/>
      <c r="JM26" s="54"/>
      <c r="JN26" s="54"/>
      <c r="JO26" s="54"/>
      <c r="JP26" s="54"/>
      <c r="JQ26" s="54"/>
      <c r="JR26" s="54"/>
      <c r="JS26" s="54"/>
      <c r="JT26" s="54"/>
      <c r="JU26" s="54"/>
      <c r="JV26" s="54"/>
      <c r="JW26" s="54"/>
      <c r="JX26" s="54"/>
      <c r="JY26" s="54"/>
      <c r="JZ26" s="54"/>
      <c r="KA26" s="54"/>
      <c r="KB26" s="54"/>
      <c r="KC26" s="54"/>
      <c r="KD26" s="54"/>
      <c r="KE26" s="54"/>
      <c r="KF26" s="54"/>
      <c r="KG26" s="54"/>
      <c r="KH26" s="54"/>
      <c r="KI26" s="54"/>
      <c r="KJ26" s="54"/>
      <c r="KK26" s="54"/>
      <c r="KL26" s="54"/>
      <c r="KM26" s="54"/>
      <c r="KN26" s="54"/>
      <c r="KO26" s="54"/>
      <c r="KP26" s="54"/>
      <c r="KQ26" s="54"/>
      <c r="KR26" s="54"/>
      <c r="KS26" s="54"/>
      <c r="KT26" s="54"/>
      <c r="KU26" s="54"/>
      <c r="KV26" s="54"/>
      <c r="KW26" s="54"/>
      <c r="KX26" s="54"/>
    </row>
    <row r="27" ht="5.25" customHeight="1">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M27" s="54"/>
      <c r="CN27" s="54"/>
      <c r="CO27" s="54"/>
      <c r="CP27" s="54"/>
      <c r="CQ27" s="54"/>
      <c r="CR27" s="54"/>
      <c r="CS27" s="54"/>
      <c r="CT27" s="54"/>
      <c r="CU27" s="54"/>
      <c r="CV27" s="54"/>
      <c r="CW27" s="54"/>
      <c r="CX27" s="54"/>
      <c r="CY27" s="54"/>
      <c r="CZ27" s="54"/>
      <c r="DA27" s="54"/>
      <c r="DB27" s="56"/>
      <c r="DC27" s="56"/>
      <c r="DD27" s="60"/>
      <c r="EG27" s="11"/>
      <c r="EH27" s="10"/>
      <c r="FK27" s="61"/>
      <c r="FL27" s="56"/>
      <c r="FM27" s="56"/>
      <c r="FN27" s="54"/>
      <c r="FO27" s="54"/>
      <c r="FP27" s="54"/>
      <c r="FQ27" s="54"/>
      <c r="FR27" s="54"/>
      <c r="FS27" s="54"/>
      <c r="FT27" s="54"/>
      <c r="FU27" s="54"/>
      <c r="FV27" s="54"/>
      <c r="FW27" s="54"/>
      <c r="FX27" s="54"/>
      <c r="FY27" s="54"/>
      <c r="FZ27" s="54"/>
      <c r="GA27" s="54"/>
      <c r="GB27" s="54"/>
      <c r="GC27" s="54"/>
      <c r="GD27" s="54"/>
      <c r="GE27" s="54"/>
      <c r="GF27" s="54"/>
      <c r="GG27" s="54"/>
      <c r="GH27" s="54"/>
      <c r="GI27" s="54"/>
      <c r="GJ27" s="54"/>
      <c r="GK27" s="54"/>
      <c r="GL27" s="54"/>
      <c r="GM27" s="54"/>
      <c r="GN27" s="54"/>
      <c r="GO27" s="54"/>
      <c r="GP27" s="54"/>
      <c r="GQ27" s="54"/>
      <c r="GR27" s="54"/>
      <c r="GS27" s="54"/>
      <c r="GT27" s="54"/>
      <c r="GU27" s="54"/>
      <c r="GV27" s="54"/>
      <c r="GW27" s="54"/>
      <c r="GX27" s="54"/>
      <c r="GY27" s="54"/>
      <c r="GZ27" s="54"/>
      <c r="HA27" s="54"/>
      <c r="HB27" s="54"/>
      <c r="HC27" s="54"/>
      <c r="HD27" s="54"/>
      <c r="HE27" s="54"/>
      <c r="HF27" s="54"/>
      <c r="HG27" s="54"/>
      <c r="HH27" s="54"/>
      <c r="HI27" s="54"/>
      <c r="HJ27" s="54"/>
      <c r="HK27" s="54"/>
      <c r="HL27" s="54"/>
      <c r="HM27" s="54"/>
      <c r="HN27" s="54"/>
      <c r="HO27" s="54"/>
      <c r="HP27" s="54"/>
      <c r="HQ27" s="54"/>
      <c r="HR27" s="54"/>
      <c r="HS27" s="54"/>
      <c r="HT27" s="54"/>
      <c r="HU27" s="54"/>
      <c r="HV27" s="54"/>
      <c r="HW27" s="54"/>
      <c r="HX27" s="54"/>
      <c r="HY27" s="54"/>
      <c r="HZ27" s="54"/>
      <c r="IA27" s="54"/>
      <c r="IB27" s="54"/>
      <c r="IC27" s="54"/>
      <c r="ID27" s="54"/>
      <c r="IE27" s="54"/>
      <c r="IF27" s="54"/>
      <c r="IG27" s="54"/>
      <c r="IH27" s="54"/>
      <c r="II27" s="54"/>
      <c r="IJ27" s="54"/>
      <c r="IK27" s="54"/>
      <c r="IL27" s="54"/>
      <c r="IM27" s="54"/>
      <c r="IN27" s="54"/>
      <c r="IO27" s="54"/>
      <c r="IP27" s="54"/>
      <c r="IQ27" s="54"/>
      <c r="IR27" s="54"/>
      <c r="IS27" s="54"/>
      <c r="IT27" s="54"/>
      <c r="IU27" s="54"/>
      <c r="IV27" s="54"/>
      <c r="IW27" s="54"/>
      <c r="IX27" s="54"/>
      <c r="IY27" s="54"/>
      <c r="IZ27" s="54"/>
      <c r="JA27" s="54"/>
      <c r="JB27" s="54"/>
      <c r="JC27" s="54"/>
      <c r="JD27" s="54"/>
      <c r="JE27" s="54"/>
      <c r="JF27" s="54"/>
      <c r="JG27" s="54"/>
      <c r="JH27" s="54"/>
      <c r="JI27" s="54"/>
      <c r="JJ27" s="54"/>
      <c r="JK27" s="54"/>
      <c r="JL27" s="54"/>
      <c r="JM27" s="54"/>
      <c r="JN27" s="54"/>
      <c r="JO27" s="54"/>
      <c r="JP27" s="54"/>
      <c r="JQ27" s="54"/>
      <c r="JR27" s="54"/>
      <c r="JS27" s="54"/>
      <c r="JT27" s="54"/>
      <c r="JU27" s="54"/>
      <c r="JV27" s="54"/>
      <c r="JW27" s="54"/>
      <c r="JX27" s="54"/>
      <c r="JY27" s="54"/>
      <c r="JZ27" s="54"/>
      <c r="KA27" s="54"/>
      <c r="KB27" s="54"/>
      <c r="KC27" s="54"/>
      <c r="KD27" s="54"/>
      <c r="KE27" s="54"/>
      <c r="KF27" s="54"/>
      <c r="KG27" s="54"/>
      <c r="KH27" s="54"/>
      <c r="KI27" s="54"/>
      <c r="KJ27" s="54"/>
      <c r="KK27" s="54"/>
      <c r="KL27" s="54"/>
      <c r="KM27" s="54"/>
      <c r="KN27" s="54"/>
      <c r="KO27" s="54"/>
      <c r="KP27" s="54"/>
      <c r="KQ27" s="54"/>
      <c r="KR27" s="54"/>
      <c r="KS27" s="54"/>
      <c r="KT27" s="54"/>
      <c r="KU27" s="54"/>
      <c r="KV27" s="54"/>
      <c r="KW27" s="54"/>
      <c r="KX27" s="54"/>
    </row>
    <row r="28" ht="5.25" customHeight="1">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M28" s="54"/>
      <c r="CN28" s="54"/>
      <c r="CO28" s="54"/>
      <c r="CP28" s="54"/>
      <c r="CQ28" s="54"/>
      <c r="CR28" s="54"/>
      <c r="CS28" s="54"/>
      <c r="CT28" s="54"/>
      <c r="CU28" s="54"/>
      <c r="CV28" s="54"/>
      <c r="CW28" s="54"/>
      <c r="CX28" s="54"/>
      <c r="CY28" s="54"/>
      <c r="CZ28" s="54"/>
      <c r="DA28" s="54"/>
      <c r="DB28" s="56"/>
      <c r="DC28" s="56"/>
      <c r="DD28" s="60"/>
      <c r="EG28" s="11"/>
      <c r="EH28" s="10"/>
      <c r="FK28" s="61"/>
      <c r="FL28" s="56"/>
      <c r="FM28" s="56"/>
      <c r="FN28" s="54"/>
      <c r="FO28" s="54"/>
      <c r="FP28" s="54"/>
      <c r="FQ28" s="54"/>
      <c r="FR28" s="54"/>
      <c r="FS28" s="54"/>
      <c r="FT28" s="54"/>
      <c r="FU28" s="54"/>
      <c r="FV28" s="54"/>
      <c r="FW28" s="54"/>
      <c r="FX28" s="54"/>
      <c r="FY28" s="54"/>
      <c r="FZ28" s="54"/>
      <c r="GA28" s="54"/>
      <c r="GB28" s="54"/>
      <c r="GC28" s="54"/>
      <c r="GD28" s="54"/>
      <c r="GE28" s="54"/>
      <c r="GF28" s="54"/>
      <c r="GG28" s="54"/>
      <c r="GH28" s="54"/>
      <c r="GI28" s="54"/>
      <c r="GJ28" s="54"/>
      <c r="GK28" s="54"/>
      <c r="GL28" s="54"/>
      <c r="GM28" s="54"/>
      <c r="GN28" s="54"/>
      <c r="GO28" s="54"/>
      <c r="GP28" s="54"/>
      <c r="GQ28" s="54"/>
      <c r="GR28" s="54"/>
      <c r="GS28" s="54"/>
      <c r="GT28" s="54"/>
      <c r="GU28" s="54"/>
      <c r="GV28" s="54"/>
      <c r="GW28" s="54"/>
      <c r="GX28" s="54"/>
      <c r="GY28" s="54"/>
      <c r="GZ28" s="54"/>
      <c r="HA28" s="54"/>
      <c r="HB28" s="54"/>
      <c r="HC28" s="54"/>
      <c r="HD28" s="54"/>
      <c r="HE28" s="54"/>
      <c r="HF28" s="54"/>
      <c r="HG28" s="54"/>
      <c r="HH28" s="54"/>
      <c r="HI28" s="54"/>
      <c r="HJ28" s="54"/>
      <c r="HK28" s="54"/>
      <c r="HL28" s="54"/>
      <c r="HM28" s="54"/>
      <c r="HN28" s="54"/>
      <c r="HO28" s="54"/>
      <c r="HP28" s="54"/>
      <c r="HQ28" s="54"/>
      <c r="HR28" s="54"/>
      <c r="HS28" s="54"/>
      <c r="HT28" s="54"/>
      <c r="HU28" s="54"/>
      <c r="HV28" s="54"/>
      <c r="HW28" s="54"/>
      <c r="HX28" s="54"/>
      <c r="HY28" s="54"/>
      <c r="HZ28" s="54"/>
      <c r="IA28" s="54"/>
      <c r="IB28" s="54"/>
      <c r="IC28" s="54"/>
      <c r="ID28" s="54"/>
      <c r="IE28" s="54"/>
      <c r="IF28" s="54"/>
      <c r="IG28" s="54"/>
      <c r="IH28" s="54"/>
      <c r="II28" s="54"/>
      <c r="IJ28" s="54"/>
      <c r="IK28" s="54"/>
      <c r="IL28" s="54"/>
      <c r="IM28" s="54"/>
      <c r="IN28" s="54"/>
      <c r="IO28" s="54"/>
      <c r="IP28" s="54"/>
      <c r="IQ28" s="54"/>
      <c r="IR28" s="54"/>
      <c r="IS28" s="54"/>
      <c r="IT28" s="54"/>
      <c r="IU28" s="54"/>
      <c r="IV28" s="54"/>
      <c r="IW28" s="54"/>
      <c r="IX28" s="54"/>
      <c r="IY28" s="54"/>
      <c r="IZ28" s="54"/>
      <c r="JA28" s="54"/>
      <c r="JB28" s="54"/>
      <c r="JC28" s="54"/>
      <c r="JD28" s="54"/>
      <c r="JE28" s="54"/>
      <c r="JF28" s="54"/>
      <c r="JG28" s="54"/>
      <c r="JH28" s="54"/>
      <c r="JI28" s="54"/>
      <c r="JJ28" s="54"/>
      <c r="JK28" s="54"/>
      <c r="JL28" s="54"/>
      <c r="JM28" s="54"/>
      <c r="JN28" s="54"/>
      <c r="JO28" s="54"/>
      <c r="JP28" s="54"/>
      <c r="JQ28" s="54"/>
      <c r="JR28" s="54"/>
      <c r="JS28" s="54"/>
      <c r="JT28" s="54"/>
      <c r="JU28" s="54"/>
      <c r="JV28" s="54"/>
      <c r="JW28" s="54"/>
      <c r="JX28" s="54"/>
      <c r="JY28" s="54"/>
      <c r="JZ28" s="54"/>
      <c r="KA28" s="54"/>
      <c r="KB28" s="54"/>
      <c r="KC28" s="54"/>
      <c r="KD28" s="54"/>
      <c r="KE28" s="54"/>
      <c r="KF28" s="54"/>
      <c r="KG28" s="54"/>
      <c r="KH28" s="54"/>
      <c r="KI28" s="54"/>
      <c r="KJ28" s="54"/>
      <c r="KK28" s="54"/>
      <c r="KL28" s="54"/>
      <c r="KM28" s="54"/>
      <c r="KN28" s="54"/>
      <c r="KO28" s="54"/>
      <c r="KP28" s="54"/>
      <c r="KQ28" s="54"/>
      <c r="KR28" s="54"/>
      <c r="KS28" s="54"/>
      <c r="KT28" s="54"/>
      <c r="KU28" s="54"/>
      <c r="KV28" s="54"/>
      <c r="KW28" s="54"/>
      <c r="KX28" s="54"/>
    </row>
    <row r="29" ht="5.25" customHeight="1">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6"/>
      <c r="DC29" s="56">
        <f>DC25</f>
        <v>2</v>
      </c>
      <c r="DD29" s="64"/>
      <c r="DL29" s="99"/>
      <c r="DN29" s="11"/>
      <c r="DO29" s="84"/>
      <c r="DQ29" s="11"/>
      <c r="DR29" s="84"/>
      <c r="DU29" s="54"/>
      <c r="ED29" s="85">
        <f>sum(DL29:DT31)</f>
        <v>0</v>
      </c>
      <c r="EG29" s="11"/>
      <c r="EH29" s="86">
        <f>sum(EU29:FC31)</f>
        <v>0</v>
      </c>
      <c r="EL29" s="54"/>
      <c r="EM29" s="54"/>
      <c r="EN29" s="54"/>
      <c r="EO29" s="54"/>
      <c r="EP29" s="54"/>
      <c r="EQ29" s="54"/>
      <c r="ER29" s="54"/>
      <c r="ES29" s="54"/>
      <c r="ET29" s="54"/>
      <c r="EU29" s="99"/>
      <c r="EW29" s="11"/>
      <c r="EX29" s="87"/>
      <c r="EZ29" s="11"/>
      <c r="FA29" s="84"/>
      <c r="FD29" s="68"/>
      <c r="FE29" s="54"/>
      <c r="FF29" s="54"/>
      <c r="FG29" s="54"/>
      <c r="FH29" s="54"/>
      <c r="FI29" s="54"/>
      <c r="FJ29" s="54"/>
      <c r="FK29" s="69"/>
      <c r="FL29" s="56">
        <f>FL25</f>
        <v>9</v>
      </c>
      <c r="FM29" s="56"/>
      <c r="FN29" s="54"/>
      <c r="FO29" s="54"/>
      <c r="FP29" s="54"/>
      <c r="FQ29" s="54"/>
      <c r="FR29" s="54"/>
      <c r="FS29" s="54"/>
      <c r="FT29" s="54"/>
      <c r="FU29" s="54"/>
      <c r="FV29" s="54"/>
      <c r="FW29" s="54"/>
      <c r="FX29" s="54"/>
      <c r="FY29" s="54"/>
      <c r="FZ29" s="54"/>
      <c r="GA29" s="54"/>
      <c r="GB29" s="54"/>
      <c r="GC29" s="54"/>
      <c r="GD29" s="54"/>
      <c r="GE29" s="54"/>
      <c r="GF29" s="54"/>
      <c r="GG29" s="54"/>
      <c r="GH29" s="54"/>
      <c r="GI29" s="54"/>
      <c r="GJ29" s="54"/>
      <c r="GK29" s="54"/>
      <c r="GL29" s="54"/>
      <c r="GM29" s="54"/>
      <c r="GN29" s="54"/>
      <c r="GO29" s="54"/>
      <c r="GP29" s="54"/>
      <c r="GQ29" s="54"/>
      <c r="GR29" s="54"/>
      <c r="GS29" s="54"/>
      <c r="GT29" s="54"/>
      <c r="GU29" s="54"/>
      <c r="GV29" s="54"/>
      <c r="GW29" s="54"/>
      <c r="GX29" s="54"/>
      <c r="GY29" s="54"/>
      <c r="GZ29" s="54"/>
      <c r="HA29" s="54"/>
      <c r="HB29" s="54"/>
      <c r="HC29" s="54"/>
      <c r="HD29" s="54"/>
      <c r="HE29" s="54"/>
      <c r="HF29" s="54"/>
      <c r="HG29" s="54"/>
      <c r="HH29" s="54"/>
      <c r="HI29" s="54"/>
      <c r="HJ29" s="54"/>
      <c r="HK29" s="54"/>
      <c r="HL29" s="54"/>
      <c r="HM29" s="54"/>
      <c r="HN29" s="54"/>
      <c r="HO29" s="54"/>
      <c r="HP29" s="54"/>
      <c r="HQ29" s="54"/>
      <c r="HR29" s="54"/>
      <c r="HS29" s="54"/>
      <c r="HT29" s="54"/>
      <c r="HU29" s="54"/>
      <c r="HV29" s="54"/>
      <c r="HW29" s="54"/>
      <c r="HX29" s="54"/>
      <c r="HY29" s="54"/>
      <c r="HZ29" s="54"/>
      <c r="IA29" s="54"/>
      <c r="IB29" s="54"/>
      <c r="IC29" s="54"/>
      <c r="ID29" s="54"/>
      <c r="IE29" s="54"/>
      <c r="IF29" s="54"/>
      <c r="IG29" s="54"/>
      <c r="IH29" s="54"/>
      <c r="II29" s="54"/>
      <c r="IJ29" s="54"/>
      <c r="IK29" s="54"/>
      <c r="IL29" s="54"/>
      <c r="IM29" s="54"/>
      <c r="IN29" s="54"/>
      <c r="IO29" s="54"/>
      <c r="IP29" s="54"/>
      <c r="IQ29" s="54"/>
      <c r="IR29" s="54"/>
      <c r="IS29" s="54"/>
      <c r="IT29" s="54"/>
      <c r="IU29" s="54"/>
      <c r="IV29" s="54"/>
      <c r="IW29" s="54"/>
      <c r="IX29" s="54"/>
      <c r="IY29" s="54"/>
      <c r="IZ29" s="54"/>
      <c r="JA29" s="54"/>
      <c r="JB29" s="54"/>
      <c r="JC29" s="54"/>
      <c r="JD29" s="54"/>
      <c r="JE29" s="54"/>
      <c r="JF29" s="54"/>
      <c r="JG29" s="54"/>
      <c r="JH29" s="54"/>
      <c r="JI29" s="54"/>
      <c r="JJ29" s="54"/>
      <c r="JK29" s="54"/>
      <c r="JL29" s="54"/>
      <c r="JM29" s="54"/>
      <c r="JN29" s="54"/>
      <c r="JO29" s="54"/>
      <c r="JP29" s="54"/>
      <c r="JQ29" s="54"/>
      <c r="JR29" s="54"/>
      <c r="JS29" s="54"/>
      <c r="JT29" s="54"/>
      <c r="JU29" s="54"/>
      <c r="JV29" s="54"/>
      <c r="JW29" s="54"/>
      <c r="JX29" s="54"/>
      <c r="JY29" s="54"/>
      <c r="JZ29" s="54"/>
      <c r="KA29" s="54"/>
      <c r="KB29" s="54"/>
      <c r="KC29" s="54"/>
      <c r="KD29" s="54"/>
      <c r="KE29" s="54"/>
      <c r="KF29" s="54"/>
      <c r="KG29" s="54"/>
      <c r="KH29" s="54"/>
      <c r="KI29" s="54"/>
      <c r="KJ29" s="54"/>
      <c r="KK29" s="54"/>
      <c r="KL29" s="54"/>
      <c r="KM29" s="54"/>
      <c r="KN29" s="54"/>
      <c r="KO29" s="54"/>
      <c r="KP29" s="54"/>
      <c r="KQ29" s="54"/>
      <c r="KR29" s="54"/>
      <c r="KS29" s="54"/>
      <c r="KT29" s="54"/>
      <c r="KU29" s="54"/>
      <c r="KV29" s="54"/>
      <c r="KW29" s="54"/>
      <c r="KX29" s="54"/>
    </row>
    <row r="30" ht="5.25" customHeight="1">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M30" s="54"/>
      <c r="CN30" s="54"/>
      <c r="CO30" s="54"/>
      <c r="CP30" s="54"/>
      <c r="CQ30" s="54"/>
      <c r="CR30" s="54"/>
      <c r="CS30" s="54"/>
      <c r="CT30" s="54"/>
      <c r="CU30" s="54"/>
      <c r="CV30" s="54"/>
      <c r="CW30" s="54"/>
      <c r="CX30" s="54"/>
      <c r="CY30" s="54"/>
      <c r="CZ30" s="54"/>
      <c r="DA30" s="54"/>
      <c r="DB30" s="56"/>
      <c r="DC30" s="56"/>
      <c r="DD30" s="60"/>
      <c r="DN30" s="11"/>
      <c r="DO30" s="10"/>
      <c r="DQ30" s="11"/>
      <c r="DR30" s="10"/>
      <c r="EG30" s="11"/>
      <c r="EH30" s="10"/>
      <c r="EL30" s="54"/>
      <c r="EM30" s="54"/>
      <c r="EN30" s="54"/>
      <c r="EO30" s="54"/>
      <c r="EP30" s="54"/>
      <c r="EQ30" s="54"/>
      <c r="ER30" s="54"/>
      <c r="ES30" s="54"/>
      <c r="ET30" s="54"/>
      <c r="EW30" s="11"/>
      <c r="EX30" s="10"/>
      <c r="EZ30" s="11"/>
      <c r="FA30" s="10"/>
      <c r="FD30" s="68"/>
      <c r="FE30" s="54"/>
      <c r="FF30" s="54"/>
      <c r="FG30" s="54"/>
      <c r="FH30" s="54"/>
      <c r="FI30" s="54"/>
      <c r="FJ30" s="54"/>
      <c r="FK30" s="69"/>
      <c r="FL30" s="56"/>
      <c r="FM30" s="56"/>
      <c r="FN30" s="54"/>
      <c r="FO30" s="54"/>
      <c r="FP30" s="54"/>
      <c r="FQ30" s="54"/>
      <c r="FR30" s="54"/>
      <c r="FS30" s="54"/>
      <c r="FT30" s="54"/>
      <c r="FU30" s="54"/>
      <c r="FV30" s="54"/>
      <c r="FW30" s="54"/>
      <c r="FX30" s="54"/>
      <c r="FY30" s="54"/>
      <c r="FZ30" s="54"/>
      <c r="GA30" s="54"/>
      <c r="GB30" s="54"/>
      <c r="GC30" s="54"/>
      <c r="GD30" s="54"/>
      <c r="GE30" s="54"/>
      <c r="GF30" s="54"/>
      <c r="GG30" s="54"/>
      <c r="GH30" s="54"/>
      <c r="GI30" s="54"/>
      <c r="GJ30" s="54"/>
      <c r="GK30" s="54"/>
      <c r="GL30" s="54"/>
      <c r="GM30" s="54"/>
      <c r="GN30" s="54"/>
      <c r="GO30" s="54"/>
      <c r="GP30" s="54"/>
      <c r="GQ30" s="54"/>
      <c r="GR30" s="54"/>
      <c r="GS30" s="54"/>
      <c r="GT30" s="54"/>
      <c r="GU30" s="54"/>
      <c r="GV30" s="54"/>
      <c r="GW30" s="54"/>
      <c r="GX30" s="54"/>
      <c r="GY30" s="54"/>
      <c r="GZ30" s="54"/>
      <c r="HA30" s="54"/>
      <c r="HB30" s="54"/>
      <c r="HC30" s="54"/>
      <c r="HD30" s="54"/>
      <c r="HE30" s="54"/>
      <c r="HF30" s="54"/>
      <c r="HG30" s="54"/>
      <c r="HH30" s="54"/>
      <c r="HI30" s="54"/>
      <c r="HJ30" s="54"/>
      <c r="HK30" s="54"/>
      <c r="HL30" s="54"/>
      <c r="HM30" s="54"/>
      <c r="HN30" s="54"/>
      <c r="HO30" s="54"/>
      <c r="HP30" s="54"/>
      <c r="HQ30" s="54"/>
      <c r="HR30" s="54"/>
      <c r="HS30" s="54"/>
      <c r="HT30" s="54"/>
      <c r="HU30" s="54"/>
      <c r="HV30" s="54"/>
      <c r="HW30" s="54"/>
      <c r="HX30" s="54"/>
      <c r="HY30" s="54"/>
      <c r="HZ30" s="54"/>
      <c r="IA30" s="54"/>
      <c r="IB30" s="54"/>
      <c r="IC30" s="54"/>
      <c r="ID30" s="54"/>
      <c r="IE30" s="54"/>
      <c r="IF30" s="54"/>
      <c r="IG30" s="54"/>
      <c r="IH30" s="54"/>
      <c r="II30" s="54"/>
      <c r="IJ30" s="54"/>
      <c r="IK30" s="54"/>
      <c r="IL30" s="54"/>
      <c r="IM30" s="54"/>
      <c r="IN30" s="54"/>
      <c r="IO30" s="54"/>
      <c r="IP30" s="54"/>
      <c r="IQ30" s="54"/>
      <c r="IR30" s="54"/>
      <c r="IS30" s="54"/>
      <c r="IT30" s="54"/>
      <c r="IU30" s="54"/>
      <c r="IV30" s="54"/>
      <c r="IW30" s="54"/>
      <c r="IX30" s="54"/>
      <c r="IY30" s="54"/>
      <c r="IZ30" s="54"/>
      <c r="JA30" s="54"/>
      <c r="JB30" s="54"/>
      <c r="JC30" s="54"/>
      <c r="JD30" s="54"/>
      <c r="JE30" s="54"/>
      <c r="JF30" s="54"/>
      <c r="JG30" s="54"/>
      <c r="JH30" s="54"/>
      <c r="JI30" s="54"/>
      <c r="JJ30" s="54"/>
      <c r="JK30" s="54"/>
      <c r="JL30" s="54"/>
      <c r="JM30" s="54"/>
      <c r="JN30" s="54"/>
      <c r="JO30" s="54"/>
      <c r="JP30" s="54"/>
      <c r="JQ30" s="54"/>
      <c r="JR30" s="54"/>
      <c r="JS30" s="54"/>
      <c r="JT30" s="54"/>
      <c r="JU30" s="54"/>
      <c r="JV30" s="54"/>
      <c r="JW30" s="54"/>
      <c r="JX30" s="54"/>
      <c r="JY30" s="54"/>
      <c r="JZ30" s="54"/>
      <c r="KA30" s="54"/>
      <c r="KB30" s="54"/>
      <c r="KC30" s="54"/>
      <c r="KD30" s="54"/>
      <c r="KE30" s="54"/>
      <c r="KF30" s="54"/>
      <c r="KG30" s="54"/>
      <c r="KH30" s="54"/>
      <c r="KI30" s="54"/>
      <c r="KJ30" s="54"/>
      <c r="KK30" s="54"/>
      <c r="KL30" s="54"/>
      <c r="KM30" s="54"/>
      <c r="KN30" s="54"/>
      <c r="KO30" s="54"/>
      <c r="KP30" s="54"/>
      <c r="KQ30" s="54"/>
      <c r="KR30" s="54"/>
      <c r="KS30" s="54"/>
      <c r="KT30" s="54"/>
      <c r="KU30" s="54"/>
      <c r="KV30" s="54"/>
      <c r="KW30" s="54"/>
      <c r="KX30" s="54"/>
    </row>
    <row r="31" ht="5.25" customHeight="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M31" s="54"/>
      <c r="CN31" s="54"/>
      <c r="CO31" s="54"/>
      <c r="CP31" s="54"/>
      <c r="CQ31" s="54"/>
      <c r="CR31" s="54"/>
      <c r="CS31" s="54"/>
      <c r="CT31" s="54"/>
      <c r="CU31" s="54"/>
      <c r="CV31" s="54"/>
      <c r="CW31" s="54"/>
      <c r="CX31" s="54"/>
      <c r="CY31" s="54"/>
      <c r="CZ31" s="54"/>
      <c r="DA31" s="54"/>
      <c r="DB31" s="56"/>
      <c r="DC31" s="56"/>
      <c r="DD31" s="88"/>
      <c r="DE31" s="13"/>
      <c r="DF31" s="13"/>
      <c r="DG31" s="13"/>
      <c r="DH31" s="13"/>
      <c r="DI31" s="13"/>
      <c r="DJ31" s="13"/>
      <c r="DK31" s="13"/>
      <c r="DL31" s="13"/>
      <c r="DM31" s="13"/>
      <c r="DN31" s="14"/>
      <c r="DO31" s="12"/>
      <c r="DP31" s="13"/>
      <c r="DQ31" s="14"/>
      <c r="DR31" s="12"/>
      <c r="DS31" s="13"/>
      <c r="DT31" s="13"/>
      <c r="DU31" s="13"/>
      <c r="DV31" s="13"/>
      <c r="DW31" s="13"/>
      <c r="DX31" s="13"/>
      <c r="DY31" s="13"/>
      <c r="DZ31" s="13"/>
      <c r="EA31" s="13"/>
      <c r="EB31" s="13"/>
      <c r="EC31" s="13"/>
      <c r="ED31" s="13"/>
      <c r="EE31" s="13"/>
      <c r="EF31" s="13"/>
      <c r="EG31" s="14"/>
      <c r="EH31" s="12"/>
      <c r="EI31" s="13"/>
      <c r="EJ31" s="13"/>
      <c r="EK31" s="13"/>
      <c r="EL31" s="89"/>
      <c r="EM31" s="89"/>
      <c r="EN31" s="89"/>
      <c r="EO31" s="89"/>
      <c r="EP31" s="89"/>
      <c r="EQ31" s="89"/>
      <c r="ER31" s="89"/>
      <c r="ES31" s="89"/>
      <c r="ET31" s="89"/>
      <c r="EU31" s="13"/>
      <c r="EV31" s="13"/>
      <c r="EW31" s="14"/>
      <c r="EX31" s="12"/>
      <c r="EY31" s="13"/>
      <c r="EZ31" s="14"/>
      <c r="FA31" s="12"/>
      <c r="FB31" s="13"/>
      <c r="FC31" s="13"/>
      <c r="FD31" s="90"/>
      <c r="FE31" s="89"/>
      <c r="FF31" s="89"/>
      <c r="FG31" s="89"/>
      <c r="FH31" s="89"/>
      <c r="FI31" s="89"/>
      <c r="FJ31" s="89"/>
      <c r="FK31" s="91"/>
      <c r="FL31" s="56"/>
      <c r="FM31" s="56"/>
      <c r="FN31" s="54"/>
      <c r="FO31" s="54"/>
      <c r="FP31" s="54"/>
      <c r="FQ31" s="54"/>
      <c r="FR31" s="54"/>
      <c r="FS31" s="54"/>
      <c r="FT31" s="54"/>
      <c r="FU31" s="54"/>
      <c r="FV31" s="54"/>
      <c r="FW31" s="54"/>
      <c r="FX31" s="54"/>
      <c r="FY31" s="54"/>
      <c r="FZ31" s="54"/>
      <c r="GA31" s="54"/>
      <c r="GB31" s="54"/>
      <c r="GC31" s="54"/>
      <c r="GD31" s="54"/>
      <c r="GE31" s="54"/>
      <c r="GF31" s="54"/>
      <c r="GG31" s="54"/>
      <c r="GH31" s="54"/>
      <c r="GI31" s="54"/>
      <c r="GJ31" s="54"/>
      <c r="GK31" s="54"/>
      <c r="GL31" s="54"/>
      <c r="GM31" s="54"/>
      <c r="GN31" s="54"/>
      <c r="GO31" s="54"/>
      <c r="GP31" s="54"/>
      <c r="GQ31" s="54"/>
      <c r="GR31" s="54"/>
      <c r="GS31" s="54"/>
      <c r="GT31" s="54"/>
      <c r="GU31" s="54"/>
      <c r="GV31" s="54"/>
      <c r="GW31" s="54"/>
      <c r="GX31" s="54"/>
      <c r="GY31" s="54"/>
      <c r="GZ31" s="54"/>
      <c r="HA31" s="54"/>
      <c r="HB31" s="54"/>
      <c r="HC31" s="54"/>
      <c r="HD31" s="54"/>
      <c r="HE31" s="54"/>
      <c r="HF31" s="54"/>
      <c r="HG31" s="54"/>
      <c r="HH31" s="54"/>
      <c r="HI31" s="54"/>
      <c r="HJ31" s="54"/>
      <c r="HK31" s="54"/>
      <c r="HL31" s="54"/>
      <c r="HM31" s="54"/>
      <c r="HN31" s="54"/>
      <c r="HO31" s="54"/>
      <c r="HP31" s="54"/>
      <c r="HQ31" s="54"/>
      <c r="HR31" s="54"/>
      <c r="HS31" s="54"/>
      <c r="HT31" s="54"/>
      <c r="HU31" s="54"/>
      <c r="HV31" s="54"/>
      <c r="HW31" s="54"/>
      <c r="HX31" s="54"/>
      <c r="HY31" s="54"/>
      <c r="HZ31" s="54"/>
      <c r="IA31" s="54"/>
      <c r="IB31" s="54"/>
      <c r="IC31" s="54"/>
      <c r="ID31" s="54"/>
      <c r="IE31" s="54"/>
      <c r="IF31" s="54"/>
      <c r="IG31" s="54"/>
      <c r="IH31" s="54"/>
      <c r="II31" s="54"/>
      <c r="IJ31" s="54"/>
      <c r="IK31" s="54"/>
      <c r="IL31" s="54"/>
      <c r="IM31" s="54"/>
      <c r="IN31" s="54"/>
      <c r="IO31" s="54"/>
      <c r="IP31" s="54"/>
      <c r="IQ31" s="54"/>
      <c r="IR31" s="54"/>
      <c r="IS31" s="54"/>
      <c r="IT31" s="54"/>
      <c r="IU31" s="54"/>
      <c r="IV31" s="54"/>
      <c r="IW31" s="54"/>
      <c r="IX31" s="54"/>
      <c r="IY31" s="54"/>
      <c r="IZ31" s="54"/>
      <c r="JA31" s="54"/>
      <c r="JB31" s="54"/>
      <c r="JC31" s="54"/>
      <c r="JD31" s="54"/>
      <c r="JE31" s="54"/>
      <c r="JF31" s="54"/>
      <c r="JG31" s="54"/>
      <c r="JH31" s="54"/>
      <c r="JI31" s="54"/>
      <c r="JJ31" s="54"/>
      <c r="JK31" s="54"/>
      <c r="JL31" s="54"/>
      <c r="JM31" s="54"/>
      <c r="JN31" s="54"/>
      <c r="JO31" s="54"/>
      <c r="JP31" s="54"/>
      <c r="JQ31" s="54"/>
      <c r="JR31" s="54"/>
      <c r="JS31" s="54"/>
      <c r="JT31" s="54"/>
      <c r="JU31" s="54"/>
      <c r="JV31" s="54"/>
      <c r="JW31" s="54"/>
      <c r="JX31" s="54"/>
      <c r="JY31" s="54"/>
      <c r="JZ31" s="54"/>
      <c r="KA31" s="54"/>
      <c r="KB31" s="54"/>
      <c r="KC31" s="54"/>
      <c r="KD31" s="54"/>
      <c r="KE31" s="54"/>
      <c r="KF31" s="54"/>
      <c r="KG31" s="54"/>
      <c r="KH31" s="54"/>
      <c r="KI31" s="54"/>
      <c r="KJ31" s="54"/>
      <c r="KK31" s="54"/>
      <c r="KL31" s="54"/>
      <c r="KM31" s="54"/>
      <c r="KN31" s="54"/>
      <c r="KO31" s="54"/>
      <c r="KP31" s="54"/>
      <c r="KQ31" s="54"/>
      <c r="KR31" s="54"/>
      <c r="KS31" s="54"/>
      <c r="KT31" s="54"/>
      <c r="KU31" s="54"/>
      <c r="KV31" s="54"/>
      <c r="KW31" s="54"/>
      <c r="KX31" s="54"/>
    </row>
    <row r="32" ht="5.25" customHeight="1">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54"/>
      <c r="CE32" s="54"/>
      <c r="CF32" s="54"/>
      <c r="CG32" s="54"/>
      <c r="CH32" s="54"/>
      <c r="CI32" s="54"/>
      <c r="CJ32" s="54"/>
      <c r="CK32" s="54"/>
      <c r="CL32" s="54"/>
      <c r="CM32" s="54"/>
      <c r="CN32" s="54"/>
      <c r="CO32" s="54"/>
      <c r="CP32" s="54"/>
      <c r="CQ32" s="54"/>
      <c r="CR32" s="54"/>
      <c r="CS32" s="54"/>
      <c r="CT32" s="54"/>
      <c r="CU32" s="54"/>
      <c r="CV32" s="54"/>
      <c r="CW32" s="54"/>
      <c r="CX32" s="54"/>
      <c r="CY32" s="54"/>
      <c r="CZ32" s="54"/>
      <c r="DA32" s="54"/>
      <c r="DB32" s="56"/>
      <c r="DC32" s="56">
        <f>'Choose matchups (Main)'!Q7</f>
        <v>3</v>
      </c>
      <c r="DD32" s="92" t="str">
        <f t="array" ref="DD32">xlookup(DC32,data!$M$2:$M$17,data!$O$2:$O$17,"")</f>
        <v/>
      </c>
      <c r="DE32" s="8"/>
      <c r="DF32" s="8"/>
      <c r="DG32" s="8"/>
      <c r="DH32" s="93" t="str">
        <f t="array" ref="DH32">xlookup(DC32,data!$M$2:$M$17,data!$N$2:$N$17,"")</f>
        <v>Team 3 (Group 2)</v>
      </c>
      <c r="DI32" s="8"/>
      <c r="DJ32" s="8"/>
      <c r="DK32" s="8"/>
      <c r="DL32" s="8"/>
      <c r="DM32" s="8"/>
      <c r="DN32" s="8"/>
      <c r="DO32" s="8"/>
      <c r="DP32" s="8"/>
      <c r="DQ32" s="8"/>
      <c r="DR32" s="8"/>
      <c r="DS32" s="8"/>
      <c r="DT32" s="8"/>
      <c r="DU32" s="8"/>
      <c r="DV32" s="8"/>
      <c r="DW32" s="8"/>
      <c r="DX32" s="8"/>
      <c r="DY32" s="8"/>
      <c r="DZ32" s="8"/>
      <c r="EA32" s="8"/>
      <c r="EB32" s="8"/>
      <c r="EC32" s="8"/>
      <c r="ED32" s="94"/>
      <c r="EE32" s="8"/>
      <c r="EF32" s="8"/>
      <c r="EG32" s="9"/>
      <c r="EH32" s="95"/>
      <c r="EI32" s="8"/>
      <c r="EJ32" s="8"/>
      <c r="EK32" s="8"/>
      <c r="EL32" s="96" t="str">
        <f t="array" ref="EL32">xlookup(FL32,data!$M$2:$M$17,data!$N$2:$N$17,"")</f>
        <v>TBD</v>
      </c>
      <c r="EM32" s="8"/>
      <c r="EN32" s="8"/>
      <c r="EO32" s="8"/>
      <c r="EP32" s="8"/>
      <c r="EQ32" s="8"/>
      <c r="ER32" s="8"/>
      <c r="ES32" s="8"/>
      <c r="ET32" s="8"/>
      <c r="EU32" s="8"/>
      <c r="EV32" s="8"/>
      <c r="EW32" s="8"/>
      <c r="EX32" s="8"/>
      <c r="EY32" s="8"/>
      <c r="EZ32" s="8"/>
      <c r="FA32" s="8"/>
      <c r="FB32" s="8"/>
      <c r="FC32" s="8"/>
      <c r="FD32" s="8"/>
      <c r="FE32" s="8"/>
      <c r="FF32" s="8"/>
      <c r="FG32" s="8"/>
      <c r="FH32" s="97" t="str">
        <f t="array" ref="FH32">xlookup(FL32,data!$M$2:$M$17,data!$O$2:$O$17,"")</f>
        <v/>
      </c>
      <c r="FI32" s="8"/>
      <c r="FJ32" s="8"/>
      <c r="FK32" s="98"/>
      <c r="FL32" s="77">
        <f t="array" ref="FL32">xlookup(DC32,data!$M$2:$M$17,data!$P$2:$P$17,"")</f>
        <v>9</v>
      </c>
      <c r="FM32" s="56"/>
      <c r="FN32" s="54"/>
      <c r="FO32" s="54"/>
      <c r="FP32" s="54"/>
      <c r="FQ32" s="54"/>
      <c r="FR32" s="54"/>
      <c r="FS32" s="54"/>
      <c r="FT32" s="54"/>
      <c r="FU32" s="54"/>
      <c r="FV32" s="54"/>
      <c r="FW32" s="54"/>
      <c r="FX32" s="54"/>
      <c r="FY32" s="54"/>
      <c r="FZ32" s="54"/>
      <c r="GA32" s="54"/>
      <c r="GB32" s="54"/>
      <c r="GC32" s="54"/>
      <c r="GD32" s="54"/>
      <c r="GE32" s="54"/>
      <c r="GF32" s="54"/>
      <c r="GG32" s="54"/>
      <c r="GH32" s="54"/>
      <c r="GI32" s="54"/>
      <c r="GJ32" s="54"/>
      <c r="GK32" s="54"/>
      <c r="GL32" s="54"/>
      <c r="GM32" s="54"/>
      <c r="GN32" s="54"/>
      <c r="GO32" s="54"/>
      <c r="GP32" s="54"/>
      <c r="GQ32" s="54"/>
      <c r="GR32" s="54"/>
      <c r="GS32" s="54"/>
      <c r="GT32" s="54"/>
      <c r="GU32" s="54"/>
      <c r="GV32" s="54"/>
      <c r="GW32" s="54"/>
      <c r="GX32" s="54"/>
      <c r="GY32" s="54"/>
      <c r="GZ32" s="54"/>
      <c r="HA32" s="54"/>
      <c r="HB32" s="54"/>
      <c r="HC32" s="54"/>
      <c r="HD32" s="54"/>
      <c r="HE32" s="54"/>
      <c r="HF32" s="54"/>
      <c r="HG32" s="54"/>
      <c r="HH32" s="54"/>
      <c r="HI32" s="54"/>
      <c r="HJ32" s="54"/>
      <c r="HK32" s="54"/>
      <c r="HL32" s="54"/>
      <c r="HM32" s="54"/>
      <c r="HN32" s="54"/>
      <c r="HO32" s="54"/>
      <c r="HP32" s="54"/>
      <c r="HQ32" s="54"/>
      <c r="HR32" s="54"/>
      <c r="HS32" s="54"/>
      <c r="HT32" s="54"/>
      <c r="HU32" s="54"/>
      <c r="HV32" s="54"/>
      <c r="HW32" s="54"/>
      <c r="HX32" s="54"/>
      <c r="HY32" s="54"/>
      <c r="HZ32" s="54"/>
      <c r="IA32" s="54"/>
      <c r="IB32" s="54"/>
      <c r="IC32" s="54"/>
      <c r="ID32" s="54"/>
      <c r="IE32" s="54"/>
      <c r="IF32" s="54"/>
      <c r="IG32" s="54"/>
      <c r="IH32" s="54"/>
      <c r="II32" s="54"/>
      <c r="IJ32" s="54"/>
      <c r="IK32" s="54"/>
      <c r="IL32" s="54"/>
      <c r="IM32" s="54"/>
      <c r="IN32" s="54"/>
      <c r="IO32" s="54"/>
      <c r="IP32" s="54"/>
      <c r="IQ32" s="54"/>
      <c r="IR32" s="54"/>
      <c r="IS32" s="54"/>
      <c r="IT32" s="54"/>
      <c r="IU32" s="54"/>
      <c r="IV32" s="54"/>
      <c r="IW32" s="54"/>
      <c r="IX32" s="54"/>
      <c r="IY32" s="54"/>
      <c r="IZ32" s="54"/>
      <c r="JA32" s="54"/>
      <c r="JB32" s="54"/>
      <c r="JC32" s="54"/>
      <c r="JD32" s="54"/>
      <c r="JE32" s="54"/>
      <c r="JF32" s="54"/>
      <c r="JG32" s="54"/>
      <c r="JH32" s="54"/>
      <c r="JI32" s="54"/>
      <c r="JJ32" s="54"/>
      <c r="JK32" s="54"/>
      <c r="JL32" s="54"/>
      <c r="JM32" s="54"/>
      <c r="JN32" s="54"/>
      <c r="JO32" s="54"/>
      <c r="JP32" s="54"/>
      <c r="JQ32" s="54"/>
      <c r="JR32" s="54"/>
      <c r="JS32" s="54"/>
      <c r="JT32" s="54"/>
      <c r="JU32" s="54"/>
      <c r="JV32" s="54"/>
      <c r="JW32" s="54"/>
      <c r="JX32" s="54"/>
      <c r="JY32" s="54"/>
      <c r="JZ32" s="54"/>
      <c r="KA32" s="54"/>
      <c r="KB32" s="54"/>
      <c r="KC32" s="54"/>
      <c r="KD32" s="54"/>
      <c r="KE32" s="54"/>
      <c r="KF32" s="54"/>
      <c r="KG32" s="54"/>
      <c r="KH32" s="54"/>
      <c r="KI32" s="54"/>
      <c r="KJ32" s="54"/>
      <c r="KK32" s="54"/>
      <c r="KL32" s="54"/>
      <c r="KM32" s="54"/>
      <c r="KN32" s="54"/>
      <c r="KO32" s="54"/>
      <c r="KP32" s="54"/>
      <c r="KQ32" s="54"/>
      <c r="KR32" s="54"/>
      <c r="KS32" s="54"/>
      <c r="KT32" s="54"/>
      <c r="KU32" s="54"/>
      <c r="KV32" s="54"/>
      <c r="KW32" s="54"/>
      <c r="KX32" s="54"/>
    </row>
    <row r="33" ht="5.25" customHeight="1">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M33" s="54"/>
      <c r="CN33" s="54"/>
      <c r="CO33" s="54"/>
      <c r="CP33" s="54"/>
      <c r="CQ33" s="54"/>
      <c r="CR33" s="54"/>
      <c r="CS33" s="54"/>
      <c r="CT33" s="54"/>
      <c r="CU33" s="54"/>
      <c r="CV33" s="54"/>
      <c r="CW33" s="54"/>
      <c r="CX33" s="54"/>
      <c r="CY33" s="54"/>
      <c r="CZ33" s="54"/>
      <c r="DA33" s="54"/>
      <c r="DB33" s="56"/>
      <c r="DC33" s="56"/>
      <c r="DD33" s="60"/>
      <c r="EG33" s="11"/>
      <c r="EH33" s="10"/>
      <c r="FK33" s="61"/>
      <c r="FL33" s="56"/>
      <c r="FM33" s="56"/>
      <c r="FN33" s="54"/>
      <c r="FO33" s="54"/>
      <c r="FP33" s="54"/>
      <c r="FQ33" s="54"/>
      <c r="FR33" s="54"/>
      <c r="FS33" s="54"/>
      <c r="FT33" s="54"/>
      <c r="FU33" s="54"/>
      <c r="FV33" s="54"/>
      <c r="FW33" s="54"/>
      <c r="FX33" s="54"/>
      <c r="FY33" s="54"/>
      <c r="FZ33" s="54"/>
      <c r="GA33" s="54"/>
      <c r="GB33" s="54"/>
      <c r="GC33" s="54"/>
      <c r="GD33" s="54"/>
      <c r="GE33" s="54"/>
      <c r="GF33" s="54"/>
      <c r="GG33" s="54"/>
      <c r="GH33" s="54"/>
      <c r="GI33" s="54"/>
      <c r="GJ33" s="54"/>
      <c r="GK33" s="54"/>
      <c r="GL33" s="54"/>
      <c r="GM33" s="54"/>
      <c r="GN33" s="54"/>
      <c r="GO33" s="54"/>
      <c r="GP33" s="54"/>
      <c r="GQ33" s="54"/>
      <c r="GR33" s="54"/>
      <c r="GS33" s="54"/>
      <c r="GT33" s="54"/>
      <c r="GU33" s="54"/>
      <c r="GV33" s="54"/>
      <c r="GW33" s="54"/>
      <c r="GX33" s="54"/>
      <c r="GY33" s="54"/>
      <c r="GZ33" s="54"/>
      <c r="HA33" s="54"/>
      <c r="HB33" s="54"/>
      <c r="HC33" s="54"/>
      <c r="HD33" s="54"/>
      <c r="HE33" s="54"/>
      <c r="HF33" s="54"/>
      <c r="HG33" s="54"/>
      <c r="HH33" s="54"/>
      <c r="HI33" s="54"/>
      <c r="HJ33" s="54"/>
      <c r="HK33" s="54"/>
      <c r="HL33" s="54"/>
      <c r="HM33" s="54"/>
      <c r="HN33" s="54"/>
      <c r="HO33" s="54"/>
      <c r="HP33" s="54"/>
      <c r="HQ33" s="54"/>
      <c r="HR33" s="54"/>
      <c r="HS33" s="54"/>
      <c r="HT33" s="54"/>
      <c r="HU33" s="54"/>
      <c r="HV33" s="54"/>
      <c r="HW33" s="54"/>
      <c r="HX33" s="54"/>
      <c r="HY33" s="54"/>
      <c r="HZ33" s="54"/>
      <c r="IA33" s="54"/>
      <c r="IB33" s="54"/>
      <c r="IC33" s="54"/>
      <c r="ID33" s="54"/>
      <c r="IE33" s="54"/>
      <c r="IF33" s="54"/>
      <c r="IG33" s="54"/>
      <c r="IH33" s="54"/>
      <c r="II33" s="54"/>
      <c r="IJ33" s="54"/>
      <c r="IK33" s="54"/>
      <c r="IL33" s="54"/>
      <c r="IM33" s="54"/>
      <c r="IN33" s="54"/>
      <c r="IO33" s="54"/>
      <c r="IP33" s="54"/>
      <c r="IQ33" s="54"/>
      <c r="IR33" s="54"/>
      <c r="IS33" s="54"/>
      <c r="IT33" s="54"/>
      <c r="IU33" s="54"/>
      <c r="IV33" s="54"/>
      <c r="IW33" s="54"/>
      <c r="IX33" s="54"/>
      <c r="IY33" s="54"/>
      <c r="IZ33" s="54"/>
      <c r="JA33" s="54"/>
      <c r="JB33" s="54"/>
      <c r="JC33" s="54"/>
      <c r="JD33" s="54"/>
      <c r="JE33" s="54"/>
      <c r="JF33" s="54"/>
      <c r="JG33" s="54"/>
      <c r="JH33" s="54"/>
      <c r="JI33" s="54"/>
      <c r="JJ33" s="54"/>
      <c r="JK33" s="54"/>
      <c r="JL33" s="54"/>
      <c r="JM33" s="54"/>
      <c r="JN33" s="54"/>
      <c r="JO33" s="54"/>
      <c r="JP33" s="54"/>
      <c r="JQ33" s="54"/>
      <c r="JR33" s="54"/>
      <c r="JS33" s="54"/>
      <c r="JT33" s="54"/>
      <c r="JU33" s="54"/>
      <c r="JV33" s="54"/>
      <c r="JW33" s="54"/>
      <c r="JX33" s="54"/>
      <c r="JY33" s="54"/>
      <c r="JZ33" s="54"/>
      <c r="KA33" s="54"/>
      <c r="KB33" s="54"/>
      <c r="KC33" s="54"/>
      <c r="KD33" s="54"/>
      <c r="KE33" s="54"/>
      <c r="KF33" s="54"/>
      <c r="KG33" s="54"/>
      <c r="KH33" s="54"/>
      <c r="KI33" s="54"/>
      <c r="KJ33" s="54"/>
      <c r="KK33" s="54"/>
      <c r="KL33" s="54"/>
      <c r="KM33" s="54"/>
      <c r="KN33" s="54"/>
      <c r="KO33" s="54"/>
      <c r="KP33" s="54"/>
      <c r="KQ33" s="54"/>
      <c r="KR33" s="54"/>
      <c r="KS33" s="54"/>
      <c r="KT33" s="54"/>
      <c r="KU33" s="54"/>
      <c r="KV33" s="54"/>
      <c r="KW33" s="54"/>
      <c r="KX33" s="54"/>
    </row>
    <row r="34" ht="5.25" customHeight="1">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c r="CO34" s="54"/>
      <c r="CP34" s="54"/>
      <c r="CQ34" s="54"/>
      <c r="CR34" s="54"/>
      <c r="CS34" s="54"/>
      <c r="CT34" s="54"/>
      <c r="CU34" s="54"/>
      <c r="CV34" s="54"/>
      <c r="CW34" s="54"/>
      <c r="CX34" s="54"/>
      <c r="CY34" s="54"/>
      <c r="CZ34" s="54"/>
      <c r="DA34" s="54"/>
      <c r="DB34" s="56"/>
      <c r="DC34" s="56"/>
      <c r="DD34" s="60"/>
      <c r="EG34" s="11"/>
      <c r="EH34" s="10"/>
      <c r="FK34" s="61"/>
      <c r="FL34" s="56"/>
      <c r="FM34" s="56"/>
      <c r="FN34" s="54"/>
      <c r="FO34" s="54"/>
      <c r="FP34" s="54"/>
      <c r="FQ34" s="54"/>
      <c r="FR34" s="54"/>
      <c r="FS34" s="54"/>
      <c r="FT34" s="54"/>
      <c r="FU34" s="54"/>
      <c r="FV34" s="54"/>
      <c r="FW34" s="54"/>
      <c r="FX34" s="54"/>
      <c r="FY34" s="54"/>
      <c r="FZ34" s="54"/>
      <c r="GA34" s="54"/>
      <c r="GB34" s="54"/>
      <c r="GC34" s="54"/>
      <c r="GD34" s="54"/>
      <c r="GE34" s="54"/>
      <c r="GF34" s="54"/>
      <c r="GG34" s="54"/>
      <c r="GH34" s="54"/>
      <c r="GI34" s="54"/>
      <c r="GJ34" s="54"/>
      <c r="GK34" s="54"/>
      <c r="GL34" s="54"/>
      <c r="GM34" s="54"/>
      <c r="GN34" s="54"/>
      <c r="GO34" s="54"/>
      <c r="GP34" s="54"/>
      <c r="GQ34" s="54"/>
      <c r="GR34" s="54"/>
      <c r="GS34" s="54"/>
      <c r="GT34" s="54"/>
      <c r="GU34" s="54"/>
      <c r="GV34" s="54"/>
      <c r="GW34" s="54"/>
      <c r="GX34" s="54"/>
      <c r="GY34" s="54"/>
      <c r="GZ34" s="54"/>
      <c r="HA34" s="54"/>
      <c r="HB34" s="54"/>
      <c r="HC34" s="54"/>
      <c r="HD34" s="54"/>
      <c r="HE34" s="54"/>
      <c r="HF34" s="54"/>
      <c r="HG34" s="54"/>
      <c r="HH34" s="54"/>
      <c r="HI34" s="54"/>
      <c r="HJ34" s="54"/>
      <c r="HK34" s="54"/>
      <c r="HL34" s="54"/>
      <c r="HM34" s="54"/>
      <c r="HN34" s="54"/>
      <c r="HO34" s="54"/>
      <c r="HP34" s="54"/>
      <c r="HQ34" s="54"/>
      <c r="HR34" s="54"/>
      <c r="HS34" s="54"/>
      <c r="HT34" s="54"/>
      <c r="HU34" s="54"/>
      <c r="HV34" s="54"/>
      <c r="HW34" s="54"/>
      <c r="HX34" s="54"/>
      <c r="HY34" s="54"/>
      <c r="HZ34" s="54"/>
      <c r="IA34" s="54"/>
      <c r="IB34" s="54"/>
      <c r="IC34" s="54"/>
      <c r="ID34" s="54"/>
      <c r="IE34" s="54"/>
      <c r="IF34" s="54"/>
      <c r="IG34" s="54"/>
      <c r="IH34" s="54"/>
      <c r="II34" s="54"/>
      <c r="IJ34" s="54"/>
      <c r="IK34" s="54"/>
      <c r="IL34" s="54"/>
      <c r="IM34" s="54"/>
      <c r="IN34" s="54"/>
      <c r="IO34" s="54"/>
      <c r="IP34" s="54"/>
      <c r="IQ34" s="54"/>
      <c r="IR34" s="54"/>
      <c r="IS34" s="54"/>
      <c r="IT34" s="54"/>
      <c r="IU34" s="54"/>
      <c r="IV34" s="54"/>
      <c r="IW34" s="54"/>
      <c r="IX34" s="54"/>
      <c r="IY34" s="54"/>
      <c r="IZ34" s="54"/>
      <c r="JA34" s="54"/>
      <c r="JB34" s="54"/>
      <c r="JC34" s="54"/>
      <c r="JD34" s="54"/>
      <c r="JE34" s="54"/>
      <c r="JF34" s="54"/>
      <c r="JG34" s="54"/>
      <c r="JH34" s="54"/>
      <c r="JI34" s="54"/>
      <c r="JJ34" s="54"/>
      <c r="JK34" s="54"/>
      <c r="JL34" s="54"/>
      <c r="JM34" s="54"/>
      <c r="JN34" s="54"/>
      <c r="JO34" s="54"/>
      <c r="JP34" s="54"/>
      <c r="JQ34" s="54"/>
      <c r="JR34" s="54"/>
      <c r="JS34" s="54"/>
      <c r="JT34" s="54"/>
      <c r="JU34" s="54"/>
      <c r="JV34" s="54"/>
      <c r="JW34" s="54"/>
      <c r="JX34" s="54"/>
      <c r="JY34" s="54"/>
      <c r="JZ34" s="54"/>
      <c r="KA34" s="54"/>
      <c r="KB34" s="54"/>
      <c r="KC34" s="54"/>
      <c r="KD34" s="54"/>
      <c r="KE34" s="54"/>
      <c r="KF34" s="54"/>
      <c r="KG34" s="54"/>
      <c r="KH34" s="54"/>
      <c r="KI34" s="54"/>
      <c r="KJ34" s="54"/>
      <c r="KK34" s="54"/>
      <c r="KL34" s="54"/>
      <c r="KM34" s="54"/>
      <c r="KN34" s="54"/>
      <c r="KO34" s="54"/>
      <c r="KP34" s="54"/>
      <c r="KQ34" s="54"/>
      <c r="KR34" s="54"/>
      <c r="KS34" s="54"/>
      <c r="KT34" s="54"/>
      <c r="KU34" s="54"/>
      <c r="KV34" s="54"/>
      <c r="KW34" s="54"/>
      <c r="KX34" s="54"/>
    </row>
    <row r="35" ht="5.25" customHeight="1">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c r="DA35" s="54"/>
      <c r="DB35" s="56"/>
      <c r="DC35" s="56"/>
      <c r="DD35" s="60"/>
      <c r="EG35" s="11"/>
      <c r="EH35" s="10"/>
      <c r="FK35" s="61"/>
      <c r="FL35" s="56"/>
      <c r="FM35" s="56"/>
      <c r="FN35" s="54"/>
      <c r="FO35" s="54"/>
      <c r="FP35" s="54"/>
      <c r="FQ35" s="54"/>
      <c r="FR35" s="54"/>
      <c r="FS35" s="54"/>
      <c r="FT35" s="54"/>
      <c r="FU35" s="54"/>
      <c r="FV35" s="54"/>
      <c r="FW35" s="54"/>
      <c r="FX35" s="54"/>
      <c r="FY35" s="54"/>
      <c r="FZ35" s="54"/>
      <c r="GA35" s="54"/>
      <c r="GB35" s="54"/>
      <c r="GC35" s="54"/>
      <c r="GD35" s="54"/>
      <c r="GE35" s="54"/>
      <c r="GF35" s="54"/>
      <c r="GG35" s="54"/>
      <c r="GH35" s="54"/>
      <c r="GI35" s="54"/>
      <c r="GJ35" s="54"/>
      <c r="GK35" s="54"/>
      <c r="GL35" s="54"/>
      <c r="GM35" s="54"/>
      <c r="GN35" s="54"/>
      <c r="GO35" s="54"/>
      <c r="GP35" s="54"/>
      <c r="GQ35" s="54"/>
      <c r="GR35" s="54"/>
      <c r="GS35" s="54"/>
      <c r="GT35" s="54"/>
      <c r="GU35" s="54"/>
      <c r="GV35" s="54"/>
      <c r="GW35" s="54"/>
      <c r="GX35" s="54"/>
      <c r="GY35" s="54"/>
      <c r="GZ35" s="54"/>
      <c r="HA35" s="54"/>
      <c r="HB35" s="54"/>
      <c r="HC35" s="54"/>
      <c r="HD35" s="54"/>
      <c r="HE35" s="54"/>
      <c r="HF35" s="54"/>
      <c r="HG35" s="54"/>
      <c r="HH35" s="54"/>
      <c r="HI35" s="54"/>
      <c r="HJ35" s="54"/>
      <c r="HK35" s="54"/>
      <c r="HL35" s="54"/>
      <c r="HM35" s="54"/>
      <c r="HN35" s="54"/>
      <c r="HO35" s="54"/>
      <c r="HP35" s="54"/>
      <c r="HQ35" s="54"/>
      <c r="HR35" s="54"/>
      <c r="HS35" s="54"/>
      <c r="HT35" s="54"/>
      <c r="HU35" s="54"/>
      <c r="HV35" s="54"/>
      <c r="HW35" s="54"/>
      <c r="HX35" s="54"/>
      <c r="HY35" s="54"/>
      <c r="HZ35" s="54"/>
      <c r="IA35" s="54"/>
      <c r="IB35" s="54"/>
      <c r="IC35" s="54"/>
      <c r="ID35" s="54"/>
      <c r="IE35" s="54"/>
      <c r="IF35" s="54"/>
      <c r="IG35" s="54"/>
      <c r="IH35" s="54"/>
      <c r="II35" s="54"/>
      <c r="IJ35" s="54"/>
      <c r="IK35" s="54"/>
      <c r="IL35" s="54"/>
      <c r="IM35" s="54"/>
      <c r="IN35" s="54"/>
      <c r="IO35" s="54"/>
      <c r="IP35" s="54"/>
      <c r="IQ35" s="54"/>
      <c r="IR35" s="54"/>
      <c r="IS35" s="54"/>
      <c r="IT35" s="54"/>
      <c r="IU35" s="54"/>
      <c r="IV35" s="54"/>
      <c r="IW35" s="54"/>
      <c r="IX35" s="54"/>
      <c r="IY35" s="54"/>
      <c r="IZ35" s="54"/>
      <c r="JA35" s="54"/>
      <c r="JB35" s="54"/>
      <c r="JC35" s="54"/>
      <c r="JD35" s="54"/>
      <c r="JE35" s="54"/>
      <c r="JF35" s="54"/>
      <c r="JG35" s="54"/>
      <c r="JH35" s="54"/>
      <c r="JI35" s="54"/>
      <c r="JJ35" s="54"/>
      <c r="JK35" s="54"/>
      <c r="JL35" s="54"/>
      <c r="JM35" s="54"/>
      <c r="JN35" s="54"/>
      <c r="JO35" s="54"/>
      <c r="JP35" s="54"/>
      <c r="JQ35" s="54"/>
      <c r="JR35" s="54"/>
      <c r="JS35" s="54"/>
      <c r="JT35" s="54"/>
      <c r="JU35" s="54"/>
      <c r="JV35" s="54"/>
      <c r="JW35" s="54"/>
      <c r="JX35" s="54"/>
      <c r="JY35" s="54"/>
      <c r="JZ35" s="54"/>
      <c r="KA35" s="54"/>
      <c r="KB35" s="54"/>
      <c r="KC35" s="54"/>
      <c r="KD35" s="54"/>
      <c r="KE35" s="54"/>
      <c r="KF35" s="54"/>
      <c r="KG35" s="54"/>
      <c r="KH35" s="54"/>
      <c r="KI35" s="54"/>
      <c r="KJ35" s="54"/>
      <c r="KK35" s="54"/>
      <c r="KL35" s="54"/>
      <c r="KM35" s="54"/>
      <c r="KN35" s="54"/>
      <c r="KO35" s="54"/>
      <c r="KP35" s="54"/>
      <c r="KQ35" s="54"/>
      <c r="KR35" s="54"/>
      <c r="KS35" s="54"/>
      <c r="KT35" s="54"/>
      <c r="KU35" s="54"/>
      <c r="KV35" s="54"/>
      <c r="KW35" s="54"/>
      <c r="KX35" s="54"/>
    </row>
    <row r="36" ht="5.25" customHeight="1">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54"/>
      <c r="CE36" s="54"/>
      <c r="CF36" s="54"/>
      <c r="CG36" s="54"/>
      <c r="CH36" s="54"/>
      <c r="CI36" s="54"/>
      <c r="CJ36" s="54"/>
      <c r="CK36" s="54"/>
      <c r="CL36" s="54"/>
      <c r="CM36" s="54"/>
      <c r="CN36" s="54"/>
      <c r="CO36" s="54"/>
      <c r="CP36" s="54"/>
      <c r="CQ36" s="54"/>
      <c r="CR36" s="54"/>
      <c r="CS36" s="54"/>
      <c r="CT36" s="54"/>
      <c r="CU36" s="54"/>
      <c r="CV36" s="54"/>
      <c r="CW36" s="54"/>
      <c r="CX36" s="54"/>
      <c r="CY36" s="54"/>
      <c r="CZ36" s="54"/>
      <c r="DA36" s="54"/>
      <c r="DB36" s="56"/>
      <c r="DC36" s="56">
        <f>DC32</f>
        <v>3</v>
      </c>
      <c r="DD36" s="64"/>
      <c r="DL36" s="83"/>
      <c r="DN36" s="11"/>
      <c r="DO36" s="84"/>
      <c r="DQ36" s="11"/>
      <c r="DR36" s="84"/>
      <c r="DU36" s="54"/>
      <c r="ED36" s="85">
        <f>sum(DL36:DT38)</f>
        <v>0</v>
      </c>
      <c r="EG36" s="11"/>
      <c r="EH36" s="86">
        <f>sum(EU36:FC38)</f>
        <v>0</v>
      </c>
      <c r="EL36" s="54"/>
      <c r="EM36" s="54"/>
      <c r="EN36" s="54"/>
      <c r="EO36" s="54"/>
      <c r="EP36" s="54"/>
      <c r="EQ36" s="54"/>
      <c r="ER36" s="54"/>
      <c r="ES36" s="54"/>
      <c r="ET36" s="54"/>
      <c r="EU36" s="83"/>
      <c r="EW36" s="11"/>
      <c r="EX36" s="87"/>
      <c r="EZ36" s="11"/>
      <c r="FA36" s="84"/>
      <c r="FD36" s="68"/>
      <c r="FE36" s="54"/>
      <c r="FF36" s="54"/>
      <c r="FG36" s="54"/>
      <c r="FH36" s="54"/>
      <c r="FI36" s="54"/>
      <c r="FJ36" s="54"/>
      <c r="FK36" s="69"/>
      <c r="FL36" s="56">
        <f>FL32</f>
        <v>9</v>
      </c>
      <c r="FM36" s="56"/>
      <c r="FN36" s="54"/>
      <c r="FO36" s="54"/>
      <c r="FP36" s="54"/>
      <c r="FQ36" s="54"/>
      <c r="FR36" s="54"/>
      <c r="FS36" s="54"/>
      <c r="FT36" s="54"/>
      <c r="FU36" s="54"/>
      <c r="FV36" s="54"/>
      <c r="FW36" s="54"/>
      <c r="FX36" s="54"/>
      <c r="FY36" s="54"/>
      <c r="FZ36" s="54"/>
      <c r="GA36" s="54"/>
      <c r="GB36" s="54"/>
      <c r="GC36" s="54"/>
      <c r="GD36" s="54"/>
      <c r="GE36" s="54"/>
      <c r="GF36" s="54"/>
      <c r="GG36" s="54"/>
      <c r="GH36" s="54"/>
      <c r="GI36" s="54"/>
      <c r="GJ36" s="54"/>
      <c r="GK36" s="54"/>
      <c r="GL36" s="54"/>
      <c r="GM36" s="54"/>
      <c r="GN36" s="54"/>
      <c r="GO36" s="54"/>
      <c r="GP36" s="54"/>
      <c r="GQ36" s="54"/>
      <c r="GR36" s="54"/>
      <c r="GS36" s="54"/>
      <c r="GT36" s="54"/>
      <c r="GU36" s="54"/>
      <c r="GV36" s="54"/>
      <c r="GW36" s="54"/>
      <c r="GX36" s="54"/>
      <c r="GY36" s="54"/>
      <c r="GZ36" s="54"/>
      <c r="HA36" s="54"/>
      <c r="HB36" s="54"/>
      <c r="HC36" s="54"/>
      <c r="HD36" s="54"/>
      <c r="HE36" s="54"/>
      <c r="HF36" s="54"/>
      <c r="HG36" s="54"/>
      <c r="HH36" s="54"/>
      <c r="HI36" s="54"/>
      <c r="HJ36" s="54"/>
      <c r="HK36" s="54"/>
      <c r="HL36" s="54"/>
      <c r="HM36" s="54"/>
      <c r="HN36" s="54"/>
      <c r="HO36" s="54"/>
      <c r="HP36" s="54"/>
      <c r="HQ36" s="54"/>
      <c r="HR36" s="54"/>
      <c r="HS36" s="54"/>
      <c r="HT36" s="54"/>
      <c r="HU36" s="54"/>
      <c r="HV36" s="54"/>
      <c r="HW36" s="54"/>
      <c r="HX36" s="54"/>
      <c r="HY36" s="54"/>
      <c r="HZ36" s="54"/>
      <c r="IA36" s="54"/>
      <c r="IB36" s="54"/>
      <c r="IC36" s="54"/>
      <c r="ID36" s="54"/>
      <c r="IE36" s="54"/>
      <c r="IF36" s="54"/>
      <c r="IG36" s="54"/>
      <c r="IH36" s="54"/>
      <c r="II36" s="54"/>
      <c r="IJ36" s="54"/>
      <c r="IK36" s="54"/>
      <c r="IL36" s="54"/>
      <c r="IM36" s="54"/>
      <c r="IN36" s="54"/>
      <c r="IO36" s="54"/>
      <c r="IP36" s="54"/>
      <c r="IQ36" s="54"/>
      <c r="IR36" s="54"/>
      <c r="IS36" s="54"/>
      <c r="IT36" s="54"/>
      <c r="IU36" s="54"/>
      <c r="IV36" s="54"/>
      <c r="IW36" s="54"/>
      <c r="IX36" s="54"/>
      <c r="IY36" s="54"/>
      <c r="IZ36" s="54"/>
      <c r="JA36" s="54"/>
      <c r="JB36" s="54"/>
      <c r="JC36" s="54"/>
      <c r="JD36" s="54"/>
      <c r="JE36" s="54"/>
      <c r="JF36" s="54"/>
      <c r="JG36" s="54"/>
      <c r="JH36" s="54"/>
      <c r="JI36" s="54"/>
      <c r="JJ36" s="54"/>
      <c r="JK36" s="54"/>
      <c r="JL36" s="54"/>
      <c r="JM36" s="54"/>
      <c r="JN36" s="54"/>
      <c r="JO36" s="54"/>
      <c r="JP36" s="54"/>
      <c r="JQ36" s="54"/>
      <c r="JR36" s="54"/>
      <c r="JS36" s="54"/>
      <c r="JT36" s="54"/>
      <c r="JU36" s="54"/>
      <c r="JV36" s="54"/>
      <c r="JW36" s="54"/>
      <c r="JX36" s="54"/>
      <c r="JY36" s="54"/>
      <c r="JZ36" s="54"/>
      <c r="KA36" s="54"/>
      <c r="KB36" s="54"/>
      <c r="KC36" s="54"/>
      <c r="KD36" s="54"/>
      <c r="KE36" s="54"/>
      <c r="KF36" s="54"/>
      <c r="KG36" s="54"/>
      <c r="KH36" s="54"/>
      <c r="KI36" s="54"/>
      <c r="KJ36" s="54"/>
      <c r="KK36" s="54"/>
      <c r="KL36" s="54"/>
      <c r="KM36" s="54"/>
      <c r="KN36" s="54"/>
      <c r="KO36" s="54"/>
      <c r="KP36" s="54"/>
      <c r="KQ36" s="54"/>
      <c r="KR36" s="54"/>
      <c r="KS36" s="54"/>
      <c r="KT36" s="54"/>
      <c r="KU36" s="54"/>
      <c r="KV36" s="54"/>
      <c r="KW36" s="54"/>
      <c r="KX36" s="54"/>
    </row>
    <row r="37" ht="5.25" customHeight="1">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c r="CA37" s="54"/>
      <c r="CB37" s="54"/>
      <c r="CC37" s="54"/>
      <c r="CD37" s="54"/>
      <c r="CE37" s="54"/>
      <c r="CF37" s="54"/>
      <c r="CG37" s="54"/>
      <c r="CH37" s="54"/>
      <c r="CI37" s="54"/>
      <c r="CJ37" s="54"/>
      <c r="CK37" s="54"/>
      <c r="CL37" s="54"/>
      <c r="CM37" s="54"/>
      <c r="CN37" s="54"/>
      <c r="CO37" s="54"/>
      <c r="CP37" s="54"/>
      <c r="CQ37" s="54"/>
      <c r="CR37" s="54"/>
      <c r="CS37" s="54"/>
      <c r="CT37" s="54"/>
      <c r="CU37" s="54"/>
      <c r="CV37" s="54"/>
      <c r="CW37" s="54"/>
      <c r="CX37" s="54"/>
      <c r="CY37" s="54"/>
      <c r="CZ37" s="54"/>
      <c r="DA37" s="54"/>
      <c r="DB37" s="56"/>
      <c r="DC37" s="56"/>
      <c r="DD37" s="60"/>
      <c r="DN37" s="11"/>
      <c r="DO37" s="10"/>
      <c r="DQ37" s="11"/>
      <c r="DR37" s="10"/>
      <c r="EG37" s="11"/>
      <c r="EH37" s="10"/>
      <c r="EL37" s="54"/>
      <c r="EM37" s="54"/>
      <c r="EN37" s="54"/>
      <c r="EO37" s="54"/>
      <c r="EP37" s="54"/>
      <c r="EQ37" s="54"/>
      <c r="ER37" s="54"/>
      <c r="ES37" s="54"/>
      <c r="ET37" s="54"/>
      <c r="EW37" s="11"/>
      <c r="EX37" s="10"/>
      <c r="EZ37" s="11"/>
      <c r="FA37" s="10"/>
      <c r="FD37" s="68"/>
      <c r="FE37" s="54"/>
      <c r="FF37" s="54"/>
      <c r="FG37" s="54"/>
      <c r="FH37" s="54"/>
      <c r="FI37" s="54"/>
      <c r="FJ37" s="54"/>
      <c r="FK37" s="69"/>
      <c r="FL37" s="56"/>
      <c r="FM37" s="56"/>
      <c r="FN37" s="54"/>
      <c r="FO37" s="54"/>
      <c r="FP37" s="54"/>
      <c r="FQ37" s="54"/>
      <c r="FR37" s="54"/>
      <c r="FS37" s="54"/>
      <c r="FT37" s="54"/>
      <c r="FU37" s="54"/>
      <c r="FV37" s="54"/>
      <c r="FW37" s="54"/>
      <c r="FX37" s="54"/>
      <c r="FY37" s="54"/>
      <c r="FZ37" s="54"/>
      <c r="GA37" s="54"/>
      <c r="GB37" s="54"/>
      <c r="GC37" s="54"/>
      <c r="GD37" s="54"/>
      <c r="GE37" s="54"/>
      <c r="GF37" s="54"/>
      <c r="GG37" s="54"/>
      <c r="GH37" s="54"/>
      <c r="GI37" s="54"/>
      <c r="GJ37" s="54"/>
      <c r="GK37" s="54"/>
      <c r="GL37" s="54"/>
      <c r="GM37" s="54"/>
      <c r="GN37" s="54"/>
      <c r="GO37" s="54"/>
      <c r="GP37" s="54"/>
      <c r="GQ37" s="54"/>
      <c r="GR37" s="54"/>
      <c r="GS37" s="54"/>
      <c r="GT37" s="54"/>
      <c r="GU37" s="54"/>
      <c r="GV37" s="54"/>
      <c r="GW37" s="54"/>
      <c r="GX37" s="54"/>
      <c r="GY37" s="54"/>
      <c r="GZ37" s="54"/>
      <c r="HA37" s="54"/>
      <c r="HB37" s="54"/>
      <c r="HC37" s="54"/>
      <c r="HD37" s="54"/>
      <c r="HE37" s="54"/>
      <c r="HF37" s="54"/>
      <c r="HG37" s="54"/>
      <c r="HH37" s="54"/>
      <c r="HI37" s="54"/>
      <c r="HJ37" s="54"/>
      <c r="HK37" s="54"/>
      <c r="HL37" s="54"/>
      <c r="HM37" s="54"/>
      <c r="HN37" s="54"/>
      <c r="HO37" s="54"/>
      <c r="HP37" s="54"/>
      <c r="HQ37" s="54"/>
      <c r="HR37" s="54"/>
      <c r="HS37" s="54"/>
      <c r="HT37" s="54"/>
      <c r="HU37" s="54"/>
      <c r="HV37" s="54"/>
      <c r="HW37" s="54"/>
      <c r="HX37" s="54"/>
      <c r="HY37" s="54"/>
      <c r="HZ37" s="54"/>
      <c r="IA37" s="54"/>
      <c r="IB37" s="54"/>
      <c r="IC37" s="54"/>
      <c r="ID37" s="54"/>
      <c r="IE37" s="54"/>
      <c r="IF37" s="54"/>
      <c r="IG37" s="54"/>
      <c r="IH37" s="54"/>
      <c r="II37" s="54"/>
      <c r="IJ37" s="54"/>
      <c r="IK37" s="54"/>
      <c r="IL37" s="54"/>
      <c r="IM37" s="54"/>
      <c r="IN37" s="54"/>
      <c r="IO37" s="54"/>
      <c r="IP37" s="54"/>
      <c r="IQ37" s="54"/>
      <c r="IR37" s="54"/>
      <c r="IS37" s="54"/>
      <c r="IT37" s="54"/>
      <c r="IU37" s="54"/>
      <c r="IV37" s="54"/>
      <c r="IW37" s="54"/>
      <c r="IX37" s="54"/>
      <c r="IY37" s="54"/>
      <c r="IZ37" s="54"/>
      <c r="JA37" s="54"/>
      <c r="JB37" s="54"/>
      <c r="JC37" s="54"/>
      <c r="JD37" s="54"/>
      <c r="JE37" s="54"/>
      <c r="JF37" s="54"/>
      <c r="JG37" s="54"/>
      <c r="JH37" s="54"/>
      <c r="JI37" s="54"/>
      <c r="JJ37" s="54"/>
      <c r="JK37" s="54"/>
      <c r="JL37" s="54"/>
      <c r="JM37" s="54"/>
      <c r="JN37" s="54"/>
      <c r="JO37" s="54"/>
      <c r="JP37" s="54"/>
      <c r="JQ37" s="54"/>
      <c r="JR37" s="54"/>
      <c r="JS37" s="54"/>
      <c r="JT37" s="54"/>
      <c r="JU37" s="54"/>
      <c r="JV37" s="54"/>
      <c r="JW37" s="54"/>
      <c r="JX37" s="54"/>
      <c r="JY37" s="54"/>
      <c r="JZ37" s="54"/>
      <c r="KA37" s="54"/>
      <c r="KB37" s="54"/>
      <c r="KC37" s="54"/>
      <c r="KD37" s="54"/>
      <c r="KE37" s="54"/>
      <c r="KF37" s="54"/>
      <c r="KG37" s="54"/>
      <c r="KH37" s="54"/>
      <c r="KI37" s="54"/>
      <c r="KJ37" s="54"/>
      <c r="KK37" s="54"/>
      <c r="KL37" s="54"/>
      <c r="KM37" s="54"/>
      <c r="KN37" s="54"/>
      <c r="KO37" s="54"/>
      <c r="KP37" s="54"/>
      <c r="KQ37" s="54"/>
      <c r="KR37" s="54"/>
      <c r="KS37" s="54"/>
      <c r="KT37" s="54"/>
      <c r="KU37" s="54"/>
      <c r="KV37" s="54"/>
      <c r="KW37" s="54"/>
      <c r="KX37" s="54"/>
    </row>
    <row r="38" ht="5.25" customHeight="1">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c r="CC38" s="54"/>
      <c r="CD38" s="54"/>
      <c r="CE38" s="54"/>
      <c r="CF38" s="54"/>
      <c r="CG38" s="54"/>
      <c r="CH38" s="54"/>
      <c r="CI38" s="54"/>
      <c r="CJ38" s="54"/>
      <c r="CK38" s="54"/>
      <c r="CL38" s="54"/>
      <c r="CM38" s="54"/>
      <c r="CN38" s="54"/>
      <c r="CO38" s="54"/>
      <c r="CP38" s="54"/>
      <c r="CQ38" s="54"/>
      <c r="CR38" s="54"/>
      <c r="CS38" s="54"/>
      <c r="CT38" s="54"/>
      <c r="CU38" s="54"/>
      <c r="CV38" s="54"/>
      <c r="CW38" s="54"/>
      <c r="CX38" s="54"/>
      <c r="CY38" s="54"/>
      <c r="CZ38" s="54"/>
      <c r="DA38" s="54"/>
      <c r="DB38" s="56"/>
      <c r="DC38" s="56"/>
      <c r="DD38" s="88"/>
      <c r="DE38" s="13"/>
      <c r="DF38" s="13"/>
      <c r="DG38" s="13"/>
      <c r="DH38" s="13"/>
      <c r="DI38" s="13"/>
      <c r="DJ38" s="13"/>
      <c r="DK38" s="13"/>
      <c r="DL38" s="13"/>
      <c r="DM38" s="13"/>
      <c r="DN38" s="14"/>
      <c r="DO38" s="12"/>
      <c r="DP38" s="13"/>
      <c r="DQ38" s="14"/>
      <c r="DR38" s="12"/>
      <c r="DS38" s="13"/>
      <c r="DT38" s="13"/>
      <c r="DU38" s="13"/>
      <c r="DV38" s="13"/>
      <c r="DW38" s="13"/>
      <c r="DX38" s="13"/>
      <c r="DY38" s="13"/>
      <c r="DZ38" s="13"/>
      <c r="EA38" s="13"/>
      <c r="EB38" s="13"/>
      <c r="EC38" s="13"/>
      <c r="ED38" s="13"/>
      <c r="EE38" s="13"/>
      <c r="EF38" s="13"/>
      <c r="EG38" s="14"/>
      <c r="EH38" s="12"/>
      <c r="EI38" s="13"/>
      <c r="EJ38" s="13"/>
      <c r="EK38" s="13"/>
      <c r="EL38" s="89"/>
      <c r="EM38" s="89"/>
      <c r="EN38" s="89"/>
      <c r="EO38" s="89"/>
      <c r="EP38" s="89"/>
      <c r="EQ38" s="89"/>
      <c r="ER38" s="89"/>
      <c r="ES38" s="89"/>
      <c r="ET38" s="89"/>
      <c r="EU38" s="13"/>
      <c r="EV38" s="13"/>
      <c r="EW38" s="14"/>
      <c r="EX38" s="12"/>
      <c r="EY38" s="13"/>
      <c r="EZ38" s="14"/>
      <c r="FA38" s="12"/>
      <c r="FB38" s="13"/>
      <c r="FC38" s="13"/>
      <c r="FD38" s="90"/>
      <c r="FE38" s="89"/>
      <c r="FF38" s="89"/>
      <c r="FG38" s="89"/>
      <c r="FH38" s="89"/>
      <c r="FI38" s="89"/>
      <c r="FJ38" s="89"/>
      <c r="FK38" s="91"/>
      <c r="FL38" s="56"/>
      <c r="FM38" s="56"/>
      <c r="FN38" s="54"/>
      <c r="FO38" s="54"/>
      <c r="FP38" s="54"/>
      <c r="FQ38" s="54"/>
      <c r="FR38" s="54"/>
      <c r="FS38" s="54"/>
      <c r="FT38" s="54"/>
      <c r="FU38" s="54"/>
      <c r="FV38" s="54"/>
      <c r="FW38" s="54"/>
      <c r="FX38" s="54"/>
      <c r="FY38" s="54"/>
      <c r="FZ38" s="54"/>
      <c r="GA38" s="54"/>
      <c r="GB38" s="54"/>
      <c r="GC38" s="54"/>
      <c r="GD38" s="54"/>
      <c r="GE38" s="54"/>
      <c r="GF38" s="54"/>
      <c r="GG38" s="54"/>
      <c r="GH38" s="54"/>
      <c r="GI38" s="54"/>
      <c r="GJ38" s="54"/>
      <c r="GK38" s="54"/>
      <c r="GL38" s="54"/>
      <c r="GM38" s="54"/>
      <c r="GN38" s="54"/>
      <c r="GO38" s="54"/>
      <c r="GP38" s="54"/>
      <c r="GQ38" s="54"/>
      <c r="GR38" s="54"/>
      <c r="GS38" s="54"/>
      <c r="GT38" s="54"/>
      <c r="GU38" s="54"/>
      <c r="GV38" s="54"/>
      <c r="GW38" s="54"/>
      <c r="GX38" s="54"/>
      <c r="GY38" s="54"/>
      <c r="GZ38" s="54"/>
      <c r="HA38" s="54"/>
      <c r="HB38" s="54"/>
      <c r="HC38" s="54"/>
      <c r="HD38" s="54"/>
      <c r="HE38" s="54"/>
      <c r="HF38" s="54"/>
      <c r="HG38" s="54"/>
      <c r="HH38" s="54"/>
      <c r="HI38" s="54"/>
      <c r="HJ38" s="54"/>
      <c r="HK38" s="54"/>
      <c r="HL38" s="54"/>
      <c r="HM38" s="54"/>
      <c r="HN38" s="54"/>
      <c r="HO38" s="54"/>
      <c r="HP38" s="54"/>
      <c r="HQ38" s="54"/>
      <c r="HR38" s="54"/>
      <c r="HS38" s="54"/>
      <c r="HT38" s="54"/>
      <c r="HU38" s="54"/>
      <c r="HV38" s="54"/>
      <c r="HW38" s="54"/>
      <c r="HX38" s="54"/>
      <c r="HY38" s="54"/>
      <c r="HZ38" s="54"/>
      <c r="IA38" s="54"/>
      <c r="IB38" s="54"/>
      <c r="IC38" s="54"/>
      <c r="ID38" s="54"/>
      <c r="IE38" s="54"/>
      <c r="IF38" s="54"/>
      <c r="IG38" s="54"/>
      <c r="IH38" s="54"/>
      <c r="II38" s="54"/>
      <c r="IJ38" s="54"/>
      <c r="IK38" s="54"/>
      <c r="IL38" s="54"/>
      <c r="IM38" s="54"/>
      <c r="IN38" s="54"/>
      <c r="IO38" s="54"/>
      <c r="IP38" s="54"/>
      <c r="IQ38" s="54"/>
      <c r="IR38" s="54"/>
      <c r="IS38" s="54"/>
      <c r="IT38" s="54"/>
      <c r="IU38" s="54"/>
      <c r="IV38" s="54"/>
      <c r="IW38" s="54"/>
      <c r="IX38" s="54"/>
      <c r="IY38" s="54"/>
      <c r="IZ38" s="54"/>
      <c r="JA38" s="54"/>
      <c r="JB38" s="54"/>
      <c r="JC38" s="54"/>
      <c r="JD38" s="54"/>
      <c r="JE38" s="54"/>
      <c r="JF38" s="54"/>
      <c r="JG38" s="54"/>
      <c r="JH38" s="54"/>
      <c r="JI38" s="54"/>
      <c r="JJ38" s="54"/>
      <c r="JK38" s="54"/>
      <c r="JL38" s="54"/>
      <c r="JM38" s="54"/>
      <c r="JN38" s="54"/>
      <c r="JO38" s="54"/>
      <c r="JP38" s="54"/>
      <c r="JQ38" s="54"/>
      <c r="JR38" s="54"/>
      <c r="JS38" s="54"/>
      <c r="JT38" s="54"/>
      <c r="JU38" s="54"/>
      <c r="JV38" s="54"/>
      <c r="JW38" s="54"/>
      <c r="JX38" s="54"/>
      <c r="JY38" s="54"/>
      <c r="JZ38" s="54"/>
      <c r="KA38" s="54"/>
      <c r="KB38" s="54"/>
      <c r="KC38" s="54"/>
      <c r="KD38" s="54"/>
      <c r="KE38" s="54"/>
      <c r="KF38" s="54"/>
      <c r="KG38" s="54"/>
      <c r="KH38" s="54"/>
      <c r="KI38" s="54"/>
      <c r="KJ38" s="54"/>
      <c r="KK38" s="54"/>
      <c r="KL38" s="54"/>
      <c r="KM38" s="54"/>
      <c r="KN38" s="54"/>
      <c r="KO38" s="54"/>
      <c r="KP38" s="54"/>
      <c r="KQ38" s="54"/>
      <c r="KR38" s="54"/>
      <c r="KS38" s="54"/>
      <c r="KT38" s="54"/>
      <c r="KU38" s="54"/>
      <c r="KV38" s="54"/>
      <c r="KW38" s="54"/>
      <c r="KX38" s="54"/>
    </row>
    <row r="39" ht="5.25" customHeight="1">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c r="CC39" s="54"/>
      <c r="CD39" s="54"/>
      <c r="CE39" s="54"/>
      <c r="CF39" s="54"/>
      <c r="CG39" s="54"/>
      <c r="CH39" s="54"/>
      <c r="CI39" s="54"/>
      <c r="CJ39" s="54"/>
      <c r="CK39" s="54"/>
      <c r="CL39" s="54"/>
      <c r="CM39" s="54"/>
      <c r="CN39" s="54"/>
      <c r="CO39" s="54"/>
      <c r="CP39" s="54"/>
      <c r="CQ39" s="54"/>
      <c r="CR39" s="54"/>
      <c r="CS39" s="54"/>
      <c r="CT39" s="54"/>
      <c r="CU39" s="54"/>
      <c r="CV39" s="54"/>
      <c r="CW39" s="54"/>
      <c r="CX39" s="54"/>
      <c r="CY39" s="54"/>
      <c r="CZ39" s="54"/>
      <c r="DA39" s="54"/>
      <c r="DB39" s="56"/>
      <c r="DC39" s="56">
        <f>'Choose matchups (Main)'!Q8</f>
        <v>4</v>
      </c>
      <c r="DD39" s="92" t="str">
        <f t="array" ref="DD39">xlookup(DC39,data!$M$2:$M$17,data!$O$2:$O$17,"")</f>
        <v/>
      </c>
      <c r="DE39" s="8"/>
      <c r="DF39" s="8"/>
      <c r="DG39" s="8"/>
      <c r="DH39" s="93" t="str">
        <f t="array" ref="DH39">xlookup(DC39,data!$M$2:$M$17,data!$N$2:$N$17,"")</f>
        <v>Team 4 (Group 2)</v>
      </c>
      <c r="DI39" s="8"/>
      <c r="DJ39" s="8"/>
      <c r="DK39" s="8"/>
      <c r="DL39" s="8"/>
      <c r="DM39" s="8"/>
      <c r="DN39" s="8"/>
      <c r="DO39" s="8"/>
      <c r="DP39" s="8"/>
      <c r="DQ39" s="8"/>
      <c r="DR39" s="8"/>
      <c r="DS39" s="8"/>
      <c r="DT39" s="8"/>
      <c r="DU39" s="8"/>
      <c r="DV39" s="8"/>
      <c r="DW39" s="8"/>
      <c r="DX39" s="8"/>
      <c r="DY39" s="8"/>
      <c r="DZ39" s="8"/>
      <c r="EA39" s="8"/>
      <c r="EB39" s="8"/>
      <c r="EC39" s="8"/>
      <c r="ED39" s="94"/>
      <c r="EE39" s="8"/>
      <c r="EF39" s="8"/>
      <c r="EG39" s="9"/>
      <c r="EH39" s="95"/>
      <c r="EI39" s="8"/>
      <c r="EJ39" s="8"/>
      <c r="EK39" s="8"/>
      <c r="EL39" s="96" t="str">
        <f t="array" ref="EL39">xlookup(FL39,data!$M$2:$M$17,data!$N$2:$N$17,"")</f>
        <v>TBD</v>
      </c>
      <c r="EM39" s="8"/>
      <c r="EN39" s="8"/>
      <c r="EO39" s="8"/>
      <c r="EP39" s="8"/>
      <c r="EQ39" s="8"/>
      <c r="ER39" s="8"/>
      <c r="ES39" s="8"/>
      <c r="ET39" s="8"/>
      <c r="EU39" s="8"/>
      <c r="EV39" s="8"/>
      <c r="EW39" s="8"/>
      <c r="EX39" s="8"/>
      <c r="EY39" s="8"/>
      <c r="EZ39" s="8"/>
      <c r="FA39" s="8"/>
      <c r="FB39" s="8"/>
      <c r="FC39" s="8"/>
      <c r="FD39" s="8"/>
      <c r="FE39" s="8"/>
      <c r="FF39" s="8"/>
      <c r="FG39" s="8"/>
      <c r="FH39" s="97" t="str">
        <f t="array" ref="FH39">xlookup(FL39,data!$M$2:$M$17,data!$O$2:$O$17,"")</f>
        <v/>
      </c>
      <c r="FI39" s="8"/>
      <c r="FJ39" s="8"/>
      <c r="FK39" s="98"/>
      <c r="FL39" s="77">
        <f t="array" ref="FL39">xlookup(DC39,data!$M$2:$M$17,data!$P$2:$P$17,"")</f>
        <v>9</v>
      </c>
      <c r="FM39" s="56"/>
      <c r="FN39" s="54"/>
      <c r="FO39" s="54"/>
      <c r="FP39" s="54"/>
      <c r="FQ39" s="54"/>
      <c r="FR39" s="54"/>
      <c r="FS39" s="54"/>
      <c r="FT39" s="54"/>
      <c r="FU39" s="54"/>
      <c r="FV39" s="54"/>
      <c r="FW39" s="54"/>
      <c r="FX39" s="54"/>
      <c r="FY39" s="54"/>
      <c r="FZ39" s="54"/>
      <c r="GA39" s="54"/>
      <c r="GB39" s="54"/>
      <c r="GC39" s="54"/>
      <c r="GD39" s="54"/>
      <c r="GE39" s="54"/>
      <c r="GF39" s="54"/>
      <c r="GG39" s="54"/>
      <c r="GH39" s="54"/>
      <c r="GI39" s="54"/>
      <c r="GJ39" s="54"/>
      <c r="GK39" s="54"/>
      <c r="GL39" s="54"/>
      <c r="GM39" s="54"/>
      <c r="GN39" s="54"/>
      <c r="GO39" s="54"/>
      <c r="GP39" s="54"/>
      <c r="GQ39" s="54"/>
      <c r="GR39" s="54"/>
      <c r="GS39" s="54"/>
      <c r="GT39" s="54"/>
      <c r="GU39" s="54"/>
      <c r="GV39" s="54"/>
      <c r="GW39" s="54"/>
      <c r="GX39" s="54"/>
      <c r="GY39" s="54"/>
      <c r="GZ39" s="54"/>
      <c r="HA39" s="54"/>
      <c r="HB39" s="54"/>
      <c r="HC39" s="54"/>
      <c r="HD39" s="54"/>
      <c r="HE39" s="54"/>
      <c r="HF39" s="54"/>
      <c r="HG39" s="54"/>
      <c r="HH39" s="54"/>
      <c r="HI39" s="54"/>
      <c r="HJ39" s="54"/>
      <c r="HK39" s="54"/>
      <c r="HL39" s="54"/>
      <c r="HM39" s="54"/>
      <c r="HN39" s="54"/>
      <c r="HO39" s="54"/>
      <c r="HP39" s="54"/>
      <c r="HQ39" s="54"/>
      <c r="HR39" s="54"/>
      <c r="HS39" s="54"/>
      <c r="HT39" s="54"/>
      <c r="HU39" s="54"/>
      <c r="HV39" s="54"/>
      <c r="HW39" s="54"/>
      <c r="HX39" s="54"/>
      <c r="HY39" s="54"/>
      <c r="HZ39" s="54"/>
      <c r="IA39" s="54"/>
      <c r="IB39" s="54"/>
      <c r="IC39" s="54"/>
      <c r="ID39" s="54"/>
      <c r="IE39" s="54"/>
      <c r="IF39" s="54"/>
      <c r="IG39" s="54"/>
      <c r="IH39" s="54"/>
      <c r="II39" s="54"/>
      <c r="IJ39" s="54"/>
      <c r="IK39" s="54"/>
      <c r="IL39" s="54"/>
      <c r="IM39" s="54"/>
      <c r="IN39" s="54"/>
      <c r="IO39" s="54"/>
      <c r="IP39" s="54"/>
      <c r="IQ39" s="54"/>
      <c r="IR39" s="54"/>
      <c r="IS39" s="54"/>
      <c r="IT39" s="54"/>
      <c r="IU39" s="54"/>
      <c r="IV39" s="54"/>
      <c r="IW39" s="54"/>
      <c r="IX39" s="54"/>
      <c r="IY39" s="54"/>
      <c r="IZ39" s="54"/>
      <c r="JA39" s="54"/>
      <c r="JB39" s="54"/>
      <c r="JC39" s="54"/>
      <c r="JD39" s="54"/>
      <c r="JE39" s="54"/>
      <c r="JF39" s="54"/>
      <c r="JG39" s="54"/>
      <c r="JH39" s="54"/>
      <c r="JI39" s="54"/>
      <c r="JJ39" s="54"/>
      <c r="JK39" s="54"/>
      <c r="JL39" s="54"/>
      <c r="JM39" s="54"/>
      <c r="JN39" s="54"/>
      <c r="JO39" s="54"/>
      <c r="JP39" s="54"/>
      <c r="JQ39" s="54"/>
      <c r="JR39" s="54"/>
      <c r="JS39" s="54"/>
      <c r="JT39" s="54"/>
      <c r="JU39" s="54"/>
      <c r="JV39" s="54"/>
      <c r="JW39" s="54"/>
      <c r="JX39" s="54"/>
      <c r="JY39" s="54"/>
      <c r="JZ39" s="54"/>
      <c r="KA39" s="54"/>
      <c r="KB39" s="54"/>
      <c r="KC39" s="54"/>
      <c r="KD39" s="54"/>
      <c r="KE39" s="54"/>
      <c r="KF39" s="54"/>
      <c r="KG39" s="54"/>
      <c r="KH39" s="54"/>
      <c r="KI39" s="54"/>
      <c r="KJ39" s="54"/>
      <c r="KK39" s="54"/>
      <c r="KL39" s="54"/>
      <c r="KM39" s="54"/>
      <c r="KN39" s="54"/>
      <c r="KO39" s="54"/>
      <c r="KP39" s="54"/>
      <c r="KQ39" s="54"/>
      <c r="KR39" s="54"/>
      <c r="KS39" s="54"/>
      <c r="KT39" s="54"/>
      <c r="KU39" s="54"/>
      <c r="KV39" s="54"/>
      <c r="KW39" s="54"/>
      <c r="KX39" s="54"/>
    </row>
    <row r="40" ht="5.25" customHeight="1">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c r="CA40" s="54"/>
      <c r="CB40" s="54"/>
      <c r="CC40" s="54"/>
      <c r="CD40" s="54"/>
      <c r="CE40" s="54"/>
      <c r="CF40" s="54"/>
      <c r="CG40" s="54"/>
      <c r="CH40" s="54"/>
      <c r="CI40" s="54"/>
      <c r="CJ40" s="54"/>
      <c r="CK40" s="54"/>
      <c r="CL40" s="54"/>
      <c r="CM40" s="54"/>
      <c r="CN40" s="54"/>
      <c r="CO40" s="54"/>
      <c r="CP40" s="54"/>
      <c r="CQ40" s="54"/>
      <c r="CR40" s="54"/>
      <c r="CS40" s="54"/>
      <c r="CT40" s="54"/>
      <c r="CU40" s="54"/>
      <c r="CV40" s="54"/>
      <c r="CW40" s="54"/>
      <c r="CX40" s="54"/>
      <c r="CY40" s="54"/>
      <c r="CZ40" s="54"/>
      <c r="DA40" s="54"/>
      <c r="DB40" s="56"/>
      <c r="DC40" s="56"/>
      <c r="DD40" s="60"/>
      <c r="EG40" s="11"/>
      <c r="EH40" s="10"/>
      <c r="FK40" s="61"/>
      <c r="FL40" s="56"/>
      <c r="FM40" s="56"/>
      <c r="FN40" s="54"/>
      <c r="FO40" s="54"/>
      <c r="FP40" s="54"/>
      <c r="FQ40" s="54"/>
      <c r="FR40" s="54"/>
      <c r="FS40" s="54"/>
      <c r="FT40" s="54"/>
      <c r="FU40" s="54"/>
      <c r="FV40" s="54"/>
      <c r="FW40" s="54"/>
      <c r="FX40" s="54"/>
      <c r="FY40" s="54"/>
      <c r="FZ40" s="54"/>
      <c r="GA40" s="54"/>
      <c r="GB40" s="54"/>
      <c r="GC40" s="54"/>
      <c r="GD40" s="54"/>
      <c r="GE40" s="54"/>
      <c r="GF40" s="54"/>
      <c r="GG40" s="54"/>
      <c r="GH40" s="54"/>
      <c r="GI40" s="54"/>
      <c r="GJ40" s="54"/>
      <c r="GK40" s="54"/>
      <c r="GL40" s="54"/>
      <c r="GM40" s="54"/>
      <c r="GN40" s="54"/>
      <c r="GO40" s="54"/>
      <c r="GP40" s="54"/>
      <c r="GQ40" s="54"/>
      <c r="GR40" s="54"/>
      <c r="GS40" s="54"/>
      <c r="GT40" s="54"/>
      <c r="GU40" s="54"/>
      <c r="GV40" s="54"/>
      <c r="GW40" s="54"/>
      <c r="GX40" s="54"/>
      <c r="GY40" s="54"/>
      <c r="GZ40" s="54"/>
      <c r="HA40" s="54"/>
      <c r="HB40" s="54"/>
      <c r="HC40" s="54"/>
      <c r="HD40" s="54"/>
      <c r="HE40" s="54"/>
      <c r="HF40" s="54"/>
      <c r="HG40" s="54"/>
      <c r="HH40" s="54"/>
      <c r="HI40" s="54"/>
      <c r="HJ40" s="54"/>
      <c r="HK40" s="54"/>
      <c r="HL40" s="54"/>
      <c r="HM40" s="54"/>
      <c r="HN40" s="54"/>
      <c r="HO40" s="54"/>
      <c r="HP40" s="54"/>
      <c r="HQ40" s="54"/>
      <c r="HR40" s="54"/>
      <c r="HS40" s="54"/>
      <c r="HT40" s="54"/>
      <c r="HU40" s="54"/>
      <c r="HV40" s="54"/>
      <c r="HW40" s="54"/>
      <c r="HX40" s="54"/>
      <c r="HY40" s="54"/>
      <c r="HZ40" s="54"/>
      <c r="IA40" s="54"/>
      <c r="IB40" s="54"/>
      <c r="IC40" s="54"/>
      <c r="ID40" s="54"/>
      <c r="IE40" s="54"/>
      <c r="IF40" s="54"/>
      <c r="IG40" s="54"/>
      <c r="IH40" s="54"/>
      <c r="II40" s="54"/>
      <c r="IJ40" s="54"/>
      <c r="IK40" s="54"/>
      <c r="IL40" s="54"/>
      <c r="IM40" s="54"/>
      <c r="IN40" s="54"/>
      <c r="IO40" s="54"/>
      <c r="IP40" s="54"/>
      <c r="IQ40" s="54"/>
      <c r="IR40" s="54"/>
      <c r="IS40" s="54"/>
      <c r="IT40" s="54"/>
      <c r="IU40" s="54"/>
      <c r="IV40" s="54"/>
      <c r="IW40" s="54"/>
      <c r="IX40" s="54"/>
      <c r="IY40" s="54"/>
      <c r="IZ40" s="54"/>
      <c r="JA40" s="54"/>
      <c r="JB40" s="54"/>
      <c r="JC40" s="54"/>
      <c r="JD40" s="54"/>
      <c r="JE40" s="54"/>
      <c r="JF40" s="54"/>
      <c r="JG40" s="54"/>
      <c r="JH40" s="54"/>
      <c r="JI40" s="54"/>
      <c r="JJ40" s="54"/>
      <c r="JK40" s="54"/>
      <c r="JL40" s="54"/>
      <c r="JM40" s="54"/>
      <c r="JN40" s="54"/>
      <c r="JO40" s="54"/>
      <c r="JP40" s="54"/>
      <c r="JQ40" s="54"/>
      <c r="JR40" s="54"/>
      <c r="JS40" s="54"/>
      <c r="JT40" s="54"/>
      <c r="JU40" s="54"/>
      <c r="JV40" s="54"/>
      <c r="JW40" s="54"/>
      <c r="JX40" s="54"/>
      <c r="JY40" s="54"/>
      <c r="JZ40" s="54"/>
      <c r="KA40" s="54"/>
      <c r="KB40" s="54"/>
      <c r="KC40" s="54"/>
      <c r="KD40" s="54"/>
      <c r="KE40" s="54"/>
      <c r="KF40" s="54"/>
      <c r="KG40" s="54"/>
      <c r="KH40" s="54"/>
      <c r="KI40" s="54"/>
      <c r="KJ40" s="54"/>
      <c r="KK40" s="54"/>
      <c r="KL40" s="54"/>
      <c r="KM40" s="54"/>
      <c r="KN40" s="54"/>
      <c r="KO40" s="54"/>
      <c r="KP40" s="54"/>
      <c r="KQ40" s="54"/>
      <c r="KR40" s="54"/>
      <c r="KS40" s="54"/>
      <c r="KT40" s="54"/>
      <c r="KU40" s="54"/>
      <c r="KV40" s="54"/>
      <c r="KW40" s="54"/>
      <c r="KX40" s="54"/>
    </row>
    <row r="41" ht="5.25" customHeight="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6"/>
      <c r="DC41" s="56"/>
      <c r="DD41" s="60"/>
      <c r="EG41" s="11"/>
      <c r="EH41" s="10"/>
      <c r="FK41" s="61"/>
      <c r="FL41" s="56"/>
      <c r="FM41" s="56"/>
      <c r="FN41" s="54"/>
      <c r="FO41" s="54"/>
      <c r="FP41" s="54"/>
      <c r="FQ41" s="54"/>
      <c r="FR41" s="54"/>
      <c r="FS41" s="54"/>
      <c r="FT41" s="54"/>
      <c r="FU41" s="54"/>
      <c r="FV41" s="54"/>
      <c r="FW41" s="54"/>
      <c r="FX41" s="54"/>
      <c r="FY41" s="54"/>
      <c r="FZ41" s="54"/>
      <c r="GA41" s="54"/>
      <c r="GB41" s="54"/>
      <c r="GC41" s="54"/>
      <c r="GD41" s="54"/>
      <c r="GE41" s="54"/>
      <c r="GF41" s="54"/>
      <c r="GG41" s="54"/>
      <c r="GH41" s="54"/>
      <c r="GI41" s="54"/>
      <c r="GJ41" s="54"/>
      <c r="GK41" s="54"/>
      <c r="GL41" s="54"/>
      <c r="GM41" s="54"/>
      <c r="GN41" s="54"/>
      <c r="GO41" s="54"/>
      <c r="GP41" s="54"/>
      <c r="GQ41" s="54"/>
      <c r="GR41" s="54"/>
      <c r="GS41" s="54"/>
      <c r="GT41" s="54"/>
      <c r="GU41" s="54"/>
      <c r="GV41" s="54"/>
      <c r="GW41" s="54"/>
      <c r="GX41" s="54"/>
      <c r="GY41" s="54"/>
      <c r="GZ41" s="54"/>
      <c r="HA41" s="54"/>
      <c r="HB41" s="54"/>
      <c r="HC41" s="54"/>
      <c r="HD41" s="54"/>
      <c r="HE41" s="54"/>
      <c r="HF41" s="54"/>
      <c r="HG41" s="54"/>
      <c r="HH41" s="54"/>
      <c r="HI41" s="54"/>
      <c r="HJ41" s="54"/>
      <c r="HK41" s="54"/>
      <c r="HL41" s="54"/>
      <c r="HM41" s="54"/>
      <c r="HN41" s="54"/>
      <c r="HO41" s="54"/>
      <c r="HP41" s="54"/>
      <c r="HQ41" s="54"/>
      <c r="HR41" s="54"/>
      <c r="HS41" s="54"/>
      <c r="HT41" s="54"/>
      <c r="HU41" s="54"/>
      <c r="HV41" s="54"/>
      <c r="HW41" s="54"/>
      <c r="HX41" s="54"/>
      <c r="HY41" s="54"/>
      <c r="HZ41" s="54"/>
      <c r="IA41" s="54"/>
      <c r="IB41" s="54"/>
      <c r="IC41" s="54"/>
      <c r="ID41" s="54"/>
      <c r="IE41" s="54"/>
      <c r="IF41" s="54"/>
      <c r="IG41" s="54"/>
      <c r="IH41" s="54"/>
      <c r="II41" s="54"/>
      <c r="IJ41" s="54"/>
      <c r="IK41" s="54"/>
      <c r="IL41" s="54"/>
      <c r="IM41" s="54"/>
      <c r="IN41" s="54"/>
      <c r="IO41" s="54"/>
      <c r="IP41" s="54"/>
      <c r="IQ41" s="54"/>
      <c r="IR41" s="54"/>
      <c r="IS41" s="54"/>
      <c r="IT41" s="54"/>
      <c r="IU41" s="54"/>
      <c r="IV41" s="54"/>
      <c r="IW41" s="54"/>
      <c r="IX41" s="54"/>
      <c r="IY41" s="54"/>
      <c r="IZ41" s="54"/>
      <c r="JA41" s="54"/>
      <c r="JB41" s="54"/>
      <c r="JC41" s="54"/>
      <c r="JD41" s="54"/>
      <c r="JE41" s="54"/>
      <c r="JF41" s="54"/>
      <c r="JG41" s="54"/>
      <c r="JH41" s="54"/>
      <c r="JI41" s="54"/>
      <c r="JJ41" s="54"/>
      <c r="JK41" s="54"/>
      <c r="JL41" s="54"/>
      <c r="JM41" s="54"/>
      <c r="JN41" s="54"/>
      <c r="JO41" s="54"/>
      <c r="JP41" s="54"/>
      <c r="JQ41" s="54"/>
      <c r="JR41" s="54"/>
      <c r="JS41" s="54"/>
      <c r="JT41" s="54"/>
      <c r="JU41" s="54"/>
      <c r="JV41" s="54"/>
      <c r="JW41" s="54"/>
      <c r="JX41" s="54"/>
      <c r="JY41" s="54"/>
      <c r="JZ41" s="54"/>
      <c r="KA41" s="54"/>
      <c r="KB41" s="54"/>
      <c r="KC41" s="54"/>
      <c r="KD41" s="54"/>
      <c r="KE41" s="54"/>
      <c r="KF41" s="54"/>
      <c r="KG41" s="54"/>
      <c r="KH41" s="54"/>
      <c r="KI41" s="54"/>
      <c r="KJ41" s="54"/>
      <c r="KK41" s="54"/>
      <c r="KL41" s="54"/>
      <c r="KM41" s="54"/>
      <c r="KN41" s="54"/>
      <c r="KO41" s="54"/>
      <c r="KP41" s="54"/>
      <c r="KQ41" s="54"/>
      <c r="KR41" s="54"/>
      <c r="KS41" s="54"/>
      <c r="KT41" s="54"/>
      <c r="KU41" s="54"/>
      <c r="KV41" s="54"/>
      <c r="KW41" s="54"/>
      <c r="KX41" s="54"/>
    </row>
    <row r="42" ht="5.25" customHeight="1">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54"/>
      <c r="CE42" s="54"/>
      <c r="CF42" s="54"/>
      <c r="CG42" s="54"/>
      <c r="CH42" s="54"/>
      <c r="CI42" s="54"/>
      <c r="CJ42" s="54"/>
      <c r="CK42" s="54"/>
      <c r="CL42" s="54"/>
      <c r="CM42" s="54"/>
      <c r="CN42" s="54"/>
      <c r="CO42" s="54"/>
      <c r="CP42" s="54"/>
      <c r="CQ42" s="54"/>
      <c r="CR42" s="54"/>
      <c r="CS42" s="54"/>
      <c r="CT42" s="54"/>
      <c r="CU42" s="54"/>
      <c r="CV42" s="54"/>
      <c r="CW42" s="54"/>
      <c r="CX42" s="54"/>
      <c r="CY42" s="54"/>
      <c r="CZ42" s="54"/>
      <c r="DA42" s="54"/>
      <c r="DB42" s="56"/>
      <c r="DC42" s="56"/>
      <c r="DD42" s="60"/>
      <c r="EG42" s="11"/>
      <c r="EH42" s="10"/>
      <c r="FK42" s="61"/>
      <c r="FL42" s="56"/>
      <c r="FM42" s="56"/>
      <c r="FN42" s="54"/>
      <c r="FO42" s="54"/>
      <c r="FP42" s="54"/>
      <c r="FQ42" s="54"/>
      <c r="FR42" s="54"/>
      <c r="FS42" s="54"/>
      <c r="FT42" s="54"/>
      <c r="FU42" s="54"/>
      <c r="FV42" s="54"/>
      <c r="FW42" s="54"/>
      <c r="FX42" s="54"/>
      <c r="FY42" s="54"/>
      <c r="FZ42" s="54"/>
      <c r="GA42" s="54"/>
      <c r="GB42" s="54"/>
      <c r="GC42" s="54"/>
      <c r="GD42" s="54"/>
      <c r="GE42" s="54"/>
      <c r="GF42" s="54"/>
      <c r="GG42" s="54"/>
      <c r="GH42" s="54"/>
      <c r="GI42" s="54"/>
      <c r="GJ42" s="54"/>
      <c r="GK42" s="54"/>
      <c r="GL42" s="54"/>
      <c r="GM42" s="54"/>
      <c r="GN42" s="54"/>
      <c r="GO42" s="54"/>
      <c r="GP42" s="54"/>
      <c r="GQ42" s="54"/>
      <c r="GR42" s="54"/>
      <c r="GS42" s="54"/>
      <c r="GT42" s="54"/>
      <c r="GU42" s="54"/>
      <c r="GV42" s="54"/>
      <c r="GW42" s="54"/>
      <c r="GX42" s="54"/>
      <c r="GY42" s="54"/>
      <c r="GZ42" s="54"/>
      <c r="HA42" s="54"/>
      <c r="HB42" s="54"/>
      <c r="HC42" s="54"/>
      <c r="HD42" s="54"/>
      <c r="HE42" s="54"/>
      <c r="HF42" s="54"/>
      <c r="HG42" s="54"/>
      <c r="HH42" s="54"/>
      <c r="HI42" s="54"/>
      <c r="HJ42" s="54"/>
      <c r="HK42" s="54"/>
      <c r="HL42" s="54"/>
      <c r="HM42" s="54"/>
      <c r="HN42" s="54"/>
      <c r="HO42" s="54"/>
      <c r="HP42" s="54"/>
      <c r="HQ42" s="54"/>
      <c r="HR42" s="54"/>
      <c r="HS42" s="54"/>
      <c r="HT42" s="54"/>
      <c r="HU42" s="54"/>
      <c r="HV42" s="54"/>
      <c r="HW42" s="54"/>
      <c r="HX42" s="54"/>
      <c r="HY42" s="54"/>
      <c r="HZ42" s="54"/>
      <c r="IA42" s="54"/>
      <c r="IB42" s="54"/>
      <c r="IC42" s="54"/>
      <c r="ID42" s="54"/>
      <c r="IE42" s="54"/>
      <c r="IF42" s="54"/>
      <c r="IG42" s="54"/>
      <c r="IH42" s="54"/>
      <c r="II42" s="54"/>
      <c r="IJ42" s="54"/>
      <c r="IK42" s="54"/>
      <c r="IL42" s="54"/>
      <c r="IM42" s="54"/>
      <c r="IN42" s="54"/>
      <c r="IO42" s="54"/>
      <c r="IP42" s="54"/>
      <c r="IQ42" s="54"/>
      <c r="IR42" s="54"/>
      <c r="IS42" s="54"/>
      <c r="IT42" s="54"/>
      <c r="IU42" s="54"/>
      <c r="IV42" s="54"/>
      <c r="IW42" s="54"/>
      <c r="IX42" s="54"/>
      <c r="IY42" s="54"/>
      <c r="IZ42" s="54"/>
      <c r="JA42" s="54"/>
      <c r="JB42" s="54"/>
      <c r="JC42" s="54"/>
      <c r="JD42" s="54"/>
      <c r="JE42" s="54"/>
      <c r="JF42" s="54"/>
      <c r="JG42" s="54"/>
      <c r="JH42" s="54"/>
      <c r="JI42" s="54"/>
      <c r="JJ42" s="54"/>
      <c r="JK42" s="54"/>
      <c r="JL42" s="54"/>
      <c r="JM42" s="54"/>
      <c r="JN42" s="54"/>
      <c r="JO42" s="54"/>
      <c r="JP42" s="54"/>
      <c r="JQ42" s="54"/>
      <c r="JR42" s="54"/>
      <c r="JS42" s="54"/>
      <c r="JT42" s="54"/>
      <c r="JU42" s="54"/>
      <c r="JV42" s="54"/>
      <c r="JW42" s="54"/>
      <c r="JX42" s="54"/>
      <c r="JY42" s="54"/>
      <c r="JZ42" s="54"/>
      <c r="KA42" s="54"/>
      <c r="KB42" s="54"/>
      <c r="KC42" s="54"/>
      <c r="KD42" s="54"/>
      <c r="KE42" s="54"/>
      <c r="KF42" s="54"/>
      <c r="KG42" s="54"/>
      <c r="KH42" s="54"/>
      <c r="KI42" s="54"/>
      <c r="KJ42" s="54"/>
      <c r="KK42" s="54"/>
      <c r="KL42" s="54"/>
      <c r="KM42" s="54"/>
      <c r="KN42" s="54"/>
      <c r="KO42" s="54"/>
      <c r="KP42" s="54"/>
      <c r="KQ42" s="54"/>
      <c r="KR42" s="54"/>
      <c r="KS42" s="54"/>
      <c r="KT42" s="54"/>
      <c r="KU42" s="54"/>
      <c r="KV42" s="54"/>
      <c r="KW42" s="54"/>
      <c r="KX42" s="54"/>
    </row>
    <row r="43" ht="5.25" customHeight="1">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54"/>
      <c r="CE43" s="54"/>
      <c r="CF43" s="54"/>
      <c r="CG43" s="54"/>
      <c r="CH43" s="54"/>
      <c r="CI43" s="54"/>
      <c r="CJ43" s="54"/>
      <c r="CK43" s="54"/>
      <c r="CL43" s="54"/>
      <c r="CM43" s="54"/>
      <c r="CN43" s="54"/>
      <c r="CO43" s="54"/>
      <c r="CP43" s="54"/>
      <c r="CQ43" s="54"/>
      <c r="CR43" s="54"/>
      <c r="CS43" s="54"/>
      <c r="CT43" s="54"/>
      <c r="CU43" s="54"/>
      <c r="CV43" s="54"/>
      <c r="CW43" s="54"/>
      <c r="CX43" s="54"/>
      <c r="CY43" s="54"/>
      <c r="CZ43" s="54"/>
      <c r="DA43" s="54"/>
      <c r="DB43" s="56"/>
      <c r="DC43" s="56">
        <f>DC39</f>
        <v>4</v>
      </c>
      <c r="DD43" s="64"/>
      <c r="DL43" s="83"/>
      <c r="DN43" s="11"/>
      <c r="DO43" s="84"/>
      <c r="DQ43" s="11"/>
      <c r="DR43" s="84"/>
      <c r="DU43" s="54"/>
      <c r="ED43" s="85">
        <f>sum(DL43:DT45)</f>
        <v>0</v>
      </c>
      <c r="EG43" s="11"/>
      <c r="EH43" s="86">
        <f>sum(EU43:FC45)</f>
        <v>0</v>
      </c>
      <c r="EL43" s="54"/>
      <c r="EM43" s="54"/>
      <c r="EN43" s="54"/>
      <c r="EO43" s="54"/>
      <c r="EP43" s="54"/>
      <c r="EQ43" s="54"/>
      <c r="ER43" s="54"/>
      <c r="ES43" s="54"/>
      <c r="ET43" s="54"/>
      <c r="EU43" s="99"/>
      <c r="EW43" s="11"/>
      <c r="EX43" s="84"/>
      <c r="EZ43" s="11"/>
      <c r="FA43" s="87"/>
      <c r="FD43" s="68"/>
      <c r="FE43" s="54"/>
      <c r="FF43" s="54"/>
      <c r="FG43" s="54"/>
      <c r="FH43" s="54"/>
      <c r="FI43" s="54"/>
      <c r="FJ43" s="54"/>
      <c r="FK43" s="69"/>
      <c r="FL43" s="56">
        <f>FL39</f>
        <v>9</v>
      </c>
      <c r="FM43" s="56"/>
      <c r="FN43" s="54"/>
      <c r="FO43" s="54"/>
      <c r="FP43" s="54"/>
      <c r="FQ43" s="54"/>
      <c r="FR43" s="54"/>
      <c r="FS43" s="54"/>
      <c r="FT43" s="54"/>
      <c r="FU43" s="54"/>
      <c r="FV43" s="54"/>
      <c r="FW43" s="54"/>
      <c r="FX43" s="54"/>
      <c r="FY43" s="54"/>
      <c r="FZ43" s="54"/>
      <c r="GA43" s="54"/>
      <c r="GB43" s="54"/>
      <c r="GC43" s="54"/>
      <c r="GD43" s="54"/>
      <c r="GE43" s="54"/>
      <c r="GF43" s="54"/>
      <c r="GG43" s="54"/>
      <c r="GH43" s="54"/>
      <c r="GI43" s="54"/>
      <c r="GJ43" s="54"/>
      <c r="GK43" s="54"/>
      <c r="GL43" s="54"/>
      <c r="GM43" s="54"/>
      <c r="GN43" s="54"/>
      <c r="GO43" s="54"/>
      <c r="GP43" s="54"/>
      <c r="GQ43" s="54"/>
      <c r="GR43" s="54"/>
      <c r="GS43" s="54"/>
      <c r="GT43" s="54"/>
      <c r="GU43" s="54"/>
      <c r="GV43" s="54"/>
      <c r="GW43" s="54"/>
      <c r="GX43" s="54"/>
      <c r="GY43" s="54"/>
      <c r="GZ43" s="54"/>
      <c r="HA43" s="54"/>
      <c r="HB43" s="54"/>
      <c r="HC43" s="54"/>
      <c r="HD43" s="54"/>
      <c r="HE43" s="54"/>
      <c r="HF43" s="54"/>
      <c r="HG43" s="54"/>
      <c r="HH43" s="54"/>
      <c r="HI43" s="54"/>
      <c r="HJ43" s="54"/>
      <c r="HK43" s="54"/>
      <c r="HL43" s="54"/>
      <c r="HM43" s="54"/>
      <c r="HN43" s="54"/>
      <c r="HO43" s="54"/>
      <c r="HP43" s="54"/>
      <c r="HQ43" s="54"/>
      <c r="HR43" s="54"/>
      <c r="HS43" s="54"/>
      <c r="HT43" s="54"/>
      <c r="HU43" s="54"/>
      <c r="HV43" s="54"/>
      <c r="HW43" s="54"/>
      <c r="HX43" s="54"/>
      <c r="HY43" s="54"/>
      <c r="HZ43" s="54"/>
      <c r="IA43" s="54"/>
      <c r="IB43" s="54"/>
      <c r="IC43" s="54"/>
      <c r="ID43" s="54"/>
      <c r="IE43" s="54"/>
      <c r="IF43" s="54"/>
      <c r="IG43" s="54"/>
      <c r="IH43" s="54"/>
      <c r="II43" s="54"/>
      <c r="IJ43" s="54"/>
      <c r="IK43" s="54"/>
      <c r="IL43" s="54"/>
      <c r="IM43" s="54"/>
      <c r="IN43" s="54"/>
      <c r="IO43" s="54"/>
      <c r="IP43" s="54"/>
      <c r="IQ43" s="54"/>
      <c r="IR43" s="54"/>
      <c r="IS43" s="54"/>
      <c r="IT43" s="54"/>
      <c r="IU43" s="54"/>
      <c r="IV43" s="54"/>
      <c r="IW43" s="54"/>
      <c r="IX43" s="54"/>
      <c r="IY43" s="54"/>
      <c r="IZ43" s="54"/>
      <c r="JA43" s="54"/>
      <c r="JB43" s="54"/>
      <c r="JC43" s="54"/>
      <c r="JD43" s="54"/>
      <c r="JE43" s="54"/>
      <c r="JF43" s="54"/>
      <c r="JG43" s="54"/>
      <c r="JH43" s="54"/>
      <c r="JI43" s="54"/>
      <c r="JJ43" s="54"/>
      <c r="JK43" s="54"/>
      <c r="JL43" s="54"/>
      <c r="JM43" s="54"/>
      <c r="JN43" s="54"/>
      <c r="JO43" s="54"/>
      <c r="JP43" s="54"/>
      <c r="JQ43" s="54"/>
      <c r="JR43" s="54"/>
      <c r="JS43" s="54"/>
      <c r="JT43" s="54"/>
      <c r="JU43" s="54"/>
      <c r="JV43" s="54"/>
      <c r="JW43" s="54"/>
      <c r="JX43" s="54"/>
      <c r="JY43" s="54"/>
      <c r="JZ43" s="54"/>
      <c r="KA43" s="54"/>
      <c r="KB43" s="54"/>
      <c r="KC43" s="54"/>
      <c r="KD43" s="54"/>
      <c r="KE43" s="54"/>
      <c r="KF43" s="54"/>
      <c r="KG43" s="54"/>
      <c r="KH43" s="54"/>
      <c r="KI43" s="54"/>
      <c r="KJ43" s="54"/>
      <c r="KK43" s="54"/>
      <c r="KL43" s="54"/>
      <c r="KM43" s="54"/>
      <c r="KN43" s="54"/>
      <c r="KO43" s="54"/>
      <c r="KP43" s="54"/>
      <c r="KQ43" s="54"/>
      <c r="KR43" s="54"/>
      <c r="KS43" s="54"/>
      <c r="KT43" s="54"/>
      <c r="KU43" s="54"/>
      <c r="KV43" s="54"/>
      <c r="KW43" s="54"/>
      <c r="KX43" s="54"/>
    </row>
    <row r="44" ht="5.25" customHeight="1">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c r="BY44" s="54"/>
      <c r="BZ44" s="54"/>
      <c r="CA44" s="54"/>
      <c r="CB44" s="54"/>
      <c r="CC44" s="54"/>
      <c r="CD44" s="54"/>
      <c r="CE44" s="54"/>
      <c r="CF44" s="54"/>
      <c r="CG44" s="54"/>
      <c r="CH44" s="54"/>
      <c r="CI44" s="54"/>
      <c r="CJ44" s="54"/>
      <c r="CK44" s="54"/>
      <c r="CL44" s="54"/>
      <c r="CM44" s="54"/>
      <c r="CN44" s="54"/>
      <c r="CO44" s="54"/>
      <c r="CP44" s="54"/>
      <c r="CQ44" s="54"/>
      <c r="CR44" s="54"/>
      <c r="CS44" s="54"/>
      <c r="CT44" s="54"/>
      <c r="CU44" s="54"/>
      <c r="CV44" s="54"/>
      <c r="CW44" s="54"/>
      <c r="CX44" s="54"/>
      <c r="CY44" s="54"/>
      <c r="CZ44" s="54"/>
      <c r="DA44" s="54"/>
      <c r="DB44" s="56"/>
      <c r="DC44" s="56"/>
      <c r="DD44" s="60"/>
      <c r="DN44" s="11"/>
      <c r="DO44" s="10"/>
      <c r="DQ44" s="11"/>
      <c r="DR44" s="10"/>
      <c r="EG44" s="11"/>
      <c r="EH44" s="10"/>
      <c r="EL44" s="54"/>
      <c r="EM44" s="54"/>
      <c r="EN44" s="54"/>
      <c r="EO44" s="54"/>
      <c r="EP44" s="54"/>
      <c r="EQ44" s="54"/>
      <c r="ER44" s="54"/>
      <c r="ES44" s="54"/>
      <c r="ET44" s="54"/>
      <c r="EW44" s="11"/>
      <c r="EX44" s="10"/>
      <c r="EZ44" s="11"/>
      <c r="FA44" s="10"/>
      <c r="FD44" s="68"/>
      <c r="FE44" s="54"/>
      <c r="FF44" s="54"/>
      <c r="FG44" s="54"/>
      <c r="FH44" s="54"/>
      <c r="FI44" s="54"/>
      <c r="FJ44" s="54"/>
      <c r="FK44" s="69"/>
      <c r="FL44" s="56"/>
      <c r="FM44" s="56"/>
      <c r="FN44" s="54"/>
      <c r="FO44" s="54"/>
      <c r="FP44" s="54"/>
      <c r="FQ44" s="54"/>
      <c r="FR44" s="54"/>
      <c r="FS44" s="54"/>
      <c r="FT44" s="54"/>
      <c r="FU44" s="54"/>
      <c r="FV44" s="54"/>
      <c r="FW44" s="54"/>
      <c r="FX44" s="54"/>
      <c r="FY44" s="54"/>
      <c r="FZ44" s="54"/>
      <c r="GA44" s="54"/>
      <c r="GB44" s="54"/>
      <c r="GC44" s="54"/>
      <c r="GD44" s="54"/>
      <c r="GE44" s="54"/>
      <c r="GF44" s="54"/>
      <c r="GG44" s="54"/>
      <c r="GH44" s="54"/>
      <c r="GI44" s="54"/>
      <c r="GJ44" s="54"/>
      <c r="GK44" s="54"/>
      <c r="GL44" s="54"/>
      <c r="GM44" s="54"/>
      <c r="GN44" s="54"/>
      <c r="GO44" s="54"/>
      <c r="GP44" s="54"/>
      <c r="GQ44" s="54"/>
      <c r="GR44" s="54"/>
      <c r="GS44" s="54"/>
      <c r="GT44" s="54"/>
      <c r="GU44" s="54"/>
      <c r="GV44" s="54"/>
      <c r="GW44" s="54"/>
      <c r="GX44" s="54"/>
      <c r="GY44" s="54"/>
      <c r="GZ44" s="54"/>
      <c r="HA44" s="54"/>
      <c r="HB44" s="54"/>
      <c r="HC44" s="54"/>
      <c r="HD44" s="54"/>
      <c r="HE44" s="54"/>
      <c r="HF44" s="54"/>
      <c r="HG44" s="54"/>
      <c r="HH44" s="54"/>
      <c r="HI44" s="54"/>
      <c r="HJ44" s="54"/>
      <c r="HK44" s="54"/>
      <c r="HL44" s="54"/>
      <c r="HM44" s="54"/>
      <c r="HN44" s="54"/>
      <c r="HO44" s="54"/>
      <c r="HP44" s="54"/>
      <c r="HQ44" s="54"/>
      <c r="HR44" s="54"/>
      <c r="HS44" s="54"/>
      <c r="HT44" s="54"/>
      <c r="HU44" s="54"/>
      <c r="HV44" s="54"/>
      <c r="HW44" s="54"/>
      <c r="HX44" s="54"/>
      <c r="HY44" s="54"/>
      <c r="HZ44" s="54"/>
      <c r="IA44" s="54"/>
      <c r="IB44" s="54"/>
      <c r="IC44" s="54"/>
      <c r="ID44" s="54"/>
      <c r="IE44" s="54"/>
      <c r="IF44" s="54"/>
      <c r="IG44" s="54"/>
      <c r="IH44" s="54"/>
      <c r="II44" s="54"/>
      <c r="IJ44" s="54"/>
      <c r="IK44" s="54"/>
      <c r="IL44" s="54"/>
      <c r="IM44" s="54"/>
      <c r="IN44" s="54"/>
      <c r="IO44" s="54"/>
      <c r="IP44" s="54"/>
      <c r="IQ44" s="54"/>
      <c r="IR44" s="54"/>
      <c r="IS44" s="54"/>
      <c r="IT44" s="54"/>
      <c r="IU44" s="54"/>
      <c r="IV44" s="54"/>
      <c r="IW44" s="54"/>
      <c r="IX44" s="54"/>
      <c r="IY44" s="54"/>
      <c r="IZ44" s="54"/>
      <c r="JA44" s="54"/>
      <c r="JB44" s="54"/>
      <c r="JC44" s="54"/>
      <c r="JD44" s="54"/>
      <c r="JE44" s="54"/>
      <c r="JF44" s="54"/>
      <c r="JG44" s="54"/>
      <c r="JH44" s="54"/>
      <c r="JI44" s="54"/>
      <c r="JJ44" s="54"/>
      <c r="JK44" s="54"/>
      <c r="JL44" s="54"/>
      <c r="JM44" s="54"/>
      <c r="JN44" s="54"/>
      <c r="JO44" s="54"/>
      <c r="JP44" s="54"/>
      <c r="JQ44" s="54"/>
      <c r="JR44" s="54"/>
      <c r="JS44" s="54"/>
      <c r="JT44" s="54"/>
      <c r="JU44" s="54"/>
      <c r="JV44" s="54"/>
      <c r="JW44" s="54"/>
      <c r="JX44" s="54"/>
      <c r="JY44" s="54"/>
      <c r="JZ44" s="54"/>
      <c r="KA44" s="54"/>
      <c r="KB44" s="54"/>
      <c r="KC44" s="54"/>
      <c r="KD44" s="54"/>
      <c r="KE44" s="54"/>
      <c r="KF44" s="54"/>
      <c r="KG44" s="54"/>
      <c r="KH44" s="54"/>
      <c r="KI44" s="54"/>
      <c r="KJ44" s="54"/>
      <c r="KK44" s="54"/>
      <c r="KL44" s="54"/>
      <c r="KM44" s="54"/>
      <c r="KN44" s="54"/>
      <c r="KO44" s="54"/>
      <c r="KP44" s="54"/>
      <c r="KQ44" s="54"/>
      <c r="KR44" s="54"/>
      <c r="KS44" s="54"/>
      <c r="KT44" s="54"/>
      <c r="KU44" s="54"/>
      <c r="KV44" s="54"/>
      <c r="KW44" s="54"/>
      <c r="KX44" s="54"/>
    </row>
    <row r="45" ht="5.25" customHeight="1">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c r="CA45" s="54"/>
      <c r="CB45" s="54"/>
      <c r="CC45" s="54"/>
      <c r="CD45" s="54"/>
      <c r="CE45" s="54"/>
      <c r="CF45" s="54"/>
      <c r="CG45" s="54"/>
      <c r="CH45" s="54"/>
      <c r="CI45" s="54"/>
      <c r="CJ45" s="54"/>
      <c r="CK45" s="54"/>
      <c r="CL45" s="54"/>
      <c r="CM45" s="54"/>
      <c r="CN45" s="54"/>
      <c r="CO45" s="54"/>
      <c r="CP45" s="54"/>
      <c r="CQ45" s="54"/>
      <c r="CR45" s="54"/>
      <c r="CS45" s="54"/>
      <c r="CT45" s="54"/>
      <c r="CU45" s="54"/>
      <c r="CV45" s="54"/>
      <c r="CW45" s="54"/>
      <c r="CX45" s="54"/>
      <c r="CY45" s="54"/>
      <c r="CZ45" s="54"/>
      <c r="DA45" s="54"/>
      <c r="DB45" s="56"/>
      <c r="DC45" s="56"/>
      <c r="DD45" s="88"/>
      <c r="DE45" s="13"/>
      <c r="DF45" s="13"/>
      <c r="DG45" s="13"/>
      <c r="DH45" s="13"/>
      <c r="DI45" s="13"/>
      <c r="DJ45" s="13"/>
      <c r="DK45" s="13"/>
      <c r="DL45" s="13"/>
      <c r="DM45" s="13"/>
      <c r="DN45" s="14"/>
      <c r="DO45" s="12"/>
      <c r="DP45" s="13"/>
      <c r="DQ45" s="14"/>
      <c r="DR45" s="12"/>
      <c r="DS45" s="13"/>
      <c r="DT45" s="13"/>
      <c r="DU45" s="13"/>
      <c r="DV45" s="13"/>
      <c r="DW45" s="13"/>
      <c r="DX45" s="13"/>
      <c r="DY45" s="13"/>
      <c r="DZ45" s="13"/>
      <c r="EA45" s="13"/>
      <c r="EB45" s="13"/>
      <c r="EC45" s="13"/>
      <c r="ED45" s="13"/>
      <c r="EE45" s="13"/>
      <c r="EF45" s="13"/>
      <c r="EG45" s="14"/>
      <c r="EH45" s="12"/>
      <c r="EI45" s="13"/>
      <c r="EJ45" s="13"/>
      <c r="EK45" s="13"/>
      <c r="EL45" s="89"/>
      <c r="EM45" s="89"/>
      <c r="EN45" s="89"/>
      <c r="EO45" s="89"/>
      <c r="EP45" s="89"/>
      <c r="EQ45" s="89"/>
      <c r="ER45" s="89"/>
      <c r="ES45" s="89"/>
      <c r="ET45" s="89"/>
      <c r="EU45" s="13"/>
      <c r="EV45" s="13"/>
      <c r="EW45" s="14"/>
      <c r="EX45" s="12"/>
      <c r="EY45" s="13"/>
      <c r="EZ45" s="14"/>
      <c r="FA45" s="12"/>
      <c r="FB45" s="13"/>
      <c r="FC45" s="13"/>
      <c r="FD45" s="90"/>
      <c r="FE45" s="89"/>
      <c r="FF45" s="89"/>
      <c r="FG45" s="89"/>
      <c r="FH45" s="89"/>
      <c r="FI45" s="89"/>
      <c r="FJ45" s="89"/>
      <c r="FK45" s="91"/>
      <c r="FL45" s="56"/>
      <c r="FM45" s="56"/>
      <c r="FN45" s="54"/>
      <c r="FO45" s="54"/>
      <c r="FP45" s="54"/>
      <c r="FQ45" s="54"/>
      <c r="FR45" s="54"/>
      <c r="FS45" s="54"/>
      <c r="FT45" s="54"/>
      <c r="FU45" s="54"/>
      <c r="FV45" s="54"/>
      <c r="FW45" s="54"/>
      <c r="FX45" s="54"/>
      <c r="FY45" s="54"/>
      <c r="FZ45" s="54"/>
      <c r="GA45" s="54"/>
      <c r="GB45" s="54"/>
      <c r="GC45" s="54"/>
      <c r="GD45" s="54"/>
      <c r="GE45" s="54"/>
      <c r="GF45" s="54"/>
      <c r="GG45" s="54"/>
      <c r="GH45" s="54"/>
      <c r="GI45" s="54"/>
      <c r="GJ45" s="54"/>
      <c r="GK45" s="54"/>
      <c r="GL45" s="54"/>
      <c r="GM45" s="54"/>
      <c r="GN45" s="54"/>
      <c r="GO45" s="54"/>
      <c r="GP45" s="54"/>
      <c r="GQ45" s="54"/>
      <c r="GR45" s="54"/>
      <c r="GS45" s="54"/>
      <c r="GT45" s="54"/>
      <c r="GU45" s="54"/>
      <c r="GV45" s="54"/>
      <c r="GW45" s="54"/>
      <c r="GX45" s="54"/>
      <c r="GY45" s="54"/>
      <c r="GZ45" s="54"/>
      <c r="HA45" s="54"/>
      <c r="HB45" s="54"/>
      <c r="HC45" s="54"/>
      <c r="HD45" s="54"/>
      <c r="HE45" s="54"/>
      <c r="HF45" s="54"/>
      <c r="HG45" s="54"/>
      <c r="HH45" s="54"/>
      <c r="HI45" s="54"/>
      <c r="HJ45" s="54"/>
      <c r="HK45" s="54"/>
      <c r="HL45" s="54"/>
      <c r="HM45" s="54"/>
      <c r="HN45" s="54"/>
      <c r="HO45" s="54"/>
      <c r="HP45" s="54"/>
      <c r="HQ45" s="54"/>
      <c r="HR45" s="54"/>
      <c r="HS45" s="54"/>
      <c r="HT45" s="54"/>
      <c r="HU45" s="54"/>
      <c r="HV45" s="54"/>
      <c r="HW45" s="54"/>
      <c r="HX45" s="54"/>
      <c r="HY45" s="54"/>
      <c r="HZ45" s="54"/>
      <c r="IA45" s="54"/>
      <c r="IB45" s="54"/>
      <c r="IC45" s="54"/>
      <c r="ID45" s="54"/>
      <c r="IE45" s="54"/>
      <c r="IF45" s="54"/>
      <c r="IG45" s="54"/>
      <c r="IH45" s="54"/>
      <c r="II45" s="54"/>
      <c r="IJ45" s="54"/>
      <c r="IK45" s="54"/>
      <c r="IL45" s="54"/>
      <c r="IM45" s="54"/>
      <c r="IN45" s="54"/>
      <c r="IO45" s="54"/>
      <c r="IP45" s="54"/>
      <c r="IQ45" s="54"/>
      <c r="IR45" s="54"/>
      <c r="IS45" s="54"/>
      <c r="IT45" s="54"/>
      <c r="IU45" s="54"/>
      <c r="IV45" s="54"/>
      <c r="IW45" s="54"/>
      <c r="IX45" s="54"/>
      <c r="IY45" s="54"/>
      <c r="IZ45" s="54"/>
      <c r="JA45" s="54"/>
      <c r="JB45" s="54"/>
      <c r="JC45" s="54"/>
      <c r="JD45" s="54"/>
      <c r="JE45" s="54"/>
      <c r="JF45" s="54"/>
      <c r="JG45" s="54"/>
      <c r="JH45" s="54"/>
      <c r="JI45" s="54"/>
      <c r="JJ45" s="54"/>
      <c r="JK45" s="54"/>
      <c r="JL45" s="54"/>
      <c r="JM45" s="54"/>
      <c r="JN45" s="54"/>
      <c r="JO45" s="54"/>
      <c r="JP45" s="54"/>
      <c r="JQ45" s="54"/>
      <c r="JR45" s="54"/>
      <c r="JS45" s="54"/>
      <c r="JT45" s="54"/>
      <c r="JU45" s="54"/>
      <c r="JV45" s="54"/>
      <c r="JW45" s="54"/>
      <c r="JX45" s="54"/>
      <c r="JY45" s="54"/>
      <c r="JZ45" s="54"/>
      <c r="KA45" s="54"/>
      <c r="KB45" s="54"/>
      <c r="KC45" s="54"/>
      <c r="KD45" s="54"/>
      <c r="KE45" s="54"/>
      <c r="KF45" s="54"/>
      <c r="KG45" s="54"/>
      <c r="KH45" s="54"/>
      <c r="KI45" s="54"/>
      <c r="KJ45" s="54"/>
      <c r="KK45" s="54"/>
      <c r="KL45" s="54"/>
      <c r="KM45" s="54"/>
      <c r="KN45" s="54"/>
      <c r="KO45" s="54"/>
      <c r="KP45" s="54"/>
      <c r="KQ45" s="54"/>
      <c r="KR45" s="54"/>
      <c r="KS45" s="54"/>
      <c r="KT45" s="54"/>
      <c r="KU45" s="54"/>
      <c r="KV45" s="54"/>
      <c r="KW45" s="54"/>
      <c r="KX45" s="54"/>
    </row>
    <row r="46" ht="5.25" customHeight="1">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c r="BY46" s="54"/>
      <c r="BZ46" s="54"/>
      <c r="CA46" s="54"/>
      <c r="CB46" s="54"/>
      <c r="CC46" s="54"/>
      <c r="CD46" s="54"/>
      <c r="CE46" s="54"/>
      <c r="CF46" s="54"/>
      <c r="CG46" s="54"/>
      <c r="CH46" s="54"/>
      <c r="CI46" s="54"/>
      <c r="CJ46" s="54"/>
      <c r="CK46" s="54"/>
      <c r="CL46" s="54"/>
      <c r="CM46" s="54"/>
      <c r="CN46" s="54"/>
      <c r="CO46" s="54"/>
      <c r="CP46" s="54"/>
      <c r="CQ46" s="54"/>
      <c r="CR46" s="54"/>
      <c r="CS46" s="54"/>
      <c r="CT46" s="54"/>
      <c r="CU46" s="54"/>
      <c r="CV46" s="54"/>
      <c r="CW46" s="54"/>
      <c r="CX46" s="54"/>
      <c r="CY46" s="54"/>
      <c r="CZ46" s="54"/>
      <c r="DA46" s="54"/>
      <c r="DB46" s="56"/>
      <c r="DC46" s="56">
        <f>'Choose matchups (Main)'!Q9</f>
        <v>5</v>
      </c>
      <c r="DD46" s="92" t="str">
        <f t="array" ref="DD46">xlookup(DC46,data!$M$2:$M$17,data!$O$2:$O$17,"")</f>
        <v/>
      </c>
      <c r="DE46" s="8"/>
      <c r="DF46" s="8"/>
      <c r="DG46" s="8"/>
      <c r="DH46" s="93" t="str">
        <f t="array" ref="DH46">xlookup(DC46,data!$M$2:$M$17,data!$N$2:$N$17,"")</f>
        <v>Team 5 (Group 2)</v>
      </c>
      <c r="DI46" s="8"/>
      <c r="DJ46" s="8"/>
      <c r="DK46" s="8"/>
      <c r="DL46" s="8"/>
      <c r="DM46" s="8"/>
      <c r="DN46" s="8"/>
      <c r="DO46" s="8"/>
      <c r="DP46" s="8"/>
      <c r="DQ46" s="8"/>
      <c r="DR46" s="8"/>
      <c r="DS46" s="8"/>
      <c r="DT46" s="8"/>
      <c r="DU46" s="8"/>
      <c r="DV46" s="8"/>
      <c r="DW46" s="8"/>
      <c r="DX46" s="8"/>
      <c r="DY46" s="8"/>
      <c r="DZ46" s="8"/>
      <c r="EA46" s="8"/>
      <c r="EB46" s="8"/>
      <c r="EC46" s="8"/>
      <c r="ED46" s="94"/>
      <c r="EE46" s="8"/>
      <c r="EF46" s="8"/>
      <c r="EG46" s="9"/>
      <c r="EH46" s="95"/>
      <c r="EI46" s="8"/>
      <c r="EJ46" s="8"/>
      <c r="EK46" s="8"/>
      <c r="EL46" s="96" t="str">
        <f t="array" ref="EL46">xlookup(FL46,data!$M$2:$M$17,data!$N$2:$N$17,"")</f>
        <v>TBD</v>
      </c>
      <c r="EM46" s="8"/>
      <c r="EN46" s="8"/>
      <c r="EO46" s="8"/>
      <c r="EP46" s="8"/>
      <c r="EQ46" s="8"/>
      <c r="ER46" s="8"/>
      <c r="ES46" s="8"/>
      <c r="ET46" s="8"/>
      <c r="EU46" s="8"/>
      <c r="EV46" s="8"/>
      <c r="EW46" s="8"/>
      <c r="EX46" s="8"/>
      <c r="EY46" s="8"/>
      <c r="EZ46" s="8"/>
      <c r="FA46" s="8"/>
      <c r="FB46" s="8"/>
      <c r="FC46" s="8"/>
      <c r="FD46" s="8"/>
      <c r="FE46" s="8"/>
      <c r="FF46" s="8"/>
      <c r="FG46" s="8"/>
      <c r="FH46" s="97" t="str">
        <f t="array" ref="FH46">xlookup(FL46,data!$M$2:$M$17,data!$O$2:$O$17,"")</f>
        <v/>
      </c>
      <c r="FI46" s="8"/>
      <c r="FJ46" s="8"/>
      <c r="FK46" s="98"/>
      <c r="FL46" s="77">
        <f t="array" ref="FL46">xlookup(DC46,data!$M$2:$M$17,data!$P$2:$P$17,"")</f>
        <v>9</v>
      </c>
      <c r="FM46" s="56"/>
      <c r="FN46" s="54"/>
      <c r="FO46" s="54"/>
      <c r="FP46" s="54"/>
      <c r="FQ46" s="54"/>
      <c r="FR46" s="54"/>
      <c r="FS46" s="54"/>
      <c r="FT46" s="54"/>
      <c r="FU46" s="54"/>
      <c r="FV46" s="54"/>
      <c r="FW46" s="54"/>
      <c r="FX46" s="54"/>
      <c r="FY46" s="54"/>
      <c r="FZ46" s="54"/>
      <c r="GA46" s="54"/>
      <c r="GB46" s="54"/>
      <c r="GC46" s="54"/>
      <c r="GD46" s="54"/>
      <c r="GE46" s="54"/>
      <c r="GF46" s="54"/>
      <c r="GG46" s="54"/>
      <c r="GH46" s="54"/>
      <c r="GI46" s="54"/>
      <c r="GJ46" s="54"/>
      <c r="GK46" s="54"/>
      <c r="GL46" s="54"/>
      <c r="GM46" s="54"/>
      <c r="GN46" s="54"/>
      <c r="GO46" s="54"/>
      <c r="GP46" s="54"/>
      <c r="GQ46" s="54"/>
      <c r="GR46" s="54"/>
      <c r="GS46" s="54"/>
      <c r="GT46" s="54"/>
      <c r="GU46" s="54"/>
      <c r="GV46" s="54"/>
      <c r="GW46" s="54"/>
      <c r="GX46" s="54"/>
      <c r="GY46" s="54"/>
      <c r="GZ46" s="54"/>
      <c r="HA46" s="54"/>
      <c r="HB46" s="54"/>
      <c r="HC46" s="54"/>
      <c r="HD46" s="54"/>
      <c r="HE46" s="54"/>
      <c r="HF46" s="54"/>
      <c r="HG46" s="54"/>
      <c r="HH46" s="54"/>
      <c r="HI46" s="54"/>
      <c r="HJ46" s="54"/>
      <c r="HK46" s="54"/>
      <c r="HL46" s="54"/>
      <c r="HM46" s="54"/>
      <c r="HN46" s="54"/>
      <c r="HO46" s="54"/>
      <c r="HP46" s="54"/>
      <c r="HQ46" s="54"/>
      <c r="HR46" s="54"/>
      <c r="HS46" s="54"/>
      <c r="HT46" s="54"/>
      <c r="HU46" s="54"/>
      <c r="HV46" s="54"/>
      <c r="HW46" s="54"/>
      <c r="HX46" s="54"/>
      <c r="HY46" s="54"/>
      <c r="HZ46" s="54"/>
      <c r="IA46" s="54"/>
      <c r="IB46" s="54"/>
      <c r="IC46" s="54"/>
      <c r="ID46" s="54"/>
      <c r="IE46" s="54"/>
      <c r="IF46" s="54"/>
      <c r="IG46" s="54"/>
      <c r="IH46" s="54"/>
      <c r="II46" s="54"/>
      <c r="IJ46" s="54"/>
      <c r="IK46" s="54"/>
      <c r="IL46" s="54"/>
      <c r="IM46" s="54"/>
      <c r="IN46" s="54"/>
      <c r="IO46" s="54"/>
      <c r="IP46" s="54"/>
      <c r="IQ46" s="54"/>
      <c r="IR46" s="54"/>
      <c r="IS46" s="54"/>
      <c r="IT46" s="54"/>
      <c r="IU46" s="54"/>
      <c r="IV46" s="54"/>
      <c r="IW46" s="54"/>
      <c r="IX46" s="54"/>
      <c r="IY46" s="54"/>
      <c r="IZ46" s="54"/>
      <c r="JA46" s="54"/>
      <c r="JB46" s="54"/>
      <c r="JC46" s="54"/>
      <c r="JD46" s="54"/>
      <c r="JE46" s="54"/>
      <c r="JF46" s="54"/>
      <c r="JG46" s="54"/>
      <c r="JH46" s="54"/>
      <c r="JI46" s="54"/>
      <c r="JJ46" s="54"/>
      <c r="JK46" s="54"/>
      <c r="JL46" s="54"/>
      <c r="JM46" s="54"/>
      <c r="JN46" s="54"/>
      <c r="JO46" s="54"/>
      <c r="JP46" s="54"/>
      <c r="JQ46" s="54"/>
      <c r="JR46" s="54"/>
      <c r="JS46" s="54"/>
      <c r="JT46" s="54"/>
      <c r="JU46" s="54"/>
      <c r="JV46" s="54"/>
      <c r="JW46" s="54"/>
      <c r="JX46" s="54"/>
      <c r="JY46" s="54"/>
      <c r="JZ46" s="54"/>
      <c r="KA46" s="54"/>
      <c r="KB46" s="54"/>
      <c r="KC46" s="54"/>
      <c r="KD46" s="54"/>
      <c r="KE46" s="54"/>
      <c r="KF46" s="54"/>
      <c r="KG46" s="54"/>
      <c r="KH46" s="54"/>
      <c r="KI46" s="54"/>
      <c r="KJ46" s="54"/>
      <c r="KK46" s="54"/>
      <c r="KL46" s="54"/>
      <c r="KM46" s="54"/>
      <c r="KN46" s="54"/>
      <c r="KO46" s="54"/>
      <c r="KP46" s="54"/>
      <c r="KQ46" s="54"/>
      <c r="KR46" s="54"/>
      <c r="KS46" s="54"/>
      <c r="KT46" s="54"/>
      <c r="KU46" s="54"/>
      <c r="KV46" s="54"/>
      <c r="KW46" s="54"/>
      <c r="KX46" s="54"/>
    </row>
    <row r="47" ht="5.25" customHeight="1">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c r="DA47" s="54"/>
      <c r="DB47" s="56"/>
      <c r="DC47" s="56"/>
      <c r="DD47" s="60"/>
      <c r="EG47" s="11"/>
      <c r="EH47" s="10"/>
      <c r="FK47" s="61"/>
      <c r="FL47" s="56"/>
      <c r="FM47" s="56"/>
      <c r="FN47" s="54"/>
      <c r="FO47" s="54"/>
      <c r="FP47" s="54"/>
      <c r="FQ47" s="54"/>
      <c r="FR47" s="54"/>
      <c r="FS47" s="54"/>
      <c r="FT47" s="54"/>
      <c r="FU47" s="54"/>
      <c r="FV47" s="54"/>
      <c r="FW47" s="54"/>
      <c r="FX47" s="54"/>
      <c r="FY47" s="54"/>
      <c r="FZ47" s="54"/>
      <c r="GA47" s="54"/>
      <c r="GB47" s="54"/>
      <c r="GC47" s="54"/>
      <c r="GD47" s="54"/>
      <c r="GE47" s="54"/>
      <c r="GF47" s="54"/>
      <c r="GG47" s="54"/>
      <c r="GH47" s="54"/>
      <c r="GI47" s="54"/>
      <c r="GJ47" s="54"/>
      <c r="GK47" s="54"/>
      <c r="GL47" s="54"/>
      <c r="GM47" s="54"/>
      <c r="GN47" s="54"/>
      <c r="GO47" s="54"/>
      <c r="GP47" s="54"/>
      <c r="GQ47" s="54"/>
      <c r="GR47" s="54"/>
      <c r="GS47" s="54"/>
      <c r="GT47" s="54"/>
      <c r="GU47" s="54"/>
      <c r="GV47" s="54"/>
      <c r="GW47" s="54"/>
      <c r="GX47" s="54"/>
      <c r="GY47" s="54"/>
      <c r="GZ47" s="54"/>
      <c r="HA47" s="54"/>
      <c r="HB47" s="54"/>
      <c r="HC47" s="54"/>
      <c r="HD47" s="54"/>
      <c r="HE47" s="54"/>
      <c r="HF47" s="54"/>
      <c r="HG47" s="54"/>
      <c r="HH47" s="54"/>
      <c r="HI47" s="54"/>
      <c r="HJ47" s="54"/>
      <c r="HK47" s="54"/>
      <c r="HL47" s="54"/>
      <c r="HM47" s="54"/>
      <c r="HN47" s="54"/>
      <c r="HO47" s="54"/>
      <c r="HP47" s="54"/>
      <c r="HQ47" s="54"/>
      <c r="HR47" s="54"/>
      <c r="HS47" s="54"/>
      <c r="HT47" s="54"/>
      <c r="HU47" s="54"/>
      <c r="HV47" s="54"/>
      <c r="HW47" s="54"/>
      <c r="HX47" s="54"/>
      <c r="HY47" s="54"/>
      <c r="HZ47" s="54"/>
      <c r="IA47" s="54"/>
      <c r="IB47" s="54"/>
      <c r="IC47" s="54"/>
      <c r="ID47" s="54"/>
      <c r="IE47" s="54"/>
      <c r="IF47" s="54"/>
      <c r="IG47" s="54"/>
      <c r="IH47" s="54"/>
      <c r="II47" s="54"/>
      <c r="IJ47" s="54"/>
      <c r="IK47" s="54"/>
      <c r="IL47" s="54"/>
      <c r="IM47" s="54"/>
      <c r="IN47" s="54"/>
      <c r="IO47" s="54"/>
      <c r="IP47" s="54"/>
      <c r="IQ47" s="54"/>
      <c r="IR47" s="54"/>
      <c r="IS47" s="54"/>
      <c r="IT47" s="54"/>
      <c r="IU47" s="54"/>
      <c r="IV47" s="54"/>
      <c r="IW47" s="54"/>
      <c r="IX47" s="54"/>
      <c r="IY47" s="54"/>
      <c r="IZ47" s="54"/>
      <c r="JA47" s="54"/>
      <c r="JB47" s="54"/>
      <c r="JC47" s="54"/>
      <c r="JD47" s="54"/>
      <c r="JE47" s="54"/>
      <c r="JF47" s="54"/>
      <c r="JG47" s="54"/>
      <c r="JH47" s="54"/>
      <c r="JI47" s="54"/>
      <c r="JJ47" s="54"/>
      <c r="JK47" s="54"/>
      <c r="JL47" s="54"/>
      <c r="JM47" s="54"/>
      <c r="JN47" s="54"/>
      <c r="JO47" s="54"/>
      <c r="JP47" s="54"/>
      <c r="JQ47" s="54"/>
      <c r="JR47" s="54"/>
      <c r="JS47" s="54"/>
      <c r="JT47" s="54"/>
      <c r="JU47" s="54"/>
      <c r="JV47" s="54"/>
      <c r="JW47" s="54"/>
      <c r="JX47" s="54"/>
      <c r="JY47" s="54"/>
      <c r="JZ47" s="54"/>
      <c r="KA47" s="54"/>
      <c r="KB47" s="54"/>
      <c r="KC47" s="54"/>
      <c r="KD47" s="54"/>
      <c r="KE47" s="54"/>
      <c r="KF47" s="54"/>
      <c r="KG47" s="54"/>
      <c r="KH47" s="54"/>
      <c r="KI47" s="54"/>
      <c r="KJ47" s="54"/>
      <c r="KK47" s="54"/>
      <c r="KL47" s="54"/>
      <c r="KM47" s="54"/>
      <c r="KN47" s="54"/>
      <c r="KO47" s="54"/>
      <c r="KP47" s="54"/>
      <c r="KQ47" s="54"/>
      <c r="KR47" s="54"/>
      <c r="KS47" s="54"/>
      <c r="KT47" s="54"/>
      <c r="KU47" s="54"/>
      <c r="KV47" s="54"/>
      <c r="KW47" s="54"/>
      <c r="KX47" s="54"/>
    </row>
    <row r="48" ht="5.25" customHeight="1">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c r="CA48" s="54"/>
      <c r="CB48" s="54"/>
      <c r="CC48" s="54"/>
      <c r="CD48" s="54"/>
      <c r="CE48" s="54"/>
      <c r="CF48" s="54"/>
      <c r="CG48" s="54"/>
      <c r="CH48" s="54"/>
      <c r="CI48" s="54"/>
      <c r="CJ48" s="54"/>
      <c r="CK48" s="54"/>
      <c r="CL48" s="54"/>
      <c r="CM48" s="54"/>
      <c r="CN48" s="54"/>
      <c r="CO48" s="54"/>
      <c r="CP48" s="54"/>
      <c r="CQ48" s="54"/>
      <c r="CR48" s="54"/>
      <c r="CS48" s="54"/>
      <c r="CT48" s="54"/>
      <c r="CU48" s="54"/>
      <c r="CV48" s="54"/>
      <c r="CW48" s="54"/>
      <c r="CX48" s="54"/>
      <c r="CY48" s="54"/>
      <c r="CZ48" s="54"/>
      <c r="DA48" s="54"/>
      <c r="DB48" s="56"/>
      <c r="DC48" s="56"/>
      <c r="DD48" s="60"/>
      <c r="EG48" s="11"/>
      <c r="EH48" s="10"/>
      <c r="FK48" s="61"/>
      <c r="FL48" s="56"/>
      <c r="FM48" s="56"/>
      <c r="FN48" s="54"/>
      <c r="FO48" s="54"/>
      <c r="FP48" s="54"/>
      <c r="FQ48" s="54"/>
      <c r="FR48" s="54"/>
      <c r="FS48" s="54"/>
      <c r="FT48" s="54"/>
      <c r="FU48" s="54"/>
      <c r="FV48" s="54"/>
      <c r="FW48" s="54"/>
      <c r="FX48" s="54"/>
      <c r="FY48" s="54"/>
      <c r="FZ48" s="54"/>
      <c r="GA48" s="54"/>
      <c r="GB48" s="54"/>
      <c r="GC48" s="54"/>
      <c r="GD48" s="54"/>
      <c r="GE48" s="54"/>
      <c r="GF48" s="54"/>
      <c r="GG48" s="54"/>
      <c r="GH48" s="54"/>
      <c r="GI48" s="54"/>
      <c r="GJ48" s="54"/>
      <c r="GK48" s="54"/>
      <c r="GL48" s="54"/>
      <c r="GM48" s="54"/>
      <c r="GN48" s="54"/>
      <c r="GO48" s="54"/>
      <c r="GP48" s="54"/>
      <c r="GQ48" s="54"/>
      <c r="GR48" s="54"/>
      <c r="GS48" s="54"/>
      <c r="GT48" s="54"/>
      <c r="GU48" s="54"/>
      <c r="GV48" s="54"/>
      <c r="GW48" s="54"/>
      <c r="GX48" s="54"/>
      <c r="GY48" s="54"/>
      <c r="GZ48" s="54"/>
      <c r="HA48" s="54"/>
      <c r="HB48" s="54"/>
      <c r="HC48" s="54"/>
      <c r="HD48" s="54"/>
      <c r="HE48" s="54"/>
      <c r="HF48" s="54"/>
      <c r="HG48" s="54"/>
      <c r="HH48" s="54"/>
      <c r="HI48" s="54"/>
      <c r="HJ48" s="54"/>
      <c r="HK48" s="54"/>
      <c r="HL48" s="54"/>
      <c r="HM48" s="54"/>
      <c r="HN48" s="54"/>
      <c r="HO48" s="54"/>
      <c r="HP48" s="54"/>
      <c r="HQ48" s="54"/>
      <c r="HR48" s="54"/>
      <c r="HS48" s="54"/>
      <c r="HT48" s="54"/>
      <c r="HU48" s="54"/>
      <c r="HV48" s="54"/>
      <c r="HW48" s="54"/>
      <c r="HX48" s="54"/>
      <c r="HY48" s="54"/>
      <c r="HZ48" s="54"/>
      <c r="IA48" s="54"/>
      <c r="IB48" s="54"/>
      <c r="IC48" s="54"/>
      <c r="ID48" s="54"/>
      <c r="IE48" s="54"/>
      <c r="IF48" s="54"/>
      <c r="IG48" s="54"/>
      <c r="IH48" s="54"/>
      <c r="II48" s="54"/>
      <c r="IJ48" s="54"/>
      <c r="IK48" s="54"/>
      <c r="IL48" s="54"/>
      <c r="IM48" s="54"/>
      <c r="IN48" s="54"/>
      <c r="IO48" s="54"/>
      <c r="IP48" s="54"/>
      <c r="IQ48" s="54"/>
      <c r="IR48" s="54"/>
      <c r="IS48" s="54"/>
      <c r="IT48" s="54"/>
      <c r="IU48" s="54"/>
      <c r="IV48" s="54"/>
      <c r="IW48" s="54"/>
      <c r="IX48" s="54"/>
      <c r="IY48" s="54"/>
      <c r="IZ48" s="54"/>
      <c r="JA48" s="54"/>
      <c r="JB48" s="54"/>
      <c r="JC48" s="54"/>
      <c r="JD48" s="54"/>
      <c r="JE48" s="54"/>
      <c r="JF48" s="54"/>
      <c r="JG48" s="54"/>
      <c r="JH48" s="54"/>
      <c r="JI48" s="54"/>
      <c r="JJ48" s="54"/>
      <c r="JK48" s="54"/>
      <c r="JL48" s="54"/>
      <c r="JM48" s="54"/>
      <c r="JN48" s="54"/>
      <c r="JO48" s="54"/>
      <c r="JP48" s="54"/>
      <c r="JQ48" s="54"/>
      <c r="JR48" s="54"/>
      <c r="JS48" s="54"/>
      <c r="JT48" s="54"/>
      <c r="JU48" s="54"/>
      <c r="JV48" s="54"/>
      <c r="JW48" s="54"/>
      <c r="JX48" s="54"/>
      <c r="JY48" s="54"/>
      <c r="JZ48" s="54"/>
      <c r="KA48" s="54"/>
      <c r="KB48" s="54"/>
      <c r="KC48" s="54"/>
      <c r="KD48" s="54"/>
      <c r="KE48" s="54"/>
      <c r="KF48" s="54"/>
      <c r="KG48" s="54"/>
      <c r="KH48" s="54"/>
      <c r="KI48" s="54"/>
      <c r="KJ48" s="54"/>
      <c r="KK48" s="54"/>
      <c r="KL48" s="54"/>
      <c r="KM48" s="54"/>
      <c r="KN48" s="54"/>
      <c r="KO48" s="54"/>
      <c r="KP48" s="54"/>
      <c r="KQ48" s="54"/>
      <c r="KR48" s="54"/>
      <c r="KS48" s="54"/>
      <c r="KT48" s="54"/>
      <c r="KU48" s="54"/>
      <c r="KV48" s="54"/>
      <c r="KW48" s="54"/>
      <c r="KX48" s="54"/>
    </row>
    <row r="49" ht="5.25" customHeight="1">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c r="CA49" s="54"/>
      <c r="CB49" s="54"/>
      <c r="CC49" s="54"/>
      <c r="CD49" s="54"/>
      <c r="CE49" s="54"/>
      <c r="CF49" s="54"/>
      <c r="CG49" s="54"/>
      <c r="CH49" s="54"/>
      <c r="CI49" s="54"/>
      <c r="CJ49" s="54"/>
      <c r="CK49" s="54"/>
      <c r="CL49" s="54"/>
      <c r="CM49" s="54"/>
      <c r="CN49" s="54"/>
      <c r="CO49" s="54"/>
      <c r="CP49" s="54"/>
      <c r="CQ49" s="54"/>
      <c r="CR49" s="54"/>
      <c r="CS49" s="54"/>
      <c r="CT49" s="54"/>
      <c r="CU49" s="54"/>
      <c r="CV49" s="54"/>
      <c r="CW49" s="54"/>
      <c r="CX49" s="54"/>
      <c r="CY49" s="54"/>
      <c r="CZ49" s="54"/>
      <c r="DA49" s="54"/>
      <c r="DB49" s="56"/>
      <c r="DC49" s="56"/>
      <c r="DD49" s="60"/>
      <c r="EG49" s="11"/>
      <c r="EH49" s="10"/>
      <c r="FK49" s="61"/>
      <c r="FL49" s="56"/>
      <c r="FM49" s="56"/>
      <c r="FN49" s="54"/>
      <c r="FO49" s="54"/>
      <c r="FP49" s="54"/>
      <c r="FQ49" s="54"/>
      <c r="FR49" s="54"/>
      <c r="FS49" s="54"/>
      <c r="FT49" s="54"/>
      <c r="FU49" s="54"/>
      <c r="FV49" s="54"/>
      <c r="FW49" s="54"/>
      <c r="FX49" s="54"/>
      <c r="FY49" s="54"/>
      <c r="FZ49" s="54"/>
      <c r="GA49" s="54"/>
      <c r="GB49" s="54"/>
      <c r="GC49" s="54"/>
      <c r="GD49" s="54"/>
      <c r="GE49" s="54"/>
      <c r="GF49" s="54"/>
      <c r="GG49" s="54"/>
      <c r="GH49" s="54"/>
      <c r="GI49" s="54"/>
      <c r="GJ49" s="54"/>
      <c r="GK49" s="54"/>
      <c r="GL49" s="54"/>
      <c r="GM49" s="54"/>
      <c r="GN49" s="54"/>
      <c r="GO49" s="54"/>
      <c r="GP49" s="54"/>
      <c r="GQ49" s="54"/>
      <c r="GR49" s="54"/>
      <c r="GS49" s="54"/>
      <c r="GT49" s="54"/>
      <c r="GU49" s="54"/>
      <c r="GV49" s="54"/>
      <c r="GW49" s="54"/>
      <c r="GX49" s="54"/>
      <c r="GY49" s="54"/>
      <c r="GZ49" s="54"/>
      <c r="HA49" s="54"/>
      <c r="HB49" s="54"/>
      <c r="HC49" s="54"/>
      <c r="HD49" s="54"/>
      <c r="HE49" s="54"/>
      <c r="HF49" s="54"/>
      <c r="HG49" s="54"/>
      <c r="HH49" s="54"/>
      <c r="HI49" s="54"/>
      <c r="HJ49" s="54"/>
      <c r="HK49" s="54"/>
      <c r="HL49" s="54"/>
      <c r="HM49" s="54"/>
      <c r="HN49" s="54"/>
      <c r="HO49" s="54"/>
      <c r="HP49" s="54"/>
      <c r="HQ49" s="54"/>
      <c r="HR49" s="54"/>
      <c r="HS49" s="54"/>
      <c r="HT49" s="54"/>
      <c r="HU49" s="54"/>
      <c r="HV49" s="54"/>
      <c r="HW49" s="54"/>
      <c r="HX49" s="54"/>
      <c r="HY49" s="54"/>
      <c r="HZ49" s="54"/>
      <c r="IA49" s="54"/>
      <c r="IB49" s="54"/>
      <c r="IC49" s="54"/>
      <c r="ID49" s="54"/>
      <c r="IE49" s="54"/>
      <c r="IF49" s="54"/>
      <c r="IG49" s="54"/>
      <c r="IH49" s="54"/>
      <c r="II49" s="54"/>
      <c r="IJ49" s="54"/>
      <c r="IK49" s="54"/>
      <c r="IL49" s="54"/>
      <c r="IM49" s="54"/>
      <c r="IN49" s="54"/>
      <c r="IO49" s="54"/>
      <c r="IP49" s="54"/>
      <c r="IQ49" s="54"/>
      <c r="IR49" s="54"/>
      <c r="IS49" s="54"/>
      <c r="IT49" s="54"/>
      <c r="IU49" s="54"/>
      <c r="IV49" s="54"/>
      <c r="IW49" s="54"/>
      <c r="IX49" s="54"/>
      <c r="IY49" s="54"/>
      <c r="IZ49" s="54"/>
      <c r="JA49" s="54"/>
      <c r="JB49" s="54"/>
      <c r="JC49" s="54"/>
      <c r="JD49" s="54"/>
      <c r="JE49" s="54"/>
      <c r="JF49" s="54"/>
      <c r="JG49" s="54"/>
      <c r="JH49" s="54"/>
      <c r="JI49" s="54"/>
      <c r="JJ49" s="54"/>
      <c r="JK49" s="54"/>
      <c r="JL49" s="54"/>
      <c r="JM49" s="54"/>
      <c r="JN49" s="54"/>
      <c r="JO49" s="54"/>
      <c r="JP49" s="54"/>
      <c r="JQ49" s="54"/>
      <c r="JR49" s="54"/>
      <c r="JS49" s="54"/>
      <c r="JT49" s="54"/>
      <c r="JU49" s="54"/>
      <c r="JV49" s="54"/>
      <c r="JW49" s="54"/>
      <c r="JX49" s="54"/>
      <c r="JY49" s="54"/>
      <c r="JZ49" s="54"/>
      <c r="KA49" s="54"/>
      <c r="KB49" s="54"/>
      <c r="KC49" s="54"/>
      <c r="KD49" s="54"/>
      <c r="KE49" s="54"/>
      <c r="KF49" s="54"/>
      <c r="KG49" s="54"/>
      <c r="KH49" s="54"/>
      <c r="KI49" s="54"/>
      <c r="KJ49" s="54"/>
      <c r="KK49" s="54"/>
      <c r="KL49" s="54"/>
      <c r="KM49" s="54"/>
      <c r="KN49" s="54"/>
      <c r="KO49" s="54"/>
      <c r="KP49" s="54"/>
      <c r="KQ49" s="54"/>
      <c r="KR49" s="54"/>
      <c r="KS49" s="54"/>
      <c r="KT49" s="54"/>
      <c r="KU49" s="54"/>
      <c r="KV49" s="54"/>
      <c r="KW49" s="54"/>
      <c r="KX49" s="54"/>
    </row>
    <row r="50" ht="5.25" customHeight="1">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4"/>
      <c r="CB50" s="54"/>
      <c r="CC50" s="54"/>
      <c r="CD50" s="54"/>
      <c r="CE50" s="54"/>
      <c r="CF50" s="54"/>
      <c r="CG50" s="54"/>
      <c r="CH50" s="54"/>
      <c r="CI50" s="54"/>
      <c r="CJ50" s="54"/>
      <c r="CK50" s="54"/>
      <c r="CL50" s="54"/>
      <c r="CM50" s="54"/>
      <c r="CN50" s="54"/>
      <c r="CO50" s="54"/>
      <c r="CP50" s="54"/>
      <c r="CQ50" s="54"/>
      <c r="CR50" s="54"/>
      <c r="CS50" s="54"/>
      <c r="CT50" s="54"/>
      <c r="CU50" s="54"/>
      <c r="CV50" s="54"/>
      <c r="CW50" s="54"/>
      <c r="CX50" s="54"/>
      <c r="CY50" s="54"/>
      <c r="CZ50" s="54"/>
      <c r="DA50" s="54"/>
      <c r="DB50" s="56"/>
      <c r="DC50" s="56">
        <f>DC46</f>
        <v>5</v>
      </c>
      <c r="DD50" s="64"/>
      <c r="DL50" s="83"/>
      <c r="DN50" s="11"/>
      <c r="DO50" s="84"/>
      <c r="DQ50" s="11"/>
      <c r="DR50" s="84"/>
      <c r="DU50" s="54"/>
      <c r="ED50" s="85">
        <f>sum(DL50:DT52)</f>
        <v>0</v>
      </c>
      <c r="EG50" s="11"/>
      <c r="EH50" s="86">
        <f>sum(EU50:FC52)</f>
        <v>0</v>
      </c>
      <c r="EL50" s="54"/>
      <c r="EM50" s="54"/>
      <c r="EN50" s="54"/>
      <c r="EO50" s="54"/>
      <c r="EP50" s="54"/>
      <c r="EQ50" s="54"/>
      <c r="ER50" s="54"/>
      <c r="ES50" s="54"/>
      <c r="ET50" s="54"/>
      <c r="EU50" s="83"/>
      <c r="EW50" s="11"/>
      <c r="EX50" s="84"/>
      <c r="EZ50" s="11"/>
      <c r="FA50" s="84"/>
      <c r="FD50" s="68"/>
      <c r="FE50" s="54"/>
      <c r="FF50" s="54"/>
      <c r="FG50" s="54"/>
      <c r="FH50" s="54"/>
      <c r="FI50" s="54"/>
      <c r="FJ50" s="54"/>
      <c r="FK50" s="69"/>
      <c r="FL50" s="56">
        <f>FL46</f>
        <v>9</v>
      </c>
      <c r="FM50" s="56"/>
      <c r="FN50" s="54"/>
      <c r="FO50" s="54"/>
      <c r="FP50" s="54"/>
      <c r="FQ50" s="54"/>
      <c r="FR50" s="54"/>
      <c r="FS50" s="54"/>
      <c r="FT50" s="54"/>
      <c r="FU50" s="54"/>
      <c r="FV50" s="54"/>
      <c r="FW50" s="54"/>
      <c r="FX50" s="54"/>
      <c r="FY50" s="54"/>
      <c r="FZ50" s="54"/>
      <c r="GA50" s="54"/>
      <c r="GB50" s="54"/>
      <c r="GC50" s="54"/>
      <c r="GD50" s="54"/>
      <c r="GE50" s="54"/>
      <c r="GF50" s="54"/>
      <c r="GG50" s="54"/>
      <c r="GH50" s="54"/>
      <c r="GI50" s="54"/>
      <c r="GJ50" s="54"/>
      <c r="GK50" s="54"/>
      <c r="GL50" s="54"/>
      <c r="GM50" s="54"/>
      <c r="GN50" s="54"/>
      <c r="GO50" s="54"/>
      <c r="GP50" s="54"/>
      <c r="GQ50" s="54"/>
      <c r="GR50" s="54"/>
      <c r="GS50" s="54"/>
      <c r="GT50" s="54"/>
      <c r="GU50" s="54"/>
      <c r="GV50" s="54"/>
      <c r="GW50" s="54"/>
      <c r="GX50" s="54"/>
      <c r="GY50" s="54"/>
      <c r="GZ50" s="54"/>
      <c r="HA50" s="54"/>
      <c r="HB50" s="54"/>
      <c r="HC50" s="54"/>
      <c r="HD50" s="54"/>
      <c r="HE50" s="54"/>
      <c r="HF50" s="54"/>
      <c r="HG50" s="54"/>
      <c r="HH50" s="54"/>
      <c r="HI50" s="54"/>
      <c r="HJ50" s="54"/>
      <c r="HK50" s="54"/>
      <c r="HL50" s="54"/>
      <c r="HM50" s="54"/>
      <c r="HN50" s="54"/>
      <c r="HO50" s="54"/>
      <c r="HP50" s="54"/>
      <c r="HQ50" s="54"/>
      <c r="HR50" s="54"/>
      <c r="HS50" s="54"/>
      <c r="HT50" s="54"/>
      <c r="HU50" s="54"/>
      <c r="HV50" s="54"/>
      <c r="HW50" s="54"/>
      <c r="HX50" s="54"/>
      <c r="HY50" s="54"/>
      <c r="HZ50" s="54"/>
      <c r="IA50" s="54"/>
      <c r="IB50" s="54"/>
      <c r="IC50" s="54"/>
      <c r="ID50" s="54"/>
      <c r="IE50" s="54"/>
      <c r="IF50" s="54"/>
      <c r="IG50" s="54"/>
      <c r="IH50" s="54"/>
      <c r="II50" s="54"/>
      <c r="IJ50" s="54"/>
      <c r="IK50" s="54"/>
      <c r="IL50" s="54"/>
      <c r="IM50" s="54"/>
      <c r="IN50" s="54"/>
      <c r="IO50" s="54"/>
      <c r="IP50" s="54"/>
      <c r="IQ50" s="54"/>
      <c r="IR50" s="54"/>
      <c r="IS50" s="54"/>
      <c r="IT50" s="54"/>
      <c r="IU50" s="54"/>
      <c r="IV50" s="54"/>
      <c r="IW50" s="54"/>
      <c r="IX50" s="54"/>
      <c r="IY50" s="54"/>
      <c r="IZ50" s="54"/>
      <c r="JA50" s="54"/>
      <c r="JB50" s="54"/>
      <c r="JC50" s="54"/>
      <c r="JD50" s="54"/>
      <c r="JE50" s="54"/>
      <c r="JF50" s="54"/>
      <c r="JG50" s="54"/>
      <c r="JH50" s="54"/>
      <c r="JI50" s="54"/>
      <c r="JJ50" s="54"/>
      <c r="JK50" s="54"/>
      <c r="JL50" s="54"/>
      <c r="JM50" s="54"/>
      <c r="JN50" s="54"/>
      <c r="JO50" s="54"/>
      <c r="JP50" s="54"/>
      <c r="JQ50" s="54"/>
      <c r="JR50" s="54"/>
      <c r="JS50" s="54"/>
      <c r="JT50" s="54"/>
      <c r="JU50" s="54"/>
      <c r="JV50" s="54"/>
      <c r="JW50" s="54"/>
      <c r="JX50" s="54"/>
      <c r="JY50" s="54"/>
      <c r="JZ50" s="54"/>
      <c r="KA50" s="54"/>
      <c r="KB50" s="54"/>
      <c r="KC50" s="54"/>
      <c r="KD50" s="54"/>
      <c r="KE50" s="54"/>
      <c r="KF50" s="54"/>
      <c r="KG50" s="54"/>
      <c r="KH50" s="54"/>
      <c r="KI50" s="54"/>
      <c r="KJ50" s="54"/>
      <c r="KK50" s="54"/>
      <c r="KL50" s="54"/>
      <c r="KM50" s="54"/>
      <c r="KN50" s="54"/>
      <c r="KO50" s="54"/>
      <c r="KP50" s="54"/>
      <c r="KQ50" s="54"/>
      <c r="KR50" s="54"/>
      <c r="KS50" s="54"/>
      <c r="KT50" s="54"/>
      <c r="KU50" s="54"/>
      <c r="KV50" s="54"/>
      <c r="KW50" s="54"/>
      <c r="KX50" s="54"/>
    </row>
    <row r="51" ht="5.25"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c r="CC51" s="54"/>
      <c r="CD51" s="54"/>
      <c r="CE51" s="54"/>
      <c r="CF51" s="54"/>
      <c r="CG51" s="54"/>
      <c r="CH51" s="54"/>
      <c r="CI51" s="54"/>
      <c r="CJ51" s="54"/>
      <c r="CK51" s="54"/>
      <c r="CL51" s="54"/>
      <c r="CM51" s="54"/>
      <c r="CN51" s="54"/>
      <c r="CO51" s="54"/>
      <c r="CP51" s="54"/>
      <c r="CQ51" s="54"/>
      <c r="CR51" s="54"/>
      <c r="CS51" s="54"/>
      <c r="CT51" s="54"/>
      <c r="CU51" s="54"/>
      <c r="CV51" s="54"/>
      <c r="CW51" s="54"/>
      <c r="CX51" s="54"/>
      <c r="CY51" s="54"/>
      <c r="CZ51" s="54"/>
      <c r="DA51" s="54"/>
      <c r="DB51" s="56"/>
      <c r="DC51" s="56"/>
      <c r="DD51" s="60"/>
      <c r="DN51" s="11"/>
      <c r="DO51" s="10"/>
      <c r="DQ51" s="11"/>
      <c r="DR51" s="10"/>
      <c r="EG51" s="11"/>
      <c r="EH51" s="10"/>
      <c r="EL51" s="54"/>
      <c r="EM51" s="54"/>
      <c r="EN51" s="54"/>
      <c r="EO51" s="54"/>
      <c r="EP51" s="54"/>
      <c r="EQ51" s="54"/>
      <c r="ER51" s="54"/>
      <c r="ES51" s="54"/>
      <c r="ET51" s="54"/>
      <c r="EW51" s="11"/>
      <c r="EX51" s="10"/>
      <c r="EZ51" s="11"/>
      <c r="FA51" s="10"/>
      <c r="FD51" s="68"/>
      <c r="FE51" s="54"/>
      <c r="FF51" s="54"/>
      <c r="FG51" s="54"/>
      <c r="FH51" s="54"/>
      <c r="FI51" s="54"/>
      <c r="FJ51" s="54"/>
      <c r="FK51" s="69"/>
      <c r="FL51" s="56"/>
      <c r="FM51" s="56"/>
      <c r="FN51" s="54"/>
      <c r="FO51" s="54"/>
      <c r="FP51" s="54"/>
      <c r="FQ51" s="54"/>
      <c r="FR51" s="54"/>
      <c r="FS51" s="54"/>
      <c r="FT51" s="54"/>
      <c r="FU51" s="54"/>
      <c r="FV51" s="54"/>
      <c r="FW51" s="54"/>
      <c r="FX51" s="54"/>
      <c r="FY51" s="54"/>
      <c r="FZ51" s="54"/>
      <c r="GA51" s="54"/>
      <c r="GB51" s="54"/>
      <c r="GC51" s="54"/>
      <c r="GD51" s="54"/>
      <c r="GE51" s="54"/>
      <c r="GF51" s="54"/>
      <c r="GG51" s="54"/>
      <c r="GH51" s="54"/>
      <c r="GI51" s="54"/>
      <c r="GJ51" s="54"/>
      <c r="GK51" s="54"/>
      <c r="GL51" s="54"/>
      <c r="GM51" s="54"/>
      <c r="GN51" s="54"/>
      <c r="GO51" s="54"/>
      <c r="GP51" s="54"/>
      <c r="GQ51" s="54"/>
      <c r="GR51" s="54"/>
      <c r="GS51" s="54"/>
      <c r="GT51" s="54"/>
      <c r="GU51" s="54"/>
      <c r="GV51" s="54"/>
      <c r="GW51" s="54"/>
      <c r="GX51" s="54"/>
      <c r="GY51" s="54"/>
      <c r="GZ51" s="54"/>
      <c r="HA51" s="54"/>
      <c r="HB51" s="54"/>
      <c r="HC51" s="54"/>
      <c r="HD51" s="54"/>
      <c r="HE51" s="54"/>
      <c r="HF51" s="54"/>
      <c r="HG51" s="54"/>
      <c r="HH51" s="54"/>
      <c r="HI51" s="54"/>
      <c r="HJ51" s="54"/>
      <c r="HK51" s="54"/>
      <c r="HL51" s="54"/>
      <c r="HM51" s="54"/>
      <c r="HN51" s="54"/>
      <c r="HO51" s="54"/>
      <c r="HP51" s="54"/>
      <c r="HQ51" s="54"/>
      <c r="HR51" s="54"/>
      <c r="HS51" s="54"/>
      <c r="HT51" s="54"/>
      <c r="HU51" s="54"/>
      <c r="HV51" s="54"/>
      <c r="HW51" s="54"/>
      <c r="HX51" s="54"/>
      <c r="HY51" s="54"/>
      <c r="HZ51" s="54"/>
      <c r="IA51" s="54"/>
      <c r="IB51" s="54"/>
      <c r="IC51" s="54"/>
      <c r="ID51" s="54"/>
      <c r="IE51" s="54"/>
      <c r="IF51" s="54"/>
      <c r="IG51" s="54"/>
      <c r="IH51" s="54"/>
      <c r="II51" s="54"/>
      <c r="IJ51" s="54"/>
      <c r="IK51" s="54"/>
      <c r="IL51" s="54"/>
      <c r="IM51" s="54"/>
      <c r="IN51" s="54"/>
      <c r="IO51" s="54"/>
      <c r="IP51" s="54"/>
      <c r="IQ51" s="54"/>
      <c r="IR51" s="54"/>
      <c r="IS51" s="54"/>
      <c r="IT51" s="54"/>
      <c r="IU51" s="54"/>
      <c r="IV51" s="54"/>
      <c r="IW51" s="54"/>
      <c r="IX51" s="54"/>
      <c r="IY51" s="54"/>
      <c r="IZ51" s="54"/>
      <c r="JA51" s="54"/>
      <c r="JB51" s="54"/>
      <c r="JC51" s="54"/>
      <c r="JD51" s="54"/>
      <c r="JE51" s="54"/>
      <c r="JF51" s="54"/>
      <c r="JG51" s="54"/>
      <c r="JH51" s="54"/>
      <c r="JI51" s="54"/>
      <c r="JJ51" s="54"/>
      <c r="JK51" s="54"/>
      <c r="JL51" s="54"/>
      <c r="JM51" s="54"/>
      <c r="JN51" s="54"/>
      <c r="JO51" s="54"/>
      <c r="JP51" s="54"/>
      <c r="JQ51" s="54"/>
      <c r="JR51" s="54"/>
      <c r="JS51" s="54"/>
      <c r="JT51" s="54"/>
      <c r="JU51" s="54"/>
      <c r="JV51" s="54"/>
      <c r="JW51" s="54"/>
      <c r="JX51" s="54"/>
      <c r="JY51" s="54"/>
      <c r="JZ51" s="54"/>
      <c r="KA51" s="54"/>
      <c r="KB51" s="54"/>
      <c r="KC51" s="54"/>
      <c r="KD51" s="54"/>
      <c r="KE51" s="54"/>
      <c r="KF51" s="54"/>
      <c r="KG51" s="54"/>
      <c r="KH51" s="54"/>
      <c r="KI51" s="54"/>
      <c r="KJ51" s="54"/>
      <c r="KK51" s="54"/>
      <c r="KL51" s="54"/>
      <c r="KM51" s="54"/>
      <c r="KN51" s="54"/>
      <c r="KO51" s="54"/>
      <c r="KP51" s="54"/>
      <c r="KQ51" s="54"/>
      <c r="KR51" s="54"/>
      <c r="KS51" s="54"/>
      <c r="KT51" s="54"/>
      <c r="KU51" s="54"/>
      <c r="KV51" s="54"/>
      <c r="KW51" s="54"/>
      <c r="KX51" s="54"/>
    </row>
    <row r="52" ht="5.25"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c r="CA52" s="54"/>
      <c r="CB52" s="54"/>
      <c r="CC52" s="54"/>
      <c r="CD52" s="54"/>
      <c r="CE52" s="54"/>
      <c r="CF52" s="54"/>
      <c r="CG52" s="54"/>
      <c r="CH52" s="54"/>
      <c r="CI52" s="54"/>
      <c r="CJ52" s="54"/>
      <c r="CK52" s="54"/>
      <c r="CL52" s="54"/>
      <c r="CM52" s="54"/>
      <c r="CN52" s="54"/>
      <c r="CO52" s="54"/>
      <c r="CP52" s="54"/>
      <c r="CQ52" s="54"/>
      <c r="CR52" s="54"/>
      <c r="CS52" s="54"/>
      <c r="CT52" s="54"/>
      <c r="CU52" s="54"/>
      <c r="CV52" s="54"/>
      <c r="CW52" s="54"/>
      <c r="CX52" s="54"/>
      <c r="CY52" s="54"/>
      <c r="CZ52" s="54"/>
      <c r="DA52" s="54"/>
      <c r="DB52" s="56"/>
      <c r="DC52" s="56"/>
      <c r="DD52" s="88"/>
      <c r="DE52" s="13"/>
      <c r="DF52" s="13"/>
      <c r="DG52" s="13"/>
      <c r="DH52" s="13"/>
      <c r="DI52" s="13"/>
      <c r="DJ52" s="13"/>
      <c r="DK52" s="13"/>
      <c r="DL52" s="13"/>
      <c r="DM52" s="13"/>
      <c r="DN52" s="14"/>
      <c r="DO52" s="12"/>
      <c r="DP52" s="13"/>
      <c r="DQ52" s="14"/>
      <c r="DR52" s="12"/>
      <c r="DS52" s="13"/>
      <c r="DT52" s="13"/>
      <c r="DU52" s="13"/>
      <c r="DV52" s="13"/>
      <c r="DW52" s="13"/>
      <c r="DX52" s="13"/>
      <c r="DY52" s="13"/>
      <c r="DZ52" s="13"/>
      <c r="EA52" s="13"/>
      <c r="EB52" s="13"/>
      <c r="EC52" s="13"/>
      <c r="ED52" s="13"/>
      <c r="EE52" s="13"/>
      <c r="EF52" s="13"/>
      <c r="EG52" s="14"/>
      <c r="EH52" s="12"/>
      <c r="EI52" s="13"/>
      <c r="EJ52" s="13"/>
      <c r="EK52" s="13"/>
      <c r="EL52" s="89"/>
      <c r="EM52" s="89"/>
      <c r="EN52" s="89"/>
      <c r="EO52" s="89"/>
      <c r="EP52" s="89"/>
      <c r="EQ52" s="89"/>
      <c r="ER52" s="89"/>
      <c r="ES52" s="89"/>
      <c r="ET52" s="89"/>
      <c r="EU52" s="13"/>
      <c r="EV52" s="13"/>
      <c r="EW52" s="14"/>
      <c r="EX52" s="12"/>
      <c r="EY52" s="13"/>
      <c r="EZ52" s="14"/>
      <c r="FA52" s="12"/>
      <c r="FB52" s="13"/>
      <c r="FC52" s="13"/>
      <c r="FD52" s="90"/>
      <c r="FE52" s="89"/>
      <c r="FF52" s="89"/>
      <c r="FG52" s="89"/>
      <c r="FH52" s="89"/>
      <c r="FI52" s="89"/>
      <c r="FJ52" s="89"/>
      <c r="FK52" s="91"/>
      <c r="FL52" s="56"/>
      <c r="FM52" s="56"/>
      <c r="FN52" s="54"/>
      <c r="FO52" s="54"/>
      <c r="FP52" s="54"/>
      <c r="FQ52" s="54"/>
      <c r="FR52" s="54"/>
      <c r="FS52" s="54"/>
      <c r="FT52" s="54"/>
      <c r="FU52" s="54"/>
      <c r="FV52" s="54"/>
      <c r="FW52" s="54"/>
      <c r="FX52" s="54"/>
      <c r="FY52" s="54"/>
      <c r="FZ52" s="54"/>
      <c r="GA52" s="54"/>
      <c r="GB52" s="54"/>
      <c r="GC52" s="54"/>
      <c r="GD52" s="54"/>
      <c r="GE52" s="54"/>
      <c r="GF52" s="54"/>
      <c r="GG52" s="54"/>
      <c r="GH52" s="54"/>
      <c r="GI52" s="54"/>
      <c r="GJ52" s="54"/>
      <c r="GK52" s="54"/>
      <c r="GL52" s="54"/>
      <c r="GM52" s="54"/>
      <c r="GN52" s="54"/>
      <c r="GO52" s="54"/>
      <c r="GP52" s="54"/>
      <c r="GQ52" s="54"/>
      <c r="GR52" s="54"/>
      <c r="GS52" s="54"/>
      <c r="GT52" s="54"/>
      <c r="GU52" s="54"/>
      <c r="GV52" s="54"/>
      <c r="GW52" s="54"/>
      <c r="GX52" s="54"/>
      <c r="GY52" s="54"/>
      <c r="GZ52" s="54"/>
      <c r="HA52" s="54"/>
      <c r="HB52" s="54"/>
      <c r="HC52" s="54"/>
      <c r="HD52" s="54"/>
      <c r="HE52" s="54"/>
      <c r="HF52" s="54"/>
      <c r="HG52" s="54"/>
      <c r="HH52" s="54"/>
      <c r="HI52" s="54"/>
      <c r="HJ52" s="54"/>
      <c r="HK52" s="54"/>
      <c r="HL52" s="54"/>
      <c r="HM52" s="54"/>
      <c r="HN52" s="54"/>
      <c r="HO52" s="54"/>
      <c r="HP52" s="54"/>
      <c r="HQ52" s="54"/>
      <c r="HR52" s="54"/>
      <c r="HS52" s="54"/>
      <c r="HT52" s="54"/>
      <c r="HU52" s="54"/>
      <c r="HV52" s="54"/>
      <c r="HW52" s="54"/>
      <c r="HX52" s="54"/>
      <c r="HY52" s="54"/>
      <c r="HZ52" s="54"/>
      <c r="IA52" s="54"/>
      <c r="IB52" s="54"/>
      <c r="IC52" s="54"/>
      <c r="ID52" s="54"/>
      <c r="IE52" s="54"/>
      <c r="IF52" s="54"/>
      <c r="IG52" s="54"/>
      <c r="IH52" s="54"/>
      <c r="II52" s="54"/>
      <c r="IJ52" s="54"/>
      <c r="IK52" s="54"/>
      <c r="IL52" s="54"/>
      <c r="IM52" s="54"/>
      <c r="IN52" s="54"/>
      <c r="IO52" s="54"/>
      <c r="IP52" s="54"/>
      <c r="IQ52" s="54"/>
      <c r="IR52" s="54"/>
      <c r="IS52" s="54"/>
      <c r="IT52" s="54"/>
      <c r="IU52" s="54"/>
      <c r="IV52" s="54"/>
      <c r="IW52" s="54"/>
      <c r="IX52" s="54"/>
      <c r="IY52" s="54"/>
      <c r="IZ52" s="54"/>
      <c r="JA52" s="54"/>
      <c r="JB52" s="54"/>
      <c r="JC52" s="54"/>
      <c r="JD52" s="54"/>
      <c r="JE52" s="54"/>
      <c r="JF52" s="54"/>
      <c r="JG52" s="54"/>
      <c r="JH52" s="54"/>
      <c r="JI52" s="54"/>
      <c r="JJ52" s="54"/>
      <c r="JK52" s="54"/>
      <c r="JL52" s="54"/>
      <c r="JM52" s="54"/>
      <c r="JN52" s="54"/>
      <c r="JO52" s="54"/>
      <c r="JP52" s="54"/>
      <c r="JQ52" s="54"/>
      <c r="JR52" s="54"/>
      <c r="JS52" s="54"/>
      <c r="JT52" s="54"/>
      <c r="JU52" s="54"/>
      <c r="JV52" s="54"/>
      <c r="JW52" s="54"/>
      <c r="JX52" s="54"/>
      <c r="JY52" s="54"/>
      <c r="JZ52" s="54"/>
      <c r="KA52" s="54"/>
      <c r="KB52" s="54"/>
      <c r="KC52" s="54"/>
      <c r="KD52" s="54"/>
      <c r="KE52" s="54"/>
      <c r="KF52" s="54"/>
      <c r="KG52" s="54"/>
      <c r="KH52" s="54"/>
      <c r="KI52" s="54"/>
      <c r="KJ52" s="54"/>
      <c r="KK52" s="54"/>
      <c r="KL52" s="54"/>
      <c r="KM52" s="54"/>
      <c r="KN52" s="54"/>
      <c r="KO52" s="54"/>
      <c r="KP52" s="54"/>
      <c r="KQ52" s="54"/>
      <c r="KR52" s="54"/>
      <c r="KS52" s="54"/>
      <c r="KT52" s="54"/>
      <c r="KU52" s="54"/>
      <c r="KV52" s="54"/>
      <c r="KW52" s="54"/>
      <c r="KX52" s="54"/>
    </row>
    <row r="53" ht="5.25"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c r="DA53" s="54"/>
      <c r="DB53" s="56"/>
      <c r="DC53" s="56">
        <f>'Choose matchups (Main)'!Q10</f>
        <v>6</v>
      </c>
      <c r="DD53" s="92" t="str">
        <f t="array" ref="DD53">xlookup(DC53,data!$M$2:$M$17,data!$O$2:$O$17,"")</f>
        <v/>
      </c>
      <c r="DE53" s="8"/>
      <c r="DF53" s="8"/>
      <c r="DG53" s="8"/>
      <c r="DH53" s="93" t="str">
        <f t="array" ref="DH53">xlookup(DC53,data!$M$2:$M$17,data!$N$2:$N$17,"")</f>
        <v>Team 6 (Group 2)</v>
      </c>
      <c r="DI53" s="8"/>
      <c r="DJ53" s="8"/>
      <c r="DK53" s="8"/>
      <c r="DL53" s="8"/>
      <c r="DM53" s="8"/>
      <c r="DN53" s="8"/>
      <c r="DO53" s="8"/>
      <c r="DP53" s="8"/>
      <c r="DQ53" s="8"/>
      <c r="DR53" s="8"/>
      <c r="DS53" s="8"/>
      <c r="DT53" s="8"/>
      <c r="DU53" s="8"/>
      <c r="DV53" s="8"/>
      <c r="DW53" s="8"/>
      <c r="DX53" s="8"/>
      <c r="DY53" s="8"/>
      <c r="DZ53" s="8"/>
      <c r="EA53" s="8"/>
      <c r="EB53" s="8"/>
      <c r="EC53" s="8"/>
      <c r="ED53" s="94"/>
      <c r="EE53" s="8"/>
      <c r="EF53" s="8"/>
      <c r="EG53" s="9"/>
      <c r="EH53" s="95"/>
      <c r="EI53" s="8"/>
      <c r="EJ53" s="8"/>
      <c r="EK53" s="8"/>
      <c r="EL53" s="96" t="str">
        <f t="array" ref="EL53">xlookup(FL53,data!$M$2:$M$17,data!$N$2:$N$17,"")</f>
        <v>TBD</v>
      </c>
      <c r="EM53" s="8"/>
      <c r="EN53" s="8"/>
      <c r="EO53" s="8"/>
      <c r="EP53" s="8"/>
      <c r="EQ53" s="8"/>
      <c r="ER53" s="8"/>
      <c r="ES53" s="8"/>
      <c r="ET53" s="8"/>
      <c r="EU53" s="8"/>
      <c r="EV53" s="8"/>
      <c r="EW53" s="8"/>
      <c r="EX53" s="8"/>
      <c r="EY53" s="8"/>
      <c r="EZ53" s="8"/>
      <c r="FA53" s="8"/>
      <c r="FB53" s="8"/>
      <c r="FC53" s="8"/>
      <c r="FD53" s="8"/>
      <c r="FE53" s="8"/>
      <c r="FF53" s="8"/>
      <c r="FG53" s="8"/>
      <c r="FH53" s="97" t="str">
        <f t="array" ref="FH53">xlookup(FL53,data!$M$2:$M$17,data!$O$2:$O$17,"")</f>
        <v/>
      </c>
      <c r="FI53" s="8"/>
      <c r="FJ53" s="8"/>
      <c r="FK53" s="98"/>
      <c r="FL53" s="77">
        <f t="array" ref="FL53">xlookup(DC53,data!$M$2:$M$17,data!$P$2:$P$17,"")</f>
        <v>9</v>
      </c>
      <c r="FM53" s="56"/>
      <c r="FN53" s="54"/>
      <c r="FO53" s="54"/>
      <c r="FP53" s="54"/>
      <c r="FQ53" s="54"/>
      <c r="FR53" s="54"/>
      <c r="FS53" s="54"/>
      <c r="FT53" s="54"/>
      <c r="FU53" s="54"/>
      <c r="FV53" s="54"/>
      <c r="FW53" s="54"/>
      <c r="FX53" s="54"/>
      <c r="FY53" s="54"/>
      <c r="FZ53" s="54"/>
      <c r="GA53" s="54"/>
      <c r="GB53" s="54"/>
      <c r="GC53" s="54"/>
      <c r="GD53" s="54"/>
      <c r="GE53" s="54"/>
      <c r="GF53" s="54"/>
      <c r="GG53" s="54"/>
      <c r="GH53" s="54"/>
      <c r="GI53" s="54"/>
      <c r="GJ53" s="54"/>
      <c r="GK53" s="54"/>
      <c r="GL53" s="54"/>
      <c r="GM53" s="54"/>
      <c r="GN53" s="54"/>
      <c r="GO53" s="54"/>
      <c r="GP53" s="54"/>
      <c r="GQ53" s="54"/>
      <c r="GR53" s="54"/>
      <c r="GS53" s="54"/>
      <c r="GT53" s="54"/>
      <c r="GU53" s="54"/>
      <c r="GV53" s="54"/>
      <c r="GW53" s="54"/>
      <c r="GX53" s="54"/>
      <c r="GY53" s="54"/>
      <c r="GZ53" s="54"/>
      <c r="HA53" s="54"/>
      <c r="HB53" s="54"/>
      <c r="HC53" s="54"/>
      <c r="HD53" s="54"/>
      <c r="HE53" s="54"/>
      <c r="HF53" s="54"/>
      <c r="HG53" s="54"/>
      <c r="HH53" s="54"/>
      <c r="HI53" s="54"/>
      <c r="HJ53" s="54"/>
      <c r="HK53" s="54"/>
      <c r="HL53" s="54"/>
      <c r="HM53" s="54"/>
      <c r="HN53" s="54"/>
      <c r="HO53" s="54"/>
      <c r="HP53" s="54"/>
      <c r="HQ53" s="54"/>
      <c r="HR53" s="54"/>
      <c r="HS53" s="54"/>
      <c r="HT53" s="54"/>
      <c r="HU53" s="54"/>
      <c r="HV53" s="54"/>
      <c r="HW53" s="54"/>
      <c r="HX53" s="54"/>
      <c r="HY53" s="54"/>
      <c r="HZ53" s="54"/>
      <c r="IA53" s="54"/>
      <c r="IB53" s="54"/>
      <c r="IC53" s="54"/>
      <c r="ID53" s="54"/>
      <c r="IE53" s="54"/>
      <c r="IF53" s="54"/>
      <c r="IG53" s="54"/>
      <c r="IH53" s="54"/>
      <c r="II53" s="54"/>
      <c r="IJ53" s="54"/>
      <c r="IK53" s="54"/>
      <c r="IL53" s="54"/>
      <c r="IM53" s="54"/>
      <c r="IN53" s="54"/>
      <c r="IO53" s="54"/>
      <c r="IP53" s="54"/>
      <c r="IQ53" s="54"/>
      <c r="IR53" s="54"/>
      <c r="IS53" s="54"/>
      <c r="IT53" s="54"/>
      <c r="IU53" s="54"/>
      <c r="IV53" s="54"/>
      <c r="IW53" s="54"/>
      <c r="IX53" s="54"/>
      <c r="IY53" s="54"/>
      <c r="IZ53" s="54"/>
      <c r="JA53" s="54"/>
      <c r="JB53" s="54"/>
      <c r="JC53" s="54"/>
      <c r="JD53" s="54"/>
      <c r="JE53" s="54"/>
      <c r="JF53" s="54"/>
      <c r="JG53" s="54"/>
      <c r="JH53" s="54"/>
      <c r="JI53" s="54"/>
      <c r="JJ53" s="54"/>
      <c r="JK53" s="54"/>
      <c r="JL53" s="54"/>
      <c r="JM53" s="54"/>
      <c r="JN53" s="54"/>
      <c r="JO53" s="54"/>
      <c r="JP53" s="54"/>
      <c r="JQ53" s="54"/>
      <c r="JR53" s="54"/>
      <c r="JS53" s="54"/>
      <c r="JT53" s="54"/>
      <c r="JU53" s="54"/>
      <c r="JV53" s="54"/>
      <c r="JW53" s="54"/>
      <c r="JX53" s="54"/>
      <c r="JY53" s="54"/>
      <c r="JZ53" s="54"/>
      <c r="KA53" s="54"/>
      <c r="KB53" s="54"/>
      <c r="KC53" s="54"/>
      <c r="KD53" s="54"/>
      <c r="KE53" s="54"/>
      <c r="KF53" s="54"/>
      <c r="KG53" s="54"/>
      <c r="KH53" s="54"/>
      <c r="KI53" s="54"/>
      <c r="KJ53" s="54"/>
      <c r="KK53" s="54"/>
      <c r="KL53" s="54"/>
      <c r="KM53" s="54"/>
      <c r="KN53" s="54"/>
      <c r="KO53" s="54"/>
      <c r="KP53" s="54"/>
      <c r="KQ53" s="54"/>
      <c r="KR53" s="54"/>
      <c r="KS53" s="54"/>
      <c r="KT53" s="54"/>
      <c r="KU53" s="54"/>
      <c r="KV53" s="54"/>
      <c r="KW53" s="54"/>
      <c r="KX53" s="54"/>
    </row>
    <row r="54" ht="5.25"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4"/>
      <c r="BZ54" s="54"/>
      <c r="CA54" s="54"/>
      <c r="CB54" s="54"/>
      <c r="CC54" s="54"/>
      <c r="CD54" s="54"/>
      <c r="CE54" s="54"/>
      <c r="CF54" s="54"/>
      <c r="CG54" s="54"/>
      <c r="CH54" s="54"/>
      <c r="CI54" s="54"/>
      <c r="CJ54" s="54"/>
      <c r="CK54" s="54"/>
      <c r="CL54" s="54"/>
      <c r="CM54" s="54"/>
      <c r="CN54" s="54"/>
      <c r="CO54" s="54"/>
      <c r="CP54" s="54"/>
      <c r="CQ54" s="54"/>
      <c r="CR54" s="54"/>
      <c r="CS54" s="54"/>
      <c r="CT54" s="54"/>
      <c r="CU54" s="54"/>
      <c r="CV54" s="54"/>
      <c r="CW54" s="54"/>
      <c r="CX54" s="54"/>
      <c r="CY54" s="54"/>
      <c r="CZ54" s="54"/>
      <c r="DA54" s="54"/>
      <c r="DB54" s="56"/>
      <c r="DC54" s="56"/>
      <c r="DD54" s="60"/>
      <c r="EG54" s="11"/>
      <c r="EH54" s="10"/>
      <c r="FK54" s="61"/>
      <c r="FL54" s="56"/>
      <c r="FM54" s="56"/>
      <c r="FN54" s="54"/>
      <c r="FO54" s="54"/>
      <c r="FP54" s="54"/>
      <c r="FQ54" s="54"/>
      <c r="FR54" s="54"/>
      <c r="FS54" s="54"/>
      <c r="FT54" s="54"/>
      <c r="FU54" s="54"/>
      <c r="FV54" s="54"/>
      <c r="FW54" s="54"/>
      <c r="FX54" s="54"/>
      <c r="FY54" s="54"/>
      <c r="FZ54" s="54"/>
      <c r="GA54" s="54"/>
      <c r="GB54" s="54"/>
      <c r="GC54" s="54"/>
      <c r="GD54" s="54"/>
      <c r="GE54" s="54"/>
      <c r="GF54" s="54"/>
      <c r="GG54" s="54"/>
      <c r="GH54" s="54"/>
      <c r="GI54" s="54"/>
      <c r="GJ54" s="54"/>
      <c r="GK54" s="54"/>
      <c r="GL54" s="54"/>
      <c r="GM54" s="54"/>
      <c r="GN54" s="54"/>
      <c r="GO54" s="54"/>
      <c r="GP54" s="54"/>
      <c r="GQ54" s="54"/>
      <c r="GR54" s="54"/>
      <c r="GS54" s="54"/>
      <c r="GT54" s="54"/>
      <c r="GU54" s="54"/>
      <c r="GV54" s="54"/>
      <c r="GW54" s="54"/>
      <c r="GX54" s="54"/>
      <c r="GY54" s="54"/>
      <c r="GZ54" s="54"/>
      <c r="HA54" s="54"/>
      <c r="HB54" s="54"/>
      <c r="HC54" s="54"/>
      <c r="HD54" s="54"/>
      <c r="HE54" s="54"/>
      <c r="HF54" s="54"/>
      <c r="HG54" s="54"/>
      <c r="HH54" s="54"/>
      <c r="HI54" s="54"/>
      <c r="HJ54" s="54"/>
      <c r="HK54" s="54"/>
      <c r="HL54" s="54"/>
      <c r="HM54" s="54"/>
      <c r="HN54" s="54"/>
      <c r="HO54" s="54"/>
      <c r="HP54" s="54"/>
      <c r="HQ54" s="54"/>
      <c r="HR54" s="54"/>
      <c r="HS54" s="54"/>
      <c r="HT54" s="54"/>
      <c r="HU54" s="54"/>
      <c r="HV54" s="54"/>
      <c r="HW54" s="54"/>
      <c r="HX54" s="54"/>
      <c r="HY54" s="54"/>
      <c r="HZ54" s="54"/>
      <c r="IA54" s="54"/>
      <c r="IB54" s="54"/>
      <c r="IC54" s="54"/>
      <c r="ID54" s="54"/>
      <c r="IE54" s="54"/>
      <c r="IF54" s="54"/>
      <c r="IG54" s="54"/>
      <c r="IH54" s="54"/>
      <c r="II54" s="54"/>
      <c r="IJ54" s="54"/>
      <c r="IK54" s="54"/>
      <c r="IL54" s="54"/>
      <c r="IM54" s="54"/>
      <c r="IN54" s="54"/>
      <c r="IO54" s="54"/>
      <c r="IP54" s="54"/>
      <c r="IQ54" s="54"/>
      <c r="IR54" s="54"/>
      <c r="IS54" s="54"/>
      <c r="IT54" s="54"/>
      <c r="IU54" s="54"/>
      <c r="IV54" s="54"/>
      <c r="IW54" s="54"/>
      <c r="IX54" s="54"/>
      <c r="IY54" s="54"/>
      <c r="IZ54" s="54"/>
      <c r="JA54" s="54"/>
      <c r="JB54" s="54"/>
      <c r="JC54" s="54"/>
      <c r="JD54" s="54"/>
      <c r="JE54" s="54"/>
      <c r="JF54" s="54"/>
      <c r="JG54" s="54"/>
      <c r="JH54" s="54"/>
      <c r="JI54" s="54"/>
      <c r="JJ54" s="54"/>
      <c r="JK54" s="54"/>
      <c r="JL54" s="54"/>
      <c r="JM54" s="54"/>
      <c r="JN54" s="54"/>
      <c r="JO54" s="54"/>
      <c r="JP54" s="54"/>
      <c r="JQ54" s="54"/>
      <c r="JR54" s="54"/>
      <c r="JS54" s="54"/>
      <c r="JT54" s="54"/>
      <c r="JU54" s="54"/>
      <c r="JV54" s="54"/>
      <c r="JW54" s="54"/>
      <c r="JX54" s="54"/>
      <c r="JY54" s="54"/>
      <c r="JZ54" s="54"/>
      <c r="KA54" s="54"/>
      <c r="KB54" s="54"/>
      <c r="KC54" s="54"/>
      <c r="KD54" s="54"/>
      <c r="KE54" s="54"/>
      <c r="KF54" s="54"/>
      <c r="KG54" s="54"/>
      <c r="KH54" s="54"/>
      <c r="KI54" s="54"/>
      <c r="KJ54" s="54"/>
      <c r="KK54" s="54"/>
      <c r="KL54" s="54"/>
      <c r="KM54" s="54"/>
      <c r="KN54" s="54"/>
      <c r="KO54" s="54"/>
      <c r="KP54" s="54"/>
      <c r="KQ54" s="54"/>
      <c r="KR54" s="54"/>
      <c r="KS54" s="54"/>
      <c r="KT54" s="54"/>
      <c r="KU54" s="54"/>
      <c r="KV54" s="54"/>
      <c r="KW54" s="54"/>
      <c r="KX54" s="54"/>
    </row>
    <row r="55" ht="5.25"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c r="CA55" s="54"/>
      <c r="CB55" s="54"/>
      <c r="CC55" s="54"/>
      <c r="CD55" s="54"/>
      <c r="CE55" s="54"/>
      <c r="CF55" s="54"/>
      <c r="CG55" s="54"/>
      <c r="CH55" s="54"/>
      <c r="CI55" s="54"/>
      <c r="CJ55" s="54"/>
      <c r="CK55" s="54"/>
      <c r="CL55" s="54"/>
      <c r="CM55" s="54"/>
      <c r="CN55" s="54"/>
      <c r="CO55" s="54"/>
      <c r="CP55" s="54"/>
      <c r="CQ55" s="54"/>
      <c r="CR55" s="54"/>
      <c r="CS55" s="54"/>
      <c r="CT55" s="54"/>
      <c r="CU55" s="54"/>
      <c r="CV55" s="54"/>
      <c r="CW55" s="54"/>
      <c r="CX55" s="54"/>
      <c r="CY55" s="54"/>
      <c r="CZ55" s="54"/>
      <c r="DA55" s="54"/>
      <c r="DB55" s="56"/>
      <c r="DC55" s="56"/>
      <c r="DD55" s="60"/>
      <c r="EG55" s="11"/>
      <c r="EH55" s="10"/>
      <c r="FK55" s="61"/>
      <c r="FL55" s="56"/>
      <c r="FM55" s="56"/>
      <c r="FN55" s="54"/>
      <c r="FO55" s="54"/>
      <c r="FP55" s="54"/>
      <c r="FQ55" s="54"/>
      <c r="FR55" s="54"/>
      <c r="FS55" s="54"/>
      <c r="FT55" s="54"/>
      <c r="FU55" s="54"/>
      <c r="FV55" s="54"/>
      <c r="FW55" s="54"/>
      <c r="FX55" s="54"/>
      <c r="FY55" s="54"/>
      <c r="FZ55" s="54"/>
      <c r="GA55" s="54"/>
      <c r="GB55" s="54"/>
      <c r="GC55" s="54"/>
      <c r="GD55" s="54"/>
      <c r="GE55" s="54"/>
      <c r="GF55" s="54"/>
      <c r="GG55" s="54"/>
      <c r="GH55" s="54"/>
      <c r="GI55" s="54"/>
      <c r="GJ55" s="54"/>
      <c r="GK55" s="54"/>
      <c r="GL55" s="54"/>
      <c r="GM55" s="54"/>
      <c r="GN55" s="54"/>
      <c r="GO55" s="54"/>
      <c r="GP55" s="54"/>
      <c r="GQ55" s="54"/>
      <c r="GR55" s="54"/>
      <c r="GS55" s="54"/>
      <c r="GT55" s="54"/>
      <c r="GU55" s="54"/>
      <c r="GV55" s="54"/>
      <c r="GW55" s="54"/>
      <c r="GX55" s="54"/>
      <c r="GY55" s="54"/>
      <c r="GZ55" s="54"/>
      <c r="HA55" s="54"/>
      <c r="HB55" s="54"/>
      <c r="HC55" s="54"/>
      <c r="HD55" s="54"/>
      <c r="HE55" s="54"/>
      <c r="HF55" s="54"/>
      <c r="HG55" s="54"/>
      <c r="HH55" s="54"/>
      <c r="HI55" s="54"/>
      <c r="HJ55" s="54"/>
      <c r="HK55" s="54"/>
      <c r="HL55" s="54"/>
      <c r="HM55" s="54"/>
      <c r="HN55" s="54"/>
      <c r="HO55" s="54"/>
      <c r="HP55" s="54"/>
      <c r="HQ55" s="54"/>
      <c r="HR55" s="54"/>
      <c r="HS55" s="54"/>
      <c r="HT55" s="54"/>
      <c r="HU55" s="54"/>
      <c r="HV55" s="54"/>
      <c r="HW55" s="54"/>
      <c r="HX55" s="54"/>
      <c r="HY55" s="54"/>
      <c r="HZ55" s="54"/>
      <c r="IA55" s="54"/>
      <c r="IB55" s="54"/>
      <c r="IC55" s="54"/>
      <c r="ID55" s="54"/>
      <c r="IE55" s="54"/>
      <c r="IF55" s="54"/>
      <c r="IG55" s="54"/>
      <c r="IH55" s="54"/>
      <c r="II55" s="54"/>
      <c r="IJ55" s="54"/>
      <c r="IK55" s="54"/>
      <c r="IL55" s="54"/>
      <c r="IM55" s="54"/>
      <c r="IN55" s="54"/>
      <c r="IO55" s="54"/>
      <c r="IP55" s="54"/>
      <c r="IQ55" s="54"/>
      <c r="IR55" s="54"/>
      <c r="IS55" s="54"/>
      <c r="IT55" s="54"/>
      <c r="IU55" s="54"/>
      <c r="IV55" s="54"/>
      <c r="IW55" s="54"/>
      <c r="IX55" s="54"/>
      <c r="IY55" s="54"/>
      <c r="IZ55" s="54"/>
      <c r="JA55" s="54"/>
      <c r="JB55" s="54"/>
      <c r="JC55" s="54"/>
      <c r="JD55" s="54"/>
      <c r="JE55" s="54"/>
      <c r="JF55" s="54"/>
      <c r="JG55" s="54"/>
      <c r="JH55" s="54"/>
      <c r="JI55" s="54"/>
      <c r="JJ55" s="54"/>
      <c r="JK55" s="54"/>
      <c r="JL55" s="54"/>
      <c r="JM55" s="54"/>
      <c r="JN55" s="54"/>
      <c r="JO55" s="54"/>
      <c r="JP55" s="54"/>
      <c r="JQ55" s="54"/>
      <c r="JR55" s="54"/>
      <c r="JS55" s="54"/>
      <c r="JT55" s="54"/>
      <c r="JU55" s="54"/>
      <c r="JV55" s="54"/>
      <c r="JW55" s="54"/>
      <c r="JX55" s="54"/>
      <c r="JY55" s="54"/>
      <c r="JZ55" s="54"/>
      <c r="KA55" s="54"/>
      <c r="KB55" s="54"/>
      <c r="KC55" s="54"/>
      <c r="KD55" s="54"/>
      <c r="KE55" s="54"/>
      <c r="KF55" s="54"/>
      <c r="KG55" s="54"/>
      <c r="KH55" s="54"/>
      <c r="KI55" s="54"/>
      <c r="KJ55" s="54"/>
      <c r="KK55" s="54"/>
      <c r="KL55" s="54"/>
      <c r="KM55" s="54"/>
      <c r="KN55" s="54"/>
      <c r="KO55" s="54"/>
      <c r="KP55" s="54"/>
      <c r="KQ55" s="54"/>
      <c r="KR55" s="54"/>
      <c r="KS55" s="54"/>
      <c r="KT55" s="54"/>
      <c r="KU55" s="54"/>
      <c r="KV55" s="54"/>
      <c r="KW55" s="54"/>
      <c r="KX55" s="54"/>
    </row>
    <row r="56" ht="5.25"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c r="CA56" s="54"/>
      <c r="CB56" s="54"/>
      <c r="CC56" s="54"/>
      <c r="CD56" s="54"/>
      <c r="CE56" s="54"/>
      <c r="CF56" s="54"/>
      <c r="CG56" s="54"/>
      <c r="CH56" s="54"/>
      <c r="CI56" s="54"/>
      <c r="CJ56" s="54"/>
      <c r="CK56" s="54"/>
      <c r="CL56" s="54"/>
      <c r="CM56" s="54"/>
      <c r="CN56" s="54"/>
      <c r="CO56" s="54"/>
      <c r="CP56" s="54"/>
      <c r="CQ56" s="54"/>
      <c r="CR56" s="54"/>
      <c r="CS56" s="54"/>
      <c r="CT56" s="54"/>
      <c r="CU56" s="54"/>
      <c r="CV56" s="54"/>
      <c r="CW56" s="54"/>
      <c r="CX56" s="54"/>
      <c r="CY56" s="54"/>
      <c r="CZ56" s="54"/>
      <c r="DA56" s="54"/>
      <c r="DB56" s="56"/>
      <c r="DC56" s="56"/>
      <c r="DD56" s="60"/>
      <c r="EG56" s="11"/>
      <c r="EH56" s="10"/>
      <c r="FK56" s="61"/>
      <c r="FL56" s="56"/>
      <c r="FM56" s="56"/>
      <c r="FN56" s="54"/>
      <c r="FO56" s="54"/>
      <c r="FP56" s="54"/>
      <c r="FQ56" s="54"/>
      <c r="FR56" s="54"/>
      <c r="FS56" s="54"/>
      <c r="FT56" s="54"/>
      <c r="FU56" s="54"/>
      <c r="FV56" s="54"/>
      <c r="FW56" s="54"/>
      <c r="FX56" s="54"/>
      <c r="FY56" s="54"/>
      <c r="FZ56" s="54"/>
      <c r="GA56" s="54"/>
      <c r="GB56" s="54"/>
      <c r="GC56" s="54"/>
      <c r="GD56" s="54"/>
      <c r="GE56" s="54"/>
      <c r="GF56" s="54"/>
      <c r="GG56" s="54"/>
      <c r="GH56" s="54"/>
      <c r="GI56" s="54"/>
      <c r="GJ56" s="54"/>
      <c r="GK56" s="54"/>
      <c r="GL56" s="54"/>
      <c r="GM56" s="54"/>
      <c r="GN56" s="54"/>
      <c r="GO56" s="54"/>
      <c r="GP56" s="54"/>
      <c r="GQ56" s="54"/>
      <c r="GR56" s="54"/>
      <c r="GS56" s="54"/>
      <c r="GT56" s="54"/>
      <c r="GU56" s="54"/>
      <c r="GV56" s="54"/>
      <c r="GW56" s="54"/>
      <c r="GX56" s="54"/>
      <c r="GY56" s="54"/>
      <c r="GZ56" s="54"/>
      <c r="HA56" s="54"/>
      <c r="HB56" s="54"/>
      <c r="HC56" s="54"/>
      <c r="HD56" s="54"/>
      <c r="HE56" s="54"/>
      <c r="HF56" s="54"/>
      <c r="HG56" s="54"/>
      <c r="HH56" s="54"/>
      <c r="HI56" s="54"/>
      <c r="HJ56" s="54"/>
      <c r="HK56" s="54"/>
      <c r="HL56" s="54"/>
      <c r="HM56" s="54"/>
      <c r="HN56" s="54"/>
      <c r="HO56" s="54"/>
      <c r="HP56" s="54"/>
      <c r="HQ56" s="54"/>
      <c r="HR56" s="54"/>
      <c r="HS56" s="54"/>
      <c r="HT56" s="54"/>
      <c r="HU56" s="54"/>
      <c r="HV56" s="54"/>
      <c r="HW56" s="54"/>
      <c r="HX56" s="54"/>
      <c r="HY56" s="54"/>
      <c r="HZ56" s="54"/>
      <c r="IA56" s="54"/>
      <c r="IB56" s="54"/>
      <c r="IC56" s="54"/>
      <c r="ID56" s="54"/>
      <c r="IE56" s="54"/>
      <c r="IF56" s="54"/>
      <c r="IG56" s="54"/>
      <c r="IH56" s="54"/>
      <c r="II56" s="54"/>
      <c r="IJ56" s="54"/>
      <c r="IK56" s="54"/>
      <c r="IL56" s="54"/>
      <c r="IM56" s="54"/>
      <c r="IN56" s="54"/>
      <c r="IO56" s="54"/>
      <c r="IP56" s="54"/>
      <c r="IQ56" s="54"/>
      <c r="IR56" s="54"/>
      <c r="IS56" s="54"/>
      <c r="IT56" s="54"/>
      <c r="IU56" s="54"/>
      <c r="IV56" s="54"/>
      <c r="IW56" s="54"/>
      <c r="IX56" s="54"/>
      <c r="IY56" s="54"/>
      <c r="IZ56" s="54"/>
      <c r="JA56" s="54"/>
      <c r="JB56" s="54"/>
      <c r="JC56" s="54"/>
      <c r="JD56" s="54"/>
      <c r="JE56" s="54"/>
      <c r="JF56" s="54"/>
      <c r="JG56" s="54"/>
      <c r="JH56" s="54"/>
      <c r="JI56" s="54"/>
      <c r="JJ56" s="54"/>
      <c r="JK56" s="54"/>
      <c r="JL56" s="54"/>
      <c r="JM56" s="54"/>
      <c r="JN56" s="54"/>
      <c r="JO56" s="54"/>
      <c r="JP56" s="54"/>
      <c r="JQ56" s="54"/>
      <c r="JR56" s="54"/>
      <c r="JS56" s="54"/>
      <c r="JT56" s="54"/>
      <c r="JU56" s="54"/>
      <c r="JV56" s="54"/>
      <c r="JW56" s="54"/>
      <c r="JX56" s="54"/>
      <c r="JY56" s="54"/>
      <c r="JZ56" s="54"/>
      <c r="KA56" s="54"/>
      <c r="KB56" s="54"/>
      <c r="KC56" s="54"/>
      <c r="KD56" s="54"/>
      <c r="KE56" s="54"/>
      <c r="KF56" s="54"/>
      <c r="KG56" s="54"/>
      <c r="KH56" s="54"/>
      <c r="KI56" s="54"/>
      <c r="KJ56" s="54"/>
      <c r="KK56" s="54"/>
      <c r="KL56" s="54"/>
      <c r="KM56" s="54"/>
      <c r="KN56" s="54"/>
      <c r="KO56" s="54"/>
      <c r="KP56" s="54"/>
      <c r="KQ56" s="54"/>
      <c r="KR56" s="54"/>
      <c r="KS56" s="54"/>
      <c r="KT56" s="54"/>
      <c r="KU56" s="54"/>
      <c r="KV56" s="54"/>
      <c r="KW56" s="54"/>
      <c r="KX56" s="54"/>
    </row>
    <row r="57" ht="5.2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c r="BU57" s="54"/>
      <c r="BV57" s="54"/>
      <c r="BW57" s="54"/>
      <c r="BX57" s="54"/>
      <c r="BY57" s="54"/>
      <c r="BZ57" s="54"/>
      <c r="CA57" s="54"/>
      <c r="CB57" s="54"/>
      <c r="CC57" s="54"/>
      <c r="CD57" s="54"/>
      <c r="CE57" s="54"/>
      <c r="CF57" s="54"/>
      <c r="CG57" s="54"/>
      <c r="CH57" s="54"/>
      <c r="CI57" s="54"/>
      <c r="CJ57" s="54"/>
      <c r="CK57" s="54"/>
      <c r="CL57" s="54"/>
      <c r="CM57" s="54"/>
      <c r="CN57" s="54"/>
      <c r="CO57" s="54"/>
      <c r="CP57" s="54"/>
      <c r="CQ57" s="54"/>
      <c r="CR57" s="54"/>
      <c r="CS57" s="54"/>
      <c r="CT57" s="54"/>
      <c r="CU57" s="54"/>
      <c r="CV57" s="54"/>
      <c r="CW57" s="54"/>
      <c r="CX57" s="54"/>
      <c r="CY57" s="54"/>
      <c r="CZ57" s="54"/>
      <c r="DA57" s="54"/>
      <c r="DB57" s="56"/>
      <c r="DC57" s="56">
        <f>DC53</f>
        <v>6</v>
      </c>
      <c r="DD57" s="64"/>
      <c r="DL57" s="83"/>
      <c r="DN57" s="11"/>
      <c r="DO57" s="84"/>
      <c r="DQ57" s="11"/>
      <c r="DR57" s="84"/>
      <c r="DU57" s="54"/>
      <c r="ED57" s="85">
        <f>sum(DL57:DT59)</f>
        <v>0</v>
      </c>
      <c r="EG57" s="11"/>
      <c r="EH57" s="86">
        <f>sum(EU57:FC59)</f>
        <v>0</v>
      </c>
      <c r="EL57" s="54"/>
      <c r="EM57" s="54"/>
      <c r="EN57" s="54"/>
      <c r="EO57" s="54"/>
      <c r="EP57" s="54"/>
      <c r="EQ57" s="54"/>
      <c r="ER57" s="54"/>
      <c r="ES57" s="54"/>
      <c r="ET57" s="54"/>
      <c r="EU57" s="83"/>
      <c r="EW57" s="11"/>
      <c r="EX57" s="84"/>
      <c r="EZ57" s="11"/>
      <c r="FA57" s="84"/>
      <c r="FD57" s="68"/>
      <c r="FE57" s="54"/>
      <c r="FF57" s="54"/>
      <c r="FG57" s="54"/>
      <c r="FH57" s="54"/>
      <c r="FI57" s="54"/>
      <c r="FJ57" s="54"/>
      <c r="FK57" s="69"/>
      <c r="FL57" s="56">
        <f>FL53</f>
        <v>9</v>
      </c>
      <c r="FM57" s="56"/>
      <c r="FN57" s="54"/>
      <c r="FO57" s="54"/>
      <c r="FP57" s="54"/>
      <c r="FQ57" s="54"/>
      <c r="FR57" s="54"/>
      <c r="FS57" s="54"/>
      <c r="FT57" s="54"/>
      <c r="FU57" s="54"/>
      <c r="FV57" s="54"/>
      <c r="FW57" s="54"/>
      <c r="FX57" s="54"/>
      <c r="FY57" s="54"/>
      <c r="FZ57" s="54"/>
      <c r="GA57" s="54"/>
      <c r="GB57" s="54"/>
      <c r="GC57" s="54"/>
      <c r="GD57" s="54"/>
      <c r="GE57" s="54"/>
      <c r="GF57" s="54"/>
      <c r="GG57" s="54"/>
      <c r="GH57" s="54"/>
      <c r="GI57" s="54"/>
      <c r="GJ57" s="54"/>
      <c r="GK57" s="54"/>
      <c r="GL57" s="54"/>
      <c r="GM57" s="54"/>
      <c r="GN57" s="54"/>
      <c r="GO57" s="54"/>
      <c r="GP57" s="54"/>
      <c r="GQ57" s="54"/>
      <c r="GR57" s="54"/>
      <c r="GS57" s="54"/>
      <c r="GT57" s="54"/>
      <c r="GU57" s="54"/>
      <c r="GV57" s="54"/>
      <c r="GW57" s="54"/>
      <c r="GX57" s="54"/>
      <c r="GY57" s="54"/>
      <c r="GZ57" s="54"/>
      <c r="HA57" s="54"/>
      <c r="HB57" s="54"/>
      <c r="HC57" s="54"/>
      <c r="HD57" s="54"/>
      <c r="HE57" s="54"/>
      <c r="HF57" s="54"/>
      <c r="HG57" s="54"/>
      <c r="HH57" s="54"/>
      <c r="HI57" s="54"/>
      <c r="HJ57" s="54"/>
      <c r="HK57" s="54"/>
      <c r="HL57" s="54"/>
      <c r="HM57" s="54"/>
      <c r="HN57" s="54"/>
      <c r="HO57" s="54"/>
      <c r="HP57" s="54"/>
      <c r="HQ57" s="54"/>
      <c r="HR57" s="54"/>
      <c r="HS57" s="54"/>
      <c r="HT57" s="54"/>
      <c r="HU57" s="54"/>
      <c r="HV57" s="54"/>
      <c r="HW57" s="54"/>
      <c r="HX57" s="54"/>
      <c r="HY57" s="54"/>
      <c r="HZ57" s="54"/>
      <c r="IA57" s="54"/>
      <c r="IB57" s="54"/>
      <c r="IC57" s="54"/>
      <c r="ID57" s="54"/>
      <c r="IE57" s="54"/>
      <c r="IF57" s="54"/>
      <c r="IG57" s="54"/>
      <c r="IH57" s="54"/>
      <c r="II57" s="54"/>
      <c r="IJ57" s="54"/>
      <c r="IK57" s="54"/>
      <c r="IL57" s="54"/>
      <c r="IM57" s="54"/>
      <c r="IN57" s="54"/>
      <c r="IO57" s="54"/>
      <c r="IP57" s="54"/>
      <c r="IQ57" s="54"/>
      <c r="IR57" s="54"/>
      <c r="IS57" s="54"/>
      <c r="IT57" s="54"/>
      <c r="IU57" s="54"/>
      <c r="IV57" s="54"/>
      <c r="IW57" s="54"/>
      <c r="IX57" s="54"/>
      <c r="IY57" s="54"/>
      <c r="IZ57" s="54"/>
      <c r="JA57" s="54"/>
      <c r="JB57" s="54"/>
      <c r="JC57" s="54"/>
      <c r="JD57" s="54"/>
      <c r="JE57" s="54"/>
      <c r="JF57" s="54"/>
      <c r="JG57" s="54"/>
      <c r="JH57" s="54"/>
      <c r="JI57" s="54"/>
      <c r="JJ57" s="54"/>
      <c r="JK57" s="54"/>
      <c r="JL57" s="54"/>
      <c r="JM57" s="54"/>
      <c r="JN57" s="54"/>
      <c r="JO57" s="54"/>
      <c r="JP57" s="54"/>
      <c r="JQ57" s="54"/>
      <c r="JR57" s="54"/>
      <c r="JS57" s="54"/>
      <c r="JT57" s="54"/>
      <c r="JU57" s="54"/>
      <c r="JV57" s="54"/>
      <c r="JW57" s="54"/>
      <c r="JX57" s="54"/>
      <c r="JY57" s="54"/>
      <c r="JZ57" s="54"/>
      <c r="KA57" s="54"/>
      <c r="KB57" s="54"/>
      <c r="KC57" s="54"/>
      <c r="KD57" s="54"/>
      <c r="KE57" s="54"/>
      <c r="KF57" s="54"/>
      <c r="KG57" s="54"/>
      <c r="KH57" s="54"/>
      <c r="KI57" s="54"/>
      <c r="KJ57" s="54"/>
      <c r="KK57" s="54"/>
      <c r="KL57" s="54"/>
      <c r="KM57" s="54"/>
      <c r="KN57" s="54"/>
      <c r="KO57" s="54"/>
      <c r="KP57" s="54"/>
      <c r="KQ57" s="54"/>
      <c r="KR57" s="54"/>
      <c r="KS57" s="54"/>
      <c r="KT57" s="54"/>
      <c r="KU57" s="54"/>
      <c r="KV57" s="54"/>
      <c r="KW57" s="54"/>
      <c r="KX57" s="54"/>
    </row>
    <row r="58" ht="5.2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c r="CA58" s="54"/>
      <c r="CB58" s="54"/>
      <c r="CC58" s="54"/>
      <c r="CD58" s="54"/>
      <c r="CE58" s="54"/>
      <c r="CF58" s="54"/>
      <c r="CG58" s="54"/>
      <c r="CH58" s="54"/>
      <c r="CI58" s="54"/>
      <c r="CJ58" s="54"/>
      <c r="CK58" s="54"/>
      <c r="CL58" s="54"/>
      <c r="CM58" s="54"/>
      <c r="CN58" s="54"/>
      <c r="CO58" s="54"/>
      <c r="CP58" s="54"/>
      <c r="CQ58" s="54"/>
      <c r="CR58" s="54"/>
      <c r="CS58" s="54"/>
      <c r="CT58" s="54"/>
      <c r="CU58" s="54"/>
      <c r="CV58" s="54"/>
      <c r="CW58" s="54"/>
      <c r="CX58" s="54"/>
      <c r="CY58" s="54"/>
      <c r="CZ58" s="54"/>
      <c r="DA58" s="54"/>
      <c r="DB58" s="56"/>
      <c r="DC58" s="56"/>
      <c r="DD58" s="60"/>
      <c r="DN58" s="11"/>
      <c r="DO58" s="10"/>
      <c r="DQ58" s="11"/>
      <c r="DR58" s="10"/>
      <c r="EG58" s="11"/>
      <c r="EH58" s="10"/>
      <c r="EL58" s="54"/>
      <c r="EM58" s="54"/>
      <c r="EN58" s="54"/>
      <c r="EO58" s="54"/>
      <c r="EP58" s="54"/>
      <c r="EQ58" s="54"/>
      <c r="ER58" s="54"/>
      <c r="ES58" s="54"/>
      <c r="ET58" s="54"/>
      <c r="EW58" s="11"/>
      <c r="EX58" s="10"/>
      <c r="EZ58" s="11"/>
      <c r="FA58" s="10"/>
      <c r="FD58" s="68"/>
      <c r="FE58" s="54"/>
      <c r="FF58" s="54"/>
      <c r="FG58" s="54"/>
      <c r="FH58" s="54"/>
      <c r="FI58" s="54"/>
      <c r="FJ58" s="54"/>
      <c r="FK58" s="69"/>
      <c r="FL58" s="56"/>
      <c r="FM58" s="56"/>
      <c r="FN58" s="54"/>
      <c r="FO58" s="54"/>
      <c r="FP58" s="54"/>
      <c r="FQ58" s="54"/>
      <c r="FR58" s="54"/>
      <c r="FS58" s="54"/>
      <c r="FT58" s="54"/>
      <c r="FU58" s="54"/>
      <c r="FV58" s="54"/>
      <c r="FW58" s="54"/>
      <c r="FX58" s="54"/>
      <c r="FY58" s="54"/>
      <c r="FZ58" s="54"/>
      <c r="GA58" s="54"/>
      <c r="GB58" s="54"/>
      <c r="GC58" s="54"/>
      <c r="GD58" s="54"/>
      <c r="GE58" s="54"/>
      <c r="GF58" s="54"/>
      <c r="GG58" s="54"/>
      <c r="GH58" s="54"/>
      <c r="GI58" s="54"/>
      <c r="GJ58" s="54"/>
      <c r="GK58" s="54"/>
      <c r="GL58" s="54"/>
      <c r="GM58" s="54"/>
      <c r="GN58" s="54"/>
      <c r="GO58" s="54"/>
      <c r="GP58" s="54"/>
      <c r="GQ58" s="54"/>
      <c r="GR58" s="54"/>
      <c r="GS58" s="54"/>
      <c r="GT58" s="54"/>
      <c r="GU58" s="54"/>
      <c r="GV58" s="54"/>
      <c r="GW58" s="54"/>
      <c r="GX58" s="54"/>
      <c r="GY58" s="54"/>
      <c r="GZ58" s="54"/>
      <c r="HA58" s="54"/>
      <c r="HB58" s="54"/>
      <c r="HC58" s="54"/>
      <c r="HD58" s="54"/>
      <c r="HE58" s="54"/>
      <c r="HF58" s="54"/>
      <c r="HG58" s="54"/>
      <c r="HH58" s="54"/>
      <c r="HI58" s="54"/>
      <c r="HJ58" s="54"/>
      <c r="HK58" s="54"/>
      <c r="HL58" s="54"/>
      <c r="HM58" s="54"/>
      <c r="HN58" s="54"/>
      <c r="HO58" s="54"/>
      <c r="HP58" s="54"/>
      <c r="HQ58" s="54"/>
      <c r="HR58" s="54"/>
      <c r="HS58" s="54"/>
      <c r="HT58" s="54"/>
      <c r="HU58" s="54"/>
      <c r="HV58" s="54"/>
      <c r="HW58" s="54"/>
      <c r="HX58" s="54"/>
      <c r="HY58" s="54"/>
      <c r="HZ58" s="54"/>
      <c r="IA58" s="54"/>
      <c r="IB58" s="54"/>
      <c r="IC58" s="54"/>
      <c r="ID58" s="54"/>
      <c r="IE58" s="54"/>
      <c r="IF58" s="54"/>
      <c r="IG58" s="54"/>
      <c r="IH58" s="54"/>
      <c r="II58" s="54"/>
      <c r="IJ58" s="54"/>
      <c r="IK58" s="54"/>
      <c r="IL58" s="54"/>
      <c r="IM58" s="54"/>
      <c r="IN58" s="54"/>
      <c r="IO58" s="54"/>
      <c r="IP58" s="54"/>
      <c r="IQ58" s="54"/>
      <c r="IR58" s="54"/>
      <c r="IS58" s="54"/>
      <c r="IT58" s="54"/>
      <c r="IU58" s="54"/>
      <c r="IV58" s="54"/>
      <c r="IW58" s="54"/>
      <c r="IX58" s="54"/>
      <c r="IY58" s="54"/>
      <c r="IZ58" s="54"/>
      <c r="JA58" s="54"/>
      <c r="JB58" s="54"/>
      <c r="JC58" s="54"/>
      <c r="JD58" s="54"/>
      <c r="JE58" s="54"/>
      <c r="JF58" s="54"/>
      <c r="JG58" s="54"/>
      <c r="JH58" s="54"/>
      <c r="JI58" s="54"/>
      <c r="JJ58" s="54"/>
      <c r="JK58" s="54"/>
      <c r="JL58" s="54"/>
      <c r="JM58" s="54"/>
      <c r="JN58" s="54"/>
      <c r="JO58" s="54"/>
      <c r="JP58" s="54"/>
      <c r="JQ58" s="54"/>
      <c r="JR58" s="54"/>
      <c r="JS58" s="54"/>
      <c r="JT58" s="54"/>
      <c r="JU58" s="54"/>
      <c r="JV58" s="54"/>
      <c r="JW58" s="54"/>
      <c r="JX58" s="54"/>
      <c r="JY58" s="54"/>
      <c r="JZ58" s="54"/>
      <c r="KA58" s="54"/>
      <c r="KB58" s="54"/>
      <c r="KC58" s="54"/>
      <c r="KD58" s="54"/>
      <c r="KE58" s="54"/>
      <c r="KF58" s="54"/>
      <c r="KG58" s="54"/>
      <c r="KH58" s="54"/>
      <c r="KI58" s="54"/>
      <c r="KJ58" s="54"/>
      <c r="KK58" s="54"/>
      <c r="KL58" s="54"/>
      <c r="KM58" s="54"/>
      <c r="KN58" s="54"/>
      <c r="KO58" s="54"/>
      <c r="KP58" s="54"/>
      <c r="KQ58" s="54"/>
      <c r="KR58" s="54"/>
      <c r="KS58" s="54"/>
      <c r="KT58" s="54"/>
      <c r="KU58" s="54"/>
      <c r="KV58" s="54"/>
      <c r="KW58" s="54"/>
      <c r="KX58" s="54"/>
    </row>
    <row r="59" ht="5.2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c r="CC59" s="54"/>
      <c r="CD59" s="54"/>
      <c r="CE59" s="54"/>
      <c r="CF59" s="54"/>
      <c r="CG59" s="54"/>
      <c r="CH59" s="54"/>
      <c r="CI59" s="54"/>
      <c r="CJ59" s="54"/>
      <c r="CK59" s="54"/>
      <c r="CL59" s="54"/>
      <c r="CM59" s="54"/>
      <c r="CN59" s="54"/>
      <c r="CO59" s="54"/>
      <c r="CP59" s="54"/>
      <c r="CQ59" s="54"/>
      <c r="CR59" s="54"/>
      <c r="CS59" s="54"/>
      <c r="CT59" s="54"/>
      <c r="CU59" s="54"/>
      <c r="CV59" s="54"/>
      <c r="CW59" s="54"/>
      <c r="CX59" s="54"/>
      <c r="CY59" s="54"/>
      <c r="CZ59" s="54"/>
      <c r="DA59" s="54"/>
      <c r="DB59" s="56"/>
      <c r="DC59" s="56"/>
      <c r="DD59" s="60"/>
      <c r="DN59" s="11"/>
      <c r="DO59" s="10"/>
      <c r="DQ59" s="11"/>
      <c r="DR59" s="10"/>
      <c r="EG59" s="11"/>
      <c r="EH59" s="12"/>
      <c r="EI59" s="13"/>
      <c r="EJ59" s="13"/>
      <c r="EK59" s="13"/>
      <c r="EL59" s="89"/>
      <c r="EM59" s="89"/>
      <c r="EN59" s="89"/>
      <c r="EO59" s="89"/>
      <c r="EP59" s="89"/>
      <c r="EQ59" s="89"/>
      <c r="ER59" s="89"/>
      <c r="ES59" s="89"/>
      <c r="ET59" s="89"/>
      <c r="EU59" s="13"/>
      <c r="EV59" s="13"/>
      <c r="EW59" s="14"/>
      <c r="EX59" s="12"/>
      <c r="EY59" s="13"/>
      <c r="EZ59" s="14"/>
      <c r="FA59" s="12"/>
      <c r="FB59" s="13"/>
      <c r="FC59" s="13"/>
      <c r="FD59" s="90"/>
      <c r="FE59" s="89"/>
      <c r="FF59" s="89"/>
      <c r="FG59" s="89"/>
      <c r="FH59" s="89"/>
      <c r="FI59" s="89"/>
      <c r="FJ59" s="89"/>
      <c r="FK59" s="91"/>
      <c r="FL59" s="56"/>
      <c r="FM59" s="56"/>
      <c r="FN59" s="54"/>
      <c r="FO59" s="54"/>
      <c r="FP59" s="54"/>
      <c r="FQ59" s="54"/>
      <c r="FR59" s="54"/>
      <c r="FS59" s="54"/>
      <c r="FT59" s="54"/>
      <c r="FU59" s="54"/>
      <c r="FV59" s="54"/>
      <c r="FW59" s="54"/>
      <c r="FX59" s="54"/>
      <c r="FY59" s="54"/>
      <c r="FZ59" s="54"/>
      <c r="GA59" s="54"/>
      <c r="GB59" s="54"/>
      <c r="GC59" s="54"/>
      <c r="GD59" s="54"/>
      <c r="GE59" s="54"/>
      <c r="GF59" s="54"/>
      <c r="GG59" s="54"/>
      <c r="GH59" s="54"/>
      <c r="GI59" s="54"/>
      <c r="GJ59" s="54"/>
      <c r="GK59" s="54"/>
      <c r="GL59" s="54"/>
      <c r="GM59" s="54"/>
      <c r="GN59" s="54"/>
      <c r="GO59" s="54"/>
      <c r="GP59" s="54"/>
      <c r="GQ59" s="54"/>
      <c r="GR59" s="54"/>
      <c r="GS59" s="54"/>
      <c r="GT59" s="54"/>
      <c r="GU59" s="54"/>
      <c r="GV59" s="54"/>
      <c r="GW59" s="54"/>
      <c r="GX59" s="54"/>
      <c r="GY59" s="54"/>
      <c r="GZ59" s="54"/>
      <c r="HA59" s="54"/>
      <c r="HB59" s="54"/>
      <c r="HC59" s="54"/>
      <c r="HD59" s="54"/>
      <c r="HE59" s="54"/>
      <c r="HF59" s="54"/>
      <c r="HG59" s="54"/>
      <c r="HH59" s="54"/>
      <c r="HI59" s="54"/>
      <c r="HJ59" s="54"/>
      <c r="HK59" s="54"/>
      <c r="HL59" s="54"/>
      <c r="HM59" s="54"/>
      <c r="HN59" s="54"/>
      <c r="HO59" s="54"/>
      <c r="HP59" s="54"/>
      <c r="HQ59" s="54"/>
      <c r="HR59" s="54"/>
      <c r="HS59" s="54"/>
      <c r="HT59" s="54"/>
      <c r="HU59" s="54"/>
      <c r="HV59" s="54"/>
      <c r="HW59" s="54"/>
      <c r="HX59" s="54"/>
      <c r="HY59" s="54"/>
      <c r="HZ59" s="54"/>
      <c r="IA59" s="54"/>
      <c r="IB59" s="54"/>
      <c r="IC59" s="54"/>
      <c r="ID59" s="54"/>
      <c r="IE59" s="54"/>
      <c r="IF59" s="54"/>
      <c r="IG59" s="54"/>
      <c r="IH59" s="54"/>
      <c r="II59" s="54"/>
      <c r="IJ59" s="54"/>
      <c r="IK59" s="54"/>
      <c r="IL59" s="54"/>
      <c r="IM59" s="54"/>
      <c r="IN59" s="54"/>
      <c r="IO59" s="54"/>
      <c r="IP59" s="54"/>
      <c r="IQ59" s="54"/>
      <c r="IR59" s="54"/>
      <c r="IS59" s="54"/>
      <c r="IT59" s="54"/>
      <c r="IU59" s="54"/>
      <c r="IV59" s="54"/>
      <c r="IW59" s="54"/>
      <c r="IX59" s="54"/>
      <c r="IY59" s="54"/>
      <c r="IZ59" s="54"/>
      <c r="JA59" s="54"/>
      <c r="JB59" s="54"/>
      <c r="JC59" s="54"/>
      <c r="JD59" s="54"/>
      <c r="JE59" s="54"/>
      <c r="JF59" s="54"/>
      <c r="JG59" s="54"/>
      <c r="JH59" s="54"/>
      <c r="JI59" s="54"/>
      <c r="JJ59" s="54"/>
      <c r="JK59" s="54"/>
      <c r="JL59" s="54"/>
      <c r="JM59" s="54"/>
      <c r="JN59" s="54"/>
      <c r="JO59" s="54"/>
      <c r="JP59" s="54"/>
      <c r="JQ59" s="54"/>
      <c r="JR59" s="54"/>
      <c r="JS59" s="54"/>
      <c r="JT59" s="54"/>
      <c r="JU59" s="54"/>
      <c r="JV59" s="54"/>
      <c r="JW59" s="54"/>
      <c r="JX59" s="54"/>
      <c r="JY59" s="54"/>
      <c r="JZ59" s="54"/>
      <c r="KA59" s="54"/>
      <c r="KB59" s="54"/>
      <c r="KC59" s="54"/>
      <c r="KD59" s="54"/>
      <c r="KE59" s="54"/>
      <c r="KF59" s="54"/>
      <c r="KG59" s="54"/>
      <c r="KH59" s="54"/>
      <c r="KI59" s="54"/>
      <c r="KJ59" s="54"/>
      <c r="KK59" s="54"/>
      <c r="KL59" s="54"/>
      <c r="KM59" s="54"/>
      <c r="KN59" s="54"/>
      <c r="KO59" s="54"/>
      <c r="KP59" s="54"/>
      <c r="KQ59" s="54"/>
      <c r="KR59" s="54"/>
      <c r="KS59" s="54"/>
      <c r="KT59" s="54"/>
      <c r="KU59" s="54"/>
      <c r="KV59" s="54"/>
      <c r="KW59" s="54"/>
      <c r="KX59" s="54"/>
    </row>
    <row r="60" ht="5.2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c r="CA60" s="54"/>
      <c r="CB60" s="54"/>
      <c r="CC60" s="54"/>
      <c r="CD60" s="54"/>
      <c r="CE60" s="54"/>
      <c r="CF60" s="54"/>
      <c r="CG60" s="54"/>
      <c r="CH60" s="54"/>
      <c r="CI60" s="54"/>
      <c r="CJ60" s="54"/>
      <c r="CK60" s="54"/>
      <c r="CL60" s="54"/>
      <c r="CM60" s="54"/>
      <c r="CN60" s="54"/>
      <c r="CO60" s="54"/>
      <c r="CP60" s="54"/>
      <c r="CQ60" s="54"/>
      <c r="CR60" s="54"/>
      <c r="CS60" s="54"/>
      <c r="CT60" s="54"/>
      <c r="CU60" s="54"/>
      <c r="CV60" s="54"/>
      <c r="CW60" s="54"/>
      <c r="CX60" s="54"/>
      <c r="CY60" s="54"/>
      <c r="CZ60" s="54"/>
      <c r="DA60" s="54"/>
      <c r="DB60" s="56"/>
      <c r="DC60" s="56">
        <f>'Choose matchups (Main)'!Q11</f>
        <v>7</v>
      </c>
      <c r="DD60" s="92" t="str">
        <f t="array" ref="DD60">xlookup(DC60,data!$M$2:$M$17,data!$O$2:$O$17,"")</f>
        <v/>
      </c>
      <c r="DE60" s="8"/>
      <c r="DF60" s="8"/>
      <c r="DG60" s="8"/>
      <c r="DH60" s="93" t="str">
        <f t="array" ref="DH60">xlookup(DC60,data!$M$2:$M$17,data!$N$2:$N$17,"")</f>
        <v>Team 7 (Group 2)</v>
      </c>
      <c r="DI60" s="8"/>
      <c r="DJ60" s="8"/>
      <c r="DK60" s="8"/>
      <c r="DL60" s="8"/>
      <c r="DM60" s="8"/>
      <c r="DN60" s="8"/>
      <c r="DO60" s="8"/>
      <c r="DP60" s="8"/>
      <c r="DQ60" s="8"/>
      <c r="DR60" s="8"/>
      <c r="DS60" s="8"/>
      <c r="DT60" s="8"/>
      <c r="DU60" s="8"/>
      <c r="DV60" s="8"/>
      <c r="DW60" s="8"/>
      <c r="DX60" s="8"/>
      <c r="DY60" s="8"/>
      <c r="DZ60" s="8"/>
      <c r="EA60" s="8"/>
      <c r="EB60" s="8"/>
      <c r="EC60" s="8"/>
      <c r="ED60" s="94"/>
      <c r="EE60" s="8"/>
      <c r="EF60" s="8"/>
      <c r="EG60" s="9"/>
      <c r="EH60" s="94"/>
      <c r="EI60" s="8"/>
      <c r="EJ60" s="8"/>
      <c r="EK60" s="8"/>
      <c r="EL60" s="96" t="str">
        <f t="array" ref="EL60">xlookup(FL60,data!$M$2:$M$17,data!$N$2:$N$17,"")</f>
        <v>TBD</v>
      </c>
      <c r="EM60" s="8"/>
      <c r="EN60" s="8"/>
      <c r="EO60" s="8"/>
      <c r="EP60" s="8"/>
      <c r="EQ60" s="8"/>
      <c r="ER60" s="8"/>
      <c r="ES60" s="8"/>
      <c r="ET60" s="8"/>
      <c r="EU60" s="8"/>
      <c r="EV60" s="8"/>
      <c r="EW60" s="8"/>
      <c r="EX60" s="8"/>
      <c r="EY60" s="8"/>
      <c r="EZ60" s="8"/>
      <c r="FA60" s="8"/>
      <c r="FB60" s="8"/>
      <c r="FC60" s="8"/>
      <c r="FD60" s="8"/>
      <c r="FE60" s="8"/>
      <c r="FF60" s="8"/>
      <c r="FG60" s="8"/>
      <c r="FH60" s="97" t="str">
        <f t="array" ref="FH60">xlookup(FL60,data!$M$2:$M$17,data!$O$2:$O$17,"")</f>
        <v/>
      </c>
      <c r="FI60" s="8"/>
      <c r="FJ60" s="8"/>
      <c r="FK60" s="98"/>
      <c r="FL60" s="77">
        <f t="array" ref="FL60">xlookup(DC60,data!$M$2:$M$17,data!$P$2:$P$17,"")</f>
        <v>9</v>
      </c>
      <c r="FM60" s="56"/>
      <c r="FN60" s="54"/>
      <c r="FO60" s="54"/>
      <c r="FP60" s="54"/>
      <c r="FQ60" s="54"/>
      <c r="FR60" s="54"/>
      <c r="FS60" s="54"/>
      <c r="FT60" s="54"/>
      <c r="FU60" s="54"/>
      <c r="FV60" s="54"/>
      <c r="FW60" s="54"/>
      <c r="FX60" s="54"/>
      <c r="FY60" s="54"/>
      <c r="FZ60" s="54"/>
      <c r="GA60" s="54"/>
      <c r="GB60" s="54"/>
      <c r="GC60" s="54"/>
      <c r="GD60" s="54"/>
      <c r="GE60" s="54"/>
      <c r="GF60" s="54"/>
      <c r="GG60" s="54"/>
      <c r="GH60" s="54"/>
      <c r="GI60" s="54"/>
      <c r="GJ60" s="54"/>
      <c r="GK60" s="54"/>
      <c r="GL60" s="54"/>
      <c r="GM60" s="54"/>
      <c r="GN60" s="54"/>
      <c r="GO60" s="54"/>
      <c r="GP60" s="54"/>
      <c r="GQ60" s="54"/>
      <c r="GR60" s="54"/>
      <c r="GS60" s="54"/>
      <c r="GT60" s="54"/>
      <c r="GU60" s="54"/>
      <c r="GV60" s="54"/>
      <c r="GW60" s="54"/>
      <c r="GX60" s="54"/>
      <c r="GY60" s="54"/>
      <c r="GZ60" s="54"/>
      <c r="HA60" s="54"/>
      <c r="HB60" s="54"/>
      <c r="HC60" s="54"/>
      <c r="HD60" s="54"/>
      <c r="HE60" s="54"/>
      <c r="HF60" s="54"/>
      <c r="HG60" s="54"/>
      <c r="HH60" s="54"/>
      <c r="HI60" s="54"/>
      <c r="HJ60" s="54"/>
      <c r="HK60" s="54"/>
      <c r="HL60" s="54"/>
      <c r="HM60" s="54"/>
      <c r="HN60" s="54"/>
      <c r="HO60" s="54"/>
      <c r="HP60" s="54"/>
      <c r="HQ60" s="54"/>
      <c r="HR60" s="54"/>
      <c r="HS60" s="54"/>
      <c r="HT60" s="54"/>
      <c r="HU60" s="54"/>
      <c r="HV60" s="54"/>
      <c r="HW60" s="54"/>
      <c r="HX60" s="54"/>
      <c r="HY60" s="54"/>
      <c r="HZ60" s="54"/>
      <c r="IA60" s="54"/>
      <c r="IB60" s="54"/>
      <c r="IC60" s="54"/>
      <c r="ID60" s="54"/>
      <c r="IE60" s="54"/>
      <c r="IF60" s="54"/>
      <c r="IG60" s="54"/>
      <c r="IH60" s="54"/>
      <c r="II60" s="54"/>
      <c r="IJ60" s="54"/>
      <c r="IK60" s="54"/>
      <c r="IL60" s="54"/>
      <c r="IM60" s="54"/>
      <c r="IN60" s="54"/>
      <c r="IO60" s="54"/>
      <c r="IP60" s="54"/>
      <c r="IQ60" s="54"/>
      <c r="IR60" s="54"/>
      <c r="IS60" s="54"/>
      <c r="IT60" s="54"/>
      <c r="IU60" s="54"/>
      <c r="IV60" s="54"/>
      <c r="IW60" s="54"/>
      <c r="IX60" s="54"/>
      <c r="IY60" s="54"/>
      <c r="IZ60" s="54"/>
      <c r="JA60" s="54"/>
      <c r="JB60" s="54"/>
      <c r="JC60" s="54"/>
      <c r="JD60" s="54"/>
      <c r="JE60" s="54"/>
      <c r="JF60" s="54"/>
      <c r="JG60" s="54"/>
      <c r="JH60" s="54"/>
      <c r="JI60" s="54"/>
      <c r="JJ60" s="54"/>
      <c r="JK60" s="54"/>
      <c r="JL60" s="54"/>
      <c r="JM60" s="54"/>
      <c r="JN60" s="54"/>
      <c r="JO60" s="54"/>
      <c r="JP60" s="54"/>
      <c r="JQ60" s="54"/>
      <c r="JR60" s="54"/>
      <c r="JS60" s="54"/>
      <c r="JT60" s="54"/>
      <c r="JU60" s="54"/>
      <c r="JV60" s="54"/>
      <c r="JW60" s="54"/>
      <c r="JX60" s="54"/>
      <c r="JY60" s="54"/>
      <c r="JZ60" s="54"/>
      <c r="KA60" s="54"/>
      <c r="KB60" s="54"/>
      <c r="KC60" s="54"/>
      <c r="KD60" s="54"/>
      <c r="KE60" s="54"/>
      <c r="KF60" s="54"/>
      <c r="KG60" s="54"/>
      <c r="KH60" s="54"/>
      <c r="KI60" s="54"/>
      <c r="KJ60" s="54"/>
      <c r="KK60" s="54"/>
      <c r="KL60" s="54"/>
      <c r="KM60" s="54"/>
      <c r="KN60" s="54"/>
      <c r="KO60" s="54"/>
      <c r="KP60" s="54"/>
      <c r="KQ60" s="54"/>
      <c r="KR60" s="54"/>
      <c r="KS60" s="54"/>
      <c r="KT60" s="54"/>
      <c r="KU60" s="54"/>
      <c r="KV60" s="54"/>
      <c r="KW60" s="54"/>
      <c r="KX60" s="54"/>
    </row>
    <row r="61" ht="5.2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c r="BU61" s="54"/>
      <c r="BV61" s="54"/>
      <c r="BW61" s="54"/>
      <c r="BX61" s="54"/>
      <c r="BY61" s="54"/>
      <c r="BZ61" s="54"/>
      <c r="CA61" s="54"/>
      <c r="CB61" s="54"/>
      <c r="CC61" s="54"/>
      <c r="CD61" s="54"/>
      <c r="CE61" s="54"/>
      <c r="CF61" s="54"/>
      <c r="CG61" s="54"/>
      <c r="CH61" s="54"/>
      <c r="CI61" s="54"/>
      <c r="CJ61" s="54"/>
      <c r="CK61" s="54"/>
      <c r="CL61" s="54"/>
      <c r="CM61" s="54"/>
      <c r="CN61" s="54"/>
      <c r="CO61" s="54"/>
      <c r="CP61" s="54"/>
      <c r="CQ61" s="54"/>
      <c r="CR61" s="54"/>
      <c r="CS61" s="54"/>
      <c r="CT61" s="54"/>
      <c r="CU61" s="54"/>
      <c r="CV61" s="54"/>
      <c r="CW61" s="54"/>
      <c r="CX61" s="54"/>
      <c r="CY61" s="54"/>
      <c r="CZ61" s="54"/>
      <c r="DA61" s="54"/>
      <c r="DB61" s="56"/>
      <c r="DC61" s="56"/>
      <c r="DD61" s="60"/>
      <c r="EG61" s="11"/>
      <c r="FK61" s="61"/>
      <c r="FL61" s="56"/>
      <c r="FM61" s="56"/>
      <c r="FN61" s="54"/>
      <c r="FO61" s="54"/>
      <c r="FP61" s="54"/>
      <c r="FQ61" s="54"/>
      <c r="FR61" s="54"/>
      <c r="FS61" s="54"/>
      <c r="FT61" s="54"/>
      <c r="FU61" s="54"/>
      <c r="FV61" s="54"/>
      <c r="FW61" s="54"/>
      <c r="FX61" s="54"/>
      <c r="FY61" s="54"/>
      <c r="FZ61" s="54"/>
      <c r="GA61" s="54"/>
      <c r="GB61" s="54"/>
      <c r="GC61" s="54"/>
      <c r="GD61" s="54"/>
      <c r="GE61" s="54"/>
      <c r="GF61" s="54"/>
      <c r="GG61" s="54"/>
      <c r="GH61" s="54"/>
      <c r="GI61" s="54"/>
      <c r="GJ61" s="54"/>
      <c r="GK61" s="54"/>
      <c r="GL61" s="54"/>
      <c r="GM61" s="54"/>
      <c r="GN61" s="54"/>
      <c r="GO61" s="54"/>
      <c r="GP61" s="54"/>
      <c r="GQ61" s="54"/>
      <c r="GR61" s="54"/>
      <c r="GS61" s="54"/>
      <c r="GT61" s="54"/>
      <c r="GU61" s="54"/>
      <c r="GV61" s="54"/>
      <c r="GW61" s="54"/>
      <c r="GX61" s="54"/>
      <c r="GY61" s="54"/>
      <c r="GZ61" s="54"/>
      <c r="HA61" s="54"/>
      <c r="HB61" s="54"/>
      <c r="HC61" s="54"/>
      <c r="HD61" s="54"/>
      <c r="HE61" s="54"/>
      <c r="HF61" s="54"/>
      <c r="HG61" s="54"/>
      <c r="HH61" s="54"/>
      <c r="HI61" s="54"/>
      <c r="HJ61" s="54"/>
      <c r="HK61" s="54"/>
      <c r="HL61" s="54"/>
      <c r="HM61" s="54"/>
      <c r="HN61" s="54"/>
      <c r="HO61" s="54"/>
      <c r="HP61" s="54"/>
      <c r="HQ61" s="54"/>
      <c r="HR61" s="54"/>
      <c r="HS61" s="54"/>
      <c r="HT61" s="54"/>
      <c r="HU61" s="54"/>
      <c r="HV61" s="54"/>
      <c r="HW61" s="54"/>
      <c r="HX61" s="54"/>
      <c r="HY61" s="54"/>
      <c r="HZ61" s="54"/>
      <c r="IA61" s="54"/>
      <c r="IB61" s="54"/>
      <c r="IC61" s="54"/>
      <c r="ID61" s="54"/>
      <c r="IE61" s="54"/>
      <c r="IF61" s="54"/>
      <c r="IG61" s="54"/>
      <c r="IH61" s="54"/>
      <c r="II61" s="54"/>
      <c r="IJ61" s="54"/>
      <c r="IK61" s="54"/>
      <c r="IL61" s="54"/>
      <c r="IM61" s="54"/>
      <c r="IN61" s="54"/>
      <c r="IO61" s="54"/>
      <c r="IP61" s="54"/>
      <c r="IQ61" s="54"/>
      <c r="IR61" s="54"/>
      <c r="IS61" s="54"/>
      <c r="IT61" s="54"/>
      <c r="IU61" s="54"/>
      <c r="IV61" s="54"/>
      <c r="IW61" s="54"/>
      <c r="IX61" s="54"/>
      <c r="IY61" s="54"/>
      <c r="IZ61" s="54"/>
      <c r="JA61" s="54"/>
      <c r="JB61" s="54"/>
      <c r="JC61" s="54"/>
      <c r="JD61" s="54"/>
      <c r="JE61" s="54"/>
      <c r="JF61" s="54"/>
      <c r="JG61" s="54"/>
      <c r="JH61" s="54"/>
      <c r="JI61" s="54"/>
      <c r="JJ61" s="54"/>
      <c r="JK61" s="54"/>
      <c r="JL61" s="54"/>
      <c r="JM61" s="54"/>
      <c r="JN61" s="54"/>
      <c r="JO61" s="54"/>
      <c r="JP61" s="54"/>
      <c r="JQ61" s="54"/>
      <c r="JR61" s="54"/>
      <c r="JS61" s="54"/>
      <c r="JT61" s="54"/>
      <c r="JU61" s="54"/>
      <c r="JV61" s="54"/>
      <c r="JW61" s="54"/>
      <c r="JX61" s="54"/>
      <c r="JY61" s="54"/>
      <c r="JZ61" s="54"/>
      <c r="KA61" s="54"/>
      <c r="KB61" s="54"/>
      <c r="KC61" s="54"/>
      <c r="KD61" s="54"/>
      <c r="KE61" s="54"/>
      <c r="KF61" s="54"/>
      <c r="KG61" s="54"/>
      <c r="KH61" s="54"/>
      <c r="KI61" s="54"/>
      <c r="KJ61" s="54"/>
      <c r="KK61" s="54"/>
      <c r="KL61" s="54"/>
      <c r="KM61" s="54"/>
      <c r="KN61" s="54"/>
      <c r="KO61" s="54"/>
      <c r="KP61" s="54"/>
      <c r="KQ61" s="54"/>
      <c r="KR61" s="54"/>
      <c r="KS61" s="54"/>
      <c r="KT61" s="54"/>
      <c r="KU61" s="54"/>
      <c r="KV61" s="54"/>
      <c r="KW61" s="54"/>
      <c r="KX61" s="54"/>
    </row>
    <row r="62" ht="5.2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c r="BU62" s="54"/>
      <c r="BV62" s="54"/>
      <c r="BW62" s="54"/>
      <c r="BX62" s="54"/>
      <c r="BY62" s="54"/>
      <c r="BZ62" s="54"/>
      <c r="CA62" s="54"/>
      <c r="CB62" s="54"/>
      <c r="CC62" s="54"/>
      <c r="CD62" s="54"/>
      <c r="CE62" s="54"/>
      <c r="CF62" s="54"/>
      <c r="CG62" s="54"/>
      <c r="CH62" s="54"/>
      <c r="CI62" s="54"/>
      <c r="CJ62" s="54"/>
      <c r="CK62" s="54"/>
      <c r="CL62" s="54"/>
      <c r="CM62" s="54"/>
      <c r="CN62" s="54"/>
      <c r="CO62" s="54"/>
      <c r="CP62" s="54"/>
      <c r="CQ62" s="54"/>
      <c r="CR62" s="54"/>
      <c r="CS62" s="54"/>
      <c r="CT62" s="54"/>
      <c r="CU62" s="54"/>
      <c r="CV62" s="54"/>
      <c r="CW62" s="54"/>
      <c r="CX62" s="54"/>
      <c r="CY62" s="54"/>
      <c r="CZ62" s="54"/>
      <c r="DA62" s="54"/>
      <c r="DB62" s="56"/>
      <c r="DC62" s="56"/>
      <c r="DD62" s="60"/>
      <c r="EG62" s="11"/>
      <c r="FK62" s="61"/>
      <c r="FL62" s="56"/>
      <c r="FM62" s="56"/>
      <c r="FN62" s="54"/>
      <c r="FO62" s="54"/>
      <c r="FP62" s="54"/>
      <c r="FQ62" s="54"/>
      <c r="FR62" s="54"/>
      <c r="FS62" s="54"/>
      <c r="FT62" s="54"/>
      <c r="FU62" s="54"/>
      <c r="FV62" s="54"/>
      <c r="FW62" s="54"/>
      <c r="FX62" s="54"/>
      <c r="FY62" s="54"/>
      <c r="FZ62" s="54"/>
      <c r="GA62" s="54"/>
      <c r="GB62" s="54"/>
      <c r="GC62" s="54"/>
      <c r="GD62" s="54"/>
      <c r="GE62" s="54"/>
      <c r="GF62" s="54"/>
      <c r="GG62" s="54"/>
      <c r="GH62" s="54"/>
      <c r="GI62" s="54"/>
      <c r="GJ62" s="54"/>
      <c r="GK62" s="54"/>
      <c r="GL62" s="54"/>
      <c r="GM62" s="54"/>
      <c r="GN62" s="54"/>
      <c r="GO62" s="54"/>
      <c r="GP62" s="54"/>
      <c r="GQ62" s="54"/>
      <c r="GR62" s="54"/>
      <c r="GS62" s="54"/>
      <c r="GT62" s="54"/>
      <c r="GU62" s="54"/>
      <c r="GV62" s="54"/>
      <c r="GW62" s="54"/>
      <c r="GX62" s="54"/>
      <c r="GY62" s="54"/>
      <c r="GZ62" s="54"/>
      <c r="HA62" s="54"/>
      <c r="HB62" s="54"/>
      <c r="HC62" s="54"/>
      <c r="HD62" s="54"/>
      <c r="HE62" s="54"/>
      <c r="HF62" s="54"/>
      <c r="HG62" s="54"/>
      <c r="HH62" s="54"/>
      <c r="HI62" s="54"/>
      <c r="HJ62" s="54"/>
      <c r="HK62" s="54"/>
      <c r="HL62" s="54"/>
      <c r="HM62" s="54"/>
      <c r="HN62" s="54"/>
      <c r="HO62" s="54"/>
      <c r="HP62" s="54"/>
      <c r="HQ62" s="54"/>
      <c r="HR62" s="54"/>
      <c r="HS62" s="54"/>
      <c r="HT62" s="54"/>
      <c r="HU62" s="54"/>
      <c r="HV62" s="54"/>
      <c r="HW62" s="54"/>
      <c r="HX62" s="54"/>
      <c r="HY62" s="54"/>
      <c r="HZ62" s="54"/>
      <c r="IA62" s="54"/>
      <c r="IB62" s="54"/>
      <c r="IC62" s="54"/>
      <c r="ID62" s="54"/>
      <c r="IE62" s="54"/>
      <c r="IF62" s="54"/>
      <c r="IG62" s="54"/>
      <c r="IH62" s="54"/>
      <c r="II62" s="54"/>
      <c r="IJ62" s="54"/>
      <c r="IK62" s="54"/>
      <c r="IL62" s="54"/>
      <c r="IM62" s="54"/>
      <c r="IN62" s="54"/>
      <c r="IO62" s="54"/>
      <c r="IP62" s="54"/>
      <c r="IQ62" s="54"/>
      <c r="IR62" s="54"/>
      <c r="IS62" s="54"/>
      <c r="IT62" s="54"/>
      <c r="IU62" s="54"/>
      <c r="IV62" s="54"/>
      <c r="IW62" s="54"/>
      <c r="IX62" s="54"/>
      <c r="IY62" s="54"/>
      <c r="IZ62" s="54"/>
      <c r="JA62" s="54"/>
      <c r="JB62" s="54"/>
      <c r="JC62" s="54"/>
      <c r="JD62" s="54"/>
      <c r="JE62" s="54"/>
      <c r="JF62" s="54"/>
      <c r="JG62" s="54"/>
      <c r="JH62" s="54"/>
      <c r="JI62" s="54"/>
      <c r="JJ62" s="54"/>
      <c r="JK62" s="54"/>
      <c r="JL62" s="54"/>
      <c r="JM62" s="54"/>
      <c r="JN62" s="54"/>
      <c r="JO62" s="54"/>
      <c r="JP62" s="54"/>
      <c r="JQ62" s="54"/>
      <c r="JR62" s="54"/>
      <c r="JS62" s="54"/>
      <c r="JT62" s="54"/>
      <c r="JU62" s="54"/>
      <c r="JV62" s="54"/>
      <c r="JW62" s="54"/>
      <c r="JX62" s="54"/>
      <c r="JY62" s="54"/>
      <c r="JZ62" s="54"/>
      <c r="KA62" s="54"/>
      <c r="KB62" s="54"/>
      <c r="KC62" s="54"/>
      <c r="KD62" s="54"/>
      <c r="KE62" s="54"/>
      <c r="KF62" s="54"/>
      <c r="KG62" s="54"/>
      <c r="KH62" s="54"/>
      <c r="KI62" s="54"/>
      <c r="KJ62" s="54"/>
      <c r="KK62" s="54"/>
      <c r="KL62" s="54"/>
      <c r="KM62" s="54"/>
      <c r="KN62" s="54"/>
      <c r="KO62" s="54"/>
      <c r="KP62" s="54"/>
      <c r="KQ62" s="54"/>
      <c r="KR62" s="54"/>
      <c r="KS62" s="54"/>
      <c r="KT62" s="54"/>
      <c r="KU62" s="54"/>
      <c r="KV62" s="54"/>
      <c r="KW62" s="54"/>
      <c r="KX62" s="54"/>
    </row>
    <row r="63" ht="5.2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c r="BU63" s="54"/>
      <c r="BV63" s="54"/>
      <c r="BW63" s="54"/>
      <c r="BX63" s="54"/>
      <c r="BY63" s="54"/>
      <c r="BZ63" s="54"/>
      <c r="CA63" s="54"/>
      <c r="CB63" s="54"/>
      <c r="CC63" s="54"/>
      <c r="CD63" s="54"/>
      <c r="CE63" s="54"/>
      <c r="CF63" s="54"/>
      <c r="CG63" s="54"/>
      <c r="CH63" s="54"/>
      <c r="CI63" s="54"/>
      <c r="CJ63" s="54"/>
      <c r="CK63" s="54"/>
      <c r="CL63" s="54"/>
      <c r="CM63" s="54"/>
      <c r="CN63" s="54"/>
      <c r="CO63" s="54"/>
      <c r="CP63" s="54"/>
      <c r="CQ63" s="54"/>
      <c r="CR63" s="54"/>
      <c r="CS63" s="54"/>
      <c r="CT63" s="54"/>
      <c r="CU63" s="54"/>
      <c r="CV63" s="54"/>
      <c r="CW63" s="54"/>
      <c r="CX63" s="54"/>
      <c r="CY63" s="54"/>
      <c r="CZ63" s="54"/>
      <c r="DA63" s="54"/>
      <c r="DB63" s="56"/>
      <c r="DC63" s="56"/>
      <c r="DD63" s="60"/>
      <c r="EG63" s="11"/>
      <c r="FK63" s="61"/>
      <c r="FL63" s="56"/>
      <c r="FM63" s="56"/>
      <c r="FN63" s="54"/>
      <c r="FO63" s="54"/>
      <c r="FP63" s="54"/>
      <c r="FQ63" s="54"/>
      <c r="FR63" s="54"/>
      <c r="FS63" s="54"/>
      <c r="FT63" s="54"/>
      <c r="FU63" s="54"/>
      <c r="FV63" s="54"/>
      <c r="FW63" s="54"/>
      <c r="FX63" s="54"/>
      <c r="FY63" s="54"/>
      <c r="FZ63" s="54"/>
      <c r="GA63" s="54"/>
      <c r="GB63" s="54"/>
      <c r="GC63" s="54"/>
      <c r="GD63" s="54"/>
      <c r="GE63" s="54"/>
      <c r="GF63" s="54"/>
      <c r="GG63" s="54"/>
      <c r="GH63" s="54"/>
      <c r="GI63" s="54"/>
      <c r="GJ63" s="54"/>
      <c r="GK63" s="54"/>
      <c r="GL63" s="54"/>
      <c r="GM63" s="54"/>
      <c r="GN63" s="54"/>
      <c r="GO63" s="54"/>
      <c r="GP63" s="54"/>
      <c r="GQ63" s="54"/>
      <c r="GR63" s="54"/>
      <c r="GS63" s="54"/>
      <c r="GT63" s="54"/>
      <c r="GU63" s="54"/>
      <c r="GV63" s="54"/>
      <c r="GW63" s="54"/>
      <c r="GX63" s="54"/>
      <c r="GY63" s="54"/>
      <c r="GZ63" s="54"/>
      <c r="HA63" s="54"/>
      <c r="HB63" s="54"/>
      <c r="HC63" s="54"/>
      <c r="HD63" s="54"/>
      <c r="HE63" s="54"/>
      <c r="HF63" s="54"/>
      <c r="HG63" s="54"/>
      <c r="HH63" s="54"/>
      <c r="HI63" s="54"/>
      <c r="HJ63" s="54"/>
      <c r="HK63" s="54"/>
      <c r="HL63" s="54"/>
      <c r="HM63" s="54"/>
      <c r="HN63" s="54"/>
      <c r="HO63" s="54"/>
      <c r="HP63" s="54"/>
      <c r="HQ63" s="54"/>
      <c r="HR63" s="54"/>
      <c r="HS63" s="54"/>
      <c r="HT63" s="54"/>
      <c r="HU63" s="54"/>
      <c r="HV63" s="54"/>
      <c r="HW63" s="54"/>
      <c r="HX63" s="54"/>
      <c r="HY63" s="54"/>
      <c r="HZ63" s="54"/>
      <c r="IA63" s="54"/>
      <c r="IB63" s="54"/>
      <c r="IC63" s="54"/>
      <c r="ID63" s="54"/>
      <c r="IE63" s="54"/>
      <c r="IF63" s="54"/>
      <c r="IG63" s="54"/>
      <c r="IH63" s="54"/>
      <c r="II63" s="54"/>
      <c r="IJ63" s="54"/>
      <c r="IK63" s="54"/>
      <c r="IL63" s="54"/>
      <c r="IM63" s="54"/>
      <c r="IN63" s="54"/>
      <c r="IO63" s="54"/>
      <c r="IP63" s="54"/>
      <c r="IQ63" s="54"/>
      <c r="IR63" s="54"/>
      <c r="IS63" s="54"/>
      <c r="IT63" s="54"/>
      <c r="IU63" s="54"/>
      <c r="IV63" s="54"/>
      <c r="IW63" s="54"/>
      <c r="IX63" s="54"/>
      <c r="IY63" s="54"/>
      <c r="IZ63" s="54"/>
      <c r="JA63" s="54"/>
      <c r="JB63" s="54"/>
      <c r="JC63" s="54"/>
      <c r="JD63" s="54"/>
      <c r="JE63" s="54"/>
      <c r="JF63" s="54"/>
      <c r="JG63" s="54"/>
      <c r="JH63" s="54"/>
      <c r="JI63" s="54"/>
      <c r="JJ63" s="54"/>
      <c r="JK63" s="54"/>
      <c r="JL63" s="54"/>
      <c r="JM63" s="54"/>
      <c r="JN63" s="54"/>
      <c r="JO63" s="54"/>
      <c r="JP63" s="54"/>
      <c r="JQ63" s="54"/>
      <c r="JR63" s="54"/>
      <c r="JS63" s="54"/>
      <c r="JT63" s="54"/>
      <c r="JU63" s="54"/>
      <c r="JV63" s="54"/>
      <c r="JW63" s="54"/>
      <c r="JX63" s="54"/>
      <c r="JY63" s="54"/>
      <c r="JZ63" s="54"/>
      <c r="KA63" s="54"/>
      <c r="KB63" s="54"/>
      <c r="KC63" s="54"/>
      <c r="KD63" s="54"/>
      <c r="KE63" s="54"/>
      <c r="KF63" s="54"/>
      <c r="KG63" s="54"/>
      <c r="KH63" s="54"/>
      <c r="KI63" s="54"/>
      <c r="KJ63" s="54"/>
      <c r="KK63" s="54"/>
      <c r="KL63" s="54"/>
      <c r="KM63" s="54"/>
      <c r="KN63" s="54"/>
      <c r="KO63" s="54"/>
      <c r="KP63" s="54"/>
      <c r="KQ63" s="54"/>
      <c r="KR63" s="54"/>
      <c r="KS63" s="54"/>
      <c r="KT63" s="54"/>
      <c r="KU63" s="54"/>
      <c r="KV63" s="54"/>
      <c r="KW63" s="54"/>
      <c r="KX63" s="54"/>
    </row>
    <row r="64" ht="5.2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c r="BS64" s="54"/>
      <c r="BT64" s="54"/>
      <c r="BU64" s="54"/>
      <c r="BV64" s="54"/>
      <c r="BW64" s="54"/>
      <c r="BX64" s="54"/>
      <c r="BY64" s="54"/>
      <c r="BZ64" s="54"/>
      <c r="CA64" s="54"/>
      <c r="CB64" s="54"/>
      <c r="CC64" s="54"/>
      <c r="CD64" s="54"/>
      <c r="CE64" s="54"/>
      <c r="CF64" s="54"/>
      <c r="CG64" s="54"/>
      <c r="CH64" s="54"/>
      <c r="CI64" s="54"/>
      <c r="CJ64" s="54"/>
      <c r="CK64" s="54"/>
      <c r="CL64" s="54"/>
      <c r="CM64" s="54"/>
      <c r="CN64" s="54"/>
      <c r="CO64" s="54"/>
      <c r="CP64" s="54"/>
      <c r="CQ64" s="54"/>
      <c r="CR64" s="54"/>
      <c r="CS64" s="54"/>
      <c r="CT64" s="54"/>
      <c r="CU64" s="54"/>
      <c r="CV64" s="54"/>
      <c r="CW64" s="54"/>
      <c r="CX64" s="54"/>
      <c r="CY64" s="54"/>
      <c r="CZ64" s="54"/>
      <c r="DA64" s="54"/>
      <c r="DB64" s="56"/>
      <c r="DC64" s="56">
        <f>DC60</f>
        <v>7</v>
      </c>
      <c r="DD64" s="64"/>
      <c r="DL64" s="83"/>
      <c r="DN64" s="11"/>
      <c r="DO64" s="87"/>
      <c r="DQ64" s="11"/>
      <c r="DR64" s="84"/>
      <c r="DU64" s="54"/>
      <c r="ED64" s="85">
        <f>sum(DL64:DT66)</f>
        <v>0</v>
      </c>
      <c r="EG64" s="11"/>
      <c r="EH64" s="85">
        <f>sum(EU64:FC66)</f>
        <v>0</v>
      </c>
      <c r="EL64" s="54"/>
      <c r="EM64" s="54"/>
      <c r="EN64" s="54"/>
      <c r="EO64" s="54"/>
      <c r="EP64" s="54"/>
      <c r="EQ64" s="54"/>
      <c r="ER64" s="54"/>
      <c r="ES64" s="54"/>
      <c r="ET64" s="54"/>
      <c r="EU64" s="83"/>
      <c r="EW64" s="11"/>
      <c r="EX64" s="84"/>
      <c r="EZ64" s="11"/>
      <c r="FA64" s="84"/>
      <c r="FD64" s="68"/>
      <c r="FE64" s="54"/>
      <c r="FF64" s="54"/>
      <c r="FG64" s="54"/>
      <c r="FH64" s="54"/>
      <c r="FI64" s="54"/>
      <c r="FJ64" s="54"/>
      <c r="FK64" s="69"/>
      <c r="FL64" s="56">
        <f>FL60</f>
        <v>9</v>
      </c>
      <c r="FM64" s="56"/>
      <c r="FN64" s="54"/>
      <c r="FO64" s="54"/>
      <c r="FP64" s="54"/>
      <c r="FQ64" s="54"/>
      <c r="FR64" s="54"/>
      <c r="FS64" s="54"/>
      <c r="FT64" s="54"/>
      <c r="FU64" s="54"/>
      <c r="FV64" s="54"/>
      <c r="FW64" s="54"/>
      <c r="FX64" s="54"/>
      <c r="FY64" s="54"/>
      <c r="FZ64" s="54"/>
      <c r="GA64" s="54"/>
      <c r="GB64" s="54"/>
      <c r="GC64" s="54"/>
      <c r="GD64" s="54"/>
      <c r="GE64" s="54"/>
      <c r="GF64" s="54"/>
      <c r="GG64" s="54"/>
      <c r="GH64" s="54"/>
      <c r="GI64" s="54"/>
      <c r="GJ64" s="54"/>
      <c r="GK64" s="54"/>
      <c r="GL64" s="54"/>
      <c r="GM64" s="54"/>
      <c r="GN64" s="54"/>
      <c r="GO64" s="54"/>
      <c r="GP64" s="54"/>
      <c r="GQ64" s="54"/>
      <c r="GR64" s="54"/>
      <c r="GS64" s="54"/>
      <c r="GT64" s="54"/>
      <c r="GU64" s="54"/>
      <c r="GV64" s="54"/>
      <c r="GW64" s="54"/>
      <c r="GX64" s="54"/>
      <c r="GY64" s="54"/>
      <c r="GZ64" s="54"/>
      <c r="HA64" s="54"/>
      <c r="HB64" s="54"/>
      <c r="HC64" s="54"/>
      <c r="HD64" s="54"/>
      <c r="HE64" s="54"/>
      <c r="HF64" s="54"/>
      <c r="HG64" s="54"/>
      <c r="HH64" s="54"/>
      <c r="HI64" s="54"/>
      <c r="HJ64" s="54"/>
      <c r="HK64" s="54"/>
      <c r="HL64" s="54"/>
      <c r="HM64" s="54"/>
      <c r="HN64" s="54"/>
      <c r="HO64" s="54"/>
      <c r="HP64" s="54"/>
      <c r="HQ64" s="54"/>
      <c r="HR64" s="54"/>
      <c r="HS64" s="54"/>
      <c r="HT64" s="54"/>
      <c r="HU64" s="54"/>
      <c r="HV64" s="54"/>
      <c r="HW64" s="54"/>
      <c r="HX64" s="54"/>
      <c r="HY64" s="54"/>
      <c r="HZ64" s="54"/>
      <c r="IA64" s="54"/>
      <c r="IB64" s="54"/>
      <c r="IC64" s="54"/>
      <c r="ID64" s="54"/>
      <c r="IE64" s="54"/>
      <c r="IF64" s="54"/>
      <c r="IG64" s="54"/>
      <c r="IH64" s="54"/>
      <c r="II64" s="54"/>
      <c r="IJ64" s="54"/>
      <c r="IK64" s="54"/>
      <c r="IL64" s="54"/>
      <c r="IM64" s="54"/>
      <c r="IN64" s="54"/>
      <c r="IO64" s="54"/>
      <c r="IP64" s="54"/>
      <c r="IQ64" s="54"/>
      <c r="IR64" s="54"/>
      <c r="IS64" s="54"/>
      <c r="IT64" s="54"/>
      <c r="IU64" s="54"/>
      <c r="IV64" s="54"/>
      <c r="IW64" s="54"/>
      <c r="IX64" s="54"/>
      <c r="IY64" s="54"/>
      <c r="IZ64" s="54"/>
      <c r="JA64" s="54"/>
      <c r="JB64" s="54"/>
      <c r="JC64" s="54"/>
      <c r="JD64" s="54"/>
      <c r="JE64" s="54"/>
      <c r="JF64" s="54"/>
      <c r="JG64" s="54"/>
      <c r="JH64" s="54"/>
      <c r="JI64" s="54"/>
      <c r="JJ64" s="54"/>
      <c r="JK64" s="54"/>
      <c r="JL64" s="54"/>
      <c r="JM64" s="54"/>
      <c r="JN64" s="54"/>
      <c r="JO64" s="54"/>
      <c r="JP64" s="54"/>
      <c r="JQ64" s="54"/>
      <c r="JR64" s="54"/>
      <c r="JS64" s="54"/>
      <c r="JT64" s="54"/>
      <c r="JU64" s="54"/>
      <c r="JV64" s="54"/>
      <c r="JW64" s="54"/>
      <c r="JX64" s="54"/>
      <c r="JY64" s="54"/>
      <c r="JZ64" s="54"/>
      <c r="KA64" s="54"/>
      <c r="KB64" s="54"/>
      <c r="KC64" s="54"/>
      <c r="KD64" s="54"/>
      <c r="KE64" s="54"/>
      <c r="KF64" s="54"/>
      <c r="KG64" s="54"/>
      <c r="KH64" s="54"/>
      <c r="KI64" s="54"/>
      <c r="KJ64" s="54"/>
      <c r="KK64" s="54"/>
      <c r="KL64" s="54"/>
      <c r="KM64" s="54"/>
      <c r="KN64" s="54"/>
      <c r="KO64" s="54"/>
      <c r="KP64" s="54"/>
      <c r="KQ64" s="54"/>
      <c r="KR64" s="54"/>
      <c r="KS64" s="54"/>
      <c r="KT64" s="54"/>
      <c r="KU64" s="54"/>
      <c r="KV64" s="54"/>
      <c r="KW64" s="54"/>
      <c r="KX64" s="54"/>
    </row>
    <row r="65" ht="5.2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c r="BU65" s="54"/>
      <c r="BV65" s="54"/>
      <c r="BW65" s="54"/>
      <c r="BX65" s="54"/>
      <c r="BY65" s="54"/>
      <c r="BZ65" s="54"/>
      <c r="CA65" s="54"/>
      <c r="CB65" s="54"/>
      <c r="CC65" s="54"/>
      <c r="CD65" s="54"/>
      <c r="CE65" s="54"/>
      <c r="CF65" s="54"/>
      <c r="CG65" s="54"/>
      <c r="CH65" s="54"/>
      <c r="CI65" s="54"/>
      <c r="CJ65" s="54"/>
      <c r="CK65" s="54"/>
      <c r="CL65" s="54"/>
      <c r="CM65" s="54"/>
      <c r="CN65" s="54"/>
      <c r="CO65" s="54"/>
      <c r="CP65" s="54"/>
      <c r="CQ65" s="54"/>
      <c r="CR65" s="54"/>
      <c r="CS65" s="54"/>
      <c r="CT65" s="54"/>
      <c r="CU65" s="54"/>
      <c r="CV65" s="54"/>
      <c r="CW65" s="54"/>
      <c r="CX65" s="54"/>
      <c r="CY65" s="54"/>
      <c r="CZ65" s="54"/>
      <c r="DA65" s="54"/>
      <c r="DB65" s="56"/>
      <c r="DC65" s="56"/>
      <c r="DD65" s="60"/>
      <c r="DN65" s="11"/>
      <c r="DO65" s="10"/>
      <c r="DQ65" s="11"/>
      <c r="DR65" s="10"/>
      <c r="EG65" s="11"/>
      <c r="EL65" s="54"/>
      <c r="EM65" s="54"/>
      <c r="EN65" s="54"/>
      <c r="EO65" s="54"/>
      <c r="EP65" s="54"/>
      <c r="EQ65" s="54"/>
      <c r="ER65" s="54"/>
      <c r="ES65" s="54"/>
      <c r="ET65" s="54"/>
      <c r="EW65" s="11"/>
      <c r="EX65" s="10"/>
      <c r="EZ65" s="11"/>
      <c r="FA65" s="10"/>
      <c r="FD65" s="68"/>
      <c r="FE65" s="54"/>
      <c r="FF65" s="54"/>
      <c r="FG65" s="54"/>
      <c r="FH65" s="54"/>
      <c r="FI65" s="54"/>
      <c r="FJ65" s="54"/>
      <c r="FK65" s="69"/>
      <c r="FL65" s="56"/>
      <c r="FM65" s="56"/>
      <c r="FN65" s="54"/>
      <c r="FO65" s="54"/>
      <c r="FP65" s="54"/>
      <c r="FQ65" s="54"/>
      <c r="FR65" s="54"/>
      <c r="FS65" s="54"/>
      <c r="FT65" s="54"/>
      <c r="FU65" s="54"/>
      <c r="FV65" s="54"/>
      <c r="FW65" s="54"/>
      <c r="FX65" s="54"/>
      <c r="FY65" s="54"/>
      <c r="FZ65" s="54"/>
      <c r="GA65" s="54"/>
      <c r="GB65" s="54"/>
      <c r="GC65" s="54"/>
      <c r="GD65" s="54"/>
      <c r="GE65" s="54"/>
      <c r="GF65" s="54"/>
      <c r="GG65" s="54"/>
      <c r="GH65" s="54"/>
      <c r="GI65" s="54"/>
      <c r="GJ65" s="54"/>
      <c r="GK65" s="54"/>
      <c r="GL65" s="54"/>
      <c r="GM65" s="54"/>
      <c r="GN65" s="54"/>
      <c r="GO65" s="54"/>
      <c r="GP65" s="54"/>
      <c r="GQ65" s="54"/>
      <c r="GR65" s="54"/>
      <c r="GS65" s="54"/>
      <c r="GT65" s="54"/>
      <c r="GU65" s="54"/>
      <c r="GV65" s="54"/>
      <c r="GW65" s="54"/>
      <c r="GX65" s="54"/>
      <c r="GY65" s="54"/>
      <c r="GZ65" s="54"/>
      <c r="HA65" s="54"/>
      <c r="HB65" s="54"/>
      <c r="HC65" s="54"/>
      <c r="HD65" s="54"/>
      <c r="HE65" s="54"/>
      <c r="HF65" s="54"/>
      <c r="HG65" s="54"/>
      <c r="HH65" s="54"/>
      <c r="HI65" s="54"/>
      <c r="HJ65" s="54"/>
      <c r="HK65" s="54"/>
      <c r="HL65" s="54"/>
      <c r="HM65" s="54"/>
      <c r="HN65" s="54"/>
      <c r="HO65" s="54"/>
      <c r="HP65" s="54"/>
      <c r="HQ65" s="54"/>
      <c r="HR65" s="54"/>
      <c r="HS65" s="54"/>
      <c r="HT65" s="54"/>
      <c r="HU65" s="54"/>
      <c r="HV65" s="54"/>
      <c r="HW65" s="54"/>
      <c r="HX65" s="54"/>
      <c r="HY65" s="54"/>
      <c r="HZ65" s="54"/>
      <c r="IA65" s="54"/>
      <c r="IB65" s="54"/>
      <c r="IC65" s="54"/>
      <c r="ID65" s="54"/>
      <c r="IE65" s="54"/>
      <c r="IF65" s="54"/>
      <c r="IG65" s="54"/>
      <c r="IH65" s="54"/>
      <c r="II65" s="54"/>
      <c r="IJ65" s="54"/>
      <c r="IK65" s="54"/>
      <c r="IL65" s="54"/>
      <c r="IM65" s="54"/>
      <c r="IN65" s="54"/>
      <c r="IO65" s="54"/>
      <c r="IP65" s="54"/>
      <c r="IQ65" s="54"/>
      <c r="IR65" s="54"/>
      <c r="IS65" s="54"/>
      <c r="IT65" s="54"/>
      <c r="IU65" s="54"/>
      <c r="IV65" s="54"/>
      <c r="IW65" s="54"/>
      <c r="IX65" s="54"/>
      <c r="IY65" s="54"/>
      <c r="IZ65" s="54"/>
      <c r="JA65" s="54"/>
      <c r="JB65" s="54"/>
      <c r="JC65" s="54"/>
      <c r="JD65" s="54"/>
      <c r="JE65" s="54"/>
      <c r="JF65" s="54"/>
      <c r="JG65" s="54"/>
      <c r="JH65" s="54"/>
      <c r="JI65" s="54"/>
      <c r="JJ65" s="54"/>
      <c r="JK65" s="54"/>
      <c r="JL65" s="54"/>
      <c r="JM65" s="54"/>
      <c r="JN65" s="54"/>
      <c r="JO65" s="54"/>
      <c r="JP65" s="54"/>
      <c r="JQ65" s="54"/>
      <c r="JR65" s="54"/>
      <c r="JS65" s="54"/>
      <c r="JT65" s="54"/>
      <c r="JU65" s="54"/>
      <c r="JV65" s="54"/>
      <c r="JW65" s="54"/>
      <c r="JX65" s="54"/>
      <c r="JY65" s="54"/>
      <c r="JZ65" s="54"/>
      <c r="KA65" s="54"/>
      <c r="KB65" s="54"/>
      <c r="KC65" s="54"/>
      <c r="KD65" s="54"/>
      <c r="KE65" s="54"/>
      <c r="KF65" s="54"/>
      <c r="KG65" s="54"/>
      <c r="KH65" s="54"/>
      <c r="KI65" s="54"/>
      <c r="KJ65" s="54"/>
      <c r="KK65" s="54"/>
      <c r="KL65" s="54"/>
      <c r="KM65" s="54"/>
      <c r="KN65" s="54"/>
      <c r="KO65" s="54"/>
      <c r="KP65" s="54"/>
      <c r="KQ65" s="54"/>
      <c r="KR65" s="54"/>
      <c r="KS65" s="54"/>
      <c r="KT65" s="54"/>
      <c r="KU65" s="54"/>
      <c r="KV65" s="54"/>
      <c r="KW65" s="54"/>
      <c r="KX65" s="54"/>
    </row>
    <row r="66" ht="5.2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4"/>
      <c r="CY66" s="54"/>
      <c r="CZ66" s="54"/>
      <c r="DA66" s="54"/>
      <c r="DB66" s="56"/>
      <c r="DC66" s="56"/>
      <c r="DD66" s="88"/>
      <c r="DE66" s="13"/>
      <c r="DF66" s="13"/>
      <c r="DG66" s="13"/>
      <c r="DH66" s="13"/>
      <c r="DI66" s="13"/>
      <c r="DJ66" s="13"/>
      <c r="DK66" s="13"/>
      <c r="DL66" s="13"/>
      <c r="DM66" s="13"/>
      <c r="DN66" s="14"/>
      <c r="DO66" s="12"/>
      <c r="DP66" s="13"/>
      <c r="DQ66" s="14"/>
      <c r="DR66" s="12"/>
      <c r="DS66" s="13"/>
      <c r="DT66" s="13"/>
      <c r="DU66" s="13"/>
      <c r="DV66" s="13"/>
      <c r="DW66" s="13"/>
      <c r="DX66" s="13"/>
      <c r="DY66" s="13"/>
      <c r="DZ66" s="13"/>
      <c r="EA66" s="13"/>
      <c r="EB66" s="13"/>
      <c r="EC66" s="13"/>
      <c r="ED66" s="13"/>
      <c r="EE66" s="13"/>
      <c r="EF66" s="13"/>
      <c r="EG66" s="14"/>
      <c r="EH66" s="13"/>
      <c r="EI66" s="13"/>
      <c r="EJ66" s="13"/>
      <c r="EK66" s="13"/>
      <c r="EL66" s="89"/>
      <c r="EM66" s="89"/>
      <c r="EN66" s="89"/>
      <c r="EO66" s="89"/>
      <c r="EP66" s="89"/>
      <c r="EQ66" s="89"/>
      <c r="ER66" s="89"/>
      <c r="ES66" s="89"/>
      <c r="ET66" s="89"/>
      <c r="EU66" s="13"/>
      <c r="EV66" s="13"/>
      <c r="EW66" s="14"/>
      <c r="EX66" s="12"/>
      <c r="EY66" s="13"/>
      <c r="EZ66" s="14"/>
      <c r="FA66" s="12"/>
      <c r="FB66" s="13"/>
      <c r="FC66" s="13"/>
      <c r="FD66" s="90"/>
      <c r="FE66" s="89"/>
      <c r="FF66" s="89"/>
      <c r="FG66" s="89"/>
      <c r="FH66" s="89"/>
      <c r="FI66" s="89"/>
      <c r="FJ66" s="89"/>
      <c r="FK66" s="91"/>
      <c r="FL66" s="56"/>
      <c r="FM66" s="56"/>
      <c r="FN66" s="54"/>
      <c r="FO66" s="54"/>
      <c r="FP66" s="54"/>
      <c r="FQ66" s="54"/>
      <c r="FR66" s="54"/>
      <c r="FS66" s="54"/>
      <c r="FT66" s="54"/>
      <c r="FU66" s="54"/>
      <c r="FV66" s="54"/>
      <c r="FW66" s="54"/>
      <c r="FX66" s="54"/>
      <c r="FY66" s="54"/>
      <c r="FZ66" s="54"/>
      <c r="GA66" s="54"/>
      <c r="GB66" s="54"/>
      <c r="GC66" s="54"/>
      <c r="GD66" s="54"/>
      <c r="GE66" s="54"/>
      <c r="GF66" s="54"/>
      <c r="GG66" s="54"/>
      <c r="GH66" s="54"/>
      <c r="GI66" s="54"/>
      <c r="GJ66" s="54"/>
      <c r="GK66" s="54"/>
      <c r="GL66" s="54"/>
      <c r="GM66" s="54"/>
      <c r="GN66" s="54"/>
      <c r="GO66" s="54"/>
      <c r="GP66" s="54"/>
      <c r="GQ66" s="54"/>
      <c r="GR66" s="54"/>
      <c r="GS66" s="54"/>
      <c r="GT66" s="54"/>
      <c r="GU66" s="54"/>
      <c r="GV66" s="54"/>
      <c r="GW66" s="54"/>
      <c r="GX66" s="54"/>
      <c r="GY66" s="54"/>
      <c r="GZ66" s="54"/>
      <c r="HA66" s="54"/>
      <c r="HB66" s="54"/>
      <c r="HC66" s="54"/>
      <c r="HD66" s="54"/>
      <c r="HE66" s="54"/>
      <c r="HF66" s="54"/>
      <c r="HG66" s="54"/>
      <c r="HH66" s="54"/>
      <c r="HI66" s="54"/>
      <c r="HJ66" s="54"/>
      <c r="HK66" s="54"/>
      <c r="HL66" s="54"/>
      <c r="HM66" s="54"/>
      <c r="HN66" s="54"/>
      <c r="HO66" s="54"/>
      <c r="HP66" s="54"/>
      <c r="HQ66" s="54"/>
      <c r="HR66" s="54"/>
      <c r="HS66" s="54"/>
      <c r="HT66" s="54"/>
      <c r="HU66" s="54"/>
      <c r="HV66" s="54"/>
      <c r="HW66" s="54"/>
      <c r="HX66" s="54"/>
      <c r="HY66" s="54"/>
      <c r="HZ66" s="54"/>
      <c r="IA66" s="54"/>
      <c r="IB66" s="54"/>
      <c r="IC66" s="54"/>
      <c r="ID66" s="54"/>
      <c r="IE66" s="54"/>
      <c r="IF66" s="54"/>
      <c r="IG66" s="54"/>
      <c r="IH66" s="54"/>
      <c r="II66" s="54"/>
      <c r="IJ66" s="54"/>
      <c r="IK66" s="54"/>
      <c r="IL66" s="54"/>
      <c r="IM66" s="54"/>
      <c r="IN66" s="54"/>
      <c r="IO66" s="54"/>
      <c r="IP66" s="54"/>
      <c r="IQ66" s="54"/>
      <c r="IR66" s="54"/>
      <c r="IS66" s="54"/>
      <c r="IT66" s="54"/>
      <c r="IU66" s="54"/>
      <c r="IV66" s="54"/>
      <c r="IW66" s="54"/>
      <c r="IX66" s="54"/>
      <c r="IY66" s="54"/>
      <c r="IZ66" s="54"/>
      <c r="JA66" s="54"/>
      <c r="JB66" s="54"/>
      <c r="JC66" s="54"/>
      <c r="JD66" s="54"/>
      <c r="JE66" s="54"/>
      <c r="JF66" s="54"/>
      <c r="JG66" s="54"/>
      <c r="JH66" s="54"/>
      <c r="JI66" s="54"/>
      <c r="JJ66" s="54"/>
      <c r="JK66" s="54"/>
      <c r="JL66" s="54"/>
      <c r="JM66" s="54"/>
      <c r="JN66" s="54"/>
      <c r="JO66" s="54"/>
      <c r="JP66" s="54"/>
      <c r="JQ66" s="54"/>
      <c r="JR66" s="54"/>
      <c r="JS66" s="54"/>
      <c r="JT66" s="54"/>
      <c r="JU66" s="54"/>
      <c r="JV66" s="54"/>
      <c r="JW66" s="54"/>
      <c r="JX66" s="54"/>
      <c r="JY66" s="54"/>
      <c r="JZ66" s="54"/>
      <c r="KA66" s="54"/>
      <c r="KB66" s="54"/>
      <c r="KC66" s="54"/>
      <c r="KD66" s="54"/>
      <c r="KE66" s="54"/>
      <c r="KF66" s="54"/>
      <c r="KG66" s="54"/>
      <c r="KH66" s="54"/>
      <c r="KI66" s="54"/>
      <c r="KJ66" s="54"/>
      <c r="KK66" s="54"/>
      <c r="KL66" s="54"/>
      <c r="KM66" s="54"/>
      <c r="KN66" s="54"/>
      <c r="KO66" s="54"/>
      <c r="KP66" s="54"/>
      <c r="KQ66" s="54"/>
      <c r="KR66" s="54"/>
      <c r="KS66" s="54"/>
      <c r="KT66" s="54"/>
      <c r="KU66" s="54"/>
      <c r="KV66" s="54"/>
      <c r="KW66" s="54"/>
      <c r="KX66" s="54"/>
    </row>
    <row r="67" ht="5.2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c r="BU67" s="54"/>
      <c r="BV67" s="54"/>
      <c r="BW67" s="54"/>
      <c r="BX67" s="54"/>
      <c r="BY67" s="54"/>
      <c r="BZ67" s="54"/>
      <c r="CA67" s="54"/>
      <c r="CB67" s="54"/>
      <c r="CC67" s="54"/>
      <c r="CD67" s="54"/>
      <c r="CE67" s="54"/>
      <c r="CF67" s="54"/>
      <c r="CG67" s="54"/>
      <c r="CH67" s="54"/>
      <c r="CI67" s="54"/>
      <c r="CJ67" s="54"/>
      <c r="CK67" s="54"/>
      <c r="CL67" s="54"/>
      <c r="CM67" s="54"/>
      <c r="CN67" s="54"/>
      <c r="CO67" s="54"/>
      <c r="CP67" s="54"/>
      <c r="CQ67" s="54"/>
      <c r="CR67" s="54"/>
      <c r="CS67" s="54"/>
      <c r="CT67" s="54"/>
      <c r="CU67" s="54"/>
      <c r="CV67" s="54"/>
      <c r="CW67" s="54"/>
      <c r="CX67" s="54"/>
      <c r="CY67" s="54"/>
      <c r="CZ67" s="54"/>
      <c r="DA67" s="54"/>
      <c r="DB67" s="56"/>
      <c r="DC67" s="56">
        <f>'Choose matchups (Main)'!Q12</f>
        <v>8</v>
      </c>
      <c r="DD67" s="100" t="str">
        <f t="array" ref="DD67">xlookup(DC67,data!$M$2:$M$17,data!$O$2:$O$17,"")</f>
        <v/>
      </c>
      <c r="DH67" s="79" t="str">
        <f t="array" ref="DH67">xlookup(DC67,data!$M$2:$M$17,data!$N$2:$N$17,"")</f>
        <v>Team 8 (Group 2)</v>
      </c>
      <c r="ED67" s="67"/>
      <c r="EG67" s="11"/>
      <c r="EH67" s="95"/>
      <c r="EI67" s="8"/>
      <c r="EJ67" s="8"/>
      <c r="EK67" s="8"/>
      <c r="EL67" s="96" t="str">
        <f t="array" ref="EL67">xlookup(FL67,data!$M$2:$M$17,data!$N$2:$N$17,"")</f>
        <v>TBD</v>
      </c>
      <c r="EM67" s="8"/>
      <c r="EN67" s="8"/>
      <c r="EO67" s="8"/>
      <c r="EP67" s="8"/>
      <c r="EQ67" s="8"/>
      <c r="ER67" s="8"/>
      <c r="ES67" s="8"/>
      <c r="ET67" s="8"/>
      <c r="EU67" s="8"/>
      <c r="EV67" s="8"/>
      <c r="EW67" s="8"/>
      <c r="EX67" s="8"/>
      <c r="EY67" s="8"/>
      <c r="EZ67" s="8"/>
      <c r="FA67" s="8"/>
      <c r="FB67" s="8"/>
      <c r="FC67" s="8"/>
      <c r="FD67" s="8"/>
      <c r="FE67" s="8"/>
      <c r="FF67" s="8"/>
      <c r="FG67" s="8"/>
      <c r="FH67" s="97" t="str">
        <f t="array" ref="FH67">xlookup(FL67,data!$M$2:$M$17,data!$O$2:$O$17,"")</f>
        <v/>
      </c>
      <c r="FI67" s="8"/>
      <c r="FJ67" s="8"/>
      <c r="FK67" s="98"/>
      <c r="FL67" s="77">
        <f t="array" ref="FL67">xlookup(DC67,data!$M$2:$M$17,data!$P$2:$P$17,"")</f>
        <v>9</v>
      </c>
      <c r="FM67" s="56"/>
      <c r="FN67" s="54"/>
      <c r="FO67" s="54"/>
      <c r="FP67" s="54"/>
      <c r="FQ67" s="54"/>
      <c r="FR67" s="54"/>
      <c r="FS67" s="54"/>
      <c r="FT67" s="54"/>
      <c r="FU67" s="54"/>
      <c r="FV67" s="54"/>
      <c r="FW67" s="54"/>
      <c r="FX67" s="54"/>
      <c r="FY67" s="54"/>
      <c r="FZ67" s="54"/>
      <c r="GA67" s="54"/>
      <c r="GB67" s="54"/>
      <c r="GC67" s="54"/>
      <c r="GD67" s="54"/>
      <c r="GE67" s="54"/>
      <c r="GF67" s="54"/>
      <c r="GG67" s="54"/>
      <c r="GH67" s="54"/>
      <c r="GI67" s="54"/>
      <c r="GJ67" s="54"/>
      <c r="GK67" s="54"/>
      <c r="GL67" s="54"/>
      <c r="GM67" s="54"/>
      <c r="GN67" s="54"/>
      <c r="GO67" s="54"/>
      <c r="GP67" s="54"/>
      <c r="GQ67" s="54"/>
      <c r="GR67" s="54"/>
      <c r="GS67" s="54"/>
      <c r="GT67" s="54"/>
      <c r="GU67" s="54"/>
      <c r="GV67" s="54"/>
      <c r="GW67" s="54"/>
      <c r="GX67" s="54"/>
      <c r="GY67" s="54"/>
      <c r="GZ67" s="54"/>
      <c r="HA67" s="54"/>
      <c r="HB67" s="54"/>
      <c r="HC67" s="54"/>
      <c r="HD67" s="54"/>
      <c r="HE67" s="54"/>
      <c r="HF67" s="54"/>
      <c r="HG67" s="54"/>
      <c r="HH67" s="54"/>
      <c r="HI67" s="54"/>
      <c r="HJ67" s="54"/>
      <c r="HK67" s="54"/>
      <c r="HL67" s="54"/>
      <c r="HM67" s="54"/>
      <c r="HN67" s="54"/>
      <c r="HO67" s="54"/>
      <c r="HP67" s="54"/>
      <c r="HQ67" s="54"/>
      <c r="HR67" s="54"/>
      <c r="HS67" s="54"/>
      <c r="HT67" s="54"/>
      <c r="HU67" s="54"/>
      <c r="HV67" s="54"/>
      <c r="HW67" s="54"/>
      <c r="HX67" s="54"/>
      <c r="HY67" s="54"/>
      <c r="HZ67" s="54"/>
      <c r="IA67" s="54"/>
      <c r="IB67" s="54"/>
      <c r="IC67" s="54"/>
      <c r="ID67" s="54"/>
      <c r="IE67" s="54"/>
      <c r="IF67" s="54"/>
      <c r="IG67" s="54"/>
      <c r="IH67" s="54"/>
      <c r="II67" s="54"/>
      <c r="IJ67" s="54"/>
      <c r="IK67" s="54"/>
      <c r="IL67" s="54"/>
      <c r="IM67" s="54"/>
      <c r="IN67" s="54"/>
      <c r="IO67" s="54"/>
      <c r="IP67" s="54"/>
      <c r="IQ67" s="54"/>
      <c r="IR67" s="54"/>
      <c r="IS67" s="54"/>
      <c r="IT67" s="54"/>
      <c r="IU67" s="54"/>
      <c r="IV67" s="54"/>
      <c r="IW67" s="54"/>
      <c r="IX67" s="54"/>
      <c r="IY67" s="54"/>
      <c r="IZ67" s="54"/>
      <c r="JA67" s="54"/>
      <c r="JB67" s="54"/>
      <c r="JC67" s="54"/>
      <c r="JD67" s="54"/>
      <c r="JE67" s="54"/>
      <c r="JF67" s="54"/>
      <c r="JG67" s="54"/>
      <c r="JH67" s="54"/>
      <c r="JI67" s="54"/>
      <c r="JJ67" s="54"/>
      <c r="JK67" s="54"/>
      <c r="JL67" s="54"/>
      <c r="JM67" s="54"/>
      <c r="JN67" s="54"/>
      <c r="JO67" s="54"/>
      <c r="JP67" s="54"/>
      <c r="JQ67" s="54"/>
      <c r="JR67" s="54"/>
      <c r="JS67" s="54"/>
      <c r="JT67" s="54"/>
      <c r="JU67" s="54"/>
      <c r="JV67" s="54"/>
      <c r="JW67" s="54"/>
      <c r="JX67" s="54"/>
      <c r="JY67" s="54"/>
      <c r="JZ67" s="54"/>
      <c r="KA67" s="54"/>
      <c r="KB67" s="54"/>
      <c r="KC67" s="54"/>
      <c r="KD67" s="54"/>
      <c r="KE67" s="54"/>
      <c r="KF67" s="54"/>
      <c r="KG67" s="54"/>
      <c r="KH67" s="54"/>
      <c r="KI67" s="54"/>
      <c r="KJ67" s="54"/>
      <c r="KK67" s="54"/>
      <c r="KL67" s="54"/>
      <c r="KM67" s="54"/>
      <c r="KN67" s="54"/>
      <c r="KO67" s="54"/>
      <c r="KP67" s="54"/>
      <c r="KQ67" s="54"/>
      <c r="KR67" s="54"/>
      <c r="KS67" s="54"/>
      <c r="KT67" s="54"/>
      <c r="KU67" s="54"/>
      <c r="KV67" s="54"/>
      <c r="KW67" s="54"/>
      <c r="KX67" s="54"/>
    </row>
    <row r="68" ht="5.2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c r="CC68" s="54"/>
      <c r="CD68" s="54"/>
      <c r="CE68" s="54"/>
      <c r="CF68" s="54"/>
      <c r="CG68" s="54"/>
      <c r="CH68" s="54"/>
      <c r="CI68" s="54"/>
      <c r="CJ68" s="54"/>
      <c r="CK68" s="54"/>
      <c r="CL68" s="54"/>
      <c r="CM68" s="54"/>
      <c r="CN68" s="54"/>
      <c r="CO68" s="54"/>
      <c r="CP68" s="54"/>
      <c r="CQ68" s="54"/>
      <c r="CR68" s="54"/>
      <c r="CS68" s="54"/>
      <c r="CT68" s="54"/>
      <c r="CU68" s="54"/>
      <c r="CV68" s="54"/>
      <c r="CW68" s="54"/>
      <c r="CX68" s="54"/>
      <c r="CY68" s="54"/>
      <c r="CZ68" s="54"/>
      <c r="DA68" s="54"/>
      <c r="DB68" s="56"/>
      <c r="DC68" s="56"/>
      <c r="DD68" s="60"/>
      <c r="EG68" s="11"/>
      <c r="EH68" s="10"/>
      <c r="FK68" s="61"/>
      <c r="FL68" s="56"/>
      <c r="FM68" s="56"/>
      <c r="FN68" s="54"/>
      <c r="FO68" s="54"/>
      <c r="FP68" s="54"/>
      <c r="FQ68" s="54"/>
      <c r="FR68" s="54"/>
      <c r="FS68" s="54"/>
      <c r="FT68" s="54"/>
      <c r="FU68" s="54"/>
      <c r="FV68" s="54"/>
      <c r="FW68" s="54"/>
      <c r="FX68" s="54"/>
      <c r="FY68" s="54"/>
      <c r="FZ68" s="54"/>
      <c r="GA68" s="54"/>
      <c r="GB68" s="54"/>
      <c r="GC68" s="54"/>
      <c r="GD68" s="54"/>
      <c r="GE68" s="54"/>
      <c r="GF68" s="54"/>
      <c r="GG68" s="54"/>
      <c r="GH68" s="54"/>
      <c r="GI68" s="54"/>
      <c r="GJ68" s="54"/>
      <c r="GK68" s="54"/>
      <c r="GL68" s="54"/>
      <c r="GM68" s="54"/>
      <c r="GN68" s="54"/>
      <c r="GO68" s="54"/>
      <c r="GP68" s="54"/>
      <c r="GQ68" s="54"/>
      <c r="GR68" s="54"/>
      <c r="GS68" s="54"/>
      <c r="GT68" s="54"/>
      <c r="GU68" s="54"/>
      <c r="GV68" s="54"/>
      <c r="GW68" s="54"/>
      <c r="GX68" s="54"/>
      <c r="GY68" s="54"/>
      <c r="GZ68" s="54"/>
      <c r="HA68" s="54"/>
      <c r="HB68" s="54"/>
      <c r="HC68" s="54"/>
      <c r="HD68" s="54"/>
      <c r="HE68" s="54"/>
      <c r="HF68" s="54"/>
      <c r="HG68" s="54"/>
      <c r="HH68" s="54"/>
      <c r="HI68" s="54"/>
      <c r="HJ68" s="54"/>
      <c r="HK68" s="54"/>
      <c r="HL68" s="54"/>
      <c r="HM68" s="54"/>
      <c r="HN68" s="54"/>
      <c r="HO68" s="54"/>
      <c r="HP68" s="54"/>
      <c r="HQ68" s="54"/>
      <c r="HR68" s="54"/>
      <c r="HS68" s="54"/>
      <c r="HT68" s="54"/>
      <c r="HU68" s="54"/>
      <c r="HV68" s="54"/>
      <c r="HW68" s="54"/>
      <c r="HX68" s="54"/>
      <c r="HY68" s="54"/>
      <c r="HZ68" s="54"/>
      <c r="IA68" s="54"/>
      <c r="IB68" s="54"/>
      <c r="IC68" s="54"/>
      <c r="ID68" s="54"/>
      <c r="IE68" s="54"/>
      <c r="IF68" s="54"/>
      <c r="IG68" s="54"/>
      <c r="IH68" s="54"/>
      <c r="II68" s="54"/>
      <c r="IJ68" s="54"/>
      <c r="IK68" s="54"/>
      <c r="IL68" s="54"/>
      <c r="IM68" s="54"/>
      <c r="IN68" s="54"/>
      <c r="IO68" s="54"/>
      <c r="IP68" s="54"/>
      <c r="IQ68" s="54"/>
      <c r="IR68" s="54"/>
      <c r="IS68" s="54"/>
      <c r="IT68" s="54"/>
      <c r="IU68" s="54"/>
      <c r="IV68" s="54"/>
      <c r="IW68" s="54"/>
      <c r="IX68" s="54"/>
      <c r="IY68" s="54"/>
      <c r="IZ68" s="54"/>
      <c r="JA68" s="54"/>
      <c r="JB68" s="54"/>
      <c r="JC68" s="54"/>
      <c r="JD68" s="54"/>
      <c r="JE68" s="54"/>
      <c r="JF68" s="54"/>
      <c r="JG68" s="54"/>
      <c r="JH68" s="54"/>
      <c r="JI68" s="54"/>
      <c r="JJ68" s="54"/>
      <c r="JK68" s="54"/>
      <c r="JL68" s="54"/>
      <c r="JM68" s="54"/>
      <c r="JN68" s="54"/>
      <c r="JO68" s="54"/>
      <c r="JP68" s="54"/>
      <c r="JQ68" s="54"/>
      <c r="JR68" s="54"/>
      <c r="JS68" s="54"/>
      <c r="JT68" s="54"/>
      <c r="JU68" s="54"/>
      <c r="JV68" s="54"/>
      <c r="JW68" s="54"/>
      <c r="JX68" s="54"/>
      <c r="JY68" s="54"/>
      <c r="JZ68" s="54"/>
      <c r="KA68" s="54"/>
      <c r="KB68" s="54"/>
      <c r="KC68" s="54"/>
      <c r="KD68" s="54"/>
      <c r="KE68" s="54"/>
      <c r="KF68" s="54"/>
      <c r="KG68" s="54"/>
      <c r="KH68" s="54"/>
      <c r="KI68" s="54"/>
      <c r="KJ68" s="54"/>
      <c r="KK68" s="54"/>
      <c r="KL68" s="54"/>
      <c r="KM68" s="54"/>
      <c r="KN68" s="54"/>
      <c r="KO68" s="54"/>
      <c r="KP68" s="54"/>
      <c r="KQ68" s="54"/>
      <c r="KR68" s="54"/>
      <c r="KS68" s="54"/>
      <c r="KT68" s="54"/>
      <c r="KU68" s="54"/>
      <c r="KV68" s="54"/>
      <c r="KW68" s="54"/>
      <c r="KX68" s="54"/>
    </row>
    <row r="69" ht="5.2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c r="CA69" s="54"/>
      <c r="CB69" s="54"/>
      <c r="CC69" s="54"/>
      <c r="CD69" s="54"/>
      <c r="CE69" s="54"/>
      <c r="CF69" s="54"/>
      <c r="CG69" s="54"/>
      <c r="CH69" s="54"/>
      <c r="CI69" s="54"/>
      <c r="CJ69" s="54"/>
      <c r="CK69" s="54"/>
      <c r="CL69" s="54"/>
      <c r="CM69" s="54"/>
      <c r="CN69" s="54"/>
      <c r="CO69" s="54"/>
      <c r="CP69" s="54"/>
      <c r="CQ69" s="54"/>
      <c r="CR69" s="54"/>
      <c r="CS69" s="54"/>
      <c r="CT69" s="54"/>
      <c r="CU69" s="54"/>
      <c r="CV69" s="54"/>
      <c r="CW69" s="54"/>
      <c r="CX69" s="54"/>
      <c r="CY69" s="54"/>
      <c r="CZ69" s="54"/>
      <c r="DA69" s="54"/>
      <c r="DB69" s="56"/>
      <c r="DC69" s="56"/>
      <c r="DD69" s="60"/>
      <c r="EG69" s="11"/>
      <c r="EH69" s="10"/>
      <c r="FK69" s="61"/>
      <c r="FL69" s="56"/>
      <c r="FM69" s="56"/>
      <c r="FN69" s="54"/>
      <c r="FO69" s="54"/>
      <c r="FP69" s="54"/>
      <c r="FQ69" s="54"/>
      <c r="FR69" s="54"/>
      <c r="FS69" s="54"/>
      <c r="FT69" s="54"/>
      <c r="FU69" s="54"/>
      <c r="FV69" s="54"/>
      <c r="FW69" s="54"/>
      <c r="FX69" s="54"/>
      <c r="FY69" s="54"/>
      <c r="FZ69" s="54"/>
      <c r="GA69" s="54"/>
      <c r="GB69" s="54"/>
      <c r="GC69" s="54"/>
      <c r="GD69" s="54"/>
      <c r="GE69" s="54"/>
      <c r="GF69" s="54"/>
      <c r="GG69" s="54"/>
      <c r="GH69" s="54"/>
      <c r="GI69" s="54"/>
      <c r="GJ69" s="54"/>
      <c r="GK69" s="54"/>
      <c r="GL69" s="54"/>
      <c r="GM69" s="54"/>
      <c r="GN69" s="54"/>
      <c r="GO69" s="54"/>
      <c r="GP69" s="54"/>
      <c r="GQ69" s="54"/>
      <c r="GR69" s="54"/>
      <c r="GS69" s="54"/>
      <c r="GT69" s="54"/>
      <c r="GU69" s="54"/>
      <c r="GV69" s="54"/>
      <c r="GW69" s="54"/>
      <c r="GX69" s="54"/>
      <c r="GY69" s="54"/>
      <c r="GZ69" s="54"/>
      <c r="HA69" s="54"/>
      <c r="HB69" s="54"/>
      <c r="HC69" s="54"/>
      <c r="HD69" s="54"/>
      <c r="HE69" s="54"/>
      <c r="HF69" s="54"/>
      <c r="HG69" s="54"/>
      <c r="HH69" s="54"/>
      <c r="HI69" s="54"/>
      <c r="HJ69" s="54"/>
      <c r="HK69" s="54"/>
      <c r="HL69" s="54"/>
      <c r="HM69" s="54"/>
      <c r="HN69" s="54"/>
      <c r="HO69" s="54"/>
      <c r="HP69" s="54"/>
      <c r="HQ69" s="54"/>
      <c r="HR69" s="54"/>
      <c r="HS69" s="54"/>
      <c r="HT69" s="54"/>
      <c r="HU69" s="54"/>
      <c r="HV69" s="54"/>
      <c r="HW69" s="54"/>
      <c r="HX69" s="54"/>
      <c r="HY69" s="54"/>
      <c r="HZ69" s="54"/>
      <c r="IA69" s="54"/>
      <c r="IB69" s="54"/>
      <c r="IC69" s="54"/>
      <c r="ID69" s="54"/>
      <c r="IE69" s="54"/>
      <c r="IF69" s="54"/>
      <c r="IG69" s="54"/>
      <c r="IH69" s="54"/>
      <c r="II69" s="54"/>
      <c r="IJ69" s="54"/>
      <c r="IK69" s="54"/>
      <c r="IL69" s="54"/>
      <c r="IM69" s="54"/>
      <c r="IN69" s="54"/>
      <c r="IO69" s="54"/>
      <c r="IP69" s="54"/>
      <c r="IQ69" s="54"/>
      <c r="IR69" s="54"/>
      <c r="IS69" s="54"/>
      <c r="IT69" s="54"/>
      <c r="IU69" s="54"/>
      <c r="IV69" s="54"/>
      <c r="IW69" s="54"/>
      <c r="IX69" s="54"/>
      <c r="IY69" s="54"/>
      <c r="IZ69" s="54"/>
      <c r="JA69" s="54"/>
      <c r="JB69" s="54"/>
      <c r="JC69" s="54"/>
      <c r="JD69" s="54"/>
      <c r="JE69" s="54"/>
      <c r="JF69" s="54"/>
      <c r="JG69" s="54"/>
      <c r="JH69" s="54"/>
      <c r="JI69" s="54"/>
      <c r="JJ69" s="54"/>
      <c r="JK69" s="54"/>
      <c r="JL69" s="54"/>
      <c r="JM69" s="54"/>
      <c r="JN69" s="54"/>
      <c r="JO69" s="54"/>
      <c r="JP69" s="54"/>
      <c r="JQ69" s="54"/>
      <c r="JR69" s="54"/>
      <c r="JS69" s="54"/>
      <c r="JT69" s="54"/>
      <c r="JU69" s="54"/>
      <c r="JV69" s="54"/>
      <c r="JW69" s="54"/>
      <c r="JX69" s="54"/>
      <c r="JY69" s="54"/>
      <c r="JZ69" s="54"/>
      <c r="KA69" s="54"/>
      <c r="KB69" s="54"/>
      <c r="KC69" s="54"/>
      <c r="KD69" s="54"/>
      <c r="KE69" s="54"/>
      <c r="KF69" s="54"/>
      <c r="KG69" s="54"/>
      <c r="KH69" s="54"/>
      <c r="KI69" s="54"/>
      <c r="KJ69" s="54"/>
      <c r="KK69" s="54"/>
      <c r="KL69" s="54"/>
      <c r="KM69" s="54"/>
      <c r="KN69" s="54"/>
      <c r="KO69" s="54"/>
      <c r="KP69" s="54"/>
      <c r="KQ69" s="54"/>
      <c r="KR69" s="54"/>
      <c r="KS69" s="54"/>
      <c r="KT69" s="54"/>
      <c r="KU69" s="54"/>
      <c r="KV69" s="54"/>
      <c r="KW69" s="54"/>
      <c r="KX69" s="54"/>
    </row>
    <row r="70" ht="5.2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c r="CA70" s="54"/>
      <c r="CB70" s="54"/>
      <c r="CC70" s="54"/>
      <c r="CD70" s="54"/>
      <c r="CE70" s="54"/>
      <c r="CF70" s="54"/>
      <c r="CG70" s="54"/>
      <c r="CH70" s="54"/>
      <c r="CI70" s="54"/>
      <c r="CJ70" s="54"/>
      <c r="CK70" s="54"/>
      <c r="CL70" s="54"/>
      <c r="CM70" s="54"/>
      <c r="CN70" s="54"/>
      <c r="CO70" s="54"/>
      <c r="CP70" s="54"/>
      <c r="CQ70" s="54"/>
      <c r="CR70" s="54"/>
      <c r="CS70" s="54"/>
      <c r="CT70" s="54"/>
      <c r="CU70" s="54"/>
      <c r="CV70" s="54"/>
      <c r="CW70" s="54"/>
      <c r="CX70" s="54"/>
      <c r="CY70" s="54"/>
      <c r="CZ70" s="54"/>
      <c r="DA70" s="54"/>
      <c r="DB70" s="56"/>
      <c r="DC70" s="56"/>
      <c r="DD70" s="60"/>
      <c r="EG70" s="11"/>
      <c r="EH70" s="10"/>
      <c r="FK70" s="61"/>
      <c r="FL70" s="56"/>
      <c r="FM70" s="56"/>
      <c r="FN70" s="54"/>
      <c r="FO70" s="54"/>
      <c r="FP70" s="54"/>
      <c r="FQ70" s="54"/>
      <c r="FR70" s="54"/>
      <c r="FS70" s="54"/>
      <c r="FT70" s="54"/>
      <c r="FU70" s="54"/>
      <c r="FV70" s="54"/>
      <c r="FW70" s="54"/>
      <c r="FX70" s="54"/>
      <c r="FY70" s="54"/>
      <c r="FZ70" s="54"/>
      <c r="GA70" s="54"/>
      <c r="GB70" s="54"/>
      <c r="GC70" s="54"/>
      <c r="GD70" s="54"/>
      <c r="GE70" s="54"/>
      <c r="GF70" s="54"/>
      <c r="GG70" s="54"/>
      <c r="GH70" s="54"/>
      <c r="GI70" s="54"/>
      <c r="GJ70" s="54"/>
      <c r="GK70" s="54"/>
      <c r="GL70" s="54"/>
      <c r="GM70" s="54"/>
      <c r="GN70" s="54"/>
      <c r="GO70" s="54"/>
      <c r="GP70" s="54"/>
      <c r="GQ70" s="54"/>
      <c r="GR70" s="54"/>
      <c r="GS70" s="54"/>
      <c r="GT70" s="54"/>
      <c r="GU70" s="54"/>
      <c r="GV70" s="54"/>
      <c r="GW70" s="54"/>
      <c r="GX70" s="54"/>
      <c r="GY70" s="54"/>
      <c r="GZ70" s="54"/>
      <c r="HA70" s="54"/>
      <c r="HB70" s="54"/>
      <c r="HC70" s="54"/>
      <c r="HD70" s="54"/>
      <c r="HE70" s="54"/>
      <c r="HF70" s="54"/>
      <c r="HG70" s="54"/>
      <c r="HH70" s="54"/>
      <c r="HI70" s="54"/>
      <c r="HJ70" s="54"/>
      <c r="HK70" s="54"/>
      <c r="HL70" s="54"/>
      <c r="HM70" s="54"/>
      <c r="HN70" s="54"/>
      <c r="HO70" s="54"/>
      <c r="HP70" s="54"/>
      <c r="HQ70" s="54"/>
      <c r="HR70" s="54"/>
      <c r="HS70" s="54"/>
      <c r="HT70" s="54"/>
      <c r="HU70" s="54"/>
      <c r="HV70" s="54"/>
      <c r="HW70" s="54"/>
      <c r="HX70" s="54"/>
      <c r="HY70" s="54"/>
      <c r="HZ70" s="54"/>
      <c r="IA70" s="54"/>
      <c r="IB70" s="54"/>
      <c r="IC70" s="54"/>
      <c r="ID70" s="54"/>
      <c r="IE70" s="54"/>
      <c r="IF70" s="54"/>
      <c r="IG70" s="54"/>
      <c r="IH70" s="54"/>
      <c r="II70" s="54"/>
      <c r="IJ70" s="54"/>
      <c r="IK70" s="54"/>
      <c r="IL70" s="54"/>
      <c r="IM70" s="54"/>
      <c r="IN70" s="54"/>
      <c r="IO70" s="54"/>
      <c r="IP70" s="54"/>
      <c r="IQ70" s="54"/>
      <c r="IR70" s="54"/>
      <c r="IS70" s="54"/>
      <c r="IT70" s="54"/>
      <c r="IU70" s="54"/>
      <c r="IV70" s="54"/>
      <c r="IW70" s="54"/>
      <c r="IX70" s="54"/>
      <c r="IY70" s="54"/>
      <c r="IZ70" s="54"/>
      <c r="JA70" s="54"/>
      <c r="JB70" s="54"/>
      <c r="JC70" s="54"/>
      <c r="JD70" s="54"/>
      <c r="JE70" s="54"/>
      <c r="JF70" s="54"/>
      <c r="JG70" s="54"/>
      <c r="JH70" s="54"/>
      <c r="JI70" s="54"/>
      <c r="JJ70" s="54"/>
      <c r="JK70" s="54"/>
      <c r="JL70" s="54"/>
      <c r="JM70" s="54"/>
      <c r="JN70" s="54"/>
      <c r="JO70" s="54"/>
      <c r="JP70" s="54"/>
      <c r="JQ70" s="54"/>
      <c r="JR70" s="54"/>
      <c r="JS70" s="54"/>
      <c r="JT70" s="54"/>
      <c r="JU70" s="54"/>
      <c r="JV70" s="54"/>
      <c r="JW70" s="54"/>
      <c r="JX70" s="54"/>
      <c r="JY70" s="54"/>
      <c r="JZ70" s="54"/>
      <c r="KA70" s="54"/>
      <c r="KB70" s="54"/>
      <c r="KC70" s="54"/>
      <c r="KD70" s="54"/>
      <c r="KE70" s="54"/>
      <c r="KF70" s="54"/>
      <c r="KG70" s="54"/>
      <c r="KH70" s="54"/>
      <c r="KI70" s="54"/>
      <c r="KJ70" s="54"/>
      <c r="KK70" s="54"/>
      <c r="KL70" s="54"/>
      <c r="KM70" s="54"/>
      <c r="KN70" s="54"/>
      <c r="KO70" s="54"/>
      <c r="KP70" s="54"/>
      <c r="KQ70" s="54"/>
      <c r="KR70" s="54"/>
      <c r="KS70" s="54"/>
      <c r="KT70" s="54"/>
      <c r="KU70" s="54"/>
      <c r="KV70" s="54"/>
      <c r="KW70" s="54"/>
      <c r="KX70" s="54"/>
    </row>
    <row r="71" ht="5.2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c r="CA71" s="54"/>
      <c r="CB71" s="54"/>
      <c r="CC71" s="54"/>
      <c r="CD71" s="54"/>
      <c r="CE71" s="54"/>
      <c r="CF71" s="54"/>
      <c r="CG71" s="54"/>
      <c r="CH71" s="54"/>
      <c r="CI71" s="54"/>
      <c r="CJ71" s="54"/>
      <c r="CK71" s="54"/>
      <c r="CL71" s="54"/>
      <c r="CM71" s="54"/>
      <c r="CN71" s="54"/>
      <c r="CO71" s="54"/>
      <c r="CP71" s="54"/>
      <c r="CQ71" s="54"/>
      <c r="CR71" s="54"/>
      <c r="CS71" s="54"/>
      <c r="CT71" s="54"/>
      <c r="CU71" s="54"/>
      <c r="CV71" s="54"/>
      <c r="CW71" s="54"/>
      <c r="CX71" s="54"/>
      <c r="CY71" s="54"/>
      <c r="CZ71" s="54"/>
      <c r="DA71" s="54"/>
      <c r="DB71" s="56"/>
      <c r="DC71" s="56">
        <f>DC67</f>
        <v>8</v>
      </c>
      <c r="DD71" s="64"/>
      <c r="DL71" s="83"/>
      <c r="DN71" s="11"/>
      <c r="DO71" s="84"/>
      <c r="DQ71" s="11"/>
      <c r="DR71" s="84"/>
      <c r="DU71" s="54"/>
      <c r="ED71" s="85">
        <f>sum(DL71:DT73)</f>
        <v>0</v>
      </c>
      <c r="EG71" s="11"/>
      <c r="EH71" s="86">
        <f>sum(EU71:FC73)</f>
        <v>0</v>
      </c>
      <c r="EL71" s="54"/>
      <c r="EM71" s="54"/>
      <c r="EN71" s="54"/>
      <c r="EO71" s="54"/>
      <c r="EP71" s="54"/>
      <c r="EQ71" s="54"/>
      <c r="ER71" s="54"/>
      <c r="ES71" s="54"/>
      <c r="ET71" s="54"/>
      <c r="EU71" s="83"/>
      <c r="EW71" s="11"/>
      <c r="EX71" s="84"/>
      <c r="EZ71" s="11"/>
      <c r="FA71" s="84"/>
      <c r="FD71" s="68"/>
      <c r="FE71" s="54"/>
      <c r="FF71" s="54"/>
      <c r="FG71" s="54"/>
      <c r="FH71" s="54"/>
      <c r="FI71" s="54"/>
      <c r="FJ71" s="54"/>
      <c r="FK71" s="69"/>
      <c r="FL71" s="56">
        <f>FL67</f>
        <v>9</v>
      </c>
      <c r="FM71" s="56"/>
      <c r="FN71" s="54"/>
      <c r="FO71" s="54"/>
      <c r="FP71" s="54"/>
      <c r="FQ71" s="54"/>
      <c r="FR71" s="54"/>
      <c r="FS71" s="54"/>
      <c r="FT71" s="54"/>
      <c r="FU71" s="54"/>
      <c r="FV71" s="54"/>
      <c r="FW71" s="54"/>
      <c r="FX71" s="54"/>
      <c r="FY71" s="54"/>
      <c r="FZ71" s="54"/>
      <c r="GA71" s="54"/>
      <c r="GB71" s="54"/>
      <c r="GC71" s="54"/>
      <c r="GD71" s="54"/>
      <c r="GE71" s="54"/>
      <c r="GF71" s="54"/>
      <c r="GG71" s="54"/>
      <c r="GH71" s="54"/>
      <c r="GI71" s="54"/>
      <c r="GJ71" s="54"/>
      <c r="GK71" s="54"/>
      <c r="GL71" s="54"/>
      <c r="GM71" s="54"/>
      <c r="GN71" s="54"/>
      <c r="GO71" s="54"/>
      <c r="GP71" s="54"/>
      <c r="GQ71" s="54"/>
      <c r="GR71" s="54"/>
      <c r="GS71" s="54"/>
      <c r="GT71" s="54"/>
      <c r="GU71" s="54"/>
      <c r="GV71" s="54"/>
      <c r="GW71" s="54"/>
      <c r="GX71" s="54"/>
      <c r="GY71" s="54"/>
      <c r="GZ71" s="54"/>
      <c r="HA71" s="54"/>
      <c r="HB71" s="54"/>
      <c r="HC71" s="54"/>
      <c r="HD71" s="54"/>
      <c r="HE71" s="54"/>
      <c r="HF71" s="54"/>
      <c r="HG71" s="54"/>
      <c r="HH71" s="54"/>
      <c r="HI71" s="54"/>
      <c r="HJ71" s="54"/>
      <c r="HK71" s="54"/>
      <c r="HL71" s="54"/>
      <c r="HM71" s="54"/>
      <c r="HN71" s="54"/>
      <c r="HO71" s="54"/>
      <c r="HP71" s="54"/>
      <c r="HQ71" s="54"/>
      <c r="HR71" s="54"/>
      <c r="HS71" s="54"/>
      <c r="HT71" s="54"/>
      <c r="HU71" s="54"/>
      <c r="HV71" s="54"/>
      <c r="HW71" s="54"/>
      <c r="HX71" s="54"/>
      <c r="HY71" s="54"/>
      <c r="HZ71" s="54"/>
      <c r="IA71" s="54"/>
      <c r="IB71" s="54"/>
      <c r="IC71" s="54"/>
      <c r="ID71" s="54"/>
      <c r="IE71" s="54"/>
      <c r="IF71" s="54"/>
      <c r="IG71" s="54"/>
      <c r="IH71" s="54"/>
      <c r="II71" s="54"/>
      <c r="IJ71" s="54"/>
      <c r="IK71" s="54"/>
      <c r="IL71" s="54"/>
      <c r="IM71" s="54"/>
      <c r="IN71" s="54"/>
      <c r="IO71" s="54"/>
      <c r="IP71" s="54"/>
      <c r="IQ71" s="54"/>
      <c r="IR71" s="54"/>
      <c r="IS71" s="54"/>
      <c r="IT71" s="54"/>
      <c r="IU71" s="54"/>
      <c r="IV71" s="54"/>
      <c r="IW71" s="54"/>
      <c r="IX71" s="54"/>
      <c r="IY71" s="54"/>
      <c r="IZ71" s="54"/>
      <c r="JA71" s="54"/>
      <c r="JB71" s="54"/>
      <c r="JC71" s="54"/>
      <c r="JD71" s="54"/>
      <c r="JE71" s="54"/>
      <c r="JF71" s="54"/>
      <c r="JG71" s="54"/>
      <c r="JH71" s="54"/>
      <c r="JI71" s="54"/>
      <c r="JJ71" s="54"/>
      <c r="JK71" s="54"/>
      <c r="JL71" s="54"/>
      <c r="JM71" s="54"/>
      <c r="JN71" s="54"/>
      <c r="JO71" s="54"/>
      <c r="JP71" s="54"/>
      <c r="JQ71" s="54"/>
      <c r="JR71" s="54"/>
      <c r="JS71" s="54"/>
      <c r="JT71" s="54"/>
      <c r="JU71" s="54"/>
      <c r="JV71" s="54"/>
      <c r="JW71" s="54"/>
      <c r="JX71" s="54"/>
      <c r="JY71" s="54"/>
      <c r="JZ71" s="54"/>
      <c r="KA71" s="54"/>
      <c r="KB71" s="54"/>
      <c r="KC71" s="54"/>
      <c r="KD71" s="54"/>
      <c r="KE71" s="54"/>
      <c r="KF71" s="54"/>
      <c r="KG71" s="54"/>
      <c r="KH71" s="54"/>
      <c r="KI71" s="54"/>
      <c r="KJ71" s="54"/>
      <c r="KK71" s="54"/>
      <c r="KL71" s="54"/>
      <c r="KM71" s="54"/>
      <c r="KN71" s="54"/>
      <c r="KO71" s="54"/>
      <c r="KP71" s="54"/>
      <c r="KQ71" s="54"/>
      <c r="KR71" s="54"/>
      <c r="KS71" s="54"/>
      <c r="KT71" s="54"/>
      <c r="KU71" s="54"/>
      <c r="KV71" s="54"/>
      <c r="KW71" s="54"/>
      <c r="KX71" s="54"/>
    </row>
    <row r="72" ht="5.2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54"/>
      <c r="CB72" s="54"/>
      <c r="CC72" s="54"/>
      <c r="CD72" s="54"/>
      <c r="CE72" s="54"/>
      <c r="CF72" s="54"/>
      <c r="CG72" s="54"/>
      <c r="CH72" s="54"/>
      <c r="CI72" s="54"/>
      <c r="CJ72" s="54"/>
      <c r="CK72" s="54"/>
      <c r="CL72" s="54"/>
      <c r="CM72" s="54"/>
      <c r="CN72" s="54"/>
      <c r="CO72" s="54"/>
      <c r="CP72" s="54"/>
      <c r="CQ72" s="54"/>
      <c r="CR72" s="54"/>
      <c r="CS72" s="54"/>
      <c r="CT72" s="54"/>
      <c r="CU72" s="54"/>
      <c r="CV72" s="54"/>
      <c r="CW72" s="54"/>
      <c r="CX72" s="54"/>
      <c r="CY72" s="54"/>
      <c r="CZ72" s="54"/>
      <c r="DA72" s="54"/>
      <c r="DB72" s="56"/>
      <c r="DC72" s="56"/>
      <c r="DD72" s="60"/>
      <c r="DN72" s="11"/>
      <c r="DO72" s="10"/>
      <c r="DQ72" s="11"/>
      <c r="DR72" s="10"/>
      <c r="EG72" s="11"/>
      <c r="EH72" s="10"/>
      <c r="EL72" s="54"/>
      <c r="EM72" s="54"/>
      <c r="EN72" s="54"/>
      <c r="EO72" s="54"/>
      <c r="EP72" s="54"/>
      <c r="EQ72" s="54"/>
      <c r="ER72" s="54"/>
      <c r="ES72" s="54"/>
      <c r="ET72" s="54"/>
      <c r="EW72" s="11"/>
      <c r="EX72" s="10"/>
      <c r="EZ72" s="11"/>
      <c r="FA72" s="10"/>
      <c r="FD72" s="68"/>
      <c r="FE72" s="54"/>
      <c r="FF72" s="54"/>
      <c r="FG72" s="54"/>
      <c r="FH72" s="54"/>
      <c r="FI72" s="54"/>
      <c r="FJ72" s="54"/>
      <c r="FK72" s="69"/>
      <c r="FL72" s="56"/>
      <c r="FM72" s="56"/>
      <c r="FN72" s="54"/>
      <c r="FO72" s="54"/>
      <c r="FP72" s="54"/>
      <c r="FQ72" s="54"/>
      <c r="FR72" s="54"/>
      <c r="FS72" s="54"/>
      <c r="FT72" s="54"/>
      <c r="FU72" s="54"/>
      <c r="FV72" s="54"/>
      <c r="FW72" s="54"/>
      <c r="FX72" s="54"/>
      <c r="FY72" s="54"/>
      <c r="FZ72" s="54"/>
      <c r="GA72" s="54"/>
      <c r="GB72" s="54"/>
      <c r="GC72" s="54"/>
      <c r="GD72" s="54"/>
      <c r="GE72" s="54"/>
      <c r="GF72" s="54"/>
      <c r="GG72" s="54"/>
      <c r="GH72" s="54"/>
      <c r="GI72" s="54"/>
      <c r="GJ72" s="54"/>
      <c r="GK72" s="54"/>
      <c r="GL72" s="54"/>
      <c r="GM72" s="54"/>
      <c r="GN72" s="54"/>
      <c r="GO72" s="54"/>
      <c r="GP72" s="54"/>
      <c r="GQ72" s="54"/>
      <c r="GR72" s="54"/>
      <c r="GS72" s="54"/>
      <c r="GT72" s="54"/>
      <c r="GU72" s="54"/>
      <c r="GV72" s="54"/>
      <c r="GW72" s="54"/>
      <c r="GX72" s="54"/>
      <c r="GY72" s="54"/>
      <c r="GZ72" s="54"/>
      <c r="HA72" s="54"/>
      <c r="HB72" s="54"/>
      <c r="HC72" s="54"/>
      <c r="HD72" s="54"/>
      <c r="HE72" s="54"/>
      <c r="HF72" s="54"/>
      <c r="HG72" s="54"/>
      <c r="HH72" s="54"/>
      <c r="HI72" s="54"/>
      <c r="HJ72" s="54"/>
      <c r="HK72" s="54"/>
      <c r="HL72" s="54"/>
      <c r="HM72" s="54"/>
      <c r="HN72" s="54"/>
      <c r="HO72" s="54"/>
      <c r="HP72" s="54"/>
      <c r="HQ72" s="54"/>
      <c r="HR72" s="54"/>
      <c r="HS72" s="54"/>
      <c r="HT72" s="54"/>
      <c r="HU72" s="54"/>
      <c r="HV72" s="54"/>
      <c r="HW72" s="54"/>
      <c r="HX72" s="54"/>
      <c r="HY72" s="54"/>
      <c r="HZ72" s="54"/>
      <c r="IA72" s="54"/>
      <c r="IB72" s="54"/>
      <c r="IC72" s="54"/>
      <c r="ID72" s="54"/>
      <c r="IE72" s="54"/>
      <c r="IF72" s="54"/>
      <c r="IG72" s="54"/>
      <c r="IH72" s="54"/>
      <c r="II72" s="54"/>
      <c r="IJ72" s="54"/>
      <c r="IK72" s="54"/>
      <c r="IL72" s="54"/>
      <c r="IM72" s="54"/>
      <c r="IN72" s="54"/>
      <c r="IO72" s="54"/>
      <c r="IP72" s="54"/>
      <c r="IQ72" s="54"/>
      <c r="IR72" s="54"/>
      <c r="IS72" s="54"/>
      <c r="IT72" s="54"/>
      <c r="IU72" s="54"/>
      <c r="IV72" s="54"/>
      <c r="IW72" s="54"/>
      <c r="IX72" s="54"/>
      <c r="IY72" s="54"/>
      <c r="IZ72" s="54"/>
      <c r="JA72" s="54"/>
      <c r="JB72" s="54"/>
      <c r="JC72" s="54"/>
      <c r="JD72" s="54"/>
      <c r="JE72" s="54"/>
      <c r="JF72" s="54"/>
      <c r="JG72" s="54"/>
      <c r="JH72" s="54"/>
      <c r="JI72" s="54"/>
      <c r="JJ72" s="54"/>
      <c r="JK72" s="54"/>
      <c r="JL72" s="54"/>
      <c r="JM72" s="54"/>
      <c r="JN72" s="54"/>
      <c r="JO72" s="54"/>
      <c r="JP72" s="54"/>
      <c r="JQ72" s="54"/>
      <c r="JR72" s="54"/>
      <c r="JS72" s="54"/>
      <c r="JT72" s="54"/>
      <c r="JU72" s="54"/>
      <c r="JV72" s="54"/>
      <c r="JW72" s="54"/>
      <c r="JX72" s="54"/>
      <c r="JY72" s="54"/>
      <c r="JZ72" s="54"/>
      <c r="KA72" s="54"/>
      <c r="KB72" s="54"/>
      <c r="KC72" s="54"/>
      <c r="KD72" s="54"/>
      <c r="KE72" s="54"/>
      <c r="KF72" s="54"/>
      <c r="KG72" s="54"/>
      <c r="KH72" s="54"/>
      <c r="KI72" s="54"/>
      <c r="KJ72" s="54"/>
      <c r="KK72" s="54"/>
      <c r="KL72" s="54"/>
      <c r="KM72" s="54"/>
      <c r="KN72" s="54"/>
      <c r="KO72" s="54"/>
      <c r="KP72" s="54"/>
      <c r="KQ72" s="54"/>
      <c r="KR72" s="54"/>
      <c r="KS72" s="54"/>
      <c r="KT72" s="54"/>
      <c r="KU72" s="54"/>
      <c r="KV72" s="54"/>
      <c r="KW72" s="54"/>
      <c r="KX72" s="54"/>
    </row>
    <row r="73" ht="5.2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54"/>
      <c r="BU73" s="54"/>
      <c r="BV73" s="54"/>
      <c r="BW73" s="54"/>
      <c r="BX73" s="54"/>
      <c r="BY73" s="54"/>
      <c r="BZ73" s="54"/>
      <c r="CA73" s="54"/>
      <c r="CB73" s="54"/>
      <c r="CC73" s="54"/>
      <c r="CD73" s="54"/>
      <c r="CE73" s="54"/>
      <c r="CF73" s="54"/>
      <c r="CG73" s="54"/>
      <c r="CH73" s="54"/>
      <c r="CI73" s="54"/>
      <c r="CJ73" s="54"/>
      <c r="CK73" s="54"/>
      <c r="CL73" s="54"/>
      <c r="CM73" s="54"/>
      <c r="CN73" s="54"/>
      <c r="CO73" s="54"/>
      <c r="CP73" s="54"/>
      <c r="CQ73" s="54"/>
      <c r="CR73" s="54"/>
      <c r="CS73" s="54"/>
      <c r="CT73" s="54"/>
      <c r="CU73" s="54"/>
      <c r="CV73" s="54"/>
      <c r="CW73" s="54"/>
      <c r="CX73" s="54"/>
      <c r="CY73" s="54"/>
      <c r="CZ73" s="54"/>
      <c r="DA73" s="54"/>
      <c r="DB73" s="56"/>
      <c r="DC73" s="56"/>
      <c r="DD73" s="101"/>
      <c r="DE73" s="102"/>
      <c r="DF73" s="102"/>
      <c r="DG73" s="102"/>
      <c r="DH73" s="102"/>
      <c r="DI73" s="102"/>
      <c r="DJ73" s="102"/>
      <c r="DK73" s="102"/>
      <c r="DL73" s="102"/>
      <c r="DM73" s="102"/>
      <c r="DN73" s="103"/>
      <c r="DO73" s="104"/>
      <c r="DP73" s="102"/>
      <c r="DQ73" s="103"/>
      <c r="DR73" s="104"/>
      <c r="DS73" s="102"/>
      <c r="DT73" s="102"/>
      <c r="DU73" s="102"/>
      <c r="DV73" s="102"/>
      <c r="DW73" s="102"/>
      <c r="DX73" s="102"/>
      <c r="DY73" s="102"/>
      <c r="DZ73" s="102"/>
      <c r="EA73" s="102"/>
      <c r="EB73" s="102"/>
      <c r="EC73" s="102"/>
      <c r="ED73" s="102"/>
      <c r="EE73" s="102"/>
      <c r="EF73" s="102"/>
      <c r="EG73" s="103"/>
      <c r="EH73" s="104"/>
      <c r="EI73" s="102"/>
      <c r="EJ73" s="102"/>
      <c r="EK73" s="102"/>
      <c r="EL73" s="105"/>
      <c r="EM73" s="105"/>
      <c r="EN73" s="105"/>
      <c r="EO73" s="105"/>
      <c r="EP73" s="105"/>
      <c r="EQ73" s="105"/>
      <c r="ER73" s="105"/>
      <c r="ES73" s="105"/>
      <c r="ET73" s="105"/>
      <c r="EU73" s="102"/>
      <c r="EV73" s="102"/>
      <c r="EW73" s="103"/>
      <c r="EX73" s="104"/>
      <c r="EY73" s="102"/>
      <c r="EZ73" s="103"/>
      <c r="FA73" s="104"/>
      <c r="FB73" s="102"/>
      <c r="FC73" s="102"/>
      <c r="FD73" s="106"/>
      <c r="FE73" s="105"/>
      <c r="FF73" s="105"/>
      <c r="FG73" s="105"/>
      <c r="FH73" s="105"/>
      <c r="FI73" s="105"/>
      <c r="FJ73" s="105"/>
      <c r="FK73" s="107"/>
      <c r="FL73" s="56"/>
      <c r="FM73" s="56"/>
      <c r="FN73" s="54"/>
      <c r="FO73" s="54"/>
      <c r="FP73" s="54"/>
      <c r="FQ73" s="54"/>
      <c r="FR73" s="54"/>
      <c r="FS73" s="54"/>
      <c r="FT73" s="54"/>
      <c r="FU73" s="54"/>
      <c r="FV73" s="54"/>
      <c r="FW73" s="54"/>
      <c r="FX73" s="54"/>
      <c r="FY73" s="54"/>
      <c r="FZ73" s="54"/>
      <c r="GA73" s="54"/>
      <c r="GB73" s="54"/>
      <c r="GC73" s="54"/>
      <c r="GD73" s="54"/>
      <c r="GE73" s="54"/>
      <c r="GF73" s="54"/>
      <c r="GG73" s="54"/>
      <c r="GH73" s="54"/>
      <c r="GI73" s="54"/>
      <c r="GJ73" s="54"/>
      <c r="GK73" s="54"/>
      <c r="GL73" s="54"/>
      <c r="GM73" s="54"/>
      <c r="GN73" s="54"/>
      <c r="GO73" s="54"/>
      <c r="GP73" s="54"/>
      <c r="GQ73" s="54"/>
      <c r="GR73" s="54"/>
      <c r="GS73" s="54"/>
      <c r="GT73" s="54"/>
      <c r="GU73" s="54"/>
      <c r="GV73" s="54"/>
      <c r="GW73" s="54"/>
      <c r="GX73" s="54"/>
      <c r="GY73" s="54"/>
      <c r="GZ73" s="54"/>
      <c r="HA73" s="54"/>
      <c r="HB73" s="54"/>
      <c r="HC73" s="54"/>
      <c r="HD73" s="54"/>
      <c r="HE73" s="54"/>
      <c r="HF73" s="54"/>
      <c r="HG73" s="54"/>
      <c r="HH73" s="54"/>
      <c r="HI73" s="54"/>
      <c r="HJ73" s="54"/>
      <c r="HK73" s="54"/>
      <c r="HL73" s="54"/>
      <c r="HM73" s="54"/>
      <c r="HN73" s="54"/>
      <c r="HO73" s="54"/>
      <c r="HP73" s="54"/>
      <c r="HQ73" s="54"/>
      <c r="HR73" s="54"/>
      <c r="HS73" s="54"/>
      <c r="HT73" s="54"/>
      <c r="HU73" s="54"/>
      <c r="HV73" s="54"/>
      <c r="HW73" s="54"/>
      <c r="HX73" s="54"/>
      <c r="HY73" s="54"/>
      <c r="HZ73" s="54"/>
      <c r="IA73" s="54"/>
      <c r="IB73" s="54"/>
      <c r="IC73" s="54"/>
      <c r="ID73" s="54"/>
      <c r="IE73" s="54"/>
      <c r="IF73" s="54"/>
      <c r="IG73" s="54"/>
      <c r="IH73" s="54"/>
      <c r="II73" s="54"/>
      <c r="IJ73" s="54"/>
      <c r="IK73" s="54"/>
      <c r="IL73" s="54"/>
      <c r="IM73" s="54"/>
      <c r="IN73" s="54"/>
      <c r="IO73" s="54"/>
      <c r="IP73" s="54"/>
      <c r="IQ73" s="54"/>
      <c r="IR73" s="54"/>
      <c r="IS73" s="54"/>
      <c r="IT73" s="54"/>
      <c r="IU73" s="54"/>
      <c r="IV73" s="54"/>
      <c r="IW73" s="54"/>
      <c r="IX73" s="54"/>
      <c r="IY73" s="54"/>
      <c r="IZ73" s="54"/>
      <c r="JA73" s="54"/>
      <c r="JB73" s="54"/>
      <c r="JC73" s="54"/>
      <c r="JD73" s="54"/>
      <c r="JE73" s="54"/>
      <c r="JF73" s="54"/>
      <c r="JG73" s="54"/>
      <c r="JH73" s="54"/>
      <c r="JI73" s="54"/>
      <c r="JJ73" s="54"/>
      <c r="JK73" s="54"/>
      <c r="JL73" s="54"/>
      <c r="JM73" s="54"/>
      <c r="JN73" s="54"/>
      <c r="JO73" s="54"/>
      <c r="JP73" s="54"/>
      <c r="JQ73" s="54"/>
      <c r="JR73" s="54"/>
      <c r="JS73" s="54"/>
      <c r="JT73" s="54"/>
      <c r="JU73" s="54"/>
      <c r="JV73" s="54"/>
      <c r="JW73" s="54"/>
      <c r="JX73" s="54"/>
      <c r="JY73" s="54"/>
      <c r="JZ73" s="54"/>
      <c r="KA73" s="54"/>
      <c r="KB73" s="54"/>
      <c r="KC73" s="54"/>
      <c r="KD73" s="54"/>
      <c r="KE73" s="54"/>
      <c r="KF73" s="54"/>
      <c r="KG73" s="54"/>
      <c r="KH73" s="54"/>
      <c r="KI73" s="54"/>
      <c r="KJ73" s="54"/>
      <c r="KK73" s="54"/>
      <c r="KL73" s="54"/>
      <c r="KM73" s="54"/>
      <c r="KN73" s="54"/>
      <c r="KO73" s="54"/>
      <c r="KP73" s="54"/>
      <c r="KQ73" s="54"/>
      <c r="KR73" s="54"/>
      <c r="KS73" s="54"/>
      <c r="KT73" s="54"/>
      <c r="KU73" s="54"/>
      <c r="KV73" s="54"/>
      <c r="KW73" s="54"/>
      <c r="KX73" s="54"/>
    </row>
    <row r="74" ht="5.2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c r="CA74" s="54"/>
      <c r="CB74" s="54"/>
      <c r="CC74" s="54"/>
      <c r="CD74" s="54"/>
      <c r="CE74" s="54"/>
      <c r="CF74" s="54"/>
      <c r="CG74" s="54"/>
      <c r="CH74" s="54"/>
      <c r="CI74" s="54"/>
      <c r="CJ74" s="54"/>
      <c r="CK74" s="54"/>
      <c r="CL74" s="54"/>
      <c r="CM74" s="54"/>
      <c r="CN74" s="54"/>
      <c r="CO74" s="54"/>
      <c r="CP74" s="54"/>
      <c r="CQ74" s="54"/>
      <c r="CR74" s="54"/>
      <c r="CS74" s="54"/>
      <c r="CT74" s="54"/>
      <c r="CU74" s="54"/>
      <c r="CV74" s="54"/>
      <c r="CW74" s="54"/>
      <c r="CX74" s="54"/>
      <c r="CY74" s="54"/>
      <c r="CZ74" s="54"/>
      <c r="DA74" s="54"/>
      <c r="DB74" s="56"/>
      <c r="DC74" s="56"/>
      <c r="DD74" s="54"/>
      <c r="DE74" s="54"/>
      <c r="DF74" s="54"/>
      <c r="DG74" s="54"/>
      <c r="DH74" s="54"/>
      <c r="DI74" s="54"/>
      <c r="DJ74" s="54"/>
      <c r="DK74" s="54"/>
      <c r="DL74" s="54"/>
      <c r="DM74" s="54"/>
      <c r="DN74" s="54"/>
      <c r="DO74" s="54"/>
      <c r="DP74" s="54"/>
      <c r="DQ74" s="54"/>
      <c r="DR74" s="54"/>
      <c r="DS74" s="54"/>
      <c r="DT74" s="54"/>
      <c r="DU74" s="54"/>
      <c r="DV74" s="54"/>
      <c r="DW74" s="54"/>
      <c r="DX74" s="54"/>
      <c r="DY74" s="54"/>
      <c r="DZ74" s="54"/>
      <c r="EA74" s="54"/>
      <c r="EB74" s="54"/>
      <c r="EC74" s="54"/>
      <c r="ED74" s="54"/>
      <c r="EE74" s="54"/>
      <c r="EF74" s="54"/>
      <c r="EG74" s="54"/>
      <c r="EH74" s="54"/>
      <c r="EI74" s="54"/>
      <c r="EJ74" s="54"/>
      <c r="EK74" s="54"/>
      <c r="EL74" s="54"/>
      <c r="EM74" s="54"/>
      <c r="EN74" s="54"/>
      <c r="EO74" s="54"/>
      <c r="EP74" s="54"/>
      <c r="EQ74" s="54"/>
      <c r="ER74" s="54"/>
      <c r="ES74" s="54"/>
      <c r="ET74" s="54"/>
      <c r="EU74" s="54"/>
      <c r="EV74" s="54"/>
      <c r="EW74" s="54"/>
      <c r="EX74" s="54"/>
      <c r="EY74" s="54"/>
      <c r="EZ74" s="54"/>
      <c r="FA74" s="54"/>
      <c r="FB74" s="54"/>
      <c r="FC74" s="54"/>
      <c r="FD74" s="54"/>
      <c r="FE74" s="54"/>
      <c r="FF74" s="54"/>
      <c r="FG74" s="54"/>
      <c r="FH74" s="54"/>
      <c r="FI74" s="54"/>
      <c r="FJ74" s="54"/>
      <c r="FK74" s="54"/>
      <c r="FL74" s="56"/>
      <c r="FM74" s="56"/>
      <c r="FN74" s="54"/>
      <c r="FO74" s="54"/>
      <c r="FP74" s="54"/>
      <c r="FQ74" s="54"/>
      <c r="FR74" s="54"/>
      <c r="FS74" s="54"/>
      <c r="FT74" s="54"/>
      <c r="FU74" s="54"/>
      <c r="FV74" s="54"/>
      <c r="FW74" s="54"/>
      <c r="FX74" s="54"/>
      <c r="FY74" s="54"/>
      <c r="FZ74" s="54"/>
      <c r="GA74" s="54"/>
      <c r="GB74" s="54"/>
      <c r="GC74" s="54"/>
      <c r="GD74" s="54"/>
      <c r="GE74" s="54"/>
      <c r="GF74" s="54"/>
      <c r="GG74" s="54"/>
      <c r="GH74" s="54"/>
      <c r="GI74" s="54"/>
      <c r="GJ74" s="54"/>
      <c r="GK74" s="54"/>
      <c r="GL74" s="54"/>
      <c r="GM74" s="54"/>
      <c r="GN74" s="54"/>
      <c r="GO74" s="54"/>
      <c r="GP74" s="54"/>
      <c r="GQ74" s="54"/>
      <c r="GR74" s="54"/>
      <c r="GS74" s="54"/>
      <c r="GT74" s="54"/>
      <c r="GU74" s="54"/>
      <c r="GV74" s="54"/>
      <c r="GW74" s="54"/>
      <c r="GX74" s="54"/>
      <c r="GY74" s="54"/>
      <c r="GZ74" s="54"/>
      <c r="HA74" s="54"/>
      <c r="HB74" s="54"/>
      <c r="HC74" s="54"/>
      <c r="HD74" s="54"/>
      <c r="HE74" s="54"/>
      <c r="HF74" s="54"/>
      <c r="HG74" s="54"/>
      <c r="HH74" s="54"/>
      <c r="HI74" s="54"/>
      <c r="HJ74" s="54"/>
      <c r="HK74" s="54"/>
      <c r="HL74" s="54"/>
      <c r="HM74" s="54"/>
      <c r="HN74" s="54"/>
      <c r="HO74" s="54"/>
      <c r="HP74" s="54"/>
      <c r="HQ74" s="54"/>
      <c r="HR74" s="54"/>
      <c r="HS74" s="54"/>
      <c r="HT74" s="54"/>
      <c r="HU74" s="54"/>
      <c r="HV74" s="54"/>
      <c r="HW74" s="54"/>
      <c r="HX74" s="54"/>
      <c r="HY74" s="54"/>
      <c r="HZ74" s="54"/>
      <c r="IA74" s="54"/>
      <c r="IB74" s="54"/>
      <c r="IC74" s="54"/>
      <c r="ID74" s="54"/>
      <c r="IE74" s="54"/>
      <c r="IF74" s="54"/>
      <c r="IG74" s="54"/>
      <c r="IH74" s="54"/>
      <c r="II74" s="54"/>
      <c r="IJ74" s="54"/>
      <c r="IK74" s="54"/>
      <c r="IL74" s="54"/>
      <c r="IM74" s="54"/>
      <c r="IN74" s="54"/>
      <c r="IO74" s="54"/>
      <c r="IP74" s="54"/>
      <c r="IQ74" s="54"/>
      <c r="IR74" s="54"/>
      <c r="IS74" s="54"/>
      <c r="IT74" s="54"/>
      <c r="IU74" s="54"/>
      <c r="IV74" s="54"/>
      <c r="IW74" s="54"/>
      <c r="IX74" s="54"/>
      <c r="IY74" s="54"/>
      <c r="IZ74" s="54"/>
      <c r="JA74" s="54"/>
      <c r="JB74" s="54"/>
      <c r="JC74" s="54"/>
      <c r="JD74" s="54"/>
      <c r="JE74" s="54"/>
      <c r="JF74" s="54"/>
      <c r="JG74" s="54"/>
      <c r="JH74" s="54"/>
      <c r="JI74" s="54"/>
      <c r="JJ74" s="54"/>
      <c r="JK74" s="54"/>
      <c r="JL74" s="54"/>
      <c r="JM74" s="54"/>
      <c r="JN74" s="54"/>
      <c r="JO74" s="54"/>
      <c r="JP74" s="54"/>
      <c r="JQ74" s="54"/>
      <c r="JR74" s="54"/>
      <c r="JS74" s="54"/>
      <c r="JT74" s="54"/>
      <c r="JU74" s="54"/>
      <c r="JV74" s="54"/>
      <c r="JW74" s="54"/>
      <c r="JX74" s="54"/>
      <c r="JY74" s="54"/>
      <c r="JZ74" s="54"/>
      <c r="KA74" s="54"/>
      <c r="KB74" s="54"/>
      <c r="KC74" s="54"/>
      <c r="KD74" s="54"/>
      <c r="KE74" s="54"/>
      <c r="KF74" s="54"/>
      <c r="KG74" s="54"/>
      <c r="KH74" s="54"/>
      <c r="KI74" s="54"/>
      <c r="KJ74" s="54"/>
      <c r="KK74" s="54"/>
      <c r="KL74" s="54"/>
      <c r="KM74" s="54"/>
      <c r="KN74" s="54"/>
      <c r="KO74" s="54"/>
      <c r="KP74" s="54"/>
      <c r="KQ74" s="54"/>
      <c r="KR74" s="54"/>
      <c r="KS74" s="54"/>
      <c r="KT74" s="54"/>
      <c r="KU74" s="54"/>
      <c r="KV74" s="54"/>
      <c r="KW74" s="54"/>
      <c r="KX74" s="54"/>
    </row>
    <row r="75" ht="5.2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c r="BU75" s="54"/>
      <c r="BV75" s="54"/>
      <c r="BW75" s="54"/>
      <c r="BX75" s="54"/>
      <c r="BY75" s="54"/>
      <c r="BZ75" s="54"/>
      <c r="CA75" s="54"/>
      <c r="CB75" s="54"/>
      <c r="CC75" s="54"/>
      <c r="CD75" s="54"/>
      <c r="CE75" s="54"/>
      <c r="CF75" s="54"/>
      <c r="CG75" s="54"/>
      <c r="CH75" s="54"/>
      <c r="CI75" s="54"/>
      <c r="CJ75" s="54"/>
      <c r="CK75" s="54"/>
      <c r="CL75" s="54"/>
      <c r="CM75" s="54"/>
      <c r="CN75" s="54"/>
      <c r="CO75" s="54"/>
      <c r="CP75" s="54"/>
      <c r="CQ75" s="54"/>
      <c r="CR75" s="54"/>
      <c r="CS75" s="54"/>
      <c r="CT75" s="54"/>
      <c r="CU75" s="54"/>
      <c r="CV75" s="54"/>
      <c r="CW75" s="54"/>
      <c r="CX75" s="54"/>
      <c r="CY75" s="54"/>
      <c r="CZ75" s="54"/>
      <c r="DA75" s="54"/>
      <c r="DB75" s="54"/>
      <c r="DC75" s="54"/>
      <c r="DD75" s="54"/>
      <c r="DE75" s="54"/>
      <c r="DF75" s="54"/>
      <c r="DG75" s="54"/>
      <c r="DH75" s="54"/>
      <c r="DI75" s="54"/>
      <c r="DJ75" s="54"/>
      <c r="DK75" s="54"/>
      <c r="DL75" s="54"/>
      <c r="DM75" s="54"/>
      <c r="DN75" s="54"/>
      <c r="DO75" s="54"/>
      <c r="DP75" s="54"/>
      <c r="DQ75" s="54"/>
      <c r="DR75" s="54"/>
      <c r="DS75" s="54"/>
      <c r="DT75" s="54"/>
      <c r="DU75" s="54"/>
      <c r="DV75" s="54"/>
      <c r="DW75" s="54"/>
      <c r="DX75" s="54"/>
      <c r="DY75" s="54"/>
      <c r="DZ75" s="54"/>
      <c r="EA75" s="54"/>
      <c r="EB75" s="54"/>
      <c r="EC75" s="54"/>
      <c r="ED75" s="54"/>
      <c r="EE75" s="54"/>
      <c r="EF75" s="54"/>
      <c r="EG75" s="54"/>
      <c r="EH75" s="54"/>
      <c r="EI75" s="54"/>
      <c r="EJ75" s="54"/>
      <c r="EK75" s="54"/>
      <c r="EL75" s="54"/>
      <c r="EM75" s="54"/>
      <c r="EN75" s="54"/>
      <c r="EO75" s="54"/>
      <c r="EP75" s="54"/>
      <c r="EQ75" s="54"/>
      <c r="ER75" s="54"/>
      <c r="ES75" s="54"/>
      <c r="ET75" s="54"/>
      <c r="EU75" s="54"/>
      <c r="EV75" s="54"/>
      <c r="EW75" s="54"/>
      <c r="EX75" s="54"/>
      <c r="EY75" s="54"/>
      <c r="EZ75" s="54"/>
      <c r="FA75" s="54"/>
      <c r="FB75" s="54"/>
      <c r="FC75" s="54"/>
      <c r="FD75" s="54"/>
      <c r="FE75" s="54"/>
      <c r="FF75" s="54"/>
      <c r="FG75" s="54"/>
      <c r="FH75" s="54"/>
      <c r="FI75" s="54"/>
      <c r="FJ75" s="54"/>
      <c r="FK75" s="54"/>
      <c r="FL75" s="54"/>
      <c r="FM75" s="54"/>
      <c r="FN75" s="54"/>
      <c r="FO75" s="54"/>
      <c r="FP75" s="54"/>
      <c r="FQ75" s="54"/>
      <c r="FR75" s="54"/>
      <c r="FS75" s="54"/>
      <c r="FT75" s="54"/>
      <c r="FU75" s="54"/>
      <c r="FV75" s="54"/>
      <c r="FW75" s="54"/>
      <c r="FX75" s="54"/>
      <c r="FY75" s="54"/>
      <c r="FZ75" s="54"/>
      <c r="GA75" s="54"/>
      <c r="GB75" s="54"/>
      <c r="GC75" s="54"/>
      <c r="GD75" s="54"/>
      <c r="GE75" s="54"/>
      <c r="GF75" s="54"/>
      <c r="GG75" s="54"/>
      <c r="GH75" s="54"/>
      <c r="GI75" s="54"/>
      <c r="GJ75" s="54"/>
      <c r="GK75" s="54"/>
      <c r="GL75" s="54"/>
      <c r="GM75" s="54"/>
      <c r="GN75" s="54"/>
      <c r="GO75" s="54"/>
      <c r="GP75" s="54"/>
      <c r="GQ75" s="54"/>
      <c r="GR75" s="54"/>
      <c r="GS75" s="54"/>
      <c r="GT75" s="54"/>
      <c r="GU75" s="54"/>
      <c r="GV75" s="54"/>
      <c r="GW75" s="54"/>
      <c r="GX75" s="54"/>
      <c r="GY75" s="54"/>
      <c r="GZ75" s="54"/>
      <c r="HA75" s="54"/>
      <c r="HB75" s="54"/>
      <c r="HC75" s="54"/>
      <c r="HD75" s="54"/>
      <c r="HE75" s="54"/>
      <c r="HF75" s="54"/>
      <c r="HG75" s="54"/>
      <c r="HH75" s="54"/>
      <c r="HI75" s="54"/>
      <c r="HJ75" s="54"/>
      <c r="HK75" s="54"/>
      <c r="HL75" s="54"/>
      <c r="HM75" s="54"/>
      <c r="HN75" s="54"/>
      <c r="HO75" s="54"/>
      <c r="HP75" s="54"/>
      <c r="HQ75" s="54"/>
      <c r="HR75" s="54"/>
      <c r="HS75" s="54"/>
      <c r="HT75" s="54"/>
      <c r="HU75" s="54"/>
      <c r="HV75" s="54"/>
      <c r="HW75" s="54"/>
      <c r="HX75" s="54"/>
      <c r="HY75" s="54"/>
      <c r="HZ75" s="54"/>
      <c r="IA75" s="54"/>
      <c r="IB75" s="54"/>
      <c r="IC75" s="54"/>
      <c r="ID75" s="54"/>
      <c r="IE75" s="54"/>
      <c r="IF75" s="54"/>
      <c r="IG75" s="54"/>
      <c r="IH75" s="54"/>
      <c r="II75" s="54"/>
      <c r="IJ75" s="54"/>
      <c r="IK75" s="54"/>
      <c r="IL75" s="54"/>
      <c r="IM75" s="54"/>
      <c r="IN75" s="54"/>
      <c r="IO75" s="54"/>
      <c r="IP75" s="54"/>
      <c r="IQ75" s="54"/>
      <c r="IR75" s="54"/>
      <c r="IS75" s="54"/>
      <c r="IT75" s="54"/>
      <c r="IU75" s="54"/>
      <c r="IV75" s="54"/>
      <c r="IW75" s="54"/>
      <c r="IX75" s="54"/>
      <c r="IY75" s="54"/>
      <c r="IZ75" s="54"/>
      <c r="JA75" s="54"/>
      <c r="JB75" s="54"/>
      <c r="JC75" s="54"/>
      <c r="JD75" s="54"/>
      <c r="JE75" s="54"/>
      <c r="JF75" s="54"/>
      <c r="JG75" s="54"/>
      <c r="JH75" s="54"/>
      <c r="JI75" s="54"/>
      <c r="JJ75" s="54"/>
      <c r="JK75" s="54"/>
      <c r="JL75" s="54"/>
      <c r="JM75" s="54"/>
      <c r="JN75" s="54"/>
      <c r="JO75" s="54"/>
      <c r="JP75" s="54"/>
      <c r="JQ75" s="54"/>
      <c r="JR75" s="54"/>
      <c r="JS75" s="54"/>
      <c r="JT75" s="54"/>
      <c r="JU75" s="54"/>
      <c r="JV75" s="54"/>
      <c r="JW75" s="54"/>
      <c r="JX75" s="54"/>
      <c r="JY75" s="54"/>
      <c r="JZ75" s="54"/>
      <c r="KA75" s="54"/>
      <c r="KB75" s="54"/>
      <c r="KC75" s="54"/>
      <c r="KD75" s="54"/>
      <c r="KE75" s="54"/>
      <c r="KF75" s="54"/>
      <c r="KG75" s="54"/>
      <c r="KH75" s="54"/>
      <c r="KI75" s="54"/>
      <c r="KJ75" s="54"/>
      <c r="KK75" s="54"/>
      <c r="KL75" s="54"/>
      <c r="KM75" s="54"/>
      <c r="KN75" s="54"/>
      <c r="KO75" s="54"/>
      <c r="KP75" s="54"/>
      <c r="KQ75" s="54"/>
      <c r="KR75" s="54"/>
      <c r="KS75" s="54"/>
      <c r="KT75" s="54"/>
      <c r="KU75" s="54"/>
      <c r="KV75" s="54"/>
      <c r="KW75" s="54"/>
      <c r="KX75" s="54"/>
    </row>
    <row r="76" ht="5.2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c r="BS76" s="54"/>
      <c r="BT76" s="54"/>
      <c r="BU76" s="54"/>
      <c r="BV76" s="54"/>
      <c r="BW76" s="54"/>
      <c r="BX76" s="54"/>
      <c r="BY76" s="54"/>
      <c r="BZ76" s="54"/>
      <c r="CA76" s="54"/>
      <c r="CB76" s="54"/>
      <c r="CC76" s="54"/>
      <c r="CD76" s="54"/>
      <c r="CE76" s="54"/>
      <c r="CF76" s="54"/>
      <c r="CG76" s="54"/>
      <c r="CH76" s="54"/>
      <c r="CI76" s="54"/>
      <c r="CJ76" s="54"/>
      <c r="CK76" s="54"/>
      <c r="CL76" s="54"/>
      <c r="CM76" s="54"/>
      <c r="CN76" s="54"/>
      <c r="CO76" s="54"/>
      <c r="CP76" s="54"/>
      <c r="CQ76" s="54"/>
      <c r="CR76" s="54"/>
      <c r="CS76" s="54"/>
      <c r="CT76" s="54"/>
      <c r="CU76" s="54"/>
      <c r="CV76" s="54"/>
      <c r="CW76" s="54"/>
      <c r="CX76" s="54"/>
      <c r="CY76" s="54"/>
      <c r="CZ76" s="54"/>
      <c r="DA76" s="54"/>
      <c r="DB76" s="54"/>
      <c r="DC76" s="54"/>
      <c r="DD76" s="54"/>
      <c r="DE76" s="54"/>
      <c r="DF76" s="54"/>
      <c r="DG76" s="54"/>
      <c r="DH76" s="54"/>
      <c r="DI76" s="54"/>
      <c r="DJ76" s="54"/>
      <c r="DK76" s="54"/>
      <c r="DL76" s="54"/>
      <c r="DM76" s="54"/>
      <c r="DN76" s="54"/>
      <c r="DO76" s="54"/>
      <c r="DP76" s="54"/>
      <c r="DQ76" s="54"/>
      <c r="DR76" s="54"/>
      <c r="DS76" s="54"/>
      <c r="DT76" s="54"/>
      <c r="DU76" s="54"/>
      <c r="DV76" s="54"/>
      <c r="DW76" s="54"/>
      <c r="DX76" s="54"/>
      <c r="DY76" s="54"/>
      <c r="DZ76" s="54"/>
      <c r="EA76" s="54"/>
      <c r="EB76" s="54"/>
      <c r="EC76" s="54"/>
      <c r="ED76" s="54"/>
      <c r="EE76" s="54"/>
      <c r="EF76" s="54"/>
      <c r="EG76" s="54"/>
      <c r="EH76" s="54"/>
      <c r="EI76" s="54"/>
      <c r="EJ76" s="54"/>
      <c r="EK76" s="54"/>
      <c r="EL76" s="54"/>
      <c r="EM76" s="54"/>
      <c r="EN76" s="54"/>
      <c r="EO76" s="54"/>
      <c r="EP76" s="54"/>
      <c r="EQ76" s="54"/>
      <c r="ER76" s="54"/>
      <c r="ES76" s="54"/>
      <c r="ET76" s="54"/>
      <c r="EU76" s="54"/>
      <c r="EV76" s="54"/>
      <c r="EW76" s="54"/>
      <c r="EX76" s="54"/>
      <c r="EY76" s="54"/>
      <c r="EZ76" s="54"/>
      <c r="FA76" s="54"/>
      <c r="FB76" s="54"/>
      <c r="FC76" s="54"/>
      <c r="FD76" s="54"/>
      <c r="FE76" s="54"/>
      <c r="FF76" s="54"/>
      <c r="FG76" s="54"/>
      <c r="FH76" s="54"/>
      <c r="FI76" s="54"/>
      <c r="FJ76" s="54"/>
      <c r="FK76" s="54"/>
      <c r="FL76" s="54"/>
      <c r="FM76" s="54"/>
      <c r="FN76" s="54"/>
      <c r="FO76" s="54"/>
      <c r="FP76" s="54"/>
      <c r="FQ76" s="54"/>
      <c r="FR76" s="54"/>
      <c r="FS76" s="54"/>
      <c r="FT76" s="54"/>
      <c r="FU76" s="54"/>
      <c r="FV76" s="54"/>
      <c r="FW76" s="54"/>
      <c r="FX76" s="54"/>
      <c r="FY76" s="54"/>
      <c r="FZ76" s="54"/>
      <c r="GA76" s="54"/>
      <c r="GB76" s="54"/>
      <c r="GC76" s="54"/>
      <c r="GD76" s="54"/>
      <c r="GE76" s="54"/>
      <c r="GF76" s="54"/>
      <c r="GG76" s="54"/>
      <c r="GH76" s="54"/>
      <c r="GI76" s="54"/>
      <c r="GJ76" s="54"/>
      <c r="GK76" s="54"/>
      <c r="GL76" s="54"/>
      <c r="GM76" s="54"/>
      <c r="GN76" s="54"/>
      <c r="GO76" s="54"/>
      <c r="GP76" s="54"/>
      <c r="GQ76" s="54"/>
      <c r="GR76" s="54"/>
      <c r="GS76" s="54"/>
      <c r="GT76" s="54"/>
      <c r="GU76" s="54"/>
      <c r="GV76" s="54"/>
      <c r="GW76" s="54"/>
      <c r="GX76" s="54"/>
      <c r="GY76" s="54"/>
      <c r="GZ76" s="54"/>
      <c r="HA76" s="54"/>
      <c r="HB76" s="54"/>
      <c r="HC76" s="54"/>
      <c r="HD76" s="54"/>
      <c r="HE76" s="54"/>
      <c r="HF76" s="54"/>
      <c r="HG76" s="54"/>
      <c r="HH76" s="54"/>
      <c r="HI76" s="54"/>
      <c r="HJ76" s="54"/>
      <c r="HK76" s="54"/>
      <c r="HL76" s="54"/>
      <c r="HM76" s="54"/>
      <c r="HN76" s="54"/>
      <c r="HO76" s="54"/>
      <c r="HP76" s="54"/>
      <c r="HQ76" s="54"/>
      <c r="HR76" s="54"/>
      <c r="HS76" s="54"/>
      <c r="HT76" s="54"/>
      <c r="HU76" s="54"/>
      <c r="HV76" s="54"/>
      <c r="HW76" s="54"/>
      <c r="HX76" s="54"/>
      <c r="HY76" s="54"/>
      <c r="HZ76" s="54"/>
      <c r="IA76" s="54"/>
      <c r="IB76" s="54"/>
      <c r="IC76" s="54"/>
      <c r="ID76" s="54"/>
      <c r="IE76" s="54"/>
      <c r="IF76" s="54"/>
      <c r="IG76" s="54"/>
      <c r="IH76" s="54"/>
      <c r="II76" s="54"/>
      <c r="IJ76" s="54"/>
      <c r="IK76" s="54"/>
      <c r="IL76" s="54"/>
      <c r="IM76" s="54"/>
      <c r="IN76" s="54"/>
      <c r="IO76" s="54"/>
      <c r="IP76" s="54"/>
      <c r="IQ76" s="54"/>
      <c r="IR76" s="54"/>
      <c r="IS76" s="54"/>
      <c r="IT76" s="54"/>
      <c r="IU76" s="54"/>
      <c r="IV76" s="54"/>
      <c r="IW76" s="54"/>
      <c r="IX76" s="54"/>
      <c r="IY76" s="54"/>
      <c r="IZ76" s="54"/>
      <c r="JA76" s="54"/>
      <c r="JB76" s="54"/>
      <c r="JC76" s="54"/>
      <c r="JD76" s="54"/>
      <c r="JE76" s="54"/>
      <c r="JF76" s="54"/>
      <c r="JG76" s="54"/>
      <c r="JH76" s="54"/>
      <c r="JI76" s="54"/>
      <c r="JJ76" s="54"/>
      <c r="JK76" s="54"/>
      <c r="JL76" s="54"/>
      <c r="JM76" s="54"/>
      <c r="JN76" s="54"/>
      <c r="JO76" s="54"/>
      <c r="JP76" s="54"/>
      <c r="JQ76" s="54"/>
      <c r="JR76" s="54"/>
      <c r="JS76" s="54"/>
      <c r="JT76" s="54"/>
      <c r="JU76" s="54"/>
      <c r="JV76" s="54"/>
      <c r="JW76" s="54"/>
      <c r="JX76" s="54"/>
      <c r="JY76" s="54"/>
      <c r="JZ76" s="54"/>
      <c r="KA76" s="54"/>
      <c r="KB76" s="54"/>
      <c r="KC76" s="54"/>
      <c r="KD76" s="54"/>
      <c r="KE76" s="54"/>
      <c r="KF76" s="54"/>
      <c r="KG76" s="54"/>
      <c r="KH76" s="54"/>
      <c r="KI76" s="54"/>
      <c r="KJ76" s="54"/>
      <c r="KK76" s="54"/>
      <c r="KL76" s="54"/>
      <c r="KM76" s="54"/>
      <c r="KN76" s="54"/>
      <c r="KO76" s="54"/>
      <c r="KP76" s="54"/>
      <c r="KQ76" s="54"/>
      <c r="KR76" s="54"/>
      <c r="KS76" s="54"/>
      <c r="KT76" s="54"/>
      <c r="KU76" s="54"/>
      <c r="KV76" s="54"/>
      <c r="KW76" s="54"/>
      <c r="KX76" s="54"/>
    </row>
    <row r="77" ht="5.2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c r="BU77" s="54"/>
      <c r="BV77" s="54"/>
      <c r="BW77" s="54"/>
      <c r="BX77" s="54">
        <f>if(or(CX89="",DB89="",CX96="",DB96="",CX103="",DB103="",CX110="",DB110=""),0,1)</f>
        <v>0</v>
      </c>
      <c r="BY77" s="54"/>
      <c r="BZ77" s="54"/>
      <c r="CA77" s="54"/>
      <c r="CB77" s="54"/>
      <c r="CC77" s="54"/>
      <c r="CD77" s="54"/>
      <c r="CE77" s="54"/>
      <c r="CF77" s="54"/>
      <c r="CG77" s="54"/>
      <c r="CH77" s="54"/>
      <c r="CI77" s="54"/>
      <c r="CJ77" s="54"/>
      <c r="CK77" s="54"/>
      <c r="CL77" s="54"/>
      <c r="CM77" s="54"/>
      <c r="CN77" s="54"/>
      <c r="CO77" s="54"/>
      <c r="CP77" s="54"/>
      <c r="CQ77" s="54"/>
      <c r="CR77" s="54"/>
      <c r="CS77" s="54"/>
      <c r="CT77" s="54"/>
      <c r="CU77" s="54"/>
      <c r="CV77" s="54"/>
      <c r="CW77" s="54"/>
      <c r="CX77" s="54"/>
      <c r="CY77" s="54"/>
      <c r="CZ77" s="54"/>
      <c r="DA77" s="54"/>
      <c r="DB77" s="54"/>
      <c r="DC77" s="54"/>
      <c r="DD77" s="54"/>
      <c r="DE77" s="54"/>
      <c r="DF77" s="54"/>
      <c r="DG77" s="54"/>
      <c r="DH77" s="54"/>
      <c r="DI77" s="54"/>
      <c r="DJ77" s="54"/>
      <c r="DK77" s="54"/>
      <c r="DL77" s="54"/>
      <c r="DM77" s="54"/>
      <c r="DN77" s="54"/>
      <c r="DO77" s="54"/>
      <c r="DP77" s="54"/>
      <c r="DQ77" s="54"/>
      <c r="DR77" s="54"/>
      <c r="DS77" s="54"/>
      <c r="DT77" s="54"/>
      <c r="DU77" s="54"/>
      <c r="DV77" s="54"/>
      <c r="DW77" s="54"/>
      <c r="DX77" s="54"/>
      <c r="DY77" s="54"/>
      <c r="DZ77" s="54"/>
      <c r="EA77" s="54"/>
      <c r="EB77" s="54"/>
      <c r="EC77" s="54"/>
      <c r="ED77" s="54"/>
      <c r="EE77" s="54"/>
      <c r="EF77" s="54"/>
      <c r="EG77" s="54"/>
      <c r="EH77" s="54"/>
      <c r="EI77" s="54"/>
      <c r="EJ77" s="54">
        <f>if(or(FJ89="",FN89="",FJ96="",FN96="",FJ103="",FN103="",FJ110="",FN110=""),0,1)</f>
        <v>0</v>
      </c>
      <c r="EK77" s="54"/>
      <c r="EL77" s="54"/>
      <c r="EM77" s="54"/>
      <c r="EN77" s="54"/>
      <c r="EO77" s="54"/>
      <c r="EP77" s="54"/>
      <c r="EQ77" s="54"/>
      <c r="ER77" s="54"/>
      <c r="ES77" s="54"/>
      <c r="ET77" s="54"/>
      <c r="EU77" s="54"/>
      <c r="EV77" s="54"/>
      <c r="EW77" s="54"/>
      <c r="EX77" s="54"/>
      <c r="EY77" s="54"/>
      <c r="EZ77" s="54"/>
      <c r="FA77" s="54"/>
      <c r="FB77" s="54"/>
      <c r="FC77" s="54"/>
      <c r="FD77" s="54"/>
      <c r="FE77" s="54"/>
      <c r="FF77" s="54"/>
      <c r="FG77" s="54"/>
      <c r="FH77" s="54"/>
      <c r="FI77" s="54"/>
      <c r="FJ77" s="54"/>
      <c r="FK77" s="54"/>
      <c r="FL77" s="54"/>
      <c r="FM77" s="54"/>
      <c r="FN77" s="54"/>
      <c r="FO77" s="54"/>
      <c r="FP77" s="54"/>
      <c r="FQ77" s="54"/>
      <c r="FR77" s="54"/>
      <c r="FS77" s="54"/>
      <c r="FT77" s="54"/>
      <c r="FU77" s="54"/>
      <c r="FV77" s="54"/>
      <c r="FW77" s="54"/>
      <c r="FX77" s="54"/>
      <c r="FY77" s="54"/>
      <c r="FZ77" s="54"/>
      <c r="GA77" s="54"/>
      <c r="GB77" s="54"/>
      <c r="GC77" s="54"/>
      <c r="GD77" s="54"/>
      <c r="GE77" s="54"/>
      <c r="GF77" s="54"/>
      <c r="GG77" s="54"/>
      <c r="GH77" s="54"/>
      <c r="GI77" s="54"/>
      <c r="GJ77" s="54"/>
      <c r="GK77" s="54"/>
      <c r="GL77" s="54"/>
      <c r="GM77" s="54"/>
      <c r="GN77" s="54"/>
      <c r="GO77" s="54"/>
      <c r="GP77" s="54"/>
      <c r="GQ77" s="54"/>
      <c r="GR77" s="54"/>
      <c r="GS77" s="54"/>
      <c r="GT77" s="54"/>
      <c r="GU77" s="54"/>
      <c r="GV77" s="54"/>
      <c r="GW77" s="54"/>
      <c r="GX77" s="54"/>
      <c r="GY77" s="54"/>
      <c r="GZ77" s="54"/>
      <c r="HA77" s="54"/>
      <c r="HB77" s="54"/>
      <c r="HC77" s="54"/>
      <c r="HD77" s="54"/>
      <c r="HE77" s="54"/>
      <c r="HF77" s="54"/>
      <c r="HG77" s="54"/>
      <c r="HH77" s="54"/>
      <c r="HI77" s="54"/>
      <c r="HJ77" s="54"/>
      <c r="HK77" s="54"/>
      <c r="HL77" s="54"/>
      <c r="HM77" s="54"/>
      <c r="HN77" s="54"/>
      <c r="HO77" s="54"/>
      <c r="HP77" s="54"/>
      <c r="HQ77" s="54"/>
      <c r="HR77" s="54"/>
      <c r="HS77" s="54"/>
      <c r="HT77" s="54"/>
      <c r="HU77" s="54"/>
      <c r="HV77" s="54"/>
      <c r="HW77" s="54"/>
      <c r="HX77" s="54"/>
      <c r="HY77" s="54"/>
      <c r="HZ77" s="54"/>
      <c r="IA77" s="54"/>
      <c r="IB77" s="54"/>
      <c r="IC77" s="54"/>
      <c r="ID77" s="54"/>
      <c r="IE77" s="54"/>
      <c r="IF77" s="54"/>
      <c r="IG77" s="54"/>
      <c r="IH77" s="54"/>
      <c r="II77" s="54"/>
      <c r="IJ77" s="54"/>
      <c r="IK77" s="54"/>
      <c r="IL77" s="54"/>
      <c r="IM77" s="54"/>
      <c r="IN77" s="54"/>
      <c r="IO77" s="54"/>
      <c r="IP77" s="54"/>
      <c r="IQ77" s="54"/>
      <c r="IR77" s="54"/>
      <c r="IS77" s="54"/>
      <c r="IT77" s="54"/>
      <c r="IU77" s="54"/>
      <c r="IV77" s="54"/>
      <c r="IW77" s="54"/>
      <c r="IX77" s="54"/>
      <c r="IY77" s="54"/>
      <c r="IZ77" s="54"/>
      <c r="JA77" s="54"/>
      <c r="JB77" s="54"/>
      <c r="JC77" s="54"/>
      <c r="JD77" s="54"/>
      <c r="JE77" s="54"/>
      <c r="JF77" s="54"/>
      <c r="JG77" s="54"/>
      <c r="JH77" s="54"/>
      <c r="JI77" s="54"/>
      <c r="JJ77" s="54"/>
      <c r="JK77" s="54"/>
      <c r="JL77" s="54"/>
      <c r="JM77" s="54"/>
      <c r="JN77" s="54"/>
      <c r="JO77" s="54"/>
      <c r="JP77" s="54"/>
      <c r="JQ77" s="54"/>
      <c r="JR77" s="54"/>
      <c r="JS77" s="54"/>
      <c r="JT77" s="54"/>
      <c r="JU77" s="54"/>
      <c r="JV77" s="54"/>
      <c r="JW77" s="54"/>
      <c r="JX77" s="54"/>
      <c r="JY77" s="54"/>
      <c r="JZ77" s="54"/>
      <c r="KA77" s="54"/>
      <c r="KB77" s="54"/>
      <c r="KC77" s="54"/>
      <c r="KD77" s="54"/>
      <c r="KE77" s="54"/>
      <c r="KF77" s="54"/>
      <c r="KG77" s="54"/>
      <c r="KH77" s="54"/>
      <c r="KI77" s="54"/>
      <c r="KJ77" s="54"/>
      <c r="KK77" s="54"/>
      <c r="KL77" s="54"/>
      <c r="KM77" s="54"/>
      <c r="KN77" s="54"/>
      <c r="KO77" s="54"/>
      <c r="KP77" s="54"/>
      <c r="KQ77" s="54"/>
      <c r="KR77" s="54"/>
      <c r="KS77" s="54"/>
      <c r="KT77" s="54"/>
      <c r="KU77" s="54"/>
      <c r="KV77" s="54"/>
      <c r="KW77" s="54"/>
      <c r="KX77" s="54"/>
    </row>
    <row r="78" ht="5.2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108"/>
      <c r="BX78" s="109" t="s">
        <v>60</v>
      </c>
      <c r="BY78" s="58"/>
      <c r="BZ78" s="58"/>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58"/>
      <c r="DR78" s="58"/>
      <c r="DS78" s="58"/>
      <c r="DT78" s="58"/>
      <c r="DU78" s="58"/>
      <c r="DV78" s="58"/>
      <c r="DW78" s="58"/>
      <c r="DX78" s="58"/>
      <c r="DY78" s="58"/>
      <c r="DZ78" s="58"/>
      <c r="EA78" s="58"/>
      <c r="EB78" s="58"/>
      <c r="EC78" s="58"/>
      <c r="ED78" s="58"/>
      <c r="EE78" s="59"/>
      <c r="EF78" s="108"/>
      <c r="EG78" s="54"/>
      <c r="EH78" s="54"/>
      <c r="EI78" s="108"/>
      <c r="EJ78" s="57" t="s">
        <v>61</v>
      </c>
      <c r="EK78" s="58"/>
      <c r="EL78" s="58"/>
      <c r="EM78" s="58"/>
      <c r="EN78" s="58"/>
      <c r="EO78" s="58"/>
      <c r="EP78" s="58"/>
      <c r="EQ78" s="58"/>
      <c r="ER78" s="58"/>
      <c r="ES78" s="58"/>
      <c r="ET78" s="58"/>
      <c r="EU78" s="58"/>
      <c r="EV78" s="58"/>
      <c r="EW78" s="58"/>
      <c r="EX78" s="58"/>
      <c r="EY78" s="58"/>
      <c r="EZ78" s="58"/>
      <c r="FA78" s="58"/>
      <c r="FB78" s="58"/>
      <c r="FC78" s="58"/>
      <c r="FD78" s="58"/>
      <c r="FE78" s="58"/>
      <c r="FF78" s="58"/>
      <c r="FG78" s="58"/>
      <c r="FH78" s="58"/>
      <c r="FI78" s="58"/>
      <c r="FJ78" s="58"/>
      <c r="FK78" s="58"/>
      <c r="FL78" s="58"/>
      <c r="FM78" s="58"/>
      <c r="FN78" s="58"/>
      <c r="FO78" s="58"/>
      <c r="FP78" s="58"/>
      <c r="FQ78" s="58"/>
      <c r="FR78" s="58"/>
      <c r="FS78" s="58"/>
      <c r="FT78" s="58"/>
      <c r="FU78" s="58"/>
      <c r="FV78" s="58"/>
      <c r="FW78" s="58"/>
      <c r="FX78" s="58"/>
      <c r="FY78" s="58"/>
      <c r="FZ78" s="58"/>
      <c r="GA78" s="58"/>
      <c r="GB78" s="58"/>
      <c r="GC78" s="58"/>
      <c r="GD78" s="58"/>
      <c r="GE78" s="58"/>
      <c r="GF78" s="58"/>
      <c r="GG78" s="58"/>
      <c r="GH78" s="58"/>
      <c r="GI78" s="58"/>
      <c r="GJ78" s="58"/>
      <c r="GK78" s="58"/>
      <c r="GL78" s="58"/>
      <c r="GM78" s="58"/>
      <c r="GN78" s="58"/>
      <c r="GO78" s="58"/>
      <c r="GP78" s="58"/>
      <c r="GQ78" s="59"/>
      <c r="GR78" s="108"/>
      <c r="GS78" s="54"/>
      <c r="GT78" s="54"/>
      <c r="GU78" s="54"/>
      <c r="GV78" s="54"/>
      <c r="GW78" s="54"/>
      <c r="GX78" s="54"/>
      <c r="GY78" s="54"/>
      <c r="GZ78" s="54"/>
      <c r="HA78" s="54"/>
      <c r="HB78" s="54"/>
      <c r="HC78" s="54"/>
      <c r="HD78" s="54"/>
      <c r="HE78" s="54"/>
      <c r="HF78" s="54"/>
      <c r="HG78" s="54"/>
      <c r="HH78" s="54"/>
      <c r="HI78" s="54"/>
      <c r="HJ78" s="54"/>
      <c r="HK78" s="54"/>
      <c r="HL78" s="54"/>
      <c r="HM78" s="54"/>
      <c r="HN78" s="54"/>
      <c r="HO78" s="54"/>
      <c r="HP78" s="54"/>
      <c r="HQ78" s="54"/>
      <c r="HR78" s="54"/>
      <c r="HS78" s="54"/>
      <c r="HT78" s="54"/>
      <c r="HU78" s="54"/>
      <c r="HV78" s="54"/>
      <c r="HW78" s="54"/>
      <c r="HX78" s="54"/>
      <c r="HY78" s="54"/>
      <c r="HZ78" s="54"/>
      <c r="IA78" s="54"/>
      <c r="IB78" s="54"/>
      <c r="IC78" s="54"/>
      <c r="ID78" s="54"/>
      <c r="IE78" s="54"/>
      <c r="IF78" s="54"/>
      <c r="IG78" s="54"/>
      <c r="IH78" s="54"/>
      <c r="II78" s="54"/>
      <c r="IJ78" s="54"/>
      <c r="IK78" s="54"/>
      <c r="IL78" s="54"/>
      <c r="IM78" s="54"/>
      <c r="IN78" s="54"/>
      <c r="IO78" s="54"/>
      <c r="IP78" s="54"/>
      <c r="IQ78" s="54"/>
      <c r="IR78" s="54"/>
      <c r="IS78" s="54"/>
      <c r="IT78" s="54"/>
      <c r="IU78" s="54"/>
      <c r="IV78" s="54"/>
      <c r="IW78" s="54"/>
      <c r="IX78" s="54"/>
      <c r="IY78" s="54"/>
      <c r="IZ78" s="54"/>
      <c r="JA78" s="54"/>
      <c r="JB78" s="54"/>
      <c r="JC78" s="54"/>
      <c r="JD78" s="54"/>
      <c r="JE78" s="54"/>
      <c r="JF78" s="54"/>
      <c r="JG78" s="54"/>
      <c r="JH78" s="54"/>
      <c r="JI78" s="54"/>
      <c r="JJ78" s="54"/>
      <c r="JK78" s="54"/>
      <c r="JL78" s="54"/>
      <c r="JM78" s="54"/>
      <c r="JN78" s="54"/>
      <c r="JO78" s="54"/>
      <c r="JP78" s="54"/>
      <c r="JQ78" s="54"/>
      <c r="JR78" s="54"/>
      <c r="JS78" s="54"/>
      <c r="JT78" s="54"/>
      <c r="JU78" s="54"/>
      <c r="JV78" s="54"/>
      <c r="JW78" s="54"/>
      <c r="JX78" s="54"/>
      <c r="JY78" s="54"/>
      <c r="JZ78" s="54"/>
      <c r="KA78" s="54"/>
      <c r="KB78" s="54"/>
      <c r="KC78" s="54"/>
      <c r="KD78" s="54"/>
      <c r="KE78" s="54"/>
      <c r="KF78" s="54"/>
      <c r="KG78" s="54"/>
      <c r="KH78" s="54"/>
      <c r="KI78" s="54"/>
      <c r="KJ78" s="54"/>
      <c r="KK78" s="54"/>
      <c r="KL78" s="54"/>
      <c r="KM78" s="54"/>
      <c r="KN78" s="54"/>
      <c r="KO78" s="54"/>
      <c r="KP78" s="54"/>
      <c r="KQ78" s="54"/>
      <c r="KR78" s="54"/>
      <c r="KS78" s="54"/>
      <c r="KT78" s="54"/>
      <c r="KU78" s="54"/>
      <c r="KV78" s="54"/>
      <c r="KW78" s="54"/>
      <c r="KX78" s="54"/>
    </row>
    <row r="79" ht="5.2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c r="BS79" s="54"/>
      <c r="BT79" s="54"/>
      <c r="BU79" s="54"/>
      <c r="BV79" s="54"/>
      <c r="BW79" s="108"/>
      <c r="BX79" s="60"/>
      <c r="EE79" s="61"/>
      <c r="EF79" s="108"/>
      <c r="EG79" s="54"/>
      <c r="EH79" s="54"/>
      <c r="EI79" s="108"/>
      <c r="EJ79" s="60"/>
      <c r="GQ79" s="61"/>
      <c r="GR79" s="108"/>
      <c r="GS79" s="54"/>
      <c r="GT79" s="54"/>
      <c r="GU79" s="54"/>
      <c r="GV79" s="54"/>
      <c r="GW79" s="54"/>
      <c r="GX79" s="54"/>
      <c r="GY79" s="54"/>
      <c r="GZ79" s="54"/>
      <c r="HA79" s="54"/>
      <c r="HB79" s="54"/>
      <c r="HC79" s="54"/>
      <c r="HD79" s="54"/>
      <c r="HE79" s="54"/>
      <c r="HF79" s="54"/>
      <c r="HG79" s="54"/>
      <c r="HH79" s="54"/>
      <c r="HI79" s="54"/>
      <c r="HJ79" s="54"/>
      <c r="HK79" s="54"/>
      <c r="HL79" s="54"/>
      <c r="HM79" s="54"/>
      <c r="HN79" s="54"/>
      <c r="HO79" s="54"/>
      <c r="HP79" s="54"/>
      <c r="HQ79" s="54"/>
      <c r="HR79" s="54"/>
      <c r="HS79" s="54"/>
      <c r="HT79" s="54"/>
      <c r="HU79" s="54"/>
      <c r="HV79" s="54"/>
      <c r="HW79" s="54"/>
      <c r="HX79" s="54"/>
      <c r="HY79" s="54"/>
      <c r="HZ79" s="54"/>
      <c r="IA79" s="54"/>
      <c r="IB79" s="54"/>
      <c r="IC79" s="54"/>
      <c r="ID79" s="54"/>
      <c r="IE79" s="54"/>
      <c r="IF79" s="54"/>
      <c r="IG79" s="54"/>
      <c r="IH79" s="54"/>
      <c r="II79" s="54"/>
      <c r="IJ79" s="54"/>
      <c r="IK79" s="54"/>
      <c r="IL79" s="54"/>
      <c r="IM79" s="54"/>
      <c r="IN79" s="54"/>
      <c r="IO79" s="54"/>
      <c r="IP79" s="54"/>
      <c r="IQ79" s="54"/>
      <c r="IR79" s="54"/>
      <c r="IS79" s="54"/>
      <c r="IT79" s="54"/>
      <c r="IU79" s="54"/>
      <c r="IV79" s="54"/>
      <c r="IW79" s="54"/>
      <c r="IX79" s="54"/>
      <c r="IY79" s="54"/>
      <c r="IZ79" s="54"/>
      <c r="JA79" s="54"/>
      <c r="JB79" s="54"/>
      <c r="JC79" s="54"/>
      <c r="JD79" s="54"/>
      <c r="JE79" s="54"/>
      <c r="JF79" s="54"/>
      <c r="JG79" s="54"/>
      <c r="JH79" s="54"/>
      <c r="JI79" s="54"/>
      <c r="JJ79" s="54"/>
      <c r="JK79" s="54"/>
      <c r="JL79" s="54"/>
      <c r="JM79" s="54"/>
      <c r="JN79" s="54"/>
      <c r="JO79" s="54"/>
      <c r="JP79" s="54"/>
      <c r="JQ79" s="54"/>
      <c r="JR79" s="54"/>
      <c r="JS79" s="54"/>
      <c r="JT79" s="54"/>
      <c r="JU79" s="54"/>
      <c r="JV79" s="54"/>
      <c r="JW79" s="54"/>
      <c r="JX79" s="54"/>
      <c r="JY79" s="54"/>
      <c r="JZ79" s="54"/>
      <c r="KA79" s="54"/>
      <c r="KB79" s="54"/>
      <c r="KC79" s="54"/>
      <c r="KD79" s="54"/>
      <c r="KE79" s="54"/>
      <c r="KF79" s="54"/>
      <c r="KG79" s="54"/>
      <c r="KH79" s="54"/>
      <c r="KI79" s="54"/>
      <c r="KJ79" s="54"/>
      <c r="KK79" s="54"/>
      <c r="KL79" s="54"/>
      <c r="KM79" s="54"/>
      <c r="KN79" s="54"/>
      <c r="KO79" s="54"/>
      <c r="KP79" s="54"/>
      <c r="KQ79" s="54"/>
      <c r="KR79" s="54"/>
      <c r="KS79" s="54"/>
      <c r="KT79" s="54"/>
      <c r="KU79" s="54"/>
      <c r="KV79" s="54"/>
      <c r="KW79" s="54"/>
      <c r="KX79" s="54"/>
    </row>
    <row r="80" ht="5.2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c r="BS80" s="54"/>
      <c r="BT80" s="54"/>
      <c r="BU80" s="54"/>
      <c r="BV80" s="54"/>
      <c r="BW80" s="108"/>
      <c r="BX80" s="60"/>
      <c r="EE80" s="61"/>
      <c r="EF80" s="108"/>
      <c r="EG80" s="54"/>
      <c r="EH80" s="54"/>
      <c r="EI80" s="108"/>
      <c r="EJ80" s="60"/>
      <c r="GQ80" s="61"/>
      <c r="GR80" s="108"/>
      <c r="GS80" s="54"/>
      <c r="GT80" s="54"/>
      <c r="GU80" s="54"/>
      <c r="GV80" s="54"/>
      <c r="GW80" s="54"/>
      <c r="GX80" s="54"/>
      <c r="GY80" s="54"/>
      <c r="GZ80" s="54"/>
      <c r="HA80" s="54"/>
      <c r="HB80" s="54"/>
      <c r="HC80" s="54"/>
      <c r="HD80" s="54"/>
      <c r="HE80" s="54"/>
      <c r="HF80" s="54"/>
      <c r="HG80" s="54"/>
      <c r="HH80" s="54"/>
      <c r="HI80" s="54"/>
      <c r="HJ80" s="54"/>
      <c r="HK80" s="54"/>
      <c r="HL80" s="54"/>
      <c r="HM80" s="54"/>
      <c r="HN80" s="54"/>
      <c r="HO80" s="54"/>
      <c r="HP80" s="54"/>
      <c r="HQ80" s="54"/>
      <c r="HR80" s="54"/>
      <c r="HS80" s="54"/>
      <c r="HT80" s="54"/>
      <c r="HU80" s="54"/>
      <c r="HV80" s="54"/>
      <c r="HW80" s="54"/>
      <c r="HX80" s="54"/>
      <c r="HY80" s="54"/>
      <c r="HZ80" s="54"/>
      <c r="IA80" s="54"/>
      <c r="IB80" s="54"/>
      <c r="IC80" s="54"/>
      <c r="ID80" s="54"/>
      <c r="IE80" s="54"/>
      <c r="IF80" s="54"/>
      <c r="IG80" s="54"/>
      <c r="IH80" s="54"/>
      <c r="II80" s="54"/>
      <c r="IJ80" s="54"/>
      <c r="IK80" s="54"/>
      <c r="IL80" s="54"/>
      <c r="IM80" s="54"/>
      <c r="IN80" s="54"/>
      <c r="IO80" s="54"/>
      <c r="IP80" s="54"/>
      <c r="IQ80" s="54"/>
      <c r="IR80" s="54"/>
      <c r="IS80" s="54"/>
      <c r="IT80" s="54"/>
      <c r="IU80" s="54"/>
      <c r="IV80" s="54"/>
      <c r="IW80" s="54"/>
      <c r="IX80" s="54"/>
      <c r="IY80" s="54"/>
      <c r="IZ80" s="54"/>
      <c r="JA80" s="54"/>
      <c r="JB80" s="54"/>
      <c r="JC80" s="54"/>
      <c r="JD80" s="54"/>
      <c r="JE80" s="54"/>
      <c r="JF80" s="54"/>
      <c r="JG80" s="54"/>
      <c r="JH80" s="54"/>
      <c r="JI80" s="54"/>
      <c r="JJ80" s="54"/>
      <c r="JK80" s="54"/>
      <c r="JL80" s="54"/>
      <c r="JM80" s="54"/>
      <c r="JN80" s="54"/>
      <c r="JO80" s="54"/>
      <c r="JP80" s="54"/>
      <c r="JQ80" s="54"/>
      <c r="JR80" s="54"/>
      <c r="JS80" s="54"/>
      <c r="JT80" s="54"/>
      <c r="JU80" s="54"/>
      <c r="JV80" s="54"/>
      <c r="JW80" s="54"/>
      <c r="JX80" s="54"/>
      <c r="JY80" s="54"/>
      <c r="JZ80" s="54"/>
      <c r="KA80" s="54"/>
      <c r="KB80" s="54"/>
      <c r="KC80" s="54"/>
      <c r="KD80" s="54"/>
      <c r="KE80" s="54"/>
      <c r="KF80" s="54"/>
      <c r="KG80" s="54"/>
      <c r="KH80" s="54"/>
      <c r="KI80" s="54"/>
      <c r="KJ80" s="54"/>
      <c r="KK80" s="54"/>
      <c r="KL80" s="54"/>
      <c r="KM80" s="54"/>
      <c r="KN80" s="54"/>
      <c r="KO80" s="54"/>
      <c r="KP80" s="54"/>
      <c r="KQ80" s="54"/>
      <c r="KR80" s="54"/>
      <c r="KS80" s="54"/>
      <c r="KT80" s="54"/>
      <c r="KU80" s="54"/>
      <c r="KV80" s="54"/>
      <c r="KW80" s="54"/>
      <c r="KX80" s="54"/>
    </row>
    <row r="81" ht="5.2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c r="BS81" s="54"/>
      <c r="BT81" s="54"/>
      <c r="BU81" s="54"/>
      <c r="BV81" s="54"/>
      <c r="BW81" s="108"/>
      <c r="BX81" s="60"/>
      <c r="EE81" s="61"/>
      <c r="EF81" s="108"/>
      <c r="EG81" s="54"/>
      <c r="EH81" s="54"/>
      <c r="EI81" s="108"/>
      <c r="EJ81" s="60"/>
      <c r="GQ81" s="61"/>
      <c r="GR81" s="108"/>
      <c r="GS81" s="54"/>
      <c r="GT81" s="54"/>
      <c r="GU81" s="54"/>
      <c r="GV81" s="54"/>
      <c r="GW81" s="54"/>
      <c r="GX81" s="54"/>
      <c r="GY81" s="54"/>
      <c r="GZ81" s="54"/>
      <c r="HA81" s="54"/>
      <c r="HB81" s="54"/>
      <c r="HC81" s="54"/>
      <c r="HD81" s="54"/>
      <c r="HE81" s="54"/>
      <c r="HF81" s="54"/>
      <c r="HG81" s="54"/>
      <c r="HH81" s="54"/>
      <c r="HI81" s="54"/>
      <c r="HJ81" s="54"/>
      <c r="HK81" s="54"/>
      <c r="HL81" s="54"/>
      <c r="HM81" s="54"/>
      <c r="HN81" s="54"/>
      <c r="HO81" s="54"/>
      <c r="HP81" s="54"/>
      <c r="HQ81" s="54"/>
      <c r="HR81" s="54"/>
      <c r="HS81" s="54"/>
      <c r="HT81" s="54"/>
      <c r="HU81" s="54"/>
      <c r="HV81" s="54"/>
      <c r="HW81" s="54"/>
      <c r="HX81" s="54"/>
      <c r="HY81" s="54"/>
      <c r="HZ81" s="54"/>
      <c r="IA81" s="54"/>
      <c r="IB81" s="54"/>
      <c r="IC81" s="54"/>
      <c r="ID81" s="54"/>
      <c r="IE81" s="54"/>
      <c r="IF81" s="54"/>
      <c r="IG81" s="54"/>
      <c r="IH81" s="54"/>
      <c r="II81" s="54"/>
      <c r="IJ81" s="54"/>
      <c r="IK81" s="54"/>
      <c r="IL81" s="54"/>
      <c r="IM81" s="54"/>
      <c r="IN81" s="54"/>
      <c r="IO81" s="54"/>
      <c r="IP81" s="54"/>
      <c r="IQ81" s="54"/>
      <c r="IR81" s="54"/>
      <c r="IS81" s="54"/>
      <c r="IT81" s="54"/>
      <c r="IU81" s="54"/>
      <c r="IV81" s="54"/>
      <c r="IW81" s="54"/>
      <c r="IX81" s="54"/>
      <c r="IY81" s="54"/>
      <c r="IZ81" s="54"/>
      <c r="JA81" s="54"/>
      <c r="JB81" s="54"/>
      <c r="JC81" s="54"/>
      <c r="JD81" s="54"/>
      <c r="JE81" s="54"/>
      <c r="JF81" s="54"/>
      <c r="JG81" s="54"/>
      <c r="JH81" s="54"/>
      <c r="JI81" s="54"/>
      <c r="JJ81" s="54"/>
      <c r="JK81" s="54"/>
      <c r="JL81" s="54"/>
      <c r="JM81" s="54"/>
      <c r="JN81" s="54"/>
      <c r="JO81" s="54"/>
      <c r="JP81" s="54"/>
      <c r="JQ81" s="54"/>
      <c r="JR81" s="54"/>
      <c r="JS81" s="54"/>
      <c r="JT81" s="54"/>
      <c r="JU81" s="54"/>
      <c r="JV81" s="54"/>
      <c r="JW81" s="54"/>
      <c r="JX81" s="54"/>
      <c r="JY81" s="54"/>
      <c r="JZ81" s="54"/>
      <c r="KA81" s="54"/>
      <c r="KB81" s="54"/>
      <c r="KC81" s="54"/>
      <c r="KD81" s="54"/>
      <c r="KE81" s="54"/>
      <c r="KF81" s="54"/>
      <c r="KG81" s="54"/>
      <c r="KH81" s="54"/>
      <c r="KI81" s="54"/>
      <c r="KJ81" s="54"/>
      <c r="KK81" s="54"/>
      <c r="KL81" s="54"/>
      <c r="KM81" s="54"/>
      <c r="KN81" s="54"/>
      <c r="KO81" s="54"/>
      <c r="KP81" s="54"/>
      <c r="KQ81" s="54"/>
      <c r="KR81" s="54"/>
      <c r="KS81" s="54"/>
      <c r="KT81" s="54"/>
      <c r="KU81" s="54"/>
      <c r="KV81" s="54"/>
      <c r="KW81" s="54"/>
      <c r="KX81" s="54"/>
    </row>
    <row r="82" ht="5.2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c r="BS82" s="54"/>
      <c r="BT82" s="54"/>
      <c r="BU82" s="54"/>
      <c r="BV82" s="54"/>
      <c r="BW82" s="108"/>
      <c r="BX82" s="60"/>
      <c r="EE82" s="61"/>
      <c r="EF82" s="108"/>
      <c r="EG82" s="54"/>
      <c r="EH82" s="54"/>
      <c r="EI82" s="108"/>
      <c r="EJ82" s="60"/>
      <c r="GQ82" s="61"/>
      <c r="GR82" s="108"/>
      <c r="GS82" s="54"/>
      <c r="GT82" s="54"/>
      <c r="GU82" s="54"/>
      <c r="GV82" s="54"/>
      <c r="GW82" s="54"/>
      <c r="GX82" s="54"/>
      <c r="GY82" s="54"/>
      <c r="GZ82" s="54"/>
      <c r="HA82" s="54"/>
      <c r="HB82" s="54"/>
      <c r="HC82" s="54"/>
      <c r="HD82" s="54"/>
      <c r="HE82" s="54"/>
      <c r="HF82" s="54"/>
      <c r="HG82" s="54"/>
      <c r="HH82" s="54"/>
      <c r="HI82" s="54"/>
      <c r="HJ82" s="54"/>
      <c r="HK82" s="54"/>
      <c r="HL82" s="54"/>
      <c r="HM82" s="54"/>
      <c r="HN82" s="54"/>
      <c r="HO82" s="54"/>
      <c r="HP82" s="54"/>
      <c r="HQ82" s="54"/>
      <c r="HR82" s="54"/>
      <c r="HS82" s="54"/>
      <c r="HT82" s="54"/>
      <c r="HU82" s="54"/>
      <c r="HV82" s="54"/>
      <c r="HW82" s="54"/>
      <c r="HX82" s="54"/>
      <c r="HY82" s="54"/>
      <c r="HZ82" s="54"/>
      <c r="IA82" s="54"/>
      <c r="IB82" s="54"/>
      <c r="IC82" s="54"/>
      <c r="ID82" s="54"/>
      <c r="IE82" s="54"/>
      <c r="IF82" s="54"/>
      <c r="IG82" s="54"/>
      <c r="IH82" s="54"/>
      <c r="II82" s="54"/>
      <c r="IJ82" s="54"/>
      <c r="IK82" s="54"/>
      <c r="IL82" s="54"/>
      <c r="IM82" s="54"/>
      <c r="IN82" s="54"/>
      <c r="IO82" s="54"/>
      <c r="IP82" s="54"/>
      <c r="IQ82" s="54"/>
      <c r="IR82" s="54"/>
      <c r="IS82" s="54"/>
      <c r="IT82" s="54"/>
      <c r="IU82" s="54"/>
      <c r="IV82" s="54"/>
      <c r="IW82" s="54"/>
      <c r="IX82" s="54"/>
      <c r="IY82" s="54"/>
      <c r="IZ82" s="54"/>
      <c r="JA82" s="54"/>
      <c r="JB82" s="54"/>
      <c r="JC82" s="54"/>
      <c r="JD82" s="54"/>
      <c r="JE82" s="54"/>
      <c r="JF82" s="54"/>
      <c r="JG82" s="54"/>
      <c r="JH82" s="54"/>
      <c r="JI82" s="54"/>
      <c r="JJ82" s="54"/>
      <c r="JK82" s="54"/>
      <c r="JL82" s="54"/>
      <c r="JM82" s="54"/>
      <c r="JN82" s="54"/>
      <c r="JO82" s="54"/>
      <c r="JP82" s="54"/>
      <c r="JQ82" s="54"/>
      <c r="JR82" s="54"/>
      <c r="JS82" s="54"/>
      <c r="JT82" s="54"/>
      <c r="JU82" s="54"/>
      <c r="JV82" s="54"/>
      <c r="JW82" s="54"/>
      <c r="JX82" s="54"/>
      <c r="JY82" s="54"/>
      <c r="JZ82" s="54"/>
      <c r="KA82" s="54"/>
      <c r="KB82" s="54"/>
      <c r="KC82" s="54"/>
      <c r="KD82" s="54"/>
      <c r="KE82" s="54"/>
      <c r="KF82" s="54"/>
      <c r="KG82" s="54"/>
      <c r="KH82" s="54"/>
      <c r="KI82" s="54"/>
      <c r="KJ82" s="54"/>
      <c r="KK82" s="54"/>
      <c r="KL82" s="54"/>
      <c r="KM82" s="54"/>
      <c r="KN82" s="54"/>
      <c r="KO82" s="54"/>
      <c r="KP82" s="54"/>
      <c r="KQ82" s="54"/>
      <c r="KR82" s="54"/>
      <c r="KS82" s="54"/>
      <c r="KT82" s="54"/>
      <c r="KU82" s="54"/>
      <c r="KV82" s="54"/>
      <c r="KW82" s="54"/>
      <c r="KX82" s="54"/>
    </row>
    <row r="83" ht="5.2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c r="BU83" s="54"/>
      <c r="BV83" s="54"/>
      <c r="BW83" s="108"/>
      <c r="BX83" s="110" t="s">
        <v>2</v>
      </c>
      <c r="DB83" s="111" t="s">
        <v>4</v>
      </c>
      <c r="EE83" s="61"/>
      <c r="EF83" s="108"/>
      <c r="EG83" s="54"/>
      <c r="EH83" s="54"/>
      <c r="EI83" s="108"/>
      <c r="EJ83" s="110" t="s">
        <v>2</v>
      </c>
      <c r="FN83" s="111" t="s">
        <v>4</v>
      </c>
      <c r="GQ83" s="61"/>
      <c r="GR83" s="108"/>
      <c r="GS83" s="54"/>
      <c r="GT83" s="54"/>
      <c r="GU83" s="54"/>
      <c r="GV83" s="54"/>
      <c r="GW83" s="54"/>
      <c r="GX83" s="54"/>
      <c r="GY83" s="54"/>
      <c r="GZ83" s="54"/>
      <c r="HA83" s="54"/>
      <c r="HB83" s="54"/>
      <c r="HC83" s="54"/>
      <c r="HD83" s="54"/>
      <c r="HE83" s="54"/>
      <c r="HF83" s="54"/>
      <c r="HG83" s="54"/>
      <c r="HH83" s="54"/>
      <c r="HI83" s="54"/>
      <c r="HJ83" s="54"/>
      <c r="HK83" s="54"/>
      <c r="HL83" s="54"/>
      <c r="HM83" s="54"/>
      <c r="HN83" s="54"/>
      <c r="HO83" s="54"/>
      <c r="HP83" s="54"/>
      <c r="HQ83" s="54"/>
      <c r="HR83" s="54"/>
      <c r="HS83" s="54"/>
      <c r="HT83" s="54"/>
      <c r="HU83" s="54"/>
      <c r="HV83" s="54"/>
      <c r="HW83" s="54"/>
      <c r="HX83" s="54"/>
      <c r="HY83" s="54"/>
      <c r="HZ83" s="54"/>
      <c r="IA83" s="54"/>
      <c r="IB83" s="54"/>
      <c r="IC83" s="54"/>
      <c r="ID83" s="54"/>
      <c r="IE83" s="54"/>
      <c r="IF83" s="54"/>
      <c r="IG83" s="54"/>
      <c r="IH83" s="54"/>
      <c r="II83" s="54"/>
      <c r="IJ83" s="54"/>
      <c r="IK83" s="54"/>
      <c r="IL83" s="54"/>
      <c r="IM83" s="54"/>
      <c r="IN83" s="54"/>
      <c r="IO83" s="54"/>
      <c r="IP83" s="54"/>
      <c r="IQ83" s="54"/>
      <c r="IR83" s="54"/>
      <c r="IS83" s="54"/>
      <c r="IT83" s="54"/>
      <c r="IU83" s="54"/>
      <c r="IV83" s="54"/>
      <c r="IW83" s="54"/>
      <c r="IX83" s="54"/>
      <c r="IY83" s="54"/>
      <c r="IZ83" s="54"/>
      <c r="JA83" s="54"/>
      <c r="JB83" s="54"/>
      <c r="JC83" s="54"/>
      <c r="JD83" s="54"/>
      <c r="JE83" s="54"/>
      <c r="JF83" s="54"/>
      <c r="JG83" s="54"/>
      <c r="JH83" s="54"/>
      <c r="JI83" s="54"/>
      <c r="JJ83" s="54"/>
      <c r="JK83" s="54"/>
      <c r="JL83" s="54"/>
      <c r="JM83" s="54"/>
      <c r="JN83" s="54"/>
      <c r="JO83" s="54"/>
      <c r="JP83" s="54"/>
      <c r="JQ83" s="54"/>
      <c r="JR83" s="54"/>
      <c r="JS83" s="54"/>
      <c r="JT83" s="54"/>
      <c r="JU83" s="54"/>
      <c r="JV83" s="54"/>
      <c r="JW83" s="54"/>
      <c r="JX83" s="54"/>
      <c r="JY83" s="54"/>
      <c r="JZ83" s="54"/>
      <c r="KA83" s="54"/>
      <c r="KB83" s="54"/>
      <c r="KC83" s="54"/>
      <c r="KD83" s="54"/>
      <c r="KE83" s="54"/>
      <c r="KF83" s="54"/>
      <c r="KG83" s="54"/>
      <c r="KH83" s="54"/>
      <c r="KI83" s="54"/>
      <c r="KJ83" s="54"/>
      <c r="KK83" s="54"/>
      <c r="KL83" s="54"/>
      <c r="KM83" s="54"/>
      <c r="KN83" s="54"/>
      <c r="KO83" s="54"/>
      <c r="KP83" s="54"/>
      <c r="KQ83" s="54"/>
      <c r="KR83" s="54"/>
      <c r="KS83" s="54"/>
      <c r="KT83" s="54"/>
      <c r="KU83" s="54"/>
      <c r="KV83" s="54"/>
      <c r="KW83" s="54"/>
      <c r="KX83" s="54"/>
    </row>
    <row r="84" ht="5.2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108"/>
      <c r="BX84" s="60"/>
      <c r="EE84" s="61"/>
      <c r="EF84" s="108"/>
      <c r="EG84" s="54"/>
      <c r="EH84" s="54"/>
      <c r="EI84" s="108"/>
      <c r="EJ84" s="60"/>
      <c r="GQ84" s="61"/>
      <c r="GR84" s="108"/>
      <c r="GS84" s="54"/>
      <c r="GT84" s="54"/>
      <c r="GU84" s="54"/>
      <c r="GV84" s="54"/>
      <c r="GW84" s="54"/>
      <c r="GX84" s="54"/>
      <c r="GY84" s="54"/>
      <c r="GZ84" s="54"/>
      <c r="HA84" s="54"/>
      <c r="HB84" s="54"/>
      <c r="HC84" s="54"/>
      <c r="HD84" s="54"/>
      <c r="HE84" s="54"/>
      <c r="HF84" s="54"/>
      <c r="HG84" s="54"/>
      <c r="HH84" s="54"/>
      <c r="HI84" s="54"/>
      <c r="HJ84" s="54"/>
      <c r="HK84" s="54"/>
      <c r="HL84" s="54"/>
      <c r="HM84" s="54"/>
      <c r="HN84" s="54"/>
      <c r="HO84" s="54"/>
      <c r="HP84" s="54"/>
      <c r="HQ84" s="54"/>
      <c r="HR84" s="54"/>
      <c r="HS84" s="54"/>
      <c r="HT84" s="54"/>
      <c r="HU84" s="54"/>
      <c r="HV84" s="54"/>
      <c r="HW84" s="54"/>
      <c r="HX84" s="54"/>
      <c r="HY84" s="54"/>
      <c r="HZ84" s="54"/>
      <c r="IA84" s="54"/>
      <c r="IB84" s="54"/>
      <c r="IC84" s="54"/>
      <c r="ID84" s="54"/>
      <c r="IE84" s="54"/>
      <c r="IF84" s="54"/>
      <c r="IG84" s="54"/>
      <c r="IH84" s="54"/>
      <c r="II84" s="54"/>
      <c r="IJ84" s="54"/>
      <c r="IK84" s="54"/>
      <c r="IL84" s="54"/>
      <c r="IM84" s="54"/>
      <c r="IN84" s="54"/>
      <c r="IO84" s="54"/>
      <c r="IP84" s="54"/>
      <c r="IQ84" s="54"/>
      <c r="IR84" s="54"/>
      <c r="IS84" s="54"/>
      <c r="IT84" s="54"/>
      <c r="IU84" s="54"/>
      <c r="IV84" s="54"/>
      <c r="IW84" s="54"/>
      <c r="IX84" s="54"/>
      <c r="IY84" s="54"/>
      <c r="IZ84" s="54"/>
      <c r="JA84" s="54"/>
      <c r="JB84" s="54"/>
      <c r="JC84" s="54"/>
      <c r="JD84" s="54"/>
      <c r="JE84" s="54"/>
      <c r="JF84" s="54"/>
      <c r="JG84" s="54"/>
      <c r="JH84" s="54"/>
      <c r="JI84" s="54"/>
      <c r="JJ84" s="54"/>
      <c r="JK84" s="54"/>
      <c r="JL84" s="54"/>
      <c r="JM84" s="54"/>
      <c r="JN84" s="54"/>
      <c r="JO84" s="54"/>
      <c r="JP84" s="54"/>
      <c r="JQ84" s="54"/>
      <c r="JR84" s="54"/>
      <c r="JS84" s="54"/>
      <c r="JT84" s="54"/>
      <c r="JU84" s="54"/>
      <c r="JV84" s="54"/>
      <c r="JW84" s="54"/>
      <c r="JX84" s="54"/>
      <c r="JY84" s="54"/>
      <c r="JZ84" s="54"/>
      <c r="KA84" s="54"/>
      <c r="KB84" s="54"/>
      <c r="KC84" s="54"/>
      <c r="KD84" s="54"/>
      <c r="KE84" s="54"/>
      <c r="KF84" s="54"/>
      <c r="KG84" s="54"/>
      <c r="KH84" s="54"/>
      <c r="KI84" s="54"/>
      <c r="KJ84" s="54"/>
      <c r="KK84" s="54"/>
      <c r="KL84" s="54"/>
      <c r="KM84" s="54"/>
      <c r="KN84" s="54"/>
      <c r="KO84" s="54"/>
      <c r="KP84" s="54"/>
      <c r="KQ84" s="54"/>
      <c r="KR84" s="54"/>
      <c r="KS84" s="54"/>
      <c r="KT84" s="54"/>
      <c r="KU84" s="54"/>
      <c r="KV84" s="54"/>
      <c r="KW84" s="54"/>
      <c r="KX84" s="54"/>
    </row>
    <row r="85" ht="5.2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c r="BS85" s="54"/>
      <c r="BT85" s="54"/>
      <c r="BU85" s="54"/>
      <c r="BV85" s="54"/>
      <c r="BW85" s="108"/>
      <c r="BX85" s="60"/>
      <c r="EE85" s="61"/>
      <c r="EF85" s="108"/>
      <c r="EG85" s="54"/>
      <c r="EH85" s="54"/>
      <c r="EI85" s="108"/>
      <c r="EJ85" s="60"/>
      <c r="GQ85" s="61"/>
      <c r="GR85" s="108"/>
      <c r="GS85" s="54"/>
      <c r="GT85" s="54"/>
      <c r="GU85" s="54"/>
      <c r="GV85" s="54"/>
      <c r="GW85" s="54"/>
      <c r="GX85" s="54"/>
      <c r="GY85" s="54"/>
      <c r="GZ85" s="54"/>
      <c r="HA85" s="54"/>
      <c r="HB85" s="54"/>
      <c r="HC85" s="54"/>
      <c r="HD85" s="54"/>
      <c r="HE85" s="54"/>
      <c r="HF85" s="54"/>
      <c r="HG85" s="54"/>
      <c r="HH85" s="54"/>
      <c r="HI85" s="54"/>
      <c r="HJ85" s="54"/>
      <c r="HK85" s="54"/>
      <c r="HL85" s="54"/>
      <c r="HM85" s="54"/>
      <c r="HN85" s="54"/>
      <c r="HO85" s="54"/>
      <c r="HP85" s="54"/>
      <c r="HQ85" s="54"/>
      <c r="HR85" s="54"/>
      <c r="HS85" s="54"/>
      <c r="HT85" s="54"/>
      <c r="HU85" s="54"/>
      <c r="HV85" s="54"/>
      <c r="HW85" s="54"/>
      <c r="HX85" s="54"/>
      <c r="HY85" s="54"/>
      <c r="HZ85" s="54"/>
      <c r="IA85" s="54"/>
      <c r="IB85" s="54"/>
      <c r="IC85" s="54"/>
      <c r="ID85" s="54"/>
      <c r="IE85" s="54"/>
      <c r="IF85" s="54"/>
      <c r="IG85" s="54"/>
      <c r="IH85" s="54"/>
      <c r="II85" s="54"/>
      <c r="IJ85" s="54"/>
      <c r="IK85" s="54"/>
      <c r="IL85" s="54"/>
      <c r="IM85" s="54"/>
      <c r="IN85" s="54"/>
      <c r="IO85" s="54"/>
      <c r="IP85" s="54"/>
      <c r="IQ85" s="54"/>
      <c r="IR85" s="54"/>
      <c r="IS85" s="54"/>
      <c r="IT85" s="54"/>
      <c r="IU85" s="54"/>
      <c r="IV85" s="54"/>
      <c r="IW85" s="54"/>
      <c r="IX85" s="54"/>
      <c r="IY85" s="54"/>
      <c r="IZ85" s="54"/>
      <c r="JA85" s="54"/>
      <c r="JB85" s="54"/>
      <c r="JC85" s="54"/>
      <c r="JD85" s="54"/>
      <c r="JE85" s="54"/>
      <c r="JF85" s="54"/>
      <c r="JG85" s="54"/>
      <c r="JH85" s="54"/>
      <c r="JI85" s="54"/>
      <c r="JJ85" s="54"/>
      <c r="JK85" s="54"/>
      <c r="JL85" s="54"/>
      <c r="JM85" s="54"/>
      <c r="JN85" s="54"/>
      <c r="JO85" s="54"/>
      <c r="JP85" s="54"/>
      <c r="JQ85" s="54"/>
      <c r="JR85" s="54"/>
      <c r="JS85" s="54"/>
      <c r="JT85" s="54"/>
      <c r="JU85" s="54"/>
      <c r="JV85" s="54"/>
      <c r="JW85" s="54"/>
      <c r="JX85" s="54"/>
      <c r="JY85" s="54"/>
      <c r="JZ85" s="54"/>
      <c r="KA85" s="54"/>
      <c r="KB85" s="54"/>
      <c r="KC85" s="54"/>
      <c r="KD85" s="54"/>
      <c r="KE85" s="54"/>
      <c r="KF85" s="54"/>
      <c r="KG85" s="54"/>
      <c r="KH85" s="54"/>
      <c r="KI85" s="54"/>
      <c r="KJ85" s="54"/>
      <c r="KK85" s="54"/>
      <c r="KL85" s="54"/>
      <c r="KM85" s="54"/>
      <c r="KN85" s="54"/>
      <c r="KO85" s="54"/>
      <c r="KP85" s="54"/>
      <c r="KQ85" s="54"/>
      <c r="KR85" s="54"/>
      <c r="KS85" s="54"/>
      <c r="KT85" s="54"/>
      <c r="KU85" s="54"/>
      <c r="KV85" s="54"/>
      <c r="KW85" s="54"/>
      <c r="KX85" s="54"/>
    </row>
    <row r="86" ht="5.2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c r="BS86" s="54"/>
      <c r="BT86" s="54"/>
      <c r="BU86" s="54"/>
      <c r="BV86" s="54"/>
      <c r="BW86" s="108"/>
      <c r="BX86" s="112"/>
      <c r="CF86" s="113" t="s">
        <v>57</v>
      </c>
      <c r="CH86" s="11"/>
      <c r="CI86" s="114" t="s">
        <v>58</v>
      </c>
      <c r="CK86" s="11"/>
      <c r="CL86" s="114" t="s">
        <v>59</v>
      </c>
      <c r="CO86" s="108"/>
      <c r="CX86" s="115" t="s">
        <v>3</v>
      </c>
      <c r="DF86" s="108"/>
      <c r="DG86" s="108"/>
      <c r="DH86" s="108"/>
      <c r="DI86" s="108"/>
      <c r="DJ86" s="108"/>
      <c r="DK86" s="108"/>
      <c r="DL86" s="108"/>
      <c r="DM86" s="108"/>
      <c r="DN86" s="108"/>
      <c r="DO86" s="113" t="s">
        <v>59</v>
      </c>
      <c r="DQ86" s="11"/>
      <c r="DR86" s="114" t="s">
        <v>58</v>
      </c>
      <c r="DT86" s="11"/>
      <c r="DU86" s="114" t="s">
        <v>57</v>
      </c>
      <c r="DX86" s="108"/>
      <c r="DY86" s="108"/>
      <c r="DZ86" s="108"/>
      <c r="EA86" s="108"/>
      <c r="EB86" s="108"/>
      <c r="EC86" s="108"/>
      <c r="ED86" s="108"/>
      <c r="EE86" s="116"/>
      <c r="EF86" s="108"/>
      <c r="EG86" s="54"/>
      <c r="EH86" s="54"/>
      <c r="EI86" s="108"/>
      <c r="EJ86" s="112"/>
      <c r="ER86" s="113" t="s">
        <v>57</v>
      </c>
      <c r="ET86" s="11"/>
      <c r="EU86" s="114" t="s">
        <v>58</v>
      </c>
      <c r="EW86" s="11"/>
      <c r="EX86" s="114" t="s">
        <v>59</v>
      </c>
      <c r="FA86" s="108"/>
      <c r="FJ86" s="115" t="s">
        <v>3</v>
      </c>
      <c r="FR86" s="108"/>
      <c r="FS86" s="108"/>
      <c r="FT86" s="108"/>
      <c r="FU86" s="108"/>
      <c r="FV86" s="108"/>
      <c r="FW86" s="108"/>
      <c r="FX86" s="108"/>
      <c r="FY86" s="108"/>
      <c r="FZ86" s="108"/>
      <c r="GA86" s="113" t="s">
        <v>59</v>
      </c>
      <c r="GC86" s="11"/>
      <c r="GD86" s="114" t="s">
        <v>58</v>
      </c>
      <c r="GF86" s="11"/>
      <c r="GG86" s="114" t="s">
        <v>57</v>
      </c>
      <c r="GJ86" s="108"/>
      <c r="GK86" s="108"/>
      <c r="GL86" s="108"/>
      <c r="GM86" s="108"/>
      <c r="GN86" s="108"/>
      <c r="GO86" s="108"/>
      <c r="GP86" s="108"/>
      <c r="GQ86" s="116"/>
      <c r="GR86" s="108"/>
      <c r="GS86" s="54"/>
      <c r="GT86" s="54"/>
      <c r="GU86" s="54"/>
      <c r="GV86" s="54"/>
      <c r="GW86" s="54"/>
      <c r="GX86" s="54"/>
      <c r="GY86" s="54"/>
      <c r="GZ86" s="54"/>
      <c r="HA86" s="54"/>
      <c r="HB86" s="54"/>
      <c r="HC86" s="54"/>
      <c r="HD86" s="54"/>
      <c r="HE86" s="54"/>
      <c r="HF86" s="54"/>
      <c r="HG86" s="54"/>
      <c r="HH86" s="54"/>
      <c r="HI86" s="54"/>
      <c r="HJ86" s="54"/>
      <c r="HK86" s="54"/>
      <c r="HL86" s="54"/>
      <c r="HM86" s="54"/>
      <c r="HN86" s="54"/>
      <c r="HO86" s="54"/>
      <c r="HP86" s="54"/>
      <c r="HQ86" s="54"/>
      <c r="HR86" s="54"/>
      <c r="HS86" s="54"/>
      <c r="HT86" s="54"/>
      <c r="HU86" s="54"/>
      <c r="HV86" s="54"/>
      <c r="HW86" s="54"/>
      <c r="HX86" s="54"/>
      <c r="HY86" s="54"/>
      <c r="HZ86" s="54"/>
      <c r="IA86" s="54"/>
      <c r="IB86" s="54"/>
      <c r="IC86" s="54"/>
      <c r="ID86" s="54"/>
      <c r="IE86" s="54"/>
      <c r="IF86" s="54"/>
      <c r="IG86" s="54"/>
      <c r="IH86" s="54"/>
      <c r="II86" s="54"/>
      <c r="IJ86" s="54"/>
      <c r="IK86" s="54"/>
      <c r="IL86" s="54"/>
      <c r="IM86" s="54"/>
      <c r="IN86" s="54"/>
      <c r="IO86" s="54"/>
      <c r="IP86" s="54"/>
      <c r="IQ86" s="54"/>
      <c r="IR86" s="54"/>
      <c r="IS86" s="54"/>
      <c r="IT86" s="54"/>
      <c r="IU86" s="54"/>
      <c r="IV86" s="54"/>
      <c r="IW86" s="54"/>
      <c r="IX86" s="54"/>
      <c r="IY86" s="54"/>
      <c r="IZ86" s="54"/>
      <c r="JA86" s="54"/>
      <c r="JB86" s="54"/>
      <c r="JC86" s="54"/>
      <c r="JD86" s="54"/>
      <c r="JE86" s="54"/>
      <c r="JF86" s="54"/>
      <c r="JG86" s="54"/>
      <c r="JH86" s="54"/>
      <c r="JI86" s="54"/>
      <c r="JJ86" s="54"/>
      <c r="JK86" s="54"/>
      <c r="JL86" s="54"/>
      <c r="JM86" s="54"/>
      <c r="JN86" s="54"/>
      <c r="JO86" s="54"/>
      <c r="JP86" s="54"/>
      <c r="JQ86" s="54"/>
      <c r="JR86" s="54"/>
      <c r="JS86" s="54"/>
      <c r="JT86" s="54"/>
      <c r="JU86" s="54"/>
      <c r="JV86" s="54"/>
      <c r="JW86" s="54"/>
      <c r="JX86" s="54"/>
      <c r="JY86" s="54"/>
      <c r="JZ86" s="54"/>
      <c r="KA86" s="54"/>
      <c r="KB86" s="54"/>
      <c r="KC86" s="54"/>
      <c r="KD86" s="54"/>
      <c r="KE86" s="54"/>
      <c r="KF86" s="54"/>
      <c r="KG86" s="54"/>
      <c r="KH86" s="54"/>
      <c r="KI86" s="54"/>
      <c r="KJ86" s="54"/>
      <c r="KK86" s="54"/>
      <c r="KL86" s="54"/>
      <c r="KM86" s="54"/>
      <c r="KN86" s="54"/>
      <c r="KO86" s="54"/>
      <c r="KP86" s="54"/>
      <c r="KQ86" s="54"/>
      <c r="KR86" s="54"/>
      <c r="KS86" s="54"/>
      <c r="KT86" s="54"/>
      <c r="KU86" s="54"/>
      <c r="KV86" s="54"/>
      <c r="KW86" s="54"/>
      <c r="KX86" s="54"/>
    </row>
    <row r="87" ht="5.2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54"/>
      <c r="BU87" s="54"/>
      <c r="BV87" s="54"/>
      <c r="BW87" s="108"/>
      <c r="BX87" s="60"/>
      <c r="CH87" s="11"/>
      <c r="CI87" s="10"/>
      <c r="CK87" s="11"/>
      <c r="CL87" s="10"/>
      <c r="DF87" s="108"/>
      <c r="DG87" s="108"/>
      <c r="DH87" s="108"/>
      <c r="DI87" s="108"/>
      <c r="DJ87" s="108"/>
      <c r="DK87" s="108"/>
      <c r="DL87" s="108"/>
      <c r="DM87" s="108"/>
      <c r="DN87" s="108"/>
      <c r="DQ87" s="11"/>
      <c r="DR87" s="10"/>
      <c r="DT87" s="11"/>
      <c r="DU87" s="10"/>
      <c r="DX87" s="108"/>
      <c r="DY87" s="108"/>
      <c r="DZ87" s="108"/>
      <c r="EA87" s="108"/>
      <c r="EB87" s="108"/>
      <c r="EC87" s="108"/>
      <c r="ED87" s="108"/>
      <c r="EE87" s="116"/>
      <c r="EF87" s="108"/>
      <c r="EG87" s="54"/>
      <c r="EH87" s="54"/>
      <c r="EI87" s="108"/>
      <c r="EJ87" s="60"/>
      <c r="ET87" s="11"/>
      <c r="EU87" s="10"/>
      <c r="EW87" s="11"/>
      <c r="EX87" s="10"/>
      <c r="FR87" s="108"/>
      <c r="FS87" s="108"/>
      <c r="FT87" s="108"/>
      <c r="FU87" s="108"/>
      <c r="FV87" s="108"/>
      <c r="FW87" s="108"/>
      <c r="FX87" s="108"/>
      <c r="FY87" s="108"/>
      <c r="FZ87" s="108"/>
      <c r="GC87" s="11"/>
      <c r="GD87" s="10"/>
      <c r="GF87" s="11"/>
      <c r="GG87" s="10"/>
      <c r="GJ87" s="108"/>
      <c r="GK87" s="108"/>
      <c r="GL87" s="108"/>
      <c r="GM87" s="108"/>
      <c r="GN87" s="108"/>
      <c r="GO87" s="108"/>
      <c r="GP87" s="108"/>
      <c r="GQ87" s="116"/>
      <c r="GR87" s="108"/>
      <c r="GS87" s="54"/>
      <c r="GT87" s="54"/>
      <c r="GU87" s="54"/>
      <c r="GV87" s="54"/>
      <c r="GW87" s="54"/>
      <c r="GX87" s="54"/>
      <c r="GY87" s="54"/>
      <c r="GZ87" s="54"/>
      <c r="HA87" s="54"/>
      <c r="HB87" s="54"/>
      <c r="HC87" s="54"/>
      <c r="HD87" s="54"/>
      <c r="HE87" s="54"/>
      <c r="HF87" s="54"/>
      <c r="HG87" s="54"/>
      <c r="HH87" s="54"/>
      <c r="HI87" s="54"/>
      <c r="HJ87" s="54"/>
      <c r="HK87" s="54"/>
      <c r="HL87" s="54"/>
      <c r="HM87" s="54"/>
      <c r="HN87" s="54"/>
      <c r="HO87" s="54"/>
      <c r="HP87" s="54"/>
      <c r="HQ87" s="54"/>
      <c r="HR87" s="54"/>
      <c r="HS87" s="54"/>
      <c r="HT87" s="54"/>
      <c r="HU87" s="54"/>
      <c r="HV87" s="54"/>
      <c r="HW87" s="54"/>
      <c r="HX87" s="54"/>
      <c r="HY87" s="54"/>
      <c r="HZ87" s="54"/>
      <c r="IA87" s="54"/>
      <c r="IB87" s="54"/>
      <c r="IC87" s="54"/>
      <c r="ID87" s="54"/>
      <c r="IE87" s="54"/>
      <c r="IF87" s="54"/>
      <c r="IG87" s="54"/>
      <c r="IH87" s="54"/>
      <c r="II87" s="54"/>
      <c r="IJ87" s="54"/>
      <c r="IK87" s="54"/>
      <c r="IL87" s="54"/>
      <c r="IM87" s="54"/>
      <c r="IN87" s="54"/>
      <c r="IO87" s="54"/>
      <c r="IP87" s="54"/>
      <c r="IQ87" s="54"/>
      <c r="IR87" s="54"/>
      <c r="IS87" s="54"/>
      <c r="IT87" s="54"/>
      <c r="IU87" s="54"/>
      <c r="IV87" s="54"/>
      <c r="IW87" s="54"/>
      <c r="IX87" s="54"/>
      <c r="IY87" s="54"/>
      <c r="IZ87" s="54"/>
      <c r="JA87" s="54"/>
      <c r="JB87" s="54"/>
      <c r="JC87" s="54"/>
      <c r="JD87" s="54"/>
      <c r="JE87" s="54"/>
      <c r="JF87" s="54"/>
      <c r="JG87" s="54"/>
      <c r="JH87" s="54"/>
      <c r="JI87" s="54"/>
      <c r="JJ87" s="54"/>
      <c r="JK87" s="54"/>
      <c r="JL87" s="54"/>
      <c r="JM87" s="54"/>
      <c r="JN87" s="54"/>
      <c r="JO87" s="54"/>
      <c r="JP87" s="54"/>
      <c r="JQ87" s="54"/>
      <c r="JR87" s="54"/>
      <c r="JS87" s="54"/>
      <c r="JT87" s="54"/>
      <c r="JU87" s="54"/>
      <c r="JV87" s="54"/>
      <c r="JW87" s="54"/>
      <c r="JX87" s="54"/>
      <c r="JY87" s="54"/>
      <c r="JZ87" s="54"/>
      <c r="KA87" s="54"/>
      <c r="KB87" s="54"/>
      <c r="KC87" s="54"/>
      <c r="KD87" s="54"/>
      <c r="KE87" s="54"/>
      <c r="KF87" s="54"/>
      <c r="KG87" s="54"/>
      <c r="KH87" s="54"/>
      <c r="KI87" s="54"/>
      <c r="KJ87" s="54"/>
      <c r="KK87" s="54"/>
      <c r="KL87" s="54"/>
      <c r="KM87" s="54"/>
      <c r="KN87" s="54"/>
      <c r="KO87" s="54"/>
      <c r="KP87" s="54"/>
      <c r="KQ87" s="54"/>
      <c r="KR87" s="54"/>
      <c r="KS87" s="54"/>
      <c r="KT87" s="54"/>
      <c r="KU87" s="54"/>
      <c r="KV87" s="54"/>
      <c r="KW87" s="54"/>
      <c r="KX87" s="54"/>
    </row>
    <row r="88" ht="5.2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c r="BS88" s="54"/>
      <c r="BT88" s="54"/>
      <c r="BU88" s="54"/>
      <c r="BV88" s="54"/>
      <c r="BW88" s="108"/>
      <c r="BX88" s="70"/>
      <c r="BY88" s="71"/>
      <c r="BZ88" s="71"/>
      <c r="CA88" s="71"/>
      <c r="CB88" s="71"/>
      <c r="CC88" s="71"/>
      <c r="CD88" s="71"/>
      <c r="CE88" s="71"/>
      <c r="CF88" s="71"/>
      <c r="CG88" s="71"/>
      <c r="CH88" s="72"/>
      <c r="CI88" s="73"/>
      <c r="CJ88" s="71"/>
      <c r="CK88" s="72"/>
      <c r="CL88" s="73"/>
      <c r="CM88" s="71"/>
      <c r="CN88" s="71"/>
      <c r="CO88" s="71"/>
      <c r="CP88" s="71"/>
      <c r="CQ88" s="71"/>
      <c r="CR88" s="71"/>
      <c r="CS88" s="71"/>
      <c r="CT88" s="71"/>
      <c r="CU88" s="71"/>
      <c r="CV88" s="71"/>
      <c r="CW88" s="71"/>
      <c r="CX88" s="71"/>
      <c r="CY88" s="71"/>
      <c r="CZ88" s="71"/>
      <c r="DA88" s="71"/>
      <c r="DB88" s="71"/>
      <c r="DC88" s="71"/>
      <c r="DD88" s="71"/>
      <c r="DE88" s="71"/>
      <c r="DF88" s="117"/>
      <c r="DG88" s="117"/>
      <c r="DH88" s="117"/>
      <c r="DI88" s="117"/>
      <c r="DJ88" s="117"/>
      <c r="DK88" s="117"/>
      <c r="DL88" s="117"/>
      <c r="DM88" s="117"/>
      <c r="DN88" s="117"/>
      <c r="DO88" s="71"/>
      <c r="DP88" s="71"/>
      <c r="DQ88" s="72"/>
      <c r="DR88" s="73"/>
      <c r="DS88" s="71"/>
      <c r="DT88" s="72"/>
      <c r="DU88" s="73"/>
      <c r="DV88" s="71"/>
      <c r="DW88" s="71"/>
      <c r="DX88" s="117"/>
      <c r="DY88" s="117"/>
      <c r="DZ88" s="117"/>
      <c r="EA88" s="117"/>
      <c r="EB88" s="117"/>
      <c r="EC88" s="117"/>
      <c r="ED88" s="117"/>
      <c r="EE88" s="118"/>
      <c r="EF88" s="108"/>
      <c r="EG88" s="54"/>
      <c r="EH88" s="54"/>
      <c r="EI88" s="108"/>
      <c r="EJ88" s="70"/>
      <c r="EK88" s="71"/>
      <c r="EL88" s="71"/>
      <c r="EM88" s="71"/>
      <c r="EN88" s="71"/>
      <c r="EO88" s="71"/>
      <c r="EP88" s="71"/>
      <c r="EQ88" s="71"/>
      <c r="ER88" s="71"/>
      <c r="ES88" s="71"/>
      <c r="ET88" s="72"/>
      <c r="EU88" s="73"/>
      <c r="EV88" s="71"/>
      <c r="EW88" s="72"/>
      <c r="EX88" s="73"/>
      <c r="EY88" s="71"/>
      <c r="EZ88" s="71"/>
      <c r="FA88" s="71"/>
      <c r="FB88" s="71"/>
      <c r="FC88" s="71"/>
      <c r="FD88" s="71"/>
      <c r="FE88" s="71"/>
      <c r="FF88" s="71"/>
      <c r="FG88" s="71"/>
      <c r="FH88" s="71"/>
      <c r="FI88" s="71"/>
      <c r="FJ88" s="71"/>
      <c r="FK88" s="71"/>
      <c r="FL88" s="71"/>
      <c r="FM88" s="71"/>
      <c r="FN88" s="71"/>
      <c r="FO88" s="71"/>
      <c r="FP88" s="71"/>
      <c r="FQ88" s="71"/>
      <c r="FR88" s="117"/>
      <c r="FS88" s="117"/>
      <c r="FT88" s="117"/>
      <c r="FU88" s="117"/>
      <c r="FV88" s="117"/>
      <c r="FW88" s="117"/>
      <c r="FX88" s="117"/>
      <c r="FY88" s="117"/>
      <c r="FZ88" s="117"/>
      <c r="GA88" s="71"/>
      <c r="GB88" s="71"/>
      <c r="GC88" s="72"/>
      <c r="GD88" s="73"/>
      <c r="GE88" s="71"/>
      <c r="GF88" s="72"/>
      <c r="GG88" s="73"/>
      <c r="GH88" s="71"/>
      <c r="GI88" s="71"/>
      <c r="GJ88" s="117"/>
      <c r="GK88" s="117"/>
      <c r="GL88" s="117"/>
      <c r="GM88" s="117"/>
      <c r="GN88" s="117"/>
      <c r="GO88" s="117"/>
      <c r="GP88" s="117"/>
      <c r="GQ88" s="118"/>
      <c r="GR88" s="108"/>
      <c r="GS88" s="54"/>
      <c r="GT88" s="54"/>
      <c r="GU88" s="54"/>
      <c r="GV88" s="54"/>
      <c r="GW88" s="54"/>
      <c r="GX88" s="54"/>
      <c r="GY88" s="54"/>
      <c r="GZ88" s="54"/>
      <c r="HA88" s="54"/>
      <c r="HB88" s="54"/>
      <c r="HC88" s="54"/>
      <c r="HD88" s="54"/>
      <c r="HE88" s="54"/>
      <c r="HF88" s="54"/>
      <c r="HG88" s="54"/>
      <c r="HH88" s="54"/>
      <c r="HI88" s="54"/>
      <c r="HJ88" s="54"/>
      <c r="HK88" s="54"/>
      <c r="HL88" s="54"/>
      <c r="HM88" s="54"/>
      <c r="HN88" s="54"/>
      <c r="HO88" s="54"/>
      <c r="HP88" s="54"/>
      <c r="HQ88" s="54"/>
      <c r="HR88" s="54"/>
      <c r="HS88" s="54"/>
      <c r="HT88" s="54"/>
      <c r="HU88" s="54"/>
      <c r="HV88" s="54"/>
      <c r="HW88" s="54"/>
      <c r="HX88" s="54"/>
      <c r="HY88" s="54"/>
      <c r="HZ88" s="54"/>
      <c r="IA88" s="54"/>
      <c r="IB88" s="54"/>
      <c r="IC88" s="54"/>
      <c r="ID88" s="54"/>
      <c r="IE88" s="54"/>
      <c r="IF88" s="54"/>
      <c r="IG88" s="54"/>
      <c r="IH88" s="54"/>
      <c r="II88" s="54"/>
      <c r="IJ88" s="54"/>
      <c r="IK88" s="54"/>
      <c r="IL88" s="54"/>
      <c r="IM88" s="54"/>
      <c r="IN88" s="54"/>
      <c r="IO88" s="54"/>
      <c r="IP88" s="54"/>
      <c r="IQ88" s="54"/>
      <c r="IR88" s="54"/>
      <c r="IS88" s="54"/>
      <c r="IT88" s="54"/>
      <c r="IU88" s="54"/>
      <c r="IV88" s="54"/>
      <c r="IW88" s="54"/>
      <c r="IX88" s="54"/>
      <c r="IY88" s="54"/>
      <c r="IZ88" s="54"/>
      <c r="JA88" s="54"/>
      <c r="JB88" s="54"/>
      <c r="JC88" s="54"/>
      <c r="JD88" s="54"/>
      <c r="JE88" s="54"/>
      <c r="JF88" s="54"/>
      <c r="JG88" s="54"/>
      <c r="JH88" s="54"/>
      <c r="JI88" s="54"/>
      <c r="JJ88" s="54"/>
      <c r="JK88" s="54"/>
      <c r="JL88" s="54"/>
      <c r="JM88" s="54"/>
      <c r="JN88" s="54"/>
      <c r="JO88" s="54"/>
      <c r="JP88" s="54"/>
      <c r="JQ88" s="54"/>
      <c r="JR88" s="54"/>
      <c r="JS88" s="54"/>
      <c r="JT88" s="54"/>
      <c r="JU88" s="54"/>
      <c r="JV88" s="54"/>
      <c r="JW88" s="54"/>
      <c r="JX88" s="54"/>
      <c r="JY88" s="54"/>
      <c r="JZ88" s="54"/>
      <c r="KA88" s="54"/>
      <c r="KB88" s="54"/>
      <c r="KC88" s="54"/>
      <c r="KD88" s="54"/>
      <c r="KE88" s="54"/>
      <c r="KF88" s="54"/>
      <c r="KG88" s="54"/>
      <c r="KH88" s="54"/>
      <c r="KI88" s="54"/>
      <c r="KJ88" s="54"/>
      <c r="KK88" s="54"/>
      <c r="KL88" s="54"/>
      <c r="KM88" s="54"/>
      <c r="KN88" s="54"/>
      <c r="KO88" s="54"/>
      <c r="KP88" s="54"/>
      <c r="KQ88" s="54"/>
      <c r="KR88" s="54"/>
      <c r="KS88" s="54"/>
      <c r="KT88" s="54"/>
      <c r="KU88" s="54"/>
      <c r="KV88" s="54"/>
      <c r="KW88" s="54"/>
      <c r="KX88" s="54"/>
    </row>
    <row r="89" ht="5.2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119" t="str">
        <f>if($DD$6=0,"",reseeding!AC2)</f>
        <v/>
      </c>
      <c r="BX89" s="120" t="str">
        <f t="array" ref="BX89">xlookup(BW89,data!$M$2:$M$17,data!$O$2:$O$17,"")</f>
        <v/>
      </c>
      <c r="CB89" s="79" t="str">
        <f t="array" ref="CB89">xlookup(BW89,data!$M$2:$M$17,data!$N$2:$N$17,"")</f>
        <v/>
      </c>
      <c r="CX89" s="67"/>
      <c r="DA89" s="11"/>
      <c r="DB89" s="80"/>
      <c r="DF89" s="81" t="str">
        <f t="array" ref="DF89">xlookup(EF89,data!$M$2:$M$17,data!$N$2:$N$17,"")</f>
        <v/>
      </c>
      <c r="EB89" s="121" t="str">
        <f t="array" ref="EB89">xlookup(EF89,data!$M$2:$M$17,data!$O$2:$O$17,"")</f>
        <v/>
      </c>
      <c r="EE89" s="61"/>
      <c r="EF89" s="119" t="str">
        <f>if($DD$6=0,"",reseeding!AD2)</f>
        <v/>
      </c>
      <c r="EG89" s="54"/>
      <c r="EH89" s="54"/>
      <c r="EI89" s="119" t="str">
        <f>if($DD$6=0,"",reseeding!AC11)</f>
        <v/>
      </c>
      <c r="EJ89" s="120" t="str">
        <f t="array" ref="EJ89">xlookup(EI89,data!$M$2:$M$17,data!$O$2:$O$17,"")</f>
        <v/>
      </c>
      <c r="EN89" s="79" t="str">
        <f t="array" ref="EN89">xlookup(EI89,data!$M$2:$M$17,data!$N$2:$N$17,"")</f>
        <v/>
      </c>
      <c r="FJ89" s="67"/>
      <c r="FM89" s="11"/>
      <c r="FN89" s="80"/>
      <c r="FR89" s="81" t="str">
        <f t="array" ref="FR89">xlookup(GR89,data!$M$2:$M$17,data!$N$2:$N$17,"")</f>
        <v/>
      </c>
      <c r="GN89" s="121" t="str">
        <f t="array" ref="GN89">xlookup(GR89,data!$M$2:$M$17,data!$O$2:$O$17,"")</f>
        <v/>
      </c>
      <c r="GQ89" s="61"/>
      <c r="GR89" s="119" t="str">
        <f>if($DD$6=0,"",reseeding!AD11)</f>
        <v/>
      </c>
      <c r="GS89" s="54"/>
      <c r="GT89" s="54"/>
      <c r="GU89" s="54"/>
      <c r="GV89" s="54"/>
      <c r="GW89" s="54"/>
      <c r="GX89" s="54"/>
      <c r="GY89" s="54"/>
      <c r="GZ89" s="54"/>
      <c r="HA89" s="54"/>
      <c r="HB89" s="54"/>
      <c r="HC89" s="54"/>
      <c r="HD89" s="54"/>
      <c r="HE89" s="54"/>
      <c r="HF89" s="54"/>
      <c r="HG89" s="54"/>
      <c r="HH89" s="54"/>
      <c r="HI89" s="54"/>
      <c r="HJ89" s="54"/>
      <c r="HK89" s="54"/>
      <c r="HL89" s="54"/>
      <c r="HM89" s="54"/>
      <c r="HN89" s="54"/>
      <c r="HO89" s="54"/>
      <c r="HP89" s="54"/>
      <c r="HQ89" s="54"/>
      <c r="HR89" s="54"/>
      <c r="HS89" s="54"/>
      <c r="HT89" s="54"/>
      <c r="HU89" s="54"/>
      <c r="HV89" s="54"/>
      <c r="HW89" s="54"/>
      <c r="HX89" s="54"/>
      <c r="HY89" s="54"/>
      <c r="HZ89" s="54"/>
      <c r="IA89" s="54"/>
      <c r="IB89" s="54"/>
      <c r="IC89" s="54"/>
      <c r="ID89" s="54"/>
      <c r="IE89" s="54"/>
      <c r="IF89" s="54"/>
      <c r="IG89" s="54"/>
      <c r="IH89" s="54"/>
      <c r="II89" s="54"/>
      <c r="IJ89" s="54"/>
      <c r="IK89" s="54"/>
      <c r="IL89" s="54"/>
      <c r="IM89" s="54"/>
      <c r="IN89" s="54"/>
      <c r="IO89" s="54"/>
      <c r="IP89" s="54"/>
      <c r="IQ89" s="54"/>
      <c r="IR89" s="54"/>
      <c r="IS89" s="54"/>
      <c r="IT89" s="54"/>
      <c r="IU89" s="54"/>
      <c r="IV89" s="54"/>
      <c r="IW89" s="54"/>
      <c r="IX89" s="54"/>
      <c r="IY89" s="54"/>
      <c r="IZ89" s="54"/>
      <c r="JA89" s="54"/>
      <c r="JB89" s="54"/>
      <c r="JC89" s="54"/>
      <c r="JD89" s="54"/>
      <c r="JE89" s="54"/>
      <c r="JF89" s="54"/>
      <c r="JG89" s="54"/>
      <c r="JH89" s="54"/>
      <c r="JI89" s="54"/>
      <c r="JJ89" s="54"/>
      <c r="JK89" s="54"/>
      <c r="JL89" s="54"/>
      <c r="JM89" s="54"/>
      <c r="JN89" s="54"/>
      <c r="JO89" s="54"/>
      <c r="JP89" s="54"/>
      <c r="JQ89" s="54"/>
      <c r="JR89" s="54"/>
      <c r="JS89" s="54"/>
      <c r="JT89" s="54"/>
      <c r="JU89" s="54"/>
      <c r="JV89" s="54"/>
      <c r="JW89" s="54"/>
      <c r="JX89" s="54"/>
      <c r="JY89" s="54"/>
      <c r="JZ89" s="54"/>
      <c r="KA89" s="54"/>
      <c r="KB89" s="54"/>
      <c r="KC89" s="54"/>
      <c r="KD89" s="54"/>
      <c r="KE89" s="54"/>
      <c r="KF89" s="54"/>
      <c r="KG89" s="54"/>
      <c r="KH89" s="54"/>
      <c r="KI89" s="54"/>
      <c r="KJ89" s="54"/>
      <c r="KK89" s="54"/>
      <c r="KL89" s="54"/>
      <c r="KM89" s="54"/>
      <c r="KN89" s="54"/>
      <c r="KO89" s="54"/>
      <c r="KP89" s="54"/>
      <c r="KQ89" s="54"/>
      <c r="KR89" s="54"/>
      <c r="KS89" s="54"/>
      <c r="KT89" s="54"/>
      <c r="KU89" s="54"/>
      <c r="KV89" s="54"/>
      <c r="KW89" s="54"/>
      <c r="KX89" s="54"/>
    </row>
    <row r="90" ht="5.2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c r="BS90" s="54"/>
      <c r="BT90" s="54"/>
      <c r="BU90" s="54"/>
      <c r="BV90" s="54"/>
      <c r="BW90" s="108"/>
      <c r="BX90" s="60"/>
      <c r="DA90" s="11"/>
      <c r="DB90" s="10"/>
      <c r="EE90" s="61"/>
      <c r="EF90" s="108"/>
      <c r="EG90" s="54"/>
      <c r="EH90" s="54"/>
      <c r="EI90" s="108"/>
      <c r="EJ90" s="60"/>
      <c r="FM90" s="11"/>
      <c r="FN90" s="10"/>
      <c r="GQ90" s="61"/>
      <c r="GR90" s="108"/>
      <c r="GS90" s="54"/>
      <c r="GT90" s="54"/>
      <c r="GU90" s="54"/>
      <c r="GV90" s="54"/>
      <c r="GW90" s="54"/>
      <c r="GX90" s="54"/>
      <c r="GY90" s="54"/>
      <c r="GZ90" s="54"/>
      <c r="HA90" s="54"/>
      <c r="HB90" s="54"/>
      <c r="HC90" s="54"/>
      <c r="HD90" s="54"/>
      <c r="HE90" s="54"/>
      <c r="HF90" s="54"/>
      <c r="HG90" s="54"/>
      <c r="HH90" s="54"/>
      <c r="HI90" s="54"/>
      <c r="HJ90" s="54"/>
      <c r="HK90" s="54"/>
      <c r="HL90" s="54"/>
      <c r="HM90" s="54"/>
      <c r="HN90" s="54"/>
      <c r="HO90" s="54"/>
      <c r="HP90" s="54"/>
      <c r="HQ90" s="54"/>
      <c r="HR90" s="54"/>
      <c r="HS90" s="54"/>
      <c r="HT90" s="54"/>
      <c r="HU90" s="54"/>
      <c r="HV90" s="54"/>
      <c r="HW90" s="54"/>
      <c r="HX90" s="54"/>
      <c r="HY90" s="54"/>
      <c r="HZ90" s="54"/>
      <c r="IA90" s="54"/>
      <c r="IB90" s="54"/>
      <c r="IC90" s="54"/>
      <c r="ID90" s="54"/>
      <c r="IE90" s="54"/>
      <c r="IF90" s="54"/>
      <c r="IG90" s="54"/>
      <c r="IH90" s="54"/>
      <c r="II90" s="54"/>
      <c r="IJ90" s="54"/>
      <c r="IK90" s="54"/>
      <c r="IL90" s="54"/>
      <c r="IM90" s="54"/>
      <c r="IN90" s="54"/>
      <c r="IO90" s="54"/>
      <c r="IP90" s="54"/>
      <c r="IQ90" s="54"/>
      <c r="IR90" s="54"/>
      <c r="IS90" s="54"/>
      <c r="IT90" s="54"/>
      <c r="IU90" s="54"/>
      <c r="IV90" s="54"/>
      <c r="IW90" s="54"/>
      <c r="IX90" s="54"/>
      <c r="IY90" s="54"/>
      <c r="IZ90" s="54"/>
      <c r="JA90" s="54"/>
      <c r="JB90" s="54"/>
      <c r="JC90" s="54"/>
      <c r="JD90" s="54"/>
      <c r="JE90" s="54"/>
      <c r="JF90" s="54"/>
      <c r="JG90" s="54"/>
      <c r="JH90" s="54"/>
      <c r="JI90" s="54"/>
      <c r="JJ90" s="54"/>
      <c r="JK90" s="54"/>
      <c r="JL90" s="54"/>
      <c r="JM90" s="54"/>
      <c r="JN90" s="54"/>
      <c r="JO90" s="54"/>
      <c r="JP90" s="54"/>
      <c r="JQ90" s="54"/>
      <c r="JR90" s="54"/>
      <c r="JS90" s="54"/>
      <c r="JT90" s="54"/>
      <c r="JU90" s="54"/>
      <c r="JV90" s="54"/>
      <c r="JW90" s="54"/>
      <c r="JX90" s="54"/>
      <c r="JY90" s="54"/>
      <c r="JZ90" s="54"/>
      <c r="KA90" s="54"/>
      <c r="KB90" s="54"/>
      <c r="KC90" s="54"/>
      <c r="KD90" s="54"/>
      <c r="KE90" s="54"/>
      <c r="KF90" s="54"/>
      <c r="KG90" s="54"/>
      <c r="KH90" s="54"/>
      <c r="KI90" s="54"/>
      <c r="KJ90" s="54"/>
      <c r="KK90" s="54"/>
      <c r="KL90" s="54"/>
      <c r="KM90" s="54"/>
      <c r="KN90" s="54"/>
      <c r="KO90" s="54"/>
      <c r="KP90" s="54"/>
      <c r="KQ90" s="54"/>
      <c r="KR90" s="54"/>
      <c r="KS90" s="54"/>
      <c r="KT90" s="54"/>
      <c r="KU90" s="54"/>
      <c r="KV90" s="54"/>
      <c r="KW90" s="54"/>
      <c r="KX90" s="54"/>
    </row>
    <row r="91" ht="5.2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108"/>
      <c r="BX91" s="60"/>
      <c r="DA91" s="11"/>
      <c r="DB91" s="10"/>
      <c r="EE91" s="61"/>
      <c r="EF91" s="108"/>
      <c r="EG91" s="54"/>
      <c r="EH91" s="54"/>
      <c r="EI91" s="108"/>
      <c r="EJ91" s="60"/>
      <c r="FM91" s="11"/>
      <c r="FN91" s="10"/>
      <c r="GQ91" s="61"/>
      <c r="GR91" s="108"/>
      <c r="GS91" s="54"/>
      <c r="GT91" s="54"/>
      <c r="GU91" s="54"/>
      <c r="GV91" s="54"/>
      <c r="GW91" s="54"/>
      <c r="GX91" s="54"/>
      <c r="GY91" s="54"/>
      <c r="GZ91" s="54"/>
      <c r="HA91" s="54"/>
      <c r="HB91" s="54"/>
      <c r="HC91" s="54"/>
      <c r="HD91" s="54"/>
      <c r="HE91" s="54"/>
      <c r="HF91" s="54"/>
      <c r="HG91" s="54"/>
      <c r="HH91" s="54"/>
      <c r="HI91" s="54"/>
      <c r="HJ91" s="54"/>
      <c r="HK91" s="54"/>
      <c r="HL91" s="54"/>
      <c r="HM91" s="54"/>
      <c r="HN91" s="54"/>
      <c r="HO91" s="54"/>
      <c r="HP91" s="54"/>
      <c r="HQ91" s="54"/>
      <c r="HR91" s="54"/>
      <c r="HS91" s="54"/>
      <c r="HT91" s="54"/>
      <c r="HU91" s="54"/>
      <c r="HV91" s="54"/>
      <c r="HW91" s="54"/>
      <c r="HX91" s="54"/>
      <c r="HY91" s="54"/>
      <c r="HZ91" s="54"/>
      <c r="IA91" s="54"/>
      <c r="IB91" s="54"/>
      <c r="IC91" s="54"/>
      <c r="ID91" s="54"/>
      <c r="IE91" s="54"/>
      <c r="IF91" s="54"/>
      <c r="IG91" s="54"/>
      <c r="IH91" s="54"/>
      <c r="II91" s="54"/>
      <c r="IJ91" s="54"/>
      <c r="IK91" s="54"/>
      <c r="IL91" s="54"/>
      <c r="IM91" s="54"/>
      <c r="IN91" s="54"/>
      <c r="IO91" s="54"/>
      <c r="IP91" s="54"/>
      <c r="IQ91" s="54"/>
      <c r="IR91" s="54"/>
      <c r="IS91" s="54"/>
      <c r="IT91" s="54"/>
      <c r="IU91" s="54"/>
      <c r="IV91" s="54"/>
      <c r="IW91" s="54"/>
      <c r="IX91" s="54"/>
      <c r="IY91" s="54"/>
      <c r="IZ91" s="54"/>
      <c r="JA91" s="54"/>
      <c r="JB91" s="54"/>
      <c r="JC91" s="54"/>
      <c r="JD91" s="54"/>
      <c r="JE91" s="54"/>
      <c r="JF91" s="54"/>
      <c r="JG91" s="54"/>
      <c r="JH91" s="54"/>
      <c r="JI91" s="54"/>
      <c r="JJ91" s="54"/>
      <c r="JK91" s="54"/>
      <c r="JL91" s="54"/>
      <c r="JM91" s="54"/>
      <c r="JN91" s="54"/>
      <c r="JO91" s="54"/>
      <c r="JP91" s="54"/>
      <c r="JQ91" s="54"/>
      <c r="JR91" s="54"/>
      <c r="JS91" s="54"/>
      <c r="JT91" s="54"/>
      <c r="JU91" s="54"/>
      <c r="JV91" s="54"/>
      <c r="JW91" s="54"/>
      <c r="JX91" s="54"/>
      <c r="JY91" s="54"/>
      <c r="JZ91" s="54"/>
      <c r="KA91" s="54"/>
      <c r="KB91" s="54"/>
      <c r="KC91" s="54"/>
      <c r="KD91" s="54"/>
      <c r="KE91" s="54"/>
      <c r="KF91" s="54"/>
      <c r="KG91" s="54"/>
      <c r="KH91" s="54"/>
      <c r="KI91" s="54"/>
      <c r="KJ91" s="54"/>
      <c r="KK91" s="54"/>
      <c r="KL91" s="54"/>
      <c r="KM91" s="54"/>
      <c r="KN91" s="54"/>
      <c r="KO91" s="54"/>
      <c r="KP91" s="54"/>
      <c r="KQ91" s="54"/>
      <c r="KR91" s="54"/>
      <c r="KS91" s="54"/>
      <c r="KT91" s="54"/>
      <c r="KU91" s="54"/>
      <c r="KV91" s="54"/>
      <c r="KW91" s="54"/>
      <c r="KX91" s="54"/>
    </row>
    <row r="92" ht="5.2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c r="BS92" s="54"/>
      <c r="BT92" s="54"/>
      <c r="BU92" s="54"/>
      <c r="BV92" s="54"/>
      <c r="BW92" s="108"/>
      <c r="BX92" s="60"/>
      <c r="DA92" s="11"/>
      <c r="DB92" s="10"/>
      <c r="EE92" s="61"/>
      <c r="EF92" s="108"/>
      <c r="EG92" s="54"/>
      <c r="EH92" s="54"/>
      <c r="EI92" s="108"/>
      <c r="EJ92" s="60"/>
      <c r="FM92" s="11"/>
      <c r="FN92" s="10"/>
      <c r="GQ92" s="61"/>
      <c r="GR92" s="108"/>
      <c r="GS92" s="54"/>
      <c r="GT92" s="54"/>
      <c r="GU92" s="54"/>
      <c r="GV92" s="54"/>
      <c r="GW92" s="54"/>
      <c r="GX92" s="54"/>
      <c r="GY92" s="54"/>
      <c r="GZ92" s="54"/>
      <c r="HA92" s="54"/>
      <c r="HB92" s="54"/>
      <c r="HC92" s="54"/>
      <c r="HD92" s="54"/>
      <c r="HE92" s="54"/>
      <c r="HF92" s="54"/>
      <c r="HG92" s="54"/>
      <c r="HH92" s="54"/>
      <c r="HI92" s="54"/>
      <c r="HJ92" s="54"/>
      <c r="HK92" s="54"/>
      <c r="HL92" s="54"/>
      <c r="HM92" s="54"/>
      <c r="HN92" s="54"/>
      <c r="HO92" s="54"/>
      <c r="HP92" s="54"/>
      <c r="HQ92" s="54"/>
      <c r="HR92" s="54"/>
      <c r="HS92" s="54"/>
      <c r="HT92" s="54"/>
      <c r="HU92" s="54"/>
      <c r="HV92" s="54"/>
      <c r="HW92" s="54"/>
      <c r="HX92" s="54"/>
      <c r="HY92" s="54"/>
      <c r="HZ92" s="54"/>
      <c r="IA92" s="54"/>
      <c r="IB92" s="54"/>
      <c r="IC92" s="54"/>
      <c r="ID92" s="54"/>
      <c r="IE92" s="54"/>
      <c r="IF92" s="54"/>
      <c r="IG92" s="54"/>
      <c r="IH92" s="54"/>
      <c r="II92" s="54"/>
      <c r="IJ92" s="54"/>
      <c r="IK92" s="54"/>
      <c r="IL92" s="54"/>
      <c r="IM92" s="54"/>
      <c r="IN92" s="54"/>
      <c r="IO92" s="54"/>
      <c r="IP92" s="54"/>
      <c r="IQ92" s="54"/>
      <c r="IR92" s="54"/>
      <c r="IS92" s="54"/>
      <c r="IT92" s="54"/>
      <c r="IU92" s="54"/>
      <c r="IV92" s="54"/>
      <c r="IW92" s="54"/>
      <c r="IX92" s="54"/>
      <c r="IY92" s="54"/>
      <c r="IZ92" s="54"/>
      <c r="JA92" s="54"/>
      <c r="JB92" s="54"/>
      <c r="JC92" s="54"/>
      <c r="JD92" s="54"/>
      <c r="JE92" s="54"/>
      <c r="JF92" s="54"/>
      <c r="JG92" s="54"/>
      <c r="JH92" s="54"/>
      <c r="JI92" s="54"/>
      <c r="JJ92" s="54"/>
      <c r="JK92" s="54"/>
      <c r="JL92" s="54"/>
      <c r="JM92" s="54"/>
      <c r="JN92" s="54"/>
      <c r="JO92" s="54"/>
      <c r="JP92" s="54"/>
      <c r="JQ92" s="54"/>
      <c r="JR92" s="54"/>
      <c r="JS92" s="54"/>
      <c r="JT92" s="54"/>
      <c r="JU92" s="54"/>
      <c r="JV92" s="54"/>
      <c r="JW92" s="54"/>
      <c r="JX92" s="54"/>
      <c r="JY92" s="54"/>
      <c r="JZ92" s="54"/>
      <c r="KA92" s="54"/>
      <c r="KB92" s="54"/>
      <c r="KC92" s="54"/>
      <c r="KD92" s="54"/>
      <c r="KE92" s="54"/>
      <c r="KF92" s="54"/>
      <c r="KG92" s="54"/>
      <c r="KH92" s="54"/>
      <c r="KI92" s="54"/>
      <c r="KJ92" s="54"/>
      <c r="KK92" s="54"/>
      <c r="KL92" s="54"/>
      <c r="KM92" s="54"/>
      <c r="KN92" s="54"/>
      <c r="KO92" s="54"/>
      <c r="KP92" s="54"/>
      <c r="KQ92" s="54"/>
      <c r="KR92" s="54"/>
      <c r="KS92" s="54"/>
      <c r="KT92" s="54"/>
      <c r="KU92" s="54"/>
      <c r="KV92" s="54"/>
      <c r="KW92" s="54"/>
      <c r="KX92" s="54"/>
    </row>
    <row r="93" ht="5.2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c r="BL93" s="54"/>
      <c r="BM93" s="54"/>
      <c r="BN93" s="54"/>
      <c r="BO93" s="54"/>
      <c r="BP93" s="54"/>
      <c r="BQ93" s="54"/>
      <c r="BR93" s="54"/>
      <c r="BS93" s="54"/>
      <c r="BT93" s="54"/>
      <c r="BU93" s="54"/>
      <c r="BV93" s="54"/>
      <c r="BW93" s="119" t="str">
        <f>BW89</f>
        <v/>
      </c>
      <c r="BX93" s="112"/>
      <c r="CF93" s="122"/>
      <c r="CH93" s="11"/>
      <c r="CI93" s="123"/>
      <c r="CK93" s="11"/>
      <c r="CL93" s="124"/>
      <c r="CO93" s="108"/>
      <c r="CX93" s="85">
        <f>sum(CF93:CN95)</f>
        <v>0</v>
      </c>
      <c r="DA93" s="11"/>
      <c r="DB93" s="86">
        <f>sum(DO93:DW95)</f>
        <v>0</v>
      </c>
      <c r="DF93" s="108"/>
      <c r="DG93" s="108"/>
      <c r="DH93" s="108"/>
      <c r="DI93" s="108"/>
      <c r="DJ93" s="108"/>
      <c r="DK93" s="108"/>
      <c r="DL93" s="108"/>
      <c r="DM93" s="108"/>
      <c r="DN93" s="108"/>
      <c r="DO93" s="125"/>
      <c r="DQ93" s="11"/>
      <c r="DR93" s="126"/>
      <c r="DT93" s="11"/>
      <c r="DU93" s="127"/>
      <c r="DX93" s="108"/>
      <c r="DY93" s="108"/>
      <c r="DZ93" s="108"/>
      <c r="EA93" s="108"/>
      <c r="EB93" s="108"/>
      <c r="EC93" s="108"/>
      <c r="ED93" s="108"/>
      <c r="EE93" s="116"/>
      <c r="EF93" s="119" t="str">
        <f>EF89</f>
        <v/>
      </c>
      <c r="EG93" s="54"/>
      <c r="EH93" s="54"/>
      <c r="EI93" s="119" t="str">
        <f>EI89</f>
        <v/>
      </c>
      <c r="EJ93" s="112"/>
      <c r="ER93" s="122"/>
      <c r="ET93" s="11"/>
      <c r="EU93" s="127"/>
      <c r="EW93" s="11"/>
      <c r="EX93" s="124"/>
      <c r="FA93" s="108"/>
      <c r="FJ93" s="85">
        <f>sum(ER93:EZ95)</f>
        <v>0</v>
      </c>
      <c r="FM93" s="11"/>
      <c r="FN93" s="86">
        <f>sum(GA93:GI95)</f>
        <v>0</v>
      </c>
      <c r="FR93" s="108"/>
      <c r="FS93" s="108"/>
      <c r="FT93" s="108"/>
      <c r="FU93" s="108"/>
      <c r="FV93" s="108"/>
      <c r="FW93" s="108"/>
      <c r="FX93" s="108"/>
      <c r="FY93" s="108"/>
      <c r="FZ93" s="108"/>
      <c r="GA93" s="125"/>
      <c r="GC93" s="11"/>
      <c r="GD93" s="126"/>
      <c r="GF93" s="11"/>
      <c r="GG93" s="127"/>
      <c r="GJ93" s="108"/>
      <c r="GK93" s="108"/>
      <c r="GL93" s="108"/>
      <c r="GM93" s="108"/>
      <c r="GN93" s="108"/>
      <c r="GO93" s="108"/>
      <c r="GP93" s="108"/>
      <c r="GQ93" s="116"/>
      <c r="GR93" s="119" t="str">
        <f>GR89</f>
        <v/>
      </c>
      <c r="GS93" s="54"/>
      <c r="GT93" s="54"/>
      <c r="GU93" s="54"/>
      <c r="GV93" s="54"/>
      <c r="GW93" s="54"/>
      <c r="GX93" s="54"/>
      <c r="GY93" s="54"/>
      <c r="GZ93" s="54"/>
      <c r="HA93" s="54"/>
      <c r="HB93" s="54"/>
      <c r="HC93" s="54"/>
      <c r="HD93" s="54"/>
      <c r="HE93" s="54"/>
      <c r="HF93" s="54"/>
      <c r="HG93" s="54"/>
      <c r="HH93" s="54"/>
      <c r="HI93" s="54"/>
      <c r="HJ93" s="54"/>
      <c r="HK93" s="54"/>
      <c r="HL93" s="54"/>
      <c r="HM93" s="54"/>
      <c r="HN93" s="54"/>
      <c r="HO93" s="54"/>
      <c r="HP93" s="54"/>
      <c r="HQ93" s="54"/>
      <c r="HR93" s="54"/>
      <c r="HS93" s="54"/>
      <c r="HT93" s="54"/>
      <c r="HU93" s="54"/>
      <c r="HV93" s="54"/>
      <c r="HW93" s="54"/>
      <c r="HX93" s="54"/>
      <c r="HY93" s="54"/>
      <c r="HZ93" s="54"/>
      <c r="IA93" s="54"/>
      <c r="IB93" s="54"/>
      <c r="IC93" s="54"/>
      <c r="ID93" s="54"/>
      <c r="IE93" s="54"/>
      <c r="IF93" s="54"/>
      <c r="IG93" s="54"/>
      <c r="IH93" s="54"/>
      <c r="II93" s="54"/>
      <c r="IJ93" s="54"/>
      <c r="IK93" s="54"/>
      <c r="IL93" s="54"/>
      <c r="IM93" s="54"/>
      <c r="IN93" s="54"/>
      <c r="IO93" s="54"/>
      <c r="IP93" s="54"/>
      <c r="IQ93" s="54"/>
      <c r="IR93" s="54"/>
      <c r="IS93" s="54"/>
      <c r="IT93" s="54"/>
      <c r="IU93" s="54"/>
      <c r="IV93" s="54"/>
      <c r="IW93" s="54"/>
      <c r="IX93" s="54"/>
      <c r="IY93" s="54"/>
      <c r="IZ93" s="54"/>
      <c r="JA93" s="54"/>
      <c r="JB93" s="54"/>
      <c r="JC93" s="54"/>
      <c r="JD93" s="54"/>
      <c r="JE93" s="54"/>
      <c r="JF93" s="54"/>
      <c r="JG93" s="54"/>
      <c r="JH93" s="54"/>
      <c r="JI93" s="54"/>
      <c r="JJ93" s="54"/>
      <c r="JK93" s="54"/>
      <c r="JL93" s="54"/>
      <c r="JM93" s="54"/>
      <c r="JN93" s="54"/>
      <c r="JO93" s="54"/>
      <c r="JP93" s="54"/>
      <c r="JQ93" s="54"/>
      <c r="JR93" s="54"/>
      <c r="JS93" s="54"/>
      <c r="JT93" s="54"/>
      <c r="JU93" s="54"/>
      <c r="JV93" s="54"/>
      <c r="JW93" s="54"/>
      <c r="JX93" s="54"/>
      <c r="JY93" s="54"/>
      <c r="JZ93" s="54"/>
      <c r="KA93" s="54"/>
      <c r="KB93" s="54"/>
      <c r="KC93" s="54"/>
      <c r="KD93" s="54"/>
      <c r="KE93" s="54"/>
      <c r="KF93" s="54"/>
      <c r="KG93" s="54"/>
      <c r="KH93" s="54"/>
      <c r="KI93" s="54"/>
      <c r="KJ93" s="54"/>
      <c r="KK93" s="54"/>
      <c r="KL93" s="54"/>
      <c r="KM93" s="54"/>
      <c r="KN93" s="54"/>
      <c r="KO93" s="54"/>
      <c r="KP93" s="54"/>
      <c r="KQ93" s="54"/>
      <c r="KR93" s="54"/>
      <c r="KS93" s="54"/>
      <c r="KT93" s="54"/>
      <c r="KU93" s="54"/>
      <c r="KV93" s="54"/>
      <c r="KW93" s="54"/>
      <c r="KX93" s="54"/>
    </row>
    <row r="94" ht="5.2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c r="BL94" s="54"/>
      <c r="BM94" s="54"/>
      <c r="BN94" s="54"/>
      <c r="BO94" s="54"/>
      <c r="BP94" s="54"/>
      <c r="BQ94" s="54"/>
      <c r="BR94" s="54"/>
      <c r="BS94" s="54"/>
      <c r="BT94" s="54"/>
      <c r="BU94" s="54"/>
      <c r="BV94" s="54"/>
      <c r="BW94" s="108"/>
      <c r="BX94" s="60"/>
      <c r="CH94" s="11"/>
      <c r="CI94" s="10"/>
      <c r="CK94" s="11"/>
      <c r="CL94" s="10"/>
      <c r="DA94" s="11"/>
      <c r="DB94" s="10"/>
      <c r="DF94" s="108"/>
      <c r="DG94" s="108"/>
      <c r="DH94" s="108"/>
      <c r="DI94" s="108"/>
      <c r="DJ94" s="108"/>
      <c r="DK94" s="108"/>
      <c r="DL94" s="108"/>
      <c r="DM94" s="108"/>
      <c r="DN94" s="108"/>
      <c r="DQ94" s="11"/>
      <c r="DR94" s="10"/>
      <c r="DT94" s="11"/>
      <c r="DU94" s="10"/>
      <c r="DX94" s="108"/>
      <c r="DY94" s="108"/>
      <c r="DZ94" s="108"/>
      <c r="EA94" s="108"/>
      <c r="EB94" s="108"/>
      <c r="EC94" s="108"/>
      <c r="ED94" s="108"/>
      <c r="EE94" s="116"/>
      <c r="EF94" s="108"/>
      <c r="EG94" s="54"/>
      <c r="EH94" s="54"/>
      <c r="EI94" s="108"/>
      <c r="EJ94" s="60"/>
      <c r="ET94" s="11"/>
      <c r="EU94" s="10"/>
      <c r="EW94" s="11"/>
      <c r="EX94" s="10"/>
      <c r="FM94" s="11"/>
      <c r="FN94" s="10"/>
      <c r="FR94" s="108"/>
      <c r="FS94" s="108"/>
      <c r="FT94" s="108"/>
      <c r="FU94" s="108"/>
      <c r="FV94" s="108"/>
      <c r="FW94" s="108"/>
      <c r="FX94" s="108"/>
      <c r="FY94" s="108"/>
      <c r="FZ94" s="108"/>
      <c r="GC94" s="11"/>
      <c r="GD94" s="10"/>
      <c r="GF94" s="11"/>
      <c r="GG94" s="10"/>
      <c r="GJ94" s="108"/>
      <c r="GK94" s="108"/>
      <c r="GL94" s="108"/>
      <c r="GM94" s="108"/>
      <c r="GN94" s="108"/>
      <c r="GO94" s="108"/>
      <c r="GP94" s="108"/>
      <c r="GQ94" s="116"/>
      <c r="GR94" s="108"/>
      <c r="GS94" s="54"/>
      <c r="GT94" s="54"/>
      <c r="GU94" s="54"/>
      <c r="GV94" s="54"/>
      <c r="GW94" s="54"/>
      <c r="GX94" s="54"/>
      <c r="GY94" s="54"/>
      <c r="GZ94" s="54"/>
      <c r="HA94" s="54"/>
      <c r="HB94" s="54"/>
      <c r="HC94" s="54"/>
      <c r="HD94" s="54"/>
      <c r="HE94" s="54"/>
      <c r="HF94" s="54"/>
      <c r="HG94" s="54"/>
      <c r="HH94" s="54"/>
      <c r="HI94" s="54"/>
      <c r="HJ94" s="54"/>
      <c r="HK94" s="54"/>
      <c r="HL94" s="54"/>
      <c r="HM94" s="54"/>
      <c r="HN94" s="54"/>
      <c r="HO94" s="54"/>
      <c r="HP94" s="54"/>
      <c r="HQ94" s="54"/>
      <c r="HR94" s="54"/>
      <c r="HS94" s="54"/>
      <c r="HT94" s="54"/>
      <c r="HU94" s="54"/>
      <c r="HV94" s="54"/>
      <c r="HW94" s="54"/>
      <c r="HX94" s="54"/>
      <c r="HY94" s="54"/>
      <c r="HZ94" s="54"/>
      <c r="IA94" s="54"/>
      <c r="IB94" s="54"/>
      <c r="IC94" s="54"/>
      <c r="ID94" s="54"/>
      <c r="IE94" s="54"/>
      <c r="IF94" s="54"/>
      <c r="IG94" s="54"/>
      <c r="IH94" s="54"/>
      <c r="II94" s="54"/>
      <c r="IJ94" s="54"/>
      <c r="IK94" s="54"/>
      <c r="IL94" s="54"/>
      <c r="IM94" s="54"/>
      <c r="IN94" s="54"/>
      <c r="IO94" s="54"/>
      <c r="IP94" s="54"/>
      <c r="IQ94" s="54"/>
      <c r="IR94" s="54"/>
      <c r="IS94" s="54"/>
      <c r="IT94" s="54"/>
      <c r="IU94" s="54"/>
      <c r="IV94" s="54"/>
      <c r="IW94" s="54"/>
      <c r="IX94" s="54"/>
      <c r="IY94" s="54"/>
      <c r="IZ94" s="54"/>
      <c r="JA94" s="54"/>
      <c r="JB94" s="54"/>
      <c r="JC94" s="54"/>
      <c r="JD94" s="54"/>
      <c r="JE94" s="54"/>
      <c r="JF94" s="54"/>
      <c r="JG94" s="54"/>
      <c r="JH94" s="54"/>
      <c r="JI94" s="54"/>
      <c r="JJ94" s="54"/>
      <c r="JK94" s="54"/>
      <c r="JL94" s="54"/>
      <c r="JM94" s="54"/>
      <c r="JN94" s="54"/>
      <c r="JO94" s="54"/>
      <c r="JP94" s="54"/>
      <c r="JQ94" s="54"/>
      <c r="JR94" s="54"/>
      <c r="JS94" s="54"/>
      <c r="JT94" s="54"/>
      <c r="JU94" s="54"/>
      <c r="JV94" s="54"/>
      <c r="JW94" s="54"/>
      <c r="JX94" s="54"/>
      <c r="JY94" s="54"/>
      <c r="JZ94" s="54"/>
      <c r="KA94" s="54"/>
      <c r="KB94" s="54"/>
      <c r="KC94" s="54"/>
      <c r="KD94" s="54"/>
      <c r="KE94" s="54"/>
      <c r="KF94" s="54"/>
      <c r="KG94" s="54"/>
      <c r="KH94" s="54"/>
      <c r="KI94" s="54"/>
      <c r="KJ94" s="54"/>
      <c r="KK94" s="54"/>
      <c r="KL94" s="54"/>
      <c r="KM94" s="54"/>
      <c r="KN94" s="54"/>
      <c r="KO94" s="54"/>
      <c r="KP94" s="54"/>
      <c r="KQ94" s="54"/>
      <c r="KR94" s="54"/>
      <c r="KS94" s="54"/>
      <c r="KT94" s="54"/>
      <c r="KU94" s="54"/>
      <c r="KV94" s="54"/>
      <c r="KW94" s="54"/>
      <c r="KX94" s="54"/>
    </row>
    <row r="95" ht="5.2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c r="BS95" s="54"/>
      <c r="BT95" s="54"/>
      <c r="BU95" s="54"/>
      <c r="BV95" s="54"/>
      <c r="BW95" s="108"/>
      <c r="BX95" s="88"/>
      <c r="BY95" s="13"/>
      <c r="BZ95" s="13"/>
      <c r="CA95" s="13"/>
      <c r="CB95" s="13"/>
      <c r="CC95" s="13"/>
      <c r="CD95" s="13"/>
      <c r="CE95" s="13"/>
      <c r="CF95" s="13"/>
      <c r="CG95" s="13"/>
      <c r="CH95" s="14"/>
      <c r="CI95" s="12"/>
      <c r="CJ95" s="13"/>
      <c r="CK95" s="14"/>
      <c r="CL95" s="12"/>
      <c r="CM95" s="13"/>
      <c r="CN95" s="13"/>
      <c r="CO95" s="13"/>
      <c r="CP95" s="13"/>
      <c r="CQ95" s="13"/>
      <c r="CR95" s="13"/>
      <c r="CS95" s="13"/>
      <c r="CT95" s="13"/>
      <c r="CU95" s="13"/>
      <c r="CV95" s="13"/>
      <c r="CW95" s="13"/>
      <c r="CX95" s="13"/>
      <c r="CY95" s="13"/>
      <c r="CZ95" s="13"/>
      <c r="DA95" s="14"/>
      <c r="DB95" s="12"/>
      <c r="DC95" s="13"/>
      <c r="DD95" s="13"/>
      <c r="DE95" s="13"/>
      <c r="DF95" s="128"/>
      <c r="DG95" s="128"/>
      <c r="DH95" s="128"/>
      <c r="DI95" s="128"/>
      <c r="DJ95" s="128"/>
      <c r="DK95" s="128"/>
      <c r="DL95" s="128"/>
      <c r="DM95" s="128"/>
      <c r="DN95" s="128"/>
      <c r="DO95" s="13"/>
      <c r="DP95" s="13"/>
      <c r="DQ95" s="14"/>
      <c r="DR95" s="12"/>
      <c r="DS95" s="13"/>
      <c r="DT95" s="14"/>
      <c r="DU95" s="12"/>
      <c r="DV95" s="13"/>
      <c r="DW95" s="13"/>
      <c r="DX95" s="128"/>
      <c r="DY95" s="128"/>
      <c r="DZ95" s="128"/>
      <c r="EA95" s="128"/>
      <c r="EB95" s="128"/>
      <c r="EC95" s="128"/>
      <c r="ED95" s="128"/>
      <c r="EE95" s="129"/>
      <c r="EF95" s="108"/>
      <c r="EG95" s="54"/>
      <c r="EH95" s="54"/>
      <c r="EI95" s="108"/>
      <c r="EJ95" s="88"/>
      <c r="EK95" s="13"/>
      <c r="EL95" s="13"/>
      <c r="EM95" s="13"/>
      <c r="EN95" s="13"/>
      <c r="EO95" s="13"/>
      <c r="EP95" s="13"/>
      <c r="EQ95" s="13"/>
      <c r="ER95" s="13"/>
      <c r="ES95" s="13"/>
      <c r="ET95" s="14"/>
      <c r="EU95" s="12"/>
      <c r="EV95" s="13"/>
      <c r="EW95" s="14"/>
      <c r="EX95" s="12"/>
      <c r="EY95" s="13"/>
      <c r="EZ95" s="13"/>
      <c r="FA95" s="13"/>
      <c r="FB95" s="13"/>
      <c r="FC95" s="13"/>
      <c r="FD95" s="13"/>
      <c r="FE95" s="13"/>
      <c r="FF95" s="13"/>
      <c r="FG95" s="13"/>
      <c r="FH95" s="13"/>
      <c r="FI95" s="13"/>
      <c r="FJ95" s="13"/>
      <c r="FK95" s="13"/>
      <c r="FL95" s="13"/>
      <c r="FM95" s="14"/>
      <c r="FN95" s="12"/>
      <c r="FO95" s="13"/>
      <c r="FP95" s="13"/>
      <c r="FQ95" s="13"/>
      <c r="FR95" s="128"/>
      <c r="FS95" s="128"/>
      <c r="FT95" s="128"/>
      <c r="FU95" s="128"/>
      <c r="FV95" s="128"/>
      <c r="FW95" s="128"/>
      <c r="FX95" s="128"/>
      <c r="FY95" s="128"/>
      <c r="FZ95" s="128"/>
      <c r="GA95" s="13"/>
      <c r="GB95" s="13"/>
      <c r="GC95" s="14"/>
      <c r="GD95" s="12"/>
      <c r="GE95" s="13"/>
      <c r="GF95" s="14"/>
      <c r="GG95" s="12"/>
      <c r="GH95" s="13"/>
      <c r="GI95" s="13"/>
      <c r="GJ95" s="128"/>
      <c r="GK95" s="128"/>
      <c r="GL95" s="128"/>
      <c r="GM95" s="128"/>
      <c r="GN95" s="128"/>
      <c r="GO95" s="128"/>
      <c r="GP95" s="128"/>
      <c r="GQ95" s="129"/>
      <c r="GR95" s="108"/>
      <c r="GS95" s="54"/>
      <c r="GT95" s="54"/>
      <c r="GU95" s="54"/>
      <c r="GV95" s="54"/>
      <c r="GW95" s="54"/>
      <c r="GX95" s="54"/>
      <c r="GY95" s="54"/>
      <c r="GZ95" s="54"/>
      <c r="HA95" s="54"/>
      <c r="HB95" s="54"/>
      <c r="HC95" s="54"/>
      <c r="HD95" s="54"/>
      <c r="HE95" s="54"/>
      <c r="HF95" s="54"/>
      <c r="HG95" s="54"/>
      <c r="HH95" s="54"/>
      <c r="HI95" s="54"/>
      <c r="HJ95" s="54"/>
      <c r="HK95" s="54"/>
      <c r="HL95" s="54"/>
      <c r="HM95" s="54"/>
      <c r="HN95" s="54"/>
      <c r="HO95" s="54"/>
      <c r="HP95" s="54"/>
      <c r="HQ95" s="54"/>
      <c r="HR95" s="54"/>
      <c r="HS95" s="54"/>
      <c r="HT95" s="54"/>
      <c r="HU95" s="54"/>
      <c r="HV95" s="54"/>
      <c r="HW95" s="54"/>
      <c r="HX95" s="54"/>
      <c r="HY95" s="54"/>
      <c r="HZ95" s="54"/>
      <c r="IA95" s="54"/>
      <c r="IB95" s="54"/>
      <c r="IC95" s="54"/>
      <c r="ID95" s="54"/>
      <c r="IE95" s="54"/>
      <c r="IF95" s="54"/>
      <c r="IG95" s="54"/>
      <c r="IH95" s="54"/>
      <c r="II95" s="54"/>
      <c r="IJ95" s="54"/>
      <c r="IK95" s="54"/>
      <c r="IL95" s="54"/>
      <c r="IM95" s="54"/>
      <c r="IN95" s="54"/>
      <c r="IO95" s="54"/>
      <c r="IP95" s="54"/>
      <c r="IQ95" s="54"/>
      <c r="IR95" s="54"/>
      <c r="IS95" s="54"/>
      <c r="IT95" s="54"/>
      <c r="IU95" s="54"/>
      <c r="IV95" s="54"/>
      <c r="IW95" s="54"/>
      <c r="IX95" s="54"/>
      <c r="IY95" s="54"/>
      <c r="IZ95" s="54"/>
      <c r="JA95" s="54"/>
      <c r="JB95" s="54"/>
      <c r="JC95" s="54"/>
      <c r="JD95" s="54"/>
      <c r="JE95" s="54"/>
      <c r="JF95" s="54"/>
      <c r="JG95" s="54"/>
      <c r="JH95" s="54"/>
      <c r="JI95" s="54"/>
      <c r="JJ95" s="54"/>
      <c r="JK95" s="54"/>
      <c r="JL95" s="54"/>
      <c r="JM95" s="54"/>
      <c r="JN95" s="54"/>
      <c r="JO95" s="54"/>
      <c r="JP95" s="54"/>
      <c r="JQ95" s="54"/>
      <c r="JR95" s="54"/>
      <c r="JS95" s="54"/>
      <c r="JT95" s="54"/>
      <c r="JU95" s="54"/>
      <c r="JV95" s="54"/>
      <c r="JW95" s="54"/>
      <c r="JX95" s="54"/>
      <c r="JY95" s="54"/>
      <c r="JZ95" s="54"/>
      <c r="KA95" s="54"/>
      <c r="KB95" s="54"/>
      <c r="KC95" s="54"/>
      <c r="KD95" s="54"/>
      <c r="KE95" s="54"/>
      <c r="KF95" s="54"/>
      <c r="KG95" s="54"/>
      <c r="KH95" s="54"/>
      <c r="KI95" s="54"/>
      <c r="KJ95" s="54"/>
      <c r="KK95" s="54"/>
      <c r="KL95" s="54"/>
      <c r="KM95" s="54"/>
      <c r="KN95" s="54"/>
      <c r="KO95" s="54"/>
      <c r="KP95" s="54"/>
      <c r="KQ95" s="54"/>
      <c r="KR95" s="54"/>
      <c r="KS95" s="54"/>
      <c r="KT95" s="54"/>
      <c r="KU95" s="54"/>
      <c r="KV95" s="54"/>
      <c r="KW95" s="54"/>
      <c r="KX95" s="54"/>
    </row>
    <row r="96" ht="5.2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c r="BS96" s="54"/>
      <c r="BT96" s="54"/>
      <c r="BU96" s="54"/>
      <c r="BV96" s="54"/>
      <c r="BW96" s="119" t="str">
        <f>if($DD$6=0,"",reseeding!AC3)</f>
        <v/>
      </c>
      <c r="BX96" s="130" t="str">
        <f t="array" ref="BX96">xlookup(BW96,data!$M$2:$M$17,data!$O$2:$O$17,"")</f>
        <v/>
      </c>
      <c r="BY96" s="8"/>
      <c r="BZ96" s="8"/>
      <c r="CA96" s="8"/>
      <c r="CB96" s="93" t="str">
        <f t="array" ref="CB96">xlookup(BW96,data!$M$2:$M$17,data!$N$2:$N$17,"")</f>
        <v/>
      </c>
      <c r="CC96" s="8"/>
      <c r="CD96" s="8"/>
      <c r="CE96" s="8"/>
      <c r="CF96" s="8"/>
      <c r="CG96" s="8"/>
      <c r="CH96" s="8"/>
      <c r="CI96" s="8"/>
      <c r="CJ96" s="8"/>
      <c r="CK96" s="8"/>
      <c r="CL96" s="8"/>
      <c r="CM96" s="8"/>
      <c r="CN96" s="8"/>
      <c r="CO96" s="8"/>
      <c r="CP96" s="8"/>
      <c r="CQ96" s="8"/>
      <c r="CR96" s="8"/>
      <c r="CS96" s="8"/>
      <c r="CT96" s="8"/>
      <c r="CU96" s="8"/>
      <c r="CV96" s="8"/>
      <c r="CW96" s="8"/>
      <c r="CX96" s="94"/>
      <c r="CY96" s="8"/>
      <c r="CZ96" s="8"/>
      <c r="DA96" s="9"/>
      <c r="DB96" s="95"/>
      <c r="DC96" s="8"/>
      <c r="DD96" s="8"/>
      <c r="DE96" s="8"/>
      <c r="DF96" s="96" t="str">
        <f t="array" ref="DF96">xlookup(EF96,data!$M$2:$M$17,data!$N$2:$N$17,"")</f>
        <v/>
      </c>
      <c r="DG96" s="8"/>
      <c r="DH96" s="8"/>
      <c r="DI96" s="8"/>
      <c r="DJ96" s="8"/>
      <c r="DK96" s="8"/>
      <c r="DL96" s="8"/>
      <c r="DM96" s="8"/>
      <c r="DN96" s="8"/>
      <c r="DO96" s="8"/>
      <c r="DP96" s="8"/>
      <c r="DQ96" s="8"/>
      <c r="DR96" s="8"/>
      <c r="DS96" s="8"/>
      <c r="DT96" s="8"/>
      <c r="DU96" s="8"/>
      <c r="DV96" s="8"/>
      <c r="DW96" s="8"/>
      <c r="DX96" s="8"/>
      <c r="DY96" s="8"/>
      <c r="DZ96" s="8"/>
      <c r="EA96" s="8"/>
      <c r="EB96" s="131" t="str">
        <f t="array" ref="EB96">xlookup(EF96,data!$M$2:$M$17,data!$O$2:$O$17,"")</f>
        <v/>
      </c>
      <c r="EC96" s="8"/>
      <c r="ED96" s="8"/>
      <c r="EE96" s="98"/>
      <c r="EF96" s="119" t="str">
        <f>if($DD$6=0,"",reseeding!AD3)</f>
        <v/>
      </c>
      <c r="EG96" s="54"/>
      <c r="EH96" s="54"/>
      <c r="EI96" s="119" t="str">
        <f>if($DD$6=0,"",reseeding!AC12)</f>
        <v/>
      </c>
      <c r="EJ96" s="130" t="str">
        <f t="array" ref="EJ96">xlookup(EI96,data!$M$2:$M$17,data!$O$2:$O$17,"")</f>
        <v/>
      </c>
      <c r="EK96" s="8"/>
      <c r="EL96" s="8"/>
      <c r="EM96" s="8"/>
      <c r="EN96" s="93" t="str">
        <f t="array" ref="EN96">xlookup(EI96,data!$M$2:$M$17,data!$N$2:$N$17,"")</f>
        <v/>
      </c>
      <c r="EO96" s="8"/>
      <c r="EP96" s="8"/>
      <c r="EQ96" s="8"/>
      <c r="ER96" s="8"/>
      <c r="ES96" s="8"/>
      <c r="ET96" s="8"/>
      <c r="EU96" s="8"/>
      <c r="EV96" s="8"/>
      <c r="EW96" s="8"/>
      <c r="EX96" s="8"/>
      <c r="EY96" s="8"/>
      <c r="EZ96" s="8"/>
      <c r="FA96" s="8"/>
      <c r="FB96" s="8"/>
      <c r="FC96" s="8"/>
      <c r="FD96" s="8"/>
      <c r="FE96" s="8"/>
      <c r="FF96" s="8"/>
      <c r="FG96" s="8"/>
      <c r="FH96" s="8"/>
      <c r="FI96" s="8"/>
      <c r="FJ96" s="94"/>
      <c r="FK96" s="8"/>
      <c r="FL96" s="8"/>
      <c r="FM96" s="9"/>
      <c r="FN96" s="95"/>
      <c r="FO96" s="8"/>
      <c r="FP96" s="8"/>
      <c r="FQ96" s="8"/>
      <c r="FR96" s="96" t="str">
        <f t="array" ref="FR96">xlookup(GR96,data!$M$2:$M$17,data!$N$2:$N$17,"")</f>
        <v/>
      </c>
      <c r="FS96" s="8"/>
      <c r="FT96" s="8"/>
      <c r="FU96" s="8"/>
      <c r="FV96" s="8"/>
      <c r="FW96" s="8"/>
      <c r="FX96" s="8"/>
      <c r="FY96" s="8"/>
      <c r="FZ96" s="8"/>
      <c r="GA96" s="8"/>
      <c r="GB96" s="8"/>
      <c r="GC96" s="8"/>
      <c r="GD96" s="8"/>
      <c r="GE96" s="8"/>
      <c r="GF96" s="8"/>
      <c r="GG96" s="8"/>
      <c r="GH96" s="8"/>
      <c r="GI96" s="8"/>
      <c r="GJ96" s="8"/>
      <c r="GK96" s="8"/>
      <c r="GL96" s="8"/>
      <c r="GM96" s="8"/>
      <c r="GN96" s="131" t="str">
        <f t="array" ref="GN96">xlookup(GR96,data!$M$2:$M$17,data!$O$2:$O$17,"")</f>
        <v/>
      </c>
      <c r="GO96" s="8"/>
      <c r="GP96" s="8"/>
      <c r="GQ96" s="98"/>
      <c r="GR96" s="119" t="str">
        <f>if($DD$6=0,"",reseeding!AD12)</f>
        <v/>
      </c>
      <c r="GS96" s="54"/>
      <c r="GT96" s="54"/>
      <c r="GU96" s="54"/>
      <c r="GV96" s="54"/>
      <c r="GW96" s="54"/>
      <c r="GX96" s="54"/>
      <c r="GY96" s="54"/>
      <c r="GZ96" s="54"/>
      <c r="HA96" s="54"/>
      <c r="HB96" s="54"/>
      <c r="HC96" s="54"/>
      <c r="HD96" s="54"/>
      <c r="HE96" s="54"/>
      <c r="HF96" s="54"/>
      <c r="HG96" s="54"/>
      <c r="HH96" s="54"/>
      <c r="HI96" s="54"/>
      <c r="HJ96" s="54"/>
      <c r="HK96" s="54"/>
      <c r="HL96" s="54"/>
      <c r="HM96" s="54"/>
      <c r="HN96" s="54"/>
      <c r="HO96" s="54"/>
      <c r="HP96" s="54"/>
      <c r="HQ96" s="54"/>
      <c r="HR96" s="54"/>
      <c r="HS96" s="54"/>
      <c r="HT96" s="54"/>
      <c r="HU96" s="54"/>
      <c r="HV96" s="54"/>
      <c r="HW96" s="54"/>
      <c r="HX96" s="54"/>
      <c r="HY96" s="54"/>
      <c r="HZ96" s="54"/>
      <c r="IA96" s="54"/>
      <c r="IB96" s="54"/>
      <c r="IC96" s="54"/>
      <c r="ID96" s="54"/>
      <c r="IE96" s="54"/>
      <c r="IF96" s="54"/>
      <c r="IG96" s="54"/>
      <c r="IH96" s="54"/>
      <c r="II96" s="54"/>
      <c r="IJ96" s="54"/>
      <c r="IK96" s="54"/>
      <c r="IL96" s="54"/>
      <c r="IM96" s="54"/>
      <c r="IN96" s="54"/>
      <c r="IO96" s="54"/>
      <c r="IP96" s="54"/>
      <c r="IQ96" s="54"/>
      <c r="IR96" s="54"/>
      <c r="IS96" s="54"/>
      <c r="IT96" s="54"/>
      <c r="IU96" s="54"/>
      <c r="IV96" s="54"/>
      <c r="IW96" s="54"/>
      <c r="IX96" s="54"/>
      <c r="IY96" s="54"/>
      <c r="IZ96" s="54"/>
      <c r="JA96" s="54"/>
      <c r="JB96" s="54"/>
      <c r="JC96" s="54"/>
      <c r="JD96" s="54"/>
      <c r="JE96" s="54"/>
      <c r="JF96" s="54"/>
      <c r="JG96" s="54"/>
      <c r="JH96" s="54"/>
      <c r="JI96" s="54"/>
      <c r="JJ96" s="54"/>
      <c r="JK96" s="54"/>
      <c r="JL96" s="54"/>
      <c r="JM96" s="54"/>
      <c r="JN96" s="54"/>
      <c r="JO96" s="54"/>
      <c r="JP96" s="54"/>
      <c r="JQ96" s="54"/>
      <c r="JR96" s="54"/>
      <c r="JS96" s="54"/>
      <c r="JT96" s="54"/>
      <c r="JU96" s="54"/>
      <c r="JV96" s="54"/>
      <c r="JW96" s="54"/>
      <c r="JX96" s="54"/>
      <c r="JY96" s="54"/>
      <c r="JZ96" s="54"/>
      <c r="KA96" s="54"/>
      <c r="KB96" s="54"/>
      <c r="KC96" s="54"/>
      <c r="KD96" s="54"/>
      <c r="KE96" s="54"/>
      <c r="KF96" s="54"/>
      <c r="KG96" s="54"/>
      <c r="KH96" s="54"/>
      <c r="KI96" s="54"/>
      <c r="KJ96" s="54"/>
      <c r="KK96" s="54"/>
      <c r="KL96" s="54"/>
      <c r="KM96" s="54"/>
      <c r="KN96" s="54"/>
      <c r="KO96" s="54"/>
      <c r="KP96" s="54"/>
      <c r="KQ96" s="54"/>
      <c r="KR96" s="54"/>
      <c r="KS96" s="54"/>
      <c r="KT96" s="54"/>
      <c r="KU96" s="54"/>
      <c r="KV96" s="54"/>
      <c r="KW96" s="54"/>
      <c r="KX96" s="54"/>
    </row>
    <row r="97" ht="5.2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c r="BS97" s="54"/>
      <c r="BT97" s="54"/>
      <c r="BU97" s="54"/>
      <c r="BV97" s="54"/>
      <c r="BW97" s="108"/>
      <c r="BX97" s="60"/>
      <c r="DA97" s="11"/>
      <c r="DB97" s="10"/>
      <c r="EE97" s="61"/>
      <c r="EF97" s="108"/>
      <c r="EG97" s="54"/>
      <c r="EH97" s="54"/>
      <c r="EI97" s="108"/>
      <c r="EJ97" s="60"/>
      <c r="FM97" s="11"/>
      <c r="FN97" s="10"/>
      <c r="GQ97" s="61"/>
      <c r="GR97" s="108"/>
      <c r="GS97" s="54"/>
      <c r="GT97" s="54"/>
      <c r="GU97" s="54"/>
      <c r="GV97" s="54"/>
      <c r="GW97" s="54"/>
      <c r="GX97" s="54"/>
      <c r="GY97" s="54"/>
      <c r="GZ97" s="54"/>
      <c r="HA97" s="54"/>
      <c r="HB97" s="54"/>
      <c r="HC97" s="54"/>
      <c r="HD97" s="54"/>
      <c r="HE97" s="54"/>
      <c r="HF97" s="54"/>
      <c r="HG97" s="54"/>
      <c r="HH97" s="54"/>
      <c r="HI97" s="54"/>
      <c r="HJ97" s="54"/>
      <c r="HK97" s="54"/>
      <c r="HL97" s="54"/>
      <c r="HM97" s="54"/>
      <c r="HN97" s="54"/>
      <c r="HO97" s="54"/>
      <c r="HP97" s="54"/>
      <c r="HQ97" s="54"/>
      <c r="HR97" s="54"/>
      <c r="HS97" s="54"/>
      <c r="HT97" s="54"/>
      <c r="HU97" s="54"/>
      <c r="HV97" s="54"/>
      <c r="HW97" s="54"/>
      <c r="HX97" s="54"/>
      <c r="HY97" s="54"/>
      <c r="HZ97" s="54"/>
      <c r="IA97" s="54"/>
      <c r="IB97" s="54"/>
      <c r="IC97" s="54"/>
      <c r="ID97" s="54"/>
      <c r="IE97" s="54"/>
      <c r="IF97" s="54"/>
      <c r="IG97" s="54"/>
      <c r="IH97" s="54"/>
      <c r="II97" s="54"/>
      <c r="IJ97" s="54"/>
      <c r="IK97" s="54"/>
      <c r="IL97" s="54"/>
      <c r="IM97" s="54"/>
      <c r="IN97" s="54"/>
      <c r="IO97" s="54"/>
      <c r="IP97" s="54"/>
      <c r="IQ97" s="54"/>
      <c r="IR97" s="54"/>
      <c r="IS97" s="54"/>
      <c r="IT97" s="54"/>
      <c r="IU97" s="54"/>
      <c r="IV97" s="54"/>
      <c r="IW97" s="54"/>
      <c r="IX97" s="54"/>
      <c r="IY97" s="54"/>
      <c r="IZ97" s="54"/>
      <c r="JA97" s="54"/>
      <c r="JB97" s="54"/>
      <c r="JC97" s="54"/>
      <c r="JD97" s="54"/>
      <c r="JE97" s="54"/>
      <c r="JF97" s="54"/>
      <c r="JG97" s="54"/>
      <c r="JH97" s="54"/>
      <c r="JI97" s="54"/>
      <c r="JJ97" s="54"/>
      <c r="JK97" s="54"/>
      <c r="JL97" s="54"/>
      <c r="JM97" s="54"/>
      <c r="JN97" s="54"/>
      <c r="JO97" s="54"/>
      <c r="JP97" s="54"/>
      <c r="JQ97" s="54"/>
      <c r="JR97" s="54"/>
      <c r="JS97" s="54"/>
      <c r="JT97" s="54"/>
      <c r="JU97" s="54"/>
      <c r="JV97" s="54"/>
      <c r="JW97" s="54"/>
      <c r="JX97" s="54"/>
      <c r="JY97" s="54"/>
      <c r="JZ97" s="54"/>
      <c r="KA97" s="54"/>
      <c r="KB97" s="54"/>
      <c r="KC97" s="54"/>
      <c r="KD97" s="54"/>
      <c r="KE97" s="54"/>
      <c r="KF97" s="54"/>
      <c r="KG97" s="54"/>
      <c r="KH97" s="54"/>
      <c r="KI97" s="54"/>
      <c r="KJ97" s="54"/>
      <c r="KK97" s="54"/>
      <c r="KL97" s="54"/>
      <c r="KM97" s="54"/>
      <c r="KN97" s="54"/>
      <c r="KO97" s="54"/>
      <c r="KP97" s="54"/>
      <c r="KQ97" s="54"/>
      <c r="KR97" s="54"/>
      <c r="KS97" s="54"/>
      <c r="KT97" s="54"/>
      <c r="KU97" s="54"/>
      <c r="KV97" s="54"/>
      <c r="KW97" s="54"/>
      <c r="KX97" s="54"/>
    </row>
    <row r="98" ht="5.2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c r="BS98" s="54"/>
      <c r="BT98" s="54"/>
      <c r="BU98" s="54"/>
      <c r="BV98" s="54"/>
      <c r="BW98" s="108"/>
      <c r="BX98" s="60"/>
      <c r="DA98" s="11"/>
      <c r="DB98" s="10"/>
      <c r="EE98" s="61"/>
      <c r="EF98" s="108"/>
      <c r="EG98" s="54"/>
      <c r="EH98" s="54"/>
      <c r="EI98" s="108"/>
      <c r="EJ98" s="60"/>
      <c r="FM98" s="11"/>
      <c r="FN98" s="10"/>
      <c r="GQ98" s="61"/>
      <c r="GR98" s="108"/>
      <c r="GS98" s="54"/>
      <c r="GT98" s="54"/>
      <c r="GU98" s="54"/>
      <c r="GV98" s="54"/>
      <c r="GW98" s="54"/>
      <c r="GX98" s="54"/>
      <c r="GY98" s="54"/>
      <c r="GZ98" s="54"/>
      <c r="HA98" s="54"/>
      <c r="HB98" s="54"/>
      <c r="HC98" s="54"/>
      <c r="HD98" s="54"/>
      <c r="HE98" s="54"/>
      <c r="HF98" s="54"/>
      <c r="HG98" s="54"/>
      <c r="HH98" s="54"/>
      <c r="HI98" s="54"/>
      <c r="HJ98" s="54"/>
      <c r="HK98" s="54"/>
      <c r="HL98" s="54"/>
      <c r="HM98" s="54"/>
      <c r="HN98" s="54"/>
      <c r="HO98" s="54"/>
      <c r="HP98" s="54"/>
      <c r="HQ98" s="54"/>
      <c r="HR98" s="54"/>
      <c r="HS98" s="54"/>
      <c r="HT98" s="54"/>
      <c r="HU98" s="54"/>
      <c r="HV98" s="54"/>
      <c r="HW98" s="54"/>
      <c r="HX98" s="54"/>
      <c r="HY98" s="54"/>
      <c r="HZ98" s="54"/>
      <c r="IA98" s="54"/>
      <c r="IB98" s="54"/>
      <c r="IC98" s="54"/>
      <c r="ID98" s="54"/>
      <c r="IE98" s="54"/>
      <c r="IF98" s="54"/>
      <c r="IG98" s="54"/>
      <c r="IH98" s="54"/>
      <c r="II98" s="54"/>
      <c r="IJ98" s="54"/>
      <c r="IK98" s="54"/>
      <c r="IL98" s="54"/>
      <c r="IM98" s="54"/>
      <c r="IN98" s="54"/>
      <c r="IO98" s="54"/>
      <c r="IP98" s="54"/>
      <c r="IQ98" s="54"/>
      <c r="IR98" s="54"/>
      <c r="IS98" s="54"/>
      <c r="IT98" s="54"/>
      <c r="IU98" s="54"/>
      <c r="IV98" s="54"/>
      <c r="IW98" s="54"/>
      <c r="IX98" s="54"/>
      <c r="IY98" s="54"/>
      <c r="IZ98" s="54"/>
      <c r="JA98" s="54"/>
      <c r="JB98" s="54"/>
      <c r="JC98" s="54"/>
      <c r="JD98" s="54"/>
      <c r="JE98" s="54"/>
      <c r="JF98" s="54"/>
      <c r="JG98" s="54"/>
      <c r="JH98" s="54"/>
      <c r="JI98" s="54"/>
      <c r="JJ98" s="54"/>
      <c r="JK98" s="54"/>
      <c r="JL98" s="54"/>
      <c r="JM98" s="54"/>
      <c r="JN98" s="54"/>
      <c r="JO98" s="54"/>
      <c r="JP98" s="54"/>
      <c r="JQ98" s="54"/>
      <c r="JR98" s="54"/>
      <c r="JS98" s="54"/>
      <c r="JT98" s="54"/>
      <c r="JU98" s="54"/>
      <c r="JV98" s="54"/>
      <c r="JW98" s="54"/>
      <c r="JX98" s="54"/>
      <c r="JY98" s="54"/>
      <c r="JZ98" s="54"/>
      <c r="KA98" s="54"/>
      <c r="KB98" s="54"/>
      <c r="KC98" s="54"/>
      <c r="KD98" s="54"/>
      <c r="KE98" s="54"/>
      <c r="KF98" s="54"/>
      <c r="KG98" s="54"/>
      <c r="KH98" s="54"/>
      <c r="KI98" s="54"/>
      <c r="KJ98" s="54"/>
      <c r="KK98" s="54"/>
      <c r="KL98" s="54"/>
      <c r="KM98" s="54"/>
      <c r="KN98" s="54"/>
      <c r="KO98" s="54"/>
      <c r="KP98" s="54"/>
      <c r="KQ98" s="54"/>
      <c r="KR98" s="54"/>
      <c r="KS98" s="54"/>
      <c r="KT98" s="54"/>
      <c r="KU98" s="54"/>
      <c r="KV98" s="54"/>
      <c r="KW98" s="54"/>
      <c r="KX98" s="54"/>
    </row>
    <row r="99" ht="5.2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c r="BU99" s="54"/>
      <c r="BV99" s="54"/>
      <c r="BW99" s="108"/>
      <c r="BX99" s="60"/>
      <c r="DA99" s="11"/>
      <c r="DB99" s="10"/>
      <c r="EE99" s="61"/>
      <c r="EF99" s="108"/>
      <c r="EG99" s="54"/>
      <c r="EH99" s="54"/>
      <c r="EI99" s="108"/>
      <c r="EJ99" s="60"/>
      <c r="FM99" s="11"/>
      <c r="FN99" s="10"/>
      <c r="GQ99" s="61"/>
      <c r="GR99" s="108"/>
      <c r="GS99" s="54"/>
      <c r="GT99" s="54"/>
      <c r="GU99" s="54"/>
      <c r="GV99" s="54"/>
      <c r="GW99" s="54"/>
      <c r="GX99" s="54"/>
      <c r="GY99" s="54"/>
      <c r="GZ99" s="54"/>
      <c r="HA99" s="54"/>
      <c r="HB99" s="54"/>
      <c r="HC99" s="54"/>
      <c r="HD99" s="54"/>
      <c r="HE99" s="54"/>
      <c r="HF99" s="54"/>
      <c r="HG99" s="54"/>
      <c r="HH99" s="54"/>
      <c r="HI99" s="54"/>
      <c r="HJ99" s="54"/>
      <c r="HK99" s="54"/>
      <c r="HL99" s="54"/>
      <c r="HM99" s="54"/>
      <c r="HN99" s="54"/>
      <c r="HO99" s="54"/>
      <c r="HP99" s="54"/>
      <c r="HQ99" s="54"/>
      <c r="HR99" s="54"/>
      <c r="HS99" s="54"/>
      <c r="HT99" s="54"/>
      <c r="HU99" s="54"/>
      <c r="HV99" s="54"/>
      <c r="HW99" s="54"/>
      <c r="HX99" s="54"/>
      <c r="HY99" s="54"/>
      <c r="HZ99" s="54"/>
      <c r="IA99" s="54"/>
      <c r="IB99" s="54"/>
      <c r="IC99" s="54"/>
      <c r="ID99" s="54"/>
      <c r="IE99" s="54"/>
      <c r="IF99" s="54"/>
      <c r="IG99" s="54"/>
      <c r="IH99" s="54"/>
      <c r="II99" s="54"/>
      <c r="IJ99" s="54"/>
      <c r="IK99" s="54"/>
      <c r="IL99" s="54"/>
      <c r="IM99" s="54"/>
      <c r="IN99" s="54"/>
      <c r="IO99" s="54"/>
      <c r="IP99" s="54"/>
      <c r="IQ99" s="54"/>
      <c r="IR99" s="54"/>
      <c r="IS99" s="54"/>
      <c r="IT99" s="54"/>
      <c r="IU99" s="54"/>
      <c r="IV99" s="54"/>
      <c r="IW99" s="54"/>
      <c r="IX99" s="54"/>
      <c r="IY99" s="54"/>
      <c r="IZ99" s="54"/>
      <c r="JA99" s="54"/>
      <c r="JB99" s="54"/>
      <c r="JC99" s="54"/>
      <c r="JD99" s="54"/>
      <c r="JE99" s="54"/>
      <c r="JF99" s="54"/>
      <c r="JG99" s="54"/>
      <c r="JH99" s="54"/>
      <c r="JI99" s="54"/>
      <c r="JJ99" s="54"/>
      <c r="JK99" s="54"/>
      <c r="JL99" s="54"/>
      <c r="JM99" s="54"/>
      <c r="JN99" s="54"/>
      <c r="JO99" s="54"/>
      <c r="JP99" s="54"/>
      <c r="JQ99" s="54"/>
      <c r="JR99" s="54"/>
      <c r="JS99" s="54"/>
      <c r="JT99" s="54"/>
      <c r="JU99" s="54"/>
      <c r="JV99" s="54"/>
      <c r="JW99" s="54"/>
      <c r="JX99" s="54"/>
      <c r="JY99" s="54"/>
      <c r="JZ99" s="54"/>
      <c r="KA99" s="54"/>
      <c r="KB99" s="54"/>
      <c r="KC99" s="54"/>
      <c r="KD99" s="54"/>
      <c r="KE99" s="54"/>
      <c r="KF99" s="54"/>
      <c r="KG99" s="54"/>
      <c r="KH99" s="54"/>
      <c r="KI99" s="54"/>
      <c r="KJ99" s="54"/>
      <c r="KK99" s="54"/>
      <c r="KL99" s="54"/>
      <c r="KM99" s="54"/>
      <c r="KN99" s="54"/>
      <c r="KO99" s="54"/>
      <c r="KP99" s="54"/>
      <c r="KQ99" s="54"/>
      <c r="KR99" s="54"/>
      <c r="KS99" s="54"/>
      <c r="KT99" s="54"/>
      <c r="KU99" s="54"/>
      <c r="KV99" s="54"/>
      <c r="KW99" s="54"/>
      <c r="KX99" s="54"/>
    </row>
    <row r="100" ht="5.2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c r="BS100" s="54"/>
      <c r="BT100" s="54"/>
      <c r="BU100" s="54"/>
      <c r="BV100" s="54"/>
      <c r="BW100" s="119" t="str">
        <f>BW96</f>
        <v/>
      </c>
      <c r="BX100" s="112"/>
      <c r="CF100" s="122"/>
      <c r="CH100" s="11"/>
      <c r="CI100" s="127"/>
      <c r="CK100" s="11"/>
      <c r="CL100" s="132"/>
      <c r="CO100" s="108"/>
      <c r="CX100" s="85">
        <f>sum(CF100:CN102)</f>
        <v>0</v>
      </c>
      <c r="DA100" s="11"/>
      <c r="DB100" s="86">
        <f>sum(DO100:DW102)</f>
        <v>0</v>
      </c>
      <c r="DF100" s="108"/>
      <c r="DG100" s="108"/>
      <c r="DH100" s="108"/>
      <c r="DI100" s="108"/>
      <c r="DJ100" s="108"/>
      <c r="DK100" s="108"/>
      <c r="DL100" s="108"/>
      <c r="DM100" s="108"/>
      <c r="DN100" s="108"/>
      <c r="DO100" s="133"/>
      <c r="DQ100" s="11"/>
      <c r="DR100" s="126"/>
      <c r="DT100" s="11"/>
      <c r="DU100" s="127"/>
      <c r="DX100" s="108"/>
      <c r="DY100" s="108"/>
      <c r="DZ100" s="108"/>
      <c r="EA100" s="108"/>
      <c r="EB100" s="108"/>
      <c r="EC100" s="108"/>
      <c r="ED100" s="108"/>
      <c r="EE100" s="116"/>
      <c r="EF100" s="119" t="str">
        <f>EF96</f>
        <v/>
      </c>
      <c r="EG100" s="54"/>
      <c r="EH100" s="54"/>
      <c r="EI100" s="119" t="str">
        <f>EI96</f>
        <v/>
      </c>
      <c r="EJ100" s="112"/>
      <c r="ER100" s="122"/>
      <c r="ET100" s="11"/>
      <c r="EU100" s="127"/>
      <c r="EW100" s="11"/>
      <c r="EX100" s="126"/>
      <c r="FA100" s="108"/>
      <c r="FJ100" s="85">
        <f>sum(ER100:EZ102)</f>
        <v>0</v>
      </c>
      <c r="FM100" s="11"/>
      <c r="FN100" s="86">
        <f>sum(GA100:GI102)</f>
        <v>0</v>
      </c>
      <c r="FR100" s="108"/>
      <c r="FS100" s="108"/>
      <c r="FT100" s="108"/>
      <c r="FU100" s="108"/>
      <c r="FV100" s="108"/>
      <c r="FW100" s="108"/>
      <c r="FX100" s="108"/>
      <c r="FY100" s="108"/>
      <c r="FZ100" s="108"/>
      <c r="GA100" s="134"/>
      <c r="GC100" s="11"/>
      <c r="GD100" s="126"/>
      <c r="GF100" s="11"/>
      <c r="GG100" s="123"/>
      <c r="GJ100" s="108"/>
      <c r="GK100" s="108"/>
      <c r="GL100" s="108"/>
      <c r="GM100" s="108"/>
      <c r="GN100" s="108"/>
      <c r="GO100" s="108"/>
      <c r="GP100" s="108"/>
      <c r="GQ100" s="116"/>
      <c r="GR100" s="119" t="str">
        <f>GR96</f>
        <v/>
      </c>
      <c r="GS100" s="54"/>
      <c r="GT100" s="54"/>
      <c r="GU100" s="54"/>
      <c r="GV100" s="54"/>
      <c r="GW100" s="54"/>
      <c r="GX100" s="54"/>
      <c r="GY100" s="54"/>
      <c r="GZ100" s="54"/>
      <c r="HA100" s="54"/>
      <c r="HB100" s="54"/>
      <c r="HC100" s="54"/>
      <c r="HD100" s="54"/>
      <c r="HE100" s="54"/>
      <c r="HF100" s="54"/>
      <c r="HG100" s="54"/>
      <c r="HH100" s="54"/>
      <c r="HI100" s="54"/>
      <c r="HJ100" s="54"/>
      <c r="HK100" s="54"/>
      <c r="HL100" s="54"/>
      <c r="HM100" s="54"/>
      <c r="HN100" s="54"/>
      <c r="HO100" s="54"/>
      <c r="HP100" s="54"/>
      <c r="HQ100" s="54"/>
      <c r="HR100" s="54"/>
      <c r="HS100" s="54"/>
      <c r="HT100" s="54"/>
      <c r="HU100" s="54"/>
      <c r="HV100" s="54"/>
      <c r="HW100" s="54"/>
      <c r="HX100" s="54"/>
      <c r="HY100" s="54"/>
      <c r="HZ100" s="54"/>
      <c r="IA100" s="54"/>
      <c r="IB100" s="54"/>
      <c r="IC100" s="54"/>
      <c r="ID100" s="54"/>
      <c r="IE100" s="54"/>
      <c r="IF100" s="54"/>
      <c r="IG100" s="54"/>
      <c r="IH100" s="54"/>
      <c r="II100" s="54"/>
      <c r="IJ100" s="54"/>
      <c r="IK100" s="54"/>
      <c r="IL100" s="54"/>
      <c r="IM100" s="54"/>
      <c r="IN100" s="54"/>
      <c r="IO100" s="54"/>
      <c r="IP100" s="54"/>
      <c r="IQ100" s="54"/>
      <c r="IR100" s="54"/>
      <c r="IS100" s="54"/>
      <c r="IT100" s="54"/>
      <c r="IU100" s="54"/>
      <c r="IV100" s="54"/>
      <c r="IW100" s="54"/>
      <c r="IX100" s="54"/>
      <c r="IY100" s="54"/>
      <c r="IZ100" s="54"/>
      <c r="JA100" s="54"/>
      <c r="JB100" s="54"/>
      <c r="JC100" s="54"/>
      <c r="JD100" s="54"/>
      <c r="JE100" s="54"/>
      <c r="JF100" s="54"/>
      <c r="JG100" s="54"/>
      <c r="JH100" s="54"/>
      <c r="JI100" s="54"/>
      <c r="JJ100" s="54"/>
      <c r="JK100" s="54"/>
      <c r="JL100" s="54"/>
      <c r="JM100" s="54"/>
      <c r="JN100" s="54"/>
      <c r="JO100" s="54"/>
      <c r="JP100" s="54"/>
      <c r="JQ100" s="54"/>
      <c r="JR100" s="54"/>
      <c r="JS100" s="54"/>
      <c r="JT100" s="54"/>
      <c r="JU100" s="54"/>
      <c r="JV100" s="54"/>
      <c r="JW100" s="54"/>
      <c r="JX100" s="54"/>
      <c r="JY100" s="54"/>
      <c r="JZ100" s="54"/>
      <c r="KA100" s="54"/>
      <c r="KB100" s="54"/>
      <c r="KC100" s="54"/>
      <c r="KD100" s="54"/>
      <c r="KE100" s="54"/>
      <c r="KF100" s="54"/>
      <c r="KG100" s="54"/>
      <c r="KH100" s="54"/>
      <c r="KI100" s="54"/>
      <c r="KJ100" s="54"/>
      <c r="KK100" s="54"/>
      <c r="KL100" s="54"/>
      <c r="KM100" s="54"/>
      <c r="KN100" s="54"/>
      <c r="KO100" s="54"/>
      <c r="KP100" s="54"/>
      <c r="KQ100" s="54"/>
      <c r="KR100" s="54"/>
      <c r="KS100" s="54"/>
      <c r="KT100" s="54"/>
      <c r="KU100" s="54"/>
      <c r="KV100" s="54"/>
      <c r="KW100" s="54"/>
      <c r="KX100" s="54"/>
    </row>
    <row r="101" ht="5.2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c r="BS101" s="54"/>
      <c r="BT101" s="54"/>
      <c r="BU101" s="54"/>
      <c r="BV101" s="54"/>
      <c r="BW101" s="108"/>
      <c r="BX101" s="60"/>
      <c r="CH101" s="11"/>
      <c r="CI101" s="10"/>
      <c r="CK101" s="11"/>
      <c r="CL101" s="10"/>
      <c r="DA101" s="11"/>
      <c r="DB101" s="10"/>
      <c r="DF101" s="108"/>
      <c r="DG101" s="108"/>
      <c r="DH101" s="108"/>
      <c r="DI101" s="108"/>
      <c r="DJ101" s="108"/>
      <c r="DK101" s="108"/>
      <c r="DL101" s="108"/>
      <c r="DM101" s="108"/>
      <c r="DN101" s="108"/>
      <c r="DQ101" s="11"/>
      <c r="DR101" s="10"/>
      <c r="DT101" s="11"/>
      <c r="DU101" s="10"/>
      <c r="DX101" s="108"/>
      <c r="DY101" s="108"/>
      <c r="DZ101" s="108"/>
      <c r="EA101" s="108"/>
      <c r="EB101" s="108"/>
      <c r="EC101" s="108"/>
      <c r="ED101" s="108"/>
      <c r="EE101" s="116"/>
      <c r="EF101" s="108"/>
      <c r="EG101" s="54"/>
      <c r="EH101" s="54"/>
      <c r="EI101" s="108"/>
      <c r="EJ101" s="60"/>
      <c r="ET101" s="11"/>
      <c r="EU101" s="10"/>
      <c r="EW101" s="11"/>
      <c r="EX101" s="10"/>
      <c r="FM101" s="11"/>
      <c r="FN101" s="10"/>
      <c r="FR101" s="108"/>
      <c r="FS101" s="108"/>
      <c r="FT101" s="108"/>
      <c r="FU101" s="108"/>
      <c r="FV101" s="108"/>
      <c r="FW101" s="108"/>
      <c r="FX101" s="108"/>
      <c r="FY101" s="108"/>
      <c r="FZ101" s="108"/>
      <c r="GC101" s="11"/>
      <c r="GD101" s="10"/>
      <c r="GF101" s="11"/>
      <c r="GG101" s="10"/>
      <c r="GJ101" s="108"/>
      <c r="GK101" s="108"/>
      <c r="GL101" s="108"/>
      <c r="GM101" s="108"/>
      <c r="GN101" s="108"/>
      <c r="GO101" s="108"/>
      <c r="GP101" s="108"/>
      <c r="GQ101" s="116"/>
      <c r="GR101" s="108"/>
      <c r="GS101" s="54"/>
      <c r="GT101" s="54"/>
      <c r="GU101" s="54"/>
      <c r="GV101" s="54"/>
      <c r="GW101" s="54"/>
      <c r="GX101" s="54"/>
      <c r="GY101" s="54"/>
      <c r="GZ101" s="54"/>
      <c r="HA101" s="54"/>
      <c r="HB101" s="54"/>
      <c r="HC101" s="54"/>
      <c r="HD101" s="54"/>
      <c r="HE101" s="54"/>
      <c r="HF101" s="54"/>
      <c r="HG101" s="54"/>
      <c r="HH101" s="54"/>
      <c r="HI101" s="54"/>
      <c r="HJ101" s="54"/>
      <c r="HK101" s="54"/>
      <c r="HL101" s="54"/>
      <c r="HM101" s="54"/>
      <c r="HN101" s="54"/>
      <c r="HO101" s="54"/>
      <c r="HP101" s="54"/>
      <c r="HQ101" s="54"/>
      <c r="HR101" s="54"/>
      <c r="HS101" s="54"/>
      <c r="HT101" s="54"/>
      <c r="HU101" s="54"/>
      <c r="HV101" s="54"/>
      <c r="HW101" s="54"/>
      <c r="HX101" s="54"/>
      <c r="HY101" s="54"/>
      <c r="HZ101" s="54"/>
      <c r="IA101" s="54"/>
      <c r="IB101" s="54"/>
      <c r="IC101" s="54"/>
      <c r="ID101" s="54"/>
      <c r="IE101" s="54"/>
      <c r="IF101" s="54"/>
      <c r="IG101" s="54"/>
      <c r="IH101" s="54"/>
      <c r="II101" s="54"/>
      <c r="IJ101" s="54"/>
      <c r="IK101" s="54"/>
      <c r="IL101" s="54"/>
      <c r="IM101" s="54"/>
      <c r="IN101" s="54"/>
      <c r="IO101" s="54"/>
      <c r="IP101" s="54"/>
      <c r="IQ101" s="54"/>
      <c r="IR101" s="54"/>
      <c r="IS101" s="54"/>
      <c r="IT101" s="54"/>
      <c r="IU101" s="54"/>
      <c r="IV101" s="54"/>
      <c r="IW101" s="54"/>
      <c r="IX101" s="54"/>
      <c r="IY101" s="54"/>
      <c r="IZ101" s="54"/>
      <c r="JA101" s="54"/>
      <c r="JB101" s="54"/>
      <c r="JC101" s="54"/>
      <c r="JD101" s="54"/>
      <c r="JE101" s="54"/>
      <c r="JF101" s="54"/>
      <c r="JG101" s="54"/>
      <c r="JH101" s="54"/>
      <c r="JI101" s="54"/>
      <c r="JJ101" s="54"/>
      <c r="JK101" s="54"/>
      <c r="JL101" s="54"/>
      <c r="JM101" s="54"/>
      <c r="JN101" s="54"/>
      <c r="JO101" s="54"/>
      <c r="JP101" s="54"/>
      <c r="JQ101" s="54"/>
      <c r="JR101" s="54"/>
      <c r="JS101" s="54"/>
      <c r="JT101" s="54"/>
      <c r="JU101" s="54"/>
      <c r="JV101" s="54"/>
      <c r="JW101" s="54"/>
      <c r="JX101" s="54"/>
      <c r="JY101" s="54"/>
      <c r="JZ101" s="54"/>
      <c r="KA101" s="54"/>
      <c r="KB101" s="54"/>
      <c r="KC101" s="54"/>
      <c r="KD101" s="54"/>
      <c r="KE101" s="54"/>
      <c r="KF101" s="54"/>
      <c r="KG101" s="54"/>
      <c r="KH101" s="54"/>
      <c r="KI101" s="54"/>
      <c r="KJ101" s="54"/>
      <c r="KK101" s="54"/>
      <c r="KL101" s="54"/>
      <c r="KM101" s="54"/>
      <c r="KN101" s="54"/>
      <c r="KO101" s="54"/>
      <c r="KP101" s="54"/>
      <c r="KQ101" s="54"/>
      <c r="KR101" s="54"/>
      <c r="KS101" s="54"/>
      <c r="KT101" s="54"/>
      <c r="KU101" s="54"/>
      <c r="KV101" s="54"/>
      <c r="KW101" s="54"/>
      <c r="KX101" s="54"/>
    </row>
    <row r="102" ht="5.2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c r="BS102" s="54"/>
      <c r="BT102" s="54"/>
      <c r="BU102" s="54"/>
      <c r="BV102" s="54"/>
      <c r="BW102" s="108"/>
      <c r="BX102" s="88"/>
      <c r="BY102" s="13"/>
      <c r="BZ102" s="13"/>
      <c r="CA102" s="13"/>
      <c r="CB102" s="13"/>
      <c r="CC102" s="13"/>
      <c r="CD102" s="13"/>
      <c r="CE102" s="13"/>
      <c r="CF102" s="13"/>
      <c r="CG102" s="13"/>
      <c r="CH102" s="14"/>
      <c r="CI102" s="12"/>
      <c r="CJ102" s="13"/>
      <c r="CK102" s="14"/>
      <c r="CL102" s="12"/>
      <c r="CM102" s="13"/>
      <c r="CN102" s="13"/>
      <c r="CO102" s="13"/>
      <c r="CP102" s="13"/>
      <c r="CQ102" s="13"/>
      <c r="CR102" s="13"/>
      <c r="CS102" s="13"/>
      <c r="CT102" s="13"/>
      <c r="CU102" s="13"/>
      <c r="CV102" s="13"/>
      <c r="CW102" s="13"/>
      <c r="CX102" s="13"/>
      <c r="CY102" s="13"/>
      <c r="CZ102" s="13"/>
      <c r="DA102" s="14"/>
      <c r="DB102" s="12"/>
      <c r="DC102" s="13"/>
      <c r="DD102" s="13"/>
      <c r="DE102" s="13"/>
      <c r="DF102" s="128"/>
      <c r="DG102" s="128"/>
      <c r="DH102" s="128"/>
      <c r="DI102" s="128"/>
      <c r="DJ102" s="128"/>
      <c r="DK102" s="128"/>
      <c r="DL102" s="128"/>
      <c r="DM102" s="128"/>
      <c r="DN102" s="128"/>
      <c r="DO102" s="13"/>
      <c r="DP102" s="13"/>
      <c r="DQ102" s="14"/>
      <c r="DR102" s="12"/>
      <c r="DS102" s="13"/>
      <c r="DT102" s="14"/>
      <c r="DU102" s="12"/>
      <c r="DV102" s="13"/>
      <c r="DW102" s="13"/>
      <c r="DX102" s="128"/>
      <c r="DY102" s="128"/>
      <c r="DZ102" s="128"/>
      <c r="EA102" s="128"/>
      <c r="EB102" s="128"/>
      <c r="EC102" s="128"/>
      <c r="ED102" s="128"/>
      <c r="EE102" s="129"/>
      <c r="EF102" s="108"/>
      <c r="EG102" s="54"/>
      <c r="EH102" s="54"/>
      <c r="EI102" s="108"/>
      <c r="EJ102" s="88"/>
      <c r="EK102" s="13"/>
      <c r="EL102" s="13"/>
      <c r="EM102" s="13"/>
      <c r="EN102" s="13"/>
      <c r="EO102" s="13"/>
      <c r="EP102" s="13"/>
      <c r="EQ102" s="13"/>
      <c r="ER102" s="13"/>
      <c r="ES102" s="13"/>
      <c r="ET102" s="14"/>
      <c r="EU102" s="12"/>
      <c r="EV102" s="13"/>
      <c r="EW102" s="14"/>
      <c r="EX102" s="12"/>
      <c r="EY102" s="13"/>
      <c r="EZ102" s="13"/>
      <c r="FA102" s="13"/>
      <c r="FB102" s="13"/>
      <c r="FC102" s="13"/>
      <c r="FD102" s="13"/>
      <c r="FE102" s="13"/>
      <c r="FF102" s="13"/>
      <c r="FG102" s="13"/>
      <c r="FH102" s="13"/>
      <c r="FI102" s="13"/>
      <c r="FJ102" s="13"/>
      <c r="FK102" s="13"/>
      <c r="FL102" s="13"/>
      <c r="FM102" s="14"/>
      <c r="FN102" s="12"/>
      <c r="FO102" s="13"/>
      <c r="FP102" s="13"/>
      <c r="FQ102" s="13"/>
      <c r="FR102" s="128"/>
      <c r="FS102" s="128"/>
      <c r="FT102" s="128"/>
      <c r="FU102" s="128"/>
      <c r="FV102" s="128"/>
      <c r="FW102" s="128"/>
      <c r="FX102" s="128"/>
      <c r="FY102" s="128"/>
      <c r="FZ102" s="128"/>
      <c r="GA102" s="13"/>
      <c r="GB102" s="13"/>
      <c r="GC102" s="14"/>
      <c r="GD102" s="12"/>
      <c r="GE102" s="13"/>
      <c r="GF102" s="14"/>
      <c r="GG102" s="12"/>
      <c r="GH102" s="13"/>
      <c r="GI102" s="13"/>
      <c r="GJ102" s="128"/>
      <c r="GK102" s="128"/>
      <c r="GL102" s="128"/>
      <c r="GM102" s="128"/>
      <c r="GN102" s="128"/>
      <c r="GO102" s="128"/>
      <c r="GP102" s="128"/>
      <c r="GQ102" s="129"/>
      <c r="GR102" s="108"/>
      <c r="GS102" s="54"/>
      <c r="GT102" s="54"/>
      <c r="GU102" s="54"/>
      <c r="GV102" s="54"/>
      <c r="GW102" s="54"/>
      <c r="GX102" s="54"/>
      <c r="GY102" s="54"/>
      <c r="GZ102" s="54"/>
      <c r="HA102" s="54"/>
      <c r="HB102" s="54"/>
      <c r="HC102" s="54"/>
      <c r="HD102" s="54"/>
      <c r="HE102" s="54"/>
      <c r="HF102" s="54"/>
      <c r="HG102" s="54"/>
      <c r="HH102" s="54"/>
      <c r="HI102" s="54"/>
      <c r="HJ102" s="54"/>
      <c r="HK102" s="54"/>
      <c r="HL102" s="54"/>
      <c r="HM102" s="54"/>
      <c r="HN102" s="54"/>
      <c r="HO102" s="54"/>
      <c r="HP102" s="54"/>
      <c r="HQ102" s="54"/>
      <c r="HR102" s="54"/>
      <c r="HS102" s="54"/>
      <c r="HT102" s="54"/>
      <c r="HU102" s="54"/>
      <c r="HV102" s="54"/>
      <c r="HW102" s="54"/>
      <c r="HX102" s="54"/>
      <c r="HY102" s="54"/>
      <c r="HZ102" s="54"/>
      <c r="IA102" s="54"/>
      <c r="IB102" s="54"/>
      <c r="IC102" s="54"/>
      <c r="ID102" s="54"/>
      <c r="IE102" s="54"/>
      <c r="IF102" s="54"/>
      <c r="IG102" s="54"/>
      <c r="IH102" s="54"/>
      <c r="II102" s="54"/>
      <c r="IJ102" s="54"/>
      <c r="IK102" s="54"/>
      <c r="IL102" s="54"/>
      <c r="IM102" s="54"/>
      <c r="IN102" s="54"/>
      <c r="IO102" s="54"/>
      <c r="IP102" s="54"/>
      <c r="IQ102" s="54"/>
      <c r="IR102" s="54"/>
      <c r="IS102" s="54"/>
      <c r="IT102" s="54"/>
      <c r="IU102" s="54"/>
      <c r="IV102" s="54"/>
      <c r="IW102" s="54"/>
      <c r="IX102" s="54"/>
      <c r="IY102" s="54"/>
      <c r="IZ102" s="54"/>
      <c r="JA102" s="54"/>
      <c r="JB102" s="54"/>
      <c r="JC102" s="54"/>
      <c r="JD102" s="54"/>
      <c r="JE102" s="54"/>
      <c r="JF102" s="54"/>
      <c r="JG102" s="54"/>
      <c r="JH102" s="54"/>
      <c r="JI102" s="54"/>
      <c r="JJ102" s="54"/>
      <c r="JK102" s="54"/>
      <c r="JL102" s="54"/>
      <c r="JM102" s="54"/>
      <c r="JN102" s="54"/>
      <c r="JO102" s="54"/>
      <c r="JP102" s="54"/>
      <c r="JQ102" s="54"/>
      <c r="JR102" s="54"/>
      <c r="JS102" s="54"/>
      <c r="JT102" s="54"/>
      <c r="JU102" s="54"/>
      <c r="JV102" s="54"/>
      <c r="JW102" s="54"/>
      <c r="JX102" s="54"/>
      <c r="JY102" s="54"/>
      <c r="JZ102" s="54"/>
      <c r="KA102" s="54"/>
      <c r="KB102" s="54"/>
      <c r="KC102" s="54"/>
      <c r="KD102" s="54"/>
      <c r="KE102" s="54"/>
      <c r="KF102" s="54"/>
      <c r="KG102" s="54"/>
      <c r="KH102" s="54"/>
      <c r="KI102" s="54"/>
      <c r="KJ102" s="54"/>
      <c r="KK102" s="54"/>
      <c r="KL102" s="54"/>
      <c r="KM102" s="54"/>
      <c r="KN102" s="54"/>
      <c r="KO102" s="54"/>
      <c r="KP102" s="54"/>
      <c r="KQ102" s="54"/>
      <c r="KR102" s="54"/>
      <c r="KS102" s="54"/>
      <c r="KT102" s="54"/>
      <c r="KU102" s="54"/>
      <c r="KV102" s="54"/>
      <c r="KW102" s="54"/>
      <c r="KX102" s="54"/>
    </row>
    <row r="103" ht="5.2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c r="BS103" s="54"/>
      <c r="BT103" s="54"/>
      <c r="BU103" s="54"/>
      <c r="BV103" s="54"/>
      <c r="BW103" s="119" t="str">
        <f>if($DD$6=0,"",reseeding!AC4)</f>
        <v/>
      </c>
      <c r="BX103" s="130" t="str">
        <f t="array" ref="BX103">xlookup(BW103,data!$M$2:$M$17,data!$O$2:$O$17,"")</f>
        <v/>
      </c>
      <c r="BY103" s="8"/>
      <c r="BZ103" s="8"/>
      <c r="CA103" s="8"/>
      <c r="CB103" s="93" t="str">
        <f t="array" ref="CB103">xlookup(BW103,data!$M$2:$M$17,data!$N$2:$N$17,"")</f>
        <v/>
      </c>
      <c r="CC103" s="8"/>
      <c r="CD103" s="8"/>
      <c r="CE103" s="8"/>
      <c r="CF103" s="8"/>
      <c r="CG103" s="8"/>
      <c r="CH103" s="8"/>
      <c r="CI103" s="8"/>
      <c r="CJ103" s="8"/>
      <c r="CK103" s="8"/>
      <c r="CL103" s="8"/>
      <c r="CM103" s="8"/>
      <c r="CN103" s="8"/>
      <c r="CO103" s="8"/>
      <c r="CP103" s="8"/>
      <c r="CQ103" s="8"/>
      <c r="CR103" s="8"/>
      <c r="CS103" s="8"/>
      <c r="CT103" s="8"/>
      <c r="CU103" s="8"/>
      <c r="CV103" s="8"/>
      <c r="CW103" s="8"/>
      <c r="CX103" s="94"/>
      <c r="CY103" s="8"/>
      <c r="CZ103" s="8"/>
      <c r="DA103" s="9"/>
      <c r="DB103" s="95"/>
      <c r="DC103" s="8"/>
      <c r="DD103" s="8"/>
      <c r="DE103" s="8"/>
      <c r="DF103" s="96" t="str">
        <f t="array" ref="DF103">xlookup(EF103,data!$M$2:$M$17,data!$N$2:$N$17,"")</f>
        <v/>
      </c>
      <c r="DG103" s="8"/>
      <c r="DH103" s="8"/>
      <c r="DI103" s="8"/>
      <c r="DJ103" s="8"/>
      <c r="DK103" s="8"/>
      <c r="DL103" s="8"/>
      <c r="DM103" s="8"/>
      <c r="DN103" s="8"/>
      <c r="DO103" s="8"/>
      <c r="DP103" s="8"/>
      <c r="DQ103" s="8"/>
      <c r="DR103" s="8"/>
      <c r="DS103" s="8"/>
      <c r="DT103" s="8"/>
      <c r="DU103" s="8"/>
      <c r="DV103" s="8"/>
      <c r="DW103" s="8"/>
      <c r="DX103" s="8"/>
      <c r="DY103" s="8"/>
      <c r="DZ103" s="8"/>
      <c r="EA103" s="8"/>
      <c r="EB103" s="131" t="str">
        <f t="array" ref="EB103">xlookup(EF103,data!$M$2:$M$17,data!$O$2:$O$17,"")</f>
        <v/>
      </c>
      <c r="EC103" s="8"/>
      <c r="ED103" s="8"/>
      <c r="EE103" s="98"/>
      <c r="EF103" s="119" t="str">
        <f>if($DD$6=0,"",reseeding!AD4)</f>
        <v/>
      </c>
      <c r="EG103" s="54"/>
      <c r="EH103" s="54"/>
      <c r="EI103" s="119" t="str">
        <f>if($DD$6=0,"",reseeding!AC13)</f>
        <v/>
      </c>
      <c r="EJ103" s="130" t="str">
        <f t="array" ref="EJ103">xlookup(EI103,data!$M$2:$M$17,data!$O$2:$O$17,"")</f>
        <v/>
      </c>
      <c r="EK103" s="8"/>
      <c r="EL103" s="8"/>
      <c r="EM103" s="8"/>
      <c r="EN103" s="93" t="str">
        <f t="array" ref="EN103">xlookup(EI103,data!$M$2:$M$17,data!$N$2:$N$17,"")</f>
        <v/>
      </c>
      <c r="EO103" s="8"/>
      <c r="EP103" s="8"/>
      <c r="EQ103" s="8"/>
      <c r="ER103" s="8"/>
      <c r="ES103" s="8"/>
      <c r="ET103" s="8"/>
      <c r="EU103" s="8"/>
      <c r="EV103" s="8"/>
      <c r="EW103" s="8"/>
      <c r="EX103" s="8"/>
      <c r="EY103" s="8"/>
      <c r="EZ103" s="8"/>
      <c r="FA103" s="8"/>
      <c r="FB103" s="8"/>
      <c r="FC103" s="8"/>
      <c r="FD103" s="8"/>
      <c r="FE103" s="8"/>
      <c r="FF103" s="8"/>
      <c r="FG103" s="8"/>
      <c r="FH103" s="8"/>
      <c r="FI103" s="8"/>
      <c r="FJ103" s="94"/>
      <c r="FK103" s="8"/>
      <c r="FL103" s="8"/>
      <c r="FM103" s="9"/>
      <c r="FN103" s="95"/>
      <c r="FO103" s="8"/>
      <c r="FP103" s="8"/>
      <c r="FQ103" s="8"/>
      <c r="FR103" s="96" t="str">
        <f t="array" ref="FR103">xlookup(GR103,data!$M$2:$M$17,data!$N$2:$N$17,"")</f>
        <v/>
      </c>
      <c r="FS103" s="8"/>
      <c r="FT103" s="8"/>
      <c r="FU103" s="8"/>
      <c r="FV103" s="8"/>
      <c r="FW103" s="8"/>
      <c r="FX103" s="8"/>
      <c r="FY103" s="8"/>
      <c r="FZ103" s="8"/>
      <c r="GA103" s="8"/>
      <c r="GB103" s="8"/>
      <c r="GC103" s="8"/>
      <c r="GD103" s="8"/>
      <c r="GE103" s="8"/>
      <c r="GF103" s="8"/>
      <c r="GG103" s="8"/>
      <c r="GH103" s="8"/>
      <c r="GI103" s="8"/>
      <c r="GJ103" s="8"/>
      <c r="GK103" s="8"/>
      <c r="GL103" s="8"/>
      <c r="GM103" s="8"/>
      <c r="GN103" s="131" t="str">
        <f t="array" ref="GN103">xlookup(GR103,data!$M$2:$M$17,data!$O$2:$O$17,"")</f>
        <v/>
      </c>
      <c r="GO103" s="8"/>
      <c r="GP103" s="8"/>
      <c r="GQ103" s="98"/>
      <c r="GR103" s="119" t="str">
        <f>if($DD$6=0,"",reseeding!AD13)</f>
        <v/>
      </c>
      <c r="GS103" s="54"/>
      <c r="GT103" s="54"/>
      <c r="GU103" s="54"/>
      <c r="GV103" s="54"/>
      <c r="GW103" s="54"/>
      <c r="GX103" s="54"/>
      <c r="GY103" s="54"/>
      <c r="GZ103" s="54"/>
      <c r="HA103" s="54"/>
      <c r="HB103" s="54"/>
      <c r="HC103" s="54"/>
      <c r="HD103" s="54"/>
      <c r="HE103" s="54"/>
      <c r="HF103" s="54"/>
      <c r="HG103" s="54"/>
      <c r="HH103" s="54"/>
      <c r="HI103" s="54"/>
      <c r="HJ103" s="54"/>
      <c r="HK103" s="54"/>
      <c r="HL103" s="54"/>
      <c r="HM103" s="54"/>
      <c r="HN103" s="54"/>
      <c r="HO103" s="54"/>
      <c r="HP103" s="54"/>
      <c r="HQ103" s="54"/>
      <c r="HR103" s="54"/>
      <c r="HS103" s="54"/>
      <c r="HT103" s="54"/>
      <c r="HU103" s="54"/>
      <c r="HV103" s="54"/>
      <c r="HW103" s="54"/>
      <c r="HX103" s="54"/>
      <c r="HY103" s="54"/>
      <c r="HZ103" s="54"/>
      <c r="IA103" s="54"/>
      <c r="IB103" s="54"/>
      <c r="IC103" s="54"/>
      <c r="ID103" s="54"/>
      <c r="IE103" s="54"/>
      <c r="IF103" s="54"/>
      <c r="IG103" s="54"/>
      <c r="IH103" s="54"/>
      <c r="II103" s="54"/>
      <c r="IJ103" s="54"/>
      <c r="IK103" s="54"/>
      <c r="IL103" s="54"/>
      <c r="IM103" s="54"/>
      <c r="IN103" s="54"/>
      <c r="IO103" s="54"/>
      <c r="IP103" s="54"/>
      <c r="IQ103" s="54"/>
      <c r="IR103" s="54"/>
      <c r="IS103" s="54"/>
      <c r="IT103" s="54"/>
      <c r="IU103" s="54"/>
      <c r="IV103" s="54"/>
      <c r="IW103" s="54"/>
      <c r="IX103" s="54"/>
      <c r="IY103" s="54"/>
      <c r="IZ103" s="54"/>
      <c r="JA103" s="54"/>
      <c r="JB103" s="54"/>
      <c r="JC103" s="54"/>
      <c r="JD103" s="54"/>
      <c r="JE103" s="54"/>
      <c r="JF103" s="54"/>
      <c r="JG103" s="54"/>
      <c r="JH103" s="54"/>
      <c r="JI103" s="54"/>
      <c r="JJ103" s="54"/>
      <c r="JK103" s="54"/>
      <c r="JL103" s="54"/>
      <c r="JM103" s="54"/>
      <c r="JN103" s="54"/>
      <c r="JO103" s="54"/>
      <c r="JP103" s="54"/>
      <c r="JQ103" s="54"/>
      <c r="JR103" s="54"/>
      <c r="JS103" s="54"/>
      <c r="JT103" s="54"/>
      <c r="JU103" s="54"/>
      <c r="JV103" s="54"/>
      <c r="JW103" s="54"/>
      <c r="JX103" s="54"/>
      <c r="JY103" s="54"/>
      <c r="JZ103" s="54"/>
      <c r="KA103" s="54"/>
      <c r="KB103" s="54"/>
      <c r="KC103" s="54"/>
      <c r="KD103" s="54"/>
      <c r="KE103" s="54"/>
      <c r="KF103" s="54"/>
      <c r="KG103" s="54"/>
      <c r="KH103" s="54"/>
      <c r="KI103" s="54"/>
      <c r="KJ103" s="54"/>
      <c r="KK103" s="54"/>
      <c r="KL103" s="54"/>
      <c r="KM103" s="54"/>
      <c r="KN103" s="54"/>
      <c r="KO103" s="54"/>
      <c r="KP103" s="54"/>
      <c r="KQ103" s="54"/>
      <c r="KR103" s="54"/>
      <c r="KS103" s="54"/>
      <c r="KT103" s="54"/>
      <c r="KU103" s="54"/>
      <c r="KV103" s="54"/>
      <c r="KW103" s="54"/>
      <c r="KX103" s="54"/>
    </row>
    <row r="104" ht="5.2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c r="BS104" s="54"/>
      <c r="BT104" s="54"/>
      <c r="BU104" s="54"/>
      <c r="BV104" s="54"/>
      <c r="BW104" s="108"/>
      <c r="BX104" s="60"/>
      <c r="DA104" s="11"/>
      <c r="DB104" s="10"/>
      <c r="EE104" s="61"/>
      <c r="EF104" s="108"/>
      <c r="EG104" s="54"/>
      <c r="EH104" s="54"/>
      <c r="EI104" s="108"/>
      <c r="EJ104" s="60"/>
      <c r="FM104" s="11"/>
      <c r="FN104" s="10"/>
      <c r="GQ104" s="61"/>
      <c r="GR104" s="108"/>
      <c r="GS104" s="54"/>
      <c r="GT104" s="54"/>
      <c r="GU104" s="54"/>
      <c r="GV104" s="54"/>
      <c r="GW104" s="54"/>
      <c r="GX104" s="54"/>
      <c r="GY104" s="54"/>
      <c r="GZ104" s="54"/>
      <c r="HA104" s="54"/>
      <c r="HB104" s="54"/>
      <c r="HC104" s="54"/>
      <c r="HD104" s="54"/>
      <c r="HE104" s="54"/>
      <c r="HF104" s="54"/>
      <c r="HG104" s="54"/>
      <c r="HH104" s="54"/>
      <c r="HI104" s="54"/>
      <c r="HJ104" s="54"/>
      <c r="HK104" s="54"/>
      <c r="HL104" s="54"/>
      <c r="HM104" s="54"/>
      <c r="HN104" s="54"/>
      <c r="HO104" s="54"/>
      <c r="HP104" s="54"/>
      <c r="HQ104" s="54"/>
      <c r="HR104" s="54"/>
      <c r="HS104" s="54"/>
      <c r="HT104" s="54"/>
      <c r="HU104" s="54"/>
      <c r="HV104" s="54"/>
      <c r="HW104" s="54"/>
      <c r="HX104" s="54"/>
      <c r="HY104" s="54"/>
      <c r="HZ104" s="54"/>
      <c r="IA104" s="54"/>
      <c r="IB104" s="54"/>
      <c r="IC104" s="54"/>
      <c r="ID104" s="54"/>
      <c r="IE104" s="54"/>
      <c r="IF104" s="54"/>
      <c r="IG104" s="54"/>
      <c r="IH104" s="54"/>
      <c r="II104" s="54"/>
      <c r="IJ104" s="54"/>
      <c r="IK104" s="54"/>
      <c r="IL104" s="54"/>
      <c r="IM104" s="54"/>
      <c r="IN104" s="54"/>
      <c r="IO104" s="54"/>
      <c r="IP104" s="54"/>
      <c r="IQ104" s="54"/>
      <c r="IR104" s="54"/>
      <c r="IS104" s="54"/>
      <c r="IT104" s="54"/>
      <c r="IU104" s="54"/>
      <c r="IV104" s="54"/>
      <c r="IW104" s="54"/>
      <c r="IX104" s="54"/>
      <c r="IY104" s="54"/>
      <c r="IZ104" s="54"/>
      <c r="JA104" s="54"/>
      <c r="JB104" s="54"/>
      <c r="JC104" s="54"/>
      <c r="JD104" s="54"/>
      <c r="JE104" s="54"/>
      <c r="JF104" s="54"/>
      <c r="JG104" s="54"/>
      <c r="JH104" s="54"/>
      <c r="JI104" s="54"/>
      <c r="JJ104" s="54"/>
      <c r="JK104" s="54"/>
      <c r="JL104" s="54"/>
      <c r="JM104" s="54"/>
      <c r="JN104" s="54"/>
      <c r="JO104" s="54"/>
      <c r="JP104" s="54"/>
      <c r="JQ104" s="54"/>
      <c r="JR104" s="54"/>
      <c r="JS104" s="54"/>
      <c r="JT104" s="54"/>
      <c r="JU104" s="54"/>
      <c r="JV104" s="54"/>
      <c r="JW104" s="54"/>
      <c r="JX104" s="54"/>
      <c r="JY104" s="54"/>
      <c r="JZ104" s="54"/>
      <c r="KA104" s="54"/>
      <c r="KB104" s="54"/>
      <c r="KC104" s="54"/>
      <c r="KD104" s="54"/>
      <c r="KE104" s="54"/>
      <c r="KF104" s="54"/>
      <c r="KG104" s="54"/>
      <c r="KH104" s="54"/>
      <c r="KI104" s="54"/>
      <c r="KJ104" s="54"/>
      <c r="KK104" s="54"/>
      <c r="KL104" s="54"/>
      <c r="KM104" s="54"/>
      <c r="KN104" s="54"/>
      <c r="KO104" s="54"/>
      <c r="KP104" s="54"/>
      <c r="KQ104" s="54"/>
      <c r="KR104" s="54"/>
      <c r="KS104" s="54"/>
      <c r="KT104" s="54"/>
      <c r="KU104" s="54"/>
      <c r="KV104" s="54"/>
      <c r="KW104" s="54"/>
      <c r="KX104" s="54"/>
    </row>
    <row r="105" ht="5.2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c r="BS105" s="54"/>
      <c r="BT105" s="54"/>
      <c r="BU105" s="54"/>
      <c r="BV105" s="54"/>
      <c r="BW105" s="108"/>
      <c r="BX105" s="60"/>
      <c r="DA105" s="11"/>
      <c r="DB105" s="10"/>
      <c r="EE105" s="61"/>
      <c r="EF105" s="108"/>
      <c r="EG105" s="54"/>
      <c r="EH105" s="54"/>
      <c r="EI105" s="108"/>
      <c r="EJ105" s="60"/>
      <c r="FM105" s="11"/>
      <c r="FN105" s="10"/>
      <c r="GQ105" s="61"/>
      <c r="GR105" s="108"/>
      <c r="GS105" s="54"/>
      <c r="GT105" s="54"/>
      <c r="GU105" s="54"/>
      <c r="GV105" s="54"/>
      <c r="GW105" s="54"/>
      <c r="GX105" s="54"/>
      <c r="GY105" s="54"/>
      <c r="GZ105" s="54"/>
      <c r="HA105" s="54"/>
      <c r="HB105" s="54"/>
      <c r="HC105" s="54"/>
      <c r="HD105" s="54"/>
      <c r="HE105" s="54"/>
      <c r="HF105" s="54"/>
      <c r="HG105" s="54"/>
      <c r="HH105" s="54"/>
      <c r="HI105" s="54"/>
      <c r="HJ105" s="54"/>
      <c r="HK105" s="54"/>
      <c r="HL105" s="54"/>
      <c r="HM105" s="54"/>
      <c r="HN105" s="54"/>
      <c r="HO105" s="54"/>
      <c r="HP105" s="54"/>
      <c r="HQ105" s="54"/>
      <c r="HR105" s="54"/>
      <c r="HS105" s="54"/>
      <c r="HT105" s="54"/>
      <c r="HU105" s="54"/>
      <c r="HV105" s="54"/>
      <c r="HW105" s="54"/>
      <c r="HX105" s="54"/>
      <c r="HY105" s="54"/>
      <c r="HZ105" s="54"/>
      <c r="IA105" s="54"/>
      <c r="IB105" s="54"/>
      <c r="IC105" s="54"/>
      <c r="ID105" s="54"/>
      <c r="IE105" s="54"/>
      <c r="IF105" s="54"/>
      <c r="IG105" s="54"/>
      <c r="IH105" s="54"/>
      <c r="II105" s="54"/>
      <c r="IJ105" s="54"/>
      <c r="IK105" s="54"/>
      <c r="IL105" s="54"/>
      <c r="IM105" s="54"/>
      <c r="IN105" s="54"/>
      <c r="IO105" s="54"/>
      <c r="IP105" s="54"/>
      <c r="IQ105" s="54"/>
      <c r="IR105" s="54"/>
      <c r="IS105" s="54"/>
      <c r="IT105" s="54"/>
      <c r="IU105" s="54"/>
      <c r="IV105" s="54"/>
      <c r="IW105" s="54"/>
      <c r="IX105" s="54"/>
      <c r="IY105" s="54"/>
      <c r="IZ105" s="54"/>
      <c r="JA105" s="54"/>
      <c r="JB105" s="54"/>
      <c r="JC105" s="54"/>
      <c r="JD105" s="54"/>
      <c r="JE105" s="54"/>
      <c r="JF105" s="54"/>
      <c r="JG105" s="54"/>
      <c r="JH105" s="54"/>
      <c r="JI105" s="54"/>
      <c r="JJ105" s="54"/>
      <c r="JK105" s="54"/>
      <c r="JL105" s="54"/>
      <c r="JM105" s="54"/>
      <c r="JN105" s="54"/>
      <c r="JO105" s="54"/>
      <c r="JP105" s="54"/>
      <c r="JQ105" s="54"/>
      <c r="JR105" s="54"/>
      <c r="JS105" s="54"/>
      <c r="JT105" s="54"/>
      <c r="JU105" s="54"/>
      <c r="JV105" s="54"/>
      <c r="JW105" s="54"/>
      <c r="JX105" s="54"/>
      <c r="JY105" s="54"/>
      <c r="JZ105" s="54"/>
      <c r="KA105" s="54"/>
      <c r="KB105" s="54"/>
      <c r="KC105" s="54"/>
      <c r="KD105" s="54"/>
      <c r="KE105" s="54"/>
      <c r="KF105" s="54"/>
      <c r="KG105" s="54"/>
      <c r="KH105" s="54"/>
      <c r="KI105" s="54"/>
      <c r="KJ105" s="54"/>
      <c r="KK105" s="54"/>
      <c r="KL105" s="54"/>
      <c r="KM105" s="54"/>
      <c r="KN105" s="54"/>
      <c r="KO105" s="54"/>
      <c r="KP105" s="54"/>
      <c r="KQ105" s="54"/>
      <c r="KR105" s="54"/>
      <c r="KS105" s="54"/>
      <c r="KT105" s="54"/>
      <c r="KU105" s="54"/>
      <c r="KV105" s="54"/>
      <c r="KW105" s="54"/>
      <c r="KX105" s="54"/>
    </row>
    <row r="106" ht="5.2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c r="BS106" s="54"/>
      <c r="BT106" s="54"/>
      <c r="BU106" s="54"/>
      <c r="BV106" s="54"/>
      <c r="BW106" s="108"/>
      <c r="BX106" s="60"/>
      <c r="DA106" s="11"/>
      <c r="DB106" s="10"/>
      <c r="EE106" s="61"/>
      <c r="EF106" s="108"/>
      <c r="EG106" s="54"/>
      <c r="EH106" s="54"/>
      <c r="EI106" s="108"/>
      <c r="EJ106" s="60"/>
      <c r="FM106" s="11"/>
      <c r="FN106" s="10"/>
      <c r="GQ106" s="61"/>
      <c r="GR106" s="108"/>
      <c r="GS106" s="54"/>
      <c r="GT106" s="54"/>
      <c r="GU106" s="54"/>
      <c r="GV106" s="54"/>
      <c r="GW106" s="54"/>
      <c r="GX106" s="54"/>
      <c r="GY106" s="54"/>
      <c r="GZ106" s="54"/>
      <c r="HA106" s="54"/>
      <c r="HB106" s="54"/>
      <c r="HC106" s="54"/>
      <c r="HD106" s="54"/>
      <c r="HE106" s="54"/>
      <c r="HF106" s="54"/>
      <c r="HG106" s="54"/>
      <c r="HH106" s="54"/>
      <c r="HI106" s="54"/>
      <c r="HJ106" s="54"/>
      <c r="HK106" s="54"/>
      <c r="HL106" s="54"/>
      <c r="HM106" s="54"/>
      <c r="HN106" s="54"/>
      <c r="HO106" s="54"/>
      <c r="HP106" s="54"/>
      <c r="HQ106" s="54"/>
      <c r="HR106" s="54"/>
      <c r="HS106" s="54"/>
      <c r="HT106" s="54"/>
      <c r="HU106" s="54"/>
      <c r="HV106" s="54"/>
      <c r="HW106" s="54"/>
      <c r="HX106" s="54"/>
      <c r="HY106" s="54"/>
      <c r="HZ106" s="54"/>
      <c r="IA106" s="54"/>
      <c r="IB106" s="54"/>
      <c r="IC106" s="54"/>
      <c r="ID106" s="54"/>
      <c r="IE106" s="54"/>
      <c r="IF106" s="54"/>
      <c r="IG106" s="54"/>
      <c r="IH106" s="54"/>
      <c r="II106" s="54"/>
      <c r="IJ106" s="54"/>
      <c r="IK106" s="54"/>
      <c r="IL106" s="54"/>
      <c r="IM106" s="54"/>
      <c r="IN106" s="54"/>
      <c r="IO106" s="54"/>
      <c r="IP106" s="54"/>
      <c r="IQ106" s="54"/>
      <c r="IR106" s="54"/>
      <c r="IS106" s="54"/>
      <c r="IT106" s="54"/>
      <c r="IU106" s="54"/>
      <c r="IV106" s="54"/>
      <c r="IW106" s="54"/>
      <c r="IX106" s="54"/>
      <c r="IY106" s="54"/>
      <c r="IZ106" s="54"/>
      <c r="JA106" s="54"/>
      <c r="JB106" s="54"/>
      <c r="JC106" s="54"/>
      <c r="JD106" s="54"/>
      <c r="JE106" s="54"/>
      <c r="JF106" s="54"/>
      <c r="JG106" s="54"/>
      <c r="JH106" s="54"/>
      <c r="JI106" s="54"/>
      <c r="JJ106" s="54"/>
      <c r="JK106" s="54"/>
      <c r="JL106" s="54"/>
      <c r="JM106" s="54"/>
      <c r="JN106" s="54"/>
      <c r="JO106" s="54"/>
      <c r="JP106" s="54"/>
      <c r="JQ106" s="54"/>
      <c r="JR106" s="54"/>
      <c r="JS106" s="54"/>
      <c r="JT106" s="54"/>
      <c r="JU106" s="54"/>
      <c r="JV106" s="54"/>
      <c r="JW106" s="54"/>
      <c r="JX106" s="54"/>
      <c r="JY106" s="54"/>
      <c r="JZ106" s="54"/>
      <c r="KA106" s="54"/>
      <c r="KB106" s="54"/>
      <c r="KC106" s="54"/>
      <c r="KD106" s="54"/>
      <c r="KE106" s="54"/>
      <c r="KF106" s="54"/>
      <c r="KG106" s="54"/>
      <c r="KH106" s="54"/>
      <c r="KI106" s="54"/>
      <c r="KJ106" s="54"/>
      <c r="KK106" s="54"/>
      <c r="KL106" s="54"/>
      <c r="KM106" s="54"/>
      <c r="KN106" s="54"/>
      <c r="KO106" s="54"/>
      <c r="KP106" s="54"/>
      <c r="KQ106" s="54"/>
      <c r="KR106" s="54"/>
      <c r="KS106" s="54"/>
      <c r="KT106" s="54"/>
      <c r="KU106" s="54"/>
      <c r="KV106" s="54"/>
      <c r="KW106" s="54"/>
      <c r="KX106" s="54"/>
    </row>
    <row r="107" ht="5.2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c r="BS107" s="54"/>
      <c r="BT107" s="54"/>
      <c r="BU107" s="54"/>
      <c r="BV107" s="54"/>
      <c r="BW107" s="119" t="str">
        <f>BW103</f>
        <v/>
      </c>
      <c r="BX107" s="112"/>
      <c r="CF107" s="135"/>
      <c r="CH107" s="11"/>
      <c r="CI107" s="126"/>
      <c r="CK107" s="11"/>
      <c r="CL107" s="136"/>
      <c r="CO107" s="108"/>
      <c r="CX107" s="85">
        <f>sum(CF107:CN109)</f>
        <v>0</v>
      </c>
      <c r="DA107" s="11"/>
      <c r="DB107" s="86">
        <f>sum(DO107:DW109)</f>
        <v>0</v>
      </c>
      <c r="DF107" s="108"/>
      <c r="DG107" s="108"/>
      <c r="DH107" s="108"/>
      <c r="DI107" s="108"/>
      <c r="DJ107" s="108"/>
      <c r="DK107" s="108"/>
      <c r="DL107" s="108"/>
      <c r="DM107" s="108"/>
      <c r="DN107" s="108"/>
      <c r="DO107" s="121"/>
      <c r="DQ107" s="11"/>
      <c r="DR107" s="127"/>
      <c r="DT107" s="11"/>
      <c r="DU107" s="127"/>
      <c r="DX107" s="108"/>
      <c r="DY107" s="108"/>
      <c r="DZ107" s="108"/>
      <c r="EA107" s="108"/>
      <c r="EB107" s="108"/>
      <c r="EC107" s="108"/>
      <c r="ED107" s="108"/>
      <c r="EE107" s="116"/>
      <c r="EF107" s="119" t="str">
        <f>EF103</f>
        <v/>
      </c>
      <c r="EG107" s="54"/>
      <c r="EH107" s="54"/>
      <c r="EI107" s="119" t="str">
        <f>EI103</f>
        <v/>
      </c>
      <c r="EJ107" s="112"/>
      <c r="ER107" s="122"/>
      <c r="ET107" s="11"/>
      <c r="EU107" s="126"/>
      <c r="EW107" s="11"/>
      <c r="EX107" s="136"/>
      <c r="FA107" s="108"/>
      <c r="FJ107" s="85">
        <f>sum(ER107:EZ109)</f>
        <v>0</v>
      </c>
      <c r="FM107" s="11"/>
      <c r="FN107" s="86">
        <f>sum(GA107:GI109)</f>
        <v>0</v>
      </c>
      <c r="FR107" s="108"/>
      <c r="FS107" s="108"/>
      <c r="FT107" s="108"/>
      <c r="FU107" s="108"/>
      <c r="FV107" s="108"/>
      <c r="FW107" s="108"/>
      <c r="FX107" s="108"/>
      <c r="FY107" s="108"/>
      <c r="FZ107" s="108"/>
      <c r="GA107" s="121"/>
      <c r="GC107" s="11"/>
      <c r="GD107" s="127"/>
      <c r="GF107" s="11"/>
      <c r="GG107" s="127"/>
      <c r="GJ107" s="108"/>
      <c r="GK107" s="108"/>
      <c r="GL107" s="108"/>
      <c r="GM107" s="108"/>
      <c r="GN107" s="108"/>
      <c r="GO107" s="108"/>
      <c r="GP107" s="108"/>
      <c r="GQ107" s="116"/>
      <c r="GR107" s="119" t="str">
        <f>GR103</f>
        <v/>
      </c>
      <c r="GS107" s="54"/>
      <c r="GT107" s="54"/>
      <c r="GU107" s="54"/>
      <c r="GV107" s="54"/>
      <c r="GW107" s="54"/>
      <c r="GX107" s="54"/>
      <c r="GY107" s="54"/>
      <c r="GZ107" s="54"/>
      <c r="HA107" s="54"/>
      <c r="HB107" s="54"/>
      <c r="HC107" s="54"/>
      <c r="HD107" s="54"/>
      <c r="HE107" s="54"/>
      <c r="HF107" s="54"/>
      <c r="HG107" s="54"/>
      <c r="HH107" s="54"/>
      <c r="HI107" s="54"/>
      <c r="HJ107" s="54"/>
      <c r="HK107" s="54"/>
      <c r="HL107" s="54"/>
      <c r="HM107" s="54"/>
      <c r="HN107" s="54"/>
      <c r="HO107" s="54"/>
      <c r="HP107" s="54"/>
      <c r="HQ107" s="54"/>
      <c r="HR107" s="54"/>
      <c r="HS107" s="54"/>
      <c r="HT107" s="54"/>
      <c r="HU107" s="54"/>
      <c r="HV107" s="54"/>
      <c r="HW107" s="54"/>
      <c r="HX107" s="54"/>
      <c r="HY107" s="54"/>
      <c r="HZ107" s="54"/>
      <c r="IA107" s="54"/>
      <c r="IB107" s="54"/>
      <c r="IC107" s="54"/>
      <c r="ID107" s="54"/>
      <c r="IE107" s="54"/>
      <c r="IF107" s="54"/>
      <c r="IG107" s="54"/>
      <c r="IH107" s="54"/>
      <c r="II107" s="54"/>
      <c r="IJ107" s="54"/>
      <c r="IK107" s="54"/>
      <c r="IL107" s="54"/>
      <c r="IM107" s="54"/>
      <c r="IN107" s="54"/>
      <c r="IO107" s="54"/>
      <c r="IP107" s="54"/>
      <c r="IQ107" s="54"/>
      <c r="IR107" s="54"/>
      <c r="IS107" s="54"/>
      <c r="IT107" s="54"/>
      <c r="IU107" s="54"/>
      <c r="IV107" s="54"/>
      <c r="IW107" s="54"/>
      <c r="IX107" s="54"/>
      <c r="IY107" s="54"/>
      <c r="IZ107" s="54"/>
      <c r="JA107" s="54"/>
      <c r="JB107" s="54"/>
      <c r="JC107" s="54"/>
      <c r="JD107" s="54"/>
      <c r="JE107" s="54"/>
      <c r="JF107" s="54"/>
      <c r="JG107" s="54"/>
      <c r="JH107" s="54"/>
      <c r="JI107" s="54"/>
      <c r="JJ107" s="54"/>
      <c r="JK107" s="54"/>
      <c r="JL107" s="54"/>
      <c r="JM107" s="54"/>
      <c r="JN107" s="54"/>
      <c r="JO107" s="54"/>
      <c r="JP107" s="54"/>
      <c r="JQ107" s="54"/>
      <c r="JR107" s="54"/>
      <c r="JS107" s="54"/>
      <c r="JT107" s="54"/>
      <c r="JU107" s="54"/>
      <c r="JV107" s="54"/>
      <c r="JW107" s="54"/>
      <c r="JX107" s="54"/>
      <c r="JY107" s="54"/>
      <c r="JZ107" s="54"/>
      <c r="KA107" s="54"/>
      <c r="KB107" s="54"/>
      <c r="KC107" s="54"/>
      <c r="KD107" s="54"/>
      <c r="KE107" s="54"/>
      <c r="KF107" s="54"/>
      <c r="KG107" s="54"/>
      <c r="KH107" s="54"/>
      <c r="KI107" s="54"/>
      <c r="KJ107" s="54"/>
      <c r="KK107" s="54"/>
      <c r="KL107" s="54"/>
      <c r="KM107" s="54"/>
      <c r="KN107" s="54"/>
      <c r="KO107" s="54"/>
      <c r="KP107" s="54"/>
      <c r="KQ107" s="54"/>
      <c r="KR107" s="54"/>
      <c r="KS107" s="54"/>
      <c r="KT107" s="54"/>
      <c r="KU107" s="54"/>
      <c r="KV107" s="54"/>
      <c r="KW107" s="54"/>
      <c r="KX107" s="54"/>
    </row>
    <row r="108" ht="5.2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54"/>
      <c r="BK108" s="54"/>
      <c r="BL108" s="54"/>
      <c r="BM108" s="54"/>
      <c r="BN108" s="54"/>
      <c r="BO108" s="54"/>
      <c r="BP108" s="54"/>
      <c r="BQ108" s="54"/>
      <c r="BR108" s="54"/>
      <c r="BS108" s="54"/>
      <c r="BT108" s="54"/>
      <c r="BU108" s="54"/>
      <c r="BV108" s="54"/>
      <c r="BW108" s="108"/>
      <c r="BX108" s="60"/>
      <c r="CH108" s="11"/>
      <c r="CI108" s="10"/>
      <c r="CK108" s="11"/>
      <c r="CL108" s="10"/>
      <c r="DA108" s="11"/>
      <c r="DB108" s="10"/>
      <c r="DF108" s="108"/>
      <c r="DG108" s="108"/>
      <c r="DH108" s="108"/>
      <c r="DI108" s="108"/>
      <c r="DJ108" s="108"/>
      <c r="DK108" s="108"/>
      <c r="DL108" s="108"/>
      <c r="DM108" s="108"/>
      <c r="DN108" s="108"/>
      <c r="DQ108" s="11"/>
      <c r="DR108" s="10"/>
      <c r="DT108" s="11"/>
      <c r="DU108" s="10"/>
      <c r="DX108" s="108"/>
      <c r="DY108" s="108"/>
      <c r="DZ108" s="108"/>
      <c r="EA108" s="108"/>
      <c r="EB108" s="108"/>
      <c r="EC108" s="108"/>
      <c r="ED108" s="108"/>
      <c r="EE108" s="116"/>
      <c r="EF108" s="108"/>
      <c r="EG108" s="54"/>
      <c r="EH108" s="54"/>
      <c r="EI108" s="108"/>
      <c r="EJ108" s="60"/>
      <c r="ET108" s="11"/>
      <c r="EU108" s="10"/>
      <c r="EW108" s="11"/>
      <c r="EX108" s="10"/>
      <c r="FM108" s="11"/>
      <c r="FN108" s="10"/>
      <c r="FR108" s="108"/>
      <c r="FS108" s="108"/>
      <c r="FT108" s="108"/>
      <c r="FU108" s="108"/>
      <c r="FV108" s="108"/>
      <c r="FW108" s="108"/>
      <c r="FX108" s="108"/>
      <c r="FY108" s="108"/>
      <c r="FZ108" s="108"/>
      <c r="GC108" s="11"/>
      <c r="GD108" s="10"/>
      <c r="GF108" s="11"/>
      <c r="GG108" s="10"/>
      <c r="GJ108" s="108"/>
      <c r="GK108" s="108"/>
      <c r="GL108" s="108"/>
      <c r="GM108" s="108"/>
      <c r="GN108" s="108"/>
      <c r="GO108" s="108"/>
      <c r="GP108" s="108"/>
      <c r="GQ108" s="116"/>
      <c r="GR108" s="108"/>
      <c r="GS108" s="54"/>
      <c r="GT108" s="54"/>
      <c r="GU108" s="54"/>
      <c r="GV108" s="54"/>
      <c r="GW108" s="54"/>
      <c r="GX108" s="54"/>
      <c r="GY108" s="54"/>
      <c r="GZ108" s="54"/>
      <c r="HA108" s="54"/>
      <c r="HB108" s="54"/>
      <c r="HC108" s="54"/>
      <c r="HD108" s="54"/>
      <c r="HE108" s="54"/>
      <c r="HF108" s="54"/>
      <c r="HG108" s="54"/>
      <c r="HH108" s="54"/>
      <c r="HI108" s="54"/>
      <c r="HJ108" s="54"/>
      <c r="HK108" s="54"/>
      <c r="HL108" s="54"/>
      <c r="HM108" s="54"/>
      <c r="HN108" s="54"/>
      <c r="HO108" s="54"/>
      <c r="HP108" s="54"/>
      <c r="HQ108" s="54"/>
      <c r="HR108" s="54"/>
      <c r="HS108" s="54"/>
      <c r="HT108" s="54"/>
      <c r="HU108" s="54"/>
      <c r="HV108" s="54"/>
      <c r="HW108" s="54"/>
      <c r="HX108" s="54"/>
      <c r="HY108" s="54"/>
      <c r="HZ108" s="54"/>
      <c r="IA108" s="54"/>
      <c r="IB108" s="54"/>
      <c r="IC108" s="54"/>
      <c r="ID108" s="54"/>
      <c r="IE108" s="54"/>
      <c r="IF108" s="54"/>
      <c r="IG108" s="54"/>
      <c r="IH108" s="54"/>
      <c r="II108" s="54"/>
      <c r="IJ108" s="54"/>
      <c r="IK108" s="54"/>
      <c r="IL108" s="54"/>
      <c r="IM108" s="54"/>
      <c r="IN108" s="54"/>
      <c r="IO108" s="54"/>
      <c r="IP108" s="54"/>
      <c r="IQ108" s="54"/>
      <c r="IR108" s="54"/>
      <c r="IS108" s="54"/>
      <c r="IT108" s="54"/>
      <c r="IU108" s="54"/>
      <c r="IV108" s="54"/>
      <c r="IW108" s="54"/>
      <c r="IX108" s="54"/>
      <c r="IY108" s="54"/>
      <c r="IZ108" s="54"/>
      <c r="JA108" s="54"/>
      <c r="JB108" s="54"/>
      <c r="JC108" s="54"/>
      <c r="JD108" s="54"/>
      <c r="JE108" s="54"/>
      <c r="JF108" s="54"/>
      <c r="JG108" s="54"/>
      <c r="JH108" s="54"/>
      <c r="JI108" s="54"/>
      <c r="JJ108" s="54"/>
      <c r="JK108" s="54"/>
      <c r="JL108" s="54"/>
      <c r="JM108" s="54"/>
      <c r="JN108" s="54"/>
      <c r="JO108" s="54"/>
      <c r="JP108" s="54"/>
      <c r="JQ108" s="54"/>
      <c r="JR108" s="54"/>
      <c r="JS108" s="54"/>
      <c r="JT108" s="54"/>
      <c r="JU108" s="54"/>
      <c r="JV108" s="54"/>
      <c r="JW108" s="54"/>
      <c r="JX108" s="54"/>
      <c r="JY108" s="54"/>
      <c r="JZ108" s="54"/>
      <c r="KA108" s="54"/>
      <c r="KB108" s="54"/>
      <c r="KC108" s="54"/>
      <c r="KD108" s="54"/>
      <c r="KE108" s="54"/>
      <c r="KF108" s="54"/>
      <c r="KG108" s="54"/>
      <c r="KH108" s="54"/>
      <c r="KI108" s="54"/>
      <c r="KJ108" s="54"/>
      <c r="KK108" s="54"/>
      <c r="KL108" s="54"/>
      <c r="KM108" s="54"/>
      <c r="KN108" s="54"/>
      <c r="KO108" s="54"/>
      <c r="KP108" s="54"/>
      <c r="KQ108" s="54"/>
      <c r="KR108" s="54"/>
      <c r="KS108" s="54"/>
      <c r="KT108" s="54"/>
      <c r="KU108" s="54"/>
      <c r="KV108" s="54"/>
      <c r="KW108" s="54"/>
      <c r="KX108" s="54"/>
    </row>
    <row r="109" ht="5.2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c r="BS109" s="54"/>
      <c r="BT109" s="54"/>
      <c r="BU109" s="54"/>
      <c r="BV109" s="54"/>
      <c r="BW109" s="108"/>
      <c r="BX109" s="88"/>
      <c r="BY109" s="13"/>
      <c r="BZ109" s="13"/>
      <c r="CA109" s="13"/>
      <c r="CB109" s="13"/>
      <c r="CC109" s="13"/>
      <c r="CD109" s="13"/>
      <c r="CE109" s="13"/>
      <c r="CF109" s="13"/>
      <c r="CG109" s="13"/>
      <c r="CH109" s="14"/>
      <c r="CI109" s="12"/>
      <c r="CJ109" s="13"/>
      <c r="CK109" s="14"/>
      <c r="CL109" s="12"/>
      <c r="CM109" s="13"/>
      <c r="CN109" s="13"/>
      <c r="CO109" s="13"/>
      <c r="CP109" s="13"/>
      <c r="CQ109" s="13"/>
      <c r="CR109" s="13"/>
      <c r="CS109" s="13"/>
      <c r="CT109" s="13"/>
      <c r="CU109" s="13"/>
      <c r="CV109" s="13"/>
      <c r="CW109" s="13"/>
      <c r="CX109" s="13"/>
      <c r="CY109" s="13"/>
      <c r="CZ109" s="13"/>
      <c r="DA109" s="14"/>
      <c r="DB109" s="12"/>
      <c r="DC109" s="13"/>
      <c r="DD109" s="13"/>
      <c r="DE109" s="13"/>
      <c r="DF109" s="128"/>
      <c r="DG109" s="128"/>
      <c r="DH109" s="128"/>
      <c r="DI109" s="128"/>
      <c r="DJ109" s="128"/>
      <c r="DK109" s="128"/>
      <c r="DL109" s="128"/>
      <c r="DM109" s="128"/>
      <c r="DN109" s="128"/>
      <c r="DO109" s="13"/>
      <c r="DP109" s="13"/>
      <c r="DQ109" s="14"/>
      <c r="DR109" s="12"/>
      <c r="DS109" s="13"/>
      <c r="DT109" s="14"/>
      <c r="DU109" s="12"/>
      <c r="DV109" s="13"/>
      <c r="DW109" s="13"/>
      <c r="DX109" s="128"/>
      <c r="DY109" s="128"/>
      <c r="DZ109" s="128"/>
      <c r="EA109" s="128"/>
      <c r="EB109" s="128"/>
      <c r="EC109" s="128"/>
      <c r="ED109" s="128"/>
      <c r="EE109" s="129"/>
      <c r="EF109" s="108"/>
      <c r="EG109" s="54"/>
      <c r="EH109" s="54"/>
      <c r="EI109" s="108"/>
      <c r="EJ109" s="88"/>
      <c r="EK109" s="13"/>
      <c r="EL109" s="13"/>
      <c r="EM109" s="13"/>
      <c r="EN109" s="13"/>
      <c r="EO109" s="13"/>
      <c r="EP109" s="13"/>
      <c r="EQ109" s="13"/>
      <c r="ER109" s="13"/>
      <c r="ES109" s="13"/>
      <c r="ET109" s="14"/>
      <c r="EU109" s="12"/>
      <c r="EV109" s="13"/>
      <c r="EW109" s="14"/>
      <c r="EX109" s="12"/>
      <c r="EY109" s="13"/>
      <c r="EZ109" s="13"/>
      <c r="FA109" s="13"/>
      <c r="FB109" s="13"/>
      <c r="FC109" s="13"/>
      <c r="FD109" s="13"/>
      <c r="FE109" s="13"/>
      <c r="FF109" s="13"/>
      <c r="FG109" s="13"/>
      <c r="FH109" s="13"/>
      <c r="FI109" s="13"/>
      <c r="FJ109" s="13"/>
      <c r="FK109" s="13"/>
      <c r="FL109" s="13"/>
      <c r="FM109" s="14"/>
      <c r="FN109" s="12"/>
      <c r="FO109" s="13"/>
      <c r="FP109" s="13"/>
      <c r="FQ109" s="13"/>
      <c r="FR109" s="128"/>
      <c r="FS109" s="128"/>
      <c r="FT109" s="128"/>
      <c r="FU109" s="128"/>
      <c r="FV109" s="128"/>
      <c r="FW109" s="128"/>
      <c r="FX109" s="128"/>
      <c r="FY109" s="128"/>
      <c r="FZ109" s="128"/>
      <c r="GA109" s="13"/>
      <c r="GB109" s="13"/>
      <c r="GC109" s="14"/>
      <c r="GD109" s="12"/>
      <c r="GE109" s="13"/>
      <c r="GF109" s="14"/>
      <c r="GG109" s="12"/>
      <c r="GH109" s="13"/>
      <c r="GI109" s="13"/>
      <c r="GJ109" s="128"/>
      <c r="GK109" s="128"/>
      <c r="GL109" s="128"/>
      <c r="GM109" s="128"/>
      <c r="GN109" s="128"/>
      <c r="GO109" s="128"/>
      <c r="GP109" s="128"/>
      <c r="GQ109" s="129"/>
      <c r="GR109" s="108"/>
      <c r="GS109" s="54"/>
      <c r="GT109" s="54"/>
      <c r="GU109" s="54"/>
      <c r="GV109" s="54"/>
      <c r="GW109" s="54"/>
      <c r="GX109" s="54"/>
      <c r="GY109" s="54"/>
      <c r="GZ109" s="54"/>
      <c r="HA109" s="54"/>
      <c r="HB109" s="54"/>
      <c r="HC109" s="54"/>
      <c r="HD109" s="54"/>
      <c r="HE109" s="54"/>
      <c r="HF109" s="54"/>
      <c r="HG109" s="54"/>
      <c r="HH109" s="54"/>
      <c r="HI109" s="54"/>
      <c r="HJ109" s="54"/>
      <c r="HK109" s="54"/>
      <c r="HL109" s="54"/>
      <c r="HM109" s="54"/>
      <c r="HN109" s="54"/>
      <c r="HO109" s="54"/>
      <c r="HP109" s="54"/>
      <c r="HQ109" s="54"/>
      <c r="HR109" s="54"/>
      <c r="HS109" s="54"/>
      <c r="HT109" s="54"/>
      <c r="HU109" s="54"/>
      <c r="HV109" s="54"/>
      <c r="HW109" s="54"/>
      <c r="HX109" s="54"/>
      <c r="HY109" s="54"/>
      <c r="HZ109" s="54"/>
      <c r="IA109" s="54"/>
      <c r="IB109" s="54"/>
      <c r="IC109" s="54"/>
      <c r="ID109" s="54"/>
      <c r="IE109" s="54"/>
      <c r="IF109" s="54"/>
      <c r="IG109" s="54"/>
      <c r="IH109" s="54"/>
      <c r="II109" s="54"/>
      <c r="IJ109" s="54"/>
      <c r="IK109" s="54"/>
      <c r="IL109" s="54"/>
      <c r="IM109" s="54"/>
      <c r="IN109" s="54"/>
      <c r="IO109" s="54"/>
      <c r="IP109" s="54"/>
      <c r="IQ109" s="54"/>
      <c r="IR109" s="54"/>
      <c r="IS109" s="54"/>
      <c r="IT109" s="54"/>
      <c r="IU109" s="54"/>
      <c r="IV109" s="54"/>
      <c r="IW109" s="54"/>
      <c r="IX109" s="54"/>
      <c r="IY109" s="54"/>
      <c r="IZ109" s="54"/>
      <c r="JA109" s="54"/>
      <c r="JB109" s="54"/>
      <c r="JC109" s="54"/>
      <c r="JD109" s="54"/>
      <c r="JE109" s="54"/>
      <c r="JF109" s="54"/>
      <c r="JG109" s="54"/>
      <c r="JH109" s="54"/>
      <c r="JI109" s="54"/>
      <c r="JJ109" s="54"/>
      <c r="JK109" s="54"/>
      <c r="JL109" s="54"/>
      <c r="JM109" s="54"/>
      <c r="JN109" s="54"/>
      <c r="JO109" s="54"/>
      <c r="JP109" s="54"/>
      <c r="JQ109" s="54"/>
      <c r="JR109" s="54"/>
      <c r="JS109" s="54"/>
      <c r="JT109" s="54"/>
      <c r="JU109" s="54"/>
      <c r="JV109" s="54"/>
      <c r="JW109" s="54"/>
      <c r="JX109" s="54"/>
      <c r="JY109" s="54"/>
      <c r="JZ109" s="54"/>
      <c r="KA109" s="54"/>
      <c r="KB109" s="54"/>
      <c r="KC109" s="54"/>
      <c r="KD109" s="54"/>
      <c r="KE109" s="54"/>
      <c r="KF109" s="54"/>
      <c r="KG109" s="54"/>
      <c r="KH109" s="54"/>
      <c r="KI109" s="54"/>
      <c r="KJ109" s="54"/>
      <c r="KK109" s="54"/>
      <c r="KL109" s="54"/>
      <c r="KM109" s="54"/>
      <c r="KN109" s="54"/>
      <c r="KO109" s="54"/>
      <c r="KP109" s="54"/>
      <c r="KQ109" s="54"/>
      <c r="KR109" s="54"/>
      <c r="KS109" s="54"/>
      <c r="KT109" s="54"/>
      <c r="KU109" s="54"/>
      <c r="KV109" s="54"/>
      <c r="KW109" s="54"/>
      <c r="KX109" s="54"/>
    </row>
    <row r="110" ht="5.2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c r="BL110" s="54"/>
      <c r="BM110" s="54"/>
      <c r="BN110" s="54"/>
      <c r="BO110" s="54"/>
      <c r="BP110" s="54"/>
      <c r="BQ110" s="54"/>
      <c r="BR110" s="54"/>
      <c r="BS110" s="54"/>
      <c r="BT110" s="54"/>
      <c r="BU110" s="54"/>
      <c r="BV110" s="54"/>
      <c r="BW110" s="119" t="str">
        <f>if($DD$6=0,"",reseeding!AC5)</f>
        <v/>
      </c>
      <c r="BX110" s="130" t="str">
        <f t="array" ref="BX110">xlookup(BW110,data!$M$2:$M$17,data!$O$2:$O$17,"")</f>
        <v/>
      </c>
      <c r="BY110" s="8"/>
      <c r="BZ110" s="8"/>
      <c r="CA110" s="8"/>
      <c r="CB110" s="93" t="str">
        <f t="array" ref="CB110">xlookup(BW110,data!$M$2:$M$17,data!$N$2:$N$17,"")</f>
        <v/>
      </c>
      <c r="CC110" s="8"/>
      <c r="CD110" s="8"/>
      <c r="CE110" s="8"/>
      <c r="CF110" s="8"/>
      <c r="CG110" s="8"/>
      <c r="CH110" s="8"/>
      <c r="CI110" s="8"/>
      <c r="CJ110" s="8"/>
      <c r="CK110" s="8"/>
      <c r="CL110" s="8"/>
      <c r="CM110" s="8"/>
      <c r="CN110" s="8"/>
      <c r="CO110" s="8"/>
      <c r="CP110" s="8"/>
      <c r="CQ110" s="8"/>
      <c r="CR110" s="8"/>
      <c r="CS110" s="8"/>
      <c r="CT110" s="8"/>
      <c r="CU110" s="8"/>
      <c r="CV110" s="8"/>
      <c r="CW110" s="8"/>
      <c r="CX110" s="94"/>
      <c r="CY110" s="8"/>
      <c r="CZ110" s="8"/>
      <c r="DA110" s="9"/>
      <c r="DB110" s="95"/>
      <c r="DC110" s="8"/>
      <c r="DD110" s="8"/>
      <c r="DE110" s="8"/>
      <c r="DF110" s="96" t="str">
        <f t="array" ref="DF110">xlookup(EF110,data!$M$2:$M$17,data!$N$2:$N$17,"")</f>
        <v/>
      </c>
      <c r="DG110" s="8"/>
      <c r="DH110" s="8"/>
      <c r="DI110" s="8"/>
      <c r="DJ110" s="8"/>
      <c r="DK110" s="8"/>
      <c r="DL110" s="8"/>
      <c r="DM110" s="8"/>
      <c r="DN110" s="8"/>
      <c r="DO110" s="8"/>
      <c r="DP110" s="8"/>
      <c r="DQ110" s="8"/>
      <c r="DR110" s="8"/>
      <c r="DS110" s="8"/>
      <c r="DT110" s="8"/>
      <c r="DU110" s="8"/>
      <c r="DV110" s="8"/>
      <c r="DW110" s="8"/>
      <c r="DX110" s="8"/>
      <c r="DY110" s="8"/>
      <c r="DZ110" s="8"/>
      <c r="EA110" s="8"/>
      <c r="EB110" s="131" t="str">
        <f t="array" ref="EB110">xlookup(EF110,data!$M$2:$M$17,data!$O$2:$O$17,"")</f>
        <v/>
      </c>
      <c r="EC110" s="8"/>
      <c r="ED110" s="8"/>
      <c r="EE110" s="98"/>
      <c r="EF110" s="119" t="str">
        <f>if($DD$6=0,"",reseeding!AD5)</f>
        <v/>
      </c>
      <c r="EG110" s="54"/>
      <c r="EH110" s="54"/>
      <c r="EI110" s="119" t="str">
        <f>if($DD$6=0,"",reseeding!AC14)</f>
        <v/>
      </c>
      <c r="EJ110" s="130" t="str">
        <f t="array" ref="EJ110">xlookup(EI110,data!$M$2:$M$17,data!$O$2:$O$17,"")</f>
        <v/>
      </c>
      <c r="EK110" s="8"/>
      <c r="EL110" s="8"/>
      <c r="EM110" s="8"/>
      <c r="EN110" s="93" t="str">
        <f t="array" ref="EN110">xlookup(EI110,data!$M$2:$M$17,data!$N$2:$N$17,"")</f>
        <v/>
      </c>
      <c r="EO110" s="8"/>
      <c r="EP110" s="8"/>
      <c r="EQ110" s="8"/>
      <c r="ER110" s="8"/>
      <c r="ES110" s="8"/>
      <c r="ET110" s="8"/>
      <c r="EU110" s="8"/>
      <c r="EV110" s="8"/>
      <c r="EW110" s="8"/>
      <c r="EX110" s="8"/>
      <c r="EY110" s="8"/>
      <c r="EZ110" s="8"/>
      <c r="FA110" s="8"/>
      <c r="FB110" s="8"/>
      <c r="FC110" s="8"/>
      <c r="FD110" s="8"/>
      <c r="FE110" s="8"/>
      <c r="FF110" s="8"/>
      <c r="FG110" s="8"/>
      <c r="FH110" s="8"/>
      <c r="FI110" s="8"/>
      <c r="FJ110" s="94"/>
      <c r="FK110" s="8"/>
      <c r="FL110" s="8"/>
      <c r="FM110" s="9"/>
      <c r="FN110" s="95"/>
      <c r="FO110" s="8"/>
      <c r="FP110" s="8"/>
      <c r="FQ110" s="8"/>
      <c r="FR110" s="96" t="str">
        <f t="array" ref="FR110">xlookup(GR110,data!$M$2:$M$17,data!$N$2:$N$17,"")</f>
        <v/>
      </c>
      <c r="FS110" s="8"/>
      <c r="FT110" s="8"/>
      <c r="FU110" s="8"/>
      <c r="FV110" s="8"/>
      <c r="FW110" s="8"/>
      <c r="FX110" s="8"/>
      <c r="FY110" s="8"/>
      <c r="FZ110" s="8"/>
      <c r="GA110" s="8"/>
      <c r="GB110" s="8"/>
      <c r="GC110" s="8"/>
      <c r="GD110" s="8"/>
      <c r="GE110" s="8"/>
      <c r="GF110" s="8"/>
      <c r="GG110" s="8"/>
      <c r="GH110" s="8"/>
      <c r="GI110" s="8"/>
      <c r="GJ110" s="8"/>
      <c r="GK110" s="8"/>
      <c r="GL110" s="8"/>
      <c r="GM110" s="8"/>
      <c r="GN110" s="131" t="str">
        <f t="array" ref="GN110">xlookup(GR110,data!$M$2:$M$17,data!$O$2:$O$17,"")</f>
        <v/>
      </c>
      <c r="GO110" s="8"/>
      <c r="GP110" s="8"/>
      <c r="GQ110" s="98"/>
      <c r="GR110" s="119" t="str">
        <f>if($DD$6=0,"",reseeding!AD14)</f>
        <v/>
      </c>
      <c r="GS110" s="54"/>
      <c r="GT110" s="54"/>
      <c r="GU110" s="54"/>
      <c r="GV110" s="54"/>
      <c r="GW110" s="54"/>
      <c r="GX110" s="54"/>
      <c r="GY110" s="54"/>
      <c r="GZ110" s="54"/>
      <c r="HA110" s="54"/>
      <c r="HB110" s="54"/>
      <c r="HC110" s="54"/>
      <c r="HD110" s="54"/>
      <c r="HE110" s="54"/>
      <c r="HF110" s="54"/>
      <c r="HG110" s="54"/>
      <c r="HH110" s="54"/>
      <c r="HI110" s="54"/>
      <c r="HJ110" s="54"/>
      <c r="HK110" s="54"/>
      <c r="HL110" s="54"/>
      <c r="HM110" s="54"/>
      <c r="HN110" s="54"/>
      <c r="HO110" s="54"/>
      <c r="HP110" s="54"/>
      <c r="HQ110" s="54"/>
      <c r="HR110" s="54"/>
      <c r="HS110" s="54"/>
      <c r="HT110" s="54"/>
      <c r="HU110" s="54"/>
      <c r="HV110" s="54"/>
      <c r="HW110" s="54"/>
      <c r="HX110" s="54"/>
      <c r="HY110" s="54"/>
      <c r="HZ110" s="54"/>
      <c r="IA110" s="54"/>
      <c r="IB110" s="54"/>
      <c r="IC110" s="54"/>
      <c r="ID110" s="54"/>
      <c r="IE110" s="54"/>
      <c r="IF110" s="54"/>
      <c r="IG110" s="54"/>
      <c r="IH110" s="54"/>
      <c r="II110" s="54"/>
      <c r="IJ110" s="54"/>
      <c r="IK110" s="54"/>
      <c r="IL110" s="54"/>
      <c r="IM110" s="54"/>
      <c r="IN110" s="54"/>
      <c r="IO110" s="54"/>
      <c r="IP110" s="54"/>
      <c r="IQ110" s="54"/>
      <c r="IR110" s="54"/>
      <c r="IS110" s="54"/>
      <c r="IT110" s="54"/>
      <c r="IU110" s="54"/>
      <c r="IV110" s="54"/>
      <c r="IW110" s="54"/>
      <c r="IX110" s="54"/>
      <c r="IY110" s="54"/>
      <c r="IZ110" s="54"/>
      <c r="JA110" s="54"/>
      <c r="JB110" s="54"/>
      <c r="JC110" s="54"/>
      <c r="JD110" s="54"/>
      <c r="JE110" s="54"/>
      <c r="JF110" s="54"/>
      <c r="JG110" s="54"/>
      <c r="JH110" s="54"/>
      <c r="JI110" s="54"/>
      <c r="JJ110" s="54"/>
      <c r="JK110" s="54"/>
      <c r="JL110" s="54"/>
      <c r="JM110" s="54"/>
      <c r="JN110" s="54"/>
      <c r="JO110" s="54"/>
      <c r="JP110" s="54"/>
      <c r="JQ110" s="54"/>
      <c r="JR110" s="54"/>
      <c r="JS110" s="54"/>
      <c r="JT110" s="54"/>
      <c r="JU110" s="54"/>
      <c r="JV110" s="54"/>
      <c r="JW110" s="54"/>
      <c r="JX110" s="54"/>
      <c r="JY110" s="54"/>
      <c r="JZ110" s="54"/>
      <c r="KA110" s="54"/>
      <c r="KB110" s="54"/>
      <c r="KC110" s="54"/>
      <c r="KD110" s="54"/>
      <c r="KE110" s="54"/>
      <c r="KF110" s="54"/>
      <c r="KG110" s="54"/>
      <c r="KH110" s="54"/>
      <c r="KI110" s="54"/>
      <c r="KJ110" s="54"/>
      <c r="KK110" s="54"/>
      <c r="KL110" s="54"/>
      <c r="KM110" s="54"/>
      <c r="KN110" s="54"/>
      <c r="KO110" s="54"/>
      <c r="KP110" s="54"/>
      <c r="KQ110" s="54"/>
      <c r="KR110" s="54"/>
      <c r="KS110" s="54"/>
      <c r="KT110" s="54"/>
      <c r="KU110" s="54"/>
      <c r="KV110" s="54"/>
      <c r="KW110" s="54"/>
      <c r="KX110" s="54"/>
    </row>
    <row r="111" ht="5.2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c r="BS111" s="54"/>
      <c r="BT111" s="54"/>
      <c r="BU111" s="54"/>
      <c r="BV111" s="54"/>
      <c r="BW111" s="108"/>
      <c r="BX111" s="60"/>
      <c r="DA111" s="11"/>
      <c r="DB111" s="10"/>
      <c r="EE111" s="61"/>
      <c r="EF111" s="108"/>
      <c r="EG111" s="54"/>
      <c r="EH111" s="54"/>
      <c r="EI111" s="108"/>
      <c r="EJ111" s="60"/>
      <c r="FM111" s="11"/>
      <c r="FN111" s="10"/>
      <c r="GQ111" s="61"/>
      <c r="GR111" s="108"/>
      <c r="GS111" s="54"/>
      <c r="GT111" s="54"/>
      <c r="GU111" s="54"/>
      <c r="GV111" s="54"/>
      <c r="GW111" s="54"/>
      <c r="GX111" s="54"/>
      <c r="GY111" s="54"/>
      <c r="GZ111" s="54"/>
      <c r="HA111" s="54"/>
      <c r="HB111" s="54"/>
      <c r="HC111" s="54"/>
      <c r="HD111" s="54"/>
      <c r="HE111" s="54"/>
      <c r="HF111" s="54"/>
      <c r="HG111" s="54"/>
      <c r="HH111" s="54"/>
      <c r="HI111" s="54"/>
      <c r="HJ111" s="54"/>
      <c r="HK111" s="54"/>
      <c r="HL111" s="54"/>
      <c r="HM111" s="54"/>
      <c r="HN111" s="54"/>
      <c r="HO111" s="54"/>
      <c r="HP111" s="54"/>
      <c r="HQ111" s="54"/>
      <c r="HR111" s="54"/>
      <c r="HS111" s="54"/>
      <c r="HT111" s="54"/>
      <c r="HU111" s="54"/>
      <c r="HV111" s="54"/>
      <c r="HW111" s="54"/>
      <c r="HX111" s="54"/>
      <c r="HY111" s="54"/>
      <c r="HZ111" s="54"/>
      <c r="IA111" s="54"/>
      <c r="IB111" s="54"/>
      <c r="IC111" s="54"/>
      <c r="ID111" s="54"/>
      <c r="IE111" s="54"/>
      <c r="IF111" s="54"/>
      <c r="IG111" s="54"/>
      <c r="IH111" s="54"/>
      <c r="II111" s="54"/>
      <c r="IJ111" s="54"/>
      <c r="IK111" s="54"/>
      <c r="IL111" s="54"/>
      <c r="IM111" s="54"/>
      <c r="IN111" s="54"/>
      <c r="IO111" s="54"/>
      <c r="IP111" s="54"/>
      <c r="IQ111" s="54"/>
      <c r="IR111" s="54"/>
      <c r="IS111" s="54"/>
      <c r="IT111" s="54"/>
      <c r="IU111" s="54"/>
      <c r="IV111" s="54"/>
      <c r="IW111" s="54"/>
      <c r="IX111" s="54"/>
      <c r="IY111" s="54"/>
      <c r="IZ111" s="54"/>
      <c r="JA111" s="54"/>
      <c r="JB111" s="54"/>
      <c r="JC111" s="54"/>
      <c r="JD111" s="54"/>
      <c r="JE111" s="54"/>
      <c r="JF111" s="54"/>
      <c r="JG111" s="54"/>
      <c r="JH111" s="54"/>
      <c r="JI111" s="54"/>
      <c r="JJ111" s="54"/>
      <c r="JK111" s="54"/>
      <c r="JL111" s="54"/>
      <c r="JM111" s="54"/>
      <c r="JN111" s="54"/>
      <c r="JO111" s="54"/>
      <c r="JP111" s="54"/>
      <c r="JQ111" s="54"/>
      <c r="JR111" s="54"/>
      <c r="JS111" s="54"/>
      <c r="JT111" s="54"/>
      <c r="JU111" s="54"/>
      <c r="JV111" s="54"/>
      <c r="JW111" s="54"/>
      <c r="JX111" s="54"/>
      <c r="JY111" s="54"/>
      <c r="JZ111" s="54"/>
      <c r="KA111" s="54"/>
      <c r="KB111" s="54"/>
      <c r="KC111" s="54"/>
      <c r="KD111" s="54"/>
      <c r="KE111" s="54"/>
      <c r="KF111" s="54"/>
      <c r="KG111" s="54"/>
      <c r="KH111" s="54"/>
      <c r="KI111" s="54"/>
      <c r="KJ111" s="54"/>
      <c r="KK111" s="54"/>
      <c r="KL111" s="54"/>
      <c r="KM111" s="54"/>
      <c r="KN111" s="54"/>
      <c r="KO111" s="54"/>
      <c r="KP111" s="54"/>
      <c r="KQ111" s="54"/>
      <c r="KR111" s="54"/>
      <c r="KS111" s="54"/>
      <c r="KT111" s="54"/>
      <c r="KU111" s="54"/>
      <c r="KV111" s="54"/>
      <c r="KW111" s="54"/>
      <c r="KX111" s="54"/>
    </row>
    <row r="112" ht="5.2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c r="BS112" s="54"/>
      <c r="BT112" s="54"/>
      <c r="BU112" s="54"/>
      <c r="BV112" s="54"/>
      <c r="BW112" s="108"/>
      <c r="BX112" s="60"/>
      <c r="DA112" s="11"/>
      <c r="DB112" s="10"/>
      <c r="EE112" s="61"/>
      <c r="EF112" s="108"/>
      <c r="EG112" s="54"/>
      <c r="EH112" s="54"/>
      <c r="EI112" s="108"/>
      <c r="EJ112" s="60"/>
      <c r="FM112" s="11"/>
      <c r="FN112" s="10"/>
      <c r="GQ112" s="61"/>
      <c r="GR112" s="108"/>
      <c r="GS112" s="54"/>
      <c r="GT112" s="54"/>
      <c r="GU112" s="54"/>
      <c r="GV112" s="54"/>
      <c r="GW112" s="54"/>
      <c r="GX112" s="54"/>
      <c r="GY112" s="54"/>
      <c r="GZ112" s="54"/>
      <c r="HA112" s="54"/>
      <c r="HB112" s="54"/>
      <c r="HC112" s="54"/>
      <c r="HD112" s="54"/>
      <c r="HE112" s="54"/>
      <c r="HF112" s="54"/>
      <c r="HG112" s="54"/>
      <c r="HH112" s="54"/>
      <c r="HI112" s="54"/>
      <c r="HJ112" s="54"/>
      <c r="HK112" s="54"/>
      <c r="HL112" s="54"/>
      <c r="HM112" s="54"/>
      <c r="HN112" s="54"/>
      <c r="HO112" s="54"/>
      <c r="HP112" s="54"/>
      <c r="HQ112" s="54"/>
      <c r="HR112" s="54"/>
      <c r="HS112" s="54"/>
      <c r="HT112" s="54"/>
      <c r="HU112" s="54"/>
      <c r="HV112" s="54"/>
      <c r="HW112" s="54"/>
      <c r="HX112" s="54"/>
      <c r="HY112" s="54"/>
      <c r="HZ112" s="54"/>
      <c r="IA112" s="54"/>
      <c r="IB112" s="54"/>
      <c r="IC112" s="54"/>
      <c r="ID112" s="54"/>
      <c r="IE112" s="54"/>
      <c r="IF112" s="54"/>
      <c r="IG112" s="54"/>
      <c r="IH112" s="54"/>
      <c r="II112" s="54"/>
      <c r="IJ112" s="54"/>
      <c r="IK112" s="54"/>
      <c r="IL112" s="54"/>
      <c r="IM112" s="54"/>
      <c r="IN112" s="54"/>
      <c r="IO112" s="54"/>
      <c r="IP112" s="54"/>
      <c r="IQ112" s="54"/>
      <c r="IR112" s="54"/>
      <c r="IS112" s="54"/>
      <c r="IT112" s="54"/>
      <c r="IU112" s="54"/>
      <c r="IV112" s="54"/>
      <c r="IW112" s="54"/>
      <c r="IX112" s="54"/>
      <c r="IY112" s="54"/>
      <c r="IZ112" s="54"/>
      <c r="JA112" s="54"/>
      <c r="JB112" s="54"/>
      <c r="JC112" s="54"/>
      <c r="JD112" s="54"/>
      <c r="JE112" s="54"/>
      <c r="JF112" s="54"/>
      <c r="JG112" s="54"/>
      <c r="JH112" s="54"/>
      <c r="JI112" s="54"/>
      <c r="JJ112" s="54"/>
      <c r="JK112" s="54"/>
      <c r="JL112" s="54"/>
      <c r="JM112" s="54"/>
      <c r="JN112" s="54"/>
      <c r="JO112" s="54"/>
      <c r="JP112" s="54"/>
      <c r="JQ112" s="54"/>
      <c r="JR112" s="54"/>
      <c r="JS112" s="54"/>
      <c r="JT112" s="54"/>
      <c r="JU112" s="54"/>
      <c r="JV112" s="54"/>
      <c r="JW112" s="54"/>
      <c r="JX112" s="54"/>
      <c r="JY112" s="54"/>
      <c r="JZ112" s="54"/>
      <c r="KA112" s="54"/>
      <c r="KB112" s="54"/>
      <c r="KC112" s="54"/>
      <c r="KD112" s="54"/>
      <c r="KE112" s="54"/>
      <c r="KF112" s="54"/>
      <c r="KG112" s="54"/>
      <c r="KH112" s="54"/>
      <c r="KI112" s="54"/>
      <c r="KJ112" s="54"/>
      <c r="KK112" s="54"/>
      <c r="KL112" s="54"/>
      <c r="KM112" s="54"/>
      <c r="KN112" s="54"/>
      <c r="KO112" s="54"/>
      <c r="KP112" s="54"/>
      <c r="KQ112" s="54"/>
      <c r="KR112" s="54"/>
      <c r="KS112" s="54"/>
      <c r="KT112" s="54"/>
      <c r="KU112" s="54"/>
      <c r="KV112" s="54"/>
      <c r="KW112" s="54"/>
      <c r="KX112" s="54"/>
    </row>
    <row r="113" ht="5.2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c r="BS113" s="54"/>
      <c r="BT113" s="54"/>
      <c r="BU113" s="54"/>
      <c r="BV113" s="54"/>
      <c r="BW113" s="108"/>
      <c r="BX113" s="60"/>
      <c r="DA113" s="11"/>
      <c r="DB113" s="10"/>
      <c r="EE113" s="61"/>
      <c r="EF113" s="108"/>
      <c r="EG113" s="54"/>
      <c r="EH113" s="54"/>
      <c r="EI113" s="108"/>
      <c r="EJ113" s="60"/>
      <c r="FM113" s="11"/>
      <c r="FN113" s="10"/>
      <c r="GQ113" s="61"/>
      <c r="GR113" s="108"/>
      <c r="GS113" s="54"/>
      <c r="GT113" s="54"/>
      <c r="GU113" s="54"/>
      <c r="GV113" s="54"/>
      <c r="GW113" s="54"/>
      <c r="GX113" s="54"/>
      <c r="GY113" s="54"/>
      <c r="GZ113" s="54"/>
      <c r="HA113" s="54"/>
      <c r="HB113" s="54"/>
      <c r="HC113" s="54"/>
      <c r="HD113" s="54"/>
      <c r="HE113" s="54"/>
      <c r="HF113" s="54"/>
      <c r="HG113" s="54"/>
      <c r="HH113" s="54"/>
      <c r="HI113" s="54"/>
      <c r="HJ113" s="54"/>
      <c r="HK113" s="54"/>
      <c r="HL113" s="54"/>
      <c r="HM113" s="54"/>
      <c r="HN113" s="54"/>
      <c r="HO113" s="54"/>
      <c r="HP113" s="54"/>
      <c r="HQ113" s="54"/>
      <c r="HR113" s="54"/>
      <c r="HS113" s="54"/>
      <c r="HT113" s="54"/>
      <c r="HU113" s="54"/>
      <c r="HV113" s="54"/>
      <c r="HW113" s="54"/>
      <c r="HX113" s="54"/>
      <c r="HY113" s="54"/>
      <c r="HZ113" s="54"/>
      <c r="IA113" s="54"/>
      <c r="IB113" s="54"/>
      <c r="IC113" s="54"/>
      <c r="ID113" s="54"/>
      <c r="IE113" s="54"/>
      <c r="IF113" s="54"/>
      <c r="IG113" s="54"/>
      <c r="IH113" s="54"/>
      <c r="II113" s="54"/>
      <c r="IJ113" s="54"/>
      <c r="IK113" s="54"/>
      <c r="IL113" s="54"/>
      <c r="IM113" s="54"/>
      <c r="IN113" s="54"/>
      <c r="IO113" s="54"/>
      <c r="IP113" s="54"/>
      <c r="IQ113" s="54"/>
      <c r="IR113" s="54"/>
      <c r="IS113" s="54"/>
      <c r="IT113" s="54"/>
      <c r="IU113" s="54"/>
      <c r="IV113" s="54"/>
      <c r="IW113" s="54"/>
      <c r="IX113" s="54"/>
      <c r="IY113" s="54"/>
      <c r="IZ113" s="54"/>
      <c r="JA113" s="54"/>
      <c r="JB113" s="54"/>
      <c r="JC113" s="54"/>
      <c r="JD113" s="54"/>
      <c r="JE113" s="54"/>
      <c r="JF113" s="54"/>
      <c r="JG113" s="54"/>
      <c r="JH113" s="54"/>
      <c r="JI113" s="54"/>
      <c r="JJ113" s="54"/>
      <c r="JK113" s="54"/>
      <c r="JL113" s="54"/>
      <c r="JM113" s="54"/>
      <c r="JN113" s="54"/>
      <c r="JO113" s="54"/>
      <c r="JP113" s="54"/>
      <c r="JQ113" s="54"/>
      <c r="JR113" s="54"/>
      <c r="JS113" s="54"/>
      <c r="JT113" s="54"/>
      <c r="JU113" s="54"/>
      <c r="JV113" s="54"/>
      <c r="JW113" s="54"/>
      <c r="JX113" s="54"/>
      <c r="JY113" s="54"/>
      <c r="JZ113" s="54"/>
      <c r="KA113" s="54"/>
      <c r="KB113" s="54"/>
      <c r="KC113" s="54"/>
      <c r="KD113" s="54"/>
      <c r="KE113" s="54"/>
      <c r="KF113" s="54"/>
      <c r="KG113" s="54"/>
      <c r="KH113" s="54"/>
      <c r="KI113" s="54"/>
      <c r="KJ113" s="54"/>
      <c r="KK113" s="54"/>
      <c r="KL113" s="54"/>
      <c r="KM113" s="54"/>
      <c r="KN113" s="54"/>
      <c r="KO113" s="54"/>
      <c r="KP113" s="54"/>
      <c r="KQ113" s="54"/>
      <c r="KR113" s="54"/>
      <c r="KS113" s="54"/>
      <c r="KT113" s="54"/>
      <c r="KU113" s="54"/>
      <c r="KV113" s="54"/>
      <c r="KW113" s="54"/>
      <c r="KX113" s="54"/>
    </row>
    <row r="114" ht="5.2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c r="BL114" s="54"/>
      <c r="BM114" s="54"/>
      <c r="BN114" s="54"/>
      <c r="BO114" s="54"/>
      <c r="BP114" s="54"/>
      <c r="BQ114" s="54"/>
      <c r="BR114" s="54"/>
      <c r="BS114" s="54"/>
      <c r="BT114" s="54"/>
      <c r="BU114" s="54"/>
      <c r="BV114" s="54"/>
      <c r="BW114" s="119" t="str">
        <f>BW110</f>
        <v/>
      </c>
      <c r="BX114" s="112"/>
      <c r="CF114" s="122"/>
      <c r="CH114" s="11"/>
      <c r="CI114" s="127"/>
      <c r="CK114" s="11"/>
      <c r="CL114" s="126"/>
      <c r="CO114" s="108"/>
      <c r="CX114" s="85">
        <f>sum(CF114:CN116)</f>
        <v>0</v>
      </c>
      <c r="DA114" s="11"/>
      <c r="DB114" s="86">
        <f>sum(DO114:DW116)</f>
        <v>0</v>
      </c>
      <c r="DF114" s="108"/>
      <c r="DG114" s="108"/>
      <c r="DH114" s="108"/>
      <c r="DI114" s="108"/>
      <c r="DJ114" s="108"/>
      <c r="DK114" s="108"/>
      <c r="DL114" s="108"/>
      <c r="DM114" s="108"/>
      <c r="DN114" s="108"/>
      <c r="DO114" s="134"/>
      <c r="DQ114" s="11"/>
      <c r="DR114" s="126"/>
      <c r="DT114" s="11"/>
      <c r="DU114" s="127"/>
      <c r="DX114" s="108"/>
      <c r="DY114" s="108"/>
      <c r="DZ114" s="108"/>
      <c r="EA114" s="108"/>
      <c r="EB114" s="108"/>
      <c r="EC114" s="108"/>
      <c r="ED114" s="108"/>
      <c r="EE114" s="116"/>
      <c r="EF114" s="119" t="str">
        <f>EF110</f>
        <v/>
      </c>
      <c r="EG114" s="54"/>
      <c r="EH114" s="54"/>
      <c r="EI114" s="119" t="str">
        <f>EI110</f>
        <v/>
      </c>
      <c r="EJ114" s="112"/>
      <c r="ER114" s="122"/>
      <c r="ET114" s="11"/>
      <c r="EU114" s="127"/>
      <c r="EW114" s="11"/>
      <c r="EX114" s="132"/>
      <c r="FA114" s="108"/>
      <c r="FJ114" s="85">
        <f>sum(ER114:EZ116)</f>
        <v>0</v>
      </c>
      <c r="FM114" s="11"/>
      <c r="FN114" s="86">
        <f>sum(GA114:GI116)</f>
        <v>0</v>
      </c>
      <c r="FR114" s="108"/>
      <c r="FS114" s="108"/>
      <c r="FT114" s="108"/>
      <c r="FU114" s="108"/>
      <c r="FV114" s="108"/>
      <c r="FW114" s="108"/>
      <c r="FX114" s="108"/>
      <c r="FY114" s="108"/>
      <c r="FZ114" s="108"/>
      <c r="GA114" s="133"/>
      <c r="GC114" s="11"/>
      <c r="GD114" s="126"/>
      <c r="GF114" s="11"/>
      <c r="GG114" s="127"/>
      <c r="GJ114" s="108"/>
      <c r="GK114" s="108"/>
      <c r="GL114" s="108"/>
      <c r="GM114" s="108"/>
      <c r="GN114" s="108"/>
      <c r="GO114" s="108"/>
      <c r="GP114" s="108"/>
      <c r="GQ114" s="116"/>
      <c r="GR114" s="119" t="str">
        <f>GR110</f>
        <v/>
      </c>
      <c r="GS114" s="54"/>
      <c r="GT114" s="54"/>
      <c r="GU114" s="54"/>
      <c r="GV114" s="54"/>
      <c r="GW114" s="54"/>
      <c r="GX114" s="54"/>
      <c r="GY114" s="54"/>
      <c r="GZ114" s="54"/>
      <c r="HA114" s="54"/>
      <c r="HB114" s="54"/>
      <c r="HC114" s="54"/>
      <c r="HD114" s="54"/>
      <c r="HE114" s="54"/>
      <c r="HF114" s="54"/>
      <c r="HG114" s="54"/>
      <c r="HH114" s="54"/>
      <c r="HI114" s="54"/>
      <c r="HJ114" s="54"/>
      <c r="HK114" s="54"/>
      <c r="HL114" s="54"/>
      <c r="HM114" s="54"/>
      <c r="HN114" s="54"/>
      <c r="HO114" s="54"/>
      <c r="HP114" s="54"/>
      <c r="HQ114" s="54"/>
      <c r="HR114" s="54"/>
      <c r="HS114" s="54"/>
      <c r="HT114" s="54"/>
      <c r="HU114" s="54"/>
      <c r="HV114" s="54"/>
      <c r="HW114" s="54"/>
      <c r="HX114" s="54"/>
      <c r="HY114" s="54"/>
      <c r="HZ114" s="54"/>
      <c r="IA114" s="54"/>
      <c r="IB114" s="54"/>
      <c r="IC114" s="54"/>
      <c r="ID114" s="54"/>
      <c r="IE114" s="54"/>
      <c r="IF114" s="54"/>
      <c r="IG114" s="54"/>
      <c r="IH114" s="54"/>
      <c r="II114" s="54"/>
      <c r="IJ114" s="54"/>
      <c r="IK114" s="54"/>
      <c r="IL114" s="54"/>
      <c r="IM114" s="54"/>
      <c r="IN114" s="54"/>
      <c r="IO114" s="54"/>
      <c r="IP114" s="54"/>
      <c r="IQ114" s="54"/>
      <c r="IR114" s="54"/>
      <c r="IS114" s="54"/>
      <c r="IT114" s="54"/>
      <c r="IU114" s="54"/>
      <c r="IV114" s="54"/>
      <c r="IW114" s="54"/>
      <c r="IX114" s="54"/>
      <c r="IY114" s="54"/>
      <c r="IZ114" s="54"/>
      <c r="JA114" s="54"/>
      <c r="JB114" s="54"/>
      <c r="JC114" s="54"/>
      <c r="JD114" s="54"/>
      <c r="JE114" s="54"/>
      <c r="JF114" s="54"/>
      <c r="JG114" s="54"/>
      <c r="JH114" s="54"/>
      <c r="JI114" s="54"/>
      <c r="JJ114" s="54"/>
      <c r="JK114" s="54"/>
      <c r="JL114" s="54"/>
      <c r="JM114" s="54"/>
      <c r="JN114" s="54"/>
      <c r="JO114" s="54"/>
      <c r="JP114" s="54"/>
      <c r="JQ114" s="54"/>
      <c r="JR114" s="54"/>
      <c r="JS114" s="54"/>
      <c r="JT114" s="54"/>
      <c r="JU114" s="54"/>
      <c r="JV114" s="54"/>
      <c r="JW114" s="54"/>
      <c r="JX114" s="54"/>
      <c r="JY114" s="54"/>
      <c r="JZ114" s="54"/>
      <c r="KA114" s="54"/>
      <c r="KB114" s="54"/>
      <c r="KC114" s="54"/>
      <c r="KD114" s="54"/>
      <c r="KE114" s="54"/>
      <c r="KF114" s="54"/>
      <c r="KG114" s="54"/>
      <c r="KH114" s="54"/>
      <c r="KI114" s="54"/>
      <c r="KJ114" s="54"/>
      <c r="KK114" s="54"/>
      <c r="KL114" s="54"/>
      <c r="KM114" s="54"/>
      <c r="KN114" s="54"/>
      <c r="KO114" s="54"/>
      <c r="KP114" s="54"/>
      <c r="KQ114" s="54"/>
      <c r="KR114" s="54"/>
      <c r="KS114" s="54"/>
      <c r="KT114" s="54"/>
      <c r="KU114" s="54"/>
      <c r="KV114" s="54"/>
      <c r="KW114" s="54"/>
      <c r="KX114" s="54"/>
    </row>
    <row r="115" ht="5.2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c r="BO115" s="54"/>
      <c r="BP115" s="54"/>
      <c r="BQ115" s="54"/>
      <c r="BR115" s="54"/>
      <c r="BS115" s="54"/>
      <c r="BT115" s="54"/>
      <c r="BU115" s="54"/>
      <c r="BV115" s="54"/>
      <c r="BW115" s="108"/>
      <c r="BX115" s="60"/>
      <c r="CH115" s="11"/>
      <c r="CI115" s="10"/>
      <c r="CK115" s="11"/>
      <c r="CL115" s="10"/>
      <c r="DA115" s="11"/>
      <c r="DB115" s="10"/>
      <c r="DF115" s="108"/>
      <c r="DG115" s="108"/>
      <c r="DH115" s="108"/>
      <c r="DI115" s="108"/>
      <c r="DJ115" s="108"/>
      <c r="DK115" s="108"/>
      <c r="DL115" s="108"/>
      <c r="DM115" s="108"/>
      <c r="DN115" s="108"/>
      <c r="DQ115" s="11"/>
      <c r="DR115" s="10"/>
      <c r="DT115" s="11"/>
      <c r="DU115" s="10"/>
      <c r="DX115" s="108"/>
      <c r="DY115" s="108"/>
      <c r="DZ115" s="108"/>
      <c r="EA115" s="108"/>
      <c r="EB115" s="108"/>
      <c r="EC115" s="108"/>
      <c r="ED115" s="108"/>
      <c r="EE115" s="116"/>
      <c r="EF115" s="108"/>
      <c r="EG115" s="54"/>
      <c r="EH115" s="54"/>
      <c r="EI115" s="108"/>
      <c r="EJ115" s="60"/>
      <c r="ET115" s="11"/>
      <c r="EU115" s="10"/>
      <c r="EW115" s="11"/>
      <c r="EX115" s="10"/>
      <c r="FM115" s="11"/>
      <c r="FN115" s="10"/>
      <c r="FR115" s="108"/>
      <c r="FS115" s="108"/>
      <c r="FT115" s="108"/>
      <c r="FU115" s="108"/>
      <c r="FV115" s="108"/>
      <c r="FW115" s="108"/>
      <c r="FX115" s="108"/>
      <c r="FY115" s="108"/>
      <c r="FZ115" s="108"/>
      <c r="GC115" s="11"/>
      <c r="GD115" s="10"/>
      <c r="GF115" s="11"/>
      <c r="GG115" s="10"/>
      <c r="GJ115" s="108"/>
      <c r="GK115" s="108"/>
      <c r="GL115" s="108"/>
      <c r="GM115" s="108"/>
      <c r="GN115" s="108"/>
      <c r="GO115" s="108"/>
      <c r="GP115" s="108"/>
      <c r="GQ115" s="116"/>
      <c r="GR115" s="108"/>
      <c r="GS115" s="54"/>
      <c r="GT115" s="54"/>
      <c r="GU115" s="54"/>
      <c r="GV115" s="54"/>
      <c r="GW115" s="54"/>
      <c r="GX115" s="54"/>
      <c r="GY115" s="54"/>
      <c r="GZ115" s="54"/>
      <c r="HA115" s="54"/>
      <c r="HB115" s="54"/>
      <c r="HC115" s="54"/>
      <c r="HD115" s="54"/>
      <c r="HE115" s="54"/>
      <c r="HF115" s="54"/>
      <c r="HG115" s="54"/>
      <c r="HH115" s="54"/>
      <c r="HI115" s="54"/>
      <c r="HJ115" s="54"/>
      <c r="HK115" s="54"/>
      <c r="HL115" s="54"/>
      <c r="HM115" s="54"/>
      <c r="HN115" s="54"/>
      <c r="HO115" s="54"/>
      <c r="HP115" s="54"/>
      <c r="HQ115" s="54"/>
      <c r="HR115" s="54"/>
      <c r="HS115" s="54"/>
      <c r="HT115" s="54"/>
      <c r="HU115" s="54"/>
      <c r="HV115" s="54"/>
      <c r="HW115" s="54"/>
      <c r="HX115" s="54"/>
      <c r="HY115" s="54"/>
      <c r="HZ115" s="54"/>
      <c r="IA115" s="54"/>
      <c r="IB115" s="54"/>
      <c r="IC115" s="54"/>
      <c r="ID115" s="54"/>
      <c r="IE115" s="54"/>
      <c r="IF115" s="54"/>
      <c r="IG115" s="54"/>
      <c r="IH115" s="54"/>
      <c r="II115" s="54"/>
      <c r="IJ115" s="54"/>
      <c r="IK115" s="54"/>
      <c r="IL115" s="54"/>
      <c r="IM115" s="54"/>
      <c r="IN115" s="54"/>
      <c r="IO115" s="54"/>
      <c r="IP115" s="54"/>
      <c r="IQ115" s="54"/>
      <c r="IR115" s="54"/>
      <c r="IS115" s="54"/>
      <c r="IT115" s="54"/>
      <c r="IU115" s="54"/>
      <c r="IV115" s="54"/>
      <c r="IW115" s="54"/>
      <c r="IX115" s="54"/>
      <c r="IY115" s="54"/>
      <c r="IZ115" s="54"/>
      <c r="JA115" s="54"/>
      <c r="JB115" s="54"/>
      <c r="JC115" s="54"/>
      <c r="JD115" s="54"/>
      <c r="JE115" s="54"/>
      <c r="JF115" s="54"/>
      <c r="JG115" s="54"/>
      <c r="JH115" s="54"/>
      <c r="JI115" s="54"/>
      <c r="JJ115" s="54"/>
      <c r="JK115" s="54"/>
      <c r="JL115" s="54"/>
      <c r="JM115" s="54"/>
      <c r="JN115" s="54"/>
      <c r="JO115" s="54"/>
      <c r="JP115" s="54"/>
      <c r="JQ115" s="54"/>
      <c r="JR115" s="54"/>
      <c r="JS115" s="54"/>
      <c r="JT115" s="54"/>
      <c r="JU115" s="54"/>
      <c r="JV115" s="54"/>
      <c r="JW115" s="54"/>
      <c r="JX115" s="54"/>
      <c r="JY115" s="54"/>
      <c r="JZ115" s="54"/>
      <c r="KA115" s="54"/>
      <c r="KB115" s="54"/>
      <c r="KC115" s="54"/>
      <c r="KD115" s="54"/>
      <c r="KE115" s="54"/>
      <c r="KF115" s="54"/>
      <c r="KG115" s="54"/>
      <c r="KH115" s="54"/>
      <c r="KI115" s="54"/>
      <c r="KJ115" s="54"/>
      <c r="KK115" s="54"/>
      <c r="KL115" s="54"/>
      <c r="KM115" s="54"/>
      <c r="KN115" s="54"/>
      <c r="KO115" s="54"/>
      <c r="KP115" s="54"/>
      <c r="KQ115" s="54"/>
      <c r="KR115" s="54"/>
      <c r="KS115" s="54"/>
      <c r="KT115" s="54"/>
      <c r="KU115" s="54"/>
      <c r="KV115" s="54"/>
      <c r="KW115" s="54"/>
      <c r="KX115" s="54"/>
    </row>
    <row r="116" ht="5.2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c r="BS116" s="54"/>
      <c r="BT116" s="54"/>
      <c r="BU116" s="54"/>
      <c r="BV116" s="54"/>
      <c r="BW116" s="108"/>
      <c r="BX116" s="101"/>
      <c r="BY116" s="102"/>
      <c r="BZ116" s="102"/>
      <c r="CA116" s="102"/>
      <c r="CB116" s="102"/>
      <c r="CC116" s="102"/>
      <c r="CD116" s="102"/>
      <c r="CE116" s="102"/>
      <c r="CF116" s="102"/>
      <c r="CG116" s="102"/>
      <c r="CH116" s="103"/>
      <c r="CI116" s="104"/>
      <c r="CJ116" s="102"/>
      <c r="CK116" s="103"/>
      <c r="CL116" s="104"/>
      <c r="CM116" s="102"/>
      <c r="CN116" s="102"/>
      <c r="CO116" s="102"/>
      <c r="CP116" s="102"/>
      <c r="CQ116" s="102"/>
      <c r="CR116" s="102"/>
      <c r="CS116" s="102"/>
      <c r="CT116" s="102"/>
      <c r="CU116" s="102"/>
      <c r="CV116" s="102"/>
      <c r="CW116" s="102"/>
      <c r="CX116" s="102"/>
      <c r="CY116" s="102"/>
      <c r="CZ116" s="102"/>
      <c r="DA116" s="103"/>
      <c r="DB116" s="104"/>
      <c r="DC116" s="102"/>
      <c r="DD116" s="102"/>
      <c r="DE116" s="102"/>
      <c r="DF116" s="137"/>
      <c r="DG116" s="137"/>
      <c r="DH116" s="137"/>
      <c r="DI116" s="137"/>
      <c r="DJ116" s="137"/>
      <c r="DK116" s="137"/>
      <c r="DL116" s="137"/>
      <c r="DM116" s="137"/>
      <c r="DN116" s="137"/>
      <c r="DO116" s="102"/>
      <c r="DP116" s="102"/>
      <c r="DQ116" s="103"/>
      <c r="DR116" s="104"/>
      <c r="DS116" s="102"/>
      <c r="DT116" s="103"/>
      <c r="DU116" s="104"/>
      <c r="DV116" s="102"/>
      <c r="DW116" s="102"/>
      <c r="DX116" s="137"/>
      <c r="DY116" s="137"/>
      <c r="DZ116" s="137"/>
      <c r="EA116" s="137"/>
      <c r="EB116" s="137"/>
      <c r="EC116" s="137"/>
      <c r="ED116" s="137"/>
      <c r="EE116" s="138"/>
      <c r="EF116" s="108"/>
      <c r="EG116" s="54"/>
      <c r="EH116" s="54"/>
      <c r="EI116" s="108"/>
      <c r="EJ116" s="101"/>
      <c r="EK116" s="102"/>
      <c r="EL116" s="102"/>
      <c r="EM116" s="102"/>
      <c r="EN116" s="102"/>
      <c r="EO116" s="102"/>
      <c r="EP116" s="102"/>
      <c r="EQ116" s="102"/>
      <c r="ER116" s="102"/>
      <c r="ES116" s="102"/>
      <c r="ET116" s="103"/>
      <c r="EU116" s="104"/>
      <c r="EV116" s="102"/>
      <c r="EW116" s="103"/>
      <c r="EX116" s="104"/>
      <c r="EY116" s="102"/>
      <c r="EZ116" s="102"/>
      <c r="FA116" s="102"/>
      <c r="FB116" s="102"/>
      <c r="FC116" s="102"/>
      <c r="FD116" s="102"/>
      <c r="FE116" s="102"/>
      <c r="FF116" s="102"/>
      <c r="FG116" s="102"/>
      <c r="FH116" s="102"/>
      <c r="FI116" s="102"/>
      <c r="FJ116" s="102"/>
      <c r="FK116" s="102"/>
      <c r="FL116" s="102"/>
      <c r="FM116" s="103"/>
      <c r="FN116" s="104"/>
      <c r="FO116" s="102"/>
      <c r="FP116" s="102"/>
      <c r="FQ116" s="102"/>
      <c r="FR116" s="137"/>
      <c r="FS116" s="137"/>
      <c r="FT116" s="137"/>
      <c r="FU116" s="137"/>
      <c r="FV116" s="137"/>
      <c r="FW116" s="137"/>
      <c r="FX116" s="137"/>
      <c r="FY116" s="137"/>
      <c r="FZ116" s="137"/>
      <c r="GA116" s="102"/>
      <c r="GB116" s="102"/>
      <c r="GC116" s="103"/>
      <c r="GD116" s="104"/>
      <c r="GE116" s="102"/>
      <c r="GF116" s="103"/>
      <c r="GG116" s="104"/>
      <c r="GH116" s="102"/>
      <c r="GI116" s="102"/>
      <c r="GJ116" s="137"/>
      <c r="GK116" s="137"/>
      <c r="GL116" s="137"/>
      <c r="GM116" s="137"/>
      <c r="GN116" s="137"/>
      <c r="GO116" s="137"/>
      <c r="GP116" s="137"/>
      <c r="GQ116" s="138"/>
      <c r="GR116" s="108"/>
      <c r="GS116" s="54"/>
      <c r="GT116" s="54"/>
      <c r="GU116" s="54"/>
      <c r="GV116" s="54"/>
      <c r="GW116" s="54"/>
      <c r="GX116" s="54"/>
      <c r="GY116" s="54"/>
      <c r="GZ116" s="54"/>
      <c r="HA116" s="54"/>
      <c r="HB116" s="54"/>
      <c r="HC116" s="54"/>
      <c r="HD116" s="54"/>
      <c r="HE116" s="54"/>
      <c r="HF116" s="54"/>
      <c r="HG116" s="54"/>
      <c r="HH116" s="54"/>
      <c r="HI116" s="54"/>
      <c r="HJ116" s="54"/>
      <c r="HK116" s="54"/>
      <c r="HL116" s="54"/>
      <c r="HM116" s="54"/>
      <c r="HN116" s="54"/>
      <c r="HO116" s="54"/>
      <c r="HP116" s="54"/>
      <c r="HQ116" s="54"/>
      <c r="HR116" s="54"/>
      <c r="HS116" s="54"/>
      <c r="HT116" s="54"/>
      <c r="HU116" s="54"/>
      <c r="HV116" s="54"/>
      <c r="HW116" s="54"/>
      <c r="HX116" s="54"/>
      <c r="HY116" s="54"/>
      <c r="HZ116" s="54"/>
      <c r="IA116" s="54"/>
      <c r="IB116" s="54"/>
      <c r="IC116" s="54"/>
      <c r="ID116" s="54"/>
      <c r="IE116" s="54"/>
      <c r="IF116" s="54"/>
      <c r="IG116" s="54"/>
      <c r="IH116" s="54"/>
      <c r="II116" s="54"/>
      <c r="IJ116" s="54"/>
      <c r="IK116" s="54"/>
      <c r="IL116" s="54"/>
      <c r="IM116" s="54"/>
      <c r="IN116" s="54"/>
      <c r="IO116" s="54"/>
      <c r="IP116" s="54"/>
      <c r="IQ116" s="54"/>
      <c r="IR116" s="54"/>
      <c r="IS116" s="54"/>
      <c r="IT116" s="54"/>
      <c r="IU116" s="54"/>
      <c r="IV116" s="54"/>
      <c r="IW116" s="54"/>
      <c r="IX116" s="54"/>
      <c r="IY116" s="54"/>
      <c r="IZ116" s="54"/>
      <c r="JA116" s="54"/>
      <c r="JB116" s="54"/>
      <c r="JC116" s="54"/>
      <c r="JD116" s="54"/>
      <c r="JE116" s="54"/>
      <c r="JF116" s="54"/>
      <c r="JG116" s="54"/>
      <c r="JH116" s="54"/>
      <c r="JI116" s="54"/>
      <c r="JJ116" s="54"/>
      <c r="JK116" s="54"/>
      <c r="JL116" s="54"/>
      <c r="JM116" s="54"/>
      <c r="JN116" s="54"/>
      <c r="JO116" s="54"/>
      <c r="JP116" s="54"/>
      <c r="JQ116" s="54"/>
      <c r="JR116" s="54"/>
      <c r="JS116" s="54"/>
      <c r="JT116" s="54"/>
      <c r="JU116" s="54"/>
      <c r="JV116" s="54"/>
      <c r="JW116" s="54"/>
      <c r="JX116" s="54"/>
      <c r="JY116" s="54"/>
      <c r="JZ116" s="54"/>
      <c r="KA116" s="54"/>
      <c r="KB116" s="54"/>
      <c r="KC116" s="54"/>
      <c r="KD116" s="54"/>
      <c r="KE116" s="54"/>
      <c r="KF116" s="54"/>
      <c r="KG116" s="54"/>
      <c r="KH116" s="54"/>
      <c r="KI116" s="54"/>
      <c r="KJ116" s="54"/>
      <c r="KK116" s="54"/>
      <c r="KL116" s="54"/>
      <c r="KM116" s="54"/>
      <c r="KN116" s="54"/>
      <c r="KO116" s="54"/>
      <c r="KP116" s="54"/>
      <c r="KQ116" s="54"/>
      <c r="KR116" s="54"/>
      <c r="KS116" s="54"/>
      <c r="KT116" s="54"/>
      <c r="KU116" s="54"/>
      <c r="KV116" s="54"/>
      <c r="KW116" s="54"/>
      <c r="KX116" s="54"/>
    </row>
    <row r="117" ht="5.2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c r="BL117" s="54"/>
      <c r="BM117" s="54"/>
      <c r="BN117" s="54"/>
      <c r="BO117" s="54"/>
      <c r="BP117" s="54"/>
      <c r="BQ117" s="54"/>
      <c r="BR117" s="54"/>
      <c r="BS117" s="54"/>
      <c r="BT117" s="54"/>
      <c r="BU117" s="54"/>
      <c r="BV117" s="54"/>
      <c r="BW117" s="54"/>
      <c r="BX117" s="54"/>
      <c r="BY117" s="54"/>
      <c r="BZ117" s="54"/>
      <c r="CA117" s="54"/>
      <c r="CB117" s="54"/>
      <c r="CC117" s="54"/>
      <c r="CD117" s="54"/>
      <c r="CE117" s="54"/>
      <c r="CF117" s="54"/>
      <c r="CG117" s="54"/>
      <c r="CH117" s="54"/>
      <c r="CI117" s="54"/>
      <c r="CJ117" s="54"/>
      <c r="CK117" s="54"/>
      <c r="CL117" s="54"/>
      <c r="CM117" s="54"/>
      <c r="CN117" s="54"/>
      <c r="CO117" s="54"/>
      <c r="CP117" s="54"/>
      <c r="CQ117" s="54"/>
      <c r="CR117" s="54"/>
      <c r="CS117" s="54"/>
      <c r="CT117" s="54"/>
      <c r="CU117" s="54"/>
      <c r="CV117" s="54"/>
      <c r="CW117" s="54"/>
      <c r="CX117" s="54"/>
      <c r="CY117" s="54"/>
      <c r="CZ117" s="54"/>
      <c r="DA117" s="54"/>
      <c r="DB117" s="54"/>
      <c r="DC117" s="54"/>
      <c r="DD117" s="54"/>
      <c r="DE117" s="54"/>
      <c r="DF117" s="54"/>
      <c r="DG117" s="54"/>
      <c r="DH117" s="54"/>
      <c r="DI117" s="54"/>
      <c r="DJ117" s="54"/>
      <c r="DK117" s="54"/>
      <c r="DL117" s="54"/>
      <c r="DM117" s="54"/>
      <c r="DN117" s="54"/>
      <c r="DO117" s="54"/>
      <c r="DP117" s="54"/>
      <c r="DQ117" s="54"/>
      <c r="DR117" s="54"/>
      <c r="DS117" s="54"/>
      <c r="DT117" s="54"/>
      <c r="DU117" s="54"/>
      <c r="DV117" s="54"/>
      <c r="DW117" s="54"/>
      <c r="DX117" s="54"/>
      <c r="DY117" s="54"/>
      <c r="DZ117" s="54"/>
      <c r="EA117" s="54"/>
      <c r="EB117" s="54"/>
      <c r="EC117" s="54"/>
      <c r="ED117" s="54"/>
      <c r="EE117" s="54"/>
      <c r="EF117" s="54"/>
      <c r="EG117" s="54"/>
      <c r="EH117" s="54"/>
      <c r="EI117" s="54"/>
      <c r="EJ117" s="54"/>
      <c r="EK117" s="54"/>
      <c r="EL117" s="54"/>
      <c r="EM117" s="54"/>
      <c r="EN117" s="54"/>
      <c r="EO117" s="54"/>
      <c r="EP117" s="54"/>
      <c r="EQ117" s="54"/>
      <c r="ER117" s="54"/>
      <c r="ES117" s="54"/>
      <c r="ET117" s="54"/>
      <c r="EU117" s="54"/>
      <c r="EV117" s="54"/>
      <c r="EW117" s="54"/>
      <c r="EX117" s="54"/>
      <c r="EY117" s="54"/>
      <c r="EZ117" s="54"/>
      <c r="FA117" s="54"/>
      <c r="FB117" s="54"/>
      <c r="FC117" s="54"/>
      <c r="FD117" s="54"/>
      <c r="FE117" s="54"/>
      <c r="FF117" s="54"/>
      <c r="FG117" s="54"/>
      <c r="FH117" s="54"/>
      <c r="FI117" s="54"/>
      <c r="FJ117" s="54"/>
      <c r="FK117" s="54"/>
      <c r="FL117" s="54"/>
      <c r="FM117" s="54"/>
      <c r="FN117" s="54"/>
      <c r="FO117" s="54"/>
      <c r="FP117" s="54"/>
      <c r="FQ117" s="54"/>
      <c r="FR117" s="54"/>
      <c r="FS117" s="54"/>
      <c r="FT117" s="54"/>
      <c r="FU117" s="54"/>
      <c r="FV117" s="54"/>
      <c r="FW117" s="54"/>
      <c r="FX117" s="54"/>
      <c r="FY117" s="54"/>
      <c r="FZ117" s="54"/>
      <c r="GA117" s="54"/>
      <c r="GB117" s="54"/>
      <c r="GC117" s="54"/>
      <c r="GD117" s="54"/>
      <c r="GE117" s="54"/>
      <c r="GF117" s="54"/>
      <c r="GG117" s="54"/>
      <c r="GH117" s="54"/>
      <c r="GI117" s="54"/>
      <c r="GJ117" s="54"/>
      <c r="GK117" s="54"/>
      <c r="GL117" s="54"/>
      <c r="GM117" s="54"/>
      <c r="GN117" s="54"/>
      <c r="GO117" s="54"/>
      <c r="GP117" s="54"/>
      <c r="GQ117" s="54"/>
      <c r="GR117" s="54"/>
      <c r="GS117" s="54"/>
      <c r="GT117" s="54"/>
      <c r="GU117" s="54"/>
      <c r="GV117" s="54"/>
      <c r="GW117" s="54"/>
      <c r="GX117" s="54"/>
      <c r="GY117" s="54"/>
      <c r="GZ117" s="54"/>
      <c r="HA117" s="54"/>
      <c r="HB117" s="54"/>
      <c r="HC117" s="54"/>
      <c r="HD117" s="54"/>
      <c r="HE117" s="54"/>
      <c r="HF117" s="54"/>
      <c r="HG117" s="54"/>
      <c r="HH117" s="54"/>
      <c r="HI117" s="54"/>
      <c r="HJ117" s="54"/>
      <c r="HK117" s="54"/>
      <c r="HL117" s="54"/>
      <c r="HM117" s="54"/>
      <c r="HN117" s="54"/>
      <c r="HO117" s="54"/>
      <c r="HP117" s="54"/>
      <c r="HQ117" s="54"/>
      <c r="HR117" s="54"/>
      <c r="HS117" s="54"/>
      <c r="HT117" s="54"/>
      <c r="HU117" s="54"/>
      <c r="HV117" s="54"/>
      <c r="HW117" s="54"/>
      <c r="HX117" s="54"/>
      <c r="HY117" s="54"/>
      <c r="HZ117" s="54"/>
      <c r="IA117" s="54"/>
      <c r="IB117" s="54"/>
      <c r="IC117" s="54"/>
      <c r="ID117" s="54"/>
      <c r="IE117" s="54"/>
      <c r="IF117" s="54"/>
      <c r="IG117" s="54"/>
      <c r="IH117" s="54"/>
      <c r="II117" s="54"/>
      <c r="IJ117" s="54"/>
      <c r="IK117" s="54"/>
      <c r="IL117" s="54"/>
      <c r="IM117" s="54"/>
      <c r="IN117" s="54"/>
      <c r="IO117" s="54"/>
      <c r="IP117" s="54"/>
      <c r="IQ117" s="54"/>
      <c r="IR117" s="54"/>
      <c r="IS117" s="54"/>
      <c r="IT117" s="54"/>
      <c r="IU117" s="54"/>
      <c r="IV117" s="54"/>
      <c r="IW117" s="54"/>
      <c r="IX117" s="54"/>
      <c r="IY117" s="54"/>
      <c r="IZ117" s="54"/>
      <c r="JA117" s="54"/>
      <c r="JB117" s="54"/>
      <c r="JC117" s="54"/>
      <c r="JD117" s="54"/>
      <c r="JE117" s="54"/>
      <c r="JF117" s="54"/>
      <c r="JG117" s="54"/>
      <c r="JH117" s="54"/>
      <c r="JI117" s="54"/>
      <c r="JJ117" s="54"/>
      <c r="JK117" s="54"/>
      <c r="JL117" s="54"/>
      <c r="JM117" s="54"/>
      <c r="JN117" s="54"/>
      <c r="JO117" s="54"/>
      <c r="JP117" s="54"/>
      <c r="JQ117" s="54"/>
      <c r="JR117" s="54"/>
      <c r="JS117" s="54"/>
      <c r="JT117" s="54"/>
      <c r="JU117" s="54"/>
      <c r="JV117" s="54"/>
      <c r="JW117" s="54"/>
      <c r="JX117" s="54"/>
      <c r="JY117" s="54"/>
      <c r="JZ117" s="54"/>
      <c r="KA117" s="54"/>
      <c r="KB117" s="54"/>
      <c r="KC117" s="54"/>
      <c r="KD117" s="54"/>
      <c r="KE117" s="54"/>
      <c r="KF117" s="54"/>
      <c r="KG117" s="54"/>
      <c r="KH117" s="54"/>
      <c r="KI117" s="54"/>
      <c r="KJ117" s="54"/>
      <c r="KK117" s="54"/>
      <c r="KL117" s="54"/>
      <c r="KM117" s="54"/>
      <c r="KN117" s="54"/>
      <c r="KO117" s="54"/>
      <c r="KP117" s="54"/>
      <c r="KQ117" s="54"/>
      <c r="KR117" s="54"/>
      <c r="KS117" s="54"/>
      <c r="KT117" s="54"/>
      <c r="KU117" s="54"/>
      <c r="KV117" s="54"/>
      <c r="KW117" s="54"/>
      <c r="KX117" s="54"/>
    </row>
    <row r="118" ht="5.2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c r="BS118" s="54"/>
      <c r="BT118" s="54"/>
      <c r="BU118" s="54"/>
      <c r="BV118" s="54"/>
      <c r="BW118" s="54"/>
      <c r="BX118" s="54"/>
      <c r="BY118" s="54"/>
      <c r="BZ118" s="54"/>
      <c r="CA118" s="54"/>
      <c r="CB118" s="54"/>
      <c r="CC118" s="54"/>
      <c r="CD118" s="54"/>
      <c r="CE118" s="54"/>
      <c r="CF118" s="54"/>
      <c r="CG118" s="54"/>
      <c r="CH118" s="54"/>
      <c r="CI118" s="54"/>
      <c r="CJ118" s="54"/>
      <c r="CK118" s="54"/>
      <c r="CL118" s="54"/>
      <c r="CM118" s="54"/>
      <c r="CN118" s="54"/>
      <c r="CO118" s="54"/>
      <c r="CP118" s="54"/>
      <c r="CQ118" s="54"/>
      <c r="CR118" s="54"/>
      <c r="CS118" s="54"/>
      <c r="CT118" s="54"/>
      <c r="CU118" s="54"/>
      <c r="CV118" s="54"/>
      <c r="CW118" s="54"/>
      <c r="CX118" s="54"/>
      <c r="CY118" s="54"/>
      <c r="CZ118" s="54"/>
      <c r="DA118" s="54"/>
      <c r="DB118" s="54"/>
      <c r="DC118" s="54"/>
      <c r="DD118" s="54"/>
      <c r="DE118" s="54"/>
      <c r="DF118" s="54"/>
      <c r="DG118" s="54"/>
      <c r="DH118" s="54"/>
      <c r="DI118" s="54"/>
      <c r="DJ118" s="54"/>
      <c r="DK118" s="54"/>
      <c r="DL118" s="54"/>
      <c r="DM118" s="54"/>
      <c r="DN118" s="54"/>
      <c r="DO118" s="54"/>
      <c r="DP118" s="54"/>
      <c r="DQ118" s="54"/>
      <c r="DR118" s="54"/>
      <c r="DS118" s="54"/>
      <c r="DT118" s="54"/>
      <c r="DU118" s="54"/>
      <c r="DV118" s="54"/>
      <c r="DW118" s="54"/>
      <c r="DX118" s="54"/>
      <c r="DY118" s="54"/>
      <c r="DZ118" s="54"/>
      <c r="EA118" s="54"/>
      <c r="EB118" s="54"/>
      <c r="EC118" s="54"/>
      <c r="ED118" s="54"/>
      <c r="EE118" s="54"/>
      <c r="EF118" s="54"/>
      <c r="EG118" s="54"/>
      <c r="EH118" s="54"/>
      <c r="EI118" s="54"/>
      <c r="EJ118" s="54"/>
      <c r="EK118" s="54"/>
      <c r="EL118" s="54"/>
      <c r="EM118" s="54"/>
      <c r="EN118" s="54"/>
      <c r="EO118" s="54"/>
      <c r="EP118" s="54"/>
      <c r="EQ118" s="54"/>
      <c r="ER118" s="54"/>
      <c r="ES118" s="54"/>
      <c r="ET118" s="54"/>
      <c r="EU118" s="54"/>
      <c r="EV118" s="54"/>
      <c r="EW118" s="54"/>
      <c r="EX118" s="54"/>
      <c r="EY118" s="54"/>
      <c r="EZ118" s="54"/>
      <c r="FA118" s="54"/>
      <c r="FB118" s="54"/>
      <c r="FC118" s="54"/>
      <c r="FD118" s="54"/>
      <c r="FE118" s="54"/>
      <c r="FF118" s="54"/>
      <c r="FG118" s="54"/>
      <c r="FH118" s="54"/>
      <c r="FI118" s="54"/>
      <c r="FJ118" s="54"/>
      <c r="FK118" s="54"/>
      <c r="FL118" s="54"/>
      <c r="FM118" s="54"/>
      <c r="FN118" s="54"/>
      <c r="FO118" s="54"/>
      <c r="FP118" s="54"/>
      <c r="FQ118" s="54"/>
      <c r="FR118" s="54"/>
      <c r="FS118" s="54"/>
      <c r="FT118" s="54"/>
      <c r="FU118" s="54"/>
      <c r="FV118" s="54"/>
      <c r="FW118" s="54"/>
      <c r="FX118" s="54"/>
      <c r="FY118" s="54"/>
      <c r="FZ118" s="54"/>
      <c r="GA118" s="54"/>
      <c r="GB118" s="54"/>
      <c r="GC118" s="54"/>
      <c r="GD118" s="54"/>
      <c r="GE118" s="54"/>
      <c r="GF118" s="54"/>
      <c r="GG118" s="54"/>
      <c r="GH118" s="54"/>
      <c r="GI118" s="54"/>
      <c r="GJ118" s="54"/>
      <c r="GK118" s="54"/>
      <c r="GL118" s="54"/>
      <c r="GM118" s="54"/>
      <c r="GN118" s="54"/>
      <c r="GO118" s="54"/>
      <c r="GP118" s="54"/>
      <c r="GQ118" s="54"/>
      <c r="GR118" s="54"/>
      <c r="GS118" s="54"/>
      <c r="GT118" s="54"/>
      <c r="GU118" s="54"/>
      <c r="GV118" s="54"/>
      <c r="GW118" s="54"/>
      <c r="GX118" s="54"/>
      <c r="GY118" s="54"/>
      <c r="GZ118" s="54"/>
      <c r="HA118" s="54"/>
      <c r="HB118" s="54"/>
      <c r="HC118" s="54"/>
      <c r="HD118" s="54"/>
      <c r="HE118" s="54"/>
      <c r="HF118" s="54"/>
      <c r="HG118" s="54"/>
      <c r="HH118" s="54"/>
      <c r="HI118" s="54"/>
      <c r="HJ118" s="54"/>
      <c r="HK118" s="54"/>
      <c r="HL118" s="54"/>
      <c r="HM118" s="54"/>
      <c r="HN118" s="54"/>
      <c r="HO118" s="54"/>
      <c r="HP118" s="54"/>
      <c r="HQ118" s="54"/>
      <c r="HR118" s="54"/>
      <c r="HS118" s="54"/>
      <c r="HT118" s="54"/>
      <c r="HU118" s="54"/>
      <c r="HV118" s="54"/>
      <c r="HW118" s="54"/>
      <c r="HX118" s="54"/>
      <c r="HY118" s="54"/>
      <c r="HZ118" s="54"/>
      <c r="IA118" s="54"/>
      <c r="IB118" s="54"/>
      <c r="IC118" s="54"/>
      <c r="ID118" s="54"/>
      <c r="IE118" s="54"/>
      <c r="IF118" s="54"/>
      <c r="IG118" s="54"/>
      <c r="IH118" s="54"/>
      <c r="II118" s="54"/>
      <c r="IJ118" s="54"/>
      <c r="IK118" s="54"/>
      <c r="IL118" s="54"/>
      <c r="IM118" s="54"/>
      <c r="IN118" s="54"/>
      <c r="IO118" s="54"/>
      <c r="IP118" s="54"/>
      <c r="IQ118" s="54"/>
      <c r="IR118" s="54"/>
      <c r="IS118" s="54"/>
      <c r="IT118" s="54"/>
      <c r="IU118" s="54"/>
      <c r="IV118" s="54"/>
      <c r="IW118" s="54"/>
      <c r="IX118" s="54"/>
      <c r="IY118" s="54"/>
      <c r="IZ118" s="54"/>
      <c r="JA118" s="54"/>
      <c r="JB118" s="54"/>
      <c r="JC118" s="54"/>
      <c r="JD118" s="54"/>
      <c r="JE118" s="54"/>
      <c r="JF118" s="54"/>
      <c r="JG118" s="54"/>
      <c r="JH118" s="54"/>
      <c r="JI118" s="54"/>
      <c r="JJ118" s="54"/>
      <c r="JK118" s="54"/>
      <c r="JL118" s="54"/>
      <c r="JM118" s="54"/>
      <c r="JN118" s="54"/>
      <c r="JO118" s="54"/>
      <c r="JP118" s="54"/>
      <c r="JQ118" s="54"/>
      <c r="JR118" s="54"/>
      <c r="JS118" s="54"/>
      <c r="JT118" s="54"/>
      <c r="JU118" s="54"/>
      <c r="JV118" s="54"/>
      <c r="JW118" s="54"/>
      <c r="JX118" s="54"/>
      <c r="JY118" s="54"/>
      <c r="JZ118" s="54"/>
      <c r="KA118" s="54"/>
      <c r="KB118" s="54"/>
      <c r="KC118" s="54"/>
      <c r="KD118" s="54"/>
      <c r="KE118" s="54"/>
      <c r="KF118" s="54"/>
      <c r="KG118" s="54"/>
      <c r="KH118" s="54"/>
      <c r="KI118" s="54"/>
      <c r="KJ118" s="54"/>
      <c r="KK118" s="54"/>
      <c r="KL118" s="54"/>
      <c r="KM118" s="54"/>
      <c r="KN118" s="54"/>
      <c r="KO118" s="54"/>
      <c r="KP118" s="54"/>
      <c r="KQ118" s="54"/>
      <c r="KR118" s="54"/>
      <c r="KS118" s="54"/>
      <c r="KT118" s="54"/>
      <c r="KU118" s="54"/>
      <c r="KV118" s="54"/>
      <c r="KW118" s="54"/>
      <c r="KX118" s="54"/>
    </row>
    <row r="119" ht="5.2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c r="BS119" s="54"/>
      <c r="BT119" s="54"/>
      <c r="BU119" s="54"/>
      <c r="BV119" s="54"/>
      <c r="BW119" s="54"/>
      <c r="BX119" s="54"/>
      <c r="BY119" s="54"/>
      <c r="BZ119" s="54"/>
      <c r="CA119" s="54"/>
      <c r="CB119" s="54"/>
      <c r="CC119" s="54"/>
      <c r="CD119" s="54"/>
      <c r="CE119" s="54"/>
      <c r="CF119" s="54"/>
      <c r="CG119" s="54"/>
      <c r="CH119" s="54"/>
      <c r="CI119" s="54"/>
      <c r="CJ119" s="54"/>
      <c r="CK119" s="54"/>
      <c r="CL119" s="54"/>
      <c r="CM119" s="54"/>
      <c r="CN119" s="54"/>
      <c r="CO119" s="54"/>
      <c r="CP119" s="54"/>
      <c r="CQ119" s="54"/>
      <c r="CR119" s="54"/>
      <c r="CS119" s="54"/>
      <c r="CT119" s="54"/>
      <c r="CU119" s="54"/>
      <c r="CV119" s="54"/>
      <c r="CW119" s="54"/>
      <c r="CX119" s="54"/>
      <c r="CY119" s="54"/>
      <c r="CZ119" s="54"/>
      <c r="DA119" s="54"/>
      <c r="DB119" s="54"/>
      <c r="DC119" s="54"/>
      <c r="DD119" s="54"/>
      <c r="DE119" s="54"/>
      <c r="DF119" s="54"/>
      <c r="DG119" s="54"/>
      <c r="DH119" s="54"/>
      <c r="DI119" s="54"/>
      <c r="DJ119" s="54"/>
      <c r="DK119" s="54"/>
      <c r="DL119" s="54"/>
      <c r="DM119" s="54"/>
      <c r="DN119" s="54"/>
      <c r="DO119" s="54"/>
      <c r="DP119" s="54"/>
      <c r="DQ119" s="54"/>
      <c r="DR119" s="54"/>
      <c r="DS119" s="54"/>
      <c r="DT119" s="54"/>
      <c r="DU119" s="54"/>
      <c r="DV119" s="54"/>
      <c r="DW119" s="54"/>
      <c r="DX119" s="54"/>
      <c r="DY119" s="54"/>
      <c r="DZ119" s="54"/>
      <c r="EA119" s="54"/>
      <c r="EB119" s="54"/>
      <c r="EC119" s="54"/>
      <c r="ED119" s="54"/>
      <c r="EE119" s="54"/>
      <c r="EF119" s="54"/>
      <c r="EG119" s="54"/>
      <c r="EH119" s="54"/>
      <c r="EI119" s="54"/>
      <c r="EJ119" s="54"/>
      <c r="EK119" s="54"/>
      <c r="EL119" s="54"/>
      <c r="EM119" s="54"/>
      <c r="EN119" s="54"/>
      <c r="EO119" s="54"/>
      <c r="EP119" s="54"/>
      <c r="EQ119" s="54"/>
      <c r="ER119" s="54"/>
      <c r="ES119" s="54"/>
      <c r="ET119" s="54"/>
      <c r="EU119" s="54"/>
      <c r="EV119" s="54"/>
      <c r="EW119" s="54"/>
      <c r="EX119" s="54"/>
      <c r="EY119" s="54"/>
      <c r="EZ119" s="54"/>
      <c r="FA119" s="54"/>
      <c r="FB119" s="54"/>
      <c r="FC119" s="54"/>
      <c r="FD119" s="54"/>
      <c r="FE119" s="54"/>
      <c r="FF119" s="54"/>
      <c r="FG119" s="54"/>
      <c r="FH119" s="54"/>
      <c r="FI119" s="54"/>
      <c r="FJ119" s="54"/>
      <c r="FK119" s="54"/>
      <c r="FL119" s="54"/>
      <c r="FM119" s="54"/>
      <c r="FN119" s="54"/>
      <c r="FO119" s="54"/>
      <c r="FP119" s="54"/>
      <c r="FQ119" s="54"/>
      <c r="FR119" s="54"/>
      <c r="FS119" s="54"/>
      <c r="FT119" s="54"/>
      <c r="FU119" s="54"/>
      <c r="FV119" s="54"/>
      <c r="FW119" s="54"/>
      <c r="FX119" s="54"/>
      <c r="FY119" s="54"/>
      <c r="FZ119" s="54"/>
      <c r="GA119" s="54"/>
      <c r="GB119" s="54"/>
      <c r="GC119" s="54"/>
      <c r="GD119" s="54"/>
      <c r="GE119" s="54"/>
      <c r="GF119" s="54"/>
      <c r="GG119" s="54"/>
      <c r="GH119" s="54"/>
      <c r="GI119" s="54"/>
      <c r="GJ119" s="54"/>
      <c r="GK119" s="54"/>
      <c r="GL119" s="54"/>
      <c r="GM119" s="54"/>
      <c r="GN119" s="54"/>
      <c r="GO119" s="54"/>
      <c r="GP119" s="54"/>
      <c r="GQ119" s="54"/>
      <c r="GR119" s="54"/>
      <c r="GS119" s="54"/>
      <c r="GT119" s="54"/>
      <c r="GU119" s="54"/>
      <c r="GV119" s="54"/>
      <c r="GW119" s="54"/>
      <c r="GX119" s="54"/>
      <c r="GY119" s="54"/>
      <c r="GZ119" s="54"/>
      <c r="HA119" s="54"/>
      <c r="HB119" s="54"/>
      <c r="HC119" s="54"/>
      <c r="HD119" s="54"/>
      <c r="HE119" s="54"/>
      <c r="HF119" s="54"/>
      <c r="HG119" s="54"/>
      <c r="HH119" s="54"/>
      <c r="HI119" s="54"/>
      <c r="HJ119" s="54"/>
      <c r="HK119" s="54"/>
      <c r="HL119" s="54"/>
      <c r="HM119" s="54"/>
      <c r="HN119" s="54"/>
      <c r="HO119" s="54"/>
      <c r="HP119" s="54"/>
      <c r="HQ119" s="54"/>
      <c r="HR119" s="54"/>
      <c r="HS119" s="54"/>
      <c r="HT119" s="54"/>
      <c r="HU119" s="54"/>
      <c r="HV119" s="54"/>
      <c r="HW119" s="54"/>
      <c r="HX119" s="54"/>
      <c r="HY119" s="54"/>
      <c r="HZ119" s="54"/>
      <c r="IA119" s="54"/>
      <c r="IB119" s="54"/>
      <c r="IC119" s="54"/>
      <c r="ID119" s="54"/>
      <c r="IE119" s="54"/>
      <c r="IF119" s="54"/>
      <c r="IG119" s="54"/>
      <c r="IH119" s="54"/>
      <c r="II119" s="54"/>
      <c r="IJ119" s="54"/>
      <c r="IK119" s="54"/>
      <c r="IL119" s="54"/>
      <c r="IM119" s="54"/>
      <c r="IN119" s="54"/>
      <c r="IO119" s="54"/>
      <c r="IP119" s="54"/>
      <c r="IQ119" s="54"/>
      <c r="IR119" s="54"/>
      <c r="IS119" s="54"/>
      <c r="IT119" s="54"/>
      <c r="IU119" s="54"/>
      <c r="IV119" s="54"/>
      <c r="IW119" s="54"/>
      <c r="IX119" s="54"/>
      <c r="IY119" s="54"/>
      <c r="IZ119" s="54"/>
      <c r="JA119" s="54"/>
      <c r="JB119" s="54"/>
      <c r="JC119" s="54"/>
      <c r="JD119" s="54"/>
      <c r="JE119" s="54"/>
      <c r="JF119" s="54"/>
      <c r="JG119" s="54"/>
      <c r="JH119" s="54"/>
      <c r="JI119" s="54"/>
      <c r="JJ119" s="54"/>
      <c r="JK119" s="54"/>
      <c r="JL119" s="54"/>
      <c r="JM119" s="54"/>
      <c r="JN119" s="54"/>
      <c r="JO119" s="54"/>
      <c r="JP119" s="54"/>
      <c r="JQ119" s="54"/>
      <c r="JR119" s="54"/>
      <c r="JS119" s="54"/>
      <c r="JT119" s="54"/>
      <c r="JU119" s="54"/>
      <c r="JV119" s="54"/>
      <c r="JW119" s="54"/>
      <c r="JX119" s="54"/>
      <c r="JY119" s="54"/>
      <c r="JZ119" s="54"/>
      <c r="KA119" s="54"/>
      <c r="KB119" s="54"/>
      <c r="KC119" s="54"/>
      <c r="KD119" s="54"/>
      <c r="KE119" s="54"/>
      <c r="KF119" s="54"/>
      <c r="KG119" s="54"/>
      <c r="KH119" s="54"/>
      <c r="KI119" s="54"/>
      <c r="KJ119" s="54"/>
      <c r="KK119" s="54"/>
      <c r="KL119" s="54"/>
      <c r="KM119" s="54"/>
      <c r="KN119" s="54"/>
      <c r="KO119" s="54"/>
      <c r="KP119" s="54"/>
      <c r="KQ119" s="54"/>
      <c r="KR119" s="54"/>
      <c r="KS119" s="54"/>
      <c r="KT119" s="54"/>
      <c r="KU119" s="54"/>
      <c r="KV119" s="54"/>
      <c r="KW119" s="54"/>
      <c r="KX119" s="54"/>
    </row>
    <row r="120" ht="5.2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f>if(or(BR132="",BV132="",BR139="",BV139=""),0,1)</f>
        <v>0</v>
      </c>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4"/>
      <c r="BR120" s="54"/>
      <c r="BS120" s="54"/>
      <c r="BT120" s="54"/>
      <c r="BU120" s="54"/>
      <c r="BV120" s="54"/>
      <c r="BW120" s="54"/>
      <c r="BX120" s="54"/>
      <c r="BY120" s="54"/>
      <c r="BZ120" s="54"/>
      <c r="CA120" s="54"/>
      <c r="CB120" s="54"/>
      <c r="CC120" s="54"/>
      <c r="CD120" s="54"/>
      <c r="CE120" s="54"/>
      <c r="CF120" s="54"/>
      <c r="CG120" s="54"/>
      <c r="CH120" s="54"/>
      <c r="CI120" s="54"/>
      <c r="CJ120" s="54"/>
      <c r="CK120" s="54"/>
      <c r="CL120" s="54"/>
      <c r="CM120" s="54"/>
      <c r="CN120" s="54"/>
      <c r="CO120" s="54"/>
      <c r="CP120" s="54"/>
      <c r="CQ120" s="54"/>
      <c r="CR120" s="54"/>
      <c r="CS120" s="54"/>
      <c r="CT120" s="54"/>
      <c r="CU120" s="54"/>
      <c r="CV120" s="54"/>
      <c r="CW120" s="54"/>
      <c r="CX120" s="54"/>
      <c r="CY120" s="54"/>
      <c r="CZ120" s="54"/>
      <c r="DA120" s="54"/>
      <c r="DB120" s="54"/>
      <c r="DC120" s="54"/>
      <c r="DD120" s="54">
        <f>if(or(ED132="",EH132="",ED139="",EH139="",ED146="",EH146="",ED153="",EH153=""),0,1)</f>
        <v>0</v>
      </c>
      <c r="DE120" s="54"/>
      <c r="DF120" s="54"/>
      <c r="DG120" s="54"/>
      <c r="DH120" s="54"/>
      <c r="DI120" s="54"/>
      <c r="DJ120" s="54"/>
      <c r="DK120" s="54"/>
      <c r="DL120" s="54"/>
      <c r="DM120" s="54"/>
      <c r="DN120" s="54"/>
      <c r="DO120" s="54"/>
      <c r="DP120" s="54"/>
      <c r="DQ120" s="54"/>
      <c r="DR120" s="54"/>
      <c r="DS120" s="54"/>
      <c r="DT120" s="54"/>
      <c r="DU120" s="54"/>
      <c r="DV120" s="54"/>
      <c r="DW120" s="54"/>
      <c r="DX120" s="54"/>
      <c r="DY120" s="54"/>
      <c r="DZ120" s="54"/>
      <c r="EA120" s="54"/>
      <c r="EB120" s="54"/>
      <c r="EC120" s="54"/>
      <c r="ED120" s="54"/>
      <c r="EE120" s="54"/>
      <c r="EF120" s="54"/>
      <c r="EG120" s="54"/>
      <c r="EH120" s="54"/>
      <c r="EI120" s="54"/>
      <c r="EJ120" s="54"/>
      <c r="EK120" s="54"/>
      <c r="EL120" s="54"/>
      <c r="EM120" s="54"/>
      <c r="EN120" s="54"/>
      <c r="EO120" s="54"/>
      <c r="EP120" s="54"/>
      <c r="EQ120" s="54"/>
      <c r="ER120" s="54"/>
      <c r="ES120" s="54"/>
      <c r="ET120" s="54"/>
      <c r="EU120" s="54"/>
      <c r="EV120" s="54"/>
      <c r="EW120" s="54"/>
      <c r="EX120" s="54"/>
      <c r="EY120" s="54"/>
      <c r="EZ120" s="54"/>
      <c r="FA120" s="54"/>
      <c r="FB120" s="54"/>
      <c r="FC120" s="54"/>
      <c r="FD120" s="54"/>
      <c r="FE120" s="54"/>
      <c r="FF120" s="54"/>
      <c r="FG120" s="54"/>
      <c r="FH120" s="54"/>
      <c r="FI120" s="54"/>
      <c r="FJ120" s="54"/>
      <c r="FK120" s="54"/>
      <c r="FL120" s="54"/>
      <c r="FM120" s="54"/>
      <c r="FN120" s="54"/>
      <c r="FO120" s="54"/>
      <c r="FP120" s="54">
        <f>if(or(GP132="",GT132="",GP139="",GT139=""),0,1)</f>
        <v>0</v>
      </c>
      <c r="FQ120" s="54"/>
      <c r="FR120" s="54"/>
      <c r="FS120" s="54"/>
      <c r="FT120" s="54"/>
      <c r="FU120" s="54"/>
      <c r="FV120" s="54"/>
      <c r="FW120" s="54"/>
      <c r="FX120" s="54"/>
      <c r="FY120" s="54"/>
      <c r="FZ120" s="54"/>
      <c r="GA120" s="54"/>
      <c r="GB120" s="54"/>
      <c r="GC120" s="54"/>
      <c r="GD120" s="54"/>
      <c r="GE120" s="54"/>
      <c r="GF120" s="54"/>
      <c r="GG120" s="54"/>
      <c r="GH120" s="54"/>
      <c r="GI120" s="54"/>
      <c r="GJ120" s="54"/>
      <c r="GK120" s="54"/>
      <c r="GL120" s="54"/>
      <c r="GM120" s="54"/>
      <c r="GN120" s="54"/>
      <c r="GO120" s="54"/>
      <c r="GP120" s="54"/>
      <c r="GQ120" s="54"/>
      <c r="GR120" s="54"/>
      <c r="GS120" s="54"/>
      <c r="GT120" s="54"/>
      <c r="GU120" s="54"/>
      <c r="GV120" s="54"/>
      <c r="GW120" s="54"/>
      <c r="GX120" s="54"/>
      <c r="GY120" s="54"/>
      <c r="GZ120" s="54"/>
      <c r="HA120" s="54"/>
      <c r="HB120" s="54"/>
      <c r="HC120" s="54"/>
      <c r="HD120" s="54"/>
      <c r="HE120" s="54"/>
      <c r="HF120" s="54"/>
      <c r="HG120" s="54"/>
      <c r="HH120" s="54"/>
      <c r="HI120" s="54"/>
      <c r="HJ120" s="54"/>
      <c r="HK120" s="54"/>
      <c r="HL120" s="54"/>
      <c r="HM120" s="54"/>
      <c r="HN120" s="54"/>
      <c r="HO120" s="54"/>
      <c r="HP120" s="54"/>
      <c r="HQ120" s="54"/>
      <c r="HR120" s="54"/>
      <c r="HS120" s="54"/>
      <c r="HT120" s="54"/>
      <c r="HU120" s="54"/>
      <c r="HV120" s="54"/>
      <c r="HW120" s="54"/>
      <c r="HX120" s="54"/>
      <c r="HY120" s="54"/>
      <c r="HZ120" s="54"/>
      <c r="IA120" s="54"/>
      <c r="IB120" s="54"/>
      <c r="IC120" s="54"/>
      <c r="ID120" s="54"/>
      <c r="IE120" s="54"/>
      <c r="IF120" s="54"/>
      <c r="IG120" s="54"/>
      <c r="IH120" s="54"/>
      <c r="II120" s="54"/>
      <c r="IJ120" s="54"/>
      <c r="IK120" s="54"/>
      <c r="IL120" s="54"/>
      <c r="IM120" s="54"/>
      <c r="IN120" s="54"/>
      <c r="IO120" s="54"/>
      <c r="IP120" s="54"/>
      <c r="IQ120" s="54"/>
      <c r="IR120" s="54"/>
      <c r="IS120" s="54"/>
      <c r="IT120" s="54"/>
      <c r="IU120" s="54"/>
      <c r="IV120" s="54"/>
      <c r="IW120" s="54"/>
      <c r="IX120" s="54"/>
      <c r="IY120" s="54"/>
      <c r="IZ120" s="54"/>
      <c r="JA120" s="54"/>
      <c r="JB120" s="54"/>
      <c r="JC120" s="54"/>
      <c r="JD120" s="54"/>
      <c r="JE120" s="54"/>
      <c r="JF120" s="54"/>
      <c r="JG120" s="54"/>
      <c r="JH120" s="54"/>
      <c r="JI120" s="54"/>
      <c r="JJ120" s="54"/>
      <c r="JK120" s="54"/>
      <c r="JL120" s="54"/>
      <c r="JM120" s="54"/>
      <c r="JN120" s="54"/>
      <c r="JO120" s="54"/>
      <c r="JP120" s="54"/>
      <c r="JQ120" s="54"/>
      <c r="JR120" s="54"/>
      <c r="JS120" s="54"/>
      <c r="JT120" s="54"/>
      <c r="JU120" s="54"/>
      <c r="JV120" s="54"/>
      <c r="JW120" s="54"/>
      <c r="JX120" s="54"/>
      <c r="JY120" s="54"/>
      <c r="JZ120" s="54"/>
      <c r="KA120" s="54"/>
      <c r="KB120" s="54"/>
      <c r="KC120" s="54"/>
      <c r="KD120" s="54"/>
      <c r="KE120" s="54"/>
      <c r="KF120" s="54"/>
      <c r="KG120" s="54"/>
      <c r="KH120" s="54"/>
      <c r="KI120" s="54"/>
      <c r="KJ120" s="54"/>
      <c r="KK120" s="54"/>
      <c r="KL120" s="54"/>
      <c r="KM120" s="54"/>
      <c r="KN120" s="54"/>
      <c r="KO120" s="54"/>
      <c r="KP120" s="54"/>
      <c r="KQ120" s="54"/>
      <c r="KR120" s="54"/>
      <c r="KS120" s="54"/>
      <c r="KT120" s="54"/>
      <c r="KU120" s="54"/>
      <c r="KV120" s="54"/>
      <c r="KW120" s="54"/>
      <c r="KX120" s="54"/>
    </row>
    <row r="121" ht="5.2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108"/>
      <c r="AR121" s="57" t="s">
        <v>62</v>
      </c>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9"/>
      <c r="CZ121" s="108"/>
      <c r="DA121" s="54"/>
      <c r="DB121" s="54"/>
      <c r="DC121" s="108"/>
      <c r="DD121" s="57" t="s">
        <v>63</v>
      </c>
      <c r="DE121" s="58"/>
      <c r="DF121" s="58"/>
      <c r="DG121" s="58"/>
      <c r="DH121" s="58"/>
      <c r="DI121" s="58"/>
      <c r="DJ121" s="58"/>
      <c r="DK121" s="58"/>
      <c r="DL121" s="58"/>
      <c r="DM121" s="58"/>
      <c r="DN121" s="58"/>
      <c r="DO121" s="58"/>
      <c r="DP121" s="58"/>
      <c r="DQ121" s="58"/>
      <c r="DR121" s="58"/>
      <c r="DS121" s="58"/>
      <c r="DT121" s="58"/>
      <c r="DU121" s="58"/>
      <c r="DV121" s="58"/>
      <c r="DW121" s="58"/>
      <c r="DX121" s="58"/>
      <c r="DY121" s="58"/>
      <c r="DZ121" s="58"/>
      <c r="EA121" s="58"/>
      <c r="EB121" s="58"/>
      <c r="EC121" s="58"/>
      <c r="ED121" s="58"/>
      <c r="EE121" s="58"/>
      <c r="EF121" s="58"/>
      <c r="EG121" s="58"/>
      <c r="EH121" s="58"/>
      <c r="EI121" s="58"/>
      <c r="EJ121" s="58"/>
      <c r="EK121" s="58"/>
      <c r="EL121" s="58"/>
      <c r="EM121" s="58"/>
      <c r="EN121" s="58"/>
      <c r="EO121" s="58"/>
      <c r="EP121" s="58"/>
      <c r="EQ121" s="58"/>
      <c r="ER121" s="58"/>
      <c r="ES121" s="58"/>
      <c r="ET121" s="58"/>
      <c r="EU121" s="58"/>
      <c r="EV121" s="58"/>
      <c r="EW121" s="58"/>
      <c r="EX121" s="58"/>
      <c r="EY121" s="58"/>
      <c r="EZ121" s="58"/>
      <c r="FA121" s="58"/>
      <c r="FB121" s="58"/>
      <c r="FC121" s="58"/>
      <c r="FD121" s="58"/>
      <c r="FE121" s="58"/>
      <c r="FF121" s="58"/>
      <c r="FG121" s="58"/>
      <c r="FH121" s="58"/>
      <c r="FI121" s="58"/>
      <c r="FJ121" s="58"/>
      <c r="FK121" s="59"/>
      <c r="FL121" s="108"/>
      <c r="FM121" s="54"/>
      <c r="FN121" s="54"/>
      <c r="FO121" s="108"/>
      <c r="FP121" s="57" t="s">
        <v>64</v>
      </c>
      <c r="FQ121" s="58"/>
      <c r="FR121" s="58"/>
      <c r="FS121" s="58"/>
      <c r="FT121" s="58"/>
      <c r="FU121" s="58"/>
      <c r="FV121" s="58"/>
      <c r="FW121" s="58"/>
      <c r="FX121" s="58"/>
      <c r="FY121" s="58"/>
      <c r="FZ121" s="58"/>
      <c r="GA121" s="58"/>
      <c r="GB121" s="58"/>
      <c r="GC121" s="58"/>
      <c r="GD121" s="58"/>
      <c r="GE121" s="58"/>
      <c r="GF121" s="58"/>
      <c r="GG121" s="58"/>
      <c r="GH121" s="58"/>
      <c r="GI121" s="58"/>
      <c r="GJ121" s="58"/>
      <c r="GK121" s="58"/>
      <c r="GL121" s="58"/>
      <c r="GM121" s="58"/>
      <c r="GN121" s="58"/>
      <c r="GO121" s="58"/>
      <c r="GP121" s="58"/>
      <c r="GQ121" s="58"/>
      <c r="GR121" s="58"/>
      <c r="GS121" s="58"/>
      <c r="GT121" s="58"/>
      <c r="GU121" s="58"/>
      <c r="GV121" s="58"/>
      <c r="GW121" s="58"/>
      <c r="GX121" s="58"/>
      <c r="GY121" s="58"/>
      <c r="GZ121" s="58"/>
      <c r="HA121" s="58"/>
      <c r="HB121" s="58"/>
      <c r="HC121" s="58"/>
      <c r="HD121" s="58"/>
      <c r="HE121" s="58"/>
      <c r="HF121" s="58"/>
      <c r="HG121" s="58"/>
      <c r="HH121" s="58"/>
      <c r="HI121" s="58"/>
      <c r="HJ121" s="58"/>
      <c r="HK121" s="58"/>
      <c r="HL121" s="58"/>
      <c r="HM121" s="58"/>
      <c r="HN121" s="58"/>
      <c r="HO121" s="58"/>
      <c r="HP121" s="58"/>
      <c r="HQ121" s="58"/>
      <c r="HR121" s="58"/>
      <c r="HS121" s="58"/>
      <c r="HT121" s="58"/>
      <c r="HU121" s="58"/>
      <c r="HV121" s="58"/>
      <c r="HW121" s="59"/>
      <c r="HX121" s="108"/>
      <c r="HY121" s="54"/>
      <c r="HZ121" s="54"/>
      <c r="IA121" s="54"/>
      <c r="IB121" s="54"/>
      <c r="IC121" s="54"/>
      <c r="ID121" s="54"/>
      <c r="IE121" s="54"/>
      <c r="IF121" s="54"/>
      <c r="IG121" s="54"/>
      <c r="IH121" s="54"/>
      <c r="II121" s="54"/>
      <c r="IJ121" s="54"/>
      <c r="IK121" s="54"/>
      <c r="IL121" s="54"/>
      <c r="IM121" s="54"/>
      <c r="IN121" s="54"/>
      <c r="IO121" s="54"/>
      <c r="IP121" s="54"/>
      <c r="IQ121" s="54"/>
      <c r="IR121" s="54"/>
      <c r="IS121" s="54"/>
      <c r="IT121" s="54"/>
      <c r="IU121" s="54"/>
      <c r="IV121" s="54"/>
      <c r="IW121" s="54"/>
      <c r="IX121" s="54"/>
      <c r="IY121" s="54"/>
      <c r="IZ121" s="54"/>
      <c r="JA121" s="54"/>
      <c r="JB121" s="54"/>
      <c r="JC121" s="54"/>
      <c r="JD121" s="54"/>
      <c r="JE121" s="54"/>
      <c r="JF121" s="54"/>
      <c r="JG121" s="54"/>
      <c r="JH121" s="54"/>
      <c r="JI121" s="54"/>
      <c r="JJ121" s="54"/>
      <c r="JK121" s="54"/>
      <c r="JL121" s="54"/>
      <c r="JM121" s="54"/>
      <c r="JN121" s="54"/>
      <c r="JO121" s="54"/>
      <c r="JP121" s="54"/>
      <c r="JQ121" s="54"/>
      <c r="JR121" s="54"/>
      <c r="JS121" s="54"/>
      <c r="JT121" s="54"/>
      <c r="JU121" s="54"/>
      <c r="JV121" s="54"/>
      <c r="JW121" s="54"/>
      <c r="JX121" s="54"/>
      <c r="JY121" s="54"/>
      <c r="JZ121" s="54"/>
      <c r="KA121" s="54"/>
      <c r="KB121" s="54"/>
      <c r="KC121" s="54"/>
      <c r="KD121" s="54"/>
      <c r="KE121" s="54"/>
      <c r="KF121" s="54"/>
      <c r="KG121" s="54"/>
      <c r="KH121" s="54"/>
      <c r="KI121" s="54"/>
      <c r="KJ121" s="54"/>
      <c r="KK121" s="54"/>
      <c r="KL121" s="54"/>
      <c r="KM121" s="54"/>
      <c r="KN121" s="54"/>
      <c r="KO121" s="54"/>
      <c r="KP121" s="54"/>
      <c r="KQ121" s="54"/>
      <c r="KR121" s="54"/>
      <c r="KS121" s="54"/>
      <c r="KT121" s="54"/>
      <c r="KU121" s="54"/>
      <c r="KV121" s="54"/>
      <c r="KW121" s="54"/>
      <c r="KX121" s="54"/>
    </row>
    <row r="122" ht="5.2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108"/>
      <c r="AR122" s="60"/>
      <c r="CY122" s="61"/>
      <c r="CZ122" s="108"/>
      <c r="DA122" s="54"/>
      <c r="DB122" s="54"/>
      <c r="DC122" s="108"/>
      <c r="DD122" s="60"/>
      <c r="FK122" s="61"/>
      <c r="FL122" s="108"/>
      <c r="FM122" s="54"/>
      <c r="FN122" s="54"/>
      <c r="FO122" s="108"/>
      <c r="FP122" s="60"/>
      <c r="HW122" s="61"/>
      <c r="HX122" s="108"/>
      <c r="HY122" s="54"/>
      <c r="HZ122" s="54"/>
      <c r="IA122" s="54"/>
      <c r="IB122" s="54"/>
      <c r="IC122" s="54"/>
      <c r="ID122" s="54"/>
      <c r="IE122" s="54"/>
      <c r="IF122" s="54"/>
      <c r="IG122" s="54"/>
      <c r="IH122" s="54"/>
      <c r="II122" s="54"/>
      <c r="IJ122" s="54"/>
      <c r="IK122" s="54"/>
      <c r="IL122" s="54"/>
      <c r="IM122" s="54"/>
      <c r="IN122" s="54"/>
      <c r="IO122" s="54"/>
      <c r="IP122" s="54"/>
      <c r="IQ122" s="54"/>
      <c r="IR122" s="54"/>
      <c r="IS122" s="54"/>
      <c r="IT122" s="54"/>
      <c r="IU122" s="54"/>
      <c r="IV122" s="54"/>
      <c r="IW122" s="54"/>
      <c r="IX122" s="54"/>
      <c r="IY122" s="54"/>
      <c r="IZ122" s="54"/>
      <c r="JA122" s="54"/>
      <c r="JB122" s="54"/>
      <c r="JC122" s="54"/>
      <c r="JD122" s="54"/>
      <c r="JE122" s="54"/>
      <c r="JF122" s="54"/>
      <c r="JG122" s="54"/>
      <c r="JH122" s="54"/>
      <c r="JI122" s="54"/>
      <c r="JJ122" s="54"/>
      <c r="JK122" s="54"/>
      <c r="JL122" s="54"/>
      <c r="JM122" s="54"/>
      <c r="JN122" s="54"/>
      <c r="JO122" s="54"/>
      <c r="JP122" s="54"/>
      <c r="JQ122" s="54"/>
      <c r="JR122" s="54"/>
      <c r="JS122" s="54"/>
      <c r="JT122" s="54"/>
      <c r="JU122" s="54"/>
      <c r="JV122" s="54"/>
      <c r="JW122" s="54"/>
      <c r="JX122" s="54"/>
      <c r="JY122" s="54"/>
      <c r="JZ122" s="54"/>
      <c r="KA122" s="54"/>
      <c r="KB122" s="54"/>
      <c r="KC122" s="54"/>
      <c r="KD122" s="54"/>
      <c r="KE122" s="54"/>
      <c r="KF122" s="54"/>
      <c r="KG122" s="54"/>
      <c r="KH122" s="54"/>
      <c r="KI122" s="54"/>
      <c r="KJ122" s="54"/>
      <c r="KK122" s="54"/>
      <c r="KL122" s="54"/>
      <c r="KM122" s="54"/>
      <c r="KN122" s="54"/>
      <c r="KO122" s="54"/>
      <c r="KP122" s="54"/>
      <c r="KQ122" s="54"/>
      <c r="KR122" s="54"/>
      <c r="KS122" s="54"/>
      <c r="KT122" s="54"/>
      <c r="KU122" s="54"/>
      <c r="KV122" s="54"/>
      <c r="KW122" s="54"/>
      <c r="KX122" s="54"/>
    </row>
    <row r="123" ht="5.2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108"/>
      <c r="AR123" s="60"/>
      <c r="CY123" s="61"/>
      <c r="CZ123" s="108"/>
      <c r="DA123" s="54"/>
      <c r="DB123" s="54"/>
      <c r="DC123" s="108"/>
      <c r="DD123" s="60"/>
      <c r="FK123" s="61"/>
      <c r="FL123" s="108"/>
      <c r="FM123" s="54"/>
      <c r="FN123" s="54"/>
      <c r="FO123" s="108"/>
      <c r="FP123" s="60"/>
      <c r="HW123" s="61"/>
      <c r="HX123" s="108"/>
      <c r="HY123" s="54"/>
      <c r="HZ123" s="54"/>
      <c r="IA123" s="54"/>
      <c r="IB123" s="54"/>
      <c r="IC123" s="54"/>
      <c r="ID123" s="54"/>
      <c r="IE123" s="54"/>
      <c r="IF123" s="54"/>
      <c r="IG123" s="54"/>
      <c r="IH123" s="54"/>
      <c r="II123" s="54"/>
      <c r="IJ123" s="54"/>
      <c r="IK123" s="54"/>
      <c r="IL123" s="54"/>
      <c r="IM123" s="54"/>
      <c r="IN123" s="54"/>
      <c r="IO123" s="54"/>
      <c r="IP123" s="54"/>
      <c r="IQ123" s="54"/>
      <c r="IR123" s="54"/>
      <c r="IS123" s="54"/>
      <c r="IT123" s="54"/>
      <c r="IU123" s="54"/>
      <c r="IV123" s="54"/>
      <c r="IW123" s="54"/>
      <c r="IX123" s="54"/>
      <c r="IY123" s="54"/>
      <c r="IZ123" s="54"/>
      <c r="JA123" s="54"/>
      <c r="JB123" s="54"/>
      <c r="JC123" s="54"/>
      <c r="JD123" s="54"/>
      <c r="JE123" s="54"/>
      <c r="JF123" s="54"/>
      <c r="JG123" s="54"/>
      <c r="JH123" s="54"/>
      <c r="JI123" s="54"/>
      <c r="JJ123" s="54"/>
      <c r="JK123" s="54"/>
      <c r="JL123" s="54"/>
      <c r="JM123" s="54"/>
      <c r="JN123" s="54"/>
      <c r="JO123" s="54"/>
      <c r="JP123" s="54"/>
      <c r="JQ123" s="54"/>
      <c r="JR123" s="54"/>
      <c r="JS123" s="54"/>
      <c r="JT123" s="54"/>
      <c r="JU123" s="54"/>
      <c r="JV123" s="54"/>
      <c r="JW123" s="54"/>
      <c r="JX123" s="54"/>
      <c r="JY123" s="54"/>
      <c r="JZ123" s="54"/>
      <c r="KA123" s="54"/>
      <c r="KB123" s="54"/>
      <c r="KC123" s="54"/>
      <c r="KD123" s="54"/>
      <c r="KE123" s="54"/>
      <c r="KF123" s="54"/>
      <c r="KG123" s="54"/>
      <c r="KH123" s="54"/>
      <c r="KI123" s="54"/>
      <c r="KJ123" s="54"/>
      <c r="KK123" s="54"/>
      <c r="KL123" s="54"/>
      <c r="KM123" s="54"/>
      <c r="KN123" s="54"/>
      <c r="KO123" s="54"/>
      <c r="KP123" s="54"/>
      <c r="KQ123" s="54"/>
      <c r="KR123" s="54"/>
      <c r="KS123" s="54"/>
      <c r="KT123" s="54"/>
      <c r="KU123" s="54"/>
      <c r="KV123" s="54"/>
      <c r="KW123" s="54"/>
      <c r="KX123" s="54"/>
    </row>
    <row r="124" ht="5.2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108"/>
      <c r="AR124" s="60"/>
      <c r="CY124" s="61"/>
      <c r="CZ124" s="108"/>
      <c r="DA124" s="54"/>
      <c r="DB124" s="54"/>
      <c r="DC124" s="108"/>
      <c r="DD124" s="60"/>
      <c r="FK124" s="61"/>
      <c r="FL124" s="108"/>
      <c r="FM124" s="54"/>
      <c r="FN124" s="54"/>
      <c r="FO124" s="108"/>
      <c r="FP124" s="60"/>
      <c r="HW124" s="61"/>
      <c r="HX124" s="108"/>
      <c r="HY124" s="54"/>
      <c r="HZ124" s="54"/>
      <c r="IA124" s="54"/>
      <c r="IB124" s="54"/>
      <c r="IC124" s="54"/>
      <c r="ID124" s="54"/>
      <c r="IE124" s="54"/>
      <c r="IF124" s="54"/>
      <c r="IG124" s="54"/>
      <c r="IH124" s="54"/>
      <c r="II124" s="54"/>
      <c r="IJ124" s="54"/>
      <c r="IK124" s="54"/>
      <c r="IL124" s="54"/>
      <c r="IM124" s="54"/>
      <c r="IN124" s="54"/>
      <c r="IO124" s="54"/>
      <c r="IP124" s="54"/>
      <c r="IQ124" s="54"/>
      <c r="IR124" s="54"/>
      <c r="IS124" s="54"/>
      <c r="IT124" s="54"/>
      <c r="IU124" s="54"/>
      <c r="IV124" s="54"/>
      <c r="IW124" s="54"/>
      <c r="IX124" s="54"/>
      <c r="IY124" s="54"/>
      <c r="IZ124" s="54"/>
      <c r="JA124" s="54"/>
      <c r="JB124" s="54"/>
      <c r="JC124" s="54"/>
      <c r="JD124" s="54"/>
      <c r="JE124" s="54"/>
      <c r="JF124" s="54"/>
      <c r="JG124" s="54"/>
      <c r="JH124" s="54"/>
      <c r="JI124" s="54"/>
      <c r="JJ124" s="54"/>
      <c r="JK124" s="54"/>
      <c r="JL124" s="54"/>
      <c r="JM124" s="54"/>
      <c r="JN124" s="54"/>
      <c r="JO124" s="54"/>
      <c r="JP124" s="54"/>
      <c r="JQ124" s="54"/>
      <c r="JR124" s="54"/>
      <c r="JS124" s="54"/>
      <c r="JT124" s="54"/>
      <c r="JU124" s="54"/>
      <c r="JV124" s="54"/>
      <c r="JW124" s="54"/>
      <c r="JX124" s="54"/>
      <c r="JY124" s="54"/>
      <c r="JZ124" s="54"/>
      <c r="KA124" s="54"/>
      <c r="KB124" s="54"/>
      <c r="KC124" s="54"/>
      <c r="KD124" s="54"/>
      <c r="KE124" s="54"/>
      <c r="KF124" s="54"/>
      <c r="KG124" s="54"/>
      <c r="KH124" s="54"/>
      <c r="KI124" s="54"/>
      <c r="KJ124" s="54"/>
      <c r="KK124" s="54"/>
      <c r="KL124" s="54"/>
      <c r="KM124" s="54"/>
      <c r="KN124" s="54"/>
      <c r="KO124" s="54"/>
      <c r="KP124" s="54"/>
      <c r="KQ124" s="54"/>
      <c r="KR124" s="54"/>
      <c r="KS124" s="54"/>
      <c r="KT124" s="54"/>
      <c r="KU124" s="54"/>
      <c r="KV124" s="54"/>
      <c r="KW124" s="54"/>
      <c r="KX124" s="54"/>
    </row>
    <row r="125" ht="5.2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108"/>
      <c r="AR125" s="60"/>
      <c r="CY125" s="61"/>
      <c r="CZ125" s="108"/>
      <c r="DA125" s="54"/>
      <c r="DB125" s="54"/>
      <c r="DC125" s="108"/>
      <c r="DD125" s="60"/>
      <c r="FK125" s="61"/>
      <c r="FL125" s="108"/>
      <c r="FM125" s="54"/>
      <c r="FN125" s="54"/>
      <c r="FO125" s="108"/>
      <c r="FP125" s="60"/>
      <c r="HW125" s="61"/>
      <c r="HX125" s="108"/>
      <c r="HY125" s="54"/>
      <c r="HZ125" s="54"/>
      <c r="IA125" s="54"/>
      <c r="IB125" s="54"/>
      <c r="IC125" s="54"/>
      <c r="ID125" s="54"/>
      <c r="IE125" s="54"/>
      <c r="IF125" s="54"/>
      <c r="IG125" s="54"/>
      <c r="IH125" s="54"/>
      <c r="II125" s="54"/>
      <c r="IJ125" s="54"/>
      <c r="IK125" s="54"/>
      <c r="IL125" s="54"/>
      <c r="IM125" s="54"/>
      <c r="IN125" s="54"/>
      <c r="IO125" s="54"/>
      <c r="IP125" s="54"/>
      <c r="IQ125" s="54"/>
      <c r="IR125" s="54"/>
      <c r="IS125" s="54"/>
      <c r="IT125" s="54"/>
      <c r="IU125" s="54"/>
      <c r="IV125" s="54"/>
      <c r="IW125" s="54"/>
      <c r="IX125" s="54"/>
      <c r="IY125" s="54"/>
      <c r="IZ125" s="54"/>
      <c r="JA125" s="54"/>
      <c r="JB125" s="54"/>
      <c r="JC125" s="54"/>
      <c r="JD125" s="54"/>
      <c r="JE125" s="54"/>
      <c r="JF125" s="54"/>
      <c r="JG125" s="54"/>
      <c r="JH125" s="54"/>
      <c r="JI125" s="54"/>
      <c r="JJ125" s="54"/>
      <c r="JK125" s="54"/>
      <c r="JL125" s="54"/>
      <c r="JM125" s="54"/>
      <c r="JN125" s="54"/>
      <c r="JO125" s="54"/>
      <c r="JP125" s="54"/>
      <c r="JQ125" s="54"/>
      <c r="JR125" s="54"/>
      <c r="JS125" s="54"/>
      <c r="JT125" s="54"/>
      <c r="JU125" s="54"/>
      <c r="JV125" s="54"/>
      <c r="JW125" s="54"/>
      <c r="JX125" s="54"/>
      <c r="JY125" s="54"/>
      <c r="JZ125" s="54"/>
      <c r="KA125" s="54"/>
      <c r="KB125" s="54"/>
      <c r="KC125" s="54"/>
      <c r="KD125" s="54"/>
      <c r="KE125" s="54"/>
      <c r="KF125" s="54"/>
      <c r="KG125" s="54"/>
      <c r="KH125" s="54"/>
      <c r="KI125" s="54"/>
      <c r="KJ125" s="54"/>
      <c r="KK125" s="54"/>
      <c r="KL125" s="54"/>
      <c r="KM125" s="54"/>
      <c r="KN125" s="54"/>
      <c r="KO125" s="54"/>
      <c r="KP125" s="54"/>
      <c r="KQ125" s="54"/>
      <c r="KR125" s="54"/>
      <c r="KS125" s="54"/>
      <c r="KT125" s="54"/>
      <c r="KU125" s="54"/>
      <c r="KV125" s="54"/>
      <c r="KW125" s="54"/>
      <c r="KX125" s="54"/>
    </row>
    <row r="126" ht="5.2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108"/>
      <c r="AR126" s="110" t="s">
        <v>2</v>
      </c>
      <c r="BV126" s="111" t="s">
        <v>4</v>
      </c>
      <c r="CY126" s="61"/>
      <c r="CZ126" s="108"/>
      <c r="DA126" s="54"/>
      <c r="DB126" s="54"/>
      <c r="DC126" s="108"/>
      <c r="DD126" s="110" t="s">
        <v>2</v>
      </c>
      <c r="EH126" s="111" t="s">
        <v>4</v>
      </c>
      <c r="FK126" s="61"/>
      <c r="FL126" s="108"/>
      <c r="FM126" s="54"/>
      <c r="FN126" s="54"/>
      <c r="FO126" s="108"/>
      <c r="FP126" s="110" t="s">
        <v>2</v>
      </c>
      <c r="GT126" s="111" t="s">
        <v>4</v>
      </c>
      <c r="HW126" s="61"/>
      <c r="HX126" s="108"/>
      <c r="HY126" s="54"/>
      <c r="HZ126" s="54"/>
      <c r="IA126" s="54"/>
      <c r="IB126" s="54"/>
      <c r="IC126" s="54"/>
      <c r="ID126" s="54"/>
      <c r="IE126" s="54"/>
      <c r="IF126" s="54"/>
      <c r="IG126" s="54"/>
      <c r="IH126" s="54"/>
      <c r="II126" s="54"/>
      <c r="IJ126" s="54"/>
      <c r="IK126" s="54"/>
      <c r="IL126" s="54"/>
      <c r="IM126" s="54"/>
      <c r="IN126" s="54"/>
      <c r="IO126" s="54"/>
      <c r="IP126" s="54"/>
      <c r="IQ126" s="54"/>
      <c r="IR126" s="54"/>
      <c r="IS126" s="54"/>
      <c r="IT126" s="54"/>
      <c r="IU126" s="54"/>
      <c r="IV126" s="54"/>
      <c r="IW126" s="54"/>
      <c r="IX126" s="54"/>
      <c r="IY126" s="54"/>
      <c r="IZ126" s="54"/>
      <c r="JA126" s="54"/>
      <c r="JB126" s="54"/>
      <c r="JC126" s="54"/>
      <c r="JD126" s="54"/>
      <c r="JE126" s="54"/>
      <c r="JF126" s="54"/>
      <c r="JG126" s="54"/>
      <c r="JH126" s="54"/>
      <c r="JI126" s="54"/>
      <c r="JJ126" s="54"/>
      <c r="JK126" s="54"/>
      <c r="JL126" s="54"/>
      <c r="JM126" s="54"/>
      <c r="JN126" s="54"/>
      <c r="JO126" s="54"/>
      <c r="JP126" s="54"/>
      <c r="JQ126" s="54"/>
      <c r="JR126" s="54"/>
      <c r="JS126" s="54"/>
      <c r="JT126" s="54"/>
      <c r="JU126" s="54"/>
      <c r="JV126" s="54"/>
      <c r="JW126" s="54"/>
      <c r="JX126" s="54"/>
      <c r="JY126" s="54"/>
      <c r="JZ126" s="54"/>
      <c r="KA126" s="54"/>
      <c r="KB126" s="54"/>
      <c r="KC126" s="54"/>
      <c r="KD126" s="54"/>
      <c r="KE126" s="54"/>
      <c r="KF126" s="54"/>
      <c r="KG126" s="54"/>
      <c r="KH126" s="54"/>
      <c r="KI126" s="54"/>
      <c r="KJ126" s="54"/>
      <c r="KK126" s="54"/>
      <c r="KL126" s="54"/>
      <c r="KM126" s="54"/>
      <c r="KN126" s="54"/>
      <c r="KO126" s="54"/>
      <c r="KP126" s="54"/>
      <c r="KQ126" s="54"/>
      <c r="KR126" s="54"/>
      <c r="KS126" s="54"/>
      <c r="KT126" s="54"/>
      <c r="KU126" s="54"/>
      <c r="KV126" s="54"/>
      <c r="KW126" s="54"/>
      <c r="KX126" s="54"/>
    </row>
    <row r="127" ht="5.2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108"/>
      <c r="AR127" s="60"/>
      <c r="CY127" s="61"/>
      <c r="CZ127" s="108"/>
      <c r="DA127" s="54"/>
      <c r="DB127" s="54"/>
      <c r="DC127" s="108"/>
      <c r="DD127" s="60"/>
      <c r="FK127" s="61"/>
      <c r="FL127" s="108"/>
      <c r="FM127" s="54"/>
      <c r="FN127" s="54"/>
      <c r="FO127" s="108"/>
      <c r="FP127" s="60"/>
      <c r="HW127" s="61"/>
      <c r="HX127" s="108"/>
      <c r="HY127" s="54"/>
      <c r="HZ127" s="54"/>
      <c r="IA127" s="54"/>
      <c r="IB127" s="54"/>
      <c r="IC127" s="54"/>
      <c r="ID127" s="54"/>
      <c r="IE127" s="54"/>
      <c r="IF127" s="54"/>
      <c r="IG127" s="54"/>
      <c r="IH127" s="54"/>
      <c r="II127" s="54"/>
      <c r="IJ127" s="54"/>
      <c r="IK127" s="54"/>
      <c r="IL127" s="54"/>
      <c r="IM127" s="54"/>
      <c r="IN127" s="54"/>
      <c r="IO127" s="54"/>
      <c r="IP127" s="54"/>
      <c r="IQ127" s="54"/>
      <c r="IR127" s="54"/>
      <c r="IS127" s="54"/>
      <c r="IT127" s="54"/>
      <c r="IU127" s="54"/>
      <c r="IV127" s="54"/>
      <c r="IW127" s="54"/>
      <c r="IX127" s="54"/>
      <c r="IY127" s="54"/>
      <c r="IZ127" s="54"/>
      <c r="JA127" s="54"/>
      <c r="JB127" s="54"/>
      <c r="JC127" s="54"/>
      <c r="JD127" s="54"/>
      <c r="JE127" s="54"/>
      <c r="JF127" s="54"/>
      <c r="JG127" s="54"/>
      <c r="JH127" s="54"/>
      <c r="JI127" s="54"/>
      <c r="JJ127" s="54"/>
      <c r="JK127" s="54"/>
      <c r="JL127" s="54"/>
      <c r="JM127" s="54"/>
      <c r="JN127" s="54"/>
      <c r="JO127" s="54"/>
      <c r="JP127" s="54"/>
      <c r="JQ127" s="54"/>
      <c r="JR127" s="54"/>
      <c r="JS127" s="54"/>
      <c r="JT127" s="54"/>
      <c r="JU127" s="54"/>
      <c r="JV127" s="54"/>
      <c r="JW127" s="54"/>
      <c r="JX127" s="54"/>
      <c r="JY127" s="54"/>
      <c r="JZ127" s="54"/>
      <c r="KA127" s="54"/>
      <c r="KB127" s="54"/>
      <c r="KC127" s="54"/>
      <c r="KD127" s="54"/>
      <c r="KE127" s="54"/>
      <c r="KF127" s="54"/>
      <c r="KG127" s="54"/>
      <c r="KH127" s="54"/>
      <c r="KI127" s="54"/>
      <c r="KJ127" s="54"/>
      <c r="KK127" s="54"/>
      <c r="KL127" s="54"/>
      <c r="KM127" s="54"/>
      <c r="KN127" s="54"/>
      <c r="KO127" s="54"/>
      <c r="KP127" s="54"/>
      <c r="KQ127" s="54"/>
      <c r="KR127" s="54"/>
      <c r="KS127" s="54"/>
      <c r="KT127" s="54"/>
      <c r="KU127" s="54"/>
      <c r="KV127" s="54"/>
      <c r="KW127" s="54"/>
      <c r="KX127" s="54"/>
    </row>
    <row r="128" ht="5.2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108"/>
      <c r="AR128" s="60"/>
      <c r="CY128" s="61"/>
      <c r="CZ128" s="108"/>
      <c r="DA128" s="54"/>
      <c r="DB128" s="54"/>
      <c r="DC128" s="108"/>
      <c r="DD128" s="60"/>
      <c r="FK128" s="61"/>
      <c r="FL128" s="108"/>
      <c r="FM128" s="54"/>
      <c r="FN128" s="54"/>
      <c r="FO128" s="108"/>
      <c r="FP128" s="60"/>
      <c r="HW128" s="61"/>
      <c r="HX128" s="108"/>
      <c r="HY128" s="54"/>
      <c r="HZ128" s="54"/>
      <c r="IA128" s="54"/>
      <c r="IB128" s="54"/>
      <c r="IC128" s="54"/>
      <c r="ID128" s="54"/>
      <c r="IE128" s="54"/>
      <c r="IF128" s="54"/>
      <c r="IG128" s="54"/>
      <c r="IH128" s="54"/>
      <c r="II128" s="54"/>
      <c r="IJ128" s="54"/>
      <c r="IK128" s="54"/>
      <c r="IL128" s="54"/>
      <c r="IM128" s="54"/>
      <c r="IN128" s="54"/>
      <c r="IO128" s="54"/>
      <c r="IP128" s="54"/>
      <c r="IQ128" s="54"/>
      <c r="IR128" s="54"/>
      <c r="IS128" s="54"/>
      <c r="IT128" s="54"/>
      <c r="IU128" s="54"/>
      <c r="IV128" s="54"/>
      <c r="IW128" s="54"/>
      <c r="IX128" s="54"/>
      <c r="IY128" s="54"/>
      <c r="IZ128" s="54"/>
      <c r="JA128" s="54"/>
      <c r="JB128" s="54"/>
      <c r="JC128" s="54"/>
      <c r="JD128" s="54"/>
      <c r="JE128" s="54"/>
      <c r="JF128" s="54"/>
      <c r="JG128" s="54"/>
      <c r="JH128" s="54"/>
      <c r="JI128" s="54"/>
      <c r="JJ128" s="54"/>
      <c r="JK128" s="54"/>
      <c r="JL128" s="54"/>
      <c r="JM128" s="54"/>
      <c r="JN128" s="54"/>
      <c r="JO128" s="54"/>
      <c r="JP128" s="54"/>
      <c r="JQ128" s="54"/>
      <c r="JR128" s="54"/>
      <c r="JS128" s="54"/>
      <c r="JT128" s="54"/>
      <c r="JU128" s="54"/>
      <c r="JV128" s="54"/>
      <c r="JW128" s="54"/>
      <c r="JX128" s="54"/>
      <c r="JY128" s="54"/>
      <c r="JZ128" s="54"/>
      <c r="KA128" s="54"/>
      <c r="KB128" s="54"/>
      <c r="KC128" s="54"/>
      <c r="KD128" s="54"/>
      <c r="KE128" s="54"/>
      <c r="KF128" s="54"/>
      <c r="KG128" s="54"/>
      <c r="KH128" s="54"/>
      <c r="KI128" s="54"/>
      <c r="KJ128" s="54"/>
      <c r="KK128" s="54"/>
      <c r="KL128" s="54"/>
      <c r="KM128" s="54"/>
      <c r="KN128" s="54"/>
      <c r="KO128" s="54"/>
      <c r="KP128" s="54"/>
      <c r="KQ128" s="54"/>
      <c r="KR128" s="54"/>
      <c r="KS128" s="54"/>
      <c r="KT128" s="54"/>
      <c r="KU128" s="54"/>
      <c r="KV128" s="54"/>
      <c r="KW128" s="54"/>
      <c r="KX128" s="54"/>
    </row>
    <row r="129" ht="5.2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108"/>
      <c r="AR129" s="112"/>
      <c r="AZ129" s="113" t="s">
        <v>57</v>
      </c>
      <c r="BB129" s="11"/>
      <c r="BC129" s="114" t="s">
        <v>58</v>
      </c>
      <c r="BE129" s="11"/>
      <c r="BF129" s="114" t="s">
        <v>59</v>
      </c>
      <c r="BI129" s="108"/>
      <c r="BR129" s="115" t="s">
        <v>3</v>
      </c>
      <c r="BZ129" s="108"/>
      <c r="CA129" s="108"/>
      <c r="CB129" s="108"/>
      <c r="CC129" s="108"/>
      <c r="CD129" s="108"/>
      <c r="CE129" s="108"/>
      <c r="CF129" s="108"/>
      <c r="CG129" s="108"/>
      <c r="CH129" s="108"/>
      <c r="CI129" s="113" t="s">
        <v>59</v>
      </c>
      <c r="CK129" s="11"/>
      <c r="CL129" s="114" t="s">
        <v>58</v>
      </c>
      <c r="CN129" s="11"/>
      <c r="CO129" s="114" t="s">
        <v>57</v>
      </c>
      <c r="CR129" s="108"/>
      <c r="CS129" s="108"/>
      <c r="CT129" s="108"/>
      <c r="CU129" s="108"/>
      <c r="CV129" s="108"/>
      <c r="CW129" s="108"/>
      <c r="CX129" s="108"/>
      <c r="CY129" s="116"/>
      <c r="CZ129" s="108"/>
      <c r="DA129" s="54"/>
      <c r="DB129" s="54"/>
      <c r="DC129" s="108"/>
      <c r="DD129" s="112"/>
      <c r="DL129" s="113" t="s">
        <v>57</v>
      </c>
      <c r="DN129" s="11"/>
      <c r="DO129" s="114" t="s">
        <v>58</v>
      </c>
      <c r="DQ129" s="11"/>
      <c r="DR129" s="114" t="s">
        <v>59</v>
      </c>
      <c r="DU129" s="108"/>
      <c r="ED129" s="115" t="s">
        <v>3</v>
      </c>
      <c r="EL129" s="108"/>
      <c r="EM129" s="108"/>
      <c r="EN129" s="108"/>
      <c r="EO129" s="108"/>
      <c r="EP129" s="108"/>
      <c r="EQ129" s="108"/>
      <c r="ER129" s="108"/>
      <c r="ES129" s="108"/>
      <c r="ET129" s="108"/>
      <c r="EU129" s="113" t="s">
        <v>59</v>
      </c>
      <c r="EW129" s="11"/>
      <c r="EX129" s="114" t="s">
        <v>58</v>
      </c>
      <c r="EZ129" s="11"/>
      <c r="FA129" s="114" t="s">
        <v>57</v>
      </c>
      <c r="FD129" s="108"/>
      <c r="FE129" s="108"/>
      <c r="FF129" s="108"/>
      <c r="FG129" s="108"/>
      <c r="FH129" s="108"/>
      <c r="FI129" s="108"/>
      <c r="FJ129" s="108"/>
      <c r="FK129" s="116"/>
      <c r="FL129" s="108"/>
      <c r="FM129" s="54"/>
      <c r="FN129" s="54"/>
      <c r="FO129" s="108"/>
      <c r="FP129" s="112"/>
      <c r="FX129" s="113" t="s">
        <v>57</v>
      </c>
      <c r="FZ129" s="11"/>
      <c r="GA129" s="114" t="s">
        <v>58</v>
      </c>
      <c r="GC129" s="11"/>
      <c r="GD129" s="114" t="s">
        <v>59</v>
      </c>
      <c r="GG129" s="108"/>
      <c r="GP129" s="115" t="s">
        <v>3</v>
      </c>
      <c r="GX129" s="108"/>
      <c r="GY129" s="108"/>
      <c r="GZ129" s="108"/>
      <c r="HA129" s="108"/>
      <c r="HB129" s="108"/>
      <c r="HC129" s="108"/>
      <c r="HD129" s="108"/>
      <c r="HE129" s="108"/>
      <c r="HF129" s="108"/>
      <c r="HG129" s="113" t="s">
        <v>59</v>
      </c>
      <c r="HI129" s="11"/>
      <c r="HJ129" s="114" t="s">
        <v>58</v>
      </c>
      <c r="HL129" s="11"/>
      <c r="HM129" s="114" t="s">
        <v>57</v>
      </c>
      <c r="HP129" s="108"/>
      <c r="HQ129" s="108"/>
      <c r="HR129" s="108"/>
      <c r="HS129" s="108"/>
      <c r="HT129" s="108"/>
      <c r="HU129" s="108"/>
      <c r="HV129" s="108"/>
      <c r="HW129" s="116"/>
      <c r="HX129" s="108"/>
      <c r="HY129" s="54"/>
      <c r="HZ129" s="54"/>
      <c r="IA129" s="54"/>
      <c r="IB129" s="54"/>
      <c r="IC129" s="54"/>
      <c r="ID129" s="54"/>
      <c r="IE129" s="54"/>
      <c r="IF129" s="54"/>
      <c r="IG129" s="54"/>
      <c r="IH129" s="54"/>
      <c r="II129" s="54"/>
      <c r="IJ129" s="54"/>
      <c r="IK129" s="54"/>
      <c r="IL129" s="54"/>
      <c r="IM129" s="54"/>
      <c r="IN129" s="54"/>
      <c r="IO129" s="54"/>
      <c r="IP129" s="54"/>
      <c r="IQ129" s="54"/>
      <c r="IR129" s="54"/>
      <c r="IS129" s="54"/>
      <c r="IT129" s="54"/>
      <c r="IU129" s="54"/>
      <c r="IV129" s="54"/>
      <c r="IW129" s="54"/>
      <c r="IX129" s="54"/>
      <c r="IY129" s="54"/>
      <c r="IZ129" s="54"/>
      <c r="JA129" s="54"/>
      <c r="JB129" s="54"/>
      <c r="JC129" s="54"/>
      <c r="JD129" s="54"/>
      <c r="JE129" s="54"/>
      <c r="JF129" s="54"/>
      <c r="JG129" s="54"/>
      <c r="JH129" s="54"/>
      <c r="JI129" s="54"/>
      <c r="JJ129" s="54"/>
      <c r="JK129" s="54"/>
      <c r="JL129" s="54"/>
      <c r="JM129" s="54"/>
      <c r="JN129" s="54"/>
      <c r="JO129" s="54"/>
      <c r="JP129" s="54"/>
      <c r="JQ129" s="54"/>
      <c r="JR129" s="54"/>
      <c r="JS129" s="54"/>
      <c r="JT129" s="54"/>
      <c r="JU129" s="54"/>
      <c r="JV129" s="54"/>
      <c r="JW129" s="54"/>
      <c r="JX129" s="54"/>
      <c r="JY129" s="54"/>
      <c r="JZ129" s="54"/>
      <c r="KA129" s="54"/>
      <c r="KB129" s="54"/>
      <c r="KC129" s="54"/>
      <c r="KD129" s="54"/>
      <c r="KE129" s="54"/>
      <c r="KF129" s="54"/>
      <c r="KG129" s="54"/>
      <c r="KH129" s="54"/>
      <c r="KI129" s="54"/>
      <c r="KJ129" s="54"/>
      <c r="KK129" s="54"/>
      <c r="KL129" s="54"/>
      <c r="KM129" s="54"/>
      <c r="KN129" s="54"/>
      <c r="KO129" s="54"/>
      <c r="KP129" s="54"/>
      <c r="KQ129" s="54"/>
      <c r="KR129" s="54"/>
      <c r="KS129" s="54"/>
      <c r="KT129" s="54"/>
      <c r="KU129" s="54"/>
      <c r="KV129" s="54"/>
      <c r="KW129" s="54"/>
      <c r="KX129" s="54"/>
    </row>
    <row r="130" ht="5.2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108"/>
      <c r="AR130" s="60"/>
      <c r="BB130" s="11"/>
      <c r="BC130" s="10"/>
      <c r="BE130" s="11"/>
      <c r="BF130" s="10"/>
      <c r="BZ130" s="108"/>
      <c r="CA130" s="108"/>
      <c r="CB130" s="108"/>
      <c r="CC130" s="108"/>
      <c r="CD130" s="108"/>
      <c r="CE130" s="108"/>
      <c r="CF130" s="108"/>
      <c r="CG130" s="108"/>
      <c r="CH130" s="108"/>
      <c r="CK130" s="11"/>
      <c r="CL130" s="10"/>
      <c r="CN130" s="11"/>
      <c r="CO130" s="10"/>
      <c r="CR130" s="108"/>
      <c r="CS130" s="108"/>
      <c r="CT130" s="108"/>
      <c r="CU130" s="108"/>
      <c r="CV130" s="108"/>
      <c r="CW130" s="108"/>
      <c r="CX130" s="108"/>
      <c r="CY130" s="116"/>
      <c r="CZ130" s="108"/>
      <c r="DA130" s="54"/>
      <c r="DB130" s="54"/>
      <c r="DC130" s="108"/>
      <c r="DD130" s="60"/>
      <c r="DN130" s="11"/>
      <c r="DO130" s="10"/>
      <c r="DQ130" s="11"/>
      <c r="DR130" s="10"/>
      <c r="EL130" s="108"/>
      <c r="EM130" s="108"/>
      <c r="EN130" s="108"/>
      <c r="EO130" s="108"/>
      <c r="EP130" s="108"/>
      <c r="EQ130" s="108"/>
      <c r="ER130" s="108"/>
      <c r="ES130" s="108"/>
      <c r="ET130" s="108"/>
      <c r="EW130" s="11"/>
      <c r="EX130" s="10"/>
      <c r="EZ130" s="11"/>
      <c r="FA130" s="10"/>
      <c r="FD130" s="108"/>
      <c r="FE130" s="108"/>
      <c r="FF130" s="108"/>
      <c r="FG130" s="108"/>
      <c r="FH130" s="108"/>
      <c r="FI130" s="108"/>
      <c r="FJ130" s="108"/>
      <c r="FK130" s="116"/>
      <c r="FL130" s="108"/>
      <c r="FM130" s="54"/>
      <c r="FN130" s="54"/>
      <c r="FO130" s="108"/>
      <c r="FP130" s="60"/>
      <c r="FZ130" s="11"/>
      <c r="GA130" s="10"/>
      <c r="GC130" s="11"/>
      <c r="GD130" s="10"/>
      <c r="GX130" s="108"/>
      <c r="GY130" s="108"/>
      <c r="GZ130" s="108"/>
      <c r="HA130" s="108"/>
      <c r="HB130" s="108"/>
      <c r="HC130" s="108"/>
      <c r="HD130" s="108"/>
      <c r="HE130" s="108"/>
      <c r="HF130" s="108"/>
      <c r="HI130" s="11"/>
      <c r="HJ130" s="10"/>
      <c r="HL130" s="11"/>
      <c r="HM130" s="10"/>
      <c r="HP130" s="108"/>
      <c r="HQ130" s="108"/>
      <c r="HR130" s="108"/>
      <c r="HS130" s="108"/>
      <c r="HT130" s="108"/>
      <c r="HU130" s="108"/>
      <c r="HV130" s="108"/>
      <c r="HW130" s="116"/>
      <c r="HX130" s="108"/>
      <c r="HY130" s="54"/>
      <c r="HZ130" s="54"/>
      <c r="IA130" s="54"/>
      <c r="IB130" s="54"/>
      <c r="IC130" s="54"/>
      <c r="ID130" s="54"/>
      <c r="IE130" s="54"/>
      <c r="IF130" s="54"/>
      <c r="IG130" s="54"/>
      <c r="IH130" s="54"/>
      <c r="II130" s="54"/>
      <c r="IJ130" s="54"/>
      <c r="IK130" s="54"/>
      <c r="IL130" s="54"/>
      <c r="IM130" s="54"/>
      <c r="IN130" s="54"/>
      <c r="IO130" s="54"/>
      <c r="IP130" s="54"/>
      <c r="IQ130" s="54"/>
      <c r="IR130" s="54"/>
      <c r="IS130" s="54"/>
      <c r="IT130" s="54"/>
      <c r="IU130" s="54"/>
      <c r="IV130" s="54"/>
      <c r="IW130" s="54"/>
      <c r="IX130" s="54"/>
      <c r="IY130" s="54"/>
      <c r="IZ130" s="54"/>
      <c r="JA130" s="54"/>
      <c r="JB130" s="54"/>
      <c r="JC130" s="54"/>
      <c r="JD130" s="54"/>
      <c r="JE130" s="54"/>
      <c r="JF130" s="54"/>
      <c r="JG130" s="54"/>
      <c r="JH130" s="54"/>
      <c r="JI130" s="54"/>
      <c r="JJ130" s="54"/>
      <c r="JK130" s="54"/>
      <c r="JL130" s="54"/>
      <c r="JM130" s="54"/>
      <c r="JN130" s="54"/>
      <c r="JO130" s="54"/>
      <c r="JP130" s="54"/>
      <c r="JQ130" s="54"/>
      <c r="JR130" s="54"/>
      <c r="JS130" s="54"/>
      <c r="JT130" s="54"/>
      <c r="JU130" s="54"/>
      <c r="JV130" s="54"/>
      <c r="JW130" s="54"/>
      <c r="JX130" s="54"/>
      <c r="JY130" s="54"/>
      <c r="JZ130" s="54"/>
      <c r="KA130" s="54"/>
      <c r="KB130" s="54"/>
      <c r="KC130" s="54"/>
      <c r="KD130" s="54"/>
      <c r="KE130" s="54"/>
      <c r="KF130" s="54"/>
      <c r="KG130" s="54"/>
      <c r="KH130" s="54"/>
      <c r="KI130" s="54"/>
      <c r="KJ130" s="54"/>
      <c r="KK130" s="54"/>
      <c r="KL130" s="54"/>
      <c r="KM130" s="54"/>
      <c r="KN130" s="54"/>
      <c r="KO130" s="54"/>
      <c r="KP130" s="54"/>
      <c r="KQ130" s="54"/>
      <c r="KR130" s="54"/>
      <c r="KS130" s="54"/>
      <c r="KT130" s="54"/>
      <c r="KU130" s="54"/>
      <c r="KV130" s="54"/>
      <c r="KW130" s="54"/>
      <c r="KX130" s="54"/>
    </row>
    <row r="131" ht="5.2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108"/>
      <c r="AR131" s="70"/>
      <c r="AS131" s="71"/>
      <c r="AT131" s="71"/>
      <c r="AU131" s="71"/>
      <c r="AV131" s="71"/>
      <c r="AW131" s="71"/>
      <c r="AX131" s="71"/>
      <c r="AY131" s="71"/>
      <c r="AZ131" s="71"/>
      <c r="BA131" s="71"/>
      <c r="BB131" s="72"/>
      <c r="BC131" s="73"/>
      <c r="BD131" s="71"/>
      <c r="BE131" s="72"/>
      <c r="BF131" s="73"/>
      <c r="BG131" s="71"/>
      <c r="BH131" s="71"/>
      <c r="BI131" s="71"/>
      <c r="BJ131" s="71"/>
      <c r="BK131" s="71"/>
      <c r="BL131" s="71"/>
      <c r="BM131" s="71"/>
      <c r="BN131" s="71"/>
      <c r="BO131" s="71"/>
      <c r="BP131" s="71"/>
      <c r="BQ131" s="71"/>
      <c r="BR131" s="71"/>
      <c r="BS131" s="71"/>
      <c r="BT131" s="71"/>
      <c r="BU131" s="71"/>
      <c r="BV131" s="71"/>
      <c r="BW131" s="71"/>
      <c r="BX131" s="71"/>
      <c r="BY131" s="71"/>
      <c r="BZ131" s="117"/>
      <c r="CA131" s="117"/>
      <c r="CB131" s="117"/>
      <c r="CC131" s="117"/>
      <c r="CD131" s="117"/>
      <c r="CE131" s="117"/>
      <c r="CF131" s="117"/>
      <c r="CG131" s="117"/>
      <c r="CH131" s="117"/>
      <c r="CI131" s="71"/>
      <c r="CJ131" s="71"/>
      <c r="CK131" s="72"/>
      <c r="CL131" s="73"/>
      <c r="CM131" s="71"/>
      <c r="CN131" s="72"/>
      <c r="CO131" s="73"/>
      <c r="CP131" s="71"/>
      <c r="CQ131" s="71"/>
      <c r="CR131" s="117"/>
      <c r="CS131" s="117"/>
      <c r="CT131" s="117"/>
      <c r="CU131" s="117"/>
      <c r="CV131" s="117"/>
      <c r="CW131" s="117"/>
      <c r="CX131" s="117"/>
      <c r="CY131" s="118"/>
      <c r="CZ131" s="108"/>
      <c r="DA131" s="54"/>
      <c r="DB131" s="54"/>
      <c r="DC131" s="108"/>
      <c r="DD131" s="70"/>
      <c r="DE131" s="71"/>
      <c r="DF131" s="71"/>
      <c r="DG131" s="71"/>
      <c r="DH131" s="71"/>
      <c r="DI131" s="71"/>
      <c r="DJ131" s="71"/>
      <c r="DK131" s="71"/>
      <c r="DL131" s="71"/>
      <c r="DM131" s="71"/>
      <c r="DN131" s="72"/>
      <c r="DO131" s="73"/>
      <c r="DP131" s="71"/>
      <c r="DQ131" s="72"/>
      <c r="DR131" s="73"/>
      <c r="DS131" s="71"/>
      <c r="DT131" s="71"/>
      <c r="DU131" s="71"/>
      <c r="DV131" s="71"/>
      <c r="DW131" s="71"/>
      <c r="DX131" s="71"/>
      <c r="DY131" s="71"/>
      <c r="DZ131" s="71"/>
      <c r="EA131" s="71"/>
      <c r="EB131" s="71"/>
      <c r="EC131" s="71"/>
      <c r="ED131" s="71"/>
      <c r="EE131" s="71"/>
      <c r="EF131" s="71"/>
      <c r="EG131" s="71"/>
      <c r="EH131" s="71"/>
      <c r="EI131" s="71"/>
      <c r="EJ131" s="71"/>
      <c r="EK131" s="71"/>
      <c r="EL131" s="117"/>
      <c r="EM131" s="117"/>
      <c r="EN131" s="117"/>
      <c r="EO131" s="117"/>
      <c r="EP131" s="117"/>
      <c r="EQ131" s="117"/>
      <c r="ER131" s="117"/>
      <c r="ES131" s="117"/>
      <c r="ET131" s="117"/>
      <c r="EU131" s="71"/>
      <c r="EV131" s="71"/>
      <c r="EW131" s="72"/>
      <c r="EX131" s="73"/>
      <c r="EY131" s="71"/>
      <c r="EZ131" s="72"/>
      <c r="FA131" s="73"/>
      <c r="FB131" s="71"/>
      <c r="FC131" s="71"/>
      <c r="FD131" s="117"/>
      <c r="FE131" s="117"/>
      <c r="FF131" s="117"/>
      <c r="FG131" s="117"/>
      <c r="FH131" s="117"/>
      <c r="FI131" s="117"/>
      <c r="FJ131" s="117"/>
      <c r="FK131" s="118"/>
      <c r="FL131" s="108"/>
      <c r="FM131" s="54"/>
      <c r="FN131" s="54"/>
      <c r="FO131" s="108"/>
      <c r="FP131" s="70"/>
      <c r="FQ131" s="71"/>
      <c r="FR131" s="71"/>
      <c r="FS131" s="71"/>
      <c r="FT131" s="71"/>
      <c r="FU131" s="71"/>
      <c r="FV131" s="71"/>
      <c r="FW131" s="71"/>
      <c r="FX131" s="71"/>
      <c r="FY131" s="71"/>
      <c r="FZ131" s="72"/>
      <c r="GA131" s="73"/>
      <c r="GB131" s="71"/>
      <c r="GC131" s="72"/>
      <c r="GD131" s="73"/>
      <c r="GE131" s="71"/>
      <c r="GF131" s="71"/>
      <c r="GG131" s="71"/>
      <c r="GH131" s="71"/>
      <c r="GI131" s="71"/>
      <c r="GJ131" s="71"/>
      <c r="GK131" s="71"/>
      <c r="GL131" s="71"/>
      <c r="GM131" s="71"/>
      <c r="GN131" s="71"/>
      <c r="GO131" s="71"/>
      <c r="GP131" s="71"/>
      <c r="GQ131" s="71"/>
      <c r="GR131" s="71"/>
      <c r="GS131" s="71"/>
      <c r="GT131" s="71"/>
      <c r="GU131" s="71"/>
      <c r="GV131" s="71"/>
      <c r="GW131" s="71"/>
      <c r="GX131" s="117"/>
      <c r="GY131" s="117"/>
      <c r="GZ131" s="117"/>
      <c r="HA131" s="117"/>
      <c r="HB131" s="117"/>
      <c r="HC131" s="117"/>
      <c r="HD131" s="117"/>
      <c r="HE131" s="117"/>
      <c r="HF131" s="117"/>
      <c r="HG131" s="71"/>
      <c r="HH131" s="71"/>
      <c r="HI131" s="72"/>
      <c r="HJ131" s="73"/>
      <c r="HK131" s="71"/>
      <c r="HL131" s="72"/>
      <c r="HM131" s="73"/>
      <c r="HN131" s="71"/>
      <c r="HO131" s="71"/>
      <c r="HP131" s="117"/>
      <c r="HQ131" s="117"/>
      <c r="HR131" s="117"/>
      <c r="HS131" s="117"/>
      <c r="HT131" s="117"/>
      <c r="HU131" s="117"/>
      <c r="HV131" s="117"/>
      <c r="HW131" s="118"/>
      <c r="HX131" s="108"/>
      <c r="HY131" s="54"/>
      <c r="HZ131" s="54"/>
      <c r="IA131" s="54"/>
      <c r="IB131" s="54"/>
      <c r="IC131" s="54"/>
      <c r="ID131" s="54"/>
      <c r="IE131" s="54"/>
      <c r="IF131" s="54"/>
      <c r="IG131" s="54"/>
      <c r="IH131" s="54"/>
      <c r="II131" s="54"/>
      <c r="IJ131" s="54"/>
      <c r="IK131" s="54"/>
      <c r="IL131" s="54"/>
      <c r="IM131" s="54"/>
      <c r="IN131" s="54"/>
      <c r="IO131" s="54"/>
      <c r="IP131" s="54"/>
      <c r="IQ131" s="54"/>
      <c r="IR131" s="54"/>
      <c r="IS131" s="54"/>
      <c r="IT131" s="54"/>
      <c r="IU131" s="54"/>
      <c r="IV131" s="54"/>
      <c r="IW131" s="54"/>
      <c r="IX131" s="54"/>
      <c r="IY131" s="54"/>
      <c r="IZ131" s="54"/>
      <c r="JA131" s="54"/>
      <c r="JB131" s="54"/>
      <c r="JC131" s="54"/>
      <c r="JD131" s="54"/>
      <c r="JE131" s="54"/>
      <c r="JF131" s="54"/>
      <c r="JG131" s="54"/>
      <c r="JH131" s="54"/>
      <c r="JI131" s="54"/>
      <c r="JJ131" s="54"/>
      <c r="JK131" s="54"/>
      <c r="JL131" s="54"/>
      <c r="JM131" s="54"/>
      <c r="JN131" s="54"/>
      <c r="JO131" s="54"/>
      <c r="JP131" s="54"/>
      <c r="JQ131" s="54"/>
      <c r="JR131" s="54"/>
      <c r="JS131" s="54"/>
      <c r="JT131" s="54"/>
      <c r="JU131" s="54"/>
      <c r="JV131" s="54"/>
      <c r="JW131" s="54"/>
      <c r="JX131" s="54"/>
      <c r="JY131" s="54"/>
      <c r="JZ131" s="54"/>
      <c r="KA131" s="54"/>
      <c r="KB131" s="54"/>
      <c r="KC131" s="54"/>
      <c r="KD131" s="54"/>
      <c r="KE131" s="54"/>
      <c r="KF131" s="54"/>
      <c r="KG131" s="54"/>
      <c r="KH131" s="54"/>
      <c r="KI131" s="54"/>
      <c r="KJ131" s="54"/>
      <c r="KK131" s="54"/>
      <c r="KL131" s="54"/>
      <c r="KM131" s="54"/>
      <c r="KN131" s="54"/>
      <c r="KO131" s="54"/>
      <c r="KP131" s="54"/>
      <c r="KQ131" s="54"/>
      <c r="KR131" s="54"/>
      <c r="KS131" s="54"/>
      <c r="KT131" s="54"/>
      <c r="KU131" s="54"/>
      <c r="KV131" s="54"/>
      <c r="KW131" s="54"/>
      <c r="KX131" s="54"/>
    </row>
    <row r="132" ht="5.2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119" t="str">
        <f>if(BX77=0,"",reseeding!AC56)</f>
        <v/>
      </c>
      <c r="AR132" s="120" t="str">
        <f t="array" ref="AR132">xlookup(AQ132,data!$M$2:$M$17,data!$O$2:$O$17,"")</f>
        <v/>
      </c>
      <c r="AV132" s="79" t="str">
        <f t="array" ref="AV132">xlookup(AQ132,data!$M$2:$M$17,data!$N$2:$N$17,"")</f>
        <v/>
      </c>
      <c r="BR132" s="67"/>
      <c r="BU132" s="11"/>
      <c r="BV132" s="80"/>
      <c r="BZ132" s="81" t="str">
        <f t="array" ref="BZ132">xlookup(CZ132,data!$M$2:$M$17,data!$N$2:$N$17,"")</f>
        <v/>
      </c>
      <c r="CV132" s="121" t="str">
        <f t="array" ref="CV132">xlookup(CZ132,data!$M$2:$M$17,data!$O$2:$O$17,"")</f>
        <v/>
      </c>
      <c r="CY132" s="61"/>
      <c r="CZ132" s="119" t="str">
        <f>if(BX77=0,"",reseeding!AD56)</f>
        <v/>
      </c>
      <c r="DA132" s="54"/>
      <c r="DB132" s="54"/>
      <c r="DC132" s="119" t="str">
        <f>if(or(BX77=0,EJ77=0),"",reseeding!AC64)</f>
        <v/>
      </c>
      <c r="DD132" s="120" t="str">
        <f t="array" ref="DD132">xlookup(DC132,data!$M$2:$M$17,data!$O$2:$O$17,"")</f>
        <v/>
      </c>
      <c r="DH132" s="79" t="str">
        <f t="array" ref="DH132">xlookup(DC132,data!$M$2:$M$17,data!$N$2:$N$17,"")</f>
        <v/>
      </c>
      <c r="ED132" s="67"/>
      <c r="EG132" s="11"/>
      <c r="EH132" s="80"/>
      <c r="EL132" s="81" t="str">
        <f t="array" ref="EL132">xlookup(FL132,data!$M$2:$M$17,data!$N$2:$N$17,"")</f>
        <v/>
      </c>
      <c r="FH132" s="121" t="str">
        <f t="array" ref="FH132">xlookup(FL132,data!$M$2:$M$17,data!$O$2:$O$17,"")</f>
        <v/>
      </c>
      <c r="FK132" s="61"/>
      <c r="FL132" s="119" t="str">
        <f>if(or(BX77=0,EJ77=0),"",reseeding!AD64)</f>
        <v/>
      </c>
      <c r="FM132" s="54"/>
      <c r="FN132" s="54"/>
      <c r="FO132" s="119" t="str">
        <f>if(EJ77=0,"",reseeding!AC60)</f>
        <v/>
      </c>
      <c r="FP132" s="120" t="str">
        <f t="array" ref="FP132">xlookup(FO132,data!$M$2:$M$17,data!$O$2:$O$17,"")</f>
        <v/>
      </c>
      <c r="FT132" s="79" t="str">
        <f t="array" ref="FT132">xlookup(FO132,data!$M$2:$M$17,data!$N$2:$N$17,"")</f>
        <v/>
      </c>
      <c r="GP132" s="67"/>
      <c r="GS132" s="11"/>
      <c r="GT132" s="80"/>
      <c r="GX132" s="81" t="str">
        <f t="array" ref="GX132">xlookup(HX132,data!$M$2:$M$17,data!$N$2:$N$17,"")</f>
        <v/>
      </c>
      <c r="HT132" s="121" t="str">
        <f t="array" ref="HT132">xlookup(HX132,data!$M$2:$M$17,data!$O$2:$O$17,"")</f>
        <v/>
      </c>
      <c r="HW132" s="61"/>
      <c r="HX132" s="119" t="str">
        <f>if(EJ77=0,"",reseeding!AD60)</f>
        <v/>
      </c>
      <c r="HY132" s="54"/>
      <c r="HZ132" s="54"/>
      <c r="IA132" s="54"/>
      <c r="IB132" s="54"/>
      <c r="IC132" s="54"/>
      <c r="ID132" s="54"/>
      <c r="IE132" s="54"/>
      <c r="IF132" s="54"/>
      <c r="IG132" s="54"/>
      <c r="IH132" s="54"/>
      <c r="II132" s="54"/>
      <c r="IJ132" s="54"/>
      <c r="IK132" s="54"/>
      <c r="IL132" s="54"/>
      <c r="IM132" s="54"/>
      <c r="IN132" s="54"/>
      <c r="IO132" s="54"/>
      <c r="IP132" s="54"/>
      <c r="IQ132" s="54"/>
      <c r="IR132" s="54"/>
      <c r="IS132" s="54"/>
      <c r="IT132" s="54"/>
      <c r="IU132" s="54"/>
      <c r="IV132" s="54"/>
      <c r="IW132" s="54"/>
      <c r="IX132" s="54"/>
      <c r="IY132" s="54"/>
      <c r="IZ132" s="54"/>
      <c r="JA132" s="54"/>
      <c r="JB132" s="54"/>
      <c r="JC132" s="54"/>
      <c r="JD132" s="54"/>
      <c r="JE132" s="54"/>
      <c r="JF132" s="54"/>
      <c r="JG132" s="54"/>
      <c r="JH132" s="54"/>
      <c r="JI132" s="54"/>
      <c r="JJ132" s="54"/>
      <c r="JK132" s="54"/>
      <c r="JL132" s="54"/>
      <c r="JM132" s="54"/>
      <c r="JN132" s="54"/>
      <c r="JO132" s="54"/>
      <c r="JP132" s="54"/>
      <c r="JQ132" s="54"/>
      <c r="JR132" s="54"/>
      <c r="JS132" s="54"/>
      <c r="JT132" s="54"/>
      <c r="JU132" s="54"/>
      <c r="JV132" s="54"/>
      <c r="JW132" s="54"/>
      <c r="JX132" s="54"/>
      <c r="JY132" s="54"/>
      <c r="JZ132" s="54"/>
      <c r="KA132" s="54"/>
      <c r="KB132" s="54"/>
      <c r="KC132" s="54"/>
      <c r="KD132" s="54"/>
      <c r="KE132" s="54"/>
      <c r="KF132" s="54"/>
      <c r="KG132" s="54"/>
      <c r="KH132" s="54"/>
      <c r="KI132" s="54"/>
      <c r="KJ132" s="54"/>
      <c r="KK132" s="54"/>
      <c r="KL132" s="54"/>
      <c r="KM132" s="54"/>
      <c r="KN132" s="54"/>
      <c r="KO132" s="54"/>
      <c r="KP132" s="54"/>
      <c r="KQ132" s="54"/>
      <c r="KR132" s="54"/>
      <c r="KS132" s="54"/>
      <c r="KT132" s="54"/>
      <c r="KU132" s="54"/>
      <c r="KV132" s="54"/>
      <c r="KW132" s="54"/>
      <c r="KX132" s="54"/>
    </row>
    <row r="133" ht="5.2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108"/>
      <c r="AR133" s="60"/>
      <c r="BU133" s="11"/>
      <c r="BV133" s="10"/>
      <c r="CY133" s="61"/>
      <c r="CZ133" s="108"/>
      <c r="DA133" s="54"/>
      <c r="DB133" s="54"/>
      <c r="DC133" s="108"/>
      <c r="DD133" s="60"/>
      <c r="EG133" s="11"/>
      <c r="EH133" s="10"/>
      <c r="FK133" s="61"/>
      <c r="FL133" s="108"/>
      <c r="FM133" s="54"/>
      <c r="FN133" s="54"/>
      <c r="FO133" s="108"/>
      <c r="FP133" s="60"/>
      <c r="GS133" s="11"/>
      <c r="GT133" s="10"/>
      <c r="HW133" s="61"/>
      <c r="HX133" s="108"/>
      <c r="HY133" s="54"/>
      <c r="HZ133" s="54"/>
      <c r="IA133" s="54"/>
      <c r="IB133" s="54"/>
      <c r="IC133" s="54"/>
      <c r="ID133" s="54"/>
      <c r="IE133" s="54"/>
      <c r="IF133" s="54"/>
      <c r="IG133" s="54"/>
      <c r="IH133" s="54"/>
      <c r="II133" s="54"/>
      <c r="IJ133" s="54"/>
      <c r="IK133" s="54"/>
      <c r="IL133" s="54"/>
      <c r="IM133" s="54"/>
      <c r="IN133" s="54"/>
      <c r="IO133" s="54"/>
      <c r="IP133" s="54"/>
      <c r="IQ133" s="54"/>
      <c r="IR133" s="54"/>
      <c r="IS133" s="54"/>
      <c r="IT133" s="54"/>
      <c r="IU133" s="54"/>
      <c r="IV133" s="54"/>
      <c r="IW133" s="54"/>
      <c r="IX133" s="54"/>
      <c r="IY133" s="54"/>
      <c r="IZ133" s="54"/>
      <c r="JA133" s="54"/>
      <c r="JB133" s="54"/>
      <c r="JC133" s="54"/>
      <c r="JD133" s="54"/>
      <c r="JE133" s="54"/>
      <c r="JF133" s="54"/>
      <c r="JG133" s="54"/>
      <c r="JH133" s="54"/>
      <c r="JI133" s="54"/>
      <c r="JJ133" s="54"/>
      <c r="JK133" s="54"/>
      <c r="JL133" s="54"/>
      <c r="JM133" s="54"/>
      <c r="JN133" s="54"/>
      <c r="JO133" s="54"/>
      <c r="JP133" s="54"/>
      <c r="JQ133" s="54"/>
      <c r="JR133" s="54"/>
      <c r="JS133" s="54"/>
      <c r="JT133" s="54"/>
      <c r="JU133" s="54"/>
      <c r="JV133" s="54"/>
      <c r="JW133" s="54"/>
      <c r="JX133" s="54"/>
      <c r="JY133" s="54"/>
      <c r="JZ133" s="54"/>
      <c r="KA133" s="54"/>
      <c r="KB133" s="54"/>
      <c r="KC133" s="54"/>
      <c r="KD133" s="54"/>
      <c r="KE133" s="54"/>
      <c r="KF133" s="54"/>
      <c r="KG133" s="54"/>
      <c r="KH133" s="54"/>
      <c r="KI133" s="54"/>
      <c r="KJ133" s="54"/>
      <c r="KK133" s="54"/>
      <c r="KL133" s="54"/>
      <c r="KM133" s="54"/>
      <c r="KN133" s="54"/>
      <c r="KO133" s="54"/>
      <c r="KP133" s="54"/>
      <c r="KQ133" s="54"/>
      <c r="KR133" s="54"/>
      <c r="KS133" s="54"/>
      <c r="KT133" s="54"/>
      <c r="KU133" s="54"/>
      <c r="KV133" s="54"/>
      <c r="KW133" s="54"/>
      <c r="KX133" s="54"/>
    </row>
    <row r="134" ht="5.2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108"/>
      <c r="AR134" s="60"/>
      <c r="BU134" s="11"/>
      <c r="BV134" s="10"/>
      <c r="CY134" s="61"/>
      <c r="CZ134" s="108"/>
      <c r="DA134" s="54"/>
      <c r="DB134" s="54"/>
      <c r="DC134" s="108"/>
      <c r="DD134" s="60"/>
      <c r="EG134" s="11"/>
      <c r="EH134" s="10"/>
      <c r="FK134" s="61"/>
      <c r="FL134" s="108"/>
      <c r="FM134" s="54"/>
      <c r="FN134" s="54"/>
      <c r="FO134" s="108"/>
      <c r="FP134" s="60"/>
      <c r="GS134" s="11"/>
      <c r="GT134" s="10"/>
      <c r="HW134" s="61"/>
      <c r="HX134" s="108"/>
      <c r="HY134" s="54"/>
      <c r="HZ134" s="54"/>
      <c r="IA134" s="54"/>
      <c r="IB134" s="54"/>
      <c r="IC134" s="54"/>
      <c r="ID134" s="54"/>
      <c r="IE134" s="54"/>
      <c r="IF134" s="54"/>
      <c r="IG134" s="54"/>
      <c r="IH134" s="54"/>
      <c r="II134" s="54"/>
      <c r="IJ134" s="54"/>
      <c r="IK134" s="54"/>
      <c r="IL134" s="54"/>
      <c r="IM134" s="54"/>
      <c r="IN134" s="54"/>
      <c r="IO134" s="54"/>
      <c r="IP134" s="54"/>
      <c r="IQ134" s="54"/>
      <c r="IR134" s="54"/>
      <c r="IS134" s="54"/>
      <c r="IT134" s="54"/>
      <c r="IU134" s="54"/>
      <c r="IV134" s="54"/>
      <c r="IW134" s="54"/>
      <c r="IX134" s="54"/>
      <c r="IY134" s="54"/>
      <c r="IZ134" s="54"/>
      <c r="JA134" s="54"/>
      <c r="JB134" s="54"/>
      <c r="JC134" s="54"/>
      <c r="JD134" s="54"/>
      <c r="JE134" s="54"/>
      <c r="JF134" s="54"/>
      <c r="JG134" s="54"/>
      <c r="JH134" s="54"/>
      <c r="JI134" s="54"/>
      <c r="JJ134" s="54"/>
      <c r="JK134" s="54"/>
      <c r="JL134" s="54"/>
      <c r="JM134" s="54"/>
      <c r="JN134" s="54"/>
      <c r="JO134" s="54"/>
      <c r="JP134" s="54"/>
      <c r="JQ134" s="54"/>
      <c r="JR134" s="54"/>
      <c r="JS134" s="54"/>
      <c r="JT134" s="54"/>
      <c r="JU134" s="54"/>
      <c r="JV134" s="54"/>
      <c r="JW134" s="54"/>
      <c r="JX134" s="54"/>
      <c r="JY134" s="54"/>
      <c r="JZ134" s="54"/>
      <c r="KA134" s="54"/>
      <c r="KB134" s="54"/>
      <c r="KC134" s="54"/>
      <c r="KD134" s="54"/>
      <c r="KE134" s="54"/>
      <c r="KF134" s="54"/>
      <c r="KG134" s="54"/>
      <c r="KH134" s="54"/>
      <c r="KI134" s="54"/>
      <c r="KJ134" s="54"/>
      <c r="KK134" s="54"/>
      <c r="KL134" s="54"/>
      <c r="KM134" s="54"/>
      <c r="KN134" s="54"/>
      <c r="KO134" s="54"/>
      <c r="KP134" s="54"/>
      <c r="KQ134" s="54"/>
      <c r="KR134" s="54"/>
      <c r="KS134" s="54"/>
      <c r="KT134" s="54"/>
      <c r="KU134" s="54"/>
      <c r="KV134" s="54"/>
      <c r="KW134" s="54"/>
      <c r="KX134" s="54"/>
    </row>
    <row r="135" ht="5.2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108"/>
      <c r="AR135" s="60"/>
      <c r="BU135" s="11"/>
      <c r="BV135" s="10"/>
      <c r="CY135" s="61"/>
      <c r="CZ135" s="108"/>
      <c r="DA135" s="54"/>
      <c r="DB135" s="54"/>
      <c r="DC135" s="108"/>
      <c r="DD135" s="60"/>
      <c r="EG135" s="11"/>
      <c r="EH135" s="10"/>
      <c r="FK135" s="61"/>
      <c r="FL135" s="108"/>
      <c r="FM135" s="54"/>
      <c r="FN135" s="54"/>
      <c r="FO135" s="108"/>
      <c r="FP135" s="60"/>
      <c r="GS135" s="11"/>
      <c r="GT135" s="10"/>
      <c r="HW135" s="61"/>
      <c r="HX135" s="108"/>
      <c r="HY135" s="54"/>
      <c r="HZ135" s="54"/>
      <c r="IA135" s="54"/>
      <c r="IB135" s="54"/>
      <c r="IC135" s="54"/>
      <c r="ID135" s="54"/>
      <c r="IE135" s="54"/>
      <c r="IF135" s="54"/>
      <c r="IG135" s="54"/>
      <c r="IH135" s="54"/>
      <c r="II135" s="54"/>
      <c r="IJ135" s="54"/>
      <c r="IK135" s="54"/>
      <c r="IL135" s="54"/>
      <c r="IM135" s="54"/>
      <c r="IN135" s="54"/>
      <c r="IO135" s="54"/>
      <c r="IP135" s="54"/>
      <c r="IQ135" s="54"/>
      <c r="IR135" s="54"/>
      <c r="IS135" s="54"/>
      <c r="IT135" s="54"/>
      <c r="IU135" s="54"/>
      <c r="IV135" s="54"/>
      <c r="IW135" s="54"/>
      <c r="IX135" s="54"/>
      <c r="IY135" s="54"/>
      <c r="IZ135" s="54"/>
      <c r="JA135" s="54"/>
      <c r="JB135" s="54"/>
      <c r="JC135" s="54"/>
      <c r="JD135" s="54"/>
      <c r="JE135" s="54"/>
      <c r="JF135" s="54"/>
      <c r="JG135" s="54"/>
      <c r="JH135" s="54"/>
      <c r="JI135" s="54"/>
      <c r="JJ135" s="54"/>
      <c r="JK135" s="54"/>
      <c r="JL135" s="54"/>
      <c r="JM135" s="54"/>
      <c r="JN135" s="54"/>
      <c r="JO135" s="54"/>
      <c r="JP135" s="54"/>
      <c r="JQ135" s="54"/>
      <c r="JR135" s="54"/>
      <c r="JS135" s="54"/>
      <c r="JT135" s="54"/>
      <c r="JU135" s="54"/>
      <c r="JV135" s="54"/>
      <c r="JW135" s="54"/>
      <c r="JX135" s="54"/>
      <c r="JY135" s="54"/>
      <c r="JZ135" s="54"/>
      <c r="KA135" s="54"/>
      <c r="KB135" s="54"/>
      <c r="KC135" s="54"/>
      <c r="KD135" s="54"/>
      <c r="KE135" s="54"/>
      <c r="KF135" s="54"/>
      <c r="KG135" s="54"/>
      <c r="KH135" s="54"/>
      <c r="KI135" s="54"/>
      <c r="KJ135" s="54"/>
      <c r="KK135" s="54"/>
      <c r="KL135" s="54"/>
      <c r="KM135" s="54"/>
      <c r="KN135" s="54"/>
      <c r="KO135" s="54"/>
      <c r="KP135" s="54"/>
      <c r="KQ135" s="54"/>
      <c r="KR135" s="54"/>
      <c r="KS135" s="54"/>
      <c r="KT135" s="54"/>
      <c r="KU135" s="54"/>
      <c r="KV135" s="54"/>
      <c r="KW135" s="54"/>
      <c r="KX135" s="54"/>
    </row>
    <row r="136" ht="5.2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119" t="str">
        <f>AQ132</f>
        <v/>
      </c>
      <c r="AR136" s="112"/>
      <c r="AZ136" s="122"/>
      <c r="BB136" s="11"/>
      <c r="BC136" s="127"/>
      <c r="BE136" s="11"/>
      <c r="BF136" s="127"/>
      <c r="BI136" s="108"/>
      <c r="BR136" s="85">
        <f>sum(AZ136:BH138)</f>
        <v>0</v>
      </c>
      <c r="BU136" s="11"/>
      <c r="BV136" s="86">
        <f>sum(CI136:CQ138)</f>
        <v>0</v>
      </c>
      <c r="BZ136" s="108"/>
      <c r="CA136" s="108"/>
      <c r="CB136" s="108"/>
      <c r="CC136" s="108"/>
      <c r="CD136" s="108"/>
      <c r="CE136" s="108"/>
      <c r="CF136" s="108"/>
      <c r="CG136" s="108"/>
      <c r="CH136" s="108"/>
      <c r="CI136" s="122"/>
      <c r="CK136" s="11"/>
      <c r="CL136" s="126"/>
      <c r="CN136" s="11"/>
      <c r="CO136" s="127"/>
      <c r="CR136" s="108"/>
      <c r="CS136" s="108"/>
      <c r="CT136" s="108"/>
      <c r="CU136" s="108"/>
      <c r="CV136" s="108"/>
      <c r="CW136" s="108"/>
      <c r="CX136" s="108"/>
      <c r="CY136" s="116"/>
      <c r="CZ136" s="119" t="str">
        <f>CZ132</f>
        <v/>
      </c>
      <c r="DA136" s="54"/>
      <c r="DB136" s="54"/>
      <c r="DC136" s="119" t="str">
        <f>DC132</f>
        <v/>
      </c>
      <c r="DD136" s="112"/>
      <c r="DL136" s="122"/>
      <c r="DN136" s="11"/>
      <c r="DO136" s="127"/>
      <c r="DQ136" s="11"/>
      <c r="DR136" s="124"/>
      <c r="DU136" s="108"/>
      <c r="ED136" s="85">
        <f>sum(DL136:DT138)</f>
        <v>0</v>
      </c>
      <c r="EG136" s="11"/>
      <c r="EH136" s="86">
        <f>sum(EU136:FC138)</f>
        <v>0</v>
      </c>
      <c r="EL136" s="108"/>
      <c r="EM136" s="108"/>
      <c r="EN136" s="108"/>
      <c r="EO136" s="108"/>
      <c r="EP136" s="108"/>
      <c r="EQ136" s="108"/>
      <c r="ER136" s="108"/>
      <c r="ES136" s="108"/>
      <c r="ET136" s="108"/>
      <c r="EU136" s="125"/>
      <c r="EW136" s="11"/>
      <c r="EX136" s="126"/>
      <c r="EZ136" s="11"/>
      <c r="FA136" s="123"/>
      <c r="FD136" s="108"/>
      <c r="FE136" s="108"/>
      <c r="FF136" s="108"/>
      <c r="FG136" s="108"/>
      <c r="FH136" s="108"/>
      <c r="FI136" s="108"/>
      <c r="FJ136" s="108"/>
      <c r="FK136" s="116"/>
      <c r="FL136" s="119" t="str">
        <f>FL132</f>
        <v/>
      </c>
      <c r="FM136" s="54"/>
      <c r="FN136" s="54"/>
      <c r="FO136" s="119" t="str">
        <f>FO132</f>
        <v/>
      </c>
      <c r="FP136" s="112"/>
      <c r="FX136" s="122"/>
      <c r="FZ136" s="11"/>
      <c r="GA136" s="127"/>
      <c r="GC136" s="11"/>
      <c r="GD136" s="124"/>
      <c r="GG136" s="108"/>
      <c r="GP136" s="85">
        <f>sum(FX136:GF138)</f>
        <v>0</v>
      </c>
      <c r="GS136" s="11"/>
      <c r="GT136" s="86">
        <f>sum(HG136:HO138)</f>
        <v>0</v>
      </c>
      <c r="GX136" s="108"/>
      <c r="GY136" s="108"/>
      <c r="GZ136" s="108"/>
      <c r="HA136" s="108"/>
      <c r="HB136" s="108"/>
      <c r="HC136" s="108"/>
      <c r="HD136" s="108"/>
      <c r="HE136" s="108"/>
      <c r="HF136" s="108"/>
      <c r="HG136" s="122"/>
      <c r="HI136" s="11"/>
      <c r="HJ136" s="126"/>
      <c r="HL136" s="11"/>
      <c r="HM136" s="124"/>
      <c r="HP136" s="108"/>
      <c r="HQ136" s="108"/>
      <c r="HR136" s="108"/>
      <c r="HS136" s="108"/>
      <c r="HT136" s="108"/>
      <c r="HU136" s="108"/>
      <c r="HV136" s="108"/>
      <c r="HW136" s="116"/>
      <c r="HX136" s="119" t="str">
        <f>HX132</f>
        <v/>
      </c>
      <c r="HY136" s="54"/>
      <c r="HZ136" s="54"/>
      <c r="IA136" s="54"/>
      <c r="IB136" s="54"/>
      <c r="IC136" s="54"/>
      <c r="ID136" s="54"/>
      <c r="IE136" s="54"/>
      <c r="IF136" s="54"/>
      <c r="IG136" s="54"/>
      <c r="IH136" s="54"/>
      <c r="II136" s="54"/>
      <c r="IJ136" s="54"/>
      <c r="IK136" s="54"/>
      <c r="IL136" s="54"/>
      <c r="IM136" s="54"/>
      <c r="IN136" s="54"/>
      <c r="IO136" s="54"/>
      <c r="IP136" s="54"/>
      <c r="IQ136" s="54"/>
      <c r="IR136" s="54"/>
      <c r="IS136" s="54"/>
      <c r="IT136" s="54"/>
      <c r="IU136" s="54"/>
      <c r="IV136" s="54"/>
      <c r="IW136" s="54"/>
      <c r="IX136" s="54"/>
      <c r="IY136" s="54"/>
      <c r="IZ136" s="54"/>
      <c r="JA136" s="54"/>
      <c r="JB136" s="54"/>
      <c r="JC136" s="54"/>
      <c r="JD136" s="54"/>
      <c r="JE136" s="54"/>
      <c r="JF136" s="54"/>
      <c r="JG136" s="54"/>
      <c r="JH136" s="54"/>
      <c r="JI136" s="54"/>
      <c r="JJ136" s="54"/>
      <c r="JK136" s="54"/>
      <c r="JL136" s="54"/>
      <c r="JM136" s="54"/>
      <c r="JN136" s="54"/>
      <c r="JO136" s="54"/>
      <c r="JP136" s="54"/>
      <c r="JQ136" s="54"/>
      <c r="JR136" s="54"/>
      <c r="JS136" s="54"/>
      <c r="JT136" s="54"/>
      <c r="JU136" s="54"/>
      <c r="JV136" s="54"/>
      <c r="JW136" s="54"/>
      <c r="JX136" s="54"/>
      <c r="JY136" s="54"/>
      <c r="JZ136" s="54"/>
      <c r="KA136" s="54"/>
      <c r="KB136" s="54"/>
      <c r="KC136" s="54"/>
      <c r="KD136" s="54"/>
      <c r="KE136" s="54"/>
      <c r="KF136" s="54"/>
      <c r="KG136" s="54"/>
      <c r="KH136" s="54"/>
      <c r="KI136" s="54"/>
      <c r="KJ136" s="54"/>
      <c r="KK136" s="54"/>
      <c r="KL136" s="54"/>
      <c r="KM136" s="54"/>
      <c r="KN136" s="54"/>
      <c r="KO136" s="54"/>
      <c r="KP136" s="54"/>
      <c r="KQ136" s="54"/>
      <c r="KR136" s="54"/>
      <c r="KS136" s="54"/>
      <c r="KT136" s="54"/>
      <c r="KU136" s="54"/>
      <c r="KV136" s="54"/>
      <c r="KW136" s="54"/>
      <c r="KX136" s="54"/>
    </row>
    <row r="137" ht="5.2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108"/>
      <c r="AR137" s="60"/>
      <c r="BB137" s="11"/>
      <c r="BC137" s="10"/>
      <c r="BE137" s="11"/>
      <c r="BF137" s="10"/>
      <c r="BU137" s="11"/>
      <c r="BV137" s="10"/>
      <c r="BZ137" s="108"/>
      <c r="CA137" s="108"/>
      <c r="CB137" s="108"/>
      <c r="CC137" s="108"/>
      <c r="CD137" s="108"/>
      <c r="CE137" s="108"/>
      <c r="CF137" s="108"/>
      <c r="CG137" s="108"/>
      <c r="CH137" s="108"/>
      <c r="CK137" s="11"/>
      <c r="CL137" s="10"/>
      <c r="CN137" s="11"/>
      <c r="CO137" s="10"/>
      <c r="CR137" s="108"/>
      <c r="CS137" s="108"/>
      <c r="CT137" s="108"/>
      <c r="CU137" s="108"/>
      <c r="CV137" s="108"/>
      <c r="CW137" s="108"/>
      <c r="CX137" s="108"/>
      <c r="CY137" s="116"/>
      <c r="CZ137" s="108"/>
      <c r="DA137" s="54"/>
      <c r="DB137" s="54"/>
      <c r="DC137" s="108"/>
      <c r="DD137" s="60"/>
      <c r="DN137" s="11"/>
      <c r="DO137" s="10"/>
      <c r="DQ137" s="11"/>
      <c r="DR137" s="10"/>
      <c r="EG137" s="11"/>
      <c r="EH137" s="10"/>
      <c r="EL137" s="108"/>
      <c r="EM137" s="108"/>
      <c r="EN137" s="108"/>
      <c r="EO137" s="108"/>
      <c r="EP137" s="108"/>
      <c r="EQ137" s="108"/>
      <c r="ER137" s="108"/>
      <c r="ES137" s="108"/>
      <c r="ET137" s="108"/>
      <c r="EW137" s="11"/>
      <c r="EX137" s="10"/>
      <c r="EZ137" s="11"/>
      <c r="FA137" s="10"/>
      <c r="FD137" s="108"/>
      <c r="FE137" s="108"/>
      <c r="FF137" s="108"/>
      <c r="FG137" s="108"/>
      <c r="FH137" s="108"/>
      <c r="FI137" s="108"/>
      <c r="FJ137" s="108"/>
      <c r="FK137" s="116"/>
      <c r="FL137" s="108"/>
      <c r="FM137" s="54"/>
      <c r="FN137" s="54"/>
      <c r="FO137" s="108"/>
      <c r="FP137" s="60"/>
      <c r="FZ137" s="11"/>
      <c r="GA137" s="10"/>
      <c r="GC137" s="11"/>
      <c r="GD137" s="10"/>
      <c r="GS137" s="11"/>
      <c r="GT137" s="10"/>
      <c r="GX137" s="108"/>
      <c r="GY137" s="108"/>
      <c r="GZ137" s="108"/>
      <c r="HA137" s="108"/>
      <c r="HB137" s="108"/>
      <c r="HC137" s="108"/>
      <c r="HD137" s="108"/>
      <c r="HE137" s="108"/>
      <c r="HF137" s="108"/>
      <c r="HI137" s="11"/>
      <c r="HJ137" s="10"/>
      <c r="HL137" s="11"/>
      <c r="HM137" s="10"/>
      <c r="HP137" s="108"/>
      <c r="HQ137" s="108"/>
      <c r="HR137" s="108"/>
      <c r="HS137" s="108"/>
      <c r="HT137" s="108"/>
      <c r="HU137" s="108"/>
      <c r="HV137" s="108"/>
      <c r="HW137" s="116"/>
      <c r="HX137" s="108"/>
      <c r="HY137" s="54"/>
      <c r="HZ137" s="54"/>
      <c r="IA137" s="54"/>
      <c r="IB137" s="54"/>
      <c r="IC137" s="54"/>
      <c r="ID137" s="54"/>
      <c r="IE137" s="54"/>
      <c r="IF137" s="54"/>
      <c r="IG137" s="54"/>
      <c r="IH137" s="54"/>
      <c r="II137" s="54"/>
      <c r="IJ137" s="54"/>
      <c r="IK137" s="54"/>
      <c r="IL137" s="54"/>
      <c r="IM137" s="54"/>
      <c r="IN137" s="54"/>
      <c r="IO137" s="54"/>
      <c r="IP137" s="54"/>
      <c r="IQ137" s="54"/>
      <c r="IR137" s="54"/>
      <c r="IS137" s="54"/>
      <c r="IT137" s="54"/>
      <c r="IU137" s="54"/>
      <c r="IV137" s="54"/>
      <c r="IW137" s="54"/>
      <c r="IX137" s="54"/>
      <c r="IY137" s="54"/>
      <c r="IZ137" s="54"/>
      <c r="JA137" s="54"/>
      <c r="JB137" s="54"/>
      <c r="JC137" s="54"/>
      <c r="JD137" s="54"/>
      <c r="JE137" s="54"/>
      <c r="JF137" s="54"/>
      <c r="JG137" s="54"/>
      <c r="JH137" s="54"/>
      <c r="JI137" s="54"/>
      <c r="JJ137" s="54"/>
      <c r="JK137" s="54"/>
      <c r="JL137" s="54"/>
      <c r="JM137" s="54"/>
      <c r="JN137" s="54"/>
      <c r="JO137" s="54"/>
      <c r="JP137" s="54"/>
      <c r="JQ137" s="54"/>
      <c r="JR137" s="54"/>
      <c r="JS137" s="54"/>
      <c r="JT137" s="54"/>
      <c r="JU137" s="54"/>
      <c r="JV137" s="54"/>
      <c r="JW137" s="54"/>
      <c r="JX137" s="54"/>
      <c r="JY137" s="54"/>
      <c r="JZ137" s="54"/>
      <c r="KA137" s="54"/>
      <c r="KB137" s="54"/>
      <c r="KC137" s="54"/>
      <c r="KD137" s="54"/>
      <c r="KE137" s="54"/>
      <c r="KF137" s="54"/>
      <c r="KG137" s="54"/>
      <c r="KH137" s="54"/>
      <c r="KI137" s="54"/>
      <c r="KJ137" s="54"/>
      <c r="KK137" s="54"/>
      <c r="KL137" s="54"/>
      <c r="KM137" s="54"/>
      <c r="KN137" s="54"/>
      <c r="KO137" s="54"/>
      <c r="KP137" s="54"/>
      <c r="KQ137" s="54"/>
      <c r="KR137" s="54"/>
      <c r="KS137" s="54"/>
      <c r="KT137" s="54"/>
      <c r="KU137" s="54"/>
      <c r="KV137" s="54"/>
      <c r="KW137" s="54"/>
      <c r="KX137" s="54"/>
    </row>
    <row r="138" ht="5.2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108"/>
      <c r="AR138" s="88"/>
      <c r="AS138" s="13"/>
      <c r="AT138" s="13"/>
      <c r="AU138" s="13"/>
      <c r="AV138" s="13"/>
      <c r="AW138" s="13"/>
      <c r="AX138" s="13"/>
      <c r="AY138" s="13"/>
      <c r="AZ138" s="13"/>
      <c r="BA138" s="13"/>
      <c r="BB138" s="14"/>
      <c r="BC138" s="12"/>
      <c r="BD138" s="13"/>
      <c r="BE138" s="14"/>
      <c r="BF138" s="12"/>
      <c r="BG138" s="13"/>
      <c r="BH138" s="13"/>
      <c r="BI138" s="13"/>
      <c r="BJ138" s="13"/>
      <c r="BK138" s="13"/>
      <c r="BL138" s="13"/>
      <c r="BM138" s="13"/>
      <c r="BN138" s="13"/>
      <c r="BO138" s="13"/>
      <c r="BP138" s="13"/>
      <c r="BQ138" s="13"/>
      <c r="BR138" s="13"/>
      <c r="BS138" s="13"/>
      <c r="BT138" s="13"/>
      <c r="BU138" s="14"/>
      <c r="BV138" s="12"/>
      <c r="BW138" s="13"/>
      <c r="BX138" s="13"/>
      <c r="BY138" s="13"/>
      <c r="BZ138" s="128"/>
      <c r="CA138" s="128"/>
      <c r="CB138" s="128"/>
      <c r="CC138" s="128"/>
      <c r="CD138" s="128"/>
      <c r="CE138" s="128"/>
      <c r="CF138" s="128"/>
      <c r="CG138" s="128"/>
      <c r="CH138" s="128"/>
      <c r="CI138" s="13"/>
      <c r="CJ138" s="13"/>
      <c r="CK138" s="14"/>
      <c r="CL138" s="12"/>
      <c r="CM138" s="13"/>
      <c r="CN138" s="14"/>
      <c r="CO138" s="12"/>
      <c r="CP138" s="13"/>
      <c r="CQ138" s="13"/>
      <c r="CR138" s="128"/>
      <c r="CS138" s="128"/>
      <c r="CT138" s="128"/>
      <c r="CU138" s="128"/>
      <c r="CV138" s="128"/>
      <c r="CW138" s="128"/>
      <c r="CX138" s="128"/>
      <c r="CY138" s="129"/>
      <c r="CZ138" s="108"/>
      <c r="DA138" s="54"/>
      <c r="DB138" s="54"/>
      <c r="DC138" s="108"/>
      <c r="DD138" s="88"/>
      <c r="DE138" s="13"/>
      <c r="DF138" s="13"/>
      <c r="DG138" s="13"/>
      <c r="DH138" s="13"/>
      <c r="DI138" s="13"/>
      <c r="DJ138" s="13"/>
      <c r="DK138" s="13"/>
      <c r="DL138" s="13"/>
      <c r="DM138" s="13"/>
      <c r="DN138" s="14"/>
      <c r="DO138" s="12"/>
      <c r="DP138" s="13"/>
      <c r="DQ138" s="14"/>
      <c r="DR138" s="12"/>
      <c r="DS138" s="13"/>
      <c r="DT138" s="13"/>
      <c r="DU138" s="13"/>
      <c r="DV138" s="13"/>
      <c r="DW138" s="13"/>
      <c r="DX138" s="13"/>
      <c r="DY138" s="13"/>
      <c r="DZ138" s="13"/>
      <c r="EA138" s="13"/>
      <c r="EB138" s="13"/>
      <c r="EC138" s="13"/>
      <c r="ED138" s="13"/>
      <c r="EE138" s="13"/>
      <c r="EF138" s="13"/>
      <c r="EG138" s="14"/>
      <c r="EH138" s="12"/>
      <c r="EI138" s="13"/>
      <c r="EJ138" s="13"/>
      <c r="EK138" s="13"/>
      <c r="EL138" s="128"/>
      <c r="EM138" s="128"/>
      <c r="EN138" s="128"/>
      <c r="EO138" s="128"/>
      <c r="EP138" s="128"/>
      <c r="EQ138" s="128"/>
      <c r="ER138" s="128"/>
      <c r="ES138" s="128"/>
      <c r="ET138" s="128"/>
      <c r="EU138" s="13"/>
      <c r="EV138" s="13"/>
      <c r="EW138" s="14"/>
      <c r="EX138" s="12"/>
      <c r="EY138" s="13"/>
      <c r="EZ138" s="14"/>
      <c r="FA138" s="12"/>
      <c r="FB138" s="13"/>
      <c r="FC138" s="13"/>
      <c r="FD138" s="128"/>
      <c r="FE138" s="128"/>
      <c r="FF138" s="128"/>
      <c r="FG138" s="128"/>
      <c r="FH138" s="128"/>
      <c r="FI138" s="128"/>
      <c r="FJ138" s="128"/>
      <c r="FK138" s="129"/>
      <c r="FL138" s="108"/>
      <c r="FM138" s="54"/>
      <c r="FN138" s="54"/>
      <c r="FO138" s="108"/>
      <c r="FP138" s="88"/>
      <c r="FQ138" s="13"/>
      <c r="FR138" s="13"/>
      <c r="FS138" s="13"/>
      <c r="FT138" s="13"/>
      <c r="FU138" s="13"/>
      <c r="FV138" s="13"/>
      <c r="FW138" s="13"/>
      <c r="FX138" s="13"/>
      <c r="FY138" s="13"/>
      <c r="FZ138" s="14"/>
      <c r="GA138" s="12"/>
      <c r="GB138" s="13"/>
      <c r="GC138" s="14"/>
      <c r="GD138" s="12"/>
      <c r="GE138" s="13"/>
      <c r="GF138" s="13"/>
      <c r="GG138" s="13"/>
      <c r="GH138" s="13"/>
      <c r="GI138" s="13"/>
      <c r="GJ138" s="13"/>
      <c r="GK138" s="13"/>
      <c r="GL138" s="13"/>
      <c r="GM138" s="13"/>
      <c r="GN138" s="13"/>
      <c r="GO138" s="13"/>
      <c r="GP138" s="13"/>
      <c r="GQ138" s="13"/>
      <c r="GR138" s="13"/>
      <c r="GS138" s="14"/>
      <c r="GT138" s="12"/>
      <c r="GU138" s="13"/>
      <c r="GV138" s="13"/>
      <c r="GW138" s="13"/>
      <c r="GX138" s="128"/>
      <c r="GY138" s="128"/>
      <c r="GZ138" s="128"/>
      <c r="HA138" s="128"/>
      <c r="HB138" s="128"/>
      <c r="HC138" s="128"/>
      <c r="HD138" s="128"/>
      <c r="HE138" s="128"/>
      <c r="HF138" s="128"/>
      <c r="HG138" s="13"/>
      <c r="HH138" s="13"/>
      <c r="HI138" s="14"/>
      <c r="HJ138" s="12"/>
      <c r="HK138" s="13"/>
      <c r="HL138" s="14"/>
      <c r="HM138" s="12"/>
      <c r="HN138" s="13"/>
      <c r="HO138" s="13"/>
      <c r="HP138" s="128"/>
      <c r="HQ138" s="128"/>
      <c r="HR138" s="128"/>
      <c r="HS138" s="128"/>
      <c r="HT138" s="128"/>
      <c r="HU138" s="128"/>
      <c r="HV138" s="128"/>
      <c r="HW138" s="129"/>
      <c r="HX138" s="108"/>
      <c r="HY138" s="54"/>
      <c r="HZ138" s="54"/>
      <c r="IA138" s="54"/>
      <c r="IB138" s="54"/>
      <c r="IC138" s="54"/>
      <c r="ID138" s="54"/>
      <c r="IE138" s="54"/>
      <c r="IF138" s="54"/>
      <c r="IG138" s="54"/>
      <c r="IH138" s="54"/>
      <c r="II138" s="54"/>
      <c r="IJ138" s="54"/>
      <c r="IK138" s="54"/>
      <c r="IL138" s="54"/>
      <c r="IM138" s="54"/>
      <c r="IN138" s="54"/>
      <c r="IO138" s="54"/>
      <c r="IP138" s="54"/>
      <c r="IQ138" s="54"/>
      <c r="IR138" s="54"/>
      <c r="IS138" s="54"/>
      <c r="IT138" s="54"/>
      <c r="IU138" s="54"/>
      <c r="IV138" s="54"/>
      <c r="IW138" s="54"/>
      <c r="IX138" s="54"/>
      <c r="IY138" s="54"/>
      <c r="IZ138" s="54"/>
      <c r="JA138" s="54"/>
      <c r="JB138" s="54"/>
      <c r="JC138" s="54"/>
      <c r="JD138" s="54"/>
      <c r="JE138" s="54"/>
      <c r="JF138" s="54"/>
      <c r="JG138" s="54"/>
      <c r="JH138" s="54"/>
      <c r="JI138" s="54"/>
      <c r="JJ138" s="54"/>
      <c r="JK138" s="54"/>
      <c r="JL138" s="54"/>
      <c r="JM138" s="54"/>
      <c r="JN138" s="54"/>
      <c r="JO138" s="54"/>
      <c r="JP138" s="54"/>
      <c r="JQ138" s="54"/>
      <c r="JR138" s="54"/>
      <c r="JS138" s="54"/>
      <c r="JT138" s="54"/>
      <c r="JU138" s="54"/>
      <c r="JV138" s="54"/>
      <c r="JW138" s="54"/>
      <c r="JX138" s="54"/>
      <c r="JY138" s="54"/>
      <c r="JZ138" s="54"/>
      <c r="KA138" s="54"/>
      <c r="KB138" s="54"/>
      <c r="KC138" s="54"/>
      <c r="KD138" s="54"/>
      <c r="KE138" s="54"/>
      <c r="KF138" s="54"/>
      <c r="KG138" s="54"/>
      <c r="KH138" s="54"/>
      <c r="KI138" s="54"/>
      <c r="KJ138" s="54"/>
      <c r="KK138" s="54"/>
      <c r="KL138" s="54"/>
      <c r="KM138" s="54"/>
      <c r="KN138" s="54"/>
      <c r="KO138" s="54"/>
      <c r="KP138" s="54"/>
      <c r="KQ138" s="54"/>
      <c r="KR138" s="54"/>
      <c r="KS138" s="54"/>
      <c r="KT138" s="54"/>
      <c r="KU138" s="54"/>
      <c r="KV138" s="54"/>
      <c r="KW138" s="54"/>
      <c r="KX138" s="54"/>
    </row>
    <row r="139" ht="5.2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119" t="str">
        <f>if(BX77=0,"",reseeding!AC57)</f>
        <v/>
      </c>
      <c r="AR139" s="130" t="str">
        <f t="array" ref="AR139">xlookup(AQ139,data!$M$2:$M$17,data!$O$2:$O$17,"")</f>
        <v/>
      </c>
      <c r="AS139" s="8"/>
      <c r="AT139" s="8"/>
      <c r="AU139" s="8"/>
      <c r="AV139" s="93" t="str">
        <f t="array" ref="AV139">xlookup(AQ139,data!$M$2:$M$17,data!$N$2:$N$17,"")</f>
        <v/>
      </c>
      <c r="AW139" s="8"/>
      <c r="AX139" s="8"/>
      <c r="AY139" s="8"/>
      <c r="AZ139" s="8"/>
      <c r="BA139" s="8"/>
      <c r="BB139" s="8"/>
      <c r="BC139" s="8"/>
      <c r="BD139" s="8"/>
      <c r="BE139" s="8"/>
      <c r="BF139" s="8"/>
      <c r="BG139" s="8"/>
      <c r="BH139" s="8"/>
      <c r="BI139" s="8"/>
      <c r="BJ139" s="8"/>
      <c r="BK139" s="8"/>
      <c r="BL139" s="8"/>
      <c r="BM139" s="8"/>
      <c r="BN139" s="8"/>
      <c r="BO139" s="8"/>
      <c r="BP139" s="8"/>
      <c r="BQ139" s="8"/>
      <c r="BR139" s="94"/>
      <c r="BS139" s="8"/>
      <c r="BT139" s="8"/>
      <c r="BU139" s="9"/>
      <c r="BV139" s="95"/>
      <c r="BW139" s="8"/>
      <c r="BX139" s="8"/>
      <c r="BY139" s="8"/>
      <c r="BZ139" s="96" t="str">
        <f t="array" ref="BZ139">xlookup(CZ139,data!$M$2:$M$17,data!$N$2:$N$17,"")</f>
        <v/>
      </c>
      <c r="CA139" s="8"/>
      <c r="CB139" s="8"/>
      <c r="CC139" s="8"/>
      <c r="CD139" s="8"/>
      <c r="CE139" s="8"/>
      <c r="CF139" s="8"/>
      <c r="CG139" s="8"/>
      <c r="CH139" s="8"/>
      <c r="CI139" s="8"/>
      <c r="CJ139" s="8"/>
      <c r="CK139" s="8"/>
      <c r="CL139" s="8"/>
      <c r="CM139" s="8"/>
      <c r="CN139" s="8"/>
      <c r="CO139" s="8"/>
      <c r="CP139" s="8"/>
      <c r="CQ139" s="8"/>
      <c r="CR139" s="8"/>
      <c r="CS139" s="8"/>
      <c r="CT139" s="8"/>
      <c r="CU139" s="8"/>
      <c r="CV139" s="131" t="str">
        <f t="array" ref="CV139">xlookup(CZ139,data!$M$2:$M$17,data!$O$2:$O$17,"")</f>
        <v/>
      </c>
      <c r="CW139" s="8"/>
      <c r="CX139" s="8"/>
      <c r="CY139" s="98"/>
      <c r="CZ139" s="119" t="str">
        <f>if(BX77=0,"",reseeding!AD57)</f>
        <v/>
      </c>
      <c r="DA139" s="54"/>
      <c r="DB139" s="54"/>
      <c r="DC139" s="119" t="str">
        <f>if(or(BX77=0,EJ77=0),"",reseeding!AC65)</f>
        <v/>
      </c>
      <c r="DD139" s="130" t="str">
        <f t="array" ref="DD139">xlookup(DC139,data!$M$2:$M$17,data!$O$2:$O$17,"")</f>
        <v/>
      </c>
      <c r="DE139" s="8"/>
      <c r="DF139" s="8"/>
      <c r="DG139" s="8"/>
      <c r="DH139" s="93" t="str">
        <f t="array" ref="DH139">xlookup(DC139,data!$M$2:$M$17,data!$N$2:$N$17,"")</f>
        <v/>
      </c>
      <c r="DI139" s="8"/>
      <c r="DJ139" s="8"/>
      <c r="DK139" s="8"/>
      <c r="DL139" s="8"/>
      <c r="DM139" s="8"/>
      <c r="DN139" s="8"/>
      <c r="DO139" s="8"/>
      <c r="DP139" s="8"/>
      <c r="DQ139" s="8"/>
      <c r="DR139" s="8"/>
      <c r="DS139" s="8"/>
      <c r="DT139" s="8"/>
      <c r="DU139" s="8"/>
      <c r="DV139" s="8"/>
      <c r="DW139" s="8"/>
      <c r="DX139" s="8"/>
      <c r="DY139" s="8"/>
      <c r="DZ139" s="8"/>
      <c r="EA139" s="8"/>
      <c r="EB139" s="8"/>
      <c r="EC139" s="8"/>
      <c r="ED139" s="94"/>
      <c r="EE139" s="8"/>
      <c r="EF139" s="8"/>
      <c r="EG139" s="9"/>
      <c r="EH139" s="95"/>
      <c r="EI139" s="8"/>
      <c r="EJ139" s="8"/>
      <c r="EK139" s="8"/>
      <c r="EL139" s="96" t="str">
        <f t="array" ref="EL139">xlookup(FL139,data!$M$2:$M$17,data!$N$2:$N$17,"")</f>
        <v/>
      </c>
      <c r="EM139" s="8"/>
      <c r="EN139" s="8"/>
      <c r="EO139" s="8"/>
      <c r="EP139" s="8"/>
      <c r="EQ139" s="8"/>
      <c r="ER139" s="8"/>
      <c r="ES139" s="8"/>
      <c r="ET139" s="8"/>
      <c r="EU139" s="8"/>
      <c r="EV139" s="8"/>
      <c r="EW139" s="8"/>
      <c r="EX139" s="8"/>
      <c r="EY139" s="8"/>
      <c r="EZ139" s="8"/>
      <c r="FA139" s="8"/>
      <c r="FB139" s="8"/>
      <c r="FC139" s="8"/>
      <c r="FD139" s="8"/>
      <c r="FE139" s="8"/>
      <c r="FF139" s="8"/>
      <c r="FG139" s="8"/>
      <c r="FH139" s="131" t="str">
        <f t="array" ref="FH139">xlookup(FL139,data!$M$2:$M$17,data!$O$2:$O$17,"")</f>
        <v/>
      </c>
      <c r="FI139" s="8"/>
      <c r="FJ139" s="8"/>
      <c r="FK139" s="98"/>
      <c r="FL139" s="119" t="str">
        <f>if(or(BX77=0,EJ77=0),"",reseeding!AD65)</f>
        <v/>
      </c>
      <c r="FM139" s="54"/>
      <c r="FN139" s="54"/>
      <c r="FO139" s="119" t="str">
        <f>if(EJ77=0,"",reseeding!AC61)</f>
        <v/>
      </c>
      <c r="FP139" s="130" t="str">
        <f t="array" ref="FP139">xlookup(FO139,data!$M$2:$M$17,data!$O$2:$O$17,"")</f>
        <v/>
      </c>
      <c r="FQ139" s="8"/>
      <c r="FR139" s="8"/>
      <c r="FS139" s="8"/>
      <c r="FT139" s="93" t="str">
        <f t="array" ref="FT139">xlookup(FO139,data!$M$2:$M$17,data!$N$2:$N$17,"")</f>
        <v/>
      </c>
      <c r="FU139" s="8"/>
      <c r="FV139" s="8"/>
      <c r="FW139" s="8"/>
      <c r="FX139" s="8"/>
      <c r="FY139" s="8"/>
      <c r="FZ139" s="8"/>
      <c r="GA139" s="8"/>
      <c r="GB139" s="8"/>
      <c r="GC139" s="8"/>
      <c r="GD139" s="8"/>
      <c r="GE139" s="8"/>
      <c r="GF139" s="8"/>
      <c r="GG139" s="8"/>
      <c r="GH139" s="8"/>
      <c r="GI139" s="8"/>
      <c r="GJ139" s="8"/>
      <c r="GK139" s="8"/>
      <c r="GL139" s="8"/>
      <c r="GM139" s="8"/>
      <c r="GN139" s="8"/>
      <c r="GO139" s="8"/>
      <c r="GP139" s="94"/>
      <c r="GQ139" s="8"/>
      <c r="GR139" s="8"/>
      <c r="GS139" s="9"/>
      <c r="GT139" s="95"/>
      <c r="GU139" s="8"/>
      <c r="GV139" s="8"/>
      <c r="GW139" s="8"/>
      <c r="GX139" s="96" t="str">
        <f t="array" ref="GX139">xlookup(HX139,data!$M$2:$M$17,data!$N$2:$N$17,"")</f>
        <v/>
      </c>
      <c r="GY139" s="8"/>
      <c r="GZ139" s="8"/>
      <c r="HA139" s="8"/>
      <c r="HB139" s="8"/>
      <c r="HC139" s="8"/>
      <c r="HD139" s="8"/>
      <c r="HE139" s="8"/>
      <c r="HF139" s="8"/>
      <c r="HG139" s="8"/>
      <c r="HH139" s="8"/>
      <c r="HI139" s="8"/>
      <c r="HJ139" s="8"/>
      <c r="HK139" s="8"/>
      <c r="HL139" s="8"/>
      <c r="HM139" s="8"/>
      <c r="HN139" s="8"/>
      <c r="HO139" s="8"/>
      <c r="HP139" s="8"/>
      <c r="HQ139" s="8"/>
      <c r="HR139" s="8"/>
      <c r="HS139" s="8"/>
      <c r="HT139" s="131" t="str">
        <f t="array" ref="HT139">xlookup(HX139,data!$M$2:$M$17,data!$O$2:$O$17,"")</f>
        <v/>
      </c>
      <c r="HU139" s="8"/>
      <c r="HV139" s="8"/>
      <c r="HW139" s="98"/>
      <c r="HX139" s="119" t="str">
        <f>if(EJ77=0,"",reseeding!AD61)</f>
        <v/>
      </c>
      <c r="HY139" s="54"/>
      <c r="HZ139" s="54"/>
      <c r="IA139" s="54"/>
      <c r="IB139" s="54"/>
      <c r="IC139" s="54"/>
      <c r="ID139" s="54"/>
      <c r="IE139" s="54"/>
      <c r="IF139" s="54"/>
      <c r="IG139" s="54"/>
      <c r="IH139" s="54"/>
      <c r="II139" s="54"/>
      <c r="IJ139" s="54"/>
      <c r="IK139" s="54"/>
      <c r="IL139" s="54"/>
      <c r="IM139" s="54"/>
      <c r="IN139" s="54"/>
      <c r="IO139" s="54"/>
      <c r="IP139" s="54"/>
      <c r="IQ139" s="54"/>
      <c r="IR139" s="54"/>
      <c r="IS139" s="54"/>
      <c r="IT139" s="54"/>
      <c r="IU139" s="54"/>
      <c r="IV139" s="54"/>
      <c r="IW139" s="54"/>
      <c r="IX139" s="54"/>
      <c r="IY139" s="54"/>
      <c r="IZ139" s="54"/>
      <c r="JA139" s="54"/>
      <c r="JB139" s="54"/>
      <c r="JC139" s="54"/>
      <c r="JD139" s="54"/>
      <c r="JE139" s="54"/>
      <c r="JF139" s="54"/>
      <c r="JG139" s="54"/>
      <c r="JH139" s="54"/>
      <c r="JI139" s="54"/>
      <c r="JJ139" s="54"/>
      <c r="JK139" s="54"/>
      <c r="JL139" s="54"/>
      <c r="JM139" s="54"/>
      <c r="JN139" s="54"/>
      <c r="JO139" s="54"/>
      <c r="JP139" s="54"/>
      <c r="JQ139" s="54"/>
      <c r="JR139" s="54"/>
      <c r="JS139" s="54"/>
      <c r="JT139" s="54"/>
      <c r="JU139" s="54"/>
      <c r="JV139" s="54"/>
      <c r="JW139" s="54"/>
      <c r="JX139" s="54"/>
      <c r="JY139" s="54"/>
      <c r="JZ139" s="54"/>
      <c r="KA139" s="54"/>
      <c r="KB139" s="54"/>
      <c r="KC139" s="54"/>
      <c r="KD139" s="54"/>
      <c r="KE139" s="54"/>
      <c r="KF139" s="54"/>
      <c r="KG139" s="54"/>
      <c r="KH139" s="54"/>
      <c r="KI139" s="54"/>
      <c r="KJ139" s="54"/>
      <c r="KK139" s="54"/>
      <c r="KL139" s="54"/>
      <c r="KM139" s="54"/>
      <c r="KN139" s="54"/>
      <c r="KO139" s="54"/>
      <c r="KP139" s="54"/>
      <c r="KQ139" s="54"/>
      <c r="KR139" s="54"/>
      <c r="KS139" s="54"/>
      <c r="KT139" s="54"/>
      <c r="KU139" s="54"/>
      <c r="KV139" s="54"/>
      <c r="KW139" s="54"/>
      <c r="KX139" s="54"/>
    </row>
    <row r="140" ht="5.2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108"/>
      <c r="AR140" s="60"/>
      <c r="BU140" s="11"/>
      <c r="BV140" s="10"/>
      <c r="CY140" s="61"/>
      <c r="CZ140" s="108"/>
      <c r="DA140" s="54"/>
      <c r="DB140" s="54"/>
      <c r="DC140" s="108"/>
      <c r="DD140" s="60"/>
      <c r="EG140" s="11"/>
      <c r="EH140" s="10"/>
      <c r="FK140" s="61"/>
      <c r="FL140" s="108"/>
      <c r="FM140" s="54"/>
      <c r="FN140" s="54"/>
      <c r="FO140" s="108"/>
      <c r="FP140" s="60"/>
      <c r="GS140" s="11"/>
      <c r="GT140" s="10"/>
      <c r="HW140" s="61"/>
      <c r="HX140" s="108"/>
      <c r="HY140" s="54"/>
      <c r="HZ140" s="54"/>
      <c r="IA140" s="54"/>
      <c r="IB140" s="54"/>
      <c r="IC140" s="54"/>
      <c r="ID140" s="54"/>
      <c r="IE140" s="54"/>
      <c r="IF140" s="54"/>
      <c r="IG140" s="54"/>
      <c r="IH140" s="54"/>
      <c r="II140" s="54"/>
      <c r="IJ140" s="54"/>
      <c r="IK140" s="54"/>
      <c r="IL140" s="54"/>
      <c r="IM140" s="54"/>
      <c r="IN140" s="54"/>
      <c r="IO140" s="54"/>
      <c r="IP140" s="54"/>
      <c r="IQ140" s="54"/>
      <c r="IR140" s="54"/>
      <c r="IS140" s="54"/>
      <c r="IT140" s="54"/>
      <c r="IU140" s="54"/>
      <c r="IV140" s="54"/>
      <c r="IW140" s="54"/>
      <c r="IX140" s="54"/>
      <c r="IY140" s="54"/>
      <c r="IZ140" s="54"/>
      <c r="JA140" s="54"/>
      <c r="JB140" s="54"/>
      <c r="JC140" s="54"/>
      <c r="JD140" s="54"/>
      <c r="JE140" s="54"/>
      <c r="JF140" s="54"/>
      <c r="JG140" s="54"/>
      <c r="JH140" s="54"/>
      <c r="JI140" s="54"/>
      <c r="JJ140" s="54"/>
      <c r="JK140" s="54"/>
      <c r="JL140" s="54"/>
      <c r="JM140" s="54"/>
      <c r="JN140" s="54"/>
      <c r="JO140" s="54"/>
      <c r="JP140" s="54"/>
      <c r="JQ140" s="54"/>
      <c r="JR140" s="54"/>
      <c r="JS140" s="54"/>
      <c r="JT140" s="54"/>
      <c r="JU140" s="54"/>
      <c r="JV140" s="54"/>
      <c r="JW140" s="54"/>
      <c r="JX140" s="54"/>
      <c r="JY140" s="54"/>
      <c r="JZ140" s="54"/>
      <c r="KA140" s="54"/>
      <c r="KB140" s="54"/>
      <c r="KC140" s="54"/>
      <c r="KD140" s="54"/>
      <c r="KE140" s="54"/>
      <c r="KF140" s="54"/>
      <c r="KG140" s="54"/>
      <c r="KH140" s="54"/>
      <c r="KI140" s="54"/>
      <c r="KJ140" s="54"/>
      <c r="KK140" s="54"/>
      <c r="KL140" s="54"/>
      <c r="KM140" s="54"/>
      <c r="KN140" s="54"/>
      <c r="KO140" s="54"/>
      <c r="KP140" s="54"/>
      <c r="KQ140" s="54"/>
      <c r="KR140" s="54"/>
      <c r="KS140" s="54"/>
      <c r="KT140" s="54"/>
      <c r="KU140" s="54"/>
      <c r="KV140" s="54"/>
      <c r="KW140" s="54"/>
      <c r="KX140" s="54"/>
    </row>
    <row r="141" ht="5.2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108"/>
      <c r="AR141" s="60"/>
      <c r="BU141" s="11"/>
      <c r="BV141" s="10"/>
      <c r="CY141" s="61"/>
      <c r="CZ141" s="108"/>
      <c r="DA141" s="54"/>
      <c r="DB141" s="54"/>
      <c r="DC141" s="108"/>
      <c r="DD141" s="60"/>
      <c r="EG141" s="11"/>
      <c r="EH141" s="10"/>
      <c r="FK141" s="61"/>
      <c r="FL141" s="108"/>
      <c r="FM141" s="54"/>
      <c r="FN141" s="54"/>
      <c r="FO141" s="108"/>
      <c r="FP141" s="60"/>
      <c r="GS141" s="11"/>
      <c r="GT141" s="10"/>
      <c r="HW141" s="61"/>
      <c r="HX141" s="108"/>
      <c r="HY141" s="54"/>
      <c r="HZ141" s="54"/>
      <c r="IA141" s="54"/>
      <c r="IB141" s="54"/>
      <c r="IC141" s="54"/>
      <c r="ID141" s="54"/>
      <c r="IE141" s="54"/>
      <c r="IF141" s="54"/>
      <c r="IG141" s="54"/>
      <c r="IH141" s="54"/>
      <c r="II141" s="54"/>
      <c r="IJ141" s="54"/>
      <c r="IK141" s="54"/>
      <c r="IL141" s="54"/>
      <c r="IM141" s="54"/>
      <c r="IN141" s="54"/>
      <c r="IO141" s="54"/>
      <c r="IP141" s="54"/>
      <c r="IQ141" s="54"/>
      <c r="IR141" s="54"/>
      <c r="IS141" s="54"/>
      <c r="IT141" s="54"/>
      <c r="IU141" s="54"/>
      <c r="IV141" s="54"/>
      <c r="IW141" s="54"/>
      <c r="IX141" s="54"/>
      <c r="IY141" s="54"/>
      <c r="IZ141" s="54"/>
      <c r="JA141" s="54"/>
      <c r="JB141" s="54"/>
      <c r="JC141" s="54"/>
      <c r="JD141" s="54"/>
      <c r="JE141" s="54"/>
      <c r="JF141" s="54"/>
      <c r="JG141" s="54"/>
      <c r="JH141" s="54"/>
      <c r="JI141" s="54"/>
      <c r="JJ141" s="54"/>
      <c r="JK141" s="54"/>
      <c r="JL141" s="54"/>
      <c r="JM141" s="54"/>
      <c r="JN141" s="54"/>
      <c r="JO141" s="54"/>
      <c r="JP141" s="54"/>
      <c r="JQ141" s="54"/>
      <c r="JR141" s="54"/>
      <c r="JS141" s="54"/>
      <c r="JT141" s="54"/>
      <c r="JU141" s="54"/>
      <c r="JV141" s="54"/>
      <c r="JW141" s="54"/>
      <c r="JX141" s="54"/>
      <c r="JY141" s="54"/>
      <c r="JZ141" s="54"/>
      <c r="KA141" s="54"/>
      <c r="KB141" s="54"/>
      <c r="KC141" s="54"/>
      <c r="KD141" s="54"/>
      <c r="KE141" s="54"/>
      <c r="KF141" s="54"/>
      <c r="KG141" s="54"/>
      <c r="KH141" s="54"/>
      <c r="KI141" s="54"/>
      <c r="KJ141" s="54"/>
      <c r="KK141" s="54"/>
      <c r="KL141" s="54"/>
      <c r="KM141" s="54"/>
      <c r="KN141" s="54"/>
      <c r="KO141" s="54"/>
      <c r="KP141" s="54"/>
      <c r="KQ141" s="54"/>
      <c r="KR141" s="54"/>
      <c r="KS141" s="54"/>
      <c r="KT141" s="54"/>
      <c r="KU141" s="54"/>
      <c r="KV141" s="54"/>
      <c r="KW141" s="54"/>
      <c r="KX141" s="54"/>
    </row>
    <row r="142" ht="5.2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108"/>
      <c r="AR142" s="60"/>
      <c r="BU142" s="11"/>
      <c r="BV142" s="10"/>
      <c r="CY142" s="61"/>
      <c r="CZ142" s="108"/>
      <c r="DA142" s="54"/>
      <c r="DB142" s="54"/>
      <c r="DC142" s="108"/>
      <c r="DD142" s="60"/>
      <c r="EG142" s="11"/>
      <c r="EH142" s="10"/>
      <c r="FK142" s="61"/>
      <c r="FL142" s="108"/>
      <c r="FM142" s="54"/>
      <c r="FN142" s="54"/>
      <c r="FO142" s="108"/>
      <c r="FP142" s="60"/>
      <c r="GS142" s="11"/>
      <c r="GT142" s="10"/>
      <c r="HW142" s="61"/>
      <c r="HX142" s="108"/>
      <c r="HY142" s="54"/>
      <c r="HZ142" s="54"/>
      <c r="IA142" s="54"/>
      <c r="IB142" s="54"/>
      <c r="IC142" s="54"/>
      <c r="ID142" s="54"/>
      <c r="IE142" s="54"/>
      <c r="IF142" s="54"/>
      <c r="IG142" s="54"/>
      <c r="IH142" s="54"/>
      <c r="II142" s="54"/>
      <c r="IJ142" s="54"/>
      <c r="IK142" s="54"/>
      <c r="IL142" s="54"/>
      <c r="IM142" s="54"/>
      <c r="IN142" s="54"/>
      <c r="IO142" s="54"/>
      <c r="IP142" s="54"/>
      <c r="IQ142" s="54"/>
      <c r="IR142" s="54"/>
      <c r="IS142" s="54"/>
      <c r="IT142" s="54"/>
      <c r="IU142" s="54"/>
      <c r="IV142" s="54"/>
      <c r="IW142" s="54"/>
      <c r="IX142" s="54"/>
      <c r="IY142" s="54"/>
      <c r="IZ142" s="54"/>
      <c r="JA142" s="54"/>
      <c r="JB142" s="54"/>
      <c r="JC142" s="54"/>
      <c r="JD142" s="54"/>
      <c r="JE142" s="54"/>
      <c r="JF142" s="54"/>
      <c r="JG142" s="54"/>
      <c r="JH142" s="54"/>
      <c r="JI142" s="54"/>
      <c r="JJ142" s="54"/>
      <c r="JK142" s="54"/>
      <c r="JL142" s="54"/>
      <c r="JM142" s="54"/>
      <c r="JN142" s="54"/>
      <c r="JO142" s="54"/>
      <c r="JP142" s="54"/>
      <c r="JQ142" s="54"/>
      <c r="JR142" s="54"/>
      <c r="JS142" s="54"/>
      <c r="JT142" s="54"/>
      <c r="JU142" s="54"/>
      <c r="JV142" s="54"/>
      <c r="JW142" s="54"/>
      <c r="JX142" s="54"/>
      <c r="JY142" s="54"/>
      <c r="JZ142" s="54"/>
      <c r="KA142" s="54"/>
      <c r="KB142" s="54"/>
      <c r="KC142" s="54"/>
      <c r="KD142" s="54"/>
      <c r="KE142" s="54"/>
      <c r="KF142" s="54"/>
      <c r="KG142" s="54"/>
      <c r="KH142" s="54"/>
      <c r="KI142" s="54"/>
      <c r="KJ142" s="54"/>
      <c r="KK142" s="54"/>
      <c r="KL142" s="54"/>
      <c r="KM142" s="54"/>
      <c r="KN142" s="54"/>
      <c r="KO142" s="54"/>
      <c r="KP142" s="54"/>
      <c r="KQ142" s="54"/>
      <c r="KR142" s="54"/>
      <c r="KS142" s="54"/>
      <c r="KT142" s="54"/>
      <c r="KU142" s="54"/>
      <c r="KV142" s="54"/>
      <c r="KW142" s="54"/>
      <c r="KX142" s="54"/>
    </row>
    <row r="143" ht="5.2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119" t="str">
        <f>AQ139</f>
        <v/>
      </c>
      <c r="AR143" s="112"/>
      <c r="AZ143" s="122"/>
      <c r="BB143" s="11"/>
      <c r="BC143" s="127"/>
      <c r="BE143" s="11"/>
      <c r="BF143" s="132"/>
      <c r="BI143" s="108"/>
      <c r="BR143" s="85">
        <f>sum(AZ143:BH145)</f>
        <v>0</v>
      </c>
      <c r="BU143" s="11"/>
      <c r="BV143" s="86">
        <f>sum(CI143:CQ145)</f>
        <v>0</v>
      </c>
      <c r="BZ143" s="108"/>
      <c r="CA143" s="108"/>
      <c r="CB143" s="108"/>
      <c r="CC143" s="108"/>
      <c r="CD143" s="108"/>
      <c r="CE143" s="108"/>
      <c r="CF143" s="108"/>
      <c r="CG143" s="108"/>
      <c r="CH143" s="108"/>
      <c r="CI143" s="133"/>
      <c r="CK143" s="11"/>
      <c r="CL143" s="126"/>
      <c r="CN143" s="11"/>
      <c r="CO143" s="127"/>
      <c r="CR143" s="108"/>
      <c r="CS143" s="108"/>
      <c r="CT143" s="108"/>
      <c r="CU143" s="108"/>
      <c r="CV143" s="108"/>
      <c r="CW143" s="108"/>
      <c r="CX143" s="108"/>
      <c r="CY143" s="116"/>
      <c r="CZ143" s="119" t="str">
        <f>CZ139</f>
        <v/>
      </c>
      <c r="DA143" s="54"/>
      <c r="DB143" s="54"/>
      <c r="DC143" s="119" t="str">
        <f>DC139</f>
        <v/>
      </c>
      <c r="DD143" s="112"/>
      <c r="DL143" s="122"/>
      <c r="DN143" s="11"/>
      <c r="DO143" s="127"/>
      <c r="DQ143" s="11"/>
      <c r="DR143" s="132"/>
      <c r="DU143" s="108"/>
      <c r="ED143" s="85">
        <f>sum(DL143:DT145)</f>
        <v>0</v>
      </c>
      <c r="EG143" s="11"/>
      <c r="EH143" s="86">
        <f>sum(EU143:FC145)</f>
        <v>0</v>
      </c>
      <c r="EL143" s="108"/>
      <c r="EM143" s="108"/>
      <c r="EN143" s="108"/>
      <c r="EO143" s="108"/>
      <c r="EP143" s="108"/>
      <c r="EQ143" s="108"/>
      <c r="ER143" s="108"/>
      <c r="ES143" s="108"/>
      <c r="ET143" s="108"/>
      <c r="EU143" s="133"/>
      <c r="EW143" s="11"/>
      <c r="EX143" s="126"/>
      <c r="EZ143" s="11"/>
      <c r="FA143" s="123"/>
      <c r="FD143" s="108"/>
      <c r="FE143" s="108"/>
      <c r="FF143" s="108"/>
      <c r="FG143" s="108"/>
      <c r="FH143" s="108"/>
      <c r="FI143" s="108"/>
      <c r="FJ143" s="108"/>
      <c r="FK143" s="116"/>
      <c r="FL143" s="119" t="str">
        <f>FL139</f>
        <v/>
      </c>
      <c r="FM143" s="54"/>
      <c r="FN143" s="54"/>
      <c r="FO143" s="119" t="str">
        <f>FO139</f>
        <v/>
      </c>
      <c r="FP143" s="112"/>
      <c r="FX143" s="122"/>
      <c r="FZ143" s="11"/>
      <c r="GA143" s="127"/>
      <c r="GC143" s="11"/>
      <c r="GD143" s="132"/>
      <c r="GG143" s="108"/>
      <c r="GP143" s="85">
        <f>sum(FX143:GF145)</f>
        <v>0</v>
      </c>
      <c r="GS143" s="11"/>
      <c r="GT143" s="86">
        <f>sum(HG143:HO145)</f>
        <v>0</v>
      </c>
      <c r="GX143" s="108"/>
      <c r="GY143" s="108"/>
      <c r="GZ143" s="108"/>
      <c r="HA143" s="108"/>
      <c r="HB143" s="108"/>
      <c r="HC143" s="108"/>
      <c r="HD143" s="108"/>
      <c r="HE143" s="108"/>
      <c r="HF143" s="108"/>
      <c r="HG143" s="133"/>
      <c r="HI143" s="11"/>
      <c r="HJ143" s="139"/>
      <c r="HL143" s="11"/>
      <c r="HM143" s="123"/>
      <c r="HP143" s="108"/>
      <c r="HQ143" s="108"/>
      <c r="HR143" s="108"/>
      <c r="HS143" s="108"/>
      <c r="HT143" s="108"/>
      <c r="HU143" s="108"/>
      <c r="HV143" s="108"/>
      <c r="HW143" s="116"/>
      <c r="HX143" s="119" t="str">
        <f>HX139</f>
        <v/>
      </c>
      <c r="HY143" s="54"/>
      <c r="HZ143" s="54"/>
      <c r="IA143" s="54"/>
      <c r="IB143" s="54"/>
      <c r="IC143" s="54"/>
      <c r="ID143" s="54"/>
      <c r="IE143" s="54"/>
      <c r="IF143" s="54"/>
      <c r="IG143" s="54"/>
      <c r="IH143" s="54"/>
      <c r="II143" s="54"/>
      <c r="IJ143" s="54"/>
      <c r="IK143" s="54"/>
      <c r="IL143" s="54"/>
      <c r="IM143" s="54"/>
      <c r="IN143" s="54"/>
      <c r="IO143" s="54"/>
      <c r="IP143" s="54"/>
      <c r="IQ143" s="54"/>
      <c r="IR143" s="54"/>
      <c r="IS143" s="54"/>
      <c r="IT143" s="54"/>
      <c r="IU143" s="54"/>
      <c r="IV143" s="54"/>
      <c r="IW143" s="54"/>
      <c r="IX143" s="54"/>
      <c r="IY143" s="54"/>
      <c r="IZ143" s="54"/>
      <c r="JA143" s="54"/>
      <c r="JB143" s="54"/>
      <c r="JC143" s="54"/>
      <c r="JD143" s="54"/>
      <c r="JE143" s="54"/>
      <c r="JF143" s="54"/>
      <c r="JG143" s="54"/>
      <c r="JH143" s="54"/>
      <c r="JI143" s="54"/>
      <c r="JJ143" s="54"/>
      <c r="JK143" s="54"/>
      <c r="JL143" s="54"/>
      <c r="JM143" s="54"/>
      <c r="JN143" s="54"/>
      <c r="JO143" s="54"/>
      <c r="JP143" s="54"/>
      <c r="JQ143" s="54"/>
      <c r="JR143" s="54"/>
      <c r="JS143" s="54"/>
      <c r="JT143" s="54"/>
      <c r="JU143" s="54"/>
      <c r="JV143" s="54"/>
      <c r="JW143" s="54"/>
      <c r="JX143" s="54"/>
      <c r="JY143" s="54"/>
      <c r="JZ143" s="54"/>
      <c r="KA143" s="54"/>
      <c r="KB143" s="54"/>
      <c r="KC143" s="54"/>
      <c r="KD143" s="54"/>
      <c r="KE143" s="54"/>
      <c r="KF143" s="54"/>
      <c r="KG143" s="54"/>
      <c r="KH143" s="54"/>
      <c r="KI143" s="54"/>
      <c r="KJ143" s="54"/>
      <c r="KK143" s="54"/>
      <c r="KL143" s="54"/>
      <c r="KM143" s="54"/>
      <c r="KN143" s="54"/>
      <c r="KO143" s="54"/>
      <c r="KP143" s="54"/>
      <c r="KQ143" s="54"/>
      <c r="KR143" s="54"/>
      <c r="KS143" s="54"/>
      <c r="KT143" s="54"/>
      <c r="KU143" s="54"/>
      <c r="KV143" s="54"/>
      <c r="KW143" s="54"/>
      <c r="KX143" s="54"/>
    </row>
    <row r="144" ht="5.2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108"/>
      <c r="AR144" s="60"/>
      <c r="BB144" s="11"/>
      <c r="BC144" s="10"/>
      <c r="BE144" s="11"/>
      <c r="BF144" s="10"/>
      <c r="BU144" s="11"/>
      <c r="BV144" s="10"/>
      <c r="BZ144" s="108"/>
      <c r="CA144" s="108"/>
      <c r="CB144" s="108"/>
      <c r="CC144" s="108"/>
      <c r="CD144" s="108"/>
      <c r="CE144" s="108"/>
      <c r="CF144" s="108"/>
      <c r="CG144" s="108"/>
      <c r="CH144" s="108"/>
      <c r="CK144" s="11"/>
      <c r="CL144" s="10"/>
      <c r="CN144" s="11"/>
      <c r="CO144" s="10"/>
      <c r="CR144" s="108"/>
      <c r="CS144" s="108"/>
      <c r="CT144" s="108"/>
      <c r="CU144" s="108"/>
      <c r="CV144" s="108"/>
      <c r="CW144" s="108"/>
      <c r="CX144" s="108"/>
      <c r="CY144" s="116"/>
      <c r="CZ144" s="108"/>
      <c r="DA144" s="54"/>
      <c r="DB144" s="54"/>
      <c r="DC144" s="108"/>
      <c r="DD144" s="60"/>
      <c r="DN144" s="11"/>
      <c r="DO144" s="10"/>
      <c r="DQ144" s="11"/>
      <c r="DR144" s="10"/>
      <c r="EG144" s="11"/>
      <c r="EH144" s="10"/>
      <c r="EL144" s="108"/>
      <c r="EM144" s="108"/>
      <c r="EN144" s="108"/>
      <c r="EO144" s="108"/>
      <c r="EP144" s="108"/>
      <c r="EQ144" s="108"/>
      <c r="ER144" s="108"/>
      <c r="ES144" s="108"/>
      <c r="ET144" s="108"/>
      <c r="EW144" s="11"/>
      <c r="EX144" s="10"/>
      <c r="EZ144" s="11"/>
      <c r="FA144" s="10"/>
      <c r="FD144" s="108"/>
      <c r="FE144" s="108"/>
      <c r="FF144" s="108"/>
      <c r="FG144" s="108"/>
      <c r="FH144" s="108"/>
      <c r="FI144" s="108"/>
      <c r="FJ144" s="108"/>
      <c r="FK144" s="116"/>
      <c r="FL144" s="108"/>
      <c r="FM144" s="54"/>
      <c r="FN144" s="54"/>
      <c r="FO144" s="108"/>
      <c r="FP144" s="60"/>
      <c r="FZ144" s="11"/>
      <c r="GA144" s="10"/>
      <c r="GC144" s="11"/>
      <c r="GD144" s="10"/>
      <c r="GS144" s="11"/>
      <c r="GT144" s="10"/>
      <c r="GX144" s="108"/>
      <c r="GY144" s="108"/>
      <c r="GZ144" s="108"/>
      <c r="HA144" s="108"/>
      <c r="HB144" s="108"/>
      <c r="HC144" s="108"/>
      <c r="HD144" s="108"/>
      <c r="HE144" s="108"/>
      <c r="HF144" s="108"/>
      <c r="HI144" s="11"/>
      <c r="HJ144" s="10"/>
      <c r="HL144" s="11"/>
      <c r="HM144" s="10"/>
      <c r="HP144" s="108"/>
      <c r="HQ144" s="108"/>
      <c r="HR144" s="108"/>
      <c r="HS144" s="108"/>
      <c r="HT144" s="108"/>
      <c r="HU144" s="108"/>
      <c r="HV144" s="108"/>
      <c r="HW144" s="116"/>
      <c r="HX144" s="108"/>
      <c r="HY144" s="54"/>
      <c r="HZ144" s="54"/>
      <c r="IA144" s="54"/>
      <c r="IB144" s="54"/>
      <c r="IC144" s="54"/>
      <c r="ID144" s="54"/>
      <c r="IE144" s="54"/>
      <c r="IF144" s="54"/>
      <c r="IG144" s="54"/>
      <c r="IH144" s="54"/>
      <c r="II144" s="54"/>
      <c r="IJ144" s="54"/>
      <c r="IK144" s="54"/>
      <c r="IL144" s="54"/>
      <c r="IM144" s="54"/>
      <c r="IN144" s="54"/>
      <c r="IO144" s="54"/>
      <c r="IP144" s="54"/>
      <c r="IQ144" s="54"/>
      <c r="IR144" s="54"/>
      <c r="IS144" s="54"/>
      <c r="IT144" s="54"/>
      <c r="IU144" s="54"/>
      <c r="IV144" s="54"/>
      <c r="IW144" s="54"/>
      <c r="IX144" s="54"/>
      <c r="IY144" s="54"/>
      <c r="IZ144" s="54"/>
      <c r="JA144" s="54"/>
      <c r="JB144" s="54"/>
      <c r="JC144" s="54"/>
      <c r="JD144" s="54"/>
      <c r="JE144" s="54"/>
      <c r="JF144" s="54"/>
      <c r="JG144" s="54"/>
      <c r="JH144" s="54"/>
      <c r="JI144" s="54"/>
      <c r="JJ144" s="54"/>
      <c r="JK144" s="54"/>
      <c r="JL144" s="54"/>
      <c r="JM144" s="54"/>
      <c r="JN144" s="54"/>
      <c r="JO144" s="54"/>
      <c r="JP144" s="54"/>
      <c r="JQ144" s="54"/>
      <c r="JR144" s="54"/>
      <c r="JS144" s="54"/>
      <c r="JT144" s="54"/>
      <c r="JU144" s="54"/>
      <c r="JV144" s="54"/>
      <c r="JW144" s="54"/>
      <c r="JX144" s="54"/>
      <c r="JY144" s="54"/>
      <c r="JZ144" s="54"/>
      <c r="KA144" s="54"/>
      <c r="KB144" s="54"/>
      <c r="KC144" s="54"/>
      <c r="KD144" s="54"/>
      <c r="KE144" s="54"/>
      <c r="KF144" s="54"/>
      <c r="KG144" s="54"/>
      <c r="KH144" s="54"/>
      <c r="KI144" s="54"/>
      <c r="KJ144" s="54"/>
      <c r="KK144" s="54"/>
      <c r="KL144" s="54"/>
      <c r="KM144" s="54"/>
      <c r="KN144" s="54"/>
      <c r="KO144" s="54"/>
      <c r="KP144" s="54"/>
      <c r="KQ144" s="54"/>
      <c r="KR144" s="54"/>
      <c r="KS144" s="54"/>
      <c r="KT144" s="54"/>
      <c r="KU144" s="54"/>
      <c r="KV144" s="54"/>
      <c r="KW144" s="54"/>
      <c r="KX144" s="54"/>
    </row>
    <row r="145" ht="5.2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108"/>
      <c r="AR145" s="101"/>
      <c r="AS145" s="102"/>
      <c r="AT145" s="102"/>
      <c r="AU145" s="102"/>
      <c r="AV145" s="102"/>
      <c r="AW145" s="102"/>
      <c r="AX145" s="102"/>
      <c r="AY145" s="102"/>
      <c r="AZ145" s="102"/>
      <c r="BA145" s="102"/>
      <c r="BB145" s="103"/>
      <c r="BC145" s="104"/>
      <c r="BD145" s="102"/>
      <c r="BE145" s="103"/>
      <c r="BF145" s="104"/>
      <c r="BG145" s="102"/>
      <c r="BH145" s="102"/>
      <c r="BI145" s="102"/>
      <c r="BJ145" s="102"/>
      <c r="BK145" s="102"/>
      <c r="BL145" s="102"/>
      <c r="BM145" s="102"/>
      <c r="BN145" s="102"/>
      <c r="BO145" s="102"/>
      <c r="BP145" s="102"/>
      <c r="BQ145" s="102"/>
      <c r="BR145" s="102"/>
      <c r="BS145" s="102"/>
      <c r="BT145" s="102"/>
      <c r="BU145" s="103"/>
      <c r="BV145" s="104"/>
      <c r="BW145" s="102"/>
      <c r="BX145" s="102"/>
      <c r="BY145" s="102"/>
      <c r="BZ145" s="137"/>
      <c r="CA145" s="137"/>
      <c r="CB145" s="137"/>
      <c r="CC145" s="137"/>
      <c r="CD145" s="137"/>
      <c r="CE145" s="137"/>
      <c r="CF145" s="137"/>
      <c r="CG145" s="137"/>
      <c r="CH145" s="137"/>
      <c r="CI145" s="102"/>
      <c r="CJ145" s="102"/>
      <c r="CK145" s="103"/>
      <c r="CL145" s="104"/>
      <c r="CM145" s="102"/>
      <c r="CN145" s="103"/>
      <c r="CO145" s="104"/>
      <c r="CP145" s="102"/>
      <c r="CQ145" s="102"/>
      <c r="CR145" s="137"/>
      <c r="CS145" s="137"/>
      <c r="CT145" s="137"/>
      <c r="CU145" s="137"/>
      <c r="CV145" s="137"/>
      <c r="CW145" s="137"/>
      <c r="CX145" s="137"/>
      <c r="CY145" s="138"/>
      <c r="CZ145" s="108"/>
      <c r="DA145" s="54"/>
      <c r="DB145" s="54"/>
      <c r="DC145" s="108"/>
      <c r="DD145" s="88"/>
      <c r="DE145" s="13"/>
      <c r="DF145" s="13"/>
      <c r="DG145" s="13"/>
      <c r="DH145" s="13"/>
      <c r="DI145" s="13"/>
      <c r="DJ145" s="13"/>
      <c r="DK145" s="13"/>
      <c r="DL145" s="13"/>
      <c r="DM145" s="13"/>
      <c r="DN145" s="14"/>
      <c r="DO145" s="12"/>
      <c r="DP145" s="13"/>
      <c r="DQ145" s="14"/>
      <c r="DR145" s="12"/>
      <c r="DS145" s="13"/>
      <c r="DT145" s="13"/>
      <c r="DU145" s="13"/>
      <c r="DV145" s="13"/>
      <c r="DW145" s="13"/>
      <c r="DX145" s="13"/>
      <c r="DY145" s="13"/>
      <c r="DZ145" s="13"/>
      <c r="EA145" s="13"/>
      <c r="EB145" s="13"/>
      <c r="EC145" s="13"/>
      <c r="ED145" s="13"/>
      <c r="EE145" s="13"/>
      <c r="EF145" s="13"/>
      <c r="EG145" s="14"/>
      <c r="EH145" s="12"/>
      <c r="EI145" s="13"/>
      <c r="EJ145" s="13"/>
      <c r="EK145" s="13"/>
      <c r="EL145" s="128"/>
      <c r="EM145" s="128"/>
      <c r="EN145" s="128"/>
      <c r="EO145" s="128"/>
      <c r="EP145" s="128"/>
      <c r="EQ145" s="128"/>
      <c r="ER145" s="128"/>
      <c r="ES145" s="128"/>
      <c r="ET145" s="128"/>
      <c r="EU145" s="13"/>
      <c r="EV145" s="13"/>
      <c r="EW145" s="14"/>
      <c r="EX145" s="12"/>
      <c r="EY145" s="13"/>
      <c r="EZ145" s="14"/>
      <c r="FA145" s="12"/>
      <c r="FB145" s="13"/>
      <c r="FC145" s="13"/>
      <c r="FD145" s="128"/>
      <c r="FE145" s="128"/>
      <c r="FF145" s="128"/>
      <c r="FG145" s="128"/>
      <c r="FH145" s="128"/>
      <c r="FI145" s="128"/>
      <c r="FJ145" s="128"/>
      <c r="FK145" s="129"/>
      <c r="FL145" s="108"/>
      <c r="FM145" s="54"/>
      <c r="FN145" s="54"/>
      <c r="FO145" s="108"/>
      <c r="FP145" s="101"/>
      <c r="FQ145" s="102"/>
      <c r="FR145" s="102"/>
      <c r="FS145" s="102"/>
      <c r="FT145" s="102"/>
      <c r="FU145" s="102"/>
      <c r="FV145" s="102"/>
      <c r="FW145" s="102"/>
      <c r="FX145" s="102"/>
      <c r="FY145" s="102"/>
      <c r="FZ145" s="103"/>
      <c r="GA145" s="104"/>
      <c r="GB145" s="102"/>
      <c r="GC145" s="103"/>
      <c r="GD145" s="104"/>
      <c r="GE145" s="102"/>
      <c r="GF145" s="102"/>
      <c r="GG145" s="102"/>
      <c r="GH145" s="102"/>
      <c r="GI145" s="102"/>
      <c r="GJ145" s="102"/>
      <c r="GK145" s="102"/>
      <c r="GL145" s="102"/>
      <c r="GM145" s="102"/>
      <c r="GN145" s="102"/>
      <c r="GO145" s="102"/>
      <c r="GP145" s="102"/>
      <c r="GQ145" s="102"/>
      <c r="GR145" s="102"/>
      <c r="GS145" s="103"/>
      <c r="GT145" s="104"/>
      <c r="GU145" s="102"/>
      <c r="GV145" s="102"/>
      <c r="GW145" s="102"/>
      <c r="GX145" s="137"/>
      <c r="GY145" s="137"/>
      <c r="GZ145" s="137"/>
      <c r="HA145" s="137"/>
      <c r="HB145" s="137"/>
      <c r="HC145" s="137"/>
      <c r="HD145" s="137"/>
      <c r="HE145" s="137"/>
      <c r="HF145" s="137"/>
      <c r="HG145" s="102"/>
      <c r="HH145" s="102"/>
      <c r="HI145" s="103"/>
      <c r="HJ145" s="104"/>
      <c r="HK145" s="102"/>
      <c r="HL145" s="103"/>
      <c r="HM145" s="104"/>
      <c r="HN145" s="102"/>
      <c r="HO145" s="102"/>
      <c r="HP145" s="137"/>
      <c r="HQ145" s="137"/>
      <c r="HR145" s="137"/>
      <c r="HS145" s="137"/>
      <c r="HT145" s="137"/>
      <c r="HU145" s="137"/>
      <c r="HV145" s="137"/>
      <c r="HW145" s="138"/>
      <c r="HX145" s="108"/>
      <c r="HY145" s="54"/>
      <c r="HZ145" s="54"/>
      <c r="IA145" s="54"/>
      <c r="IB145" s="54"/>
      <c r="IC145" s="54"/>
      <c r="ID145" s="54"/>
      <c r="IE145" s="54"/>
      <c r="IF145" s="54"/>
      <c r="IG145" s="54"/>
      <c r="IH145" s="54"/>
      <c r="II145" s="54"/>
      <c r="IJ145" s="54"/>
      <c r="IK145" s="54"/>
      <c r="IL145" s="54"/>
      <c r="IM145" s="54"/>
      <c r="IN145" s="54"/>
      <c r="IO145" s="54"/>
      <c r="IP145" s="54"/>
      <c r="IQ145" s="54"/>
      <c r="IR145" s="54"/>
      <c r="IS145" s="54"/>
      <c r="IT145" s="54"/>
      <c r="IU145" s="54"/>
      <c r="IV145" s="54"/>
      <c r="IW145" s="54"/>
      <c r="IX145" s="54"/>
      <c r="IY145" s="54"/>
      <c r="IZ145" s="54"/>
      <c r="JA145" s="54"/>
      <c r="JB145" s="54"/>
      <c r="JC145" s="54"/>
      <c r="JD145" s="54"/>
      <c r="JE145" s="54"/>
      <c r="JF145" s="54"/>
      <c r="JG145" s="54"/>
      <c r="JH145" s="54"/>
      <c r="JI145" s="54"/>
      <c r="JJ145" s="54"/>
      <c r="JK145" s="54"/>
      <c r="JL145" s="54"/>
      <c r="JM145" s="54"/>
      <c r="JN145" s="54"/>
      <c r="JO145" s="54"/>
      <c r="JP145" s="54"/>
      <c r="JQ145" s="54"/>
      <c r="JR145" s="54"/>
      <c r="JS145" s="54"/>
      <c r="JT145" s="54"/>
      <c r="JU145" s="54"/>
      <c r="JV145" s="54"/>
      <c r="JW145" s="54"/>
      <c r="JX145" s="54"/>
      <c r="JY145" s="54"/>
      <c r="JZ145" s="54"/>
      <c r="KA145" s="54"/>
      <c r="KB145" s="54"/>
      <c r="KC145" s="54"/>
      <c r="KD145" s="54"/>
      <c r="KE145" s="54"/>
      <c r="KF145" s="54"/>
      <c r="KG145" s="54"/>
      <c r="KH145" s="54"/>
      <c r="KI145" s="54"/>
      <c r="KJ145" s="54"/>
      <c r="KK145" s="54"/>
      <c r="KL145" s="54"/>
      <c r="KM145" s="54"/>
      <c r="KN145" s="54"/>
      <c r="KO145" s="54"/>
      <c r="KP145" s="54"/>
      <c r="KQ145" s="54"/>
      <c r="KR145" s="54"/>
      <c r="KS145" s="54"/>
      <c r="KT145" s="54"/>
      <c r="KU145" s="54"/>
      <c r="KV145" s="54"/>
      <c r="KW145" s="54"/>
      <c r="KX145" s="54"/>
    </row>
    <row r="146" ht="5.2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c r="BS146" s="54"/>
      <c r="BT146" s="54"/>
      <c r="BU146" s="54"/>
      <c r="BV146" s="54"/>
      <c r="BW146" s="54"/>
      <c r="BX146" s="54"/>
      <c r="BY146" s="54"/>
      <c r="BZ146" s="54"/>
      <c r="CA146" s="54"/>
      <c r="CB146" s="54"/>
      <c r="CC146" s="54"/>
      <c r="CD146" s="54"/>
      <c r="CE146" s="54"/>
      <c r="CF146" s="54"/>
      <c r="CG146" s="54"/>
      <c r="CH146" s="54"/>
      <c r="CI146" s="54"/>
      <c r="CJ146" s="54"/>
      <c r="CK146" s="54"/>
      <c r="CL146" s="54"/>
      <c r="CM146" s="54"/>
      <c r="CN146" s="54"/>
      <c r="CO146" s="54"/>
      <c r="CP146" s="54"/>
      <c r="CQ146" s="54"/>
      <c r="CR146" s="54"/>
      <c r="CS146" s="54"/>
      <c r="CT146" s="54"/>
      <c r="CU146" s="54"/>
      <c r="CV146" s="54"/>
      <c r="CW146" s="54"/>
      <c r="CX146" s="54"/>
      <c r="CY146" s="54"/>
      <c r="CZ146" s="54"/>
      <c r="DA146" s="54"/>
      <c r="DB146" s="54"/>
      <c r="DC146" s="119" t="str">
        <f>if(or(BX77=0,EJ77=0),"",reseeding!AC66)</f>
        <v/>
      </c>
      <c r="DD146" s="130" t="str">
        <f t="array" ref="DD146">xlookup(DC146,data!$M$2:$M$17,data!$O$2:$O$17,"")</f>
        <v/>
      </c>
      <c r="DE146" s="8"/>
      <c r="DF146" s="8"/>
      <c r="DG146" s="8"/>
      <c r="DH146" s="93" t="str">
        <f t="array" ref="DH146">xlookup(DC146,data!$M$2:$M$17,data!$N$2:$N$17,"")</f>
        <v/>
      </c>
      <c r="DI146" s="8"/>
      <c r="DJ146" s="8"/>
      <c r="DK146" s="8"/>
      <c r="DL146" s="8"/>
      <c r="DM146" s="8"/>
      <c r="DN146" s="8"/>
      <c r="DO146" s="8"/>
      <c r="DP146" s="8"/>
      <c r="DQ146" s="8"/>
      <c r="DR146" s="8"/>
      <c r="DS146" s="8"/>
      <c r="DT146" s="8"/>
      <c r="DU146" s="8"/>
      <c r="DV146" s="8"/>
      <c r="DW146" s="8"/>
      <c r="DX146" s="8"/>
      <c r="DY146" s="8"/>
      <c r="DZ146" s="8"/>
      <c r="EA146" s="8"/>
      <c r="EB146" s="8"/>
      <c r="EC146" s="8"/>
      <c r="ED146" s="94"/>
      <c r="EE146" s="8"/>
      <c r="EF146" s="8"/>
      <c r="EG146" s="9"/>
      <c r="EH146" s="95"/>
      <c r="EI146" s="8"/>
      <c r="EJ146" s="8"/>
      <c r="EK146" s="8"/>
      <c r="EL146" s="96" t="str">
        <f t="array" ref="EL146">xlookup(FL146,data!$M$2:$M$17,data!$N$2:$N$17,"")</f>
        <v/>
      </c>
      <c r="EM146" s="8"/>
      <c r="EN146" s="8"/>
      <c r="EO146" s="8"/>
      <c r="EP146" s="8"/>
      <c r="EQ146" s="8"/>
      <c r="ER146" s="8"/>
      <c r="ES146" s="8"/>
      <c r="ET146" s="8"/>
      <c r="EU146" s="8"/>
      <c r="EV146" s="8"/>
      <c r="EW146" s="8"/>
      <c r="EX146" s="8"/>
      <c r="EY146" s="8"/>
      <c r="EZ146" s="8"/>
      <c r="FA146" s="8"/>
      <c r="FB146" s="8"/>
      <c r="FC146" s="8"/>
      <c r="FD146" s="8"/>
      <c r="FE146" s="8"/>
      <c r="FF146" s="8"/>
      <c r="FG146" s="8"/>
      <c r="FH146" s="131" t="str">
        <f t="array" ref="FH146">xlookup(FL146,data!$M$2:$M$17,data!$O$2:$O$17,"")</f>
        <v/>
      </c>
      <c r="FI146" s="8"/>
      <c r="FJ146" s="8"/>
      <c r="FK146" s="98"/>
      <c r="FL146" s="119" t="str">
        <f>if(or(BX77=0,EJ77=0),"",reseeding!AD66)</f>
        <v/>
      </c>
      <c r="FM146" s="54"/>
      <c r="FN146" s="54"/>
      <c r="FO146" s="54"/>
      <c r="FP146" s="54"/>
      <c r="FQ146" s="54"/>
      <c r="FR146" s="54"/>
      <c r="FS146" s="54"/>
      <c r="FT146" s="54"/>
      <c r="FU146" s="54"/>
      <c r="FV146" s="54"/>
      <c r="FW146" s="54"/>
      <c r="FX146" s="54"/>
      <c r="FY146" s="54"/>
      <c r="FZ146" s="54"/>
      <c r="GA146" s="54"/>
      <c r="GB146" s="54"/>
      <c r="GC146" s="54"/>
      <c r="GD146" s="54"/>
      <c r="GE146" s="54"/>
      <c r="GF146" s="54"/>
      <c r="GG146" s="54"/>
      <c r="GH146" s="54"/>
      <c r="GI146" s="54"/>
      <c r="GJ146" s="54"/>
      <c r="GK146" s="54"/>
      <c r="GL146" s="54"/>
      <c r="GM146" s="54"/>
      <c r="GN146" s="54"/>
      <c r="GO146" s="54"/>
      <c r="GP146" s="54"/>
      <c r="GQ146" s="54"/>
      <c r="GR146" s="54"/>
      <c r="GS146" s="54"/>
      <c r="GT146" s="54"/>
      <c r="GU146" s="54"/>
      <c r="GV146" s="54"/>
      <c r="GW146" s="54"/>
      <c r="GX146" s="54"/>
      <c r="GY146" s="54"/>
      <c r="GZ146" s="54"/>
      <c r="HA146" s="54"/>
      <c r="HB146" s="54"/>
      <c r="HC146" s="54"/>
      <c r="HD146" s="54"/>
      <c r="HE146" s="54"/>
      <c r="HF146" s="54"/>
      <c r="HG146" s="54"/>
      <c r="HH146" s="54"/>
      <c r="HI146" s="54"/>
      <c r="HJ146" s="54"/>
      <c r="HK146" s="54"/>
      <c r="HL146" s="54"/>
      <c r="HM146" s="54"/>
      <c r="HN146" s="54"/>
      <c r="HO146" s="54"/>
      <c r="HP146" s="54"/>
      <c r="HQ146" s="54"/>
      <c r="HR146" s="54"/>
      <c r="HS146" s="54"/>
      <c r="HT146" s="54"/>
      <c r="HU146" s="54"/>
      <c r="HV146" s="54"/>
      <c r="HW146" s="54"/>
      <c r="HX146" s="54"/>
      <c r="HY146" s="54"/>
      <c r="HZ146" s="54"/>
      <c r="IA146" s="54"/>
      <c r="IB146" s="54"/>
      <c r="IC146" s="54"/>
      <c r="ID146" s="54"/>
      <c r="IE146" s="54"/>
      <c r="IF146" s="54"/>
      <c r="IG146" s="54"/>
      <c r="IH146" s="54"/>
      <c r="II146" s="54"/>
      <c r="IJ146" s="54"/>
      <c r="IK146" s="54"/>
      <c r="IL146" s="54"/>
      <c r="IM146" s="54"/>
      <c r="IN146" s="54"/>
      <c r="IO146" s="54"/>
      <c r="IP146" s="54"/>
      <c r="IQ146" s="54"/>
      <c r="IR146" s="54"/>
      <c r="IS146" s="54"/>
      <c r="IT146" s="54"/>
      <c r="IU146" s="54"/>
      <c r="IV146" s="54"/>
      <c r="IW146" s="54"/>
      <c r="IX146" s="54"/>
      <c r="IY146" s="54"/>
      <c r="IZ146" s="54"/>
      <c r="JA146" s="54"/>
      <c r="JB146" s="54"/>
      <c r="JC146" s="54"/>
      <c r="JD146" s="54"/>
      <c r="JE146" s="54"/>
      <c r="JF146" s="54"/>
      <c r="JG146" s="54"/>
      <c r="JH146" s="54"/>
      <c r="JI146" s="54"/>
      <c r="JJ146" s="54"/>
      <c r="JK146" s="54"/>
      <c r="JL146" s="54"/>
      <c r="JM146" s="54"/>
      <c r="JN146" s="54"/>
      <c r="JO146" s="54"/>
      <c r="JP146" s="54"/>
      <c r="JQ146" s="54"/>
      <c r="JR146" s="54"/>
      <c r="JS146" s="54"/>
      <c r="JT146" s="54"/>
      <c r="JU146" s="54"/>
      <c r="JV146" s="54"/>
      <c r="JW146" s="54"/>
      <c r="JX146" s="54"/>
      <c r="JY146" s="54"/>
      <c r="JZ146" s="54"/>
      <c r="KA146" s="54"/>
      <c r="KB146" s="54"/>
      <c r="KC146" s="54"/>
      <c r="KD146" s="54"/>
      <c r="KE146" s="54"/>
      <c r="KF146" s="54"/>
      <c r="KG146" s="54"/>
      <c r="KH146" s="54"/>
      <c r="KI146" s="54"/>
      <c r="KJ146" s="54"/>
      <c r="KK146" s="54"/>
      <c r="KL146" s="54"/>
      <c r="KM146" s="54"/>
      <c r="KN146" s="54"/>
      <c r="KO146" s="54"/>
      <c r="KP146" s="54"/>
      <c r="KQ146" s="54"/>
      <c r="KR146" s="54"/>
      <c r="KS146" s="54"/>
      <c r="KT146" s="54"/>
      <c r="KU146" s="54"/>
      <c r="KV146" s="54"/>
      <c r="KW146" s="54"/>
      <c r="KX146" s="54"/>
    </row>
    <row r="147" ht="5.2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c r="BU147" s="54"/>
      <c r="BV147" s="54"/>
      <c r="BW147" s="54"/>
      <c r="BX147" s="54"/>
      <c r="BY147" s="54"/>
      <c r="BZ147" s="54"/>
      <c r="CA147" s="54"/>
      <c r="CB147" s="54"/>
      <c r="CC147" s="54"/>
      <c r="CD147" s="54"/>
      <c r="CE147" s="54"/>
      <c r="CF147" s="54"/>
      <c r="CG147" s="54"/>
      <c r="CH147" s="54"/>
      <c r="CI147" s="54"/>
      <c r="CJ147" s="54"/>
      <c r="CK147" s="54"/>
      <c r="CL147" s="54"/>
      <c r="CM147" s="54"/>
      <c r="CN147" s="54"/>
      <c r="CO147" s="54"/>
      <c r="CP147" s="54"/>
      <c r="CQ147" s="54"/>
      <c r="CR147" s="54"/>
      <c r="CS147" s="54"/>
      <c r="CT147" s="54"/>
      <c r="CU147" s="54"/>
      <c r="CV147" s="54"/>
      <c r="CW147" s="54"/>
      <c r="CX147" s="54"/>
      <c r="CY147" s="54"/>
      <c r="CZ147" s="54"/>
      <c r="DA147" s="54"/>
      <c r="DB147" s="54"/>
      <c r="DC147" s="108"/>
      <c r="DD147" s="60"/>
      <c r="EG147" s="11"/>
      <c r="EH147" s="10"/>
      <c r="FK147" s="61"/>
      <c r="FL147" s="108"/>
      <c r="FM147" s="54"/>
      <c r="FN147" s="54"/>
      <c r="FO147" s="54"/>
      <c r="FP147" s="54"/>
      <c r="FQ147" s="54"/>
      <c r="FR147" s="54"/>
      <c r="FS147" s="54"/>
      <c r="FT147" s="54"/>
      <c r="FU147" s="54"/>
      <c r="FV147" s="54"/>
      <c r="FW147" s="54"/>
      <c r="FX147" s="54"/>
      <c r="FY147" s="54"/>
      <c r="FZ147" s="54"/>
      <c r="GA147" s="54"/>
      <c r="GB147" s="54"/>
      <c r="GC147" s="54"/>
      <c r="GD147" s="54"/>
      <c r="GE147" s="54"/>
      <c r="GF147" s="54"/>
      <c r="GG147" s="54"/>
      <c r="GH147" s="54"/>
      <c r="GI147" s="54"/>
      <c r="GJ147" s="54"/>
      <c r="GK147" s="54"/>
      <c r="GL147" s="54"/>
      <c r="GM147" s="54"/>
      <c r="GN147" s="54"/>
      <c r="GO147" s="54"/>
      <c r="GP147" s="54"/>
      <c r="GQ147" s="54"/>
      <c r="GR147" s="54"/>
      <c r="GS147" s="54"/>
      <c r="GT147" s="54"/>
      <c r="GU147" s="54"/>
      <c r="GV147" s="54"/>
      <c r="GW147" s="54"/>
      <c r="GX147" s="54"/>
      <c r="GY147" s="54"/>
      <c r="GZ147" s="54"/>
      <c r="HA147" s="54"/>
      <c r="HB147" s="54"/>
      <c r="HC147" s="54"/>
      <c r="HD147" s="54"/>
      <c r="HE147" s="54"/>
      <c r="HF147" s="54"/>
      <c r="HG147" s="54"/>
      <c r="HH147" s="54"/>
      <c r="HI147" s="54"/>
      <c r="HJ147" s="54"/>
      <c r="HK147" s="54"/>
      <c r="HL147" s="54"/>
      <c r="HM147" s="54"/>
      <c r="HN147" s="54"/>
      <c r="HO147" s="54"/>
      <c r="HP147" s="54"/>
      <c r="HQ147" s="54"/>
      <c r="HR147" s="54"/>
      <c r="HS147" s="54"/>
      <c r="HT147" s="54"/>
      <c r="HU147" s="54"/>
      <c r="HV147" s="54"/>
      <c r="HW147" s="54"/>
      <c r="HX147" s="54"/>
      <c r="HY147" s="54"/>
      <c r="HZ147" s="54"/>
      <c r="IA147" s="54"/>
      <c r="IB147" s="54"/>
      <c r="IC147" s="54"/>
      <c r="ID147" s="54"/>
      <c r="IE147" s="54"/>
      <c r="IF147" s="54"/>
      <c r="IG147" s="54"/>
      <c r="IH147" s="54"/>
      <c r="II147" s="54"/>
      <c r="IJ147" s="54"/>
      <c r="IK147" s="54"/>
      <c r="IL147" s="54"/>
      <c r="IM147" s="54"/>
      <c r="IN147" s="54"/>
      <c r="IO147" s="54"/>
      <c r="IP147" s="54"/>
      <c r="IQ147" s="54"/>
      <c r="IR147" s="54"/>
      <c r="IS147" s="54"/>
      <c r="IT147" s="54"/>
      <c r="IU147" s="54"/>
      <c r="IV147" s="54"/>
      <c r="IW147" s="54"/>
      <c r="IX147" s="54"/>
      <c r="IY147" s="54"/>
      <c r="IZ147" s="54"/>
      <c r="JA147" s="54"/>
      <c r="JB147" s="54"/>
      <c r="JC147" s="54"/>
      <c r="JD147" s="54"/>
      <c r="JE147" s="54"/>
      <c r="JF147" s="54"/>
      <c r="JG147" s="54"/>
      <c r="JH147" s="54"/>
      <c r="JI147" s="54"/>
      <c r="JJ147" s="54"/>
      <c r="JK147" s="54"/>
      <c r="JL147" s="54"/>
      <c r="JM147" s="54"/>
      <c r="JN147" s="54"/>
      <c r="JO147" s="54"/>
      <c r="JP147" s="54"/>
      <c r="JQ147" s="54"/>
      <c r="JR147" s="54"/>
      <c r="JS147" s="54"/>
      <c r="JT147" s="54"/>
      <c r="JU147" s="54"/>
      <c r="JV147" s="54"/>
      <c r="JW147" s="54"/>
      <c r="JX147" s="54"/>
      <c r="JY147" s="54"/>
      <c r="JZ147" s="54"/>
      <c r="KA147" s="54"/>
      <c r="KB147" s="54"/>
      <c r="KC147" s="54"/>
      <c r="KD147" s="54"/>
      <c r="KE147" s="54"/>
      <c r="KF147" s="54"/>
      <c r="KG147" s="54"/>
      <c r="KH147" s="54"/>
      <c r="KI147" s="54"/>
      <c r="KJ147" s="54"/>
      <c r="KK147" s="54"/>
      <c r="KL147" s="54"/>
      <c r="KM147" s="54"/>
      <c r="KN147" s="54"/>
      <c r="KO147" s="54"/>
      <c r="KP147" s="54"/>
      <c r="KQ147" s="54"/>
      <c r="KR147" s="54"/>
      <c r="KS147" s="54"/>
      <c r="KT147" s="54"/>
      <c r="KU147" s="54"/>
      <c r="KV147" s="54"/>
      <c r="KW147" s="54"/>
      <c r="KX147" s="54"/>
    </row>
    <row r="148" ht="5.2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54"/>
      <c r="BK148" s="54"/>
      <c r="BL148" s="54"/>
      <c r="BM148" s="54"/>
      <c r="BN148" s="54"/>
      <c r="BO148" s="54"/>
      <c r="BP148" s="54"/>
      <c r="BQ148" s="54"/>
      <c r="BR148" s="54"/>
      <c r="BS148" s="54"/>
      <c r="BT148" s="54"/>
      <c r="BU148" s="54"/>
      <c r="BV148" s="54"/>
      <c r="BW148" s="54"/>
      <c r="BX148" s="54"/>
      <c r="BY148" s="54"/>
      <c r="BZ148" s="54"/>
      <c r="CA148" s="54"/>
      <c r="CB148" s="54"/>
      <c r="CC148" s="54"/>
      <c r="CD148" s="54"/>
      <c r="CE148" s="54"/>
      <c r="CF148" s="54"/>
      <c r="CG148" s="54"/>
      <c r="CH148" s="54"/>
      <c r="CI148" s="54"/>
      <c r="CJ148" s="54"/>
      <c r="CK148" s="54"/>
      <c r="CL148" s="54"/>
      <c r="CM148" s="54"/>
      <c r="CN148" s="54"/>
      <c r="CO148" s="54"/>
      <c r="CP148" s="54"/>
      <c r="CQ148" s="54"/>
      <c r="CR148" s="54"/>
      <c r="CS148" s="54"/>
      <c r="CT148" s="54"/>
      <c r="CU148" s="54"/>
      <c r="CV148" s="54"/>
      <c r="CW148" s="54"/>
      <c r="CX148" s="54"/>
      <c r="CY148" s="54"/>
      <c r="CZ148" s="54"/>
      <c r="DA148" s="54"/>
      <c r="DB148" s="54"/>
      <c r="DC148" s="108"/>
      <c r="DD148" s="60"/>
      <c r="EG148" s="11"/>
      <c r="EH148" s="10"/>
      <c r="FK148" s="61"/>
      <c r="FL148" s="108"/>
      <c r="FM148" s="54"/>
      <c r="FN148" s="54"/>
      <c r="FO148" s="54"/>
      <c r="FP148" s="54"/>
      <c r="FQ148" s="54"/>
      <c r="FR148" s="54"/>
      <c r="FS148" s="54"/>
      <c r="FT148" s="54"/>
      <c r="FU148" s="54"/>
      <c r="FV148" s="54"/>
      <c r="FW148" s="54"/>
      <c r="FX148" s="54"/>
      <c r="FY148" s="54"/>
      <c r="FZ148" s="54"/>
      <c r="GA148" s="54"/>
      <c r="GB148" s="54"/>
      <c r="GC148" s="54"/>
      <c r="GD148" s="54"/>
      <c r="GE148" s="54"/>
      <c r="GF148" s="54"/>
      <c r="GG148" s="54"/>
      <c r="GH148" s="54"/>
      <c r="GI148" s="54"/>
      <c r="GJ148" s="54"/>
      <c r="GK148" s="54"/>
      <c r="GL148" s="54"/>
      <c r="GM148" s="54"/>
      <c r="GN148" s="54"/>
      <c r="GO148" s="54"/>
      <c r="GP148" s="54"/>
      <c r="GQ148" s="54"/>
      <c r="GR148" s="54"/>
      <c r="GS148" s="54"/>
      <c r="GT148" s="54"/>
      <c r="GU148" s="54"/>
      <c r="GV148" s="54"/>
      <c r="GW148" s="54"/>
      <c r="GX148" s="54"/>
      <c r="GY148" s="54"/>
      <c r="GZ148" s="54"/>
      <c r="HA148" s="54"/>
      <c r="HB148" s="54"/>
      <c r="HC148" s="54"/>
      <c r="HD148" s="54"/>
      <c r="HE148" s="54"/>
      <c r="HF148" s="54"/>
      <c r="HG148" s="54"/>
      <c r="HH148" s="54"/>
      <c r="HI148" s="54"/>
      <c r="HJ148" s="54"/>
      <c r="HK148" s="54"/>
      <c r="HL148" s="54"/>
      <c r="HM148" s="54"/>
      <c r="HN148" s="54"/>
      <c r="HO148" s="54"/>
      <c r="HP148" s="54"/>
      <c r="HQ148" s="54"/>
      <c r="HR148" s="54"/>
      <c r="HS148" s="54"/>
      <c r="HT148" s="54"/>
      <c r="HU148" s="54"/>
      <c r="HV148" s="54"/>
      <c r="HW148" s="54"/>
      <c r="HX148" s="54"/>
      <c r="HY148" s="54"/>
      <c r="HZ148" s="54"/>
      <c r="IA148" s="54"/>
      <c r="IB148" s="54"/>
      <c r="IC148" s="54"/>
      <c r="ID148" s="54"/>
      <c r="IE148" s="54"/>
      <c r="IF148" s="54"/>
      <c r="IG148" s="54"/>
      <c r="IH148" s="54"/>
      <c r="II148" s="54"/>
      <c r="IJ148" s="54"/>
      <c r="IK148" s="54"/>
      <c r="IL148" s="54"/>
      <c r="IM148" s="54"/>
      <c r="IN148" s="54"/>
      <c r="IO148" s="54"/>
      <c r="IP148" s="54"/>
      <c r="IQ148" s="54"/>
      <c r="IR148" s="54"/>
      <c r="IS148" s="54"/>
      <c r="IT148" s="54"/>
      <c r="IU148" s="54"/>
      <c r="IV148" s="54"/>
      <c r="IW148" s="54"/>
      <c r="IX148" s="54"/>
      <c r="IY148" s="54"/>
      <c r="IZ148" s="54"/>
      <c r="JA148" s="54"/>
      <c r="JB148" s="54"/>
      <c r="JC148" s="54"/>
      <c r="JD148" s="54"/>
      <c r="JE148" s="54"/>
      <c r="JF148" s="54"/>
      <c r="JG148" s="54"/>
      <c r="JH148" s="54"/>
      <c r="JI148" s="54"/>
      <c r="JJ148" s="54"/>
      <c r="JK148" s="54"/>
      <c r="JL148" s="54"/>
      <c r="JM148" s="54"/>
      <c r="JN148" s="54"/>
      <c r="JO148" s="54"/>
      <c r="JP148" s="54"/>
      <c r="JQ148" s="54"/>
      <c r="JR148" s="54"/>
      <c r="JS148" s="54"/>
      <c r="JT148" s="54"/>
      <c r="JU148" s="54"/>
      <c r="JV148" s="54"/>
      <c r="JW148" s="54"/>
      <c r="JX148" s="54"/>
      <c r="JY148" s="54"/>
      <c r="JZ148" s="54"/>
      <c r="KA148" s="54"/>
      <c r="KB148" s="54"/>
      <c r="KC148" s="54"/>
      <c r="KD148" s="54"/>
      <c r="KE148" s="54"/>
      <c r="KF148" s="54"/>
      <c r="KG148" s="54"/>
      <c r="KH148" s="54"/>
      <c r="KI148" s="54"/>
      <c r="KJ148" s="54"/>
      <c r="KK148" s="54"/>
      <c r="KL148" s="54"/>
      <c r="KM148" s="54"/>
      <c r="KN148" s="54"/>
      <c r="KO148" s="54"/>
      <c r="KP148" s="54"/>
      <c r="KQ148" s="54"/>
      <c r="KR148" s="54"/>
      <c r="KS148" s="54"/>
      <c r="KT148" s="54"/>
      <c r="KU148" s="54"/>
      <c r="KV148" s="54"/>
      <c r="KW148" s="54"/>
      <c r="KX148" s="54"/>
    </row>
    <row r="149" ht="5.2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c r="BS149" s="54"/>
      <c r="BT149" s="54"/>
      <c r="BU149" s="54"/>
      <c r="BV149" s="54"/>
      <c r="BW149" s="54"/>
      <c r="BX149" s="54"/>
      <c r="BY149" s="54"/>
      <c r="BZ149" s="54"/>
      <c r="CA149" s="54"/>
      <c r="CB149" s="54"/>
      <c r="CC149" s="54"/>
      <c r="CD149" s="54"/>
      <c r="CE149" s="54"/>
      <c r="CF149" s="54"/>
      <c r="CG149" s="54"/>
      <c r="CH149" s="54"/>
      <c r="CI149" s="54"/>
      <c r="CJ149" s="54"/>
      <c r="CK149" s="54"/>
      <c r="CL149" s="54"/>
      <c r="CM149" s="54"/>
      <c r="CN149" s="54"/>
      <c r="CO149" s="54"/>
      <c r="CP149" s="54"/>
      <c r="CQ149" s="54"/>
      <c r="CR149" s="54"/>
      <c r="CS149" s="54"/>
      <c r="CT149" s="54"/>
      <c r="CU149" s="54"/>
      <c r="CV149" s="54"/>
      <c r="CW149" s="54"/>
      <c r="CX149" s="54"/>
      <c r="CY149" s="54"/>
      <c r="CZ149" s="54"/>
      <c r="DA149" s="54"/>
      <c r="DB149" s="54"/>
      <c r="DC149" s="108"/>
      <c r="DD149" s="60"/>
      <c r="EG149" s="11"/>
      <c r="EH149" s="10"/>
      <c r="FK149" s="61"/>
      <c r="FL149" s="108"/>
      <c r="FM149" s="54"/>
      <c r="FN149" s="54"/>
      <c r="FO149" s="54"/>
      <c r="FP149" s="54"/>
      <c r="FQ149" s="54"/>
      <c r="FR149" s="54"/>
      <c r="FS149" s="54"/>
      <c r="FT149" s="54"/>
      <c r="FU149" s="54"/>
      <c r="FV149" s="54"/>
      <c r="FW149" s="54"/>
      <c r="FX149" s="54"/>
      <c r="FY149" s="54"/>
      <c r="FZ149" s="54"/>
      <c r="GA149" s="54"/>
      <c r="GB149" s="54"/>
      <c r="GC149" s="54"/>
      <c r="GD149" s="54"/>
      <c r="GE149" s="54"/>
      <c r="GF149" s="54"/>
      <c r="GG149" s="54"/>
      <c r="GH149" s="54"/>
      <c r="GI149" s="54"/>
      <c r="GJ149" s="54"/>
      <c r="GK149" s="54"/>
      <c r="GL149" s="54"/>
      <c r="GM149" s="54"/>
      <c r="GN149" s="54"/>
      <c r="GO149" s="54"/>
      <c r="GP149" s="54"/>
      <c r="GQ149" s="54"/>
      <c r="GR149" s="54"/>
      <c r="GS149" s="54"/>
      <c r="GT149" s="54"/>
      <c r="GU149" s="54"/>
      <c r="GV149" s="54"/>
      <c r="GW149" s="54"/>
      <c r="GX149" s="54"/>
      <c r="GY149" s="54"/>
      <c r="GZ149" s="54"/>
      <c r="HA149" s="54"/>
      <c r="HB149" s="54"/>
      <c r="HC149" s="54"/>
      <c r="HD149" s="54"/>
      <c r="HE149" s="54"/>
      <c r="HF149" s="54"/>
      <c r="HG149" s="54"/>
      <c r="HH149" s="54"/>
      <c r="HI149" s="54"/>
      <c r="HJ149" s="54"/>
      <c r="HK149" s="54"/>
      <c r="HL149" s="54"/>
      <c r="HM149" s="54"/>
      <c r="HN149" s="54"/>
      <c r="HO149" s="54"/>
      <c r="HP149" s="54"/>
      <c r="HQ149" s="54"/>
      <c r="HR149" s="54"/>
      <c r="HS149" s="54"/>
      <c r="HT149" s="54"/>
      <c r="HU149" s="54"/>
      <c r="HV149" s="54"/>
      <c r="HW149" s="54"/>
      <c r="HX149" s="54"/>
      <c r="HY149" s="54"/>
      <c r="HZ149" s="54"/>
      <c r="IA149" s="54"/>
      <c r="IB149" s="54"/>
      <c r="IC149" s="54"/>
      <c r="ID149" s="54"/>
      <c r="IE149" s="54"/>
      <c r="IF149" s="54"/>
      <c r="IG149" s="54"/>
      <c r="IH149" s="54"/>
      <c r="II149" s="54"/>
      <c r="IJ149" s="54"/>
      <c r="IK149" s="54"/>
      <c r="IL149" s="54"/>
      <c r="IM149" s="54"/>
      <c r="IN149" s="54"/>
      <c r="IO149" s="54"/>
      <c r="IP149" s="54"/>
      <c r="IQ149" s="54"/>
      <c r="IR149" s="54"/>
      <c r="IS149" s="54"/>
      <c r="IT149" s="54"/>
      <c r="IU149" s="54"/>
      <c r="IV149" s="54"/>
      <c r="IW149" s="54"/>
      <c r="IX149" s="54"/>
      <c r="IY149" s="54"/>
      <c r="IZ149" s="54"/>
      <c r="JA149" s="54"/>
      <c r="JB149" s="54"/>
      <c r="JC149" s="54"/>
      <c r="JD149" s="54"/>
      <c r="JE149" s="54"/>
      <c r="JF149" s="54"/>
      <c r="JG149" s="54"/>
      <c r="JH149" s="54"/>
      <c r="JI149" s="54"/>
      <c r="JJ149" s="54"/>
      <c r="JK149" s="54"/>
      <c r="JL149" s="54"/>
      <c r="JM149" s="54"/>
      <c r="JN149" s="54"/>
      <c r="JO149" s="54"/>
      <c r="JP149" s="54"/>
      <c r="JQ149" s="54"/>
      <c r="JR149" s="54"/>
      <c r="JS149" s="54"/>
      <c r="JT149" s="54"/>
      <c r="JU149" s="54"/>
      <c r="JV149" s="54"/>
      <c r="JW149" s="54"/>
      <c r="JX149" s="54"/>
      <c r="JY149" s="54"/>
      <c r="JZ149" s="54"/>
      <c r="KA149" s="54"/>
      <c r="KB149" s="54"/>
      <c r="KC149" s="54"/>
      <c r="KD149" s="54"/>
      <c r="KE149" s="54"/>
      <c r="KF149" s="54"/>
      <c r="KG149" s="54"/>
      <c r="KH149" s="54"/>
      <c r="KI149" s="54"/>
      <c r="KJ149" s="54"/>
      <c r="KK149" s="54"/>
      <c r="KL149" s="54"/>
      <c r="KM149" s="54"/>
      <c r="KN149" s="54"/>
      <c r="KO149" s="54"/>
      <c r="KP149" s="54"/>
      <c r="KQ149" s="54"/>
      <c r="KR149" s="54"/>
      <c r="KS149" s="54"/>
      <c r="KT149" s="54"/>
      <c r="KU149" s="54"/>
      <c r="KV149" s="54"/>
      <c r="KW149" s="54"/>
      <c r="KX149" s="54"/>
    </row>
    <row r="150" ht="5.2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c r="BU150" s="54"/>
      <c r="BV150" s="54"/>
      <c r="BW150" s="54"/>
      <c r="BX150" s="54"/>
      <c r="BY150" s="54"/>
      <c r="BZ150" s="54"/>
      <c r="CA150" s="54"/>
      <c r="CB150" s="54"/>
      <c r="CC150" s="54"/>
      <c r="CD150" s="54"/>
      <c r="CE150" s="54"/>
      <c r="CF150" s="54"/>
      <c r="CG150" s="54"/>
      <c r="CH150" s="54"/>
      <c r="CI150" s="54"/>
      <c r="CJ150" s="54"/>
      <c r="CK150" s="54"/>
      <c r="CL150" s="54"/>
      <c r="CM150" s="54"/>
      <c r="CN150" s="54"/>
      <c r="CO150" s="54"/>
      <c r="CP150" s="54"/>
      <c r="CQ150" s="54"/>
      <c r="CR150" s="54"/>
      <c r="CS150" s="54"/>
      <c r="CT150" s="54"/>
      <c r="CU150" s="54"/>
      <c r="CV150" s="54"/>
      <c r="CW150" s="54"/>
      <c r="CX150" s="54"/>
      <c r="CY150" s="54"/>
      <c r="CZ150" s="54"/>
      <c r="DA150" s="54"/>
      <c r="DB150" s="54"/>
      <c r="DC150" s="119" t="str">
        <f>DC146</f>
        <v/>
      </c>
      <c r="DD150" s="112"/>
      <c r="DL150" s="122"/>
      <c r="DN150" s="11"/>
      <c r="DO150" s="126"/>
      <c r="DQ150" s="11"/>
      <c r="DR150" s="136"/>
      <c r="DU150" s="108"/>
      <c r="ED150" s="85">
        <f>sum(DL150:DT152)</f>
        <v>0</v>
      </c>
      <c r="EG150" s="11"/>
      <c r="EH150" s="86">
        <f>sum(EU150:FC152)</f>
        <v>0</v>
      </c>
      <c r="EL150" s="108"/>
      <c r="EM150" s="108"/>
      <c r="EN150" s="108"/>
      <c r="EO150" s="108"/>
      <c r="EP150" s="108"/>
      <c r="EQ150" s="108"/>
      <c r="ER150" s="108"/>
      <c r="ES150" s="108"/>
      <c r="ET150" s="108"/>
      <c r="EU150" s="121"/>
      <c r="EW150" s="11"/>
      <c r="EX150" s="127"/>
      <c r="EZ150" s="11"/>
      <c r="FA150" s="123"/>
      <c r="FD150" s="108"/>
      <c r="FE150" s="108"/>
      <c r="FF150" s="108"/>
      <c r="FG150" s="108"/>
      <c r="FH150" s="108"/>
      <c r="FI150" s="108"/>
      <c r="FJ150" s="108"/>
      <c r="FK150" s="116"/>
      <c r="FL150" s="119" t="str">
        <f>FL146</f>
        <v/>
      </c>
      <c r="FM150" s="54"/>
      <c r="FN150" s="54"/>
      <c r="FO150" s="54"/>
      <c r="FP150" s="54"/>
      <c r="FQ150" s="54"/>
      <c r="FR150" s="54"/>
      <c r="FS150" s="54"/>
      <c r="FT150" s="54"/>
      <c r="FU150" s="54"/>
      <c r="FV150" s="54"/>
      <c r="FW150" s="54"/>
      <c r="FX150" s="54"/>
      <c r="FY150" s="54"/>
      <c r="FZ150" s="54"/>
      <c r="GA150" s="54"/>
      <c r="GB150" s="54"/>
      <c r="GC150" s="54"/>
      <c r="GD150" s="54"/>
      <c r="GE150" s="54"/>
      <c r="GF150" s="54"/>
      <c r="GG150" s="54"/>
      <c r="GH150" s="54"/>
      <c r="GI150" s="54"/>
      <c r="GJ150" s="54"/>
      <c r="GK150" s="54"/>
      <c r="GL150" s="54"/>
      <c r="GM150" s="54"/>
      <c r="GN150" s="54"/>
      <c r="GO150" s="54"/>
      <c r="GP150" s="54"/>
      <c r="GQ150" s="54"/>
      <c r="GR150" s="54"/>
      <c r="GS150" s="54"/>
      <c r="GT150" s="54"/>
      <c r="GU150" s="54"/>
      <c r="GV150" s="54"/>
      <c r="GW150" s="54"/>
      <c r="GX150" s="54"/>
      <c r="GY150" s="54"/>
      <c r="GZ150" s="54"/>
      <c r="HA150" s="54"/>
      <c r="HB150" s="54"/>
      <c r="HC150" s="54"/>
      <c r="HD150" s="54"/>
      <c r="HE150" s="54"/>
      <c r="HF150" s="54"/>
      <c r="HG150" s="54"/>
      <c r="HH150" s="54"/>
      <c r="HI150" s="54"/>
      <c r="HJ150" s="54"/>
      <c r="HK150" s="54"/>
      <c r="HL150" s="54"/>
      <c r="HM150" s="54"/>
      <c r="HN150" s="54"/>
      <c r="HO150" s="54"/>
      <c r="HP150" s="54"/>
      <c r="HQ150" s="54"/>
      <c r="HR150" s="54"/>
      <c r="HS150" s="54"/>
      <c r="HT150" s="54"/>
      <c r="HU150" s="54"/>
      <c r="HV150" s="54"/>
      <c r="HW150" s="54"/>
      <c r="HX150" s="54"/>
      <c r="HY150" s="54"/>
      <c r="HZ150" s="54"/>
      <c r="IA150" s="54"/>
      <c r="IB150" s="54"/>
      <c r="IC150" s="54"/>
      <c r="ID150" s="54"/>
      <c r="IE150" s="54"/>
      <c r="IF150" s="54"/>
      <c r="IG150" s="54"/>
      <c r="IH150" s="54"/>
      <c r="II150" s="54"/>
      <c r="IJ150" s="54"/>
      <c r="IK150" s="54"/>
      <c r="IL150" s="54"/>
      <c r="IM150" s="54"/>
      <c r="IN150" s="54"/>
      <c r="IO150" s="54"/>
      <c r="IP150" s="54"/>
      <c r="IQ150" s="54"/>
      <c r="IR150" s="54"/>
      <c r="IS150" s="54"/>
      <c r="IT150" s="54"/>
      <c r="IU150" s="54"/>
      <c r="IV150" s="54"/>
      <c r="IW150" s="54"/>
      <c r="IX150" s="54"/>
      <c r="IY150" s="54"/>
      <c r="IZ150" s="54"/>
      <c r="JA150" s="54"/>
      <c r="JB150" s="54"/>
      <c r="JC150" s="54"/>
      <c r="JD150" s="54"/>
      <c r="JE150" s="54"/>
      <c r="JF150" s="54"/>
      <c r="JG150" s="54"/>
      <c r="JH150" s="54"/>
      <c r="JI150" s="54"/>
      <c r="JJ150" s="54"/>
      <c r="JK150" s="54"/>
      <c r="JL150" s="54"/>
      <c r="JM150" s="54"/>
      <c r="JN150" s="54"/>
      <c r="JO150" s="54"/>
      <c r="JP150" s="54"/>
      <c r="JQ150" s="54"/>
      <c r="JR150" s="54"/>
      <c r="JS150" s="54"/>
      <c r="JT150" s="54"/>
      <c r="JU150" s="54"/>
      <c r="JV150" s="54"/>
      <c r="JW150" s="54"/>
      <c r="JX150" s="54"/>
      <c r="JY150" s="54"/>
      <c r="JZ150" s="54"/>
      <c r="KA150" s="54"/>
      <c r="KB150" s="54"/>
      <c r="KC150" s="54"/>
      <c r="KD150" s="54"/>
      <c r="KE150" s="54"/>
      <c r="KF150" s="54"/>
      <c r="KG150" s="54"/>
      <c r="KH150" s="54"/>
      <c r="KI150" s="54"/>
      <c r="KJ150" s="54"/>
      <c r="KK150" s="54"/>
      <c r="KL150" s="54"/>
      <c r="KM150" s="54"/>
      <c r="KN150" s="54"/>
      <c r="KO150" s="54"/>
      <c r="KP150" s="54"/>
      <c r="KQ150" s="54"/>
      <c r="KR150" s="54"/>
      <c r="KS150" s="54"/>
      <c r="KT150" s="54"/>
      <c r="KU150" s="54"/>
      <c r="KV150" s="54"/>
      <c r="KW150" s="54"/>
      <c r="KX150" s="54"/>
    </row>
    <row r="151" ht="5.2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4"/>
      <c r="CE151" s="54"/>
      <c r="CF151" s="54"/>
      <c r="CG151" s="54"/>
      <c r="CH151" s="54"/>
      <c r="CI151" s="54"/>
      <c r="CJ151" s="54"/>
      <c r="CK151" s="54"/>
      <c r="CL151" s="54"/>
      <c r="CM151" s="54"/>
      <c r="CN151" s="54"/>
      <c r="CO151" s="54"/>
      <c r="CP151" s="54"/>
      <c r="CQ151" s="54"/>
      <c r="CR151" s="54"/>
      <c r="CS151" s="54"/>
      <c r="CT151" s="54"/>
      <c r="CU151" s="54"/>
      <c r="CV151" s="54"/>
      <c r="CW151" s="54"/>
      <c r="CX151" s="54"/>
      <c r="CY151" s="54"/>
      <c r="CZ151" s="54"/>
      <c r="DA151" s="54"/>
      <c r="DB151" s="54"/>
      <c r="DC151" s="108"/>
      <c r="DD151" s="60"/>
      <c r="DN151" s="11"/>
      <c r="DO151" s="10"/>
      <c r="DQ151" s="11"/>
      <c r="DR151" s="10"/>
      <c r="EG151" s="11"/>
      <c r="EH151" s="10"/>
      <c r="EL151" s="108"/>
      <c r="EM151" s="108"/>
      <c r="EN151" s="108"/>
      <c r="EO151" s="108"/>
      <c r="EP151" s="108"/>
      <c r="EQ151" s="108"/>
      <c r="ER151" s="108"/>
      <c r="ES151" s="108"/>
      <c r="ET151" s="108"/>
      <c r="EW151" s="11"/>
      <c r="EX151" s="10"/>
      <c r="EZ151" s="11"/>
      <c r="FA151" s="10"/>
      <c r="FD151" s="108"/>
      <c r="FE151" s="108"/>
      <c r="FF151" s="108"/>
      <c r="FG151" s="108"/>
      <c r="FH151" s="108"/>
      <c r="FI151" s="108"/>
      <c r="FJ151" s="108"/>
      <c r="FK151" s="116"/>
      <c r="FL151" s="108"/>
      <c r="FM151" s="54"/>
      <c r="FN151" s="54"/>
      <c r="FO151" s="54"/>
      <c r="FP151" s="54"/>
      <c r="FQ151" s="54"/>
      <c r="FR151" s="54"/>
      <c r="FS151" s="54"/>
      <c r="FT151" s="54"/>
      <c r="FU151" s="54"/>
      <c r="FV151" s="54"/>
      <c r="FW151" s="54"/>
      <c r="FX151" s="54"/>
      <c r="FY151" s="54"/>
      <c r="FZ151" s="54"/>
      <c r="GA151" s="54"/>
      <c r="GB151" s="54"/>
      <c r="GC151" s="54"/>
      <c r="GD151" s="54"/>
      <c r="GE151" s="54"/>
      <c r="GF151" s="54"/>
      <c r="GG151" s="54"/>
      <c r="GH151" s="54"/>
      <c r="GI151" s="54"/>
      <c r="GJ151" s="54"/>
      <c r="GK151" s="54"/>
      <c r="GL151" s="54"/>
      <c r="GM151" s="54"/>
      <c r="GN151" s="54"/>
      <c r="GO151" s="54"/>
      <c r="GP151" s="54"/>
      <c r="GQ151" s="54"/>
      <c r="GR151" s="54"/>
      <c r="GS151" s="54"/>
      <c r="GT151" s="54"/>
      <c r="GU151" s="54"/>
      <c r="GV151" s="54"/>
      <c r="GW151" s="54"/>
      <c r="GX151" s="54"/>
      <c r="GY151" s="54"/>
      <c r="GZ151" s="54"/>
      <c r="HA151" s="54"/>
      <c r="HB151" s="54"/>
      <c r="HC151" s="54"/>
      <c r="HD151" s="54"/>
      <c r="HE151" s="54"/>
      <c r="HF151" s="54"/>
      <c r="HG151" s="54"/>
      <c r="HH151" s="54"/>
      <c r="HI151" s="54"/>
      <c r="HJ151" s="54"/>
      <c r="HK151" s="54"/>
      <c r="HL151" s="54"/>
      <c r="HM151" s="54"/>
      <c r="HN151" s="54"/>
      <c r="HO151" s="54"/>
      <c r="HP151" s="54"/>
      <c r="HQ151" s="54"/>
      <c r="HR151" s="54"/>
      <c r="HS151" s="54"/>
      <c r="HT151" s="54"/>
      <c r="HU151" s="54"/>
      <c r="HV151" s="54"/>
      <c r="HW151" s="54"/>
      <c r="HX151" s="54"/>
      <c r="HY151" s="54"/>
      <c r="HZ151" s="54"/>
      <c r="IA151" s="54"/>
      <c r="IB151" s="54"/>
      <c r="IC151" s="54"/>
      <c r="ID151" s="54"/>
      <c r="IE151" s="54"/>
      <c r="IF151" s="54"/>
      <c r="IG151" s="54"/>
      <c r="IH151" s="54"/>
      <c r="II151" s="54"/>
      <c r="IJ151" s="54"/>
      <c r="IK151" s="54"/>
      <c r="IL151" s="54"/>
      <c r="IM151" s="54"/>
      <c r="IN151" s="54"/>
      <c r="IO151" s="54"/>
      <c r="IP151" s="54"/>
      <c r="IQ151" s="54"/>
      <c r="IR151" s="54"/>
      <c r="IS151" s="54"/>
      <c r="IT151" s="54"/>
      <c r="IU151" s="54"/>
      <c r="IV151" s="54"/>
      <c r="IW151" s="54"/>
      <c r="IX151" s="54"/>
      <c r="IY151" s="54"/>
      <c r="IZ151" s="54"/>
      <c r="JA151" s="54"/>
      <c r="JB151" s="54"/>
      <c r="JC151" s="54"/>
      <c r="JD151" s="54"/>
      <c r="JE151" s="54"/>
      <c r="JF151" s="54"/>
      <c r="JG151" s="54"/>
      <c r="JH151" s="54"/>
      <c r="JI151" s="54"/>
      <c r="JJ151" s="54"/>
      <c r="JK151" s="54"/>
      <c r="JL151" s="54"/>
      <c r="JM151" s="54"/>
      <c r="JN151" s="54"/>
      <c r="JO151" s="54"/>
      <c r="JP151" s="54"/>
      <c r="JQ151" s="54"/>
      <c r="JR151" s="54"/>
      <c r="JS151" s="54"/>
      <c r="JT151" s="54"/>
      <c r="JU151" s="54"/>
      <c r="JV151" s="54"/>
      <c r="JW151" s="54"/>
      <c r="JX151" s="54"/>
      <c r="JY151" s="54"/>
      <c r="JZ151" s="54"/>
      <c r="KA151" s="54"/>
      <c r="KB151" s="54"/>
      <c r="KC151" s="54"/>
      <c r="KD151" s="54"/>
      <c r="KE151" s="54"/>
      <c r="KF151" s="54"/>
      <c r="KG151" s="54"/>
      <c r="KH151" s="54"/>
      <c r="KI151" s="54"/>
      <c r="KJ151" s="54"/>
      <c r="KK151" s="54"/>
      <c r="KL151" s="54"/>
      <c r="KM151" s="54"/>
      <c r="KN151" s="54"/>
      <c r="KO151" s="54"/>
      <c r="KP151" s="54"/>
      <c r="KQ151" s="54"/>
      <c r="KR151" s="54"/>
      <c r="KS151" s="54"/>
      <c r="KT151" s="54"/>
      <c r="KU151" s="54"/>
      <c r="KV151" s="54"/>
      <c r="KW151" s="54"/>
      <c r="KX151" s="54"/>
    </row>
    <row r="152" ht="5.2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c r="BS152" s="54"/>
      <c r="BT152" s="54"/>
      <c r="BU152" s="54"/>
      <c r="BV152" s="54"/>
      <c r="BW152" s="54"/>
      <c r="BX152" s="54"/>
      <c r="BY152" s="54"/>
      <c r="BZ152" s="54"/>
      <c r="CA152" s="54"/>
      <c r="CB152" s="54"/>
      <c r="CC152" s="54"/>
      <c r="CD152" s="54"/>
      <c r="CE152" s="54"/>
      <c r="CF152" s="54"/>
      <c r="CG152" s="54"/>
      <c r="CH152" s="54"/>
      <c r="CI152" s="54"/>
      <c r="CJ152" s="54"/>
      <c r="CK152" s="54"/>
      <c r="CL152" s="54"/>
      <c r="CM152" s="54"/>
      <c r="CN152" s="54"/>
      <c r="CO152" s="54"/>
      <c r="CP152" s="54"/>
      <c r="CQ152" s="54"/>
      <c r="CR152" s="54"/>
      <c r="CS152" s="54"/>
      <c r="CT152" s="54"/>
      <c r="CU152" s="54"/>
      <c r="CV152" s="54"/>
      <c r="CW152" s="54"/>
      <c r="CX152" s="54"/>
      <c r="CY152" s="54"/>
      <c r="CZ152" s="54"/>
      <c r="DA152" s="54"/>
      <c r="DB152" s="54"/>
      <c r="DC152" s="108"/>
      <c r="DD152" s="88"/>
      <c r="DE152" s="13"/>
      <c r="DF152" s="13"/>
      <c r="DG152" s="13"/>
      <c r="DH152" s="13"/>
      <c r="DI152" s="13"/>
      <c r="DJ152" s="13"/>
      <c r="DK152" s="13"/>
      <c r="DL152" s="13"/>
      <c r="DM152" s="13"/>
      <c r="DN152" s="14"/>
      <c r="DO152" s="12"/>
      <c r="DP152" s="13"/>
      <c r="DQ152" s="14"/>
      <c r="DR152" s="12"/>
      <c r="DS152" s="13"/>
      <c r="DT152" s="13"/>
      <c r="DU152" s="13"/>
      <c r="DV152" s="13"/>
      <c r="DW152" s="13"/>
      <c r="DX152" s="13"/>
      <c r="DY152" s="13"/>
      <c r="DZ152" s="13"/>
      <c r="EA152" s="13"/>
      <c r="EB152" s="13"/>
      <c r="EC152" s="13"/>
      <c r="ED152" s="13"/>
      <c r="EE152" s="13"/>
      <c r="EF152" s="13"/>
      <c r="EG152" s="14"/>
      <c r="EH152" s="12"/>
      <c r="EI152" s="13"/>
      <c r="EJ152" s="13"/>
      <c r="EK152" s="13"/>
      <c r="EL152" s="128"/>
      <c r="EM152" s="128"/>
      <c r="EN152" s="128"/>
      <c r="EO152" s="128"/>
      <c r="EP152" s="128"/>
      <c r="EQ152" s="128"/>
      <c r="ER152" s="128"/>
      <c r="ES152" s="128"/>
      <c r="ET152" s="128"/>
      <c r="EU152" s="13"/>
      <c r="EV152" s="13"/>
      <c r="EW152" s="14"/>
      <c r="EX152" s="12"/>
      <c r="EY152" s="13"/>
      <c r="EZ152" s="14"/>
      <c r="FA152" s="12"/>
      <c r="FB152" s="13"/>
      <c r="FC152" s="13"/>
      <c r="FD152" s="128"/>
      <c r="FE152" s="128"/>
      <c r="FF152" s="128"/>
      <c r="FG152" s="128"/>
      <c r="FH152" s="128"/>
      <c r="FI152" s="128"/>
      <c r="FJ152" s="128"/>
      <c r="FK152" s="129"/>
      <c r="FL152" s="108"/>
      <c r="FM152" s="54"/>
      <c r="FN152" s="54"/>
      <c r="FO152" s="54"/>
      <c r="FP152" s="54"/>
      <c r="FQ152" s="54"/>
      <c r="FR152" s="54"/>
      <c r="FS152" s="54"/>
      <c r="FT152" s="54"/>
      <c r="FU152" s="54"/>
      <c r="FV152" s="54"/>
      <c r="FW152" s="54"/>
      <c r="FX152" s="54"/>
      <c r="FY152" s="54"/>
      <c r="FZ152" s="54"/>
      <c r="GA152" s="54"/>
      <c r="GB152" s="54"/>
      <c r="GC152" s="54"/>
      <c r="GD152" s="54"/>
      <c r="GE152" s="54"/>
      <c r="GF152" s="54"/>
      <c r="GG152" s="54"/>
      <c r="GH152" s="54"/>
      <c r="GI152" s="54"/>
      <c r="GJ152" s="54"/>
      <c r="GK152" s="54"/>
      <c r="GL152" s="54"/>
      <c r="GM152" s="54"/>
      <c r="GN152" s="54"/>
      <c r="GO152" s="54"/>
      <c r="GP152" s="54"/>
      <c r="GQ152" s="54"/>
      <c r="GR152" s="54"/>
      <c r="GS152" s="54"/>
      <c r="GT152" s="54"/>
      <c r="GU152" s="54"/>
      <c r="GV152" s="54"/>
      <c r="GW152" s="54"/>
      <c r="GX152" s="54"/>
      <c r="GY152" s="54"/>
      <c r="GZ152" s="54"/>
      <c r="HA152" s="54"/>
      <c r="HB152" s="54"/>
      <c r="HC152" s="54"/>
      <c r="HD152" s="54"/>
      <c r="HE152" s="54"/>
      <c r="HF152" s="54"/>
      <c r="HG152" s="54"/>
      <c r="HH152" s="54"/>
      <c r="HI152" s="54"/>
      <c r="HJ152" s="54"/>
      <c r="HK152" s="54"/>
      <c r="HL152" s="54"/>
      <c r="HM152" s="54"/>
      <c r="HN152" s="54"/>
      <c r="HO152" s="54"/>
      <c r="HP152" s="54"/>
      <c r="HQ152" s="54"/>
      <c r="HR152" s="54"/>
      <c r="HS152" s="54"/>
      <c r="HT152" s="54"/>
      <c r="HU152" s="54"/>
      <c r="HV152" s="54"/>
      <c r="HW152" s="54"/>
      <c r="HX152" s="54"/>
      <c r="HY152" s="54"/>
      <c r="HZ152" s="54"/>
      <c r="IA152" s="54"/>
      <c r="IB152" s="54"/>
      <c r="IC152" s="54"/>
      <c r="ID152" s="54"/>
      <c r="IE152" s="54"/>
      <c r="IF152" s="54"/>
      <c r="IG152" s="54"/>
      <c r="IH152" s="54"/>
      <c r="II152" s="54"/>
      <c r="IJ152" s="54"/>
      <c r="IK152" s="54"/>
      <c r="IL152" s="54"/>
      <c r="IM152" s="54"/>
      <c r="IN152" s="54"/>
      <c r="IO152" s="54"/>
      <c r="IP152" s="54"/>
      <c r="IQ152" s="54"/>
      <c r="IR152" s="54"/>
      <c r="IS152" s="54"/>
      <c r="IT152" s="54"/>
      <c r="IU152" s="54"/>
      <c r="IV152" s="54"/>
      <c r="IW152" s="54"/>
      <c r="IX152" s="54"/>
      <c r="IY152" s="54"/>
      <c r="IZ152" s="54"/>
      <c r="JA152" s="54"/>
      <c r="JB152" s="54"/>
      <c r="JC152" s="54"/>
      <c r="JD152" s="54"/>
      <c r="JE152" s="54"/>
      <c r="JF152" s="54"/>
      <c r="JG152" s="54"/>
      <c r="JH152" s="54"/>
      <c r="JI152" s="54"/>
      <c r="JJ152" s="54"/>
      <c r="JK152" s="54"/>
      <c r="JL152" s="54"/>
      <c r="JM152" s="54"/>
      <c r="JN152" s="54"/>
      <c r="JO152" s="54"/>
      <c r="JP152" s="54"/>
      <c r="JQ152" s="54"/>
      <c r="JR152" s="54"/>
      <c r="JS152" s="54"/>
      <c r="JT152" s="54"/>
      <c r="JU152" s="54"/>
      <c r="JV152" s="54"/>
      <c r="JW152" s="54"/>
      <c r="JX152" s="54"/>
      <c r="JY152" s="54"/>
      <c r="JZ152" s="54"/>
      <c r="KA152" s="54"/>
      <c r="KB152" s="54"/>
      <c r="KC152" s="54"/>
      <c r="KD152" s="54"/>
      <c r="KE152" s="54"/>
      <c r="KF152" s="54"/>
      <c r="KG152" s="54"/>
      <c r="KH152" s="54"/>
      <c r="KI152" s="54"/>
      <c r="KJ152" s="54"/>
      <c r="KK152" s="54"/>
      <c r="KL152" s="54"/>
      <c r="KM152" s="54"/>
      <c r="KN152" s="54"/>
      <c r="KO152" s="54"/>
      <c r="KP152" s="54"/>
      <c r="KQ152" s="54"/>
      <c r="KR152" s="54"/>
      <c r="KS152" s="54"/>
      <c r="KT152" s="54"/>
      <c r="KU152" s="54"/>
      <c r="KV152" s="54"/>
      <c r="KW152" s="54"/>
      <c r="KX152" s="54"/>
    </row>
    <row r="153" ht="5.2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c r="BU153" s="54"/>
      <c r="BV153" s="54"/>
      <c r="BW153" s="54"/>
      <c r="BX153" s="54"/>
      <c r="BY153" s="54"/>
      <c r="BZ153" s="54"/>
      <c r="CA153" s="54"/>
      <c r="CB153" s="54"/>
      <c r="CC153" s="54"/>
      <c r="CD153" s="54"/>
      <c r="CE153" s="54"/>
      <c r="CF153" s="54"/>
      <c r="CG153" s="54"/>
      <c r="CH153" s="54"/>
      <c r="CI153" s="54"/>
      <c r="CJ153" s="54"/>
      <c r="CK153" s="54"/>
      <c r="CL153" s="54"/>
      <c r="CM153" s="54"/>
      <c r="CN153" s="54"/>
      <c r="CO153" s="54"/>
      <c r="CP153" s="54"/>
      <c r="CQ153" s="54"/>
      <c r="CR153" s="54"/>
      <c r="CS153" s="54"/>
      <c r="CT153" s="54"/>
      <c r="CU153" s="54"/>
      <c r="CV153" s="54"/>
      <c r="CW153" s="54"/>
      <c r="CX153" s="54"/>
      <c r="CY153" s="54"/>
      <c r="CZ153" s="54"/>
      <c r="DA153" s="54"/>
      <c r="DB153" s="54"/>
      <c r="DC153" s="119" t="str">
        <f>if(or(BX77=0,EJ77=0),"",reseeding!AC67)</f>
        <v/>
      </c>
      <c r="DD153" s="130" t="str">
        <f t="array" ref="DD153">xlookup(DC153,data!$M$2:$M$17,data!$O$2:$O$17,"")</f>
        <v/>
      </c>
      <c r="DE153" s="8"/>
      <c r="DF153" s="8"/>
      <c r="DG153" s="8"/>
      <c r="DH153" s="93" t="str">
        <f t="array" ref="DH153">xlookup(DC153,data!$M$2:$M$17,data!$N$2:$N$17,"")</f>
        <v/>
      </c>
      <c r="DI153" s="8"/>
      <c r="DJ153" s="8"/>
      <c r="DK153" s="8"/>
      <c r="DL153" s="8"/>
      <c r="DM153" s="8"/>
      <c r="DN153" s="8"/>
      <c r="DO153" s="8"/>
      <c r="DP153" s="8"/>
      <c r="DQ153" s="8"/>
      <c r="DR153" s="8"/>
      <c r="DS153" s="8"/>
      <c r="DT153" s="8"/>
      <c r="DU153" s="8"/>
      <c r="DV153" s="8"/>
      <c r="DW153" s="8"/>
      <c r="DX153" s="8"/>
      <c r="DY153" s="8"/>
      <c r="DZ153" s="8"/>
      <c r="EA153" s="8"/>
      <c r="EB153" s="8"/>
      <c r="EC153" s="8"/>
      <c r="ED153" s="94"/>
      <c r="EE153" s="8"/>
      <c r="EF153" s="8"/>
      <c r="EG153" s="9"/>
      <c r="EH153" s="95"/>
      <c r="EI153" s="8"/>
      <c r="EJ153" s="8"/>
      <c r="EK153" s="8"/>
      <c r="EL153" s="96" t="str">
        <f t="array" ref="EL153">xlookup(FL153,data!$M$2:$M$17,data!$N$2:$N$17,"")</f>
        <v/>
      </c>
      <c r="EM153" s="8"/>
      <c r="EN153" s="8"/>
      <c r="EO153" s="8"/>
      <c r="EP153" s="8"/>
      <c r="EQ153" s="8"/>
      <c r="ER153" s="8"/>
      <c r="ES153" s="8"/>
      <c r="ET153" s="8"/>
      <c r="EU153" s="8"/>
      <c r="EV153" s="8"/>
      <c r="EW153" s="8"/>
      <c r="EX153" s="8"/>
      <c r="EY153" s="8"/>
      <c r="EZ153" s="8"/>
      <c r="FA153" s="8"/>
      <c r="FB153" s="8"/>
      <c r="FC153" s="8"/>
      <c r="FD153" s="8"/>
      <c r="FE153" s="8"/>
      <c r="FF153" s="8"/>
      <c r="FG153" s="8"/>
      <c r="FH153" s="131" t="str">
        <f t="array" ref="FH153">xlookup(FL153,data!$M$2:$M$17,data!$O$2:$O$17,"")</f>
        <v/>
      </c>
      <c r="FI153" s="8"/>
      <c r="FJ153" s="8"/>
      <c r="FK153" s="98"/>
      <c r="FL153" s="119" t="str">
        <f>if(or(BX77=0,EJ77=0),"",reseeding!AD67)</f>
        <v/>
      </c>
      <c r="FM153" s="54"/>
      <c r="FN153" s="54"/>
      <c r="FO153" s="54"/>
      <c r="FP153" s="54"/>
      <c r="FQ153" s="54"/>
      <c r="FR153" s="54"/>
      <c r="FS153" s="54"/>
      <c r="FT153" s="54"/>
      <c r="FU153" s="54"/>
      <c r="FV153" s="54"/>
      <c r="FW153" s="54"/>
      <c r="FX153" s="54"/>
      <c r="FY153" s="54"/>
      <c r="FZ153" s="54"/>
      <c r="GA153" s="54"/>
      <c r="GB153" s="54"/>
      <c r="GC153" s="54"/>
      <c r="GD153" s="54"/>
      <c r="GE153" s="54"/>
      <c r="GF153" s="54"/>
      <c r="GG153" s="54"/>
      <c r="GH153" s="54"/>
      <c r="GI153" s="54"/>
      <c r="GJ153" s="54"/>
      <c r="GK153" s="54"/>
      <c r="GL153" s="54"/>
      <c r="GM153" s="54"/>
      <c r="GN153" s="54"/>
      <c r="GO153" s="54"/>
      <c r="GP153" s="54"/>
      <c r="GQ153" s="54"/>
      <c r="GR153" s="54"/>
      <c r="GS153" s="54"/>
      <c r="GT153" s="54"/>
      <c r="GU153" s="54"/>
      <c r="GV153" s="54"/>
      <c r="GW153" s="54"/>
      <c r="GX153" s="54"/>
      <c r="GY153" s="54"/>
      <c r="GZ153" s="54"/>
      <c r="HA153" s="54"/>
      <c r="HB153" s="54"/>
      <c r="HC153" s="54"/>
      <c r="HD153" s="54"/>
      <c r="HE153" s="54"/>
      <c r="HF153" s="54"/>
      <c r="HG153" s="54"/>
      <c r="HH153" s="54"/>
      <c r="HI153" s="54"/>
      <c r="HJ153" s="54"/>
      <c r="HK153" s="54"/>
      <c r="HL153" s="54"/>
      <c r="HM153" s="54"/>
      <c r="HN153" s="54"/>
      <c r="HO153" s="54"/>
      <c r="HP153" s="54"/>
      <c r="HQ153" s="54"/>
      <c r="HR153" s="54"/>
      <c r="HS153" s="54"/>
      <c r="HT153" s="54"/>
      <c r="HU153" s="54"/>
      <c r="HV153" s="54"/>
      <c r="HW153" s="54"/>
      <c r="HX153" s="54"/>
      <c r="HY153" s="54"/>
      <c r="HZ153" s="54"/>
      <c r="IA153" s="54"/>
      <c r="IB153" s="54"/>
      <c r="IC153" s="54"/>
      <c r="ID153" s="54"/>
      <c r="IE153" s="54"/>
      <c r="IF153" s="54"/>
      <c r="IG153" s="54"/>
      <c r="IH153" s="54"/>
      <c r="II153" s="54"/>
      <c r="IJ153" s="54"/>
      <c r="IK153" s="54"/>
      <c r="IL153" s="54"/>
      <c r="IM153" s="54"/>
      <c r="IN153" s="54"/>
      <c r="IO153" s="54"/>
      <c r="IP153" s="54"/>
      <c r="IQ153" s="54"/>
      <c r="IR153" s="54"/>
      <c r="IS153" s="54"/>
      <c r="IT153" s="54"/>
      <c r="IU153" s="54"/>
      <c r="IV153" s="54"/>
      <c r="IW153" s="54"/>
      <c r="IX153" s="54"/>
      <c r="IY153" s="54"/>
      <c r="IZ153" s="54"/>
      <c r="JA153" s="54"/>
      <c r="JB153" s="54"/>
      <c r="JC153" s="54"/>
      <c r="JD153" s="54"/>
      <c r="JE153" s="54"/>
      <c r="JF153" s="54"/>
      <c r="JG153" s="54"/>
      <c r="JH153" s="54"/>
      <c r="JI153" s="54"/>
      <c r="JJ153" s="54"/>
      <c r="JK153" s="54"/>
      <c r="JL153" s="54"/>
      <c r="JM153" s="54"/>
      <c r="JN153" s="54"/>
      <c r="JO153" s="54"/>
      <c r="JP153" s="54"/>
      <c r="JQ153" s="54"/>
      <c r="JR153" s="54"/>
      <c r="JS153" s="54"/>
      <c r="JT153" s="54"/>
      <c r="JU153" s="54"/>
      <c r="JV153" s="54"/>
      <c r="JW153" s="54"/>
      <c r="JX153" s="54"/>
      <c r="JY153" s="54"/>
      <c r="JZ153" s="54"/>
      <c r="KA153" s="54"/>
      <c r="KB153" s="54"/>
      <c r="KC153" s="54"/>
      <c r="KD153" s="54"/>
      <c r="KE153" s="54"/>
      <c r="KF153" s="54"/>
      <c r="KG153" s="54"/>
      <c r="KH153" s="54"/>
      <c r="KI153" s="54"/>
      <c r="KJ153" s="54"/>
      <c r="KK153" s="54"/>
      <c r="KL153" s="54"/>
      <c r="KM153" s="54"/>
      <c r="KN153" s="54"/>
      <c r="KO153" s="54"/>
      <c r="KP153" s="54"/>
      <c r="KQ153" s="54"/>
      <c r="KR153" s="54"/>
      <c r="KS153" s="54"/>
      <c r="KT153" s="54"/>
      <c r="KU153" s="54"/>
      <c r="KV153" s="54"/>
      <c r="KW153" s="54"/>
      <c r="KX153" s="54"/>
    </row>
    <row r="154" ht="5.2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c r="BS154" s="54"/>
      <c r="BT154" s="54"/>
      <c r="BU154" s="54"/>
      <c r="BV154" s="54"/>
      <c r="BW154" s="54"/>
      <c r="BX154" s="54"/>
      <c r="BY154" s="54"/>
      <c r="BZ154" s="54"/>
      <c r="CA154" s="54"/>
      <c r="CB154" s="54"/>
      <c r="CC154" s="54"/>
      <c r="CD154" s="54"/>
      <c r="CE154" s="54"/>
      <c r="CF154" s="54"/>
      <c r="CG154" s="54"/>
      <c r="CH154" s="54"/>
      <c r="CI154" s="54"/>
      <c r="CJ154" s="54"/>
      <c r="CK154" s="54"/>
      <c r="CL154" s="54"/>
      <c r="CM154" s="54"/>
      <c r="CN154" s="54"/>
      <c r="CO154" s="54"/>
      <c r="CP154" s="54"/>
      <c r="CQ154" s="54"/>
      <c r="CR154" s="54"/>
      <c r="CS154" s="54"/>
      <c r="CT154" s="54"/>
      <c r="CU154" s="54"/>
      <c r="CV154" s="54"/>
      <c r="CW154" s="54"/>
      <c r="CX154" s="54"/>
      <c r="CY154" s="54"/>
      <c r="CZ154" s="54"/>
      <c r="DA154" s="54"/>
      <c r="DB154" s="54"/>
      <c r="DC154" s="108"/>
      <c r="DD154" s="60"/>
      <c r="EG154" s="11"/>
      <c r="EH154" s="10"/>
      <c r="FK154" s="61"/>
      <c r="FL154" s="108"/>
      <c r="FM154" s="54"/>
      <c r="FN154" s="54"/>
      <c r="FO154" s="54"/>
      <c r="FP154" s="54"/>
      <c r="FQ154" s="54"/>
      <c r="FR154" s="54"/>
      <c r="FS154" s="54"/>
      <c r="FT154" s="54"/>
      <c r="FU154" s="54"/>
      <c r="FV154" s="54"/>
      <c r="FW154" s="54"/>
      <c r="FX154" s="54"/>
      <c r="FY154" s="54"/>
      <c r="FZ154" s="54"/>
      <c r="GA154" s="54"/>
      <c r="GB154" s="54"/>
      <c r="GC154" s="54"/>
      <c r="GD154" s="54"/>
      <c r="GE154" s="54"/>
      <c r="GF154" s="54"/>
      <c r="GG154" s="54"/>
      <c r="GH154" s="54"/>
      <c r="GI154" s="54"/>
      <c r="GJ154" s="54"/>
      <c r="GK154" s="54"/>
      <c r="GL154" s="54"/>
      <c r="GM154" s="54"/>
      <c r="GN154" s="54"/>
      <c r="GO154" s="54"/>
      <c r="GP154" s="54"/>
      <c r="GQ154" s="54"/>
      <c r="GR154" s="54"/>
      <c r="GS154" s="54"/>
      <c r="GT154" s="54"/>
      <c r="GU154" s="54"/>
      <c r="GV154" s="54"/>
      <c r="GW154" s="54"/>
      <c r="GX154" s="54"/>
      <c r="GY154" s="54"/>
      <c r="GZ154" s="54"/>
      <c r="HA154" s="54"/>
      <c r="HB154" s="54"/>
      <c r="HC154" s="54"/>
      <c r="HD154" s="54"/>
      <c r="HE154" s="54"/>
      <c r="HF154" s="54"/>
      <c r="HG154" s="54"/>
      <c r="HH154" s="54"/>
      <c r="HI154" s="54"/>
      <c r="HJ154" s="54"/>
      <c r="HK154" s="54"/>
      <c r="HL154" s="54"/>
      <c r="HM154" s="54"/>
      <c r="HN154" s="54"/>
      <c r="HO154" s="54"/>
      <c r="HP154" s="54"/>
      <c r="HQ154" s="54"/>
      <c r="HR154" s="54"/>
      <c r="HS154" s="54"/>
      <c r="HT154" s="54"/>
      <c r="HU154" s="54"/>
      <c r="HV154" s="54"/>
      <c r="HW154" s="54"/>
      <c r="HX154" s="54"/>
      <c r="HY154" s="54"/>
      <c r="HZ154" s="54"/>
      <c r="IA154" s="54"/>
      <c r="IB154" s="54"/>
      <c r="IC154" s="54"/>
      <c r="ID154" s="54"/>
      <c r="IE154" s="54"/>
      <c r="IF154" s="54"/>
      <c r="IG154" s="54"/>
      <c r="IH154" s="54"/>
      <c r="II154" s="54"/>
      <c r="IJ154" s="54"/>
      <c r="IK154" s="54"/>
      <c r="IL154" s="54"/>
      <c r="IM154" s="54"/>
      <c r="IN154" s="54"/>
      <c r="IO154" s="54"/>
      <c r="IP154" s="54"/>
      <c r="IQ154" s="54"/>
      <c r="IR154" s="54"/>
      <c r="IS154" s="54"/>
      <c r="IT154" s="54"/>
      <c r="IU154" s="54"/>
      <c r="IV154" s="54"/>
      <c r="IW154" s="54"/>
      <c r="IX154" s="54"/>
      <c r="IY154" s="54"/>
      <c r="IZ154" s="54"/>
      <c r="JA154" s="54"/>
      <c r="JB154" s="54"/>
      <c r="JC154" s="54"/>
      <c r="JD154" s="54"/>
      <c r="JE154" s="54"/>
      <c r="JF154" s="54"/>
      <c r="JG154" s="54"/>
      <c r="JH154" s="54"/>
      <c r="JI154" s="54"/>
      <c r="JJ154" s="54"/>
      <c r="JK154" s="54"/>
      <c r="JL154" s="54"/>
      <c r="JM154" s="54"/>
      <c r="JN154" s="54"/>
      <c r="JO154" s="54"/>
      <c r="JP154" s="54"/>
      <c r="JQ154" s="54"/>
      <c r="JR154" s="54"/>
      <c r="JS154" s="54"/>
      <c r="JT154" s="54"/>
      <c r="JU154" s="54"/>
      <c r="JV154" s="54"/>
      <c r="JW154" s="54"/>
      <c r="JX154" s="54"/>
      <c r="JY154" s="54"/>
      <c r="JZ154" s="54"/>
      <c r="KA154" s="54"/>
      <c r="KB154" s="54"/>
      <c r="KC154" s="54"/>
      <c r="KD154" s="54"/>
      <c r="KE154" s="54"/>
      <c r="KF154" s="54"/>
      <c r="KG154" s="54"/>
      <c r="KH154" s="54"/>
      <c r="KI154" s="54"/>
      <c r="KJ154" s="54"/>
      <c r="KK154" s="54"/>
      <c r="KL154" s="54"/>
      <c r="KM154" s="54"/>
      <c r="KN154" s="54"/>
      <c r="KO154" s="54"/>
      <c r="KP154" s="54"/>
      <c r="KQ154" s="54"/>
      <c r="KR154" s="54"/>
      <c r="KS154" s="54"/>
      <c r="KT154" s="54"/>
      <c r="KU154" s="54"/>
      <c r="KV154" s="54"/>
      <c r="KW154" s="54"/>
      <c r="KX154" s="54"/>
    </row>
    <row r="155" ht="5.2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c r="BS155" s="54"/>
      <c r="BT155" s="54"/>
      <c r="BU155" s="54"/>
      <c r="BV155" s="54"/>
      <c r="BW155" s="54"/>
      <c r="BX155" s="54"/>
      <c r="BY155" s="54"/>
      <c r="BZ155" s="54"/>
      <c r="CA155" s="54"/>
      <c r="CB155" s="54"/>
      <c r="CC155" s="54"/>
      <c r="CD155" s="54"/>
      <c r="CE155" s="54"/>
      <c r="CF155" s="54"/>
      <c r="CG155" s="54"/>
      <c r="CH155" s="54"/>
      <c r="CI155" s="54"/>
      <c r="CJ155" s="54"/>
      <c r="CK155" s="54"/>
      <c r="CL155" s="54"/>
      <c r="CM155" s="54"/>
      <c r="CN155" s="54"/>
      <c r="CO155" s="54"/>
      <c r="CP155" s="54"/>
      <c r="CQ155" s="54"/>
      <c r="CR155" s="54"/>
      <c r="CS155" s="54"/>
      <c r="CT155" s="54"/>
      <c r="CU155" s="54"/>
      <c r="CV155" s="54"/>
      <c r="CW155" s="54"/>
      <c r="CX155" s="54"/>
      <c r="CY155" s="54"/>
      <c r="CZ155" s="54"/>
      <c r="DA155" s="54"/>
      <c r="DB155" s="54"/>
      <c r="DC155" s="108"/>
      <c r="DD155" s="60"/>
      <c r="EG155" s="11"/>
      <c r="EH155" s="10"/>
      <c r="FK155" s="61"/>
      <c r="FL155" s="108"/>
      <c r="FM155" s="54"/>
      <c r="FN155" s="54"/>
      <c r="FO155" s="54"/>
      <c r="FP155" s="54"/>
      <c r="FQ155" s="54"/>
      <c r="FR155" s="54"/>
      <c r="FS155" s="54"/>
      <c r="FT155" s="54"/>
      <c r="FU155" s="54"/>
      <c r="FV155" s="54"/>
      <c r="FW155" s="54"/>
      <c r="FX155" s="54"/>
      <c r="FY155" s="54"/>
      <c r="FZ155" s="54"/>
      <c r="GA155" s="54"/>
      <c r="GB155" s="54"/>
      <c r="GC155" s="54"/>
      <c r="GD155" s="54"/>
      <c r="GE155" s="54"/>
      <c r="GF155" s="54"/>
      <c r="GG155" s="54"/>
      <c r="GH155" s="54"/>
      <c r="GI155" s="54"/>
      <c r="GJ155" s="54"/>
      <c r="GK155" s="54"/>
      <c r="GL155" s="54"/>
      <c r="GM155" s="54"/>
      <c r="GN155" s="54"/>
      <c r="GO155" s="54"/>
      <c r="GP155" s="54"/>
      <c r="GQ155" s="54"/>
      <c r="GR155" s="54"/>
      <c r="GS155" s="54"/>
      <c r="GT155" s="54"/>
      <c r="GU155" s="54"/>
      <c r="GV155" s="54"/>
      <c r="GW155" s="54"/>
      <c r="GX155" s="54"/>
      <c r="GY155" s="54"/>
      <c r="GZ155" s="54"/>
      <c r="HA155" s="54"/>
      <c r="HB155" s="54"/>
      <c r="HC155" s="54"/>
      <c r="HD155" s="54"/>
      <c r="HE155" s="54"/>
      <c r="HF155" s="54"/>
      <c r="HG155" s="54"/>
      <c r="HH155" s="54"/>
      <c r="HI155" s="54"/>
      <c r="HJ155" s="54"/>
      <c r="HK155" s="54"/>
      <c r="HL155" s="54"/>
      <c r="HM155" s="54"/>
      <c r="HN155" s="54"/>
      <c r="HO155" s="54"/>
      <c r="HP155" s="54"/>
      <c r="HQ155" s="54"/>
      <c r="HR155" s="54"/>
      <c r="HS155" s="54"/>
      <c r="HT155" s="54"/>
      <c r="HU155" s="54"/>
      <c r="HV155" s="54"/>
      <c r="HW155" s="54"/>
      <c r="HX155" s="54"/>
      <c r="HY155" s="54"/>
      <c r="HZ155" s="54"/>
      <c r="IA155" s="54"/>
      <c r="IB155" s="54"/>
      <c r="IC155" s="54"/>
      <c r="ID155" s="54"/>
      <c r="IE155" s="54"/>
      <c r="IF155" s="54"/>
      <c r="IG155" s="54"/>
      <c r="IH155" s="54"/>
      <c r="II155" s="54"/>
      <c r="IJ155" s="54"/>
      <c r="IK155" s="54"/>
      <c r="IL155" s="54"/>
      <c r="IM155" s="54"/>
      <c r="IN155" s="54"/>
      <c r="IO155" s="54"/>
      <c r="IP155" s="54"/>
      <c r="IQ155" s="54"/>
      <c r="IR155" s="54"/>
      <c r="IS155" s="54"/>
      <c r="IT155" s="54"/>
      <c r="IU155" s="54"/>
      <c r="IV155" s="54"/>
      <c r="IW155" s="54"/>
      <c r="IX155" s="54"/>
      <c r="IY155" s="54"/>
      <c r="IZ155" s="54"/>
      <c r="JA155" s="54"/>
      <c r="JB155" s="54"/>
      <c r="JC155" s="54"/>
      <c r="JD155" s="54"/>
      <c r="JE155" s="54"/>
      <c r="JF155" s="54"/>
      <c r="JG155" s="54"/>
      <c r="JH155" s="54"/>
      <c r="JI155" s="54"/>
      <c r="JJ155" s="54"/>
      <c r="JK155" s="54"/>
      <c r="JL155" s="54"/>
      <c r="JM155" s="54"/>
      <c r="JN155" s="54"/>
      <c r="JO155" s="54"/>
      <c r="JP155" s="54"/>
      <c r="JQ155" s="54"/>
      <c r="JR155" s="54"/>
      <c r="JS155" s="54"/>
      <c r="JT155" s="54"/>
      <c r="JU155" s="54"/>
      <c r="JV155" s="54"/>
      <c r="JW155" s="54"/>
      <c r="JX155" s="54"/>
      <c r="JY155" s="54"/>
      <c r="JZ155" s="54"/>
      <c r="KA155" s="54"/>
      <c r="KB155" s="54"/>
      <c r="KC155" s="54"/>
      <c r="KD155" s="54"/>
      <c r="KE155" s="54"/>
      <c r="KF155" s="54"/>
      <c r="KG155" s="54"/>
      <c r="KH155" s="54"/>
      <c r="KI155" s="54"/>
      <c r="KJ155" s="54"/>
      <c r="KK155" s="54"/>
      <c r="KL155" s="54"/>
      <c r="KM155" s="54"/>
      <c r="KN155" s="54"/>
      <c r="KO155" s="54"/>
      <c r="KP155" s="54"/>
      <c r="KQ155" s="54"/>
      <c r="KR155" s="54"/>
      <c r="KS155" s="54"/>
      <c r="KT155" s="54"/>
      <c r="KU155" s="54"/>
      <c r="KV155" s="54"/>
      <c r="KW155" s="54"/>
      <c r="KX155" s="54"/>
    </row>
    <row r="156" ht="5.2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c r="BS156" s="54"/>
      <c r="BT156" s="54"/>
      <c r="BU156" s="54"/>
      <c r="BV156" s="54"/>
      <c r="BW156" s="54"/>
      <c r="BX156" s="54"/>
      <c r="BY156" s="54"/>
      <c r="BZ156" s="54"/>
      <c r="CA156" s="54"/>
      <c r="CB156" s="54"/>
      <c r="CC156" s="54"/>
      <c r="CD156" s="54"/>
      <c r="CE156" s="54"/>
      <c r="CF156" s="54"/>
      <c r="CG156" s="54"/>
      <c r="CH156" s="54"/>
      <c r="CI156" s="54"/>
      <c r="CJ156" s="54"/>
      <c r="CK156" s="54"/>
      <c r="CL156" s="54"/>
      <c r="CM156" s="54"/>
      <c r="CN156" s="54"/>
      <c r="CO156" s="54"/>
      <c r="CP156" s="54"/>
      <c r="CQ156" s="54"/>
      <c r="CR156" s="54"/>
      <c r="CS156" s="54"/>
      <c r="CT156" s="54"/>
      <c r="CU156" s="54"/>
      <c r="CV156" s="54"/>
      <c r="CW156" s="54"/>
      <c r="CX156" s="54"/>
      <c r="CY156" s="54"/>
      <c r="CZ156" s="54"/>
      <c r="DA156" s="54"/>
      <c r="DB156" s="54"/>
      <c r="DC156" s="108"/>
      <c r="DD156" s="60"/>
      <c r="EG156" s="11"/>
      <c r="EH156" s="10"/>
      <c r="FK156" s="61"/>
      <c r="FL156" s="108"/>
      <c r="FM156" s="54"/>
      <c r="FN156" s="54"/>
      <c r="FO156" s="54"/>
      <c r="FP156" s="54"/>
      <c r="FQ156" s="54"/>
      <c r="FR156" s="54"/>
      <c r="FS156" s="54"/>
      <c r="FT156" s="54"/>
      <c r="FU156" s="54"/>
      <c r="FV156" s="54"/>
      <c r="FW156" s="54"/>
      <c r="FX156" s="54"/>
      <c r="FY156" s="54"/>
      <c r="FZ156" s="54"/>
      <c r="GA156" s="54"/>
      <c r="GB156" s="54"/>
      <c r="GC156" s="54"/>
      <c r="GD156" s="54"/>
      <c r="GE156" s="54"/>
      <c r="GF156" s="54"/>
      <c r="GG156" s="54"/>
      <c r="GH156" s="54"/>
      <c r="GI156" s="54"/>
      <c r="GJ156" s="54"/>
      <c r="GK156" s="54"/>
      <c r="GL156" s="54"/>
      <c r="GM156" s="54"/>
      <c r="GN156" s="54"/>
      <c r="GO156" s="54"/>
      <c r="GP156" s="54"/>
      <c r="GQ156" s="54"/>
      <c r="GR156" s="54"/>
      <c r="GS156" s="54"/>
      <c r="GT156" s="54"/>
      <c r="GU156" s="54"/>
      <c r="GV156" s="54"/>
      <c r="GW156" s="54"/>
      <c r="GX156" s="54"/>
      <c r="GY156" s="54"/>
      <c r="GZ156" s="54"/>
      <c r="HA156" s="54"/>
      <c r="HB156" s="54"/>
      <c r="HC156" s="54"/>
      <c r="HD156" s="54"/>
      <c r="HE156" s="54"/>
      <c r="HF156" s="54"/>
      <c r="HG156" s="54"/>
      <c r="HH156" s="54"/>
      <c r="HI156" s="54"/>
      <c r="HJ156" s="54"/>
      <c r="HK156" s="54"/>
      <c r="HL156" s="54"/>
      <c r="HM156" s="54"/>
      <c r="HN156" s="54"/>
      <c r="HO156" s="54"/>
      <c r="HP156" s="54"/>
      <c r="HQ156" s="54"/>
      <c r="HR156" s="54"/>
      <c r="HS156" s="54"/>
      <c r="HT156" s="54"/>
      <c r="HU156" s="54"/>
      <c r="HV156" s="54"/>
      <c r="HW156" s="54"/>
      <c r="HX156" s="54"/>
      <c r="HY156" s="54"/>
      <c r="HZ156" s="54"/>
      <c r="IA156" s="54"/>
      <c r="IB156" s="54"/>
      <c r="IC156" s="54"/>
      <c r="ID156" s="54"/>
      <c r="IE156" s="54"/>
      <c r="IF156" s="54"/>
      <c r="IG156" s="54"/>
      <c r="IH156" s="54"/>
      <c r="II156" s="54"/>
      <c r="IJ156" s="54"/>
      <c r="IK156" s="54"/>
      <c r="IL156" s="54"/>
      <c r="IM156" s="54"/>
      <c r="IN156" s="54"/>
      <c r="IO156" s="54"/>
      <c r="IP156" s="54"/>
      <c r="IQ156" s="54"/>
      <c r="IR156" s="54"/>
      <c r="IS156" s="54"/>
      <c r="IT156" s="54"/>
      <c r="IU156" s="54"/>
      <c r="IV156" s="54"/>
      <c r="IW156" s="54"/>
      <c r="IX156" s="54"/>
      <c r="IY156" s="54"/>
      <c r="IZ156" s="54"/>
      <c r="JA156" s="54"/>
      <c r="JB156" s="54"/>
      <c r="JC156" s="54"/>
      <c r="JD156" s="54"/>
      <c r="JE156" s="54"/>
      <c r="JF156" s="54"/>
      <c r="JG156" s="54"/>
      <c r="JH156" s="54"/>
      <c r="JI156" s="54"/>
      <c r="JJ156" s="54"/>
      <c r="JK156" s="54"/>
      <c r="JL156" s="54"/>
      <c r="JM156" s="54"/>
      <c r="JN156" s="54"/>
      <c r="JO156" s="54"/>
      <c r="JP156" s="54"/>
      <c r="JQ156" s="54"/>
      <c r="JR156" s="54"/>
      <c r="JS156" s="54"/>
      <c r="JT156" s="54"/>
      <c r="JU156" s="54"/>
      <c r="JV156" s="54"/>
      <c r="JW156" s="54"/>
      <c r="JX156" s="54"/>
      <c r="JY156" s="54"/>
      <c r="JZ156" s="54"/>
      <c r="KA156" s="54"/>
      <c r="KB156" s="54"/>
      <c r="KC156" s="54"/>
      <c r="KD156" s="54"/>
      <c r="KE156" s="54"/>
      <c r="KF156" s="54"/>
      <c r="KG156" s="54"/>
      <c r="KH156" s="54"/>
      <c r="KI156" s="54"/>
      <c r="KJ156" s="54"/>
      <c r="KK156" s="54"/>
      <c r="KL156" s="54"/>
      <c r="KM156" s="54"/>
      <c r="KN156" s="54"/>
      <c r="KO156" s="54"/>
      <c r="KP156" s="54"/>
      <c r="KQ156" s="54"/>
      <c r="KR156" s="54"/>
      <c r="KS156" s="54"/>
      <c r="KT156" s="54"/>
      <c r="KU156" s="54"/>
      <c r="KV156" s="54"/>
      <c r="KW156" s="54"/>
      <c r="KX156" s="54"/>
    </row>
    <row r="157" ht="5.2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c r="BS157" s="54"/>
      <c r="BT157" s="54"/>
      <c r="BU157" s="54"/>
      <c r="BV157" s="54"/>
      <c r="BW157" s="54"/>
      <c r="BX157" s="54"/>
      <c r="BY157" s="54"/>
      <c r="BZ157" s="54"/>
      <c r="CA157" s="54"/>
      <c r="CB157" s="54"/>
      <c r="CC157" s="54"/>
      <c r="CD157" s="54"/>
      <c r="CE157" s="54"/>
      <c r="CF157" s="54"/>
      <c r="CG157" s="54"/>
      <c r="CH157" s="54"/>
      <c r="CI157" s="54"/>
      <c r="CJ157" s="54"/>
      <c r="CK157" s="54"/>
      <c r="CL157" s="54"/>
      <c r="CM157" s="54"/>
      <c r="CN157" s="54"/>
      <c r="CO157" s="54"/>
      <c r="CP157" s="54"/>
      <c r="CQ157" s="54"/>
      <c r="CR157" s="54"/>
      <c r="CS157" s="54"/>
      <c r="CT157" s="54"/>
      <c r="CU157" s="54"/>
      <c r="CV157" s="54"/>
      <c r="CW157" s="54"/>
      <c r="CX157" s="54"/>
      <c r="CY157" s="54"/>
      <c r="CZ157" s="54"/>
      <c r="DA157" s="54"/>
      <c r="DB157" s="54"/>
      <c r="DC157" s="119" t="str">
        <f>DC153</f>
        <v/>
      </c>
      <c r="DD157" s="112"/>
      <c r="DL157" s="135"/>
      <c r="DN157" s="11"/>
      <c r="DO157" s="127"/>
      <c r="DQ157" s="11"/>
      <c r="DR157" s="139"/>
      <c r="DU157" s="108"/>
      <c r="ED157" s="85">
        <f>sum(DL157:DT159)</f>
        <v>0</v>
      </c>
      <c r="EG157" s="11"/>
      <c r="EH157" s="86">
        <f>sum(EU157:FC159)</f>
        <v>0</v>
      </c>
      <c r="EL157" s="108"/>
      <c r="EM157" s="108"/>
      <c r="EN157" s="108"/>
      <c r="EO157" s="108"/>
      <c r="EP157" s="108"/>
      <c r="EQ157" s="108"/>
      <c r="ER157" s="108"/>
      <c r="ES157" s="108"/>
      <c r="ET157" s="108"/>
      <c r="EU157" s="134"/>
      <c r="EW157" s="11"/>
      <c r="EX157" s="126"/>
      <c r="EZ157" s="11"/>
      <c r="FA157" s="127"/>
      <c r="FD157" s="108"/>
      <c r="FE157" s="108"/>
      <c r="FF157" s="108"/>
      <c r="FG157" s="108"/>
      <c r="FH157" s="108"/>
      <c r="FI157" s="108"/>
      <c r="FJ157" s="108"/>
      <c r="FK157" s="116"/>
      <c r="FL157" s="119" t="str">
        <f>FL153</f>
        <v/>
      </c>
      <c r="FM157" s="54"/>
      <c r="FN157" s="54"/>
      <c r="FO157" s="54"/>
      <c r="FP157" s="54"/>
      <c r="FQ157" s="54"/>
      <c r="FR157" s="54"/>
      <c r="FS157" s="54"/>
      <c r="FT157" s="54"/>
      <c r="FU157" s="54"/>
      <c r="FV157" s="54"/>
      <c r="FW157" s="54"/>
      <c r="FX157" s="54"/>
      <c r="FY157" s="54"/>
      <c r="FZ157" s="54"/>
      <c r="GA157" s="54"/>
      <c r="GB157" s="54"/>
      <c r="GC157" s="54"/>
      <c r="GD157" s="54"/>
      <c r="GE157" s="54"/>
      <c r="GF157" s="54"/>
      <c r="GG157" s="54"/>
      <c r="GH157" s="54"/>
      <c r="GI157" s="54"/>
      <c r="GJ157" s="54"/>
      <c r="GK157" s="54"/>
      <c r="GL157" s="54"/>
      <c r="GM157" s="54"/>
      <c r="GN157" s="54"/>
      <c r="GO157" s="54"/>
      <c r="GP157" s="54"/>
      <c r="GQ157" s="54"/>
      <c r="GR157" s="54"/>
      <c r="GS157" s="54"/>
      <c r="GT157" s="54"/>
      <c r="GU157" s="54"/>
      <c r="GV157" s="54"/>
      <c r="GW157" s="54"/>
      <c r="GX157" s="54"/>
      <c r="GY157" s="54"/>
      <c r="GZ157" s="54"/>
      <c r="HA157" s="54"/>
      <c r="HB157" s="54"/>
      <c r="HC157" s="54"/>
      <c r="HD157" s="54"/>
      <c r="HE157" s="54"/>
      <c r="HF157" s="54"/>
      <c r="HG157" s="54"/>
      <c r="HH157" s="54"/>
      <c r="HI157" s="54"/>
      <c r="HJ157" s="54"/>
      <c r="HK157" s="54"/>
      <c r="HL157" s="54"/>
      <c r="HM157" s="54"/>
      <c r="HN157" s="54"/>
      <c r="HO157" s="54"/>
      <c r="HP157" s="54"/>
      <c r="HQ157" s="54"/>
      <c r="HR157" s="54"/>
      <c r="HS157" s="54"/>
      <c r="HT157" s="54"/>
      <c r="HU157" s="54"/>
      <c r="HV157" s="54"/>
      <c r="HW157" s="54"/>
      <c r="HX157" s="54"/>
      <c r="HY157" s="54"/>
      <c r="HZ157" s="54"/>
      <c r="IA157" s="54"/>
      <c r="IB157" s="54"/>
      <c r="IC157" s="54"/>
      <c r="ID157" s="54"/>
      <c r="IE157" s="54"/>
      <c r="IF157" s="54"/>
      <c r="IG157" s="54"/>
      <c r="IH157" s="54"/>
      <c r="II157" s="54"/>
      <c r="IJ157" s="54"/>
      <c r="IK157" s="54"/>
      <c r="IL157" s="54"/>
      <c r="IM157" s="54"/>
      <c r="IN157" s="54"/>
      <c r="IO157" s="54"/>
      <c r="IP157" s="54"/>
      <c r="IQ157" s="54"/>
      <c r="IR157" s="54"/>
      <c r="IS157" s="54"/>
      <c r="IT157" s="54"/>
      <c r="IU157" s="54"/>
      <c r="IV157" s="54"/>
      <c r="IW157" s="54"/>
      <c r="IX157" s="54"/>
      <c r="IY157" s="54"/>
      <c r="IZ157" s="54"/>
      <c r="JA157" s="54"/>
      <c r="JB157" s="54"/>
      <c r="JC157" s="54"/>
      <c r="JD157" s="54"/>
      <c r="JE157" s="54"/>
      <c r="JF157" s="54"/>
      <c r="JG157" s="54"/>
      <c r="JH157" s="54"/>
      <c r="JI157" s="54"/>
      <c r="JJ157" s="54"/>
      <c r="JK157" s="54"/>
      <c r="JL157" s="54"/>
      <c r="JM157" s="54"/>
      <c r="JN157" s="54"/>
      <c r="JO157" s="54"/>
      <c r="JP157" s="54"/>
      <c r="JQ157" s="54"/>
      <c r="JR157" s="54"/>
      <c r="JS157" s="54"/>
      <c r="JT157" s="54"/>
      <c r="JU157" s="54"/>
      <c r="JV157" s="54"/>
      <c r="JW157" s="54"/>
      <c r="JX157" s="54"/>
      <c r="JY157" s="54"/>
      <c r="JZ157" s="54"/>
      <c r="KA157" s="54"/>
      <c r="KB157" s="54"/>
      <c r="KC157" s="54"/>
      <c r="KD157" s="54"/>
      <c r="KE157" s="54"/>
      <c r="KF157" s="54"/>
      <c r="KG157" s="54"/>
      <c r="KH157" s="54"/>
      <c r="KI157" s="54"/>
      <c r="KJ157" s="54"/>
      <c r="KK157" s="54"/>
      <c r="KL157" s="54"/>
      <c r="KM157" s="54"/>
      <c r="KN157" s="54"/>
      <c r="KO157" s="54"/>
      <c r="KP157" s="54"/>
      <c r="KQ157" s="54"/>
      <c r="KR157" s="54"/>
      <c r="KS157" s="54"/>
      <c r="KT157" s="54"/>
      <c r="KU157" s="54"/>
      <c r="KV157" s="54"/>
      <c r="KW157" s="54"/>
      <c r="KX157" s="54"/>
    </row>
    <row r="158" ht="5.2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c r="BS158" s="54"/>
      <c r="BT158" s="54"/>
      <c r="BU158" s="54"/>
      <c r="BV158" s="54"/>
      <c r="BW158" s="54"/>
      <c r="BX158" s="54"/>
      <c r="BY158" s="54"/>
      <c r="BZ158" s="54"/>
      <c r="CA158" s="54"/>
      <c r="CB158" s="54"/>
      <c r="CC158" s="54"/>
      <c r="CD158" s="54"/>
      <c r="CE158" s="54"/>
      <c r="CF158" s="54"/>
      <c r="CG158" s="54"/>
      <c r="CH158" s="54"/>
      <c r="CI158" s="54"/>
      <c r="CJ158" s="54"/>
      <c r="CK158" s="54"/>
      <c r="CL158" s="54"/>
      <c r="CM158" s="54"/>
      <c r="CN158" s="54"/>
      <c r="CO158" s="54"/>
      <c r="CP158" s="54"/>
      <c r="CQ158" s="54"/>
      <c r="CR158" s="54"/>
      <c r="CS158" s="54"/>
      <c r="CT158" s="54"/>
      <c r="CU158" s="54"/>
      <c r="CV158" s="54"/>
      <c r="CW158" s="54"/>
      <c r="CX158" s="54"/>
      <c r="CY158" s="54"/>
      <c r="CZ158" s="54"/>
      <c r="DA158" s="54"/>
      <c r="DB158" s="54"/>
      <c r="DC158" s="108"/>
      <c r="DD158" s="60"/>
      <c r="DN158" s="11"/>
      <c r="DO158" s="10"/>
      <c r="DQ158" s="11"/>
      <c r="DR158" s="10"/>
      <c r="EG158" s="11"/>
      <c r="EH158" s="10"/>
      <c r="EL158" s="108"/>
      <c r="EM158" s="108"/>
      <c r="EN158" s="108"/>
      <c r="EO158" s="108"/>
      <c r="EP158" s="108"/>
      <c r="EQ158" s="108"/>
      <c r="ER158" s="108"/>
      <c r="ES158" s="108"/>
      <c r="ET158" s="108"/>
      <c r="EW158" s="11"/>
      <c r="EX158" s="10"/>
      <c r="EZ158" s="11"/>
      <c r="FA158" s="10"/>
      <c r="FD158" s="108"/>
      <c r="FE158" s="108"/>
      <c r="FF158" s="108"/>
      <c r="FG158" s="108"/>
      <c r="FH158" s="108"/>
      <c r="FI158" s="108"/>
      <c r="FJ158" s="108"/>
      <c r="FK158" s="116"/>
      <c r="FL158" s="108"/>
      <c r="FM158" s="54"/>
      <c r="FN158" s="54"/>
      <c r="FO158" s="54"/>
      <c r="FP158" s="54"/>
      <c r="FQ158" s="54"/>
      <c r="FR158" s="54"/>
      <c r="FS158" s="54"/>
      <c r="FT158" s="54"/>
      <c r="FU158" s="54"/>
      <c r="FV158" s="54"/>
      <c r="FW158" s="54"/>
      <c r="FX158" s="54"/>
      <c r="FY158" s="54"/>
      <c r="FZ158" s="54"/>
      <c r="GA158" s="54"/>
      <c r="GB158" s="54"/>
      <c r="GC158" s="54"/>
      <c r="GD158" s="54"/>
      <c r="GE158" s="54"/>
      <c r="GF158" s="54"/>
      <c r="GG158" s="54"/>
      <c r="GH158" s="54"/>
      <c r="GI158" s="54"/>
      <c r="GJ158" s="54"/>
      <c r="GK158" s="54"/>
      <c r="GL158" s="54"/>
      <c r="GM158" s="54"/>
      <c r="GN158" s="54"/>
      <c r="GO158" s="54"/>
      <c r="GP158" s="54"/>
      <c r="GQ158" s="54"/>
      <c r="GR158" s="54"/>
      <c r="GS158" s="54"/>
      <c r="GT158" s="54"/>
      <c r="GU158" s="54"/>
      <c r="GV158" s="54"/>
      <c r="GW158" s="54"/>
      <c r="GX158" s="54"/>
      <c r="GY158" s="54"/>
      <c r="GZ158" s="54"/>
      <c r="HA158" s="54"/>
      <c r="HB158" s="54"/>
      <c r="HC158" s="54"/>
      <c r="HD158" s="54"/>
      <c r="HE158" s="54"/>
      <c r="HF158" s="54"/>
      <c r="HG158" s="54"/>
      <c r="HH158" s="54"/>
      <c r="HI158" s="54"/>
      <c r="HJ158" s="54"/>
      <c r="HK158" s="54"/>
      <c r="HL158" s="54"/>
      <c r="HM158" s="54"/>
      <c r="HN158" s="54"/>
      <c r="HO158" s="54"/>
      <c r="HP158" s="54"/>
      <c r="HQ158" s="54"/>
      <c r="HR158" s="54"/>
      <c r="HS158" s="54"/>
      <c r="HT158" s="54"/>
      <c r="HU158" s="54"/>
      <c r="HV158" s="54"/>
      <c r="HW158" s="54"/>
      <c r="HX158" s="54"/>
      <c r="HY158" s="54"/>
      <c r="HZ158" s="54"/>
      <c r="IA158" s="54"/>
      <c r="IB158" s="54"/>
      <c r="IC158" s="54"/>
      <c r="ID158" s="54"/>
      <c r="IE158" s="54"/>
      <c r="IF158" s="54"/>
      <c r="IG158" s="54"/>
      <c r="IH158" s="54"/>
      <c r="II158" s="54"/>
      <c r="IJ158" s="54"/>
      <c r="IK158" s="54"/>
      <c r="IL158" s="54"/>
      <c r="IM158" s="54"/>
      <c r="IN158" s="54"/>
      <c r="IO158" s="54"/>
      <c r="IP158" s="54"/>
      <c r="IQ158" s="54"/>
      <c r="IR158" s="54"/>
      <c r="IS158" s="54"/>
      <c r="IT158" s="54"/>
      <c r="IU158" s="54"/>
      <c r="IV158" s="54"/>
      <c r="IW158" s="54"/>
      <c r="IX158" s="54"/>
      <c r="IY158" s="54"/>
      <c r="IZ158" s="54"/>
      <c r="JA158" s="54"/>
      <c r="JB158" s="54"/>
      <c r="JC158" s="54"/>
      <c r="JD158" s="54"/>
      <c r="JE158" s="54"/>
      <c r="JF158" s="54"/>
      <c r="JG158" s="54"/>
      <c r="JH158" s="54"/>
      <c r="JI158" s="54"/>
      <c r="JJ158" s="54"/>
      <c r="JK158" s="54"/>
      <c r="JL158" s="54"/>
      <c r="JM158" s="54"/>
      <c r="JN158" s="54"/>
      <c r="JO158" s="54"/>
      <c r="JP158" s="54"/>
      <c r="JQ158" s="54"/>
      <c r="JR158" s="54"/>
      <c r="JS158" s="54"/>
      <c r="JT158" s="54"/>
      <c r="JU158" s="54"/>
      <c r="JV158" s="54"/>
      <c r="JW158" s="54"/>
      <c r="JX158" s="54"/>
      <c r="JY158" s="54"/>
      <c r="JZ158" s="54"/>
      <c r="KA158" s="54"/>
      <c r="KB158" s="54"/>
      <c r="KC158" s="54"/>
      <c r="KD158" s="54"/>
      <c r="KE158" s="54"/>
      <c r="KF158" s="54"/>
      <c r="KG158" s="54"/>
      <c r="KH158" s="54"/>
      <c r="KI158" s="54"/>
      <c r="KJ158" s="54"/>
      <c r="KK158" s="54"/>
      <c r="KL158" s="54"/>
      <c r="KM158" s="54"/>
      <c r="KN158" s="54"/>
      <c r="KO158" s="54"/>
      <c r="KP158" s="54"/>
      <c r="KQ158" s="54"/>
      <c r="KR158" s="54"/>
      <c r="KS158" s="54"/>
      <c r="KT158" s="54"/>
      <c r="KU158" s="54"/>
      <c r="KV158" s="54"/>
      <c r="KW158" s="54"/>
      <c r="KX158" s="54"/>
    </row>
    <row r="159" ht="5.2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54"/>
      <c r="BU159" s="54"/>
      <c r="BV159" s="54"/>
      <c r="BW159" s="54"/>
      <c r="BX159" s="54"/>
      <c r="BY159" s="54"/>
      <c r="BZ159" s="54"/>
      <c r="CA159" s="54"/>
      <c r="CB159" s="54"/>
      <c r="CC159" s="54"/>
      <c r="CD159" s="54"/>
      <c r="CE159" s="54"/>
      <c r="CF159" s="54"/>
      <c r="CG159" s="54"/>
      <c r="CH159" s="54"/>
      <c r="CI159" s="54"/>
      <c r="CJ159" s="54"/>
      <c r="CK159" s="54"/>
      <c r="CL159" s="54"/>
      <c r="CM159" s="54"/>
      <c r="CN159" s="54"/>
      <c r="CO159" s="54"/>
      <c r="CP159" s="54"/>
      <c r="CQ159" s="54"/>
      <c r="CR159" s="54"/>
      <c r="CS159" s="54"/>
      <c r="CT159" s="54"/>
      <c r="CU159" s="54"/>
      <c r="CV159" s="54"/>
      <c r="CW159" s="54"/>
      <c r="CX159" s="54"/>
      <c r="CY159" s="54"/>
      <c r="CZ159" s="54"/>
      <c r="DA159" s="54"/>
      <c r="DB159" s="54"/>
      <c r="DC159" s="108"/>
      <c r="DD159" s="101"/>
      <c r="DE159" s="102"/>
      <c r="DF159" s="102"/>
      <c r="DG159" s="102"/>
      <c r="DH159" s="102"/>
      <c r="DI159" s="102"/>
      <c r="DJ159" s="102"/>
      <c r="DK159" s="102"/>
      <c r="DL159" s="102"/>
      <c r="DM159" s="102"/>
      <c r="DN159" s="103"/>
      <c r="DO159" s="104"/>
      <c r="DP159" s="102"/>
      <c r="DQ159" s="103"/>
      <c r="DR159" s="104"/>
      <c r="DS159" s="102"/>
      <c r="DT159" s="102"/>
      <c r="DU159" s="102"/>
      <c r="DV159" s="102"/>
      <c r="DW159" s="102"/>
      <c r="DX159" s="102"/>
      <c r="DY159" s="102"/>
      <c r="DZ159" s="102"/>
      <c r="EA159" s="102"/>
      <c r="EB159" s="102"/>
      <c r="EC159" s="102"/>
      <c r="ED159" s="102"/>
      <c r="EE159" s="102"/>
      <c r="EF159" s="102"/>
      <c r="EG159" s="103"/>
      <c r="EH159" s="104"/>
      <c r="EI159" s="102"/>
      <c r="EJ159" s="102"/>
      <c r="EK159" s="102"/>
      <c r="EL159" s="137"/>
      <c r="EM159" s="137"/>
      <c r="EN159" s="137"/>
      <c r="EO159" s="137"/>
      <c r="EP159" s="137"/>
      <c r="EQ159" s="137"/>
      <c r="ER159" s="137"/>
      <c r="ES159" s="137"/>
      <c r="ET159" s="137"/>
      <c r="EU159" s="102"/>
      <c r="EV159" s="102"/>
      <c r="EW159" s="103"/>
      <c r="EX159" s="104"/>
      <c r="EY159" s="102"/>
      <c r="EZ159" s="103"/>
      <c r="FA159" s="104"/>
      <c r="FB159" s="102"/>
      <c r="FC159" s="102"/>
      <c r="FD159" s="137"/>
      <c r="FE159" s="137"/>
      <c r="FF159" s="137"/>
      <c r="FG159" s="137"/>
      <c r="FH159" s="137"/>
      <c r="FI159" s="137"/>
      <c r="FJ159" s="137"/>
      <c r="FK159" s="138"/>
      <c r="FL159" s="108"/>
      <c r="FM159" s="54"/>
      <c r="FN159" s="54"/>
      <c r="FO159" s="54"/>
      <c r="FP159" s="54"/>
      <c r="FQ159" s="54"/>
      <c r="FR159" s="54"/>
      <c r="FS159" s="54"/>
      <c r="FT159" s="54"/>
      <c r="FU159" s="54"/>
      <c r="FV159" s="54"/>
      <c r="FW159" s="54"/>
      <c r="FX159" s="54"/>
      <c r="FY159" s="54"/>
      <c r="FZ159" s="54"/>
      <c r="GA159" s="54"/>
      <c r="GB159" s="54"/>
      <c r="GC159" s="54"/>
      <c r="GD159" s="54"/>
      <c r="GE159" s="54"/>
      <c r="GF159" s="54"/>
      <c r="GG159" s="54"/>
      <c r="GH159" s="54"/>
      <c r="GI159" s="54"/>
      <c r="GJ159" s="54"/>
      <c r="GK159" s="54"/>
      <c r="GL159" s="54"/>
      <c r="GM159" s="54"/>
      <c r="GN159" s="54"/>
      <c r="GO159" s="54"/>
      <c r="GP159" s="54"/>
      <c r="GQ159" s="54"/>
      <c r="GR159" s="54"/>
      <c r="GS159" s="54"/>
      <c r="GT159" s="54"/>
      <c r="GU159" s="54"/>
      <c r="GV159" s="54"/>
      <c r="GW159" s="54"/>
      <c r="GX159" s="54"/>
      <c r="GY159" s="54"/>
      <c r="GZ159" s="54"/>
      <c r="HA159" s="54"/>
      <c r="HB159" s="54"/>
      <c r="HC159" s="54"/>
      <c r="HD159" s="54"/>
      <c r="HE159" s="54"/>
      <c r="HF159" s="54"/>
      <c r="HG159" s="54"/>
      <c r="HH159" s="54"/>
      <c r="HI159" s="54"/>
      <c r="HJ159" s="54"/>
      <c r="HK159" s="54"/>
      <c r="HL159" s="54"/>
      <c r="HM159" s="54"/>
      <c r="HN159" s="54"/>
      <c r="HO159" s="54"/>
      <c r="HP159" s="54"/>
      <c r="HQ159" s="54"/>
      <c r="HR159" s="54"/>
      <c r="HS159" s="54"/>
      <c r="HT159" s="54"/>
      <c r="HU159" s="54"/>
      <c r="HV159" s="54"/>
      <c r="HW159" s="54"/>
      <c r="HX159" s="54"/>
      <c r="HY159" s="54"/>
      <c r="HZ159" s="54"/>
      <c r="IA159" s="54"/>
      <c r="IB159" s="54"/>
      <c r="IC159" s="54"/>
      <c r="ID159" s="54"/>
      <c r="IE159" s="54"/>
      <c r="IF159" s="54"/>
      <c r="IG159" s="54"/>
      <c r="IH159" s="54"/>
      <c r="II159" s="54"/>
      <c r="IJ159" s="54"/>
      <c r="IK159" s="54"/>
      <c r="IL159" s="54"/>
      <c r="IM159" s="54"/>
      <c r="IN159" s="54"/>
      <c r="IO159" s="54"/>
      <c r="IP159" s="54"/>
      <c r="IQ159" s="54"/>
      <c r="IR159" s="54"/>
      <c r="IS159" s="54"/>
      <c r="IT159" s="54"/>
      <c r="IU159" s="54"/>
      <c r="IV159" s="54"/>
      <c r="IW159" s="54"/>
      <c r="IX159" s="54"/>
      <c r="IY159" s="54"/>
      <c r="IZ159" s="54"/>
      <c r="JA159" s="54"/>
      <c r="JB159" s="54"/>
      <c r="JC159" s="54"/>
      <c r="JD159" s="54"/>
      <c r="JE159" s="54"/>
      <c r="JF159" s="54"/>
      <c r="JG159" s="54"/>
      <c r="JH159" s="54"/>
      <c r="JI159" s="54"/>
      <c r="JJ159" s="54"/>
      <c r="JK159" s="54"/>
      <c r="JL159" s="54"/>
      <c r="JM159" s="54"/>
      <c r="JN159" s="54"/>
      <c r="JO159" s="54"/>
      <c r="JP159" s="54"/>
      <c r="JQ159" s="54"/>
      <c r="JR159" s="54"/>
      <c r="JS159" s="54"/>
      <c r="JT159" s="54"/>
      <c r="JU159" s="54"/>
      <c r="JV159" s="54"/>
      <c r="JW159" s="54"/>
      <c r="JX159" s="54"/>
      <c r="JY159" s="54"/>
      <c r="JZ159" s="54"/>
      <c r="KA159" s="54"/>
      <c r="KB159" s="54"/>
      <c r="KC159" s="54"/>
      <c r="KD159" s="54"/>
      <c r="KE159" s="54"/>
      <c r="KF159" s="54"/>
      <c r="KG159" s="54"/>
      <c r="KH159" s="54"/>
      <c r="KI159" s="54"/>
      <c r="KJ159" s="54"/>
      <c r="KK159" s="54"/>
      <c r="KL159" s="54"/>
      <c r="KM159" s="54"/>
      <c r="KN159" s="54"/>
      <c r="KO159" s="54"/>
      <c r="KP159" s="54"/>
      <c r="KQ159" s="54"/>
      <c r="KR159" s="54"/>
      <c r="KS159" s="54"/>
      <c r="KT159" s="54"/>
      <c r="KU159" s="54"/>
      <c r="KV159" s="54"/>
      <c r="KW159" s="54"/>
      <c r="KX159" s="54"/>
    </row>
    <row r="160" ht="5.2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c r="BS160" s="54"/>
      <c r="BT160" s="54"/>
      <c r="BU160" s="54"/>
      <c r="BV160" s="54"/>
      <c r="BW160" s="54"/>
      <c r="BX160" s="54"/>
      <c r="BY160" s="54"/>
      <c r="BZ160" s="54"/>
      <c r="CA160" s="54"/>
      <c r="CB160" s="54"/>
      <c r="CC160" s="54"/>
      <c r="CD160" s="54"/>
      <c r="CE160" s="54"/>
      <c r="CF160" s="54"/>
      <c r="CG160" s="54"/>
      <c r="CH160" s="54"/>
      <c r="CI160" s="54"/>
      <c r="CJ160" s="54"/>
      <c r="CK160" s="54"/>
      <c r="CL160" s="54"/>
      <c r="CM160" s="54"/>
      <c r="CN160" s="54"/>
      <c r="CO160" s="54"/>
      <c r="CP160" s="54"/>
      <c r="CQ160" s="54"/>
      <c r="CR160" s="54"/>
      <c r="CS160" s="54"/>
      <c r="CT160" s="54"/>
      <c r="CU160" s="54"/>
      <c r="CV160" s="54"/>
      <c r="CW160" s="54"/>
      <c r="CX160" s="54"/>
      <c r="CY160" s="54"/>
      <c r="CZ160" s="54"/>
      <c r="DA160" s="54"/>
      <c r="DB160" s="54"/>
      <c r="DC160" s="54"/>
      <c r="DD160" s="54"/>
      <c r="DE160" s="54"/>
      <c r="DF160" s="54"/>
      <c r="DG160" s="54"/>
      <c r="DH160" s="54"/>
      <c r="DI160" s="54"/>
      <c r="DJ160" s="54"/>
      <c r="DK160" s="54"/>
      <c r="DL160" s="54"/>
      <c r="DM160" s="54"/>
      <c r="DN160" s="54"/>
      <c r="DO160" s="54"/>
      <c r="DP160" s="54"/>
      <c r="DQ160" s="54"/>
      <c r="DR160" s="54"/>
      <c r="DS160" s="54"/>
      <c r="DT160" s="54"/>
      <c r="DU160" s="54"/>
      <c r="DV160" s="54"/>
      <c r="DW160" s="54"/>
      <c r="DX160" s="54"/>
      <c r="DY160" s="54"/>
      <c r="DZ160" s="54"/>
      <c r="EA160" s="54"/>
      <c r="EB160" s="54"/>
      <c r="EC160" s="54"/>
      <c r="ED160" s="54"/>
      <c r="EE160" s="54"/>
      <c r="EF160" s="54"/>
      <c r="EG160" s="54"/>
      <c r="EH160" s="54"/>
      <c r="EI160" s="54"/>
      <c r="EJ160" s="54"/>
      <c r="EK160" s="54"/>
      <c r="EL160" s="54"/>
      <c r="EM160" s="54"/>
      <c r="EN160" s="54"/>
      <c r="EO160" s="54"/>
      <c r="EP160" s="54"/>
      <c r="EQ160" s="54"/>
      <c r="ER160" s="54"/>
      <c r="ES160" s="54"/>
      <c r="ET160" s="54"/>
      <c r="EU160" s="54"/>
      <c r="EV160" s="54"/>
      <c r="EW160" s="54"/>
      <c r="EX160" s="54"/>
      <c r="EY160" s="54"/>
      <c r="EZ160" s="54"/>
      <c r="FA160" s="54"/>
      <c r="FB160" s="54"/>
      <c r="FC160" s="54"/>
      <c r="FD160" s="54"/>
      <c r="FE160" s="54"/>
      <c r="FF160" s="54"/>
      <c r="FG160" s="54"/>
      <c r="FH160" s="54"/>
      <c r="FI160" s="54"/>
      <c r="FJ160" s="54"/>
      <c r="FK160" s="54"/>
      <c r="FL160" s="54"/>
      <c r="FM160" s="54"/>
      <c r="FN160" s="54"/>
      <c r="FO160" s="54"/>
      <c r="FP160" s="54"/>
      <c r="FQ160" s="54"/>
      <c r="FR160" s="54"/>
      <c r="FS160" s="54"/>
      <c r="FT160" s="54"/>
      <c r="FU160" s="54"/>
      <c r="FV160" s="54"/>
      <c r="FW160" s="54"/>
      <c r="FX160" s="54"/>
      <c r="FY160" s="54"/>
      <c r="FZ160" s="54"/>
      <c r="GA160" s="54"/>
      <c r="GB160" s="54"/>
      <c r="GC160" s="54"/>
      <c r="GD160" s="54"/>
      <c r="GE160" s="54"/>
      <c r="GF160" s="54"/>
      <c r="GG160" s="54"/>
      <c r="GH160" s="54"/>
      <c r="GI160" s="54"/>
      <c r="GJ160" s="54"/>
      <c r="GK160" s="54"/>
      <c r="GL160" s="54"/>
      <c r="GM160" s="54"/>
      <c r="GN160" s="54"/>
      <c r="GO160" s="54"/>
      <c r="GP160" s="54"/>
      <c r="GQ160" s="54"/>
      <c r="GR160" s="54"/>
      <c r="GS160" s="54"/>
      <c r="GT160" s="54"/>
      <c r="GU160" s="54"/>
      <c r="GV160" s="54"/>
      <c r="GW160" s="54"/>
      <c r="GX160" s="54"/>
      <c r="GY160" s="54"/>
      <c r="GZ160" s="54"/>
      <c r="HA160" s="54"/>
      <c r="HB160" s="54"/>
      <c r="HC160" s="54"/>
      <c r="HD160" s="54"/>
      <c r="HE160" s="54"/>
      <c r="HF160" s="54"/>
      <c r="HG160" s="54"/>
      <c r="HH160" s="54"/>
      <c r="HI160" s="54"/>
      <c r="HJ160" s="54"/>
      <c r="HK160" s="54"/>
      <c r="HL160" s="54"/>
      <c r="HM160" s="54"/>
      <c r="HN160" s="54"/>
      <c r="HO160" s="54"/>
      <c r="HP160" s="54"/>
      <c r="HQ160" s="54"/>
      <c r="HR160" s="54"/>
      <c r="HS160" s="54"/>
      <c r="HT160" s="54"/>
      <c r="HU160" s="54"/>
      <c r="HV160" s="54"/>
      <c r="HW160" s="54"/>
      <c r="HX160" s="54"/>
      <c r="HY160" s="54"/>
      <c r="HZ160" s="54"/>
      <c r="IA160" s="54"/>
      <c r="IB160" s="54"/>
      <c r="IC160" s="54"/>
      <c r="ID160" s="54"/>
      <c r="IE160" s="54"/>
      <c r="IF160" s="54"/>
      <c r="IG160" s="54"/>
      <c r="IH160" s="54"/>
      <c r="II160" s="54"/>
      <c r="IJ160" s="54"/>
      <c r="IK160" s="54"/>
      <c r="IL160" s="54"/>
      <c r="IM160" s="54"/>
      <c r="IN160" s="54"/>
      <c r="IO160" s="54"/>
      <c r="IP160" s="54"/>
      <c r="IQ160" s="54"/>
      <c r="IR160" s="54"/>
      <c r="IS160" s="54"/>
      <c r="IT160" s="54"/>
      <c r="IU160" s="54"/>
      <c r="IV160" s="54"/>
      <c r="IW160" s="54"/>
      <c r="IX160" s="54"/>
      <c r="IY160" s="54"/>
      <c r="IZ160" s="54"/>
      <c r="JA160" s="54"/>
      <c r="JB160" s="54"/>
      <c r="JC160" s="54"/>
      <c r="JD160" s="54"/>
      <c r="JE160" s="54"/>
      <c r="JF160" s="54"/>
      <c r="JG160" s="54"/>
      <c r="JH160" s="54"/>
      <c r="JI160" s="54"/>
      <c r="JJ160" s="54"/>
      <c r="JK160" s="54"/>
      <c r="JL160" s="54"/>
      <c r="JM160" s="54"/>
      <c r="JN160" s="54"/>
      <c r="JO160" s="54"/>
      <c r="JP160" s="54"/>
      <c r="JQ160" s="54"/>
      <c r="JR160" s="54"/>
      <c r="JS160" s="54"/>
      <c r="JT160" s="54"/>
      <c r="JU160" s="54"/>
      <c r="JV160" s="54"/>
      <c r="JW160" s="54"/>
      <c r="JX160" s="54"/>
      <c r="JY160" s="54"/>
      <c r="JZ160" s="54"/>
      <c r="KA160" s="54"/>
      <c r="KB160" s="54"/>
      <c r="KC160" s="54"/>
      <c r="KD160" s="54"/>
      <c r="KE160" s="54"/>
      <c r="KF160" s="54"/>
      <c r="KG160" s="54"/>
      <c r="KH160" s="54"/>
      <c r="KI160" s="54"/>
      <c r="KJ160" s="54"/>
      <c r="KK160" s="54"/>
      <c r="KL160" s="54"/>
      <c r="KM160" s="54"/>
      <c r="KN160" s="54"/>
      <c r="KO160" s="54"/>
      <c r="KP160" s="54"/>
      <c r="KQ160" s="54"/>
      <c r="KR160" s="54"/>
      <c r="KS160" s="54"/>
      <c r="KT160" s="54"/>
      <c r="KU160" s="54"/>
      <c r="KV160" s="54"/>
      <c r="KW160" s="54"/>
      <c r="KX160" s="54"/>
    </row>
    <row r="161" ht="5.2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54"/>
      <c r="BU161" s="54"/>
      <c r="BV161" s="54"/>
      <c r="BW161" s="54"/>
      <c r="BX161" s="54"/>
      <c r="BY161" s="54"/>
      <c r="BZ161" s="54"/>
      <c r="CA161" s="54"/>
      <c r="CB161" s="54"/>
      <c r="CC161" s="54"/>
      <c r="CD161" s="54"/>
      <c r="CE161" s="54"/>
      <c r="CF161" s="54"/>
      <c r="CG161" s="54"/>
      <c r="CH161" s="54"/>
      <c r="CI161" s="54"/>
      <c r="CJ161" s="54"/>
      <c r="CK161" s="54"/>
      <c r="CL161" s="54"/>
      <c r="CM161" s="54"/>
      <c r="CN161" s="54"/>
      <c r="CO161" s="54"/>
      <c r="CP161" s="54"/>
      <c r="CQ161" s="54"/>
      <c r="CR161" s="54"/>
      <c r="CS161" s="54"/>
      <c r="CT161" s="54"/>
      <c r="CU161" s="54"/>
      <c r="CV161" s="54"/>
      <c r="CW161" s="54"/>
      <c r="CX161" s="54"/>
      <c r="CY161" s="54"/>
      <c r="CZ161" s="54"/>
      <c r="DA161" s="54"/>
      <c r="DB161" s="54"/>
      <c r="DC161" s="54"/>
      <c r="DD161" s="54"/>
      <c r="DE161" s="54"/>
      <c r="DF161" s="54"/>
      <c r="DG161" s="54"/>
      <c r="DH161" s="54"/>
      <c r="DI161" s="54"/>
      <c r="DJ161" s="54"/>
      <c r="DK161" s="54"/>
      <c r="DL161" s="54"/>
      <c r="DM161" s="54"/>
      <c r="DN161" s="54"/>
      <c r="DO161" s="54"/>
      <c r="DP161" s="54"/>
      <c r="DQ161" s="54"/>
      <c r="DR161" s="54"/>
      <c r="DS161" s="54"/>
      <c r="DT161" s="54"/>
      <c r="DU161" s="54"/>
      <c r="DV161" s="54"/>
      <c r="DW161" s="54"/>
      <c r="DX161" s="54"/>
      <c r="DY161" s="54"/>
      <c r="DZ161" s="54"/>
      <c r="EA161" s="54"/>
      <c r="EB161" s="54"/>
      <c r="EC161" s="54"/>
      <c r="ED161" s="54"/>
      <c r="EE161" s="54"/>
      <c r="EF161" s="54"/>
      <c r="EG161" s="54"/>
      <c r="EH161" s="54"/>
      <c r="EI161" s="54"/>
      <c r="EJ161" s="54"/>
      <c r="EK161" s="54"/>
      <c r="EL161" s="54"/>
      <c r="EM161" s="54"/>
      <c r="EN161" s="54"/>
      <c r="EO161" s="54"/>
      <c r="EP161" s="54"/>
      <c r="EQ161" s="54"/>
      <c r="ER161" s="54"/>
      <c r="ES161" s="54"/>
      <c r="ET161" s="54"/>
      <c r="EU161" s="54"/>
      <c r="EV161" s="54"/>
      <c r="EW161" s="54"/>
      <c r="EX161" s="54"/>
      <c r="EY161" s="54"/>
      <c r="EZ161" s="54"/>
      <c r="FA161" s="54"/>
      <c r="FB161" s="54"/>
      <c r="FC161" s="54"/>
      <c r="FD161" s="54"/>
      <c r="FE161" s="54"/>
      <c r="FF161" s="54"/>
      <c r="FG161" s="54"/>
      <c r="FH161" s="54"/>
      <c r="FI161" s="54"/>
      <c r="FJ161" s="54"/>
      <c r="FK161" s="54"/>
      <c r="FL161" s="54"/>
      <c r="FM161" s="54"/>
      <c r="FN161" s="54"/>
      <c r="FO161" s="54"/>
      <c r="FP161" s="54"/>
      <c r="FQ161" s="54"/>
      <c r="FR161" s="54"/>
      <c r="FS161" s="54"/>
      <c r="FT161" s="54"/>
      <c r="FU161" s="54"/>
      <c r="FV161" s="54"/>
      <c r="FW161" s="54"/>
      <c r="FX161" s="54"/>
      <c r="FY161" s="54"/>
      <c r="FZ161" s="54"/>
      <c r="GA161" s="54"/>
      <c r="GB161" s="54"/>
      <c r="GC161" s="54"/>
      <c r="GD161" s="54"/>
      <c r="GE161" s="54"/>
      <c r="GF161" s="54"/>
      <c r="GG161" s="54"/>
      <c r="GH161" s="54"/>
      <c r="GI161" s="54"/>
      <c r="GJ161" s="54"/>
      <c r="GK161" s="54"/>
      <c r="GL161" s="54"/>
      <c r="GM161" s="54"/>
      <c r="GN161" s="54"/>
      <c r="GO161" s="54"/>
      <c r="GP161" s="54"/>
      <c r="GQ161" s="54"/>
      <c r="GR161" s="54"/>
      <c r="GS161" s="54"/>
      <c r="GT161" s="54"/>
      <c r="GU161" s="54"/>
      <c r="GV161" s="54"/>
      <c r="GW161" s="54"/>
      <c r="GX161" s="54"/>
      <c r="GY161" s="54"/>
      <c r="GZ161" s="54"/>
      <c r="HA161" s="54"/>
      <c r="HB161" s="54"/>
      <c r="HC161" s="54"/>
      <c r="HD161" s="54"/>
      <c r="HE161" s="54"/>
      <c r="HF161" s="54"/>
      <c r="HG161" s="54"/>
      <c r="HH161" s="54"/>
      <c r="HI161" s="54"/>
      <c r="HJ161" s="54"/>
      <c r="HK161" s="54"/>
      <c r="HL161" s="54"/>
      <c r="HM161" s="54"/>
      <c r="HN161" s="54"/>
      <c r="HO161" s="54"/>
      <c r="HP161" s="54"/>
      <c r="HQ161" s="54"/>
      <c r="HR161" s="54"/>
      <c r="HS161" s="54"/>
      <c r="HT161" s="54"/>
      <c r="HU161" s="54"/>
      <c r="HV161" s="54"/>
      <c r="HW161" s="54"/>
      <c r="HX161" s="54"/>
      <c r="HY161" s="54"/>
      <c r="HZ161" s="54"/>
      <c r="IA161" s="54"/>
      <c r="IB161" s="54"/>
      <c r="IC161" s="54"/>
      <c r="ID161" s="54"/>
      <c r="IE161" s="54"/>
      <c r="IF161" s="54"/>
      <c r="IG161" s="54"/>
      <c r="IH161" s="54"/>
      <c r="II161" s="54"/>
      <c r="IJ161" s="54"/>
      <c r="IK161" s="54"/>
      <c r="IL161" s="54"/>
      <c r="IM161" s="54"/>
      <c r="IN161" s="54"/>
      <c r="IO161" s="54"/>
      <c r="IP161" s="54"/>
      <c r="IQ161" s="54"/>
      <c r="IR161" s="54"/>
      <c r="IS161" s="54"/>
      <c r="IT161" s="54"/>
      <c r="IU161" s="54"/>
      <c r="IV161" s="54"/>
      <c r="IW161" s="54"/>
      <c r="IX161" s="54"/>
      <c r="IY161" s="54"/>
      <c r="IZ161" s="54"/>
      <c r="JA161" s="54"/>
      <c r="JB161" s="54"/>
      <c r="JC161" s="54"/>
      <c r="JD161" s="54"/>
      <c r="JE161" s="54"/>
      <c r="JF161" s="54"/>
      <c r="JG161" s="54"/>
      <c r="JH161" s="54"/>
      <c r="JI161" s="54"/>
      <c r="JJ161" s="54"/>
      <c r="JK161" s="54"/>
      <c r="JL161" s="54"/>
      <c r="JM161" s="54"/>
      <c r="JN161" s="54"/>
      <c r="JO161" s="54"/>
      <c r="JP161" s="54"/>
      <c r="JQ161" s="54"/>
      <c r="JR161" s="54"/>
      <c r="JS161" s="54"/>
      <c r="JT161" s="54"/>
      <c r="JU161" s="54"/>
      <c r="JV161" s="54"/>
      <c r="JW161" s="54"/>
      <c r="JX161" s="54"/>
      <c r="JY161" s="54"/>
      <c r="JZ161" s="54"/>
      <c r="KA161" s="54"/>
      <c r="KB161" s="54"/>
      <c r="KC161" s="54"/>
      <c r="KD161" s="54"/>
      <c r="KE161" s="54"/>
      <c r="KF161" s="54"/>
      <c r="KG161" s="54"/>
      <c r="KH161" s="54"/>
      <c r="KI161" s="54"/>
      <c r="KJ161" s="54"/>
      <c r="KK161" s="54"/>
      <c r="KL161" s="54"/>
      <c r="KM161" s="54"/>
      <c r="KN161" s="54"/>
      <c r="KO161" s="54"/>
      <c r="KP161" s="54"/>
      <c r="KQ161" s="54"/>
      <c r="KR161" s="54"/>
      <c r="KS161" s="54"/>
      <c r="KT161" s="54"/>
      <c r="KU161" s="54"/>
      <c r="KV161" s="54"/>
      <c r="KW161" s="54"/>
      <c r="KX161" s="54"/>
    </row>
    <row r="162" ht="5.2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c r="BS162" s="54"/>
      <c r="BT162" s="54"/>
      <c r="BU162" s="54"/>
      <c r="BV162" s="54"/>
      <c r="BW162" s="54"/>
      <c r="BX162" s="54"/>
      <c r="BY162" s="54"/>
      <c r="BZ162" s="54"/>
      <c r="CA162" s="54"/>
      <c r="CB162" s="54"/>
      <c r="CC162" s="54"/>
      <c r="CD162" s="54"/>
      <c r="CE162" s="54"/>
      <c r="CF162" s="54"/>
      <c r="CG162" s="54"/>
      <c r="CH162" s="54"/>
      <c r="CI162" s="54"/>
      <c r="CJ162" s="54"/>
      <c r="CK162" s="54"/>
      <c r="CL162" s="54"/>
      <c r="CM162" s="54"/>
      <c r="CN162" s="54"/>
      <c r="CO162" s="54"/>
      <c r="CP162" s="54"/>
      <c r="CQ162" s="54"/>
      <c r="CR162" s="54"/>
      <c r="CS162" s="54"/>
      <c r="CT162" s="54"/>
      <c r="CU162" s="54"/>
      <c r="CV162" s="54"/>
      <c r="CW162" s="54"/>
      <c r="CX162" s="54"/>
      <c r="CY162" s="54"/>
      <c r="CZ162" s="54"/>
      <c r="DA162" s="54"/>
      <c r="DB162" s="54"/>
      <c r="DC162" s="54"/>
      <c r="DD162" s="54"/>
      <c r="DE162" s="54"/>
      <c r="DF162" s="54"/>
      <c r="DG162" s="54"/>
      <c r="DH162" s="54"/>
      <c r="DI162" s="54"/>
      <c r="DJ162" s="54"/>
      <c r="DK162" s="54"/>
      <c r="DL162" s="54"/>
      <c r="DM162" s="54"/>
      <c r="DN162" s="54"/>
      <c r="DO162" s="54"/>
      <c r="DP162" s="54"/>
      <c r="DQ162" s="54"/>
      <c r="DR162" s="54"/>
      <c r="DS162" s="54"/>
      <c r="DT162" s="54"/>
      <c r="DU162" s="54"/>
      <c r="DV162" s="54"/>
      <c r="DW162" s="54"/>
      <c r="DX162" s="54"/>
      <c r="DY162" s="54"/>
      <c r="DZ162" s="54"/>
      <c r="EA162" s="54"/>
      <c r="EB162" s="54"/>
      <c r="EC162" s="54"/>
      <c r="ED162" s="54"/>
      <c r="EE162" s="54"/>
      <c r="EF162" s="54"/>
      <c r="EG162" s="54"/>
      <c r="EH162" s="54"/>
      <c r="EI162" s="54"/>
      <c r="EJ162" s="54"/>
      <c r="EK162" s="54"/>
      <c r="EL162" s="54"/>
      <c r="EM162" s="54"/>
      <c r="EN162" s="54"/>
      <c r="EO162" s="54"/>
      <c r="EP162" s="54"/>
      <c r="EQ162" s="54"/>
      <c r="ER162" s="54"/>
      <c r="ES162" s="54"/>
      <c r="ET162" s="54"/>
      <c r="EU162" s="54"/>
      <c r="EV162" s="54"/>
      <c r="EW162" s="54"/>
      <c r="EX162" s="54"/>
      <c r="EY162" s="54"/>
      <c r="EZ162" s="54"/>
      <c r="FA162" s="54"/>
      <c r="FB162" s="54"/>
      <c r="FC162" s="54"/>
      <c r="FD162" s="54"/>
      <c r="FE162" s="54"/>
      <c r="FF162" s="54"/>
      <c r="FG162" s="54"/>
      <c r="FH162" s="54"/>
      <c r="FI162" s="54"/>
      <c r="FJ162" s="54"/>
      <c r="FK162" s="54"/>
      <c r="FL162" s="54"/>
      <c r="FM162" s="54"/>
      <c r="FN162" s="54"/>
      <c r="FO162" s="54"/>
      <c r="FP162" s="54"/>
      <c r="FQ162" s="54"/>
      <c r="FR162" s="54"/>
      <c r="FS162" s="54"/>
      <c r="FT162" s="54"/>
      <c r="FU162" s="54"/>
      <c r="FV162" s="54"/>
      <c r="FW162" s="54"/>
      <c r="FX162" s="54"/>
      <c r="FY162" s="54"/>
      <c r="FZ162" s="54"/>
      <c r="GA162" s="54"/>
      <c r="GB162" s="54"/>
      <c r="GC162" s="54"/>
      <c r="GD162" s="54"/>
      <c r="GE162" s="54"/>
      <c r="GF162" s="54"/>
      <c r="GG162" s="54"/>
      <c r="GH162" s="54"/>
      <c r="GI162" s="54"/>
      <c r="GJ162" s="54"/>
      <c r="GK162" s="54"/>
      <c r="GL162" s="54"/>
      <c r="GM162" s="54"/>
      <c r="GN162" s="54"/>
      <c r="GO162" s="54"/>
      <c r="GP162" s="54"/>
      <c r="GQ162" s="54"/>
      <c r="GR162" s="54"/>
      <c r="GS162" s="54"/>
      <c r="GT162" s="54"/>
      <c r="GU162" s="54"/>
      <c r="GV162" s="54"/>
      <c r="GW162" s="54"/>
      <c r="GX162" s="54"/>
      <c r="GY162" s="54"/>
      <c r="GZ162" s="54"/>
      <c r="HA162" s="54"/>
      <c r="HB162" s="54"/>
      <c r="HC162" s="54"/>
      <c r="HD162" s="54"/>
      <c r="HE162" s="54"/>
      <c r="HF162" s="54"/>
      <c r="HG162" s="54"/>
      <c r="HH162" s="54"/>
      <c r="HI162" s="54"/>
      <c r="HJ162" s="54"/>
      <c r="HK162" s="54"/>
      <c r="HL162" s="54"/>
      <c r="HM162" s="54"/>
      <c r="HN162" s="54"/>
      <c r="HO162" s="54"/>
      <c r="HP162" s="54"/>
      <c r="HQ162" s="54"/>
      <c r="HR162" s="54"/>
      <c r="HS162" s="54"/>
      <c r="HT162" s="54"/>
      <c r="HU162" s="54"/>
      <c r="HV162" s="54"/>
      <c r="HW162" s="54"/>
      <c r="HX162" s="54"/>
      <c r="HY162" s="54"/>
      <c r="HZ162" s="54"/>
      <c r="IA162" s="54"/>
      <c r="IB162" s="54"/>
      <c r="IC162" s="54"/>
      <c r="ID162" s="54"/>
      <c r="IE162" s="54"/>
      <c r="IF162" s="54"/>
      <c r="IG162" s="54"/>
      <c r="IH162" s="54"/>
      <c r="II162" s="54"/>
      <c r="IJ162" s="54"/>
      <c r="IK162" s="54"/>
      <c r="IL162" s="54"/>
      <c r="IM162" s="54"/>
      <c r="IN162" s="54"/>
      <c r="IO162" s="54"/>
      <c r="IP162" s="54"/>
      <c r="IQ162" s="54"/>
      <c r="IR162" s="54"/>
      <c r="IS162" s="54"/>
      <c r="IT162" s="54"/>
      <c r="IU162" s="54"/>
      <c r="IV162" s="54"/>
      <c r="IW162" s="54"/>
      <c r="IX162" s="54"/>
      <c r="IY162" s="54"/>
      <c r="IZ162" s="54"/>
      <c r="JA162" s="54"/>
      <c r="JB162" s="54"/>
      <c r="JC162" s="54"/>
      <c r="JD162" s="54"/>
      <c r="JE162" s="54"/>
      <c r="JF162" s="54"/>
      <c r="JG162" s="54"/>
      <c r="JH162" s="54"/>
      <c r="JI162" s="54"/>
      <c r="JJ162" s="54"/>
      <c r="JK162" s="54"/>
      <c r="JL162" s="54"/>
      <c r="JM162" s="54"/>
      <c r="JN162" s="54"/>
      <c r="JO162" s="54"/>
      <c r="JP162" s="54"/>
      <c r="JQ162" s="54"/>
      <c r="JR162" s="54"/>
      <c r="JS162" s="54"/>
      <c r="JT162" s="54"/>
      <c r="JU162" s="54"/>
      <c r="JV162" s="54"/>
      <c r="JW162" s="54"/>
      <c r="JX162" s="54"/>
      <c r="JY162" s="54"/>
      <c r="JZ162" s="54"/>
      <c r="KA162" s="54"/>
      <c r="KB162" s="54"/>
      <c r="KC162" s="54"/>
      <c r="KD162" s="54"/>
      <c r="KE162" s="54"/>
      <c r="KF162" s="54"/>
      <c r="KG162" s="54"/>
      <c r="KH162" s="54"/>
      <c r="KI162" s="54"/>
      <c r="KJ162" s="54"/>
      <c r="KK162" s="54"/>
      <c r="KL162" s="54"/>
      <c r="KM162" s="54"/>
      <c r="KN162" s="54"/>
      <c r="KO162" s="54"/>
      <c r="KP162" s="54"/>
      <c r="KQ162" s="54"/>
      <c r="KR162" s="54"/>
      <c r="KS162" s="54"/>
      <c r="KT162" s="54"/>
      <c r="KU162" s="54"/>
      <c r="KV162" s="54"/>
      <c r="KW162" s="54"/>
      <c r="KX162" s="54"/>
    </row>
    <row r="163" ht="5.2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c r="BS163" s="54"/>
      <c r="BT163" s="54"/>
      <c r="BU163" s="54"/>
      <c r="BV163" s="54"/>
      <c r="BW163" s="54"/>
      <c r="BX163" s="54">
        <f>if(or(CX175="",DB175="",CX182="",DB182="",CX189="",DB189=""),0,1)</f>
        <v>0</v>
      </c>
      <c r="BY163" s="54"/>
      <c r="BZ163" s="54"/>
      <c r="CA163" s="54"/>
      <c r="CB163" s="54"/>
      <c r="CC163" s="54"/>
      <c r="CD163" s="54"/>
      <c r="CE163" s="54"/>
      <c r="CF163" s="54"/>
      <c r="CG163" s="54"/>
      <c r="CH163" s="54"/>
      <c r="CI163" s="54"/>
      <c r="CJ163" s="54"/>
      <c r="CK163" s="54"/>
      <c r="CL163" s="54"/>
      <c r="CM163" s="54"/>
      <c r="CN163" s="54"/>
      <c r="CO163" s="54"/>
      <c r="CP163" s="54"/>
      <c r="CQ163" s="54"/>
      <c r="CR163" s="54"/>
      <c r="CS163" s="54"/>
      <c r="CT163" s="54"/>
      <c r="CU163" s="54"/>
      <c r="CV163" s="54"/>
      <c r="CW163" s="54"/>
      <c r="CX163" s="54"/>
      <c r="CY163" s="54"/>
      <c r="CZ163" s="54"/>
      <c r="DA163" s="54"/>
      <c r="DB163" s="54"/>
      <c r="DC163" s="54"/>
      <c r="DD163" s="54"/>
      <c r="DE163" s="54"/>
      <c r="DF163" s="54"/>
      <c r="DG163" s="54"/>
      <c r="DH163" s="54"/>
      <c r="DI163" s="54"/>
      <c r="DJ163" s="54"/>
      <c r="DK163" s="54"/>
      <c r="DL163" s="54"/>
      <c r="DM163" s="54"/>
      <c r="DN163" s="54"/>
      <c r="DO163" s="54"/>
      <c r="DP163" s="54"/>
      <c r="DQ163" s="54"/>
      <c r="DR163" s="54"/>
      <c r="DS163" s="54"/>
      <c r="DT163" s="54"/>
      <c r="DU163" s="54"/>
      <c r="DV163" s="54"/>
      <c r="DW163" s="54"/>
      <c r="DX163" s="54"/>
      <c r="DY163" s="54"/>
      <c r="DZ163" s="54"/>
      <c r="EA163" s="54"/>
      <c r="EB163" s="54"/>
      <c r="EC163" s="54"/>
      <c r="ED163" s="54"/>
      <c r="EE163" s="54"/>
      <c r="EF163" s="54"/>
      <c r="EG163" s="54"/>
      <c r="EH163" s="54"/>
      <c r="EI163" s="54"/>
      <c r="EJ163" s="54">
        <f>if(or(FJ175="",FN175="",FJ182="",FN182="",FJ189="",FN189=""),0,1)</f>
        <v>0</v>
      </c>
      <c r="EK163" s="54"/>
      <c r="EL163" s="54"/>
      <c r="EM163" s="54"/>
      <c r="EN163" s="54"/>
      <c r="EO163" s="54"/>
      <c r="EP163" s="54"/>
      <c r="EQ163" s="54"/>
      <c r="ER163" s="54"/>
      <c r="ES163" s="54"/>
      <c r="ET163" s="54"/>
      <c r="EU163" s="54"/>
      <c r="EV163" s="54"/>
      <c r="EW163" s="54"/>
      <c r="EX163" s="54"/>
      <c r="EY163" s="54"/>
      <c r="EZ163" s="54"/>
      <c r="FA163" s="54"/>
      <c r="FB163" s="54"/>
      <c r="FC163" s="54"/>
      <c r="FD163" s="54"/>
      <c r="FE163" s="54"/>
      <c r="FF163" s="54"/>
      <c r="FG163" s="54"/>
      <c r="FH163" s="54"/>
      <c r="FI163" s="54"/>
      <c r="FJ163" s="54"/>
      <c r="FK163" s="54"/>
      <c r="FL163" s="54"/>
      <c r="FM163" s="54"/>
      <c r="FN163" s="54"/>
      <c r="FO163" s="54"/>
      <c r="FP163" s="54"/>
      <c r="FQ163" s="54"/>
      <c r="FR163" s="54"/>
      <c r="FS163" s="54"/>
      <c r="FT163" s="54"/>
      <c r="FU163" s="54"/>
      <c r="FV163" s="54"/>
      <c r="FW163" s="54"/>
      <c r="FX163" s="54"/>
      <c r="FY163" s="54"/>
      <c r="FZ163" s="54"/>
      <c r="GA163" s="54"/>
      <c r="GB163" s="54"/>
      <c r="GC163" s="54"/>
      <c r="GD163" s="54"/>
      <c r="GE163" s="54"/>
      <c r="GF163" s="54"/>
      <c r="GG163" s="54"/>
      <c r="GH163" s="54"/>
      <c r="GI163" s="54"/>
      <c r="GJ163" s="54"/>
      <c r="GK163" s="54"/>
      <c r="GL163" s="54"/>
      <c r="GM163" s="54"/>
      <c r="GN163" s="54"/>
      <c r="GO163" s="54"/>
      <c r="GP163" s="54"/>
      <c r="GQ163" s="54"/>
      <c r="GR163" s="54"/>
      <c r="GS163" s="54"/>
      <c r="GT163" s="54"/>
      <c r="GU163" s="54"/>
      <c r="GV163" s="54"/>
      <c r="GW163" s="54"/>
      <c r="GX163" s="54"/>
      <c r="GY163" s="54"/>
      <c r="GZ163" s="54"/>
      <c r="HA163" s="54"/>
      <c r="HB163" s="54"/>
      <c r="HC163" s="54"/>
      <c r="HD163" s="54"/>
      <c r="HE163" s="54"/>
      <c r="HF163" s="54"/>
      <c r="HG163" s="54"/>
      <c r="HH163" s="54"/>
      <c r="HI163" s="54"/>
      <c r="HJ163" s="54"/>
      <c r="HK163" s="54"/>
      <c r="HL163" s="54"/>
      <c r="HM163" s="54"/>
      <c r="HN163" s="54"/>
      <c r="HO163" s="54"/>
      <c r="HP163" s="54"/>
      <c r="HQ163" s="54"/>
      <c r="HR163" s="54"/>
      <c r="HS163" s="54"/>
      <c r="HT163" s="54"/>
      <c r="HU163" s="54"/>
      <c r="HV163" s="54"/>
      <c r="HW163" s="54"/>
      <c r="HX163" s="54"/>
      <c r="HY163" s="54"/>
      <c r="HZ163" s="54"/>
      <c r="IA163" s="54"/>
      <c r="IB163" s="54"/>
      <c r="IC163" s="54"/>
      <c r="ID163" s="54"/>
      <c r="IE163" s="54"/>
      <c r="IF163" s="54"/>
      <c r="IG163" s="54"/>
      <c r="IH163" s="54"/>
      <c r="II163" s="54"/>
      <c r="IJ163" s="54"/>
      <c r="IK163" s="54"/>
      <c r="IL163" s="54"/>
      <c r="IM163" s="54"/>
      <c r="IN163" s="54"/>
      <c r="IO163" s="54"/>
      <c r="IP163" s="54"/>
      <c r="IQ163" s="54"/>
      <c r="IR163" s="54"/>
      <c r="IS163" s="54"/>
      <c r="IT163" s="54"/>
      <c r="IU163" s="54"/>
      <c r="IV163" s="54"/>
      <c r="IW163" s="54"/>
      <c r="IX163" s="54"/>
      <c r="IY163" s="54"/>
      <c r="IZ163" s="54"/>
      <c r="JA163" s="54"/>
      <c r="JB163" s="54"/>
      <c r="JC163" s="54"/>
      <c r="JD163" s="54"/>
      <c r="JE163" s="54"/>
      <c r="JF163" s="54"/>
      <c r="JG163" s="54"/>
      <c r="JH163" s="54"/>
      <c r="JI163" s="54"/>
      <c r="JJ163" s="54"/>
      <c r="JK163" s="54"/>
      <c r="JL163" s="54"/>
      <c r="JM163" s="54"/>
      <c r="JN163" s="54"/>
      <c r="JO163" s="54"/>
      <c r="JP163" s="54"/>
      <c r="JQ163" s="54"/>
      <c r="JR163" s="54"/>
      <c r="JS163" s="54"/>
      <c r="JT163" s="54"/>
      <c r="JU163" s="54"/>
      <c r="JV163" s="54"/>
      <c r="JW163" s="54"/>
      <c r="JX163" s="54"/>
      <c r="JY163" s="54"/>
      <c r="JZ163" s="54"/>
      <c r="KA163" s="54"/>
      <c r="KB163" s="54"/>
      <c r="KC163" s="54"/>
      <c r="KD163" s="54"/>
      <c r="KE163" s="54"/>
      <c r="KF163" s="54"/>
      <c r="KG163" s="54"/>
      <c r="KH163" s="54"/>
      <c r="KI163" s="54"/>
      <c r="KJ163" s="54"/>
      <c r="KK163" s="54"/>
      <c r="KL163" s="54"/>
      <c r="KM163" s="54"/>
      <c r="KN163" s="54"/>
      <c r="KO163" s="54"/>
      <c r="KP163" s="54"/>
      <c r="KQ163" s="54"/>
      <c r="KR163" s="54"/>
      <c r="KS163" s="54"/>
      <c r="KT163" s="54"/>
      <c r="KU163" s="54"/>
      <c r="KV163" s="54"/>
      <c r="KW163" s="54"/>
      <c r="KX163" s="54"/>
    </row>
    <row r="164" ht="5.2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c r="BS164" s="54"/>
      <c r="BT164" s="54"/>
      <c r="BU164" s="54"/>
      <c r="BV164" s="54"/>
      <c r="BW164" s="108"/>
      <c r="BX164" s="57" t="s">
        <v>65</v>
      </c>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c r="DH164" s="58"/>
      <c r="DI164" s="58"/>
      <c r="DJ164" s="58"/>
      <c r="DK164" s="58"/>
      <c r="DL164" s="58"/>
      <c r="DM164" s="58"/>
      <c r="DN164" s="58"/>
      <c r="DO164" s="58"/>
      <c r="DP164" s="58"/>
      <c r="DQ164" s="58"/>
      <c r="DR164" s="58"/>
      <c r="DS164" s="58"/>
      <c r="DT164" s="58"/>
      <c r="DU164" s="58"/>
      <c r="DV164" s="58"/>
      <c r="DW164" s="58"/>
      <c r="DX164" s="58"/>
      <c r="DY164" s="58"/>
      <c r="DZ164" s="58"/>
      <c r="EA164" s="58"/>
      <c r="EB164" s="58"/>
      <c r="EC164" s="58"/>
      <c r="ED164" s="58"/>
      <c r="EE164" s="59"/>
      <c r="EF164" s="108"/>
      <c r="EG164" s="54"/>
      <c r="EH164" s="54"/>
      <c r="EI164" s="108"/>
      <c r="EJ164" s="57" t="s">
        <v>66</v>
      </c>
      <c r="EK164" s="58"/>
      <c r="EL164" s="58"/>
      <c r="EM164" s="58"/>
      <c r="EN164" s="58"/>
      <c r="EO164" s="58"/>
      <c r="EP164" s="58"/>
      <c r="EQ164" s="58"/>
      <c r="ER164" s="58"/>
      <c r="ES164" s="58"/>
      <c r="ET164" s="58"/>
      <c r="EU164" s="58"/>
      <c r="EV164" s="58"/>
      <c r="EW164" s="58"/>
      <c r="EX164" s="58"/>
      <c r="EY164" s="58"/>
      <c r="EZ164" s="58"/>
      <c r="FA164" s="58"/>
      <c r="FB164" s="58"/>
      <c r="FC164" s="58"/>
      <c r="FD164" s="58"/>
      <c r="FE164" s="58"/>
      <c r="FF164" s="58"/>
      <c r="FG164" s="58"/>
      <c r="FH164" s="58"/>
      <c r="FI164" s="58"/>
      <c r="FJ164" s="58"/>
      <c r="FK164" s="58"/>
      <c r="FL164" s="58"/>
      <c r="FM164" s="58"/>
      <c r="FN164" s="58"/>
      <c r="FO164" s="58"/>
      <c r="FP164" s="58"/>
      <c r="FQ164" s="58"/>
      <c r="FR164" s="58"/>
      <c r="FS164" s="58"/>
      <c r="FT164" s="58"/>
      <c r="FU164" s="58"/>
      <c r="FV164" s="58"/>
      <c r="FW164" s="58"/>
      <c r="FX164" s="58"/>
      <c r="FY164" s="58"/>
      <c r="FZ164" s="58"/>
      <c r="GA164" s="58"/>
      <c r="GB164" s="58"/>
      <c r="GC164" s="58"/>
      <c r="GD164" s="58"/>
      <c r="GE164" s="58"/>
      <c r="GF164" s="58"/>
      <c r="GG164" s="58"/>
      <c r="GH164" s="58"/>
      <c r="GI164" s="58"/>
      <c r="GJ164" s="58"/>
      <c r="GK164" s="58"/>
      <c r="GL164" s="58"/>
      <c r="GM164" s="58"/>
      <c r="GN164" s="58"/>
      <c r="GO164" s="58"/>
      <c r="GP164" s="58"/>
      <c r="GQ164" s="59"/>
      <c r="GR164" s="108"/>
      <c r="GS164" s="54"/>
      <c r="GT164" s="54"/>
      <c r="GU164" s="54"/>
      <c r="GV164" s="54"/>
      <c r="GW164" s="54"/>
      <c r="GX164" s="54"/>
      <c r="GY164" s="54"/>
      <c r="GZ164" s="54"/>
      <c r="HA164" s="54"/>
      <c r="HB164" s="54"/>
      <c r="HC164" s="54"/>
      <c r="HD164" s="54"/>
      <c r="HE164" s="54"/>
      <c r="HF164" s="54"/>
      <c r="HG164" s="54"/>
      <c r="HH164" s="54"/>
      <c r="HI164" s="54"/>
      <c r="HJ164" s="54"/>
      <c r="HK164" s="54"/>
      <c r="HL164" s="54"/>
      <c r="HM164" s="54"/>
      <c r="HN164" s="54"/>
      <c r="HO164" s="54"/>
      <c r="HP164" s="54"/>
      <c r="HQ164" s="54"/>
      <c r="HR164" s="54"/>
      <c r="HS164" s="54"/>
      <c r="HT164" s="54"/>
      <c r="HU164" s="54"/>
      <c r="HV164" s="54"/>
      <c r="HW164" s="54"/>
      <c r="HX164" s="54"/>
      <c r="HY164" s="54"/>
      <c r="HZ164" s="54"/>
      <c r="IA164" s="54"/>
      <c r="IB164" s="54"/>
      <c r="IC164" s="54"/>
      <c r="ID164" s="54"/>
      <c r="IE164" s="54"/>
      <c r="IF164" s="54"/>
      <c r="IG164" s="54"/>
      <c r="IH164" s="54"/>
      <c r="II164" s="54"/>
      <c r="IJ164" s="54"/>
      <c r="IK164" s="54"/>
      <c r="IL164" s="54"/>
      <c r="IM164" s="54"/>
      <c r="IN164" s="54"/>
      <c r="IO164" s="54"/>
      <c r="IP164" s="54"/>
      <c r="IQ164" s="54"/>
      <c r="IR164" s="54"/>
      <c r="IS164" s="54"/>
      <c r="IT164" s="54"/>
      <c r="IU164" s="54"/>
      <c r="IV164" s="54"/>
      <c r="IW164" s="54"/>
      <c r="IX164" s="54"/>
      <c r="IY164" s="54"/>
      <c r="IZ164" s="54"/>
      <c r="JA164" s="54"/>
      <c r="JB164" s="54"/>
      <c r="JC164" s="54"/>
      <c r="JD164" s="54"/>
      <c r="JE164" s="54"/>
      <c r="JF164" s="54"/>
      <c r="JG164" s="54"/>
      <c r="JH164" s="54"/>
      <c r="JI164" s="54"/>
      <c r="JJ164" s="54"/>
      <c r="JK164" s="54"/>
      <c r="JL164" s="54"/>
      <c r="JM164" s="54"/>
      <c r="JN164" s="54"/>
      <c r="JO164" s="54"/>
      <c r="JP164" s="54"/>
      <c r="JQ164" s="54"/>
      <c r="JR164" s="54"/>
      <c r="JS164" s="54"/>
      <c r="JT164" s="54"/>
      <c r="JU164" s="54"/>
      <c r="JV164" s="54"/>
      <c r="JW164" s="54"/>
      <c r="JX164" s="54"/>
      <c r="JY164" s="54"/>
      <c r="JZ164" s="54"/>
      <c r="KA164" s="54"/>
      <c r="KB164" s="54"/>
      <c r="KC164" s="54"/>
      <c r="KD164" s="54"/>
      <c r="KE164" s="54"/>
      <c r="KF164" s="54"/>
      <c r="KG164" s="54"/>
      <c r="KH164" s="54"/>
      <c r="KI164" s="54"/>
      <c r="KJ164" s="54"/>
      <c r="KK164" s="54"/>
      <c r="KL164" s="54"/>
      <c r="KM164" s="54"/>
      <c r="KN164" s="54"/>
      <c r="KO164" s="54"/>
      <c r="KP164" s="54"/>
      <c r="KQ164" s="54"/>
      <c r="KR164" s="54"/>
      <c r="KS164" s="54"/>
      <c r="KT164" s="54"/>
      <c r="KU164" s="54"/>
      <c r="KV164" s="54"/>
      <c r="KW164" s="54"/>
      <c r="KX164" s="54"/>
    </row>
    <row r="165" ht="5.2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c r="BS165" s="54"/>
      <c r="BT165" s="54"/>
      <c r="BU165" s="54"/>
      <c r="BV165" s="54"/>
      <c r="BW165" s="108"/>
      <c r="BX165" s="60"/>
      <c r="EE165" s="61"/>
      <c r="EF165" s="108"/>
      <c r="EG165" s="54"/>
      <c r="EH165" s="54"/>
      <c r="EI165" s="108"/>
      <c r="EJ165" s="60"/>
      <c r="GQ165" s="61"/>
      <c r="GR165" s="108"/>
      <c r="GS165" s="54"/>
      <c r="GT165" s="54"/>
      <c r="GU165" s="54"/>
      <c r="GV165" s="54"/>
      <c r="GW165" s="54"/>
      <c r="GX165" s="54"/>
      <c r="GY165" s="54"/>
      <c r="GZ165" s="54"/>
      <c r="HA165" s="54"/>
      <c r="HB165" s="54"/>
      <c r="HC165" s="54"/>
      <c r="HD165" s="54"/>
      <c r="HE165" s="54"/>
      <c r="HF165" s="54"/>
      <c r="HG165" s="54"/>
      <c r="HH165" s="54"/>
      <c r="HI165" s="54"/>
      <c r="HJ165" s="54"/>
      <c r="HK165" s="54"/>
      <c r="HL165" s="54"/>
      <c r="HM165" s="54"/>
      <c r="HN165" s="54"/>
      <c r="HO165" s="54"/>
      <c r="HP165" s="54"/>
      <c r="HQ165" s="54"/>
      <c r="HR165" s="54"/>
      <c r="HS165" s="54"/>
      <c r="HT165" s="54"/>
      <c r="HU165" s="54"/>
      <c r="HV165" s="54"/>
      <c r="HW165" s="54"/>
      <c r="HX165" s="54"/>
      <c r="HY165" s="54"/>
      <c r="HZ165" s="54"/>
      <c r="IA165" s="54"/>
      <c r="IB165" s="54"/>
      <c r="IC165" s="54"/>
      <c r="ID165" s="54"/>
      <c r="IE165" s="54"/>
      <c r="IF165" s="54"/>
      <c r="IG165" s="54"/>
      <c r="IH165" s="54"/>
      <c r="II165" s="54"/>
      <c r="IJ165" s="54"/>
      <c r="IK165" s="54"/>
      <c r="IL165" s="54"/>
      <c r="IM165" s="54"/>
      <c r="IN165" s="54"/>
      <c r="IO165" s="54"/>
      <c r="IP165" s="54"/>
      <c r="IQ165" s="54"/>
      <c r="IR165" s="54"/>
      <c r="IS165" s="54"/>
      <c r="IT165" s="54"/>
      <c r="IU165" s="54"/>
      <c r="IV165" s="54"/>
      <c r="IW165" s="54"/>
      <c r="IX165" s="54"/>
      <c r="IY165" s="54"/>
      <c r="IZ165" s="54"/>
      <c r="JA165" s="54"/>
      <c r="JB165" s="54"/>
      <c r="JC165" s="54"/>
      <c r="JD165" s="54"/>
      <c r="JE165" s="54"/>
      <c r="JF165" s="54"/>
      <c r="JG165" s="54"/>
      <c r="JH165" s="54"/>
      <c r="JI165" s="54"/>
      <c r="JJ165" s="54"/>
      <c r="JK165" s="54"/>
      <c r="JL165" s="54"/>
      <c r="JM165" s="54"/>
      <c r="JN165" s="54"/>
      <c r="JO165" s="54"/>
      <c r="JP165" s="54"/>
      <c r="JQ165" s="54"/>
      <c r="JR165" s="54"/>
      <c r="JS165" s="54"/>
      <c r="JT165" s="54"/>
      <c r="JU165" s="54"/>
      <c r="JV165" s="54"/>
      <c r="JW165" s="54"/>
      <c r="JX165" s="54"/>
      <c r="JY165" s="54"/>
      <c r="JZ165" s="54"/>
      <c r="KA165" s="54"/>
      <c r="KB165" s="54"/>
      <c r="KC165" s="54"/>
      <c r="KD165" s="54"/>
      <c r="KE165" s="54"/>
      <c r="KF165" s="54"/>
      <c r="KG165" s="54"/>
      <c r="KH165" s="54"/>
      <c r="KI165" s="54"/>
      <c r="KJ165" s="54"/>
      <c r="KK165" s="54"/>
      <c r="KL165" s="54"/>
      <c r="KM165" s="54"/>
      <c r="KN165" s="54"/>
      <c r="KO165" s="54"/>
      <c r="KP165" s="54"/>
      <c r="KQ165" s="54"/>
      <c r="KR165" s="54"/>
      <c r="KS165" s="54"/>
      <c r="KT165" s="54"/>
      <c r="KU165" s="54"/>
      <c r="KV165" s="54"/>
      <c r="KW165" s="54"/>
      <c r="KX165" s="54"/>
    </row>
    <row r="166" ht="5.2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c r="BS166" s="54"/>
      <c r="BT166" s="54"/>
      <c r="BU166" s="54"/>
      <c r="BV166" s="54"/>
      <c r="BW166" s="108"/>
      <c r="BX166" s="60"/>
      <c r="EE166" s="61"/>
      <c r="EF166" s="108"/>
      <c r="EG166" s="54"/>
      <c r="EH166" s="54"/>
      <c r="EI166" s="108"/>
      <c r="EJ166" s="60"/>
      <c r="GQ166" s="61"/>
      <c r="GR166" s="108"/>
      <c r="GS166" s="54"/>
      <c r="GT166" s="54"/>
      <c r="GU166" s="54"/>
      <c r="GV166" s="54"/>
      <c r="GW166" s="54"/>
      <c r="GX166" s="54"/>
      <c r="GY166" s="54"/>
      <c r="GZ166" s="54"/>
      <c r="HA166" s="54"/>
      <c r="HB166" s="54"/>
      <c r="HC166" s="54"/>
      <c r="HD166" s="54"/>
      <c r="HE166" s="54"/>
      <c r="HF166" s="54"/>
      <c r="HG166" s="54"/>
      <c r="HH166" s="54"/>
      <c r="HI166" s="54"/>
      <c r="HJ166" s="54"/>
      <c r="HK166" s="54"/>
      <c r="HL166" s="54"/>
      <c r="HM166" s="54"/>
      <c r="HN166" s="54"/>
      <c r="HO166" s="54"/>
      <c r="HP166" s="54"/>
      <c r="HQ166" s="54"/>
      <c r="HR166" s="54"/>
      <c r="HS166" s="54"/>
      <c r="HT166" s="54"/>
      <c r="HU166" s="54"/>
      <c r="HV166" s="54"/>
      <c r="HW166" s="54"/>
      <c r="HX166" s="54"/>
      <c r="HY166" s="54"/>
      <c r="HZ166" s="54"/>
      <c r="IA166" s="54"/>
      <c r="IB166" s="54"/>
      <c r="IC166" s="54"/>
      <c r="ID166" s="54"/>
      <c r="IE166" s="54"/>
      <c r="IF166" s="54"/>
      <c r="IG166" s="54"/>
      <c r="IH166" s="54"/>
      <c r="II166" s="54"/>
      <c r="IJ166" s="54"/>
      <c r="IK166" s="54"/>
      <c r="IL166" s="54"/>
      <c r="IM166" s="54"/>
      <c r="IN166" s="54"/>
      <c r="IO166" s="54"/>
      <c r="IP166" s="54"/>
      <c r="IQ166" s="54"/>
      <c r="IR166" s="54"/>
      <c r="IS166" s="54"/>
      <c r="IT166" s="54"/>
      <c r="IU166" s="54"/>
      <c r="IV166" s="54"/>
      <c r="IW166" s="54"/>
      <c r="IX166" s="54"/>
      <c r="IY166" s="54"/>
      <c r="IZ166" s="54"/>
      <c r="JA166" s="54"/>
      <c r="JB166" s="54"/>
      <c r="JC166" s="54"/>
      <c r="JD166" s="54"/>
      <c r="JE166" s="54"/>
      <c r="JF166" s="54"/>
      <c r="JG166" s="54"/>
      <c r="JH166" s="54"/>
      <c r="JI166" s="54"/>
      <c r="JJ166" s="54"/>
      <c r="JK166" s="54"/>
      <c r="JL166" s="54"/>
      <c r="JM166" s="54"/>
      <c r="JN166" s="54"/>
      <c r="JO166" s="54"/>
      <c r="JP166" s="54"/>
      <c r="JQ166" s="54"/>
      <c r="JR166" s="54"/>
      <c r="JS166" s="54"/>
      <c r="JT166" s="54"/>
      <c r="JU166" s="54"/>
      <c r="JV166" s="54"/>
      <c r="JW166" s="54"/>
      <c r="JX166" s="54"/>
      <c r="JY166" s="54"/>
      <c r="JZ166" s="54"/>
      <c r="KA166" s="54"/>
      <c r="KB166" s="54"/>
      <c r="KC166" s="54"/>
      <c r="KD166" s="54"/>
      <c r="KE166" s="54"/>
      <c r="KF166" s="54"/>
      <c r="KG166" s="54"/>
      <c r="KH166" s="54"/>
      <c r="KI166" s="54"/>
      <c r="KJ166" s="54"/>
      <c r="KK166" s="54"/>
      <c r="KL166" s="54"/>
      <c r="KM166" s="54"/>
      <c r="KN166" s="54"/>
      <c r="KO166" s="54"/>
      <c r="KP166" s="54"/>
      <c r="KQ166" s="54"/>
      <c r="KR166" s="54"/>
      <c r="KS166" s="54"/>
      <c r="KT166" s="54"/>
      <c r="KU166" s="54"/>
      <c r="KV166" s="54"/>
      <c r="KW166" s="54"/>
      <c r="KX166" s="54"/>
    </row>
    <row r="167" ht="5.2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c r="BS167" s="54"/>
      <c r="BT167" s="54"/>
      <c r="BU167" s="54"/>
      <c r="BV167" s="54"/>
      <c r="BW167" s="108"/>
      <c r="BX167" s="60"/>
      <c r="EE167" s="61"/>
      <c r="EF167" s="108"/>
      <c r="EG167" s="54"/>
      <c r="EH167" s="54"/>
      <c r="EI167" s="108"/>
      <c r="EJ167" s="60"/>
      <c r="GQ167" s="61"/>
      <c r="GR167" s="108"/>
      <c r="GS167" s="54"/>
      <c r="GT167" s="54"/>
      <c r="GU167" s="54"/>
      <c r="GV167" s="54"/>
      <c r="GW167" s="54"/>
      <c r="GX167" s="54"/>
      <c r="GY167" s="54"/>
      <c r="GZ167" s="54"/>
      <c r="HA167" s="54"/>
      <c r="HB167" s="54"/>
      <c r="HC167" s="54"/>
      <c r="HD167" s="54"/>
      <c r="HE167" s="54"/>
      <c r="HF167" s="54"/>
      <c r="HG167" s="54"/>
      <c r="HH167" s="54"/>
      <c r="HI167" s="54"/>
      <c r="HJ167" s="54"/>
      <c r="HK167" s="54"/>
      <c r="HL167" s="54"/>
      <c r="HM167" s="54"/>
      <c r="HN167" s="54"/>
      <c r="HO167" s="54"/>
      <c r="HP167" s="54"/>
      <c r="HQ167" s="54"/>
      <c r="HR167" s="54"/>
      <c r="HS167" s="54"/>
      <c r="HT167" s="54"/>
      <c r="HU167" s="54"/>
      <c r="HV167" s="54"/>
      <c r="HW167" s="54"/>
      <c r="HX167" s="54"/>
      <c r="HY167" s="54"/>
      <c r="HZ167" s="54"/>
      <c r="IA167" s="54"/>
      <c r="IB167" s="54"/>
      <c r="IC167" s="54"/>
      <c r="ID167" s="54"/>
      <c r="IE167" s="54"/>
      <c r="IF167" s="54"/>
      <c r="IG167" s="54"/>
      <c r="IH167" s="54"/>
      <c r="II167" s="54"/>
      <c r="IJ167" s="54"/>
      <c r="IK167" s="54"/>
      <c r="IL167" s="54"/>
      <c r="IM167" s="54"/>
      <c r="IN167" s="54"/>
      <c r="IO167" s="54"/>
      <c r="IP167" s="54"/>
      <c r="IQ167" s="54"/>
      <c r="IR167" s="54"/>
      <c r="IS167" s="54"/>
      <c r="IT167" s="54"/>
      <c r="IU167" s="54"/>
      <c r="IV167" s="54"/>
      <c r="IW167" s="54"/>
      <c r="IX167" s="54"/>
      <c r="IY167" s="54"/>
      <c r="IZ167" s="54"/>
      <c r="JA167" s="54"/>
      <c r="JB167" s="54"/>
      <c r="JC167" s="54"/>
      <c r="JD167" s="54"/>
      <c r="JE167" s="54"/>
      <c r="JF167" s="54"/>
      <c r="JG167" s="54"/>
      <c r="JH167" s="54"/>
      <c r="JI167" s="54"/>
      <c r="JJ167" s="54"/>
      <c r="JK167" s="54"/>
      <c r="JL167" s="54"/>
      <c r="JM167" s="54"/>
      <c r="JN167" s="54"/>
      <c r="JO167" s="54"/>
      <c r="JP167" s="54"/>
      <c r="JQ167" s="54"/>
      <c r="JR167" s="54"/>
      <c r="JS167" s="54"/>
      <c r="JT167" s="54"/>
      <c r="JU167" s="54"/>
      <c r="JV167" s="54"/>
      <c r="JW167" s="54"/>
      <c r="JX167" s="54"/>
      <c r="JY167" s="54"/>
      <c r="JZ167" s="54"/>
      <c r="KA167" s="54"/>
      <c r="KB167" s="54"/>
      <c r="KC167" s="54"/>
      <c r="KD167" s="54"/>
      <c r="KE167" s="54"/>
      <c r="KF167" s="54"/>
      <c r="KG167" s="54"/>
      <c r="KH167" s="54"/>
      <c r="KI167" s="54"/>
      <c r="KJ167" s="54"/>
      <c r="KK167" s="54"/>
      <c r="KL167" s="54"/>
      <c r="KM167" s="54"/>
      <c r="KN167" s="54"/>
      <c r="KO167" s="54"/>
      <c r="KP167" s="54"/>
      <c r="KQ167" s="54"/>
      <c r="KR167" s="54"/>
      <c r="KS167" s="54"/>
      <c r="KT167" s="54"/>
      <c r="KU167" s="54"/>
      <c r="KV167" s="54"/>
      <c r="KW167" s="54"/>
      <c r="KX167" s="54"/>
    </row>
    <row r="168" ht="5.2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c r="BS168" s="54"/>
      <c r="BT168" s="54"/>
      <c r="BU168" s="54"/>
      <c r="BV168" s="54"/>
      <c r="BW168" s="108"/>
      <c r="BX168" s="60"/>
      <c r="EE168" s="61"/>
      <c r="EF168" s="108"/>
      <c r="EG168" s="54"/>
      <c r="EH168" s="54"/>
      <c r="EI168" s="108"/>
      <c r="EJ168" s="60"/>
      <c r="GQ168" s="61"/>
      <c r="GR168" s="108"/>
      <c r="GS168" s="54"/>
      <c r="GT168" s="54"/>
      <c r="GU168" s="54"/>
      <c r="GV168" s="54"/>
      <c r="GW168" s="54"/>
      <c r="GX168" s="54"/>
      <c r="GY168" s="54"/>
      <c r="GZ168" s="54"/>
      <c r="HA168" s="54"/>
      <c r="HB168" s="54"/>
      <c r="HC168" s="54"/>
      <c r="HD168" s="54"/>
      <c r="HE168" s="54"/>
      <c r="HF168" s="54"/>
      <c r="HG168" s="54"/>
      <c r="HH168" s="54"/>
      <c r="HI168" s="54"/>
      <c r="HJ168" s="54"/>
      <c r="HK168" s="54"/>
      <c r="HL168" s="54"/>
      <c r="HM168" s="54"/>
      <c r="HN168" s="54"/>
      <c r="HO168" s="54"/>
      <c r="HP168" s="54"/>
      <c r="HQ168" s="54"/>
      <c r="HR168" s="54"/>
      <c r="HS168" s="54"/>
      <c r="HT168" s="54"/>
      <c r="HU168" s="54"/>
      <c r="HV168" s="54"/>
      <c r="HW168" s="54"/>
      <c r="HX168" s="54"/>
      <c r="HY168" s="54"/>
      <c r="HZ168" s="54"/>
      <c r="IA168" s="54"/>
      <c r="IB168" s="54"/>
      <c r="IC168" s="54"/>
      <c r="ID168" s="54"/>
      <c r="IE168" s="54"/>
      <c r="IF168" s="54"/>
      <c r="IG168" s="54"/>
      <c r="IH168" s="54"/>
      <c r="II168" s="54"/>
      <c r="IJ168" s="54"/>
      <c r="IK168" s="54"/>
      <c r="IL168" s="54"/>
      <c r="IM168" s="54"/>
      <c r="IN168" s="54"/>
      <c r="IO168" s="54"/>
      <c r="IP168" s="54"/>
      <c r="IQ168" s="54"/>
      <c r="IR168" s="54"/>
      <c r="IS168" s="54"/>
      <c r="IT168" s="54"/>
      <c r="IU168" s="54"/>
      <c r="IV168" s="54"/>
      <c r="IW168" s="54"/>
      <c r="IX168" s="54"/>
      <c r="IY168" s="54"/>
      <c r="IZ168" s="54"/>
      <c r="JA168" s="54"/>
      <c r="JB168" s="54"/>
      <c r="JC168" s="54"/>
      <c r="JD168" s="54"/>
      <c r="JE168" s="54"/>
      <c r="JF168" s="54"/>
      <c r="JG168" s="54"/>
      <c r="JH168" s="54"/>
      <c r="JI168" s="54"/>
      <c r="JJ168" s="54"/>
      <c r="JK168" s="54"/>
      <c r="JL168" s="54"/>
      <c r="JM168" s="54"/>
      <c r="JN168" s="54"/>
      <c r="JO168" s="54"/>
      <c r="JP168" s="54"/>
      <c r="JQ168" s="54"/>
      <c r="JR168" s="54"/>
      <c r="JS168" s="54"/>
      <c r="JT168" s="54"/>
      <c r="JU168" s="54"/>
      <c r="JV168" s="54"/>
      <c r="JW168" s="54"/>
      <c r="JX168" s="54"/>
      <c r="JY168" s="54"/>
      <c r="JZ168" s="54"/>
      <c r="KA168" s="54"/>
      <c r="KB168" s="54"/>
      <c r="KC168" s="54"/>
      <c r="KD168" s="54"/>
      <c r="KE168" s="54"/>
      <c r="KF168" s="54"/>
      <c r="KG168" s="54"/>
      <c r="KH168" s="54"/>
      <c r="KI168" s="54"/>
      <c r="KJ168" s="54"/>
      <c r="KK168" s="54"/>
      <c r="KL168" s="54"/>
      <c r="KM168" s="54"/>
      <c r="KN168" s="54"/>
      <c r="KO168" s="54"/>
      <c r="KP168" s="54"/>
      <c r="KQ168" s="54"/>
      <c r="KR168" s="54"/>
      <c r="KS168" s="54"/>
      <c r="KT168" s="54"/>
      <c r="KU168" s="54"/>
      <c r="KV168" s="54"/>
      <c r="KW168" s="54"/>
      <c r="KX168" s="54"/>
    </row>
    <row r="169" ht="5.2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c r="BI169" s="54"/>
      <c r="BJ169" s="54"/>
      <c r="BK169" s="54"/>
      <c r="BL169" s="54"/>
      <c r="BM169" s="54"/>
      <c r="BN169" s="54"/>
      <c r="BO169" s="54"/>
      <c r="BP169" s="54"/>
      <c r="BQ169" s="54"/>
      <c r="BR169" s="54"/>
      <c r="BS169" s="54"/>
      <c r="BT169" s="54"/>
      <c r="BU169" s="54"/>
      <c r="BV169" s="54"/>
      <c r="BW169" s="108"/>
      <c r="BX169" s="110" t="s">
        <v>2</v>
      </c>
      <c r="DB169" s="111" t="s">
        <v>4</v>
      </c>
      <c r="EE169" s="61"/>
      <c r="EF169" s="108"/>
      <c r="EG169" s="54"/>
      <c r="EH169" s="54"/>
      <c r="EI169" s="108"/>
      <c r="EJ169" s="110" t="s">
        <v>2</v>
      </c>
      <c r="FN169" s="111" t="s">
        <v>4</v>
      </c>
      <c r="GQ169" s="61"/>
      <c r="GR169" s="108"/>
      <c r="GS169" s="54"/>
      <c r="GT169" s="54"/>
      <c r="GU169" s="54"/>
      <c r="GV169" s="54"/>
      <c r="GW169" s="54"/>
      <c r="GX169" s="54"/>
      <c r="GY169" s="54"/>
      <c r="GZ169" s="54"/>
      <c r="HA169" s="54"/>
      <c r="HB169" s="54"/>
      <c r="HC169" s="54"/>
      <c r="HD169" s="54"/>
      <c r="HE169" s="54"/>
      <c r="HF169" s="54"/>
      <c r="HG169" s="54"/>
      <c r="HH169" s="54"/>
      <c r="HI169" s="54"/>
      <c r="HJ169" s="54"/>
      <c r="HK169" s="54"/>
      <c r="HL169" s="54"/>
      <c r="HM169" s="54"/>
      <c r="HN169" s="54"/>
      <c r="HO169" s="54"/>
      <c r="HP169" s="54"/>
      <c r="HQ169" s="54"/>
      <c r="HR169" s="54"/>
      <c r="HS169" s="54"/>
      <c r="HT169" s="54"/>
      <c r="HU169" s="54"/>
      <c r="HV169" s="54"/>
      <c r="HW169" s="54"/>
      <c r="HX169" s="54"/>
      <c r="HY169" s="54"/>
      <c r="HZ169" s="54"/>
      <c r="IA169" s="54"/>
      <c r="IB169" s="54"/>
      <c r="IC169" s="54"/>
      <c r="ID169" s="54"/>
      <c r="IE169" s="54"/>
      <c r="IF169" s="54"/>
      <c r="IG169" s="54"/>
      <c r="IH169" s="54"/>
      <c r="II169" s="54"/>
      <c r="IJ169" s="54"/>
      <c r="IK169" s="54"/>
      <c r="IL169" s="54"/>
      <c r="IM169" s="54"/>
      <c r="IN169" s="54"/>
      <c r="IO169" s="54"/>
      <c r="IP169" s="54"/>
      <c r="IQ169" s="54"/>
      <c r="IR169" s="54"/>
      <c r="IS169" s="54"/>
      <c r="IT169" s="54"/>
      <c r="IU169" s="54"/>
      <c r="IV169" s="54"/>
      <c r="IW169" s="54"/>
      <c r="IX169" s="54"/>
      <c r="IY169" s="54"/>
      <c r="IZ169" s="54"/>
      <c r="JA169" s="54"/>
      <c r="JB169" s="54"/>
      <c r="JC169" s="54"/>
      <c r="JD169" s="54"/>
      <c r="JE169" s="54"/>
      <c r="JF169" s="54"/>
      <c r="JG169" s="54"/>
      <c r="JH169" s="54"/>
      <c r="JI169" s="54"/>
      <c r="JJ169" s="54"/>
      <c r="JK169" s="54"/>
      <c r="JL169" s="54"/>
      <c r="JM169" s="54"/>
      <c r="JN169" s="54"/>
      <c r="JO169" s="54"/>
      <c r="JP169" s="54"/>
      <c r="JQ169" s="54"/>
      <c r="JR169" s="54"/>
      <c r="JS169" s="54"/>
      <c r="JT169" s="54"/>
      <c r="JU169" s="54"/>
      <c r="JV169" s="54"/>
      <c r="JW169" s="54"/>
      <c r="JX169" s="54"/>
      <c r="JY169" s="54"/>
      <c r="JZ169" s="54"/>
      <c r="KA169" s="54"/>
      <c r="KB169" s="54"/>
      <c r="KC169" s="54"/>
      <c r="KD169" s="54"/>
      <c r="KE169" s="54"/>
      <c r="KF169" s="54"/>
      <c r="KG169" s="54"/>
      <c r="KH169" s="54"/>
      <c r="KI169" s="54"/>
      <c r="KJ169" s="54"/>
      <c r="KK169" s="54"/>
      <c r="KL169" s="54"/>
      <c r="KM169" s="54"/>
      <c r="KN169" s="54"/>
      <c r="KO169" s="54"/>
      <c r="KP169" s="54"/>
      <c r="KQ169" s="54"/>
      <c r="KR169" s="54"/>
      <c r="KS169" s="54"/>
      <c r="KT169" s="54"/>
      <c r="KU169" s="54"/>
      <c r="KV169" s="54"/>
      <c r="KW169" s="54"/>
      <c r="KX169" s="54"/>
    </row>
    <row r="170" ht="5.2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c r="BS170" s="54"/>
      <c r="BT170" s="54"/>
      <c r="BU170" s="54"/>
      <c r="BV170" s="54"/>
      <c r="BW170" s="108"/>
      <c r="BX170" s="60"/>
      <c r="EE170" s="61"/>
      <c r="EF170" s="108"/>
      <c r="EG170" s="54"/>
      <c r="EH170" s="54"/>
      <c r="EI170" s="108"/>
      <c r="EJ170" s="60"/>
      <c r="GQ170" s="61"/>
      <c r="GR170" s="108"/>
      <c r="GS170" s="54"/>
      <c r="GT170" s="54"/>
      <c r="GU170" s="54"/>
      <c r="GV170" s="54"/>
      <c r="GW170" s="54"/>
      <c r="GX170" s="54"/>
      <c r="GY170" s="54"/>
      <c r="GZ170" s="54"/>
      <c r="HA170" s="54"/>
      <c r="HB170" s="54"/>
      <c r="HC170" s="54"/>
      <c r="HD170" s="54"/>
      <c r="HE170" s="54"/>
      <c r="HF170" s="54"/>
      <c r="HG170" s="54"/>
      <c r="HH170" s="54"/>
      <c r="HI170" s="54"/>
      <c r="HJ170" s="54"/>
      <c r="HK170" s="54"/>
      <c r="HL170" s="54"/>
      <c r="HM170" s="54"/>
      <c r="HN170" s="54"/>
      <c r="HO170" s="54"/>
      <c r="HP170" s="54"/>
      <c r="HQ170" s="54"/>
      <c r="HR170" s="54"/>
      <c r="HS170" s="54"/>
      <c r="HT170" s="54"/>
      <c r="HU170" s="54"/>
      <c r="HV170" s="54"/>
      <c r="HW170" s="54"/>
      <c r="HX170" s="54"/>
      <c r="HY170" s="54"/>
      <c r="HZ170" s="54"/>
      <c r="IA170" s="54"/>
      <c r="IB170" s="54"/>
      <c r="IC170" s="54"/>
      <c r="ID170" s="54"/>
      <c r="IE170" s="54"/>
      <c r="IF170" s="54"/>
      <c r="IG170" s="54"/>
      <c r="IH170" s="54"/>
      <c r="II170" s="54"/>
      <c r="IJ170" s="54"/>
      <c r="IK170" s="54"/>
      <c r="IL170" s="54"/>
      <c r="IM170" s="54"/>
      <c r="IN170" s="54"/>
      <c r="IO170" s="54"/>
      <c r="IP170" s="54"/>
      <c r="IQ170" s="54"/>
      <c r="IR170" s="54"/>
      <c r="IS170" s="54"/>
      <c r="IT170" s="54"/>
      <c r="IU170" s="54"/>
      <c r="IV170" s="54"/>
      <c r="IW170" s="54"/>
      <c r="IX170" s="54"/>
      <c r="IY170" s="54"/>
      <c r="IZ170" s="54"/>
      <c r="JA170" s="54"/>
      <c r="JB170" s="54"/>
      <c r="JC170" s="54"/>
      <c r="JD170" s="54"/>
      <c r="JE170" s="54"/>
      <c r="JF170" s="54"/>
      <c r="JG170" s="54"/>
      <c r="JH170" s="54"/>
      <c r="JI170" s="54"/>
      <c r="JJ170" s="54"/>
      <c r="JK170" s="54"/>
      <c r="JL170" s="54"/>
      <c r="JM170" s="54"/>
      <c r="JN170" s="54"/>
      <c r="JO170" s="54"/>
      <c r="JP170" s="54"/>
      <c r="JQ170" s="54"/>
      <c r="JR170" s="54"/>
      <c r="JS170" s="54"/>
      <c r="JT170" s="54"/>
      <c r="JU170" s="54"/>
      <c r="JV170" s="54"/>
      <c r="JW170" s="54"/>
      <c r="JX170" s="54"/>
      <c r="JY170" s="54"/>
      <c r="JZ170" s="54"/>
      <c r="KA170" s="54"/>
      <c r="KB170" s="54"/>
      <c r="KC170" s="54"/>
      <c r="KD170" s="54"/>
      <c r="KE170" s="54"/>
      <c r="KF170" s="54"/>
      <c r="KG170" s="54"/>
      <c r="KH170" s="54"/>
      <c r="KI170" s="54"/>
      <c r="KJ170" s="54"/>
      <c r="KK170" s="54"/>
      <c r="KL170" s="54"/>
      <c r="KM170" s="54"/>
      <c r="KN170" s="54"/>
      <c r="KO170" s="54"/>
      <c r="KP170" s="54"/>
      <c r="KQ170" s="54"/>
      <c r="KR170" s="54"/>
      <c r="KS170" s="54"/>
      <c r="KT170" s="54"/>
      <c r="KU170" s="54"/>
      <c r="KV170" s="54"/>
      <c r="KW170" s="54"/>
      <c r="KX170" s="54"/>
    </row>
    <row r="171" ht="5.2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c r="BS171" s="54"/>
      <c r="BT171" s="54"/>
      <c r="BU171" s="54"/>
      <c r="BV171" s="54"/>
      <c r="BW171" s="108"/>
      <c r="BX171" s="60"/>
      <c r="EE171" s="61"/>
      <c r="EF171" s="108"/>
      <c r="EG171" s="54"/>
      <c r="EH171" s="54"/>
      <c r="EI171" s="108"/>
      <c r="EJ171" s="60"/>
      <c r="GQ171" s="61"/>
      <c r="GR171" s="108"/>
      <c r="GS171" s="54"/>
      <c r="GT171" s="54"/>
      <c r="GU171" s="54"/>
      <c r="GV171" s="54"/>
      <c r="GW171" s="54"/>
      <c r="GX171" s="54"/>
      <c r="GY171" s="54"/>
      <c r="GZ171" s="54"/>
      <c r="HA171" s="54"/>
      <c r="HB171" s="54"/>
      <c r="HC171" s="54"/>
      <c r="HD171" s="54"/>
      <c r="HE171" s="54"/>
      <c r="HF171" s="54"/>
      <c r="HG171" s="54"/>
      <c r="HH171" s="54"/>
      <c r="HI171" s="54"/>
      <c r="HJ171" s="54"/>
      <c r="HK171" s="54"/>
      <c r="HL171" s="54"/>
      <c r="HM171" s="54"/>
      <c r="HN171" s="54"/>
      <c r="HO171" s="54"/>
      <c r="HP171" s="54"/>
      <c r="HQ171" s="54"/>
      <c r="HR171" s="54"/>
      <c r="HS171" s="54"/>
      <c r="HT171" s="54"/>
      <c r="HU171" s="54"/>
      <c r="HV171" s="54"/>
      <c r="HW171" s="54"/>
      <c r="HX171" s="54"/>
      <c r="HY171" s="54"/>
      <c r="HZ171" s="54"/>
      <c r="IA171" s="54"/>
      <c r="IB171" s="54"/>
      <c r="IC171" s="54"/>
      <c r="ID171" s="54"/>
      <c r="IE171" s="54"/>
      <c r="IF171" s="54"/>
      <c r="IG171" s="54"/>
      <c r="IH171" s="54"/>
      <c r="II171" s="54"/>
      <c r="IJ171" s="54"/>
      <c r="IK171" s="54"/>
      <c r="IL171" s="54"/>
      <c r="IM171" s="54"/>
      <c r="IN171" s="54"/>
      <c r="IO171" s="54"/>
      <c r="IP171" s="54"/>
      <c r="IQ171" s="54"/>
      <c r="IR171" s="54"/>
      <c r="IS171" s="54"/>
      <c r="IT171" s="54"/>
      <c r="IU171" s="54"/>
      <c r="IV171" s="54"/>
      <c r="IW171" s="54"/>
      <c r="IX171" s="54"/>
      <c r="IY171" s="54"/>
      <c r="IZ171" s="54"/>
      <c r="JA171" s="54"/>
      <c r="JB171" s="54"/>
      <c r="JC171" s="54"/>
      <c r="JD171" s="54"/>
      <c r="JE171" s="54"/>
      <c r="JF171" s="54"/>
      <c r="JG171" s="54"/>
      <c r="JH171" s="54"/>
      <c r="JI171" s="54"/>
      <c r="JJ171" s="54"/>
      <c r="JK171" s="54"/>
      <c r="JL171" s="54"/>
      <c r="JM171" s="54"/>
      <c r="JN171" s="54"/>
      <c r="JO171" s="54"/>
      <c r="JP171" s="54"/>
      <c r="JQ171" s="54"/>
      <c r="JR171" s="54"/>
      <c r="JS171" s="54"/>
      <c r="JT171" s="54"/>
      <c r="JU171" s="54"/>
      <c r="JV171" s="54"/>
      <c r="JW171" s="54"/>
      <c r="JX171" s="54"/>
      <c r="JY171" s="54"/>
      <c r="JZ171" s="54"/>
      <c r="KA171" s="54"/>
      <c r="KB171" s="54"/>
      <c r="KC171" s="54"/>
      <c r="KD171" s="54"/>
      <c r="KE171" s="54"/>
      <c r="KF171" s="54"/>
      <c r="KG171" s="54"/>
      <c r="KH171" s="54"/>
      <c r="KI171" s="54"/>
      <c r="KJ171" s="54"/>
      <c r="KK171" s="54"/>
      <c r="KL171" s="54"/>
      <c r="KM171" s="54"/>
      <c r="KN171" s="54"/>
      <c r="KO171" s="54"/>
      <c r="KP171" s="54"/>
      <c r="KQ171" s="54"/>
      <c r="KR171" s="54"/>
      <c r="KS171" s="54"/>
      <c r="KT171" s="54"/>
      <c r="KU171" s="54"/>
      <c r="KV171" s="54"/>
      <c r="KW171" s="54"/>
      <c r="KX171" s="54"/>
    </row>
    <row r="172" ht="5.2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c r="BS172" s="54"/>
      <c r="BT172" s="54"/>
      <c r="BU172" s="54"/>
      <c r="BV172" s="54"/>
      <c r="BW172" s="108"/>
      <c r="BX172" s="112"/>
      <c r="CF172" s="113" t="s">
        <v>57</v>
      </c>
      <c r="CH172" s="11"/>
      <c r="CI172" s="114" t="s">
        <v>58</v>
      </c>
      <c r="CK172" s="11"/>
      <c r="CL172" s="114" t="s">
        <v>59</v>
      </c>
      <c r="CO172" s="108"/>
      <c r="CX172" s="115" t="s">
        <v>3</v>
      </c>
      <c r="DF172" s="108"/>
      <c r="DG172" s="108"/>
      <c r="DH172" s="108"/>
      <c r="DI172" s="108"/>
      <c r="DJ172" s="108"/>
      <c r="DK172" s="108"/>
      <c r="DL172" s="108"/>
      <c r="DM172" s="108"/>
      <c r="DN172" s="108"/>
      <c r="DO172" s="113" t="s">
        <v>59</v>
      </c>
      <c r="DQ172" s="11"/>
      <c r="DR172" s="114" t="s">
        <v>58</v>
      </c>
      <c r="DT172" s="11"/>
      <c r="DU172" s="114" t="s">
        <v>57</v>
      </c>
      <c r="DX172" s="108"/>
      <c r="DY172" s="108"/>
      <c r="DZ172" s="108"/>
      <c r="EA172" s="108"/>
      <c r="EB172" s="108"/>
      <c r="EC172" s="108"/>
      <c r="ED172" s="108"/>
      <c r="EE172" s="116"/>
      <c r="EF172" s="108"/>
      <c r="EG172" s="54"/>
      <c r="EH172" s="54"/>
      <c r="EI172" s="108"/>
      <c r="EJ172" s="112"/>
      <c r="ER172" s="113" t="s">
        <v>57</v>
      </c>
      <c r="ET172" s="11"/>
      <c r="EU172" s="114" t="s">
        <v>58</v>
      </c>
      <c r="EW172" s="11"/>
      <c r="EX172" s="114" t="s">
        <v>59</v>
      </c>
      <c r="FA172" s="108"/>
      <c r="FJ172" s="115" t="s">
        <v>3</v>
      </c>
      <c r="FR172" s="108"/>
      <c r="FS172" s="108"/>
      <c r="FT172" s="108"/>
      <c r="FU172" s="108"/>
      <c r="FV172" s="108"/>
      <c r="FW172" s="108"/>
      <c r="FX172" s="108"/>
      <c r="FY172" s="108"/>
      <c r="FZ172" s="108"/>
      <c r="GA172" s="113" t="s">
        <v>59</v>
      </c>
      <c r="GC172" s="11"/>
      <c r="GD172" s="114" t="s">
        <v>58</v>
      </c>
      <c r="GF172" s="11"/>
      <c r="GG172" s="114" t="s">
        <v>57</v>
      </c>
      <c r="GJ172" s="108"/>
      <c r="GK172" s="108"/>
      <c r="GL172" s="108"/>
      <c r="GM172" s="108"/>
      <c r="GN172" s="108"/>
      <c r="GO172" s="108"/>
      <c r="GP172" s="108"/>
      <c r="GQ172" s="116"/>
      <c r="GR172" s="108"/>
      <c r="GS172" s="54"/>
      <c r="GT172" s="54"/>
      <c r="GU172" s="54"/>
      <c r="GV172" s="54"/>
      <c r="GW172" s="54"/>
      <c r="GX172" s="54"/>
      <c r="GY172" s="54"/>
      <c r="GZ172" s="54"/>
      <c r="HA172" s="54"/>
      <c r="HB172" s="54"/>
      <c r="HC172" s="54"/>
      <c r="HD172" s="54"/>
      <c r="HE172" s="54"/>
      <c r="HF172" s="54"/>
      <c r="HG172" s="54"/>
      <c r="HH172" s="54"/>
      <c r="HI172" s="54"/>
      <c r="HJ172" s="54"/>
      <c r="HK172" s="54"/>
      <c r="HL172" s="54"/>
      <c r="HM172" s="54"/>
      <c r="HN172" s="54"/>
      <c r="HO172" s="54"/>
      <c r="HP172" s="54"/>
      <c r="HQ172" s="54"/>
      <c r="HR172" s="54"/>
      <c r="HS172" s="54"/>
      <c r="HT172" s="54"/>
      <c r="HU172" s="54"/>
      <c r="HV172" s="54"/>
      <c r="HW172" s="54"/>
      <c r="HX172" s="54"/>
      <c r="HY172" s="54"/>
      <c r="HZ172" s="54"/>
      <c r="IA172" s="54"/>
      <c r="IB172" s="54"/>
      <c r="IC172" s="54"/>
      <c r="ID172" s="54"/>
      <c r="IE172" s="54"/>
      <c r="IF172" s="54"/>
      <c r="IG172" s="54"/>
      <c r="IH172" s="54"/>
      <c r="II172" s="54"/>
      <c r="IJ172" s="54"/>
      <c r="IK172" s="54"/>
      <c r="IL172" s="54"/>
      <c r="IM172" s="54"/>
      <c r="IN172" s="54"/>
      <c r="IO172" s="54"/>
      <c r="IP172" s="54"/>
      <c r="IQ172" s="54"/>
      <c r="IR172" s="54"/>
      <c r="IS172" s="54"/>
      <c r="IT172" s="54"/>
      <c r="IU172" s="54"/>
      <c r="IV172" s="54"/>
      <c r="IW172" s="54"/>
      <c r="IX172" s="54"/>
      <c r="IY172" s="54"/>
      <c r="IZ172" s="54"/>
      <c r="JA172" s="54"/>
      <c r="JB172" s="54"/>
      <c r="JC172" s="54"/>
      <c r="JD172" s="54"/>
      <c r="JE172" s="54"/>
      <c r="JF172" s="54"/>
      <c r="JG172" s="54"/>
      <c r="JH172" s="54"/>
      <c r="JI172" s="54"/>
      <c r="JJ172" s="54"/>
      <c r="JK172" s="54"/>
      <c r="JL172" s="54"/>
      <c r="JM172" s="54"/>
      <c r="JN172" s="54"/>
      <c r="JO172" s="54"/>
      <c r="JP172" s="54"/>
      <c r="JQ172" s="54"/>
      <c r="JR172" s="54"/>
      <c r="JS172" s="54"/>
      <c r="JT172" s="54"/>
      <c r="JU172" s="54"/>
      <c r="JV172" s="54"/>
      <c r="JW172" s="54"/>
      <c r="JX172" s="54"/>
      <c r="JY172" s="54"/>
      <c r="JZ172" s="54"/>
      <c r="KA172" s="54"/>
      <c r="KB172" s="54"/>
      <c r="KC172" s="54"/>
      <c r="KD172" s="54"/>
      <c r="KE172" s="54"/>
      <c r="KF172" s="54"/>
      <c r="KG172" s="54"/>
      <c r="KH172" s="54"/>
      <c r="KI172" s="54"/>
      <c r="KJ172" s="54"/>
      <c r="KK172" s="54"/>
      <c r="KL172" s="54"/>
      <c r="KM172" s="54"/>
      <c r="KN172" s="54"/>
      <c r="KO172" s="54"/>
      <c r="KP172" s="54"/>
      <c r="KQ172" s="54"/>
      <c r="KR172" s="54"/>
      <c r="KS172" s="54"/>
      <c r="KT172" s="54"/>
      <c r="KU172" s="54"/>
      <c r="KV172" s="54"/>
      <c r="KW172" s="54"/>
      <c r="KX172" s="54"/>
    </row>
    <row r="173" ht="5.2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c r="BS173" s="54"/>
      <c r="BT173" s="54"/>
      <c r="BU173" s="54"/>
      <c r="BV173" s="54"/>
      <c r="BW173" s="108"/>
      <c r="BX173" s="60"/>
      <c r="CH173" s="11"/>
      <c r="CI173" s="10"/>
      <c r="CK173" s="11"/>
      <c r="CL173" s="10"/>
      <c r="DF173" s="108"/>
      <c r="DG173" s="108"/>
      <c r="DH173" s="108"/>
      <c r="DI173" s="108"/>
      <c r="DJ173" s="108"/>
      <c r="DK173" s="108"/>
      <c r="DL173" s="108"/>
      <c r="DM173" s="108"/>
      <c r="DN173" s="108"/>
      <c r="DQ173" s="11"/>
      <c r="DR173" s="10"/>
      <c r="DT173" s="11"/>
      <c r="DU173" s="10"/>
      <c r="DX173" s="108"/>
      <c r="DY173" s="108"/>
      <c r="DZ173" s="108"/>
      <c r="EA173" s="108"/>
      <c r="EB173" s="108"/>
      <c r="EC173" s="108"/>
      <c r="ED173" s="108"/>
      <c r="EE173" s="116"/>
      <c r="EF173" s="108"/>
      <c r="EG173" s="54"/>
      <c r="EH173" s="54"/>
      <c r="EI173" s="108"/>
      <c r="EJ173" s="60"/>
      <c r="ET173" s="11"/>
      <c r="EU173" s="10"/>
      <c r="EW173" s="11"/>
      <c r="EX173" s="10"/>
      <c r="FR173" s="108"/>
      <c r="FS173" s="108"/>
      <c r="FT173" s="108"/>
      <c r="FU173" s="108"/>
      <c r="FV173" s="108"/>
      <c r="FW173" s="108"/>
      <c r="FX173" s="108"/>
      <c r="FY173" s="108"/>
      <c r="FZ173" s="108"/>
      <c r="GC173" s="11"/>
      <c r="GD173" s="10"/>
      <c r="GF173" s="11"/>
      <c r="GG173" s="10"/>
      <c r="GJ173" s="108"/>
      <c r="GK173" s="108"/>
      <c r="GL173" s="108"/>
      <c r="GM173" s="108"/>
      <c r="GN173" s="108"/>
      <c r="GO173" s="108"/>
      <c r="GP173" s="108"/>
      <c r="GQ173" s="116"/>
      <c r="GR173" s="108"/>
      <c r="GS173" s="54"/>
      <c r="GT173" s="54"/>
      <c r="GU173" s="54"/>
      <c r="GV173" s="54"/>
      <c r="GW173" s="54"/>
      <c r="GX173" s="54"/>
      <c r="GY173" s="54"/>
      <c r="GZ173" s="54"/>
      <c r="HA173" s="54"/>
      <c r="HB173" s="54"/>
      <c r="HC173" s="54"/>
      <c r="HD173" s="54"/>
      <c r="HE173" s="54"/>
      <c r="HF173" s="54"/>
      <c r="HG173" s="54"/>
      <c r="HH173" s="54"/>
      <c r="HI173" s="54"/>
      <c r="HJ173" s="54"/>
      <c r="HK173" s="54"/>
      <c r="HL173" s="54"/>
      <c r="HM173" s="54"/>
      <c r="HN173" s="54"/>
      <c r="HO173" s="54"/>
      <c r="HP173" s="54"/>
      <c r="HQ173" s="54"/>
      <c r="HR173" s="54"/>
      <c r="HS173" s="54"/>
      <c r="HT173" s="54"/>
      <c r="HU173" s="54"/>
      <c r="HV173" s="54"/>
      <c r="HW173" s="54"/>
      <c r="HX173" s="54"/>
      <c r="HY173" s="54"/>
      <c r="HZ173" s="54"/>
      <c r="IA173" s="54"/>
      <c r="IB173" s="54"/>
      <c r="IC173" s="54"/>
      <c r="ID173" s="54"/>
      <c r="IE173" s="54"/>
      <c r="IF173" s="54"/>
      <c r="IG173" s="54"/>
      <c r="IH173" s="54"/>
      <c r="II173" s="54"/>
      <c r="IJ173" s="54"/>
      <c r="IK173" s="54"/>
      <c r="IL173" s="54"/>
      <c r="IM173" s="54"/>
      <c r="IN173" s="54"/>
      <c r="IO173" s="54"/>
      <c r="IP173" s="54"/>
      <c r="IQ173" s="54"/>
      <c r="IR173" s="54"/>
      <c r="IS173" s="54"/>
      <c r="IT173" s="54"/>
      <c r="IU173" s="54"/>
      <c r="IV173" s="54"/>
      <c r="IW173" s="54"/>
      <c r="IX173" s="54"/>
      <c r="IY173" s="54"/>
      <c r="IZ173" s="54"/>
      <c r="JA173" s="54"/>
      <c r="JB173" s="54"/>
      <c r="JC173" s="54"/>
      <c r="JD173" s="54"/>
      <c r="JE173" s="54"/>
      <c r="JF173" s="54"/>
      <c r="JG173" s="54"/>
      <c r="JH173" s="54"/>
      <c r="JI173" s="54"/>
      <c r="JJ173" s="54"/>
      <c r="JK173" s="54"/>
      <c r="JL173" s="54"/>
      <c r="JM173" s="54"/>
      <c r="JN173" s="54"/>
      <c r="JO173" s="54"/>
      <c r="JP173" s="54"/>
      <c r="JQ173" s="54"/>
      <c r="JR173" s="54"/>
      <c r="JS173" s="54"/>
      <c r="JT173" s="54"/>
      <c r="JU173" s="54"/>
      <c r="JV173" s="54"/>
      <c r="JW173" s="54"/>
      <c r="JX173" s="54"/>
      <c r="JY173" s="54"/>
      <c r="JZ173" s="54"/>
      <c r="KA173" s="54"/>
      <c r="KB173" s="54"/>
      <c r="KC173" s="54"/>
      <c r="KD173" s="54"/>
      <c r="KE173" s="54"/>
      <c r="KF173" s="54"/>
      <c r="KG173" s="54"/>
      <c r="KH173" s="54"/>
      <c r="KI173" s="54"/>
      <c r="KJ173" s="54"/>
      <c r="KK173" s="54"/>
      <c r="KL173" s="54"/>
      <c r="KM173" s="54"/>
      <c r="KN173" s="54"/>
      <c r="KO173" s="54"/>
      <c r="KP173" s="54"/>
      <c r="KQ173" s="54"/>
      <c r="KR173" s="54"/>
      <c r="KS173" s="54"/>
      <c r="KT173" s="54"/>
      <c r="KU173" s="54"/>
      <c r="KV173" s="54"/>
      <c r="KW173" s="54"/>
      <c r="KX173" s="54"/>
    </row>
    <row r="174" ht="5.2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c r="BS174" s="54"/>
      <c r="BT174" s="54"/>
      <c r="BU174" s="54"/>
      <c r="BV174" s="54"/>
      <c r="BW174" s="108"/>
      <c r="BX174" s="70"/>
      <c r="BY174" s="71"/>
      <c r="BZ174" s="71"/>
      <c r="CA174" s="71"/>
      <c r="CB174" s="71"/>
      <c r="CC174" s="71"/>
      <c r="CD174" s="71"/>
      <c r="CE174" s="71"/>
      <c r="CF174" s="71"/>
      <c r="CG174" s="71"/>
      <c r="CH174" s="72"/>
      <c r="CI174" s="73"/>
      <c r="CJ174" s="71"/>
      <c r="CK174" s="72"/>
      <c r="CL174" s="73"/>
      <c r="CM174" s="71"/>
      <c r="CN174" s="71"/>
      <c r="CO174" s="71"/>
      <c r="CP174" s="71"/>
      <c r="CQ174" s="71"/>
      <c r="CR174" s="71"/>
      <c r="CS174" s="71"/>
      <c r="CT174" s="71"/>
      <c r="CU174" s="71"/>
      <c r="CV174" s="71"/>
      <c r="CW174" s="71"/>
      <c r="CX174" s="71"/>
      <c r="CY174" s="71"/>
      <c r="CZ174" s="71"/>
      <c r="DA174" s="71"/>
      <c r="DB174" s="71"/>
      <c r="DC174" s="71"/>
      <c r="DD174" s="71"/>
      <c r="DE174" s="71"/>
      <c r="DF174" s="117"/>
      <c r="DG174" s="117"/>
      <c r="DH174" s="117"/>
      <c r="DI174" s="117"/>
      <c r="DJ174" s="117"/>
      <c r="DK174" s="117"/>
      <c r="DL174" s="117"/>
      <c r="DM174" s="117"/>
      <c r="DN174" s="117"/>
      <c r="DO174" s="71"/>
      <c r="DP174" s="71"/>
      <c r="DQ174" s="72"/>
      <c r="DR174" s="73"/>
      <c r="DS174" s="71"/>
      <c r="DT174" s="72"/>
      <c r="DU174" s="73"/>
      <c r="DV174" s="71"/>
      <c r="DW174" s="71"/>
      <c r="DX174" s="117"/>
      <c r="DY174" s="117"/>
      <c r="DZ174" s="117"/>
      <c r="EA174" s="117"/>
      <c r="EB174" s="117"/>
      <c r="EC174" s="117"/>
      <c r="ED174" s="117"/>
      <c r="EE174" s="118"/>
      <c r="EF174" s="108"/>
      <c r="EG174" s="54"/>
      <c r="EH174" s="54"/>
      <c r="EI174" s="108"/>
      <c r="EJ174" s="70"/>
      <c r="EK174" s="71"/>
      <c r="EL174" s="71"/>
      <c r="EM174" s="71"/>
      <c r="EN174" s="71"/>
      <c r="EO174" s="71"/>
      <c r="EP174" s="71"/>
      <c r="EQ174" s="71"/>
      <c r="ER174" s="71"/>
      <c r="ES174" s="71"/>
      <c r="ET174" s="72"/>
      <c r="EU174" s="73"/>
      <c r="EV174" s="71"/>
      <c r="EW174" s="72"/>
      <c r="EX174" s="73"/>
      <c r="EY174" s="71"/>
      <c r="EZ174" s="71"/>
      <c r="FA174" s="71"/>
      <c r="FB174" s="71"/>
      <c r="FC174" s="71"/>
      <c r="FD174" s="71"/>
      <c r="FE174" s="71"/>
      <c r="FF174" s="71"/>
      <c r="FG174" s="71"/>
      <c r="FH174" s="71"/>
      <c r="FI174" s="71"/>
      <c r="FJ174" s="71"/>
      <c r="FK174" s="71"/>
      <c r="FL174" s="71"/>
      <c r="FM174" s="71"/>
      <c r="FN174" s="71"/>
      <c r="FO174" s="71"/>
      <c r="FP174" s="71"/>
      <c r="FQ174" s="71"/>
      <c r="FR174" s="117"/>
      <c r="FS174" s="117"/>
      <c r="FT174" s="117"/>
      <c r="FU174" s="117"/>
      <c r="FV174" s="117"/>
      <c r="FW174" s="117"/>
      <c r="FX174" s="117"/>
      <c r="FY174" s="117"/>
      <c r="FZ174" s="117"/>
      <c r="GA174" s="71"/>
      <c r="GB174" s="71"/>
      <c r="GC174" s="72"/>
      <c r="GD174" s="73"/>
      <c r="GE174" s="71"/>
      <c r="GF174" s="72"/>
      <c r="GG174" s="73"/>
      <c r="GH174" s="71"/>
      <c r="GI174" s="71"/>
      <c r="GJ174" s="117"/>
      <c r="GK174" s="117"/>
      <c r="GL174" s="117"/>
      <c r="GM174" s="117"/>
      <c r="GN174" s="117"/>
      <c r="GO174" s="117"/>
      <c r="GP174" s="117"/>
      <c r="GQ174" s="118"/>
      <c r="GR174" s="108"/>
      <c r="GS174" s="54"/>
      <c r="GT174" s="54"/>
      <c r="GU174" s="54"/>
      <c r="GV174" s="54"/>
      <c r="GW174" s="54"/>
      <c r="GX174" s="54"/>
      <c r="GY174" s="54"/>
      <c r="GZ174" s="54"/>
      <c r="HA174" s="54"/>
      <c r="HB174" s="54"/>
      <c r="HC174" s="54"/>
      <c r="HD174" s="54"/>
      <c r="HE174" s="54"/>
      <c r="HF174" s="54"/>
      <c r="HG174" s="54"/>
      <c r="HH174" s="54"/>
      <c r="HI174" s="54"/>
      <c r="HJ174" s="54"/>
      <c r="HK174" s="54"/>
      <c r="HL174" s="54"/>
      <c r="HM174" s="54"/>
      <c r="HN174" s="54"/>
      <c r="HO174" s="54"/>
      <c r="HP174" s="54"/>
      <c r="HQ174" s="54"/>
      <c r="HR174" s="54"/>
      <c r="HS174" s="54"/>
      <c r="HT174" s="54"/>
      <c r="HU174" s="54"/>
      <c r="HV174" s="54"/>
      <c r="HW174" s="54"/>
      <c r="HX174" s="54"/>
      <c r="HY174" s="54"/>
      <c r="HZ174" s="54"/>
      <c r="IA174" s="54"/>
      <c r="IB174" s="54"/>
      <c r="IC174" s="54"/>
      <c r="ID174" s="54"/>
      <c r="IE174" s="54"/>
      <c r="IF174" s="54"/>
      <c r="IG174" s="54"/>
      <c r="IH174" s="54"/>
      <c r="II174" s="54"/>
      <c r="IJ174" s="54"/>
      <c r="IK174" s="54"/>
      <c r="IL174" s="54"/>
      <c r="IM174" s="54"/>
      <c r="IN174" s="54"/>
      <c r="IO174" s="54"/>
      <c r="IP174" s="54"/>
      <c r="IQ174" s="54"/>
      <c r="IR174" s="54"/>
      <c r="IS174" s="54"/>
      <c r="IT174" s="54"/>
      <c r="IU174" s="54"/>
      <c r="IV174" s="54"/>
      <c r="IW174" s="54"/>
      <c r="IX174" s="54"/>
      <c r="IY174" s="54"/>
      <c r="IZ174" s="54"/>
      <c r="JA174" s="54"/>
      <c r="JB174" s="54"/>
      <c r="JC174" s="54"/>
      <c r="JD174" s="54"/>
      <c r="JE174" s="54"/>
      <c r="JF174" s="54"/>
      <c r="JG174" s="54"/>
      <c r="JH174" s="54"/>
      <c r="JI174" s="54"/>
      <c r="JJ174" s="54"/>
      <c r="JK174" s="54"/>
      <c r="JL174" s="54"/>
      <c r="JM174" s="54"/>
      <c r="JN174" s="54"/>
      <c r="JO174" s="54"/>
      <c r="JP174" s="54"/>
      <c r="JQ174" s="54"/>
      <c r="JR174" s="54"/>
      <c r="JS174" s="54"/>
      <c r="JT174" s="54"/>
      <c r="JU174" s="54"/>
      <c r="JV174" s="54"/>
      <c r="JW174" s="54"/>
      <c r="JX174" s="54"/>
      <c r="JY174" s="54"/>
      <c r="JZ174" s="54"/>
      <c r="KA174" s="54"/>
      <c r="KB174" s="54"/>
      <c r="KC174" s="54"/>
      <c r="KD174" s="54"/>
      <c r="KE174" s="54"/>
      <c r="KF174" s="54"/>
      <c r="KG174" s="54"/>
      <c r="KH174" s="54"/>
      <c r="KI174" s="54"/>
      <c r="KJ174" s="54"/>
      <c r="KK174" s="54"/>
      <c r="KL174" s="54"/>
      <c r="KM174" s="54"/>
      <c r="KN174" s="54"/>
      <c r="KO174" s="54"/>
      <c r="KP174" s="54"/>
      <c r="KQ174" s="54"/>
      <c r="KR174" s="54"/>
      <c r="KS174" s="54"/>
      <c r="KT174" s="54"/>
      <c r="KU174" s="54"/>
      <c r="KV174" s="54"/>
      <c r="KW174" s="54"/>
      <c r="KX174" s="54"/>
    </row>
    <row r="175" ht="5.2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c r="BS175" s="54"/>
      <c r="BT175" s="54"/>
      <c r="BU175" s="54"/>
      <c r="BV175" s="54"/>
      <c r="BW175" s="119" t="str">
        <f>if(or(AR120=0,DD120=0),"",reseeding!AC163)</f>
        <v/>
      </c>
      <c r="BX175" s="120" t="str">
        <f t="array" ref="BX175">xlookup(BW175,data!$M$2:$M$17,data!$O$2:$O$17,"")</f>
        <v/>
      </c>
      <c r="CB175" s="79" t="str">
        <f t="array" ref="CB175">xlookup(BW175,data!$M$2:$M$17,data!$N$2:$N$17,"")</f>
        <v/>
      </c>
      <c r="CX175" s="67"/>
      <c r="DA175" s="11"/>
      <c r="DB175" s="80"/>
      <c r="DF175" s="81" t="str">
        <f t="array" ref="DF175">xlookup(EF175,data!$M$2:$M$17,data!$N$2:$N$17,"")</f>
        <v/>
      </c>
      <c r="EB175" s="121" t="str">
        <f t="array" ref="EB175">xlookup(EF175,data!$M$2:$M$17,data!$O$2:$O$17,"")</f>
        <v/>
      </c>
      <c r="EE175" s="61"/>
      <c r="EF175" s="119" t="str">
        <f>if(or(AR120=0,DD120=0),"",reseeding!AD163)</f>
        <v/>
      </c>
      <c r="EG175" s="54"/>
      <c r="EH175" s="54"/>
      <c r="EI175" s="119" t="str">
        <f>if(or(FP120=0,DD120=0),"",reseeding!AC169)</f>
        <v/>
      </c>
      <c r="EJ175" s="120" t="str">
        <f t="array" ref="EJ175">xlookup(EI175,data!$M$2:$M$17,data!$O$2:$O$17,"")</f>
        <v/>
      </c>
      <c r="EN175" s="79" t="str">
        <f t="array" ref="EN175">xlookup(EI175,data!$M$2:$M$17,data!$N$2:$N$17,"")</f>
        <v/>
      </c>
      <c r="FJ175" s="67"/>
      <c r="FM175" s="11"/>
      <c r="FN175" s="80"/>
      <c r="FR175" s="81" t="str">
        <f t="array" ref="FR175">xlookup(GR175,data!$M$2:$M$17,data!$N$2:$N$17,"")</f>
        <v/>
      </c>
      <c r="GN175" s="121" t="str">
        <f t="array" ref="GN175">xlookup(GR175,data!$M$2:$M$17,data!$O$2:$O$17,"")</f>
        <v/>
      </c>
      <c r="GQ175" s="61"/>
      <c r="GR175" s="119" t="str">
        <f>if(or(FP120=0,DD120=0),"",reseeding!AD169)</f>
        <v/>
      </c>
      <c r="GS175" s="54"/>
      <c r="GT175" s="54"/>
      <c r="GU175" s="54"/>
      <c r="GV175" s="54"/>
      <c r="GW175" s="54"/>
      <c r="GX175" s="54"/>
      <c r="GY175" s="54"/>
      <c r="GZ175" s="54"/>
      <c r="HA175" s="54"/>
      <c r="HB175" s="54"/>
      <c r="HC175" s="54"/>
      <c r="HD175" s="54"/>
      <c r="HE175" s="54"/>
      <c r="HF175" s="54"/>
      <c r="HG175" s="54"/>
      <c r="HH175" s="54"/>
      <c r="HI175" s="54"/>
      <c r="HJ175" s="54"/>
      <c r="HK175" s="54"/>
      <c r="HL175" s="54"/>
      <c r="HM175" s="54"/>
      <c r="HN175" s="54"/>
      <c r="HO175" s="54"/>
      <c r="HP175" s="54"/>
      <c r="HQ175" s="54"/>
      <c r="HR175" s="54"/>
      <c r="HS175" s="54"/>
      <c r="HT175" s="54"/>
      <c r="HU175" s="54"/>
      <c r="HV175" s="54"/>
      <c r="HW175" s="54"/>
      <c r="HX175" s="54"/>
      <c r="HY175" s="54"/>
      <c r="HZ175" s="54"/>
      <c r="IA175" s="54"/>
      <c r="IB175" s="54"/>
      <c r="IC175" s="54"/>
      <c r="ID175" s="54"/>
      <c r="IE175" s="54"/>
      <c r="IF175" s="54"/>
      <c r="IG175" s="54"/>
      <c r="IH175" s="54"/>
      <c r="II175" s="54"/>
      <c r="IJ175" s="54"/>
      <c r="IK175" s="54"/>
      <c r="IL175" s="54"/>
      <c r="IM175" s="54"/>
      <c r="IN175" s="54"/>
      <c r="IO175" s="54"/>
      <c r="IP175" s="54"/>
      <c r="IQ175" s="54"/>
      <c r="IR175" s="54"/>
      <c r="IS175" s="54"/>
      <c r="IT175" s="54"/>
      <c r="IU175" s="54"/>
      <c r="IV175" s="54"/>
      <c r="IW175" s="54"/>
      <c r="IX175" s="54"/>
      <c r="IY175" s="54"/>
      <c r="IZ175" s="54"/>
      <c r="JA175" s="54"/>
      <c r="JB175" s="54"/>
      <c r="JC175" s="54"/>
      <c r="JD175" s="54"/>
      <c r="JE175" s="54"/>
      <c r="JF175" s="54"/>
      <c r="JG175" s="54"/>
      <c r="JH175" s="54"/>
      <c r="JI175" s="54"/>
      <c r="JJ175" s="54"/>
      <c r="JK175" s="54"/>
      <c r="JL175" s="54"/>
      <c r="JM175" s="54"/>
      <c r="JN175" s="54"/>
      <c r="JO175" s="54"/>
      <c r="JP175" s="54"/>
      <c r="JQ175" s="54"/>
      <c r="JR175" s="54"/>
      <c r="JS175" s="54"/>
      <c r="JT175" s="54"/>
      <c r="JU175" s="54"/>
      <c r="JV175" s="54"/>
      <c r="JW175" s="54"/>
      <c r="JX175" s="54"/>
      <c r="JY175" s="54"/>
      <c r="JZ175" s="54"/>
      <c r="KA175" s="54"/>
      <c r="KB175" s="54"/>
      <c r="KC175" s="54"/>
      <c r="KD175" s="54"/>
      <c r="KE175" s="54"/>
      <c r="KF175" s="54"/>
      <c r="KG175" s="54"/>
      <c r="KH175" s="54"/>
      <c r="KI175" s="54"/>
      <c r="KJ175" s="54"/>
      <c r="KK175" s="54"/>
      <c r="KL175" s="54"/>
      <c r="KM175" s="54"/>
      <c r="KN175" s="54"/>
      <c r="KO175" s="54"/>
      <c r="KP175" s="54"/>
      <c r="KQ175" s="54"/>
      <c r="KR175" s="54"/>
      <c r="KS175" s="54"/>
      <c r="KT175" s="54"/>
      <c r="KU175" s="54"/>
      <c r="KV175" s="54"/>
      <c r="KW175" s="54"/>
      <c r="KX175" s="54"/>
    </row>
    <row r="176" ht="5.2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54"/>
      <c r="BK176" s="54"/>
      <c r="BL176" s="54"/>
      <c r="BM176" s="54"/>
      <c r="BN176" s="54"/>
      <c r="BO176" s="54"/>
      <c r="BP176" s="54"/>
      <c r="BQ176" s="54"/>
      <c r="BR176" s="54"/>
      <c r="BS176" s="54"/>
      <c r="BT176" s="54"/>
      <c r="BU176" s="54"/>
      <c r="BV176" s="54"/>
      <c r="BW176" s="108"/>
      <c r="BX176" s="60"/>
      <c r="DA176" s="11"/>
      <c r="DB176" s="10"/>
      <c r="EE176" s="61"/>
      <c r="EF176" s="108"/>
      <c r="EG176" s="54"/>
      <c r="EH176" s="54"/>
      <c r="EI176" s="108"/>
      <c r="EJ176" s="60"/>
      <c r="FM176" s="11"/>
      <c r="FN176" s="10"/>
      <c r="GQ176" s="61"/>
      <c r="GR176" s="108"/>
      <c r="GS176" s="54"/>
      <c r="GT176" s="54"/>
      <c r="GU176" s="54"/>
      <c r="GV176" s="54"/>
      <c r="GW176" s="54"/>
      <c r="GX176" s="54"/>
      <c r="GY176" s="54"/>
      <c r="GZ176" s="54"/>
      <c r="HA176" s="54"/>
      <c r="HB176" s="54"/>
      <c r="HC176" s="54"/>
      <c r="HD176" s="54"/>
      <c r="HE176" s="54"/>
      <c r="HF176" s="54"/>
      <c r="HG176" s="54"/>
      <c r="HH176" s="54"/>
      <c r="HI176" s="54"/>
      <c r="HJ176" s="54"/>
      <c r="HK176" s="54"/>
      <c r="HL176" s="54"/>
      <c r="HM176" s="54"/>
      <c r="HN176" s="54"/>
      <c r="HO176" s="54"/>
      <c r="HP176" s="54"/>
      <c r="HQ176" s="54"/>
      <c r="HR176" s="54"/>
      <c r="HS176" s="54"/>
      <c r="HT176" s="54"/>
      <c r="HU176" s="54"/>
      <c r="HV176" s="54"/>
      <c r="HW176" s="54"/>
      <c r="HX176" s="54"/>
      <c r="HY176" s="54"/>
      <c r="HZ176" s="54"/>
      <c r="IA176" s="54"/>
      <c r="IB176" s="54"/>
      <c r="IC176" s="54"/>
      <c r="ID176" s="54"/>
      <c r="IE176" s="54"/>
      <c r="IF176" s="54"/>
      <c r="IG176" s="54"/>
      <c r="IH176" s="54"/>
      <c r="II176" s="54"/>
      <c r="IJ176" s="54"/>
      <c r="IK176" s="54"/>
      <c r="IL176" s="54"/>
      <c r="IM176" s="54"/>
      <c r="IN176" s="54"/>
      <c r="IO176" s="54"/>
      <c r="IP176" s="54"/>
      <c r="IQ176" s="54"/>
      <c r="IR176" s="54"/>
      <c r="IS176" s="54"/>
      <c r="IT176" s="54"/>
      <c r="IU176" s="54"/>
      <c r="IV176" s="54"/>
      <c r="IW176" s="54"/>
      <c r="IX176" s="54"/>
      <c r="IY176" s="54"/>
      <c r="IZ176" s="54"/>
      <c r="JA176" s="54"/>
      <c r="JB176" s="54"/>
      <c r="JC176" s="54"/>
      <c r="JD176" s="54"/>
      <c r="JE176" s="54"/>
      <c r="JF176" s="54"/>
      <c r="JG176" s="54"/>
      <c r="JH176" s="54"/>
      <c r="JI176" s="54"/>
      <c r="JJ176" s="54"/>
      <c r="JK176" s="54"/>
      <c r="JL176" s="54"/>
      <c r="JM176" s="54"/>
      <c r="JN176" s="54"/>
      <c r="JO176" s="54"/>
      <c r="JP176" s="54"/>
      <c r="JQ176" s="54"/>
      <c r="JR176" s="54"/>
      <c r="JS176" s="54"/>
      <c r="JT176" s="54"/>
      <c r="JU176" s="54"/>
      <c r="JV176" s="54"/>
      <c r="JW176" s="54"/>
      <c r="JX176" s="54"/>
      <c r="JY176" s="54"/>
      <c r="JZ176" s="54"/>
      <c r="KA176" s="54"/>
      <c r="KB176" s="54"/>
      <c r="KC176" s="54"/>
      <c r="KD176" s="54"/>
      <c r="KE176" s="54"/>
      <c r="KF176" s="54"/>
      <c r="KG176" s="54"/>
      <c r="KH176" s="54"/>
      <c r="KI176" s="54"/>
      <c r="KJ176" s="54"/>
      <c r="KK176" s="54"/>
      <c r="KL176" s="54"/>
      <c r="KM176" s="54"/>
      <c r="KN176" s="54"/>
      <c r="KO176" s="54"/>
      <c r="KP176" s="54"/>
      <c r="KQ176" s="54"/>
      <c r="KR176" s="54"/>
      <c r="KS176" s="54"/>
      <c r="KT176" s="54"/>
      <c r="KU176" s="54"/>
      <c r="KV176" s="54"/>
      <c r="KW176" s="54"/>
      <c r="KX176" s="54"/>
    </row>
    <row r="177" ht="5.2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c r="BS177" s="54"/>
      <c r="BT177" s="54"/>
      <c r="BU177" s="54"/>
      <c r="BV177" s="54"/>
      <c r="BW177" s="108"/>
      <c r="BX177" s="60"/>
      <c r="DA177" s="11"/>
      <c r="DB177" s="10"/>
      <c r="EE177" s="61"/>
      <c r="EF177" s="108"/>
      <c r="EG177" s="54"/>
      <c r="EH177" s="54"/>
      <c r="EI177" s="108"/>
      <c r="EJ177" s="60"/>
      <c r="FM177" s="11"/>
      <c r="FN177" s="10"/>
      <c r="GQ177" s="61"/>
      <c r="GR177" s="108"/>
      <c r="GS177" s="54"/>
      <c r="GT177" s="54"/>
      <c r="GU177" s="54"/>
      <c r="GV177" s="54"/>
      <c r="GW177" s="54"/>
      <c r="GX177" s="54"/>
      <c r="GY177" s="54"/>
      <c r="GZ177" s="54"/>
      <c r="HA177" s="54"/>
      <c r="HB177" s="54"/>
      <c r="HC177" s="54"/>
      <c r="HD177" s="54"/>
      <c r="HE177" s="54"/>
      <c r="HF177" s="54"/>
      <c r="HG177" s="54"/>
      <c r="HH177" s="54"/>
      <c r="HI177" s="54"/>
      <c r="HJ177" s="54"/>
      <c r="HK177" s="54"/>
      <c r="HL177" s="54"/>
      <c r="HM177" s="54"/>
      <c r="HN177" s="54"/>
      <c r="HO177" s="54"/>
      <c r="HP177" s="54"/>
      <c r="HQ177" s="54"/>
      <c r="HR177" s="54"/>
      <c r="HS177" s="54"/>
      <c r="HT177" s="54"/>
      <c r="HU177" s="54"/>
      <c r="HV177" s="54"/>
      <c r="HW177" s="54"/>
      <c r="HX177" s="54"/>
      <c r="HY177" s="54"/>
      <c r="HZ177" s="54"/>
      <c r="IA177" s="54"/>
      <c r="IB177" s="54"/>
      <c r="IC177" s="54"/>
      <c r="ID177" s="54"/>
      <c r="IE177" s="54"/>
      <c r="IF177" s="54"/>
      <c r="IG177" s="54"/>
      <c r="IH177" s="54"/>
      <c r="II177" s="54"/>
      <c r="IJ177" s="54"/>
      <c r="IK177" s="54"/>
      <c r="IL177" s="54"/>
      <c r="IM177" s="54"/>
      <c r="IN177" s="54"/>
      <c r="IO177" s="54"/>
      <c r="IP177" s="54"/>
      <c r="IQ177" s="54"/>
      <c r="IR177" s="54"/>
      <c r="IS177" s="54"/>
      <c r="IT177" s="54"/>
      <c r="IU177" s="54"/>
      <c r="IV177" s="54"/>
      <c r="IW177" s="54"/>
      <c r="IX177" s="54"/>
      <c r="IY177" s="54"/>
      <c r="IZ177" s="54"/>
      <c r="JA177" s="54"/>
      <c r="JB177" s="54"/>
      <c r="JC177" s="54"/>
      <c r="JD177" s="54"/>
      <c r="JE177" s="54"/>
      <c r="JF177" s="54"/>
      <c r="JG177" s="54"/>
      <c r="JH177" s="54"/>
      <c r="JI177" s="54"/>
      <c r="JJ177" s="54"/>
      <c r="JK177" s="54"/>
      <c r="JL177" s="54"/>
      <c r="JM177" s="54"/>
      <c r="JN177" s="54"/>
      <c r="JO177" s="54"/>
      <c r="JP177" s="54"/>
      <c r="JQ177" s="54"/>
      <c r="JR177" s="54"/>
      <c r="JS177" s="54"/>
      <c r="JT177" s="54"/>
      <c r="JU177" s="54"/>
      <c r="JV177" s="54"/>
      <c r="JW177" s="54"/>
      <c r="JX177" s="54"/>
      <c r="JY177" s="54"/>
      <c r="JZ177" s="54"/>
      <c r="KA177" s="54"/>
      <c r="KB177" s="54"/>
      <c r="KC177" s="54"/>
      <c r="KD177" s="54"/>
      <c r="KE177" s="54"/>
      <c r="KF177" s="54"/>
      <c r="KG177" s="54"/>
      <c r="KH177" s="54"/>
      <c r="KI177" s="54"/>
      <c r="KJ177" s="54"/>
      <c r="KK177" s="54"/>
      <c r="KL177" s="54"/>
      <c r="KM177" s="54"/>
      <c r="KN177" s="54"/>
      <c r="KO177" s="54"/>
      <c r="KP177" s="54"/>
      <c r="KQ177" s="54"/>
      <c r="KR177" s="54"/>
      <c r="KS177" s="54"/>
      <c r="KT177" s="54"/>
      <c r="KU177" s="54"/>
      <c r="KV177" s="54"/>
      <c r="KW177" s="54"/>
      <c r="KX177" s="54"/>
    </row>
    <row r="178" ht="5.2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c r="BS178" s="54"/>
      <c r="BT178" s="54"/>
      <c r="BU178" s="54"/>
      <c r="BV178" s="54"/>
      <c r="BW178" s="108"/>
      <c r="BX178" s="60"/>
      <c r="DA178" s="11"/>
      <c r="DB178" s="10"/>
      <c r="EE178" s="61"/>
      <c r="EF178" s="108"/>
      <c r="EG178" s="54"/>
      <c r="EH178" s="54"/>
      <c r="EI178" s="108"/>
      <c r="EJ178" s="60"/>
      <c r="FM178" s="11"/>
      <c r="FN178" s="10"/>
      <c r="GQ178" s="61"/>
      <c r="GR178" s="108"/>
      <c r="GS178" s="54"/>
      <c r="GT178" s="54"/>
      <c r="GU178" s="54"/>
      <c r="GV178" s="54"/>
      <c r="GW178" s="54"/>
      <c r="GX178" s="54"/>
      <c r="GY178" s="54"/>
      <c r="GZ178" s="54"/>
      <c r="HA178" s="54"/>
      <c r="HB178" s="54"/>
      <c r="HC178" s="54"/>
      <c r="HD178" s="54"/>
      <c r="HE178" s="54"/>
      <c r="HF178" s="54"/>
      <c r="HG178" s="54"/>
      <c r="HH178" s="54"/>
      <c r="HI178" s="54"/>
      <c r="HJ178" s="54"/>
      <c r="HK178" s="54"/>
      <c r="HL178" s="54"/>
      <c r="HM178" s="54"/>
      <c r="HN178" s="54"/>
      <c r="HO178" s="54"/>
      <c r="HP178" s="54"/>
      <c r="HQ178" s="54"/>
      <c r="HR178" s="54"/>
      <c r="HS178" s="54"/>
      <c r="HT178" s="54"/>
      <c r="HU178" s="54"/>
      <c r="HV178" s="54"/>
      <c r="HW178" s="54"/>
      <c r="HX178" s="54"/>
      <c r="HY178" s="54"/>
      <c r="HZ178" s="54"/>
      <c r="IA178" s="54"/>
      <c r="IB178" s="54"/>
      <c r="IC178" s="54"/>
      <c r="ID178" s="54"/>
      <c r="IE178" s="54"/>
      <c r="IF178" s="54"/>
      <c r="IG178" s="54"/>
      <c r="IH178" s="54"/>
      <c r="II178" s="54"/>
      <c r="IJ178" s="54"/>
      <c r="IK178" s="54"/>
      <c r="IL178" s="54"/>
      <c r="IM178" s="54"/>
      <c r="IN178" s="54"/>
      <c r="IO178" s="54"/>
      <c r="IP178" s="54"/>
      <c r="IQ178" s="54"/>
      <c r="IR178" s="54"/>
      <c r="IS178" s="54"/>
      <c r="IT178" s="54"/>
      <c r="IU178" s="54"/>
      <c r="IV178" s="54"/>
      <c r="IW178" s="54"/>
      <c r="IX178" s="54"/>
      <c r="IY178" s="54"/>
      <c r="IZ178" s="54"/>
      <c r="JA178" s="54"/>
      <c r="JB178" s="54"/>
      <c r="JC178" s="54"/>
      <c r="JD178" s="54"/>
      <c r="JE178" s="54"/>
      <c r="JF178" s="54"/>
      <c r="JG178" s="54"/>
      <c r="JH178" s="54"/>
      <c r="JI178" s="54"/>
      <c r="JJ178" s="54"/>
      <c r="JK178" s="54"/>
      <c r="JL178" s="54"/>
      <c r="JM178" s="54"/>
      <c r="JN178" s="54"/>
      <c r="JO178" s="54"/>
      <c r="JP178" s="54"/>
      <c r="JQ178" s="54"/>
      <c r="JR178" s="54"/>
      <c r="JS178" s="54"/>
      <c r="JT178" s="54"/>
      <c r="JU178" s="54"/>
      <c r="JV178" s="54"/>
      <c r="JW178" s="54"/>
      <c r="JX178" s="54"/>
      <c r="JY178" s="54"/>
      <c r="JZ178" s="54"/>
      <c r="KA178" s="54"/>
      <c r="KB178" s="54"/>
      <c r="KC178" s="54"/>
      <c r="KD178" s="54"/>
      <c r="KE178" s="54"/>
      <c r="KF178" s="54"/>
      <c r="KG178" s="54"/>
      <c r="KH178" s="54"/>
      <c r="KI178" s="54"/>
      <c r="KJ178" s="54"/>
      <c r="KK178" s="54"/>
      <c r="KL178" s="54"/>
      <c r="KM178" s="54"/>
      <c r="KN178" s="54"/>
      <c r="KO178" s="54"/>
      <c r="KP178" s="54"/>
      <c r="KQ178" s="54"/>
      <c r="KR178" s="54"/>
      <c r="KS178" s="54"/>
      <c r="KT178" s="54"/>
      <c r="KU178" s="54"/>
      <c r="KV178" s="54"/>
      <c r="KW178" s="54"/>
      <c r="KX178" s="54"/>
    </row>
    <row r="179" ht="5.2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c r="BS179" s="54"/>
      <c r="BT179" s="54"/>
      <c r="BU179" s="54"/>
      <c r="BV179" s="54"/>
      <c r="BW179" s="119" t="str">
        <f>BW175</f>
        <v/>
      </c>
      <c r="BX179" s="112"/>
      <c r="CF179" s="135"/>
      <c r="CH179" s="11"/>
      <c r="CI179" s="127"/>
      <c r="CK179" s="11"/>
      <c r="CL179" s="124"/>
      <c r="CO179" s="108"/>
      <c r="CX179" s="85">
        <f>sum(CF179:CN181)</f>
        <v>0</v>
      </c>
      <c r="DA179" s="11"/>
      <c r="DB179" s="86">
        <f>sum(DO179:DW181)</f>
        <v>0</v>
      </c>
      <c r="DF179" s="108"/>
      <c r="DG179" s="108"/>
      <c r="DH179" s="108"/>
      <c r="DI179" s="108"/>
      <c r="DJ179" s="108"/>
      <c r="DK179" s="108"/>
      <c r="DL179" s="108"/>
      <c r="DM179" s="108"/>
      <c r="DN179" s="108"/>
      <c r="DO179" s="125"/>
      <c r="DQ179" s="11"/>
      <c r="DR179" s="126"/>
      <c r="DT179" s="11"/>
      <c r="DU179" s="127"/>
      <c r="DX179" s="108"/>
      <c r="DY179" s="108"/>
      <c r="DZ179" s="108"/>
      <c r="EA179" s="108"/>
      <c r="EB179" s="108"/>
      <c r="EC179" s="108"/>
      <c r="ED179" s="108"/>
      <c r="EE179" s="116"/>
      <c r="EF179" s="119" t="str">
        <f>EF175</f>
        <v/>
      </c>
      <c r="EG179" s="54"/>
      <c r="EH179" s="54"/>
      <c r="EI179" s="119" t="str">
        <f>EI175</f>
        <v/>
      </c>
      <c r="EJ179" s="112"/>
      <c r="ER179" s="135"/>
      <c r="ET179" s="11"/>
      <c r="EU179" s="127"/>
      <c r="EW179" s="11"/>
      <c r="EX179" s="127"/>
      <c r="FA179" s="108"/>
      <c r="FJ179" s="85">
        <f>sum(ER179:EZ181)</f>
        <v>0</v>
      </c>
      <c r="FM179" s="11"/>
      <c r="FN179" s="86">
        <f>sum(GA179:GI181)</f>
        <v>0</v>
      </c>
      <c r="FR179" s="108"/>
      <c r="FS179" s="108"/>
      <c r="FT179" s="108"/>
      <c r="FU179" s="108"/>
      <c r="FV179" s="108"/>
      <c r="FW179" s="108"/>
      <c r="FX179" s="108"/>
      <c r="FY179" s="108"/>
      <c r="FZ179" s="108"/>
      <c r="GA179" s="122"/>
      <c r="GC179" s="11"/>
      <c r="GD179" s="126"/>
      <c r="GF179" s="11"/>
      <c r="GG179" s="127"/>
      <c r="GJ179" s="108"/>
      <c r="GK179" s="108"/>
      <c r="GL179" s="108"/>
      <c r="GM179" s="108"/>
      <c r="GN179" s="108"/>
      <c r="GO179" s="108"/>
      <c r="GP179" s="108"/>
      <c r="GQ179" s="116"/>
      <c r="GR179" s="119" t="str">
        <f>GR175</f>
        <v/>
      </c>
      <c r="GS179" s="54"/>
      <c r="GT179" s="54"/>
      <c r="GU179" s="54"/>
      <c r="GV179" s="54"/>
      <c r="GW179" s="54"/>
      <c r="GX179" s="54"/>
      <c r="GY179" s="54"/>
      <c r="GZ179" s="54"/>
      <c r="HA179" s="54"/>
      <c r="HB179" s="54"/>
      <c r="HC179" s="54"/>
      <c r="HD179" s="54"/>
      <c r="HE179" s="54"/>
      <c r="HF179" s="54"/>
      <c r="HG179" s="54"/>
      <c r="HH179" s="54"/>
      <c r="HI179" s="54"/>
      <c r="HJ179" s="54"/>
      <c r="HK179" s="54"/>
      <c r="HL179" s="54"/>
      <c r="HM179" s="54"/>
      <c r="HN179" s="54"/>
      <c r="HO179" s="54"/>
      <c r="HP179" s="54"/>
      <c r="HQ179" s="54"/>
      <c r="HR179" s="54"/>
      <c r="HS179" s="54"/>
      <c r="HT179" s="54"/>
      <c r="HU179" s="54"/>
      <c r="HV179" s="54"/>
      <c r="HW179" s="54"/>
      <c r="HX179" s="54"/>
      <c r="HY179" s="54"/>
      <c r="HZ179" s="54"/>
      <c r="IA179" s="54"/>
      <c r="IB179" s="54"/>
      <c r="IC179" s="54"/>
      <c r="ID179" s="54"/>
      <c r="IE179" s="54"/>
      <c r="IF179" s="54"/>
      <c r="IG179" s="54"/>
      <c r="IH179" s="54"/>
      <c r="II179" s="54"/>
      <c r="IJ179" s="54"/>
      <c r="IK179" s="54"/>
      <c r="IL179" s="54"/>
      <c r="IM179" s="54"/>
      <c r="IN179" s="54"/>
      <c r="IO179" s="54"/>
      <c r="IP179" s="54"/>
      <c r="IQ179" s="54"/>
      <c r="IR179" s="54"/>
      <c r="IS179" s="54"/>
      <c r="IT179" s="54"/>
      <c r="IU179" s="54"/>
      <c r="IV179" s="54"/>
      <c r="IW179" s="54"/>
      <c r="IX179" s="54"/>
      <c r="IY179" s="54"/>
      <c r="IZ179" s="54"/>
      <c r="JA179" s="54"/>
      <c r="JB179" s="54"/>
      <c r="JC179" s="54"/>
      <c r="JD179" s="54"/>
      <c r="JE179" s="54"/>
      <c r="JF179" s="54"/>
      <c r="JG179" s="54"/>
      <c r="JH179" s="54"/>
      <c r="JI179" s="54"/>
      <c r="JJ179" s="54"/>
      <c r="JK179" s="54"/>
      <c r="JL179" s="54"/>
      <c r="JM179" s="54"/>
      <c r="JN179" s="54"/>
      <c r="JO179" s="54"/>
      <c r="JP179" s="54"/>
      <c r="JQ179" s="54"/>
      <c r="JR179" s="54"/>
      <c r="JS179" s="54"/>
      <c r="JT179" s="54"/>
      <c r="JU179" s="54"/>
      <c r="JV179" s="54"/>
      <c r="JW179" s="54"/>
      <c r="JX179" s="54"/>
      <c r="JY179" s="54"/>
      <c r="JZ179" s="54"/>
      <c r="KA179" s="54"/>
      <c r="KB179" s="54"/>
      <c r="KC179" s="54"/>
      <c r="KD179" s="54"/>
      <c r="KE179" s="54"/>
      <c r="KF179" s="54"/>
      <c r="KG179" s="54"/>
      <c r="KH179" s="54"/>
      <c r="KI179" s="54"/>
      <c r="KJ179" s="54"/>
      <c r="KK179" s="54"/>
      <c r="KL179" s="54"/>
      <c r="KM179" s="54"/>
      <c r="KN179" s="54"/>
      <c r="KO179" s="54"/>
      <c r="KP179" s="54"/>
      <c r="KQ179" s="54"/>
      <c r="KR179" s="54"/>
      <c r="KS179" s="54"/>
      <c r="KT179" s="54"/>
      <c r="KU179" s="54"/>
      <c r="KV179" s="54"/>
      <c r="KW179" s="54"/>
      <c r="KX179" s="54"/>
    </row>
    <row r="180" ht="5.2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c r="BS180" s="54"/>
      <c r="BT180" s="54"/>
      <c r="BU180" s="54"/>
      <c r="BV180" s="54"/>
      <c r="BW180" s="108"/>
      <c r="BX180" s="60"/>
      <c r="CH180" s="11"/>
      <c r="CI180" s="10"/>
      <c r="CK180" s="11"/>
      <c r="CL180" s="10"/>
      <c r="DA180" s="11"/>
      <c r="DB180" s="10"/>
      <c r="DF180" s="108"/>
      <c r="DG180" s="108"/>
      <c r="DH180" s="108"/>
      <c r="DI180" s="108"/>
      <c r="DJ180" s="108"/>
      <c r="DK180" s="108"/>
      <c r="DL180" s="108"/>
      <c r="DM180" s="108"/>
      <c r="DN180" s="108"/>
      <c r="DQ180" s="11"/>
      <c r="DR180" s="10"/>
      <c r="DT180" s="11"/>
      <c r="DU180" s="10"/>
      <c r="DX180" s="108"/>
      <c r="DY180" s="108"/>
      <c r="DZ180" s="108"/>
      <c r="EA180" s="108"/>
      <c r="EB180" s="108"/>
      <c r="EC180" s="108"/>
      <c r="ED180" s="108"/>
      <c r="EE180" s="116"/>
      <c r="EF180" s="108"/>
      <c r="EG180" s="54"/>
      <c r="EH180" s="54"/>
      <c r="EI180" s="108"/>
      <c r="EJ180" s="60"/>
      <c r="ET180" s="11"/>
      <c r="EU180" s="10"/>
      <c r="EW180" s="11"/>
      <c r="EX180" s="10"/>
      <c r="FM180" s="11"/>
      <c r="FN180" s="10"/>
      <c r="FR180" s="108"/>
      <c r="FS180" s="108"/>
      <c r="FT180" s="108"/>
      <c r="FU180" s="108"/>
      <c r="FV180" s="108"/>
      <c r="FW180" s="108"/>
      <c r="FX180" s="108"/>
      <c r="FY180" s="108"/>
      <c r="FZ180" s="108"/>
      <c r="GC180" s="11"/>
      <c r="GD180" s="10"/>
      <c r="GF180" s="11"/>
      <c r="GG180" s="10"/>
      <c r="GJ180" s="108"/>
      <c r="GK180" s="108"/>
      <c r="GL180" s="108"/>
      <c r="GM180" s="108"/>
      <c r="GN180" s="108"/>
      <c r="GO180" s="108"/>
      <c r="GP180" s="108"/>
      <c r="GQ180" s="116"/>
      <c r="GR180" s="108"/>
      <c r="GS180" s="54"/>
      <c r="GT180" s="54"/>
      <c r="GU180" s="54"/>
      <c r="GV180" s="54"/>
      <c r="GW180" s="54"/>
      <c r="GX180" s="54"/>
      <c r="GY180" s="54"/>
      <c r="GZ180" s="54"/>
      <c r="HA180" s="54"/>
      <c r="HB180" s="54"/>
      <c r="HC180" s="54"/>
      <c r="HD180" s="54"/>
      <c r="HE180" s="54"/>
      <c r="HF180" s="54"/>
      <c r="HG180" s="54"/>
      <c r="HH180" s="54"/>
      <c r="HI180" s="54"/>
      <c r="HJ180" s="54"/>
      <c r="HK180" s="54"/>
      <c r="HL180" s="54"/>
      <c r="HM180" s="54"/>
      <c r="HN180" s="54"/>
      <c r="HO180" s="54"/>
      <c r="HP180" s="54"/>
      <c r="HQ180" s="54"/>
      <c r="HR180" s="54"/>
      <c r="HS180" s="54"/>
      <c r="HT180" s="54"/>
      <c r="HU180" s="54"/>
      <c r="HV180" s="54"/>
      <c r="HW180" s="54"/>
      <c r="HX180" s="54"/>
      <c r="HY180" s="54"/>
      <c r="HZ180" s="54"/>
      <c r="IA180" s="54"/>
      <c r="IB180" s="54"/>
      <c r="IC180" s="54"/>
      <c r="ID180" s="54"/>
      <c r="IE180" s="54"/>
      <c r="IF180" s="54"/>
      <c r="IG180" s="54"/>
      <c r="IH180" s="54"/>
      <c r="II180" s="54"/>
      <c r="IJ180" s="54"/>
      <c r="IK180" s="54"/>
      <c r="IL180" s="54"/>
      <c r="IM180" s="54"/>
      <c r="IN180" s="54"/>
      <c r="IO180" s="54"/>
      <c r="IP180" s="54"/>
      <c r="IQ180" s="54"/>
      <c r="IR180" s="54"/>
      <c r="IS180" s="54"/>
      <c r="IT180" s="54"/>
      <c r="IU180" s="54"/>
      <c r="IV180" s="54"/>
      <c r="IW180" s="54"/>
      <c r="IX180" s="54"/>
      <c r="IY180" s="54"/>
      <c r="IZ180" s="54"/>
      <c r="JA180" s="54"/>
      <c r="JB180" s="54"/>
      <c r="JC180" s="54"/>
      <c r="JD180" s="54"/>
      <c r="JE180" s="54"/>
      <c r="JF180" s="54"/>
      <c r="JG180" s="54"/>
      <c r="JH180" s="54"/>
      <c r="JI180" s="54"/>
      <c r="JJ180" s="54"/>
      <c r="JK180" s="54"/>
      <c r="JL180" s="54"/>
      <c r="JM180" s="54"/>
      <c r="JN180" s="54"/>
      <c r="JO180" s="54"/>
      <c r="JP180" s="54"/>
      <c r="JQ180" s="54"/>
      <c r="JR180" s="54"/>
      <c r="JS180" s="54"/>
      <c r="JT180" s="54"/>
      <c r="JU180" s="54"/>
      <c r="JV180" s="54"/>
      <c r="JW180" s="54"/>
      <c r="JX180" s="54"/>
      <c r="JY180" s="54"/>
      <c r="JZ180" s="54"/>
      <c r="KA180" s="54"/>
      <c r="KB180" s="54"/>
      <c r="KC180" s="54"/>
      <c r="KD180" s="54"/>
      <c r="KE180" s="54"/>
      <c r="KF180" s="54"/>
      <c r="KG180" s="54"/>
      <c r="KH180" s="54"/>
      <c r="KI180" s="54"/>
      <c r="KJ180" s="54"/>
      <c r="KK180" s="54"/>
      <c r="KL180" s="54"/>
      <c r="KM180" s="54"/>
      <c r="KN180" s="54"/>
      <c r="KO180" s="54"/>
      <c r="KP180" s="54"/>
      <c r="KQ180" s="54"/>
      <c r="KR180" s="54"/>
      <c r="KS180" s="54"/>
      <c r="KT180" s="54"/>
      <c r="KU180" s="54"/>
      <c r="KV180" s="54"/>
      <c r="KW180" s="54"/>
      <c r="KX180" s="54"/>
    </row>
    <row r="181" ht="5.2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c r="BS181" s="54"/>
      <c r="BT181" s="54"/>
      <c r="BU181" s="54"/>
      <c r="BV181" s="54"/>
      <c r="BW181" s="108"/>
      <c r="BX181" s="88"/>
      <c r="BY181" s="13"/>
      <c r="BZ181" s="13"/>
      <c r="CA181" s="13"/>
      <c r="CB181" s="13"/>
      <c r="CC181" s="13"/>
      <c r="CD181" s="13"/>
      <c r="CE181" s="13"/>
      <c r="CF181" s="13"/>
      <c r="CG181" s="13"/>
      <c r="CH181" s="14"/>
      <c r="CI181" s="12"/>
      <c r="CJ181" s="13"/>
      <c r="CK181" s="14"/>
      <c r="CL181" s="12"/>
      <c r="CM181" s="13"/>
      <c r="CN181" s="13"/>
      <c r="CO181" s="13"/>
      <c r="CP181" s="13"/>
      <c r="CQ181" s="13"/>
      <c r="CR181" s="13"/>
      <c r="CS181" s="13"/>
      <c r="CT181" s="13"/>
      <c r="CU181" s="13"/>
      <c r="CV181" s="13"/>
      <c r="CW181" s="13"/>
      <c r="CX181" s="13"/>
      <c r="CY181" s="13"/>
      <c r="CZ181" s="13"/>
      <c r="DA181" s="14"/>
      <c r="DB181" s="12"/>
      <c r="DC181" s="13"/>
      <c r="DD181" s="13"/>
      <c r="DE181" s="13"/>
      <c r="DF181" s="128"/>
      <c r="DG181" s="128"/>
      <c r="DH181" s="128"/>
      <c r="DI181" s="128"/>
      <c r="DJ181" s="128"/>
      <c r="DK181" s="128"/>
      <c r="DL181" s="128"/>
      <c r="DM181" s="128"/>
      <c r="DN181" s="128"/>
      <c r="DO181" s="13"/>
      <c r="DP181" s="13"/>
      <c r="DQ181" s="14"/>
      <c r="DR181" s="12"/>
      <c r="DS181" s="13"/>
      <c r="DT181" s="14"/>
      <c r="DU181" s="12"/>
      <c r="DV181" s="13"/>
      <c r="DW181" s="13"/>
      <c r="DX181" s="128"/>
      <c r="DY181" s="128"/>
      <c r="DZ181" s="128"/>
      <c r="EA181" s="128"/>
      <c r="EB181" s="128"/>
      <c r="EC181" s="128"/>
      <c r="ED181" s="128"/>
      <c r="EE181" s="129"/>
      <c r="EF181" s="108"/>
      <c r="EG181" s="54"/>
      <c r="EH181" s="54"/>
      <c r="EI181" s="108"/>
      <c r="EJ181" s="88"/>
      <c r="EK181" s="13"/>
      <c r="EL181" s="13"/>
      <c r="EM181" s="13"/>
      <c r="EN181" s="13"/>
      <c r="EO181" s="13"/>
      <c r="EP181" s="13"/>
      <c r="EQ181" s="13"/>
      <c r="ER181" s="13"/>
      <c r="ES181" s="13"/>
      <c r="ET181" s="14"/>
      <c r="EU181" s="12"/>
      <c r="EV181" s="13"/>
      <c r="EW181" s="14"/>
      <c r="EX181" s="12"/>
      <c r="EY181" s="13"/>
      <c r="EZ181" s="13"/>
      <c r="FA181" s="13"/>
      <c r="FB181" s="13"/>
      <c r="FC181" s="13"/>
      <c r="FD181" s="13"/>
      <c r="FE181" s="13"/>
      <c r="FF181" s="13"/>
      <c r="FG181" s="13"/>
      <c r="FH181" s="13"/>
      <c r="FI181" s="13"/>
      <c r="FJ181" s="13"/>
      <c r="FK181" s="13"/>
      <c r="FL181" s="13"/>
      <c r="FM181" s="14"/>
      <c r="FN181" s="12"/>
      <c r="FO181" s="13"/>
      <c r="FP181" s="13"/>
      <c r="FQ181" s="13"/>
      <c r="FR181" s="128"/>
      <c r="FS181" s="128"/>
      <c r="FT181" s="128"/>
      <c r="FU181" s="128"/>
      <c r="FV181" s="128"/>
      <c r="FW181" s="128"/>
      <c r="FX181" s="128"/>
      <c r="FY181" s="128"/>
      <c r="FZ181" s="128"/>
      <c r="GA181" s="13"/>
      <c r="GB181" s="13"/>
      <c r="GC181" s="14"/>
      <c r="GD181" s="12"/>
      <c r="GE181" s="13"/>
      <c r="GF181" s="14"/>
      <c r="GG181" s="12"/>
      <c r="GH181" s="13"/>
      <c r="GI181" s="13"/>
      <c r="GJ181" s="128"/>
      <c r="GK181" s="128"/>
      <c r="GL181" s="128"/>
      <c r="GM181" s="128"/>
      <c r="GN181" s="128"/>
      <c r="GO181" s="128"/>
      <c r="GP181" s="128"/>
      <c r="GQ181" s="129"/>
      <c r="GR181" s="108"/>
      <c r="GS181" s="54"/>
      <c r="GT181" s="54"/>
      <c r="GU181" s="54"/>
      <c r="GV181" s="54"/>
      <c r="GW181" s="54"/>
      <c r="GX181" s="54"/>
      <c r="GY181" s="54"/>
      <c r="GZ181" s="54"/>
      <c r="HA181" s="54"/>
      <c r="HB181" s="54"/>
      <c r="HC181" s="54"/>
      <c r="HD181" s="54"/>
      <c r="HE181" s="54"/>
      <c r="HF181" s="54"/>
      <c r="HG181" s="54"/>
      <c r="HH181" s="54"/>
      <c r="HI181" s="54"/>
      <c r="HJ181" s="54"/>
      <c r="HK181" s="54"/>
      <c r="HL181" s="54"/>
      <c r="HM181" s="54"/>
      <c r="HN181" s="54"/>
      <c r="HO181" s="54"/>
      <c r="HP181" s="54"/>
      <c r="HQ181" s="54"/>
      <c r="HR181" s="54"/>
      <c r="HS181" s="54"/>
      <c r="HT181" s="54"/>
      <c r="HU181" s="54"/>
      <c r="HV181" s="54"/>
      <c r="HW181" s="54"/>
      <c r="HX181" s="54"/>
      <c r="HY181" s="54"/>
      <c r="HZ181" s="54"/>
      <c r="IA181" s="54"/>
      <c r="IB181" s="54"/>
      <c r="IC181" s="54"/>
      <c r="ID181" s="54"/>
      <c r="IE181" s="54"/>
      <c r="IF181" s="54"/>
      <c r="IG181" s="54"/>
      <c r="IH181" s="54"/>
      <c r="II181" s="54"/>
      <c r="IJ181" s="54"/>
      <c r="IK181" s="54"/>
      <c r="IL181" s="54"/>
      <c r="IM181" s="54"/>
      <c r="IN181" s="54"/>
      <c r="IO181" s="54"/>
      <c r="IP181" s="54"/>
      <c r="IQ181" s="54"/>
      <c r="IR181" s="54"/>
      <c r="IS181" s="54"/>
      <c r="IT181" s="54"/>
      <c r="IU181" s="54"/>
      <c r="IV181" s="54"/>
      <c r="IW181" s="54"/>
      <c r="IX181" s="54"/>
      <c r="IY181" s="54"/>
      <c r="IZ181" s="54"/>
      <c r="JA181" s="54"/>
      <c r="JB181" s="54"/>
      <c r="JC181" s="54"/>
      <c r="JD181" s="54"/>
      <c r="JE181" s="54"/>
      <c r="JF181" s="54"/>
      <c r="JG181" s="54"/>
      <c r="JH181" s="54"/>
      <c r="JI181" s="54"/>
      <c r="JJ181" s="54"/>
      <c r="JK181" s="54"/>
      <c r="JL181" s="54"/>
      <c r="JM181" s="54"/>
      <c r="JN181" s="54"/>
      <c r="JO181" s="54"/>
      <c r="JP181" s="54"/>
      <c r="JQ181" s="54"/>
      <c r="JR181" s="54"/>
      <c r="JS181" s="54"/>
      <c r="JT181" s="54"/>
      <c r="JU181" s="54"/>
      <c r="JV181" s="54"/>
      <c r="JW181" s="54"/>
      <c r="JX181" s="54"/>
      <c r="JY181" s="54"/>
      <c r="JZ181" s="54"/>
      <c r="KA181" s="54"/>
      <c r="KB181" s="54"/>
      <c r="KC181" s="54"/>
      <c r="KD181" s="54"/>
      <c r="KE181" s="54"/>
      <c r="KF181" s="54"/>
      <c r="KG181" s="54"/>
      <c r="KH181" s="54"/>
      <c r="KI181" s="54"/>
      <c r="KJ181" s="54"/>
      <c r="KK181" s="54"/>
      <c r="KL181" s="54"/>
      <c r="KM181" s="54"/>
      <c r="KN181" s="54"/>
      <c r="KO181" s="54"/>
      <c r="KP181" s="54"/>
      <c r="KQ181" s="54"/>
      <c r="KR181" s="54"/>
      <c r="KS181" s="54"/>
      <c r="KT181" s="54"/>
      <c r="KU181" s="54"/>
      <c r="KV181" s="54"/>
      <c r="KW181" s="54"/>
      <c r="KX181" s="54"/>
    </row>
    <row r="182" ht="5.2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c r="BS182" s="54"/>
      <c r="BT182" s="54"/>
      <c r="BU182" s="54"/>
      <c r="BV182" s="54"/>
      <c r="BW182" s="119" t="str">
        <f>if(or(AR120=0,DD120=0),"",reseeding!AC164)</f>
        <v/>
      </c>
      <c r="BX182" s="130" t="str">
        <f t="array" ref="BX182">xlookup(BW182,data!$M$2:$M$17,data!$O$2:$O$17,"")</f>
        <v/>
      </c>
      <c r="BY182" s="8"/>
      <c r="BZ182" s="8"/>
      <c r="CA182" s="8"/>
      <c r="CB182" s="93" t="str">
        <f t="array" ref="CB182">xlookup(BW182,data!$M$2:$M$17,data!$N$2:$N$17,"")</f>
        <v/>
      </c>
      <c r="CC182" s="8"/>
      <c r="CD182" s="8"/>
      <c r="CE182" s="8"/>
      <c r="CF182" s="8"/>
      <c r="CG182" s="8"/>
      <c r="CH182" s="8"/>
      <c r="CI182" s="8"/>
      <c r="CJ182" s="8"/>
      <c r="CK182" s="8"/>
      <c r="CL182" s="8"/>
      <c r="CM182" s="8"/>
      <c r="CN182" s="8"/>
      <c r="CO182" s="8"/>
      <c r="CP182" s="8"/>
      <c r="CQ182" s="8"/>
      <c r="CR182" s="8"/>
      <c r="CS182" s="8"/>
      <c r="CT182" s="8"/>
      <c r="CU182" s="8"/>
      <c r="CV182" s="8"/>
      <c r="CW182" s="8"/>
      <c r="CX182" s="94"/>
      <c r="CY182" s="8"/>
      <c r="CZ182" s="8"/>
      <c r="DA182" s="9"/>
      <c r="DB182" s="95"/>
      <c r="DC182" s="8"/>
      <c r="DD182" s="8"/>
      <c r="DE182" s="8"/>
      <c r="DF182" s="96" t="str">
        <f t="array" ref="DF182">xlookup(EF182,data!$M$2:$M$17,data!$N$2:$N$17,"")</f>
        <v/>
      </c>
      <c r="DG182" s="8"/>
      <c r="DH182" s="8"/>
      <c r="DI182" s="8"/>
      <c r="DJ182" s="8"/>
      <c r="DK182" s="8"/>
      <c r="DL182" s="8"/>
      <c r="DM182" s="8"/>
      <c r="DN182" s="8"/>
      <c r="DO182" s="8"/>
      <c r="DP182" s="8"/>
      <c r="DQ182" s="8"/>
      <c r="DR182" s="8"/>
      <c r="DS182" s="8"/>
      <c r="DT182" s="8"/>
      <c r="DU182" s="8"/>
      <c r="DV182" s="8"/>
      <c r="DW182" s="8"/>
      <c r="DX182" s="8"/>
      <c r="DY182" s="8"/>
      <c r="DZ182" s="8"/>
      <c r="EA182" s="8"/>
      <c r="EB182" s="131" t="str">
        <f t="array" ref="EB182">xlookup(EF182,data!$M$2:$M$17,data!$O$2:$O$17,"")</f>
        <v/>
      </c>
      <c r="EC182" s="8"/>
      <c r="ED182" s="8"/>
      <c r="EE182" s="98"/>
      <c r="EF182" s="119" t="str">
        <f>if(or(AR120=0,DD120=0),"",reseeding!AD164)</f>
        <v/>
      </c>
      <c r="EG182" s="54"/>
      <c r="EH182" s="54"/>
      <c r="EI182" s="119" t="str">
        <f>if(or(FP120=0,DD120=0),"",reseeding!AC170)</f>
        <v/>
      </c>
      <c r="EJ182" s="130" t="str">
        <f t="array" ref="EJ182">xlookup(EI182,data!$M$2:$M$17,data!$O$2:$O$17,"")</f>
        <v/>
      </c>
      <c r="EK182" s="8"/>
      <c r="EL182" s="8"/>
      <c r="EM182" s="8"/>
      <c r="EN182" s="93" t="str">
        <f t="array" ref="EN182">xlookup(EI182,data!$M$2:$M$17,data!$N$2:$N$17,"")</f>
        <v/>
      </c>
      <c r="EO182" s="8"/>
      <c r="EP182" s="8"/>
      <c r="EQ182" s="8"/>
      <c r="ER182" s="8"/>
      <c r="ES182" s="8"/>
      <c r="ET182" s="8"/>
      <c r="EU182" s="8"/>
      <c r="EV182" s="8"/>
      <c r="EW182" s="8"/>
      <c r="EX182" s="8"/>
      <c r="EY182" s="8"/>
      <c r="EZ182" s="8"/>
      <c r="FA182" s="8"/>
      <c r="FB182" s="8"/>
      <c r="FC182" s="8"/>
      <c r="FD182" s="8"/>
      <c r="FE182" s="8"/>
      <c r="FF182" s="8"/>
      <c r="FG182" s="8"/>
      <c r="FH182" s="8"/>
      <c r="FI182" s="8"/>
      <c r="FJ182" s="94"/>
      <c r="FK182" s="8"/>
      <c r="FL182" s="8"/>
      <c r="FM182" s="9"/>
      <c r="FN182" s="95"/>
      <c r="FO182" s="8"/>
      <c r="FP182" s="8"/>
      <c r="FQ182" s="8"/>
      <c r="FR182" s="96" t="str">
        <f t="array" ref="FR182">xlookup(GR182,data!$M$2:$M$17,data!$N$2:$N$17,"")</f>
        <v/>
      </c>
      <c r="FS182" s="8"/>
      <c r="FT182" s="8"/>
      <c r="FU182" s="8"/>
      <c r="FV182" s="8"/>
      <c r="FW182" s="8"/>
      <c r="FX182" s="8"/>
      <c r="FY182" s="8"/>
      <c r="FZ182" s="8"/>
      <c r="GA182" s="8"/>
      <c r="GB182" s="8"/>
      <c r="GC182" s="8"/>
      <c r="GD182" s="8"/>
      <c r="GE182" s="8"/>
      <c r="GF182" s="8"/>
      <c r="GG182" s="8"/>
      <c r="GH182" s="8"/>
      <c r="GI182" s="8"/>
      <c r="GJ182" s="8"/>
      <c r="GK182" s="8"/>
      <c r="GL182" s="8"/>
      <c r="GM182" s="8"/>
      <c r="GN182" s="131" t="str">
        <f t="array" ref="GN182">xlookup(GR182,data!$M$2:$M$17,data!$O$2:$O$17,"")</f>
        <v/>
      </c>
      <c r="GO182" s="8"/>
      <c r="GP182" s="8"/>
      <c r="GQ182" s="98"/>
      <c r="GR182" s="119" t="str">
        <f>if(or(FP120=0,DD120=0),"",reseeding!AD170)</f>
        <v/>
      </c>
      <c r="GS182" s="54"/>
      <c r="GT182" s="54"/>
      <c r="GU182" s="54"/>
      <c r="GV182" s="54"/>
      <c r="GW182" s="54"/>
      <c r="GX182" s="54"/>
      <c r="GY182" s="54"/>
      <c r="GZ182" s="54"/>
      <c r="HA182" s="54"/>
      <c r="HB182" s="54"/>
      <c r="HC182" s="54"/>
      <c r="HD182" s="54"/>
      <c r="HE182" s="54"/>
      <c r="HF182" s="54"/>
      <c r="HG182" s="54"/>
      <c r="HH182" s="54"/>
      <c r="HI182" s="54"/>
      <c r="HJ182" s="54"/>
      <c r="HK182" s="54"/>
      <c r="HL182" s="54"/>
      <c r="HM182" s="54"/>
      <c r="HN182" s="54"/>
      <c r="HO182" s="54"/>
      <c r="HP182" s="54"/>
      <c r="HQ182" s="54"/>
      <c r="HR182" s="54"/>
      <c r="HS182" s="54"/>
      <c r="HT182" s="54"/>
      <c r="HU182" s="54"/>
      <c r="HV182" s="54"/>
      <c r="HW182" s="54"/>
      <c r="HX182" s="54"/>
      <c r="HY182" s="54"/>
      <c r="HZ182" s="54"/>
      <c r="IA182" s="54"/>
      <c r="IB182" s="54"/>
      <c r="IC182" s="54"/>
      <c r="ID182" s="54"/>
      <c r="IE182" s="54"/>
      <c r="IF182" s="54"/>
      <c r="IG182" s="54"/>
      <c r="IH182" s="54"/>
      <c r="II182" s="54"/>
      <c r="IJ182" s="54"/>
      <c r="IK182" s="54"/>
      <c r="IL182" s="54"/>
      <c r="IM182" s="54"/>
      <c r="IN182" s="54"/>
      <c r="IO182" s="54"/>
      <c r="IP182" s="54"/>
      <c r="IQ182" s="54"/>
      <c r="IR182" s="54"/>
      <c r="IS182" s="54"/>
      <c r="IT182" s="54"/>
      <c r="IU182" s="54"/>
      <c r="IV182" s="54"/>
      <c r="IW182" s="54"/>
      <c r="IX182" s="54"/>
      <c r="IY182" s="54"/>
      <c r="IZ182" s="54"/>
      <c r="JA182" s="54"/>
      <c r="JB182" s="54"/>
      <c r="JC182" s="54"/>
      <c r="JD182" s="54"/>
      <c r="JE182" s="54"/>
      <c r="JF182" s="54"/>
      <c r="JG182" s="54"/>
      <c r="JH182" s="54"/>
      <c r="JI182" s="54"/>
      <c r="JJ182" s="54"/>
      <c r="JK182" s="54"/>
      <c r="JL182" s="54"/>
      <c r="JM182" s="54"/>
      <c r="JN182" s="54"/>
      <c r="JO182" s="54"/>
      <c r="JP182" s="54"/>
      <c r="JQ182" s="54"/>
      <c r="JR182" s="54"/>
      <c r="JS182" s="54"/>
      <c r="JT182" s="54"/>
      <c r="JU182" s="54"/>
      <c r="JV182" s="54"/>
      <c r="JW182" s="54"/>
      <c r="JX182" s="54"/>
      <c r="JY182" s="54"/>
      <c r="JZ182" s="54"/>
      <c r="KA182" s="54"/>
      <c r="KB182" s="54"/>
      <c r="KC182" s="54"/>
      <c r="KD182" s="54"/>
      <c r="KE182" s="54"/>
      <c r="KF182" s="54"/>
      <c r="KG182" s="54"/>
      <c r="KH182" s="54"/>
      <c r="KI182" s="54"/>
      <c r="KJ182" s="54"/>
      <c r="KK182" s="54"/>
      <c r="KL182" s="54"/>
      <c r="KM182" s="54"/>
      <c r="KN182" s="54"/>
      <c r="KO182" s="54"/>
      <c r="KP182" s="54"/>
      <c r="KQ182" s="54"/>
      <c r="KR182" s="54"/>
      <c r="KS182" s="54"/>
      <c r="KT182" s="54"/>
      <c r="KU182" s="54"/>
      <c r="KV182" s="54"/>
      <c r="KW182" s="54"/>
      <c r="KX182" s="54"/>
    </row>
    <row r="183" ht="5.2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54"/>
      <c r="BK183" s="54"/>
      <c r="BL183" s="54"/>
      <c r="BM183" s="54"/>
      <c r="BN183" s="54"/>
      <c r="BO183" s="54"/>
      <c r="BP183" s="54"/>
      <c r="BQ183" s="54"/>
      <c r="BR183" s="54"/>
      <c r="BS183" s="54"/>
      <c r="BT183" s="54"/>
      <c r="BU183" s="54"/>
      <c r="BV183" s="54"/>
      <c r="BW183" s="108"/>
      <c r="BX183" s="60"/>
      <c r="DA183" s="11"/>
      <c r="DB183" s="10"/>
      <c r="EE183" s="61"/>
      <c r="EF183" s="108"/>
      <c r="EG183" s="54"/>
      <c r="EH183" s="54"/>
      <c r="EI183" s="108"/>
      <c r="EJ183" s="60"/>
      <c r="FM183" s="11"/>
      <c r="FN183" s="10"/>
      <c r="GQ183" s="61"/>
      <c r="GR183" s="108"/>
      <c r="GS183" s="54"/>
      <c r="GT183" s="54"/>
      <c r="GU183" s="54"/>
      <c r="GV183" s="54"/>
      <c r="GW183" s="54"/>
      <c r="GX183" s="54"/>
      <c r="GY183" s="54"/>
      <c r="GZ183" s="54"/>
      <c r="HA183" s="54"/>
      <c r="HB183" s="54"/>
      <c r="HC183" s="54"/>
      <c r="HD183" s="54"/>
      <c r="HE183" s="54"/>
      <c r="HF183" s="54"/>
      <c r="HG183" s="54"/>
      <c r="HH183" s="54"/>
      <c r="HI183" s="54"/>
      <c r="HJ183" s="54"/>
      <c r="HK183" s="54"/>
      <c r="HL183" s="54"/>
      <c r="HM183" s="54"/>
      <c r="HN183" s="54"/>
      <c r="HO183" s="54"/>
      <c r="HP183" s="54"/>
      <c r="HQ183" s="54"/>
      <c r="HR183" s="54"/>
      <c r="HS183" s="54"/>
      <c r="HT183" s="54"/>
      <c r="HU183" s="54"/>
      <c r="HV183" s="54"/>
      <c r="HW183" s="54"/>
      <c r="HX183" s="54"/>
      <c r="HY183" s="54"/>
      <c r="HZ183" s="54"/>
      <c r="IA183" s="54"/>
      <c r="IB183" s="54"/>
      <c r="IC183" s="54"/>
      <c r="ID183" s="54"/>
      <c r="IE183" s="54"/>
      <c r="IF183" s="54"/>
      <c r="IG183" s="54"/>
      <c r="IH183" s="54"/>
      <c r="II183" s="54"/>
      <c r="IJ183" s="54"/>
      <c r="IK183" s="54"/>
      <c r="IL183" s="54"/>
      <c r="IM183" s="54"/>
      <c r="IN183" s="54"/>
      <c r="IO183" s="54"/>
      <c r="IP183" s="54"/>
      <c r="IQ183" s="54"/>
      <c r="IR183" s="54"/>
      <c r="IS183" s="54"/>
      <c r="IT183" s="54"/>
      <c r="IU183" s="54"/>
      <c r="IV183" s="54"/>
      <c r="IW183" s="54"/>
      <c r="IX183" s="54"/>
      <c r="IY183" s="54"/>
      <c r="IZ183" s="54"/>
      <c r="JA183" s="54"/>
      <c r="JB183" s="54"/>
      <c r="JC183" s="54"/>
      <c r="JD183" s="54"/>
      <c r="JE183" s="54"/>
      <c r="JF183" s="54"/>
      <c r="JG183" s="54"/>
      <c r="JH183" s="54"/>
      <c r="JI183" s="54"/>
      <c r="JJ183" s="54"/>
      <c r="JK183" s="54"/>
      <c r="JL183" s="54"/>
      <c r="JM183" s="54"/>
      <c r="JN183" s="54"/>
      <c r="JO183" s="54"/>
      <c r="JP183" s="54"/>
      <c r="JQ183" s="54"/>
      <c r="JR183" s="54"/>
      <c r="JS183" s="54"/>
      <c r="JT183" s="54"/>
      <c r="JU183" s="54"/>
      <c r="JV183" s="54"/>
      <c r="JW183" s="54"/>
      <c r="JX183" s="54"/>
      <c r="JY183" s="54"/>
      <c r="JZ183" s="54"/>
      <c r="KA183" s="54"/>
      <c r="KB183" s="54"/>
      <c r="KC183" s="54"/>
      <c r="KD183" s="54"/>
      <c r="KE183" s="54"/>
      <c r="KF183" s="54"/>
      <c r="KG183" s="54"/>
      <c r="KH183" s="54"/>
      <c r="KI183" s="54"/>
      <c r="KJ183" s="54"/>
      <c r="KK183" s="54"/>
      <c r="KL183" s="54"/>
      <c r="KM183" s="54"/>
      <c r="KN183" s="54"/>
      <c r="KO183" s="54"/>
      <c r="KP183" s="54"/>
      <c r="KQ183" s="54"/>
      <c r="KR183" s="54"/>
      <c r="KS183" s="54"/>
      <c r="KT183" s="54"/>
      <c r="KU183" s="54"/>
      <c r="KV183" s="54"/>
      <c r="KW183" s="54"/>
      <c r="KX183" s="54"/>
    </row>
    <row r="184" ht="5.2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c r="BS184" s="54"/>
      <c r="BT184" s="54"/>
      <c r="BU184" s="54"/>
      <c r="BV184" s="54"/>
      <c r="BW184" s="108"/>
      <c r="BX184" s="60"/>
      <c r="DA184" s="11"/>
      <c r="DB184" s="10"/>
      <c r="EE184" s="61"/>
      <c r="EF184" s="108"/>
      <c r="EG184" s="54"/>
      <c r="EH184" s="54"/>
      <c r="EI184" s="108"/>
      <c r="EJ184" s="60"/>
      <c r="FM184" s="11"/>
      <c r="FN184" s="10"/>
      <c r="GQ184" s="61"/>
      <c r="GR184" s="108"/>
      <c r="GS184" s="54"/>
      <c r="GT184" s="54"/>
      <c r="GU184" s="54"/>
      <c r="GV184" s="54"/>
      <c r="GW184" s="54"/>
      <c r="GX184" s="54"/>
      <c r="GY184" s="54"/>
      <c r="GZ184" s="54"/>
      <c r="HA184" s="54"/>
      <c r="HB184" s="54"/>
      <c r="HC184" s="54"/>
      <c r="HD184" s="54"/>
      <c r="HE184" s="54"/>
      <c r="HF184" s="54"/>
      <c r="HG184" s="54"/>
      <c r="HH184" s="54"/>
      <c r="HI184" s="54"/>
      <c r="HJ184" s="54"/>
      <c r="HK184" s="54"/>
      <c r="HL184" s="54"/>
      <c r="HM184" s="54"/>
      <c r="HN184" s="54"/>
      <c r="HO184" s="54"/>
      <c r="HP184" s="54"/>
      <c r="HQ184" s="54"/>
      <c r="HR184" s="54"/>
      <c r="HS184" s="54"/>
      <c r="HT184" s="54"/>
      <c r="HU184" s="54"/>
      <c r="HV184" s="54"/>
      <c r="HW184" s="54"/>
      <c r="HX184" s="54"/>
      <c r="HY184" s="54"/>
      <c r="HZ184" s="54"/>
      <c r="IA184" s="54"/>
      <c r="IB184" s="54"/>
      <c r="IC184" s="54"/>
      <c r="ID184" s="54"/>
      <c r="IE184" s="54"/>
      <c r="IF184" s="54"/>
      <c r="IG184" s="54"/>
      <c r="IH184" s="54"/>
      <c r="II184" s="54"/>
      <c r="IJ184" s="54"/>
      <c r="IK184" s="54"/>
      <c r="IL184" s="54"/>
      <c r="IM184" s="54"/>
      <c r="IN184" s="54"/>
      <c r="IO184" s="54"/>
      <c r="IP184" s="54"/>
      <c r="IQ184" s="54"/>
      <c r="IR184" s="54"/>
      <c r="IS184" s="54"/>
      <c r="IT184" s="54"/>
      <c r="IU184" s="54"/>
      <c r="IV184" s="54"/>
      <c r="IW184" s="54"/>
      <c r="IX184" s="54"/>
      <c r="IY184" s="54"/>
      <c r="IZ184" s="54"/>
      <c r="JA184" s="54"/>
      <c r="JB184" s="54"/>
      <c r="JC184" s="54"/>
      <c r="JD184" s="54"/>
      <c r="JE184" s="54"/>
      <c r="JF184" s="54"/>
      <c r="JG184" s="54"/>
      <c r="JH184" s="54"/>
      <c r="JI184" s="54"/>
      <c r="JJ184" s="54"/>
      <c r="JK184" s="54"/>
      <c r="JL184" s="54"/>
      <c r="JM184" s="54"/>
      <c r="JN184" s="54"/>
      <c r="JO184" s="54"/>
      <c r="JP184" s="54"/>
      <c r="JQ184" s="54"/>
      <c r="JR184" s="54"/>
      <c r="JS184" s="54"/>
      <c r="JT184" s="54"/>
      <c r="JU184" s="54"/>
      <c r="JV184" s="54"/>
      <c r="JW184" s="54"/>
      <c r="JX184" s="54"/>
      <c r="JY184" s="54"/>
      <c r="JZ184" s="54"/>
      <c r="KA184" s="54"/>
      <c r="KB184" s="54"/>
      <c r="KC184" s="54"/>
      <c r="KD184" s="54"/>
      <c r="KE184" s="54"/>
      <c r="KF184" s="54"/>
      <c r="KG184" s="54"/>
      <c r="KH184" s="54"/>
      <c r="KI184" s="54"/>
      <c r="KJ184" s="54"/>
      <c r="KK184" s="54"/>
      <c r="KL184" s="54"/>
      <c r="KM184" s="54"/>
      <c r="KN184" s="54"/>
      <c r="KO184" s="54"/>
      <c r="KP184" s="54"/>
      <c r="KQ184" s="54"/>
      <c r="KR184" s="54"/>
      <c r="KS184" s="54"/>
      <c r="KT184" s="54"/>
      <c r="KU184" s="54"/>
      <c r="KV184" s="54"/>
      <c r="KW184" s="54"/>
      <c r="KX184" s="54"/>
    </row>
    <row r="185" ht="5.2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c r="BS185" s="54"/>
      <c r="BT185" s="54"/>
      <c r="BU185" s="54"/>
      <c r="BV185" s="54"/>
      <c r="BW185" s="108"/>
      <c r="BX185" s="60"/>
      <c r="DA185" s="11"/>
      <c r="DB185" s="10"/>
      <c r="EE185" s="61"/>
      <c r="EF185" s="108"/>
      <c r="EG185" s="54"/>
      <c r="EH185" s="54"/>
      <c r="EI185" s="108"/>
      <c r="EJ185" s="60"/>
      <c r="FM185" s="11"/>
      <c r="FN185" s="10"/>
      <c r="GQ185" s="61"/>
      <c r="GR185" s="108"/>
      <c r="GS185" s="54"/>
      <c r="GT185" s="54"/>
      <c r="GU185" s="54"/>
      <c r="GV185" s="54"/>
      <c r="GW185" s="54"/>
      <c r="GX185" s="54"/>
      <c r="GY185" s="54"/>
      <c r="GZ185" s="54"/>
      <c r="HA185" s="54"/>
      <c r="HB185" s="54"/>
      <c r="HC185" s="54"/>
      <c r="HD185" s="54"/>
      <c r="HE185" s="54"/>
      <c r="HF185" s="54"/>
      <c r="HG185" s="54"/>
      <c r="HH185" s="54"/>
      <c r="HI185" s="54"/>
      <c r="HJ185" s="54"/>
      <c r="HK185" s="54"/>
      <c r="HL185" s="54"/>
      <c r="HM185" s="54"/>
      <c r="HN185" s="54"/>
      <c r="HO185" s="54"/>
      <c r="HP185" s="54"/>
      <c r="HQ185" s="54"/>
      <c r="HR185" s="54"/>
      <c r="HS185" s="54"/>
      <c r="HT185" s="54"/>
      <c r="HU185" s="54"/>
      <c r="HV185" s="54"/>
      <c r="HW185" s="54"/>
      <c r="HX185" s="54"/>
      <c r="HY185" s="54"/>
      <c r="HZ185" s="54"/>
      <c r="IA185" s="54"/>
      <c r="IB185" s="54"/>
      <c r="IC185" s="54"/>
      <c r="ID185" s="54"/>
      <c r="IE185" s="54"/>
      <c r="IF185" s="54"/>
      <c r="IG185" s="54"/>
      <c r="IH185" s="54"/>
      <c r="II185" s="54"/>
      <c r="IJ185" s="54"/>
      <c r="IK185" s="54"/>
      <c r="IL185" s="54"/>
      <c r="IM185" s="54"/>
      <c r="IN185" s="54"/>
      <c r="IO185" s="54"/>
      <c r="IP185" s="54"/>
      <c r="IQ185" s="54"/>
      <c r="IR185" s="54"/>
      <c r="IS185" s="54"/>
      <c r="IT185" s="54"/>
      <c r="IU185" s="54"/>
      <c r="IV185" s="54"/>
      <c r="IW185" s="54"/>
      <c r="IX185" s="54"/>
      <c r="IY185" s="54"/>
      <c r="IZ185" s="54"/>
      <c r="JA185" s="54"/>
      <c r="JB185" s="54"/>
      <c r="JC185" s="54"/>
      <c r="JD185" s="54"/>
      <c r="JE185" s="54"/>
      <c r="JF185" s="54"/>
      <c r="JG185" s="54"/>
      <c r="JH185" s="54"/>
      <c r="JI185" s="54"/>
      <c r="JJ185" s="54"/>
      <c r="JK185" s="54"/>
      <c r="JL185" s="54"/>
      <c r="JM185" s="54"/>
      <c r="JN185" s="54"/>
      <c r="JO185" s="54"/>
      <c r="JP185" s="54"/>
      <c r="JQ185" s="54"/>
      <c r="JR185" s="54"/>
      <c r="JS185" s="54"/>
      <c r="JT185" s="54"/>
      <c r="JU185" s="54"/>
      <c r="JV185" s="54"/>
      <c r="JW185" s="54"/>
      <c r="JX185" s="54"/>
      <c r="JY185" s="54"/>
      <c r="JZ185" s="54"/>
      <c r="KA185" s="54"/>
      <c r="KB185" s="54"/>
      <c r="KC185" s="54"/>
      <c r="KD185" s="54"/>
      <c r="KE185" s="54"/>
      <c r="KF185" s="54"/>
      <c r="KG185" s="54"/>
      <c r="KH185" s="54"/>
      <c r="KI185" s="54"/>
      <c r="KJ185" s="54"/>
      <c r="KK185" s="54"/>
      <c r="KL185" s="54"/>
      <c r="KM185" s="54"/>
      <c r="KN185" s="54"/>
      <c r="KO185" s="54"/>
      <c r="KP185" s="54"/>
      <c r="KQ185" s="54"/>
      <c r="KR185" s="54"/>
      <c r="KS185" s="54"/>
      <c r="KT185" s="54"/>
      <c r="KU185" s="54"/>
      <c r="KV185" s="54"/>
      <c r="KW185" s="54"/>
      <c r="KX185" s="54"/>
    </row>
    <row r="186" ht="5.2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c r="BS186" s="54"/>
      <c r="BT186" s="54"/>
      <c r="BU186" s="54"/>
      <c r="BV186" s="54"/>
      <c r="BW186" s="119" t="str">
        <f>BW182</f>
        <v/>
      </c>
      <c r="BX186" s="112"/>
      <c r="CF186" s="122"/>
      <c r="CH186" s="11"/>
      <c r="CI186" s="127"/>
      <c r="CK186" s="11"/>
      <c r="CL186" s="126"/>
      <c r="CO186" s="108"/>
      <c r="CX186" s="85">
        <f>sum(CF186:CN188)</f>
        <v>0</v>
      </c>
      <c r="DA186" s="11"/>
      <c r="DB186" s="86">
        <f>sum(DO186:DW188)</f>
        <v>0</v>
      </c>
      <c r="DF186" s="108"/>
      <c r="DG186" s="108"/>
      <c r="DH186" s="108"/>
      <c r="DI186" s="108"/>
      <c r="DJ186" s="108"/>
      <c r="DK186" s="108"/>
      <c r="DL186" s="108"/>
      <c r="DM186" s="108"/>
      <c r="DN186" s="108"/>
      <c r="DO186" s="134"/>
      <c r="DQ186" s="11"/>
      <c r="DR186" s="126"/>
      <c r="DT186" s="11"/>
      <c r="DU186" s="123"/>
      <c r="DX186" s="108"/>
      <c r="DY186" s="108"/>
      <c r="DZ186" s="108"/>
      <c r="EA186" s="108"/>
      <c r="EB186" s="108"/>
      <c r="EC186" s="108"/>
      <c r="ED186" s="108"/>
      <c r="EE186" s="116"/>
      <c r="EF186" s="119" t="str">
        <f>EF182</f>
        <v/>
      </c>
      <c r="EG186" s="54"/>
      <c r="EH186" s="54"/>
      <c r="EI186" s="119" t="str">
        <f>EI182</f>
        <v/>
      </c>
      <c r="EJ186" s="112"/>
      <c r="ER186" s="135"/>
      <c r="ET186" s="11"/>
      <c r="EU186" s="127"/>
      <c r="EW186" s="11"/>
      <c r="EX186" s="139"/>
      <c r="FA186" s="108"/>
      <c r="FJ186" s="85">
        <f>sum(ER186:EZ188)</f>
        <v>0</v>
      </c>
      <c r="FM186" s="11"/>
      <c r="FN186" s="86">
        <f>sum(GA186:GI188)</f>
        <v>0</v>
      </c>
      <c r="FR186" s="108"/>
      <c r="FS186" s="108"/>
      <c r="FT186" s="108"/>
      <c r="FU186" s="108"/>
      <c r="FV186" s="108"/>
      <c r="FW186" s="108"/>
      <c r="FX186" s="108"/>
      <c r="FY186" s="108"/>
      <c r="FZ186" s="108"/>
      <c r="GA186" s="134"/>
      <c r="GC186" s="11"/>
      <c r="GD186" s="126"/>
      <c r="GF186" s="11"/>
      <c r="GG186" s="127"/>
      <c r="GJ186" s="108"/>
      <c r="GK186" s="108"/>
      <c r="GL186" s="108"/>
      <c r="GM186" s="108"/>
      <c r="GN186" s="108"/>
      <c r="GO186" s="108"/>
      <c r="GP186" s="108"/>
      <c r="GQ186" s="116"/>
      <c r="GR186" s="119" t="str">
        <f>GR182</f>
        <v/>
      </c>
      <c r="GS186" s="54"/>
      <c r="GT186" s="54"/>
      <c r="GU186" s="54"/>
      <c r="GV186" s="54"/>
      <c r="GW186" s="54"/>
      <c r="GX186" s="54"/>
      <c r="GY186" s="54"/>
      <c r="GZ186" s="54"/>
      <c r="HA186" s="54"/>
      <c r="HB186" s="54"/>
      <c r="HC186" s="54"/>
      <c r="HD186" s="54"/>
      <c r="HE186" s="54"/>
      <c r="HF186" s="54"/>
      <c r="HG186" s="54"/>
      <c r="HH186" s="54"/>
      <c r="HI186" s="54"/>
      <c r="HJ186" s="54"/>
      <c r="HK186" s="54"/>
      <c r="HL186" s="54"/>
      <c r="HM186" s="54"/>
      <c r="HN186" s="54"/>
      <c r="HO186" s="54"/>
      <c r="HP186" s="54"/>
      <c r="HQ186" s="54"/>
      <c r="HR186" s="54"/>
      <c r="HS186" s="54"/>
      <c r="HT186" s="54"/>
      <c r="HU186" s="54"/>
      <c r="HV186" s="54"/>
      <c r="HW186" s="54"/>
      <c r="HX186" s="54"/>
      <c r="HY186" s="54"/>
      <c r="HZ186" s="54"/>
      <c r="IA186" s="54"/>
      <c r="IB186" s="54"/>
      <c r="IC186" s="54"/>
      <c r="ID186" s="54"/>
      <c r="IE186" s="54"/>
      <c r="IF186" s="54"/>
      <c r="IG186" s="54"/>
      <c r="IH186" s="54"/>
      <c r="II186" s="54"/>
      <c r="IJ186" s="54"/>
      <c r="IK186" s="54"/>
      <c r="IL186" s="54"/>
      <c r="IM186" s="54"/>
      <c r="IN186" s="54"/>
      <c r="IO186" s="54"/>
      <c r="IP186" s="54"/>
      <c r="IQ186" s="54"/>
      <c r="IR186" s="54"/>
      <c r="IS186" s="54"/>
      <c r="IT186" s="54"/>
      <c r="IU186" s="54"/>
      <c r="IV186" s="54"/>
      <c r="IW186" s="54"/>
      <c r="IX186" s="54"/>
      <c r="IY186" s="54"/>
      <c r="IZ186" s="54"/>
      <c r="JA186" s="54"/>
      <c r="JB186" s="54"/>
      <c r="JC186" s="54"/>
      <c r="JD186" s="54"/>
      <c r="JE186" s="54"/>
      <c r="JF186" s="54"/>
      <c r="JG186" s="54"/>
      <c r="JH186" s="54"/>
      <c r="JI186" s="54"/>
      <c r="JJ186" s="54"/>
      <c r="JK186" s="54"/>
      <c r="JL186" s="54"/>
      <c r="JM186" s="54"/>
      <c r="JN186" s="54"/>
      <c r="JO186" s="54"/>
      <c r="JP186" s="54"/>
      <c r="JQ186" s="54"/>
      <c r="JR186" s="54"/>
      <c r="JS186" s="54"/>
      <c r="JT186" s="54"/>
      <c r="JU186" s="54"/>
      <c r="JV186" s="54"/>
      <c r="JW186" s="54"/>
      <c r="JX186" s="54"/>
      <c r="JY186" s="54"/>
      <c r="JZ186" s="54"/>
      <c r="KA186" s="54"/>
      <c r="KB186" s="54"/>
      <c r="KC186" s="54"/>
      <c r="KD186" s="54"/>
      <c r="KE186" s="54"/>
      <c r="KF186" s="54"/>
      <c r="KG186" s="54"/>
      <c r="KH186" s="54"/>
      <c r="KI186" s="54"/>
      <c r="KJ186" s="54"/>
      <c r="KK186" s="54"/>
      <c r="KL186" s="54"/>
      <c r="KM186" s="54"/>
      <c r="KN186" s="54"/>
      <c r="KO186" s="54"/>
      <c r="KP186" s="54"/>
      <c r="KQ186" s="54"/>
      <c r="KR186" s="54"/>
      <c r="KS186" s="54"/>
      <c r="KT186" s="54"/>
      <c r="KU186" s="54"/>
      <c r="KV186" s="54"/>
      <c r="KW186" s="54"/>
      <c r="KX186" s="54"/>
    </row>
    <row r="187" ht="5.2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c r="BS187" s="54"/>
      <c r="BT187" s="54"/>
      <c r="BU187" s="54"/>
      <c r="BV187" s="54"/>
      <c r="BW187" s="108"/>
      <c r="BX187" s="60"/>
      <c r="CH187" s="11"/>
      <c r="CI187" s="10"/>
      <c r="CK187" s="11"/>
      <c r="CL187" s="10"/>
      <c r="DA187" s="11"/>
      <c r="DB187" s="10"/>
      <c r="DF187" s="108"/>
      <c r="DG187" s="108"/>
      <c r="DH187" s="108"/>
      <c r="DI187" s="108"/>
      <c r="DJ187" s="108"/>
      <c r="DK187" s="108"/>
      <c r="DL187" s="108"/>
      <c r="DM187" s="108"/>
      <c r="DN187" s="108"/>
      <c r="DQ187" s="11"/>
      <c r="DR187" s="10"/>
      <c r="DT187" s="11"/>
      <c r="DU187" s="10"/>
      <c r="DX187" s="108"/>
      <c r="DY187" s="108"/>
      <c r="DZ187" s="108"/>
      <c r="EA187" s="108"/>
      <c r="EB187" s="108"/>
      <c r="EC187" s="108"/>
      <c r="ED187" s="108"/>
      <c r="EE187" s="116"/>
      <c r="EF187" s="108"/>
      <c r="EG187" s="54"/>
      <c r="EH187" s="54"/>
      <c r="EI187" s="108"/>
      <c r="EJ187" s="60"/>
      <c r="ET187" s="11"/>
      <c r="EU187" s="10"/>
      <c r="EW187" s="11"/>
      <c r="EX187" s="10"/>
      <c r="FM187" s="11"/>
      <c r="FN187" s="10"/>
      <c r="FR187" s="108"/>
      <c r="FS187" s="108"/>
      <c r="FT187" s="108"/>
      <c r="FU187" s="108"/>
      <c r="FV187" s="108"/>
      <c r="FW187" s="108"/>
      <c r="FX187" s="108"/>
      <c r="FY187" s="108"/>
      <c r="FZ187" s="108"/>
      <c r="GC187" s="11"/>
      <c r="GD187" s="10"/>
      <c r="GF187" s="11"/>
      <c r="GG187" s="10"/>
      <c r="GJ187" s="108"/>
      <c r="GK187" s="108"/>
      <c r="GL187" s="108"/>
      <c r="GM187" s="108"/>
      <c r="GN187" s="108"/>
      <c r="GO187" s="108"/>
      <c r="GP187" s="108"/>
      <c r="GQ187" s="116"/>
      <c r="GR187" s="108"/>
      <c r="GS187" s="54"/>
      <c r="GT187" s="54"/>
      <c r="GU187" s="54"/>
      <c r="GV187" s="54"/>
      <c r="GW187" s="54"/>
      <c r="GX187" s="54"/>
      <c r="GY187" s="54"/>
      <c r="GZ187" s="54"/>
      <c r="HA187" s="54"/>
      <c r="HB187" s="54"/>
      <c r="HC187" s="54"/>
      <c r="HD187" s="54"/>
      <c r="HE187" s="54"/>
      <c r="HF187" s="54"/>
      <c r="HG187" s="54"/>
      <c r="HH187" s="54"/>
      <c r="HI187" s="54"/>
      <c r="HJ187" s="54"/>
      <c r="HK187" s="54"/>
      <c r="HL187" s="54"/>
      <c r="HM187" s="54"/>
      <c r="HN187" s="54"/>
      <c r="HO187" s="54"/>
      <c r="HP187" s="54"/>
      <c r="HQ187" s="54"/>
      <c r="HR187" s="54"/>
      <c r="HS187" s="54"/>
      <c r="HT187" s="54"/>
      <c r="HU187" s="54"/>
      <c r="HV187" s="54"/>
      <c r="HW187" s="54"/>
      <c r="HX187" s="54"/>
      <c r="HY187" s="54"/>
      <c r="HZ187" s="54"/>
      <c r="IA187" s="54"/>
      <c r="IB187" s="54"/>
      <c r="IC187" s="54"/>
      <c r="ID187" s="54"/>
      <c r="IE187" s="54"/>
      <c r="IF187" s="54"/>
      <c r="IG187" s="54"/>
      <c r="IH187" s="54"/>
      <c r="II187" s="54"/>
      <c r="IJ187" s="54"/>
      <c r="IK187" s="54"/>
      <c r="IL187" s="54"/>
      <c r="IM187" s="54"/>
      <c r="IN187" s="54"/>
      <c r="IO187" s="54"/>
      <c r="IP187" s="54"/>
      <c r="IQ187" s="54"/>
      <c r="IR187" s="54"/>
      <c r="IS187" s="54"/>
      <c r="IT187" s="54"/>
      <c r="IU187" s="54"/>
      <c r="IV187" s="54"/>
      <c r="IW187" s="54"/>
      <c r="IX187" s="54"/>
      <c r="IY187" s="54"/>
      <c r="IZ187" s="54"/>
      <c r="JA187" s="54"/>
      <c r="JB187" s="54"/>
      <c r="JC187" s="54"/>
      <c r="JD187" s="54"/>
      <c r="JE187" s="54"/>
      <c r="JF187" s="54"/>
      <c r="JG187" s="54"/>
      <c r="JH187" s="54"/>
      <c r="JI187" s="54"/>
      <c r="JJ187" s="54"/>
      <c r="JK187" s="54"/>
      <c r="JL187" s="54"/>
      <c r="JM187" s="54"/>
      <c r="JN187" s="54"/>
      <c r="JO187" s="54"/>
      <c r="JP187" s="54"/>
      <c r="JQ187" s="54"/>
      <c r="JR187" s="54"/>
      <c r="JS187" s="54"/>
      <c r="JT187" s="54"/>
      <c r="JU187" s="54"/>
      <c r="JV187" s="54"/>
      <c r="JW187" s="54"/>
      <c r="JX187" s="54"/>
      <c r="JY187" s="54"/>
      <c r="JZ187" s="54"/>
      <c r="KA187" s="54"/>
      <c r="KB187" s="54"/>
      <c r="KC187" s="54"/>
      <c r="KD187" s="54"/>
      <c r="KE187" s="54"/>
      <c r="KF187" s="54"/>
      <c r="KG187" s="54"/>
      <c r="KH187" s="54"/>
      <c r="KI187" s="54"/>
      <c r="KJ187" s="54"/>
      <c r="KK187" s="54"/>
      <c r="KL187" s="54"/>
      <c r="KM187" s="54"/>
      <c r="KN187" s="54"/>
      <c r="KO187" s="54"/>
      <c r="KP187" s="54"/>
      <c r="KQ187" s="54"/>
      <c r="KR187" s="54"/>
      <c r="KS187" s="54"/>
      <c r="KT187" s="54"/>
      <c r="KU187" s="54"/>
      <c r="KV187" s="54"/>
      <c r="KW187" s="54"/>
      <c r="KX187" s="54"/>
    </row>
    <row r="188" ht="5.2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c r="BS188" s="54"/>
      <c r="BT188" s="54"/>
      <c r="BU188" s="54"/>
      <c r="BV188" s="54"/>
      <c r="BW188" s="108"/>
      <c r="BX188" s="88"/>
      <c r="BY188" s="13"/>
      <c r="BZ188" s="13"/>
      <c r="CA188" s="13"/>
      <c r="CB188" s="13"/>
      <c r="CC188" s="13"/>
      <c r="CD188" s="13"/>
      <c r="CE188" s="13"/>
      <c r="CF188" s="13"/>
      <c r="CG188" s="13"/>
      <c r="CH188" s="14"/>
      <c r="CI188" s="12"/>
      <c r="CJ188" s="13"/>
      <c r="CK188" s="14"/>
      <c r="CL188" s="12"/>
      <c r="CM188" s="13"/>
      <c r="CN188" s="13"/>
      <c r="CO188" s="13"/>
      <c r="CP188" s="13"/>
      <c r="CQ188" s="13"/>
      <c r="CR188" s="13"/>
      <c r="CS188" s="13"/>
      <c r="CT188" s="13"/>
      <c r="CU188" s="13"/>
      <c r="CV188" s="13"/>
      <c r="CW188" s="13"/>
      <c r="CX188" s="13"/>
      <c r="CY188" s="13"/>
      <c r="CZ188" s="13"/>
      <c r="DA188" s="14"/>
      <c r="DB188" s="12"/>
      <c r="DC188" s="13"/>
      <c r="DD188" s="13"/>
      <c r="DE188" s="13"/>
      <c r="DF188" s="128"/>
      <c r="DG188" s="128"/>
      <c r="DH188" s="128"/>
      <c r="DI188" s="128"/>
      <c r="DJ188" s="128"/>
      <c r="DK188" s="128"/>
      <c r="DL188" s="128"/>
      <c r="DM188" s="128"/>
      <c r="DN188" s="128"/>
      <c r="DO188" s="13"/>
      <c r="DP188" s="13"/>
      <c r="DQ188" s="14"/>
      <c r="DR188" s="12"/>
      <c r="DS188" s="13"/>
      <c r="DT188" s="14"/>
      <c r="DU188" s="12"/>
      <c r="DV188" s="13"/>
      <c r="DW188" s="13"/>
      <c r="DX188" s="128"/>
      <c r="DY188" s="128"/>
      <c r="DZ188" s="128"/>
      <c r="EA188" s="128"/>
      <c r="EB188" s="128"/>
      <c r="EC188" s="128"/>
      <c r="ED188" s="128"/>
      <c r="EE188" s="129"/>
      <c r="EF188" s="108"/>
      <c r="EG188" s="54"/>
      <c r="EH188" s="54"/>
      <c r="EI188" s="108"/>
      <c r="EJ188" s="88"/>
      <c r="EK188" s="13"/>
      <c r="EL188" s="13"/>
      <c r="EM188" s="13"/>
      <c r="EN188" s="13"/>
      <c r="EO188" s="13"/>
      <c r="EP188" s="13"/>
      <c r="EQ188" s="13"/>
      <c r="ER188" s="13"/>
      <c r="ES188" s="13"/>
      <c r="ET188" s="14"/>
      <c r="EU188" s="12"/>
      <c r="EV188" s="13"/>
      <c r="EW188" s="14"/>
      <c r="EX188" s="12"/>
      <c r="EY188" s="13"/>
      <c r="EZ188" s="13"/>
      <c r="FA188" s="13"/>
      <c r="FB188" s="13"/>
      <c r="FC188" s="13"/>
      <c r="FD188" s="13"/>
      <c r="FE188" s="13"/>
      <c r="FF188" s="13"/>
      <c r="FG188" s="13"/>
      <c r="FH188" s="13"/>
      <c r="FI188" s="13"/>
      <c r="FJ188" s="13"/>
      <c r="FK188" s="13"/>
      <c r="FL188" s="13"/>
      <c r="FM188" s="14"/>
      <c r="FN188" s="12"/>
      <c r="FO188" s="13"/>
      <c r="FP188" s="13"/>
      <c r="FQ188" s="13"/>
      <c r="FR188" s="128"/>
      <c r="FS188" s="128"/>
      <c r="FT188" s="128"/>
      <c r="FU188" s="128"/>
      <c r="FV188" s="128"/>
      <c r="FW188" s="128"/>
      <c r="FX188" s="128"/>
      <c r="FY188" s="128"/>
      <c r="FZ188" s="128"/>
      <c r="GA188" s="13"/>
      <c r="GB188" s="13"/>
      <c r="GC188" s="14"/>
      <c r="GD188" s="12"/>
      <c r="GE188" s="13"/>
      <c r="GF188" s="14"/>
      <c r="GG188" s="12"/>
      <c r="GH188" s="13"/>
      <c r="GI188" s="13"/>
      <c r="GJ188" s="128"/>
      <c r="GK188" s="128"/>
      <c r="GL188" s="128"/>
      <c r="GM188" s="128"/>
      <c r="GN188" s="128"/>
      <c r="GO188" s="128"/>
      <c r="GP188" s="128"/>
      <c r="GQ188" s="129"/>
      <c r="GR188" s="108"/>
      <c r="GS188" s="54"/>
      <c r="GT188" s="54"/>
      <c r="GU188" s="54"/>
      <c r="GV188" s="54"/>
      <c r="GW188" s="54"/>
      <c r="GX188" s="54"/>
      <c r="GY188" s="54"/>
      <c r="GZ188" s="54"/>
      <c r="HA188" s="54"/>
      <c r="HB188" s="54"/>
      <c r="HC188" s="54"/>
      <c r="HD188" s="54"/>
      <c r="HE188" s="54"/>
      <c r="HF188" s="54"/>
      <c r="HG188" s="54"/>
      <c r="HH188" s="54"/>
      <c r="HI188" s="54"/>
      <c r="HJ188" s="54"/>
      <c r="HK188" s="54"/>
      <c r="HL188" s="54"/>
      <c r="HM188" s="54"/>
      <c r="HN188" s="54"/>
      <c r="HO188" s="54"/>
      <c r="HP188" s="54"/>
      <c r="HQ188" s="54"/>
      <c r="HR188" s="54"/>
      <c r="HS188" s="54"/>
      <c r="HT188" s="54"/>
      <c r="HU188" s="54"/>
      <c r="HV188" s="54"/>
      <c r="HW188" s="54"/>
      <c r="HX188" s="54"/>
      <c r="HY188" s="54"/>
      <c r="HZ188" s="54"/>
      <c r="IA188" s="54"/>
      <c r="IB188" s="54"/>
      <c r="IC188" s="54"/>
      <c r="ID188" s="54"/>
      <c r="IE188" s="54"/>
      <c r="IF188" s="54"/>
      <c r="IG188" s="54"/>
      <c r="IH188" s="54"/>
      <c r="II188" s="54"/>
      <c r="IJ188" s="54"/>
      <c r="IK188" s="54"/>
      <c r="IL188" s="54"/>
      <c r="IM188" s="54"/>
      <c r="IN188" s="54"/>
      <c r="IO188" s="54"/>
      <c r="IP188" s="54"/>
      <c r="IQ188" s="54"/>
      <c r="IR188" s="54"/>
      <c r="IS188" s="54"/>
      <c r="IT188" s="54"/>
      <c r="IU188" s="54"/>
      <c r="IV188" s="54"/>
      <c r="IW188" s="54"/>
      <c r="IX188" s="54"/>
      <c r="IY188" s="54"/>
      <c r="IZ188" s="54"/>
      <c r="JA188" s="54"/>
      <c r="JB188" s="54"/>
      <c r="JC188" s="54"/>
      <c r="JD188" s="54"/>
      <c r="JE188" s="54"/>
      <c r="JF188" s="54"/>
      <c r="JG188" s="54"/>
      <c r="JH188" s="54"/>
      <c r="JI188" s="54"/>
      <c r="JJ188" s="54"/>
      <c r="JK188" s="54"/>
      <c r="JL188" s="54"/>
      <c r="JM188" s="54"/>
      <c r="JN188" s="54"/>
      <c r="JO188" s="54"/>
      <c r="JP188" s="54"/>
      <c r="JQ188" s="54"/>
      <c r="JR188" s="54"/>
      <c r="JS188" s="54"/>
      <c r="JT188" s="54"/>
      <c r="JU188" s="54"/>
      <c r="JV188" s="54"/>
      <c r="JW188" s="54"/>
      <c r="JX188" s="54"/>
      <c r="JY188" s="54"/>
      <c r="JZ188" s="54"/>
      <c r="KA188" s="54"/>
      <c r="KB188" s="54"/>
      <c r="KC188" s="54"/>
      <c r="KD188" s="54"/>
      <c r="KE188" s="54"/>
      <c r="KF188" s="54"/>
      <c r="KG188" s="54"/>
      <c r="KH188" s="54"/>
      <c r="KI188" s="54"/>
      <c r="KJ188" s="54"/>
      <c r="KK188" s="54"/>
      <c r="KL188" s="54"/>
      <c r="KM188" s="54"/>
      <c r="KN188" s="54"/>
      <c r="KO188" s="54"/>
      <c r="KP188" s="54"/>
      <c r="KQ188" s="54"/>
      <c r="KR188" s="54"/>
      <c r="KS188" s="54"/>
      <c r="KT188" s="54"/>
      <c r="KU188" s="54"/>
      <c r="KV188" s="54"/>
      <c r="KW188" s="54"/>
      <c r="KX188" s="54"/>
    </row>
    <row r="189" ht="5.2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54"/>
      <c r="BU189" s="54"/>
      <c r="BV189" s="54"/>
      <c r="BW189" s="119" t="str">
        <f>if(or(AR120=0,DD120=0),"",reseeding!AC165)</f>
        <v/>
      </c>
      <c r="BX189" s="130" t="str">
        <f t="array" ref="BX189">xlookup(BW189,data!$M$2:$M$17,data!$O$2:$O$17,"")</f>
        <v/>
      </c>
      <c r="BY189" s="8"/>
      <c r="BZ189" s="8"/>
      <c r="CA189" s="8"/>
      <c r="CB189" s="93" t="str">
        <f t="array" ref="CB189">xlookup(BW189,data!$M$2:$M$17,data!$N$2:$N$17,"")</f>
        <v/>
      </c>
      <c r="CC189" s="8"/>
      <c r="CD189" s="8"/>
      <c r="CE189" s="8"/>
      <c r="CF189" s="8"/>
      <c r="CG189" s="8"/>
      <c r="CH189" s="8"/>
      <c r="CI189" s="8"/>
      <c r="CJ189" s="8"/>
      <c r="CK189" s="8"/>
      <c r="CL189" s="8"/>
      <c r="CM189" s="8"/>
      <c r="CN189" s="8"/>
      <c r="CO189" s="8"/>
      <c r="CP189" s="8"/>
      <c r="CQ189" s="8"/>
      <c r="CR189" s="8"/>
      <c r="CS189" s="8"/>
      <c r="CT189" s="8"/>
      <c r="CU189" s="8"/>
      <c r="CV189" s="8"/>
      <c r="CW189" s="8"/>
      <c r="CX189" s="94"/>
      <c r="CY189" s="8"/>
      <c r="CZ189" s="8"/>
      <c r="DA189" s="9"/>
      <c r="DB189" s="95"/>
      <c r="DC189" s="8"/>
      <c r="DD189" s="8"/>
      <c r="DE189" s="8"/>
      <c r="DF189" s="96" t="str">
        <f t="array" ref="DF189">xlookup(EF189,data!$M$2:$M$17,data!$N$2:$N$17,"")</f>
        <v/>
      </c>
      <c r="DG189" s="8"/>
      <c r="DH189" s="8"/>
      <c r="DI189" s="8"/>
      <c r="DJ189" s="8"/>
      <c r="DK189" s="8"/>
      <c r="DL189" s="8"/>
      <c r="DM189" s="8"/>
      <c r="DN189" s="8"/>
      <c r="DO189" s="8"/>
      <c r="DP189" s="8"/>
      <c r="DQ189" s="8"/>
      <c r="DR189" s="8"/>
      <c r="DS189" s="8"/>
      <c r="DT189" s="8"/>
      <c r="DU189" s="8"/>
      <c r="DV189" s="8"/>
      <c r="DW189" s="8"/>
      <c r="DX189" s="8"/>
      <c r="DY189" s="8"/>
      <c r="DZ189" s="8"/>
      <c r="EA189" s="8"/>
      <c r="EB189" s="131" t="str">
        <f t="array" ref="EB189">xlookup(EF189,data!$M$2:$M$17,data!$O$2:$O$17,"")</f>
        <v/>
      </c>
      <c r="EC189" s="8"/>
      <c r="ED189" s="8"/>
      <c r="EE189" s="98"/>
      <c r="EF189" s="119" t="str">
        <f>if(or(AR120=0,DD120=0),"",reseeding!AD165)</f>
        <v/>
      </c>
      <c r="EG189" s="54"/>
      <c r="EH189" s="54"/>
      <c r="EI189" s="119" t="str">
        <f>if(or(FP120=0,DD120=0),"",reseeding!AC171)</f>
        <v/>
      </c>
      <c r="EJ189" s="130" t="str">
        <f t="array" ref="EJ189">xlookup(EI189,data!$M$2:$M$17,data!$O$2:$O$17,"")</f>
        <v/>
      </c>
      <c r="EK189" s="8"/>
      <c r="EL189" s="8"/>
      <c r="EM189" s="8"/>
      <c r="EN189" s="93" t="str">
        <f t="array" ref="EN189">xlookup(EI189,data!$M$2:$M$17,data!$N$2:$N$17,"")</f>
        <v/>
      </c>
      <c r="EO189" s="8"/>
      <c r="EP189" s="8"/>
      <c r="EQ189" s="8"/>
      <c r="ER189" s="8"/>
      <c r="ES189" s="8"/>
      <c r="ET189" s="8"/>
      <c r="EU189" s="8"/>
      <c r="EV189" s="8"/>
      <c r="EW189" s="8"/>
      <c r="EX189" s="8"/>
      <c r="EY189" s="8"/>
      <c r="EZ189" s="8"/>
      <c r="FA189" s="8"/>
      <c r="FB189" s="8"/>
      <c r="FC189" s="8"/>
      <c r="FD189" s="8"/>
      <c r="FE189" s="8"/>
      <c r="FF189" s="8"/>
      <c r="FG189" s="8"/>
      <c r="FH189" s="8"/>
      <c r="FI189" s="8"/>
      <c r="FJ189" s="94"/>
      <c r="FK189" s="8"/>
      <c r="FL189" s="8"/>
      <c r="FM189" s="9"/>
      <c r="FN189" s="95"/>
      <c r="FO189" s="8"/>
      <c r="FP189" s="8"/>
      <c r="FQ189" s="8"/>
      <c r="FR189" s="96" t="str">
        <f t="array" ref="FR189">xlookup(GR189,data!$M$2:$M$17,data!$N$2:$N$17,"")</f>
        <v/>
      </c>
      <c r="FS189" s="8"/>
      <c r="FT189" s="8"/>
      <c r="FU189" s="8"/>
      <c r="FV189" s="8"/>
      <c r="FW189" s="8"/>
      <c r="FX189" s="8"/>
      <c r="FY189" s="8"/>
      <c r="FZ189" s="8"/>
      <c r="GA189" s="8"/>
      <c r="GB189" s="8"/>
      <c r="GC189" s="8"/>
      <c r="GD189" s="8"/>
      <c r="GE189" s="8"/>
      <c r="GF189" s="8"/>
      <c r="GG189" s="8"/>
      <c r="GH189" s="8"/>
      <c r="GI189" s="8"/>
      <c r="GJ189" s="8"/>
      <c r="GK189" s="8"/>
      <c r="GL189" s="8"/>
      <c r="GM189" s="8"/>
      <c r="GN189" s="131" t="str">
        <f t="array" ref="GN189">xlookup(GR189,data!$M$2:$M$17,data!$O$2:$O$17,"")</f>
        <v/>
      </c>
      <c r="GO189" s="8"/>
      <c r="GP189" s="8"/>
      <c r="GQ189" s="98"/>
      <c r="GR189" s="119" t="str">
        <f>if(or(FP120=0,DD120=0),"",reseeding!AD171)</f>
        <v/>
      </c>
      <c r="GS189" s="54"/>
      <c r="GT189" s="54"/>
      <c r="GU189" s="54"/>
      <c r="GV189" s="54"/>
      <c r="GW189" s="54"/>
      <c r="GX189" s="54"/>
      <c r="GY189" s="54"/>
      <c r="GZ189" s="54"/>
      <c r="HA189" s="54"/>
      <c r="HB189" s="54"/>
      <c r="HC189" s="54"/>
      <c r="HD189" s="54"/>
      <c r="HE189" s="54"/>
      <c r="HF189" s="54"/>
      <c r="HG189" s="54"/>
      <c r="HH189" s="54"/>
      <c r="HI189" s="54"/>
      <c r="HJ189" s="54"/>
      <c r="HK189" s="54"/>
      <c r="HL189" s="54"/>
      <c r="HM189" s="54"/>
      <c r="HN189" s="54"/>
      <c r="HO189" s="54"/>
      <c r="HP189" s="54"/>
      <c r="HQ189" s="54"/>
      <c r="HR189" s="54"/>
      <c r="HS189" s="54"/>
      <c r="HT189" s="54"/>
      <c r="HU189" s="54"/>
      <c r="HV189" s="54"/>
      <c r="HW189" s="54"/>
      <c r="HX189" s="54"/>
      <c r="HY189" s="54"/>
      <c r="HZ189" s="54"/>
      <c r="IA189" s="54"/>
      <c r="IB189" s="54"/>
      <c r="IC189" s="54"/>
      <c r="ID189" s="54"/>
      <c r="IE189" s="54"/>
      <c r="IF189" s="54"/>
      <c r="IG189" s="54"/>
      <c r="IH189" s="54"/>
      <c r="II189" s="54"/>
      <c r="IJ189" s="54"/>
      <c r="IK189" s="54"/>
      <c r="IL189" s="54"/>
      <c r="IM189" s="54"/>
      <c r="IN189" s="54"/>
      <c r="IO189" s="54"/>
      <c r="IP189" s="54"/>
      <c r="IQ189" s="54"/>
      <c r="IR189" s="54"/>
      <c r="IS189" s="54"/>
      <c r="IT189" s="54"/>
      <c r="IU189" s="54"/>
      <c r="IV189" s="54"/>
      <c r="IW189" s="54"/>
      <c r="IX189" s="54"/>
      <c r="IY189" s="54"/>
      <c r="IZ189" s="54"/>
      <c r="JA189" s="54"/>
      <c r="JB189" s="54"/>
      <c r="JC189" s="54"/>
      <c r="JD189" s="54"/>
      <c r="JE189" s="54"/>
      <c r="JF189" s="54"/>
      <c r="JG189" s="54"/>
      <c r="JH189" s="54"/>
      <c r="JI189" s="54"/>
      <c r="JJ189" s="54"/>
      <c r="JK189" s="54"/>
      <c r="JL189" s="54"/>
      <c r="JM189" s="54"/>
      <c r="JN189" s="54"/>
      <c r="JO189" s="54"/>
      <c r="JP189" s="54"/>
      <c r="JQ189" s="54"/>
      <c r="JR189" s="54"/>
      <c r="JS189" s="54"/>
      <c r="JT189" s="54"/>
      <c r="JU189" s="54"/>
      <c r="JV189" s="54"/>
      <c r="JW189" s="54"/>
      <c r="JX189" s="54"/>
      <c r="JY189" s="54"/>
      <c r="JZ189" s="54"/>
      <c r="KA189" s="54"/>
      <c r="KB189" s="54"/>
      <c r="KC189" s="54"/>
      <c r="KD189" s="54"/>
      <c r="KE189" s="54"/>
      <c r="KF189" s="54"/>
      <c r="KG189" s="54"/>
      <c r="KH189" s="54"/>
      <c r="KI189" s="54"/>
      <c r="KJ189" s="54"/>
      <c r="KK189" s="54"/>
      <c r="KL189" s="54"/>
      <c r="KM189" s="54"/>
      <c r="KN189" s="54"/>
      <c r="KO189" s="54"/>
      <c r="KP189" s="54"/>
      <c r="KQ189" s="54"/>
      <c r="KR189" s="54"/>
      <c r="KS189" s="54"/>
      <c r="KT189" s="54"/>
      <c r="KU189" s="54"/>
      <c r="KV189" s="54"/>
      <c r="KW189" s="54"/>
      <c r="KX189" s="54"/>
    </row>
    <row r="190" ht="5.2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c r="BI190" s="54"/>
      <c r="BJ190" s="54"/>
      <c r="BK190" s="54"/>
      <c r="BL190" s="54"/>
      <c r="BM190" s="54"/>
      <c r="BN190" s="54"/>
      <c r="BO190" s="54"/>
      <c r="BP190" s="54"/>
      <c r="BQ190" s="54"/>
      <c r="BR190" s="54"/>
      <c r="BS190" s="54"/>
      <c r="BT190" s="54"/>
      <c r="BU190" s="54"/>
      <c r="BV190" s="54"/>
      <c r="BW190" s="108"/>
      <c r="BX190" s="60"/>
      <c r="DA190" s="11"/>
      <c r="DB190" s="10"/>
      <c r="EE190" s="61"/>
      <c r="EF190" s="108"/>
      <c r="EG190" s="54"/>
      <c r="EH190" s="54"/>
      <c r="EI190" s="108"/>
      <c r="EJ190" s="60"/>
      <c r="FM190" s="11"/>
      <c r="FN190" s="10"/>
      <c r="GQ190" s="61"/>
      <c r="GR190" s="108"/>
      <c r="GS190" s="54"/>
      <c r="GT190" s="54"/>
      <c r="GU190" s="54"/>
      <c r="GV190" s="54"/>
      <c r="GW190" s="54"/>
      <c r="GX190" s="54"/>
      <c r="GY190" s="54"/>
      <c r="GZ190" s="54"/>
      <c r="HA190" s="54"/>
      <c r="HB190" s="54"/>
      <c r="HC190" s="54"/>
      <c r="HD190" s="54"/>
      <c r="HE190" s="54"/>
      <c r="HF190" s="54"/>
      <c r="HG190" s="54"/>
      <c r="HH190" s="54"/>
      <c r="HI190" s="54"/>
      <c r="HJ190" s="54"/>
      <c r="HK190" s="54"/>
      <c r="HL190" s="54"/>
      <c r="HM190" s="54"/>
      <c r="HN190" s="54"/>
      <c r="HO190" s="54"/>
      <c r="HP190" s="54"/>
      <c r="HQ190" s="54"/>
      <c r="HR190" s="54"/>
      <c r="HS190" s="54"/>
      <c r="HT190" s="54"/>
      <c r="HU190" s="54"/>
      <c r="HV190" s="54"/>
      <c r="HW190" s="54"/>
      <c r="HX190" s="54"/>
      <c r="HY190" s="54"/>
      <c r="HZ190" s="54"/>
      <c r="IA190" s="54"/>
      <c r="IB190" s="54"/>
      <c r="IC190" s="54"/>
      <c r="ID190" s="54"/>
      <c r="IE190" s="54"/>
      <c r="IF190" s="54"/>
      <c r="IG190" s="54"/>
      <c r="IH190" s="54"/>
      <c r="II190" s="54"/>
      <c r="IJ190" s="54"/>
      <c r="IK190" s="54"/>
      <c r="IL190" s="54"/>
      <c r="IM190" s="54"/>
      <c r="IN190" s="54"/>
      <c r="IO190" s="54"/>
      <c r="IP190" s="54"/>
      <c r="IQ190" s="54"/>
      <c r="IR190" s="54"/>
      <c r="IS190" s="54"/>
      <c r="IT190" s="54"/>
      <c r="IU190" s="54"/>
      <c r="IV190" s="54"/>
      <c r="IW190" s="54"/>
      <c r="IX190" s="54"/>
      <c r="IY190" s="54"/>
      <c r="IZ190" s="54"/>
      <c r="JA190" s="54"/>
      <c r="JB190" s="54"/>
      <c r="JC190" s="54"/>
      <c r="JD190" s="54"/>
      <c r="JE190" s="54"/>
      <c r="JF190" s="54"/>
      <c r="JG190" s="54"/>
      <c r="JH190" s="54"/>
      <c r="JI190" s="54"/>
      <c r="JJ190" s="54"/>
      <c r="JK190" s="54"/>
      <c r="JL190" s="54"/>
      <c r="JM190" s="54"/>
      <c r="JN190" s="54"/>
      <c r="JO190" s="54"/>
      <c r="JP190" s="54"/>
      <c r="JQ190" s="54"/>
      <c r="JR190" s="54"/>
      <c r="JS190" s="54"/>
      <c r="JT190" s="54"/>
      <c r="JU190" s="54"/>
      <c r="JV190" s="54"/>
      <c r="JW190" s="54"/>
      <c r="JX190" s="54"/>
      <c r="JY190" s="54"/>
      <c r="JZ190" s="54"/>
      <c r="KA190" s="54"/>
      <c r="KB190" s="54"/>
      <c r="KC190" s="54"/>
      <c r="KD190" s="54"/>
      <c r="KE190" s="54"/>
      <c r="KF190" s="54"/>
      <c r="KG190" s="54"/>
      <c r="KH190" s="54"/>
      <c r="KI190" s="54"/>
      <c r="KJ190" s="54"/>
      <c r="KK190" s="54"/>
      <c r="KL190" s="54"/>
      <c r="KM190" s="54"/>
      <c r="KN190" s="54"/>
      <c r="KO190" s="54"/>
      <c r="KP190" s="54"/>
      <c r="KQ190" s="54"/>
      <c r="KR190" s="54"/>
      <c r="KS190" s="54"/>
      <c r="KT190" s="54"/>
      <c r="KU190" s="54"/>
      <c r="KV190" s="54"/>
      <c r="KW190" s="54"/>
      <c r="KX190" s="54"/>
    </row>
    <row r="191" ht="5.2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54"/>
      <c r="BU191" s="54"/>
      <c r="BV191" s="54"/>
      <c r="BW191" s="108"/>
      <c r="BX191" s="60"/>
      <c r="DA191" s="11"/>
      <c r="DB191" s="10"/>
      <c r="EE191" s="61"/>
      <c r="EF191" s="108"/>
      <c r="EG191" s="54"/>
      <c r="EH191" s="54"/>
      <c r="EI191" s="108"/>
      <c r="EJ191" s="60"/>
      <c r="FM191" s="11"/>
      <c r="FN191" s="10"/>
      <c r="GQ191" s="61"/>
      <c r="GR191" s="108"/>
      <c r="GS191" s="54"/>
      <c r="GT191" s="54"/>
      <c r="GU191" s="54"/>
      <c r="GV191" s="54"/>
      <c r="GW191" s="54"/>
      <c r="GX191" s="54"/>
      <c r="GY191" s="54"/>
      <c r="GZ191" s="54"/>
      <c r="HA191" s="54"/>
      <c r="HB191" s="54"/>
      <c r="HC191" s="54"/>
      <c r="HD191" s="54"/>
      <c r="HE191" s="54"/>
      <c r="HF191" s="54"/>
      <c r="HG191" s="54"/>
      <c r="HH191" s="54"/>
      <c r="HI191" s="54"/>
      <c r="HJ191" s="54"/>
      <c r="HK191" s="54"/>
      <c r="HL191" s="54"/>
      <c r="HM191" s="54"/>
      <c r="HN191" s="54"/>
      <c r="HO191" s="54"/>
      <c r="HP191" s="54"/>
      <c r="HQ191" s="54"/>
      <c r="HR191" s="54"/>
      <c r="HS191" s="54"/>
      <c r="HT191" s="54"/>
      <c r="HU191" s="54"/>
      <c r="HV191" s="54"/>
      <c r="HW191" s="54"/>
      <c r="HX191" s="54"/>
      <c r="HY191" s="54"/>
      <c r="HZ191" s="54"/>
      <c r="IA191" s="54"/>
      <c r="IB191" s="54"/>
      <c r="IC191" s="54"/>
      <c r="ID191" s="54"/>
      <c r="IE191" s="54"/>
      <c r="IF191" s="54"/>
      <c r="IG191" s="54"/>
      <c r="IH191" s="54"/>
      <c r="II191" s="54"/>
      <c r="IJ191" s="54"/>
      <c r="IK191" s="54"/>
      <c r="IL191" s="54"/>
      <c r="IM191" s="54"/>
      <c r="IN191" s="54"/>
      <c r="IO191" s="54"/>
      <c r="IP191" s="54"/>
      <c r="IQ191" s="54"/>
      <c r="IR191" s="54"/>
      <c r="IS191" s="54"/>
      <c r="IT191" s="54"/>
      <c r="IU191" s="54"/>
      <c r="IV191" s="54"/>
      <c r="IW191" s="54"/>
      <c r="IX191" s="54"/>
      <c r="IY191" s="54"/>
      <c r="IZ191" s="54"/>
      <c r="JA191" s="54"/>
      <c r="JB191" s="54"/>
      <c r="JC191" s="54"/>
      <c r="JD191" s="54"/>
      <c r="JE191" s="54"/>
      <c r="JF191" s="54"/>
      <c r="JG191" s="54"/>
      <c r="JH191" s="54"/>
      <c r="JI191" s="54"/>
      <c r="JJ191" s="54"/>
      <c r="JK191" s="54"/>
      <c r="JL191" s="54"/>
      <c r="JM191" s="54"/>
      <c r="JN191" s="54"/>
      <c r="JO191" s="54"/>
      <c r="JP191" s="54"/>
      <c r="JQ191" s="54"/>
      <c r="JR191" s="54"/>
      <c r="JS191" s="54"/>
      <c r="JT191" s="54"/>
      <c r="JU191" s="54"/>
      <c r="JV191" s="54"/>
      <c r="JW191" s="54"/>
      <c r="JX191" s="54"/>
      <c r="JY191" s="54"/>
      <c r="JZ191" s="54"/>
      <c r="KA191" s="54"/>
      <c r="KB191" s="54"/>
      <c r="KC191" s="54"/>
      <c r="KD191" s="54"/>
      <c r="KE191" s="54"/>
      <c r="KF191" s="54"/>
      <c r="KG191" s="54"/>
      <c r="KH191" s="54"/>
      <c r="KI191" s="54"/>
      <c r="KJ191" s="54"/>
      <c r="KK191" s="54"/>
      <c r="KL191" s="54"/>
      <c r="KM191" s="54"/>
      <c r="KN191" s="54"/>
      <c r="KO191" s="54"/>
      <c r="KP191" s="54"/>
      <c r="KQ191" s="54"/>
      <c r="KR191" s="54"/>
      <c r="KS191" s="54"/>
      <c r="KT191" s="54"/>
      <c r="KU191" s="54"/>
      <c r="KV191" s="54"/>
      <c r="KW191" s="54"/>
      <c r="KX191" s="54"/>
    </row>
    <row r="192" ht="5.2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c r="BS192" s="54"/>
      <c r="BT192" s="54"/>
      <c r="BU192" s="54"/>
      <c r="BV192" s="54"/>
      <c r="BW192" s="108"/>
      <c r="BX192" s="60"/>
      <c r="DA192" s="11"/>
      <c r="DB192" s="10"/>
      <c r="EE192" s="61"/>
      <c r="EF192" s="108"/>
      <c r="EG192" s="54"/>
      <c r="EH192" s="54"/>
      <c r="EI192" s="108"/>
      <c r="EJ192" s="60"/>
      <c r="FM192" s="11"/>
      <c r="FN192" s="10"/>
      <c r="GQ192" s="61"/>
      <c r="GR192" s="108"/>
      <c r="GS192" s="54"/>
      <c r="GT192" s="54"/>
      <c r="GU192" s="54"/>
      <c r="GV192" s="54"/>
      <c r="GW192" s="54"/>
      <c r="GX192" s="54"/>
      <c r="GY192" s="54"/>
      <c r="GZ192" s="54"/>
      <c r="HA192" s="54"/>
      <c r="HB192" s="54"/>
      <c r="HC192" s="54"/>
      <c r="HD192" s="54"/>
      <c r="HE192" s="54"/>
      <c r="HF192" s="54"/>
      <c r="HG192" s="54"/>
      <c r="HH192" s="54"/>
      <c r="HI192" s="54"/>
      <c r="HJ192" s="54"/>
      <c r="HK192" s="54"/>
      <c r="HL192" s="54"/>
      <c r="HM192" s="54"/>
      <c r="HN192" s="54"/>
      <c r="HO192" s="54"/>
      <c r="HP192" s="54"/>
      <c r="HQ192" s="54"/>
      <c r="HR192" s="54"/>
      <c r="HS192" s="54"/>
      <c r="HT192" s="54"/>
      <c r="HU192" s="54"/>
      <c r="HV192" s="54"/>
      <c r="HW192" s="54"/>
      <c r="HX192" s="54"/>
      <c r="HY192" s="54"/>
      <c r="HZ192" s="54"/>
      <c r="IA192" s="54"/>
      <c r="IB192" s="54"/>
      <c r="IC192" s="54"/>
      <c r="ID192" s="54"/>
      <c r="IE192" s="54"/>
      <c r="IF192" s="54"/>
      <c r="IG192" s="54"/>
      <c r="IH192" s="54"/>
      <c r="II192" s="54"/>
      <c r="IJ192" s="54"/>
      <c r="IK192" s="54"/>
      <c r="IL192" s="54"/>
      <c r="IM192" s="54"/>
      <c r="IN192" s="54"/>
      <c r="IO192" s="54"/>
      <c r="IP192" s="54"/>
      <c r="IQ192" s="54"/>
      <c r="IR192" s="54"/>
      <c r="IS192" s="54"/>
      <c r="IT192" s="54"/>
      <c r="IU192" s="54"/>
      <c r="IV192" s="54"/>
      <c r="IW192" s="54"/>
      <c r="IX192" s="54"/>
      <c r="IY192" s="54"/>
      <c r="IZ192" s="54"/>
      <c r="JA192" s="54"/>
      <c r="JB192" s="54"/>
      <c r="JC192" s="54"/>
      <c r="JD192" s="54"/>
      <c r="JE192" s="54"/>
      <c r="JF192" s="54"/>
      <c r="JG192" s="54"/>
      <c r="JH192" s="54"/>
      <c r="JI192" s="54"/>
      <c r="JJ192" s="54"/>
      <c r="JK192" s="54"/>
      <c r="JL192" s="54"/>
      <c r="JM192" s="54"/>
      <c r="JN192" s="54"/>
      <c r="JO192" s="54"/>
      <c r="JP192" s="54"/>
      <c r="JQ192" s="54"/>
      <c r="JR192" s="54"/>
      <c r="JS192" s="54"/>
      <c r="JT192" s="54"/>
      <c r="JU192" s="54"/>
      <c r="JV192" s="54"/>
      <c r="JW192" s="54"/>
      <c r="JX192" s="54"/>
      <c r="JY192" s="54"/>
      <c r="JZ192" s="54"/>
      <c r="KA192" s="54"/>
      <c r="KB192" s="54"/>
      <c r="KC192" s="54"/>
      <c r="KD192" s="54"/>
      <c r="KE192" s="54"/>
      <c r="KF192" s="54"/>
      <c r="KG192" s="54"/>
      <c r="KH192" s="54"/>
      <c r="KI192" s="54"/>
      <c r="KJ192" s="54"/>
      <c r="KK192" s="54"/>
      <c r="KL192" s="54"/>
      <c r="KM192" s="54"/>
      <c r="KN192" s="54"/>
      <c r="KO192" s="54"/>
      <c r="KP192" s="54"/>
      <c r="KQ192" s="54"/>
      <c r="KR192" s="54"/>
      <c r="KS192" s="54"/>
      <c r="KT192" s="54"/>
      <c r="KU192" s="54"/>
      <c r="KV192" s="54"/>
      <c r="KW192" s="54"/>
      <c r="KX192" s="54"/>
    </row>
    <row r="193" ht="5.2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c r="BS193" s="54"/>
      <c r="BT193" s="54"/>
      <c r="BU193" s="54"/>
      <c r="BV193" s="54"/>
      <c r="BW193" s="119" t="str">
        <f>BW189</f>
        <v/>
      </c>
      <c r="BX193" s="112"/>
      <c r="CF193" s="122"/>
      <c r="CH193" s="11"/>
      <c r="CI193" s="126"/>
      <c r="CK193" s="11"/>
      <c r="CL193" s="136"/>
      <c r="CO193" s="108"/>
      <c r="CX193" s="85">
        <f>sum(CF193:CN195)</f>
        <v>0</v>
      </c>
      <c r="DA193" s="11"/>
      <c r="DB193" s="86">
        <f>sum(DO193:DW195)</f>
        <v>0</v>
      </c>
      <c r="DF193" s="108"/>
      <c r="DG193" s="108"/>
      <c r="DH193" s="108"/>
      <c r="DI193" s="108"/>
      <c r="DJ193" s="108"/>
      <c r="DK193" s="108"/>
      <c r="DL193" s="108"/>
      <c r="DM193" s="108"/>
      <c r="DN193" s="108"/>
      <c r="DO193" s="121"/>
      <c r="DQ193" s="11"/>
      <c r="DR193" s="127"/>
      <c r="DT193" s="11"/>
      <c r="DU193" s="127"/>
      <c r="DX193" s="108"/>
      <c r="DY193" s="108"/>
      <c r="DZ193" s="108"/>
      <c r="EA193" s="108"/>
      <c r="EB193" s="108"/>
      <c r="EC193" s="108"/>
      <c r="ED193" s="108"/>
      <c r="EE193" s="116"/>
      <c r="EF193" s="119" t="str">
        <f>EF189</f>
        <v/>
      </c>
      <c r="EG193" s="54"/>
      <c r="EH193" s="54"/>
      <c r="EI193" s="119" t="str">
        <f>EI189</f>
        <v/>
      </c>
      <c r="EJ193" s="112"/>
      <c r="ER193" s="122"/>
      <c r="ET193" s="11"/>
      <c r="EU193" s="139"/>
      <c r="EW193" s="11"/>
      <c r="EX193" s="140"/>
      <c r="FA193" s="108"/>
      <c r="FJ193" s="85">
        <f>sum(ER193:EZ195)</f>
        <v>0</v>
      </c>
      <c r="FM193" s="11"/>
      <c r="FN193" s="86">
        <f>sum(GA193:GI195)</f>
        <v>0</v>
      </c>
      <c r="FR193" s="108"/>
      <c r="FS193" s="108"/>
      <c r="FT193" s="108"/>
      <c r="FU193" s="108"/>
      <c r="FV193" s="108"/>
      <c r="FW193" s="108"/>
      <c r="FX193" s="108"/>
      <c r="FY193" s="108"/>
      <c r="FZ193" s="108"/>
      <c r="GA193" s="141"/>
      <c r="GC193" s="11"/>
      <c r="GD193" s="127"/>
      <c r="GF193" s="11"/>
      <c r="GG193" s="127"/>
      <c r="GJ193" s="108"/>
      <c r="GK193" s="108"/>
      <c r="GL193" s="108"/>
      <c r="GM193" s="108"/>
      <c r="GN193" s="108"/>
      <c r="GO193" s="108"/>
      <c r="GP193" s="108"/>
      <c r="GQ193" s="116"/>
      <c r="GR193" s="119" t="str">
        <f>GR189</f>
        <v/>
      </c>
      <c r="GS193" s="54"/>
      <c r="GT193" s="54"/>
      <c r="GU193" s="54"/>
      <c r="GV193" s="54"/>
      <c r="GW193" s="54"/>
      <c r="GX193" s="54"/>
      <c r="GY193" s="54"/>
      <c r="GZ193" s="54"/>
      <c r="HA193" s="54"/>
      <c r="HB193" s="54"/>
      <c r="HC193" s="54"/>
      <c r="HD193" s="54"/>
      <c r="HE193" s="54"/>
      <c r="HF193" s="54"/>
      <c r="HG193" s="54"/>
      <c r="HH193" s="54"/>
      <c r="HI193" s="54"/>
      <c r="HJ193" s="54"/>
      <c r="HK193" s="54"/>
      <c r="HL193" s="54"/>
      <c r="HM193" s="54"/>
      <c r="HN193" s="54"/>
      <c r="HO193" s="54"/>
      <c r="HP193" s="54"/>
      <c r="HQ193" s="54"/>
      <c r="HR193" s="54"/>
      <c r="HS193" s="54"/>
      <c r="HT193" s="54"/>
      <c r="HU193" s="54"/>
      <c r="HV193" s="54"/>
      <c r="HW193" s="54"/>
      <c r="HX193" s="54"/>
      <c r="HY193" s="54"/>
      <c r="HZ193" s="54"/>
      <c r="IA193" s="54"/>
      <c r="IB193" s="54"/>
      <c r="IC193" s="54"/>
      <c r="ID193" s="54"/>
      <c r="IE193" s="54"/>
      <c r="IF193" s="54"/>
      <c r="IG193" s="54"/>
      <c r="IH193" s="54"/>
      <c r="II193" s="54"/>
      <c r="IJ193" s="54"/>
      <c r="IK193" s="54"/>
      <c r="IL193" s="54"/>
      <c r="IM193" s="54"/>
      <c r="IN193" s="54"/>
      <c r="IO193" s="54"/>
      <c r="IP193" s="54"/>
      <c r="IQ193" s="54"/>
      <c r="IR193" s="54"/>
      <c r="IS193" s="54"/>
      <c r="IT193" s="54"/>
      <c r="IU193" s="54"/>
      <c r="IV193" s="54"/>
      <c r="IW193" s="54"/>
      <c r="IX193" s="54"/>
      <c r="IY193" s="54"/>
      <c r="IZ193" s="54"/>
      <c r="JA193" s="54"/>
      <c r="JB193" s="54"/>
      <c r="JC193" s="54"/>
      <c r="JD193" s="54"/>
      <c r="JE193" s="54"/>
      <c r="JF193" s="54"/>
      <c r="JG193" s="54"/>
      <c r="JH193" s="54"/>
      <c r="JI193" s="54"/>
      <c r="JJ193" s="54"/>
      <c r="JK193" s="54"/>
      <c r="JL193" s="54"/>
      <c r="JM193" s="54"/>
      <c r="JN193" s="54"/>
      <c r="JO193" s="54"/>
      <c r="JP193" s="54"/>
      <c r="JQ193" s="54"/>
      <c r="JR193" s="54"/>
      <c r="JS193" s="54"/>
      <c r="JT193" s="54"/>
      <c r="JU193" s="54"/>
      <c r="JV193" s="54"/>
      <c r="JW193" s="54"/>
      <c r="JX193" s="54"/>
      <c r="JY193" s="54"/>
      <c r="JZ193" s="54"/>
      <c r="KA193" s="54"/>
      <c r="KB193" s="54"/>
      <c r="KC193" s="54"/>
      <c r="KD193" s="54"/>
      <c r="KE193" s="54"/>
      <c r="KF193" s="54"/>
      <c r="KG193" s="54"/>
      <c r="KH193" s="54"/>
      <c r="KI193" s="54"/>
      <c r="KJ193" s="54"/>
      <c r="KK193" s="54"/>
      <c r="KL193" s="54"/>
      <c r="KM193" s="54"/>
      <c r="KN193" s="54"/>
      <c r="KO193" s="54"/>
      <c r="KP193" s="54"/>
      <c r="KQ193" s="54"/>
      <c r="KR193" s="54"/>
      <c r="KS193" s="54"/>
      <c r="KT193" s="54"/>
      <c r="KU193" s="54"/>
      <c r="KV193" s="54"/>
      <c r="KW193" s="54"/>
      <c r="KX193" s="54"/>
    </row>
    <row r="194" ht="5.2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c r="BS194" s="54"/>
      <c r="BT194" s="54"/>
      <c r="BU194" s="54"/>
      <c r="BV194" s="54"/>
      <c r="BW194" s="108"/>
      <c r="BX194" s="60"/>
      <c r="CH194" s="11"/>
      <c r="CI194" s="10"/>
      <c r="CK194" s="11"/>
      <c r="CL194" s="10"/>
      <c r="DA194" s="11"/>
      <c r="DB194" s="10"/>
      <c r="DF194" s="108"/>
      <c r="DG194" s="108"/>
      <c r="DH194" s="108"/>
      <c r="DI194" s="108"/>
      <c r="DJ194" s="108"/>
      <c r="DK194" s="108"/>
      <c r="DL194" s="108"/>
      <c r="DM194" s="108"/>
      <c r="DN194" s="108"/>
      <c r="DQ194" s="11"/>
      <c r="DR194" s="10"/>
      <c r="DT194" s="11"/>
      <c r="DU194" s="10"/>
      <c r="DX194" s="108"/>
      <c r="DY194" s="108"/>
      <c r="DZ194" s="108"/>
      <c r="EA194" s="108"/>
      <c r="EB194" s="108"/>
      <c r="EC194" s="108"/>
      <c r="ED194" s="108"/>
      <c r="EE194" s="116"/>
      <c r="EF194" s="108"/>
      <c r="EG194" s="54"/>
      <c r="EH194" s="54"/>
      <c r="EI194" s="108"/>
      <c r="EJ194" s="60"/>
      <c r="ET194" s="11"/>
      <c r="EU194" s="10"/>
      <c r="EW194" s="11"/>
      <c r="EX194" s="10"/>
      <c r="FM194" s="11"/>
      <c r="FN194" s="10"/>
      <c r="FR194" s="108"/>
      <c r="FS194" s="108"/>
      <c r="FT194" s="108"/>
      <c r="FU194" s="108"/>
      <c r="FV194" s="108"/>
      <c r="FW194" s="108"/>
      <c r="FX194" s="108"/>
      <c r="FY194" s="108"/>
      <c r="FZ194" s="108"/>
      <c r="GC194" s="11"/>
      <c r="GD194" s="10"/>
      <c r="GF194" s="11"/>
      <c r="GG194" s="10"/>
      <c r="GJ194" s="108"/>
      <c r="GK194" s="108"/>
      <c r="GL194" s="108"/>
      <c r="GM194" s="108"/>
      <c r="GN194" s="108"/>
      <c r="GO194" s="108"/>
      <c r="GP194" s="108"/>
      <c r="GQ194" s="116"/>
      <c r="GR194" s="108"/>
      <c r="GS194" s="54"/>
      <c r="GT194" s="54"/>
      <c r="GU194" s="54"/>
      <c r="GV194" s="54"/>
      <c r="GW194" s="54"/>
      <c r="GX194" s="54"/>
      <c r="GY194" s="54"/>
      <c r="GZ194" s="54"/>
      <c r="HA194" s="54"/>
      <c r="HB194" s="54"/>
      <c r="HC194" s="54"/>
      <c r="HD194" s="54"/>
      <c r="HE194" s="54"/>
      <c r="HF194" s="54"/>
      <c r="HG194" s="54"/>
      <c r="HH194" s="54"/>
      <c r="HI194" s="54"/>
      <c r="HJ194" s="54"/>
      <c r="HK194" s="54"/>
      <c r="HL194" s="54"/>
      <c r="HM194" s="54"/>
      <c r="HN194" s="54"/>
      <c r="HO194" s="54"/>
      <c r="HP194" s="54"/>
      <c r="HQ194" s="54"/>
      <c r="HR194" s="54"/>
      <c r="HS194" s="54"/>
      <c r="HT194" s="54"/>
      <c r="HU194" s="54"/>
      <c r="HV194" s="54"/>
      <c r="HW194" s="54"/>
      <c r="HX194" s="54"/>
      <c r="HY194" s="54"/>
      <c r="HZ194" s="54"/>
      <c r="IA194" s="54"/>
      <c r="IB194" s="54"/>
      <c r="IC194" s="54"/>
      <c r="ID194" s="54"/>
      <c r="IE194" s="54"/>
      <c r="IF194" s="54"/>
      <c r="IG194" s="54"/>
      <c r="IH194" s="54"/>
      <c r="II194" s="54"/>
      <c r="IJ194" s="54"/>
      <c r="IK194" s="54"/>
      <c r="IL194" s="54"/>
      <c r="IM194" s="54"/>
      <c r="IN194" s="54"/>
      <c r="IO194" s="54"/>
      <c r="IP194" s="54"/>
      <c r="IQ194" s="54"/>
      <c r="IR194" s="54"/>
      <c r="IS194" s="54"/>
      <c r="IT194" s="54"/>
      <c r="IU194" s="54"/>
      <c r="IV194" s="54"/>
      <c r="IW194" s="54"/>
      <c r="IX194" s="54"/>
      <c r="IY194" s="54"/>
      <c r="IZ194" s="54"/>
      <c r="JA194" s="54"/>
      <c r="JB194" s="54"/>
      <c r="JC194" s="54"/>
      <c r="JD194" s="54"/>
      <c r="JE194" s="54"/>
      <c r="JF194" s="54"/>
      <c r="JG194" s="54"/>
      <c r="JH194" s="54"/>
      <c r="JI194" s="54"/>
      <c r="JJ194" s="54"/>
      <c r="JK194" s="54"/>
      <c r="JL194" s="54"/>
      <c r="JM194" s="54"/>
      <c r="JN194" s="54"/>
      <c r="JO194" s="54"/>
      <c r="JP194" s="54"/>
      <c r="JQ194" s="54"/>
      <c r="JR194" s="54"/>
      <c r="JS194" s="54"/>
      <c r="JT194" s="54"/>
      <c r="JU194" s="54"/>
      <c r="JV194" s="54"/>
      <c r="JW194" s="54"/>
      <c r="JX194" s="54"/>
      <c r="JY194" s="54"/>
      <c r="JZ194" s="54"/>
      <c r="KA194" s="54"/>
      <c r="KB194" s="54"/>
      <c r="KC194" s="54"/>
      <c r="KD194" s="54"/>
      <c r="KE194" s="54"/>
      <c r="KF194" s="54"/>
      <c r="KG194" s="54"/>
      <c r="KH194" s="54"/>
      <c r="KI194" s="54"/>
      <c r="KJ194" s="54"/>
      <c r="KK194" s="54"/>
      <c r="KL194" s="54"/>
      <c r="KM194" s="54"/>
      <c r="KN194" s="54"/>
      <c r="KO194" s="54"/>
      <c r="KP194" s="54"/>
      <c r="KQ194" s="54"/>
      <c r="KR194" s="54"/>
      <c r="KS194" s="54"/>
      <c r="KT194" s="54"/>
      <c r="KU194" s="54"/>
      <c r="KV194" s="54"/>
      <c r="KW194" s="54"/>
      <c r="KX194" s="54"/>
    </row>
    <row r="195" ht="5.2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54"/>
      <c r="BU195" s="54"/>
      <c r="BV195" s="54"/>
      <c r="BW195" s="108"/>
      <c r="BX195" s="101"/>
      <c r="BY195" s="102"/>
      <c r="BZ195" s="102"/>
      <c r="CA195" s="102"/>
      <c r="CB195" s="102"/>
      <c r="CC195" s="102"/>
      <c r="CD195" s="102"/>
      <c r="CE195" s="102"/>
      <c r="CF195" s="102"/>
      <c r="CG195" s="102"/>
      <c r="CH195" s="103"/>
      <c r="CI195" s="104"/>
      <c r="CJ195" s="102"/>
      <c r="CK195" s="103"/>
      <c r="CL195" s="104"/>
      <c r="CM195" s="102"/>
      <c r="CN195" s="102"/>
      <c r="CO195" s="102"/>
      <c r="CP195" s="102"/>
      <c r="CQ195" s="102"/>
      <c r="CR195" s="102"/>
      <c r="CS195" s="102"/>
      <c r="CT195" s="102"/>
      <c r="CU195" s="102"/>
      <c r="CV195" s="102"/>
      <c r="CW195" s="102"/>
      <c r="CX195" s="102"/>
      <c r="CY195" s="102"/>
      <c r="CZ195" s="102"/>
      <c r="DA195" s="103"/>
      <c r="DB195" s="104"/>
      <c r="DC195" s="102"/>
      <c r="DD195" s="102"/>
      <c r="DE195" s="102"/>
      <c r="DF195" s="137"/>
      <c r="DG195" s="137"/>
      <c r="DH195" s="137"/>
      <c r="DI195" s="137"/>
      <c r="DJ195" s="137"/>
      <c r="DK195" s="137"/>
      <c r="DL195" s="137"/>
      <c r="DM195" s="137"/>
      <c r="DN195" s="137"/>
      <c r="DO195" s="102"/>
      <c r="DP195" s="102"/>
      <c r="DQ195" s="103"/>
      <c r="DR195" s="104"/>
      <c r="DS195" s="102"/>
      <c r="DT195" s="103"/>
      <c r="DU195" s="104"/>
      <c r="DV195" s="102"/>
      <c r="DW195" s="102"/>
      <c r="DX195" s="137"/>
      <c r="DY195" s="137"/>
      <c r="DZ195" s="137"/>
      <c r="EA195" s="137"/>
      <c r="EB195" s="137"/>
      <c r="EC195" s="137"/>
      <c r="ED195" s="137"/>
      <c r="EE195" s="138"/>
      <c r="EF195" s="108"/>
      <c r="EG195" s="54"/>
      <c r="EH195" s="54"/>
      <c r="EI195" s="108"/>
      <c r="EJ195" s="101"/>
      <c r="EK195" s="102"/>
      <c r="EL195" s="102"/>
      <c r="EM195" s="102"/>
      <c r="EN195" s="102"/>
      <c r="EO195" s="102"/>
      <c r="EP195" s="102"/>
      <c r="EQ195" s="102"/>
      <c r="ER195" s="102"/>
      <c r="ES195" s="102"/>
      <c r="ET195" s="103"/>
      <c r="EU195" s="104"/>
      <c r="EV195" s="102"/>
      <c r="EW195" s="103"/>
      <c r="EX195" s="104"/>
      <c r="EY195" s="102"/>
      <c r="EZ195" s="102"/>
      <c r="FA195" s="102"/>
      <c r="FB195" s="102"/>
      <c r="FC195" s="102"/>
      <c r="FD195" s="102"/>
      <c r="FE195" s="102"/>
      <c r="FF195" s="102"/>
      <c r="FG195" s="102"/>
      <c r="FH195" s="102"/>
      <c r="FI195" s="102"/>
      <c r="FJ195" s="102"/>
      <c r="FK195" s="102"/>
      <c r="FL195" s="102"/>
      <c r="FM195" s="103"/>
      <c r="FN195" s="104"/>
      <c r="FO195" s="102"/>
      <c r="FP195" s="102"/>
      <c r="FQ195" s="102"/>
      <c r="FR195" s="137"/>
      <c r="FS195" s="137"/>
      <c r="FT195" s="137"/>
      <c r="FU195" s="137"/>
      <c r="FV195" s="137"/>
      <c r="FW195" s="137"/>
      <c r="FX195" s="137"/>
      <c r="FY195" s="137"/>
      <c r="FZ195" s="137"/>
      <c r="GA195" s="102"/>
      <c r="GB195" s="102"/>
      <c r="GC195" s="103"/>
      <c r="GD195" s="104"/>
      <c r="GE195" s="102"/>
      <c r="GF195" s="103"/>
      <c r="GG195" s="104"/>
      <c r="GH195" s="102"/>
      <c r="GI195" s="102"/>
      <c r="GJ195" s="137"/>
      <c r="GK195" s="137"/>
      <c r="GL195" s="137"/>
      <c r="GM195" s="137"/>
      <c r="GN195" s="137"/>
      <c r="GO195" s="137"/>
      <c r="GP195" s="137"/>
      <c r="GQ195" s="138"/>
      <c r="GR195" s="108"/>
      <c r="GS195" s="54"/>
      <c r="GT195" s="54"/>
      <c r="GU195" s="54"/>
      <c r="GV195" s="54"/>
      <c r="GW195" s="54"/>
      <c r="GX195" s="54"/>
      <c r="GY195" s="54"/>
      <c r="GZ195" s="54"/>
      <c r="HA195" s="54"/>
      <c r="HB195" s="54"/>
      <c r="HC195" s="54"/>
      <c r="HD195" s="54"/>
      <c r="HE195" s="54"/>
      <c r="HF195" s="54"/>
      <c r="HG195" s="54"/>
      <c r="HH195" s="54"/>
      <c r="HI195" s="54"/>
      <c r="HJ195" s="54"/>
      <c r="HK195" s="54"/>
      <c r="HL195" s="54"/>
      <c r="HM195" s="54"/>
      <c r="HN195" s="54"/>
      <c r="HO195" s="54"/>
      <c r="HP195" s="54"/>
      <c r="HQ195" s="54"/>
      <c r="HR195" s="54"/>
      <c r="HS195" s="54"/>
      <c r="HT195" s="54"/>
      <c r="HU195" s="54"/>
      <c r="HV195" s="54"/>
      <c r="HW195" s="54"/>
      <c r="HX195" s="54"/>
      <c r="HY195" s="54"/>
      <c r="HZ195" s="54"/>
      <c r="IA195" s="54"/>
      <c r="IB195" s="54"/>
      <c r="IC195" s="54"/>
      <c r="ID195" s="54"/>
      <c r="IE195" s="54"/>
      <c r="IF195" s="54"/>
      <c r="IG195" s="54"/>
      <c r="IH195" s="54"/>
      <c r="II195" s="54"/>
      <c r="IJ195" s="54"/>
      <c r="IK195" s="54"/>
      <c r="IL195" s="54"/>
      <c r="IM195" s="54"/>
      <c r="IN195" s="54"/>
      <c r="IO195" s="54"/>
      <c r="IP195" s="54"/>
      <c r="IQ195" s="54"/>
      <c r="IR195" s="54"/>
      <c r="IS195" s="54"/>
      <c r="IT195" s="54"/>
      <c r="IU195" s="54"/>
      <c r="IV195" s="54"/>
      <c r="IW195" s="54"/>
      <c r="IX195" s="54"/>
      <c r="IY195" s="54"/>
      <c r="IZ195" s="54"/>
      <c r="JA195" s="54"/>
      <c r="JB195" s="54"/>
      <c r="JC195" s="54"/>
      <c r="JD195" s="54"/>
      <c r="JE195" s="54"/>
      <c r="JF195" s="54"/>
      <c r="JG195" s="54"/>
      <c r="JH195" s="54"/>
      <c r="JI195" s="54"/>
      <c r="JJ195" s="54"/>
      <c r="JK195" s="54"/>
      <c r="JL195" s="54"/>
      <c r="JM195" s="54"/>
      <c r="JN195" s="54"/>
      <c r="JO195" s="54"/>
      <c r="JP195" s="54"/>
      <c r="JQ195" s="54"/>
      <c r="JR195" s="54"/>
      <c r="JS195" s="54"/>
      <c r="JT195" s="54"/>
      <c r="JU195" s="54"/>
      <c r="JV195" s="54"/>
      <c r="JW195" s="54"/>
      <c r="JX195" s="54"/>
      <c r="JY195" s="54"/>
      <c r="JZ195" s="54"/>
      <c r="KA195" s="54"/>
      <c r="KB195" s="54"/>
      <c r="KC195" s="54"/>
      <c r="KD195" s="54"/>
      <c r="KE195" s="54"/>
      <c r="KF195" s="54"/>
      <c r="KG195" s="54"/>
      <c r="KH195" s="54"/>
      <c r="KI195" s="54"/>
      <c r="KJ195" s="54"/>
      <c r="KK195" s="54"/>
      <c r="KL195" s="54"/>
      <c r="KM195" s="54"/>
      <c r="KN195" s="54"/>
      <c r="KO195" s="54"/>
      <c r="KP195" s="54"/>
      <c r="KQ195" s="54"/>
      <c r="KR195" s="54"/>
      <c r="KS195" s="54"/>
      <c r="KT195" s="54"/>
      <c r="KU195" s="54"/>
      <c r="KV195" s="54"/>
      <c r="KW195" s="54"/>
      <c r="KX195" s="54"/>
    </row>
    <row r="196" ht="5.2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c r="BS196" s="54"/>
      <c r="BT196" s="54"/>
      <c r="BU196" s="54"/>
      <c r="BV196" s="54"/>
      <c r="BW196" s="54"/>
      <c r="BX196" s="54"/>
      <c r="BY196" s="54"/>
      <c r="BZ196" s="54"/>
      <c r="CA196" s="54"/>
      <c r="CB196" s="54"/>
      <c r="CC196" s="54"/>
      <c r="CD196" s="54"/>
      <c r="CE196" s="54"/>
      <c r="CF196" s="54"/>
      <c r="CG196" s="54"/>
      <c r="CH196" s="54"/>
      <c r="CI196" s="54"/>
      <c r="CJ196" s="54"/>
      <c r="CK196" s="54"/>
      <c r="CL196" s="54"/>
      <c r="CM196" s="54"/>
      <c r="CN196" s="54"/>
      <c r="CO196" s="54"/>
      <c r="CP196" s="54"/>
      <c r="CQ196" s="54"/>
      <c r="CR196" s="54"/>
      <c r="CS196" s="54"/>
      <c r="CT196" s="54"/>
      <c r="CU196" s="54"/>
      <c r="CV196" s="54"/>
      <c r="CW196" s="54"/>
      <c r="CX196" s="54"/>
      <c r="CY196" s="54"/>
      <c r="CZ196" s="54"/>
      <c r="DA196" s="54"/>
      <c r="DB196" s="54"/>
      <c r="DC196" s="54"/>
      <c r="DD196" s="54"/>
      <c r="DE196" s="54"/>
      <c r="DF196" s="54"/>
      <c r="DG196" s="54"/>
      <c r="DH196" s="54"/>
      <c r="DI196" s="54"/>
      <c r="DJ196" s="54"/>
      <c r="DK196" s="54"/>
      <c r="DL196" s="54"/>
      <c r="DM196" s="54"/>
      <c r="DN196" s="54"/>
      <c r="DO196" s="54"/>
      <c r="DP196" s="54"/>
      <c r="DQ196" s="54"/>
      <c r="DR196" s="54"/>
      <c r="DS196" s="54"/>
      <c r="DT196" s="54"/>
      <c r="DU196" s="54"/>
      <c r="DV196" s="54"/>
      <c r="DW196" s="54"/>
      <c r="DX196" s="54"/>
      <c r="DY196" s="54"/>
      <c r="DZ196" s="54"/>
      <c r="EA196" s="54"/>
      <c r="EB196" s="54"/>
      <c r="EC196" s="54"/>
      <c r="ED196" s="54"/>
      <c r="EE196" s="54"/>
      <c r="EF196" s="54"/>
      <c r="EG196" s="54"/>
      <c r="EH196" s="54"/>
      <c r="EI196" s="54"/>
      <c r="EJ196" s="54"/>
      <c r="EK196" s="54"/>
      <c r="EL196" s="54"/>
      <c r="EM196" s="54"/>
      <c r="EN196" s="54"/>
      <c r="EO196" s="54"/>
      <c r="EP196" s="54"/>
      <c r="EQ196" s="54"/>
      <c r="ER196" s="54"/>
      <c r="ES196" s="54"/>
      <c r="ET196" s="54"/>
      <c r="EU196" s="54"/>
      <c r="EV196" s="54"/>
      <c r="EW196" s="54"/>
      <c r="EX196" s="54"/>
      <c r="EY196" s="54"/>
      <c r="EZ196" s="54"/>
      <c r="FA196" s="54"/>
      <c r="FB196" s="54"/>
      <c r="FC196" s="54"/>
      <c r="FD196" s="54"/>
      <c r="FE196" s="54"/>
      <c r="FF196" s="54"/>
      <c r="FG196" s="54"/>
      <c r="FH196" s="54"/>
      <c r="FI196" s="54"/>
      <c r="FJ196" s="54"/>
      <c r="FK196" s="54"/>
      <c r="FL196" s="54"/>
      <c r="FM196" s="54"/>
      <c r="FN196" s="54"/>
      <c r="FO196" s="54"/>
      <c r="FP196" s="54"/>
      <c r="FQ196" s="54"/>
      <c r="FR196" s="54"/>
      <c r="FS196" s="54"/>
      <c r="FT196" s="54"/>
      <c r="FU196" s="54"/>
      <c r="FV196" s="54"/>
      <c r="FW196" s="54"/>
      <c r="FX196" s="54"/>
      <c r="FY196" s="54"/>
      <c r="FZ196" s="54"/>
      <c r="GA196" s="54"/>
      <c r="GB196" s="54"/>
      <c r="GC196" s="54"/>
      <c r="GD196" s="54"/>
      <c r="GE196" s="54"/>
      <c r="GF196" s="54"/>
      <c r="GG196" s="54"/>
      <c r="GH196" s="54"/>
      <c r="GI196" s="54"/>
      <c r="GJ196" s="54"/>
      <c r="GK196" s="54"/>
      <c r="GL196" s="54"/>
      <c r="GM196" s="54"/>
      <c r="GN196" s="54"/>
      <c r="GO196" s="54"/>
      <c r="GP196" s="54"/>
      <c r="GQ196" s="54"/>
      <c r="GR196" s="54"/>
      <c r="GS196" s="54"/>
      <c r="GT196" s="54"/>
      <c r="GU196" s="54"/>
      <c r="GV196" s="54"/>
      <c r="GW196" s="54"/>
      <c r="GX196" s="54"/>
      <c r="GY196" s="54"/>
      <c r="GZ196" s="54"/>
      <c r="HA196" s="54"/>
      <c r="HB196" s="54"/>
      <c r="HC196" s="54"/>
      <c r="HD196" s="54"/>
      <c r="HE196" s="54"/>
      <c r="HF196" s="54"/>
      <c r="HG196" s="54"/>
      <c r="HH196" s="54"/>
      <c r="HI196" s="54"/>
      <c r="HJ196" s="54"/>
      <c r="HK196" s="54"/>
      <c r="HL196" s="54"/>
      <c r="HM196" s="54"/>
      <c r="HN196" s="54"/>
      <c r="HO196" s="54"/>
      <c r="HP196" s="54"/>
      <c r="HQ196" s="54"/>
      <c r="HR196" s="54"/>
      <c r="HS196" s="54"/>
      <c r="HT196" s="54"/>
      <c r="HU196" s="54"/>
      <c r="HV196" s="54"/>
      <c r="HW196" s="54"/>
      <c r="HX196" s="54"/>
      <c r="HY196" s="54"/>
      <c r="HZ196" s="54"/>
      <c r="IA196" s="54"/>
      <c r="IB196" s="54"/>
      <c r="IC196" s="54"/>
      <c r="ID196" s="54"/>
      <c r="IE196" s="54"/>
      <c r="IF196" s="54"/>
      <c r="IG196" s="54"/>
      <c r="IH196" s="54"/>
      <c r="II196" s="54"/>
      <c r="IJ196" s="54"/>
      <c r="IK196" s="54"/>
      <c r="IL196" s="54"/>
      <c r="IM196" s="54"/>
      <c r="IN196" s="54"/>
      <c r="IO196" s="54"/>
      <c r="IP196" s="54"/>
      <c r="IQ196" s="54"/>
      <c r="IR196" s="54"/>
      <c r="IS196" s="54"/>
      <c r="IT196" s="54"/>
      <c r="IU196" s="54"/>
      <c r="IV196" s="54"/>
      <c r="IW196" s="54"/>
      <c r="IX196" s="54"/>
      <c r="IY196" s="54"/>
      <c r="IZ196" s="54"/>
      <c r="JA196" s="54"/>
      <c r="JB196" s="54"/>
      <c r="JC196" s="54"/>
      <c r="JD196" s="54"/>
      <c r="JE196" s="54"/>
      <c r="JF196" s="54"/>
      <c r="JG196" s="54"/>
      <c r="JH196" s="54"/>
      <c r="JI196" s="54"/>
      <c r="JJ196" s="54"/>
      <c r="JK196" s="54"/>
      <c r="JL196" s="54"/>
      <c r="JM196" s="54"/>
      <c r="JN196" s="54"/>
      <c r="JO196" s="54"/>
      <c r="JP196" s="54"/>
      <c r="JQ196" s="54"/>
      <c r="JR196" s="54"/>
      <c r="JS196" s="54"/>
      <c r="JT196" s="54"/>
      <c r="JU196" s="54"/>
      <c r="JV196" s="54"/>
      <c r="JW196" s="54"/>
      <c r="JX196" s="54"/>
      <c r="JY196" s="54"/>
      <c r="JZ196" s="54"/>
      <c r="KA196" s="54"/>
      <c r="KB196" s="54"/>
      <c r="KC196" s="54"/>
      <c r="KD196" s="54"/>
      <c r="KE196" s="54"/>
      <c r="KF196" s="54"/>
      <c r="KG196" s="54"/>
      <c r="KH196" s="54"/>
      <c r="KI196" s="54"/>
      <c r="KJ196" s="54"/>
      <c r="KK196" s="54"/>
      <c r="KL196" s="54"/>
      <c r="KM196" s="54"/>
      <c r="KN196" s="54"/>
      <c r="KO196" s="54"/>
      <c r="KP196" s="54"/>
      <c r="KQ196" s="54"/>
      <c r="KR196" s="54"/>
      <c r="KS196" s="54"/>
      <c r="KT196" s="54"/>
      <c r="KU196" s="54"/>
      <c r="KV196" s="54"/>
      <c r="KW196" s="54"/>
      <c r="KX196" s="54"/>
    </row>
    <row r="197" ht="5.2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c r="BS197" s="54"/>
      <c r="BT197" s="54"/>
      <c r="BU197" s="54"/>
      <c r="BV197" s="54"/>
      <c r="BW197" s="54"/>
      <c r="BX197" s="54"/>
      <c r="BY197" s="54"/>
      <c r="BZ197" s="54"/>
      <c r="CA197" s="54"/>
      <c r="CB197" s="54"/>
      <c r="CC197" s="54"/>
      <c r="CD197" s="54"/>
      <c r="CE197" s="54"/>
      <c r="CF197" s="54"/>
      <c r="CG197" s="54"/>
      <c r="CH197" s="54"/>
      <c r="CI197" s="54"/>
      <c r="CJ197" s="54"/>
      <c r="CK197" s="54"/>
      <c r="CL197" s="54"/>
      <c r="CM197" s="54"/>
      <c r="CN197" s="54"/>
      <c r="CO197" s="54"/>
      <c r="CP197" s="54"/>
      <c r="CQ197" s="54"/>
      <c r="CR197" s="54"/>
      <c r="CS197" s="54"/>
      <c r="CT197" s="54"/>
      <c r="CU197" s="54"/>
      <c r="CV197" s="54"/>
      <c r="CW197" s="54"/>
      <c r="CX197" s="54"/>
      <c r="CY197" s="54"/>
      <c r="CZ197" s="54"/>
      <c r="DA197" s="54"/>
      <c r="DB197" s="54"/>
      <c r="DC197" s="54"/>
      <c r="DD197" s="54"/>
      <c r="DE197" s="54"/>
      <c r="DF197" s="54"/>
      <c r="DG197" s="54"/>
      <c r="DH197" s="54"/>
      <c r="DI197" s="54"/>
      <c r="DJ197" s="54"/>
      <c r="DK197" s="54"/>
      <c r="DL197" s="54"/>
      <c r="DM197" s="54"/>
      <c r="DN197" s="54"/>
      <c r="DO197" s="54"/>
      <c r="DP197" s="54"/>
      <c r="DQ197" s="54"/>
      <c r="DR197" s="54"/>
      <c r="DS197" s="54"/>
      <c r="DT197" s="54"/>
      <c r="DU197" s="54"/>
      <c r="DV197" s="54"/>
      <c r="DW197" s="54"/>
      <c r="DX197" s="54"/>
      <c r="DY197" s="54"/>
      <c r="DZ197" s="54"/>
      <c r="EA197" s="54"/>
      <c r="EB197" s="54"/>
      <c r="EC197" s="54"/>
      <c r="ED197" s="54"/>
      <c r="EE197" s="54"/>
      <c r="EF197" s="54"/>
      <c r="EG197" s="54"/>
      <c r="EH197" s="54"/>
      <c r="EI197" s="54"/>
      <c r="EJ197" s="54"/>
      <c r="EK197" s="54"/>
      <c r="EL197" s="54"/>
      <c r="EM197" s="54"/>
      <c r="EN197" s="54"/>
      <c r="EO197" s="54"/>
      <c r="EP197" s="54"/>
      <c r="EQ197" s="54"/>
      <c r="ER197" s="54"/>
      <c r="ES197" s="54"/>
      <c r="ET197" s="54"/>
      <c r="EU197" s="54"/>
      <c r="EV197" s="54"/>
      <c r="EW197" s="54"/>
      <c r="EX197" s="54"/>
      <c r="EY197" s="54"/>
      <c r="EZ197" s="54"/>
      <c r="FA197" s="54"/>
      <c r="FB197" s="54"/>
      <c r="FC197" s="54"/>
      <c r="FD197" s="54"/>
      <c r="FE197" s="54"/>
      <c r="FF197" s="54"/>
      <c r="FG197" s="54"/>
      <c r="FH197" s="54"/>
      <c r="FI197" s="54"/>
      <c r="FJ197" s="54"/>
      <c r="FK197" s="54"/>
      <c r="FL197" s="54"/>
      <c r="FM197" s="54"/>
      <c r="FN197" s="54"/>
      <c r="FO197" s="54"/>
      <c r="FP197" s="54"/>
      <c r="FQ197" s="54"/>
      <c r="FR197" s="54"/>
      <c r="FS197" s="54"/>
      <c r="FT197" s="54"/>
      <c r="FU197" s="54"/>
      <c r="FV197" s="54"/>
      <c r="FW197" s="54"/>
      <c r="FX197" s="54"/>
      <c r="FY197" s="54"/>
      <c r="FZ197" s="54"/>
      <c r="GA197" s="54"/>
      <c r="GB197" s="54"/>
      <c r="GC197" s="54"/>
      <c r="GD197" s="54"/>
      <c r="GE197" s="54"/>
      <c r="GF197" s="54"/>
      <c r="GG197" s="54"/>
      <c r="GH197" s="54"/>
      <c r="GI197" s="54"/>
      <c r="GJ197" s="54"/>
      <c r="GK197" s="54"/>
      <c r="GL197" s="54"/>
      <c r="GM197" s="54"/>
      <c r="GN197" s="54"/>
      <c r="GO197" s="54"/>
      <c r="GP197" s="54"/>
      <c r="GQ197" s="54"/>
      <c r="GR197" s="54"/>
      <c r="GS197" s="54"/>
      <c r="GT197" s="54"/>
      <c r="GU197" s="54"/>
      <c r="GV197" s="54"/>
      <c r="GW197" s="54"/>
      <c r="GX197" s="54"/>
      <c r="GY197" s="54"/>
      <c r="GZ197" s="54"/>
      <c r="HA197" s="54"/>
      <c r="HB197" s="54"/>
      <c r="HC197" s="54"/>
      <c r="HD197" s="54"/>
      <c r="HE197" s="54"/>
      <c r="HF197" s="54"/>
      <c r="HG197" s="54"/>
      <c r="HH197" s="54"/>
      <c r="HI197" s="54"/>
      <c r="HJ197" s="54"/>
      <c r="HK197" s="54"/>
      <c r="HL197" s="54"/>
      <c r="HM197" s="54"/>
      <c r="HN197" s="54"/>
      <c r="HO197" s="54"/>
      <c r="HP197" s="54"/>
      <c r="HQ197" s="54"/>
      <c r="HR197" s="54"/>
      <c r="HS197" s="54"/>
      <c r="HT197" s="54"/>
      <c r="HU197" s="54"/>
      <c r="HV197" s="54"/>
      <c r="HW197" s="54"/>
      <c r="HX197" s="54"/>
      <c r="HY197" s="54"/>
      <c r="HZ197" s="54"/>
      <c r="IA197" s="54"/>
      <c r="IB197" s="54"/>
      <c r="IC197" s="54"/>
      <c r="ID197" s="54"/>
      <c r="IE197" s="54"/>
      <c r="IF197" s="54"/>
      <c r="IG197" s="54"/>
      <c r="IH197" s="54"/>
      <c r="II197" s="54"/>
      <c r="IJ197" s="54"/>
      <c r="IK197" s="54"/>
      <c r="IL197" s="54"/>
      <c r="IM197" s="54"/>
      <c r="IN197" s="54"/>
      <c r="IO197" s="54"/>
      <c r="IP197" s="54"/>
      <c r="IQ197" s="54"/>
      <c r="IR197" s="54"/>
      <c r="IS197" s="54"/>
      <c r="IT197" s="54"/>
      <c r="IU197" s="54"/>
      <c r="IV197" s="54"/>
      <c r="IW197" s="54"/>
      <c r="IX197" s="54"/>
      <c r="IY197" s="54"/>
      <c r="IZ197" s="54"/>
      <c r="JA197" s="54"/>
      <c r="JB197" s="54"/>
      <c r="JC197" s="54"/>
      <c r="JD197" s="54"/>
      <c r="JE197" s="54"/>
      <c r="JF197" s="54"/>
      <c r="JG197" s="54"/>
      <c r="JH197" s="54"/>
      <c r="JI197" s="54"/>
      <c r="JJ197" s="54"/>
      <c r="JK197" s="54"/>
      <c r="JL197" s="54"/>
      <c r="JM197" s="54"/>
      <c r="JN197" s="54"/>
      <c r="JO197" s="54"/>
      <c r="JP197" s="54"/>
      <c r="JQ197" s="54"/>
      <c r="JR197" s="54"/>
      <c r="JS197" s="54"/>
      <c r="JT197" s="54"/>
      <c r="JU197" s="54"/>
      <c r="JV197" s="54"/>
      <c r="JW197" s="54"/>
      <c r="JX197" s="54"/>
      <c r="JY197" s="54"/>
      <c r="JZ197" s="54"/>
      <c r="KA197" s="54"/>
      <c r="KB197" s="54"/>
      <c r="KC197" s="54"/>
      <c r="KD197" s="54"/>
      <c r="KE197" s="54"/>
      <c r="KF197" s="54"/>
      <c r="KG197" s="54"/>
      <c r="KH197" s="54"/>
      <c r="KI197" s="54"/>
      <c r="KJ197" s="54"/>
      <c r="KK197" s="54"/>
      <c r="KL197" s="54"/>
      <c r="KM197" s="54"/>
      <c r="KN197" s="54"/>
      <c r="KO197" s="54"/>
      <c r="KP197" s="54"/>
      <c r="KQ197" s="54"/>
      <c r="KR197" s="54"/>
      <c r="KS197" s="54"/>
      <c r="KT197" s="54"/>
      <c r="KU197" s="54"/>
      <c r="KV197" s="54"/>
      <c r="KW197" s="54"/>
      <c r="KX197" s="54"/>
    </row>
    <row r="198" ht="5.2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S198" s="54"/>
      <c r="BT198" s="54"/>
      <c r="BU198" s="54"/>
      <c r="BV198" s="54"/>
      <c r="BW198" s="54"/>
      <c r="BX198" s="54"/>
      <c r="BY198" s="54"/>
      <c r="BZ198" s="54"/>
      <c r="CA198" s="54"/>
      <c r="CB198" s="54"/>
      <c r="CC198" s="54"/>
      <c r="CD198" s="54"/>
      <c r="CE198" s="54"/>
      <c r="CF198" s="54"/>
      <c r="CG198" s="54"/>
      <c r="CH198" s="54"/>
      <c r="CI198" s="54"/>
      <c r="CJ198" s="54"/>
      <c r="CK198" s="54"/>
      <c r="CL198" s="54"/>
      <c r="CM198" s="54"/>
      <c r="CN198" s="54"/>
      <c r="CO198" s="54"/>
      <c r="CP198" s="54"/>
      <c r="CQ198" s="54"/>
      <c r="CR198" s="54"/>
      <c r="CS198" s="54"/>
      <c r="CT198" s="54"/>
      <c r="CU198" s="54"/>
      <c r="CV198" s="54"/>
      <c r="CW198" s="54"/>
      <c r="CX198" s="54"/>
      <c r="CY198" s="54"/>
      <c r="CZ198" s="54"/>
      <c r="DA198" s="54"/>
      <c r="DB198" s="54"/>
      <c r="DC198" s="54"/>
      <c r="DD198" s="54"/>
      <c r="DE198" s="54"/>
      <c r="DF198" s="54"/>
      <c r="DG198" s="54"/>
      <c r="DH198" s="54"/>
      <c r="DI198" s="54"/>
      <c r="DJ198" s="54"/>
      <c r="DK198" s="54"/>
      <c r="DL198" s="54"/>
      <c r="DM198" s="54"/>
      <c r="DN198" s="54"/>
      <c r="DO198" s="54"/>
      <c r="DP198" s="54"/>
      <c r="DQ198" s="54"/>
      <c r="DR198" s="54"/>
      <c r="DS198" s="54"/>
      <c r="DT198" s="54"/>
      <c r="DU198" s="54"/>
      <c r="DV198" s="54"/>
      <c r="DW198" s="54"/>
      <c r="DX198" s="54"/>
      <c r="DY198" s="54"/>
      <c r="DZ198" s="54"/>
      <c r="EA198" s="54"/>
      <c r="EB198" s="54"/>
      <c r="EC198" s="54"/>
      <c r="ED198" s="54"/>
      <c r="EE198" s="54"/>
      <c r="EF198" s="54"/>
      <c r="EG198" s="54"/>
      <c r="EH198" s="54"/>
      <c r="EI198" s="54"/>
      <c r="EJ198" s="54"/>
      <c r="EK198" s="54"/>
      <c r="EL198" s="54"/>
      <c r="EM198" s="54"/>
      <c r="EN198" s="54"/>
      <c r="EO198" s="54"/>
      <c r="EP198" s="54"/>
      <c r="EQ198" s="54"/>
      <c r="ER198" s="54"/>
      <c r="ES198" s="54"/>
      <c r="ET198" s="54"/>
      <c r="EU198" s="54"/>
      <c r="EV198" s="54"/>
      <c r="EW198" s="54"/>
      <c r="EX198" s="54"/>
      <c r="EY198" s="54"/>
      <c r="EZ198" s="54"/>
      <c r="FA198" s="54"/>
      <c r="FB198" s="54"/>
      <c r="FC198" s="54"/>
      <c r="FD198" s="54"/>
      <c r="FE198" s="54"/>
      <c r="FF198" s="54"/>
      <c r="FG198" s="54"/>
      <c r="FH198" s="54"/>
      <c r="FI198" s="54"/>
      <c r="FJ198" s="54"/>
      <c r="FK198" s="54"/>
      <c r="FL198" s="54"/>
      <c r="FM198" s="54"/>
      <c r="FN198" s="54"/>
      <c r="FO198" s="54"/>
      <c r="FP198" s="54"/>
      <c r="FQ198" s="54"/>
      <c r="FR198" s="54"/>
      <c r="FS198" s="54"/>
      <c r="FT198" s="54"/>
      <c r="FU198" s="54"/>
      <c r="FV198" s="54"/>
      <c r="FW198" s="54"/>
      <c r="FX198" s="54"/>
      <c r="FY198" s="54"/>
      <c r="FZ198" s="54"/>
      <c r="GA198" s="54"/>
      <c r="GB198" s="54"/>
      <c r="GC198" s="54"/>
      <c r="GD198" s="54"/>
      <c r="GE198" s="54"/>
      <c r="GF198" s="54"/>
      <c r="GG198" s="54"/>
      <c r="GH198" s="54"/>
      <c r="GI198" s="54"/>
      <c r="GJ198" s="54"/>
      <c r="GK198" s="54"/>
      <c r="GL198" s="54"/>
      <c r="GM198" s="54"/>
      <c r="GN198" s="54"/>
      <c r="GO198" s="54"/>
      <c r="GP198" s="54"/>
      <c r="GQ198" s="54"/>
      <c r="GR198" s="54"/>
      <c r="GS198" s="54"/>
      <c r="GT198" s="54"/>
      <c r="GU198" s="54"/>
      <c r="GV198" s="54"/>
      <c r="GW198" s="54"/>
      <c r="GX198" s="54"/>
      <c r="GY198" s="54"/>
      <c r="GZ198" s="54"/>
      <c r="HA198" s="54"/>
      <c r="HB198" s="54"/>
      <c r="HC198" s="54"/>
      <c r="HD198" s="54"/>
      <c r="HE198" s="54"/>
      <c r="HF198" s="54"/>
      <c r="HG198" s="54"/>
      <c r="HH198" s="54"/>
      <c r="HI198" s="54"/>
      <c r="HJ198" s="54"/>
      <c r="HK198" s="54"/>
      <c r="HL198" s="54"/>
      <c r="HM198" s="54"/>
      <c r="HN198" s="54"/>
      <c r="HO198" s="54"/>
      <c r="HP198" s="54"/>
      <c r="HQ198" s="54"/>
      <c r="HR198" s="54"/>
      <c r="HS198" s="54"/>
      <c r="HT198" s="54"/>
      <c r="HU198" s="54"/>
      <c r="HV198" s="54"/>
      <c r="HW198" s="54"/>
      <c r="HX198" s="54"/>
      <c r="HY198" s="54"/>
      <c r="HZ198" s="54"/>
      <c r="IA198" s="54"/>
      <c r="IB198" s="54"/>
      <c r="IC198" s="54"/>
      <c r="ID198" s="54"/>
      <c r="IE198" s="54"/>
      <c r="IF198" s="54"/>
      <c r="IG198" s="54"/>
      <c r="IH198" s="54"/>
      <c r="II198" s="54"/>
      <c r="IJ198" s="54"/>
      <c r="IK198" s="54"/>
      <c r="IL198" s="54"/>
      <c r="IM198" s="54"/>
      <c r="IN198" s="54"/>
      <c r="IO198" s="54"/>
      <c r="IP198" s="54"/>
      <c r="IQ198" s="54"/>
      <c r="IR198" s="54"/>
      <c r="IS198" s="54"/>
      <c r="IT198" s="54"/>
      <c r="IU198" s="54"/>
      <c r="IV198" s="54"/>
      <c r="IW198" s="54"/>
      <c r="IX198" s="54"/>
      <c r="IY198" s="54"/>
      <c r="IZ198" s="54"/>
      <c r="JA198" s="54"/>
      <c r="JB198" s="54"/>
      <c r="JC198" s="54"/>
      <c r="JD198" s="54"/>
      <c r="JE198" s="54"/>
      <c r="JF198" s="54"/>
      <c r="JG198" s="54"/>
      <c r="JH198" s="54"/>
      <c r="JI198" s="54"/>
      <c r="JJ198" s="54"/>
      <c r="JK198" s="54"/>
      <c r="JL198" s="54"/>
      <c r="JM198" s="54"/>
      <c r="JN198" s="54"/>
      <c r="JO198" s="54"/>
      <c r="JP198" s="54"/>
      <c r="JQ198" s="54"/>
      <c r="JR198" s="54"/>
      <c r="JS198" s="54"/>
      <c r="JT198" s="54"/>
      <c r="JU198" s="54"/>
      <c r="JV198" s="54"/>
      <c r="JW198" s="54"/>
      <c r="JX198" s="54"/>
      <c r="JY198" s="54"/>
      <c r="JZ198" s="54"/>
      <c r="KA198" s="54"/>
      <c r="KB198" s="54"/>
      <c r="KC198" s="54"/>
      <c r="KD198" s="54"/>
      <c r="KE198" s="54"/>
      <c r="KF198" s="54"/>
      <c r="KG198" s="54"/>
      <c r="KH198" s="54"/>
      <c r="KI198" s="54"/>
      <c r="KJ198" s="54"/>
      <c r="KK198" s="54"/>
      <c r="KL198" s="54"/>
      <c r="KM198" s="54"/>
      <c r="KN198" s="54"/>
      <c r="KO198" s="54"/>
      <c r="KP198" s="54"/>
      <c r="KQ198" s="54"/>
      <c r="KR198" s="54"/>
      <c r="KS198" s="54"/>
      <c r="KT198" s="54"/>
      <c r="KU198" s="54"/>
      <c r="KV198" s="54"/>
      <c r="KW198" s="54"/>
      <c r="KX198" s="54"/>
    </row>
    <row r="199" ht="5.2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c r="BS199" s="54"/>
      <c r="BT199" s="54"/>
      <c r="BU199" s="54"/>
      <c r="BV199" s="54"/>
      <c r="BW199" s="54"/>
      <c r="BX199" s="54"/>
      <c r="BY199" s="54"/>
      <c r="BZ199" s="54"/>
      <c r="CA199" s="54"/>
      <c r="CB199" s="54"/>
      <c r="CC199" s="54"/>
      <c r="CD199" s="54"/>
      <c r="CE199" s="54"/>
      <c r="CF199" s="54"/>
      <c r="CG199" s="54"/>
      <c r="CH199" s="54"/>
      <c r="CI199" s="54"/>
      <c r="CJ199" s="54"/>
      <c r="CK199" s="54"/>
      <c r="CL199" s="54"/>
      <c r="CM199" s="54"/>
      <c r="CN199" s="54"/>
      <c r="CO199" s="54"/>
      <c r="CP199" s="54"/>
      <c r="CQ199" s="54"/>
      <c r="CR199" s="54"/>
      <c r="CS199" s="54"/>
      <c r="CT199" s="54"/>
      <c r="CU199" s="54"/>
      <c r="CV199" s="54"/>
      <c r="CW199" s="54"/>
      <c r="CX199" s="54"/>
      <c r="CY199" s="54"/>
      <c r="CZ199" s="54"/>
      <c r="DA199" s="54"/>
      <c r="DB199" s="54"/>
      <c r="DC199" s="54"/>
      <c r="DD199" s="54">
        <f>if(or(ED211="",EH211="",ED218="",EH218="",ED225="",EH225=""),0,1)</f>
        <v>0</v>
      </c>
      <c r="DE199" s="54"/>
      <c r="DF199" s="54"/>
      <c r="DG199" s="54"/>
      <c r="DH199" s="54"/>
      <c r="DI199" s="54"/>
      <c r="DJ199" s="54"/>
      <c r="DK199" s="54"/>
      <c r="DL199" s="54"/>
      <c r="DM199" s="54"/>
      <c r="DN199" s="54"/>
      <c r="DO199" s="54"/>
      <c r="DP199" s="54"/>
      <c r="DQ199" s="54"/>
      <c r="DR199" s="54"/>
      <c r="DS199" s="54"/>
      <c r="DT199" s="54"/>
      <c r="DU199" s="54"/>
      <c r="DV199" s="54"/>
      <c r="DW199" s="54"/>
      <c r="DX199" s="54"/>
      <c r="DY199" s="54"/>
      <c r="DZ199" s="54"/>
      <c r="EA199" s="54"/>
      <c r="EB199" s="54"/>
      <c r="EC199" s="54"/>
      <c r="ED199" s="54"/>
      <c r="EE199" s="54"/>
      <c r="EF199" s="54"/>
      <c r="EG199" s="54"/>
      <c r="EH199" s="54"/>
      <c r="EI199" s="54"/>
      <c r="EJ199" s="54"/>
      <c r="EK199" s="54"/>
      <c r="EL199" s="54"/>
      <c r="EM199" s="54"/>
      <c r="EN199" s="54"/>
      <c r="EO199" s="54"/>
      <c r="EP199" s="54"/>
      <c r="EQ199" s="54"/>
      <c r="ER199" s="54"/>
      <c r="ES199" s="54"/>
      <c r="ET199" s="54"/>
      <c r="EU199" s="54"/>
      <c r="EV199" s="54"/>
      <c r="EW199" s="54"/>
      <c r="EX199" s="54"/>
      <c r="EY199" s="54"/>
      <c r="EZ199" s="54"/>
      <c r="FA199" s="54"/>
      <c r="FB199" s="54"/>
      <c r="FC199" s="54"/>
      <c r="FD199" s="54"/>
      <c r="FE199" s="54"/>
      <c r="FF199" s="54"/>
      <c r="FG199" s="54"/>
      <c r="FH199" s="54"/>
      <c r="FI199" s="54"/>
      <c r="FJ199" s="54"/>
      <c r="FK199" s="54"/>
      <c r="FL199" s="54"/>
      <c r="FM199" s="54"/>
      <c r="FN199" s="54"/>
      <c r="FO199" s="54"/>
      <c r="FP199" s="54"/>
      <c r="FQ199" s="54"/>
      <c r="FR199" s="54"/>
      <c r="FS199" s="54"/>
      <c r="FT199" s="54"/>
      <c r="FU199" s="54"/>
      <c r="FV199" s="54"/>
      <c r="FW199" s="54"/>
      <c r="FX199" s="54"/>
      <c r="FY199" s="54"/>
      <c r="FZ199" s="54"/>
      <c r="GA199" s="54"/>
      <c r="GB199" s="54"/>
      <c r="GC199" s="54"/>
      <c r="GD199" s="54"/>
      <c r="GE199" s="54"/>
      <c r="GF199" s="54"/>
      <c r="GG199" s="54"/>
      <c r="GH199" s="54"/>
      <c r="GI199" s="54"/>
      <c r="GJ199" s="54"/>
      <c r="GK199" s="54"/>
      <c r="GL199" s="54"/>
      <c r="GM199" s="54"/>
      <c r="GN199" s="54"/>
      <c r="GO199" s="54"/>
      <c r="GP199" s="54"/>
      <c r="GQ199" s="54"/>
      <c r="GR199" s="54"/>
      <c r="GS199" s="54"/>
      <c r="GT199" s="54"/>
      <c r="GU199" s="54"/>
      <c r="GV199" s="54"/>
      <c r="GW199" s="54"/>
      <c r="GX199" s="54"/>
      <c r="GY199" s="54"/>
      <c r="GZ199" s="54"/>
      <c r="HA199" s="54"/>
      <c r="HB199" s="54"/>
      <c r="HC199" s="54"/>
      <c r="HD199" s="54"/>
      <c r="HE199" s="54"/>
      <c r="HF199" s="54"/>
      <c r="HG199" s="54"/>
      <c r="HH199" s="54"/>
      <c r="HI199" s="54"/>
      <c r="HJ199" s="54"/>
      <c r="HK199" s="54"/>
      <c r="HL199" s="54"/>
      <c r="HM199" s="54"/>
      <c r="HN199" s="54"/>
      <c r="HO199" s="54"/>
      <c r="HP199" s="54"/>
      <c r="HQ199" s="54"/>
      <c r="HR199" s="54"/>
      <c r="HS199" s="54"/>
      <c r="HT199" s="54"/>
      <c r="HU199" s="54"/>
      <c r="HV199" s="54"/>
      <c r="HW199" s="54"/>
      <c r="HX199" s="54"/>
      <c r="HY199" s="54"/>
      <c r="HZ199" s="54"/>
      <c r="IA199" s="54"/>
      <c r="IB199" s="54"/>
      <c r="IC199" s="54"/>
      <c r="ID199" s="54"/>
      <c r="IE199" s="54"/>
      <c r="IF199" s="54"/>
      <c r="IG199" s="54"/>
      <c r="IH199" s="54"/>
      <c r="II199" s="54"/>
      <c r="IJ199" s="54"/>
      <c r="IK199" s="54"/>
      <c r="IL199" s="54"/>
      <c r="IM199" s="54"/>
      <c r="IN199" s="54"/>
      <c r="IO199" s="54"/>
      <c r="IP199" s="54"/>
      <c r="IQ199" s="54"/>
      <c r="IR199" s="54"/>
      <c r="IS199" s="54"/>
      <c r="IT199" s="54"/>
      <c r="IU199" s="54"/>
      <c r="IV199" s="54"/>
      <c r="IW199" s="54"/>
      <c r="IX199" s="54"/>
      <c r="IY199" s="54"/>
      <c r="IZ199" s="54"/>
      <c r="JA199" s="54"/>
      <c r="JB199" s="54"/>
      <c r="JC199" s="54"/>
      <c r="JD199" s="54"/>
      <c r="JE199" s="54"/>
      <c r="JF199" s="54"/>
      <c r="JG199" s="54"/>
      <c r="JH199" s="54"/>
      <c r="JI199" s="54"/>
      <c r="JJ199" s="54"/>
      <c r="JK199" s="54"/>
      <c r="JL199" s="54"/>
      <c r="JM199" s="54"/>
      <c r="JN199" s="54"/>
      <c r="JO199" s="54"/>
      <c r="JP199" s="54"/>
      <c r="JQ199" s="54"/>
      <c r="JR199" s="54"/>
      <c r="JS199" s="54"/>
      <c r="JT199" s="54"/>
      <c r="JU199" s="54"/>
      <c r="JV199" s="54"/>
      <c r="JW199" s="54"/>
      <c r="JX199" s="54"/>
      <c r="JY199" s="54"/>
      <c r="JZ199" s="54"/>
      <c r="KA199" s="54"/>
      <c r="KB199" s="54"/>
      <c r="KC199" s="54"/>
      <c r="KD199" s="54"/>
      <c r="KE199" s="54"/>
      <c r="KF199" s="54"/>
      <c r="KG199" s="54"/>
      <c r="KH199" s="54"/>
      <c r="KI199" s="54"/>
      <c r="KJ199" s="54"/>
      <c r="KK199" s="54"/>
      <c r="KL199" s="54"/>
      <c r="KM199" s="54"/>
      <c r="KN199" s="54"/>
      <c r="KO199" s="54"/>
      <c r="KP199" s="54"/>
      <c r="KQ199" s="54"/>
      <c r="KR199" s="54"/>
      <c r="KS199" s="54"/>
      <c r="KT199" s="54"/>
      <c r="KU199" s="54"/>
      <c r="KV199" s="54"/>
      <c r="KW199" s="54"/>
      <c r="KX199" s="54"/>
    </row>
    <row r="200" ht="5.2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c r="BU200" s="54"/>
      <c r="BV200" s="54"/>
      <c r="BW200" s="54"/>
      <c r="BX200" s="54"/>
      <c r="BY200" s="54"/>
      <c r="BZ200" s="54"/>
      <c r="CA200" s="54"/>
      <c r="CB200" s="54"/>
      <c r="CC200" s="54"/>
      <c r="CD200" s="54"/>
      <c r="CE200" s="54"/>
      <c r="CF200" s="54"/>
      <c r="CG200" s="54"/>
      <c r="CH200" s="54"/>
      <c r="CI200" s="54"/>
      <c r="CJ200" s="54"/>
      <c r="CK200" s="54"/>
      <c r="CL200" s="54"/>
      <c r="CM200" s="54"/>
      <c r="CN200" s="54"/>
      <c r="CO200" s="54"/>
      <c r="CP200" s="54"/>
      <c r="CQ200" s="54"/>
      <c r="CR200" s="54"/>
      <c r="CS200" s="54"/>
      <c r="CT200" s="54"/>
      <c r="CU200" s="54"/>
      <c r="CV200" s="54"/>
      <c r="CW200" s="54"/>
      <c r="CX200" s="54"/>
      <c r="CY200" s="54"/>
      <c r="CZ200" s="54"/>
      <c r="DA200" s="54"/>
      <c r="DB200" s="54"/>
      <c r="DC200" s="108"/>
      <c r="DD200" s="57" t="s">
        <v>67</v>
      </c>
      <c r="DE200" s="58"/>
      <c r="DF200" s="58"/>
      <c r="DG200" s="58"/>
      <c r="DH200" s="58"/>
      <c r="DI200" s="58"/>
      <c r="DJ200" s="58"/>
      <c r="DK200" s="58"/>
      <c r="DL200" s="58"/>
      <c r="DM200" s="58"/>
      <c r="DN200" s="58"/>
      <c r="DO200" s="58"/>
      <c r="DP200" s="58"/>
      <c r="DQ200" s="58"/>
      <c r="DR200" s="58"/>
      <c r="DS200" s="58"/>
      <c r="DT200" s="58"/>
      <c r="DU200" s="58"/>
      <c r="DV200" s="58"/>
      <c r="DW200" s="58"/>
      <c r="DX200" s="58"/>
      <c r="DY200" s="58"/>
      <c r="DZ200" s="58"/>
      <c r="EA200" s="58"/>
      <c r="EB200" s="58"/>
      <c r="EC200" s="58"/>
      <c r="ED200" s="58"/>
      <c r="EE200" s="58"/>
      <c r="EF200" s="58"/>
      <c r="EG200" s="58"/>
      <c r="EH200" s="58"/>
      <c r="EI200" s="58"/>
      <c r="EJ200" s="58"/>
      <c r="EK200" s="58"/>
      <c r="EL200" s="58"/>
      <c r="EM200" s="58"/>
      <c r="EN200" s="58"/>
      <c r="EO200" s="58"/>
      <c r="EP200" s="58"/>
      <c r="EQ200" s="58"/>
      <c r="ER200" s="58"/>
      <c r="ES200" s="58"/>
      <c r="ET200" s="58"/>
      <c r="EU200" s="58"/>
      <c r="EV200" s="58"/>
      <c r="EW200" s="58"/>
      <c r="EX200" s="58"/>
      <c r="EY200" s="58"/>
      <c r="EZ200" s="58"/>
      <c r="FA200" s="58"/>
      <c r="FB200" s="58"/>
      <c r="FC200" s="58"/>
      <c r="FD200" s="58"/>
      <c r="FE200" s="58"/>
      <c r="FF200" s="58"/>
      <c r="FG200" s="58"/>
      <c r="FH200" s="58"/>
      <c r="FI200" s="58"/>
      <c r="FJ200" s="58"/>
      <c r="FK200" s="59"/>
      <c r="FL200" s="108"/>
      <c r="FM200" s="54"/>
      <c r="FN200" s="54"/>
      <c r="FO200" s="54"/>
      <c r="FP200" s="54"/>
      <c r="FQ200" s="54"/>
      <c r="FR200" s="54"/>
      <c r="FS200" s="54"/>
      <c r="FT200" s="54"/>
      <c r="FU200" s="54"/>
      <c r="FV200" s="54"/>
      <c r="FW200" s="54"/>
      <c r="FX200" s="54"/>
      <c r="FY200" s="54"/>
      <c r="FZ200" s="54"/>
      <c r="GA200" s="54"/>
      <c r="GB200" s="54"/>
      <c r="GC200" s="54"/>
      <c r="GD200" s="54"/>
      <c r="GE200" s="54"/>
      <c r="GF200" s="54"/>
      <c r="GG200" s="54"/>
      <c r="GH200" s="54"/>
      <c r="GI200" s="54"/>
      <c r="GJ200" s="54"/>
      <c r="GK200" s="54"/>
      <c r="GL200" s="54"/>
      <c r="GM200" s="54"/>
      <c r="GN200" s="54"/>
      <c r="GO200" s="54"/>
      <c r="GP200" s="54"/>
      <c r="GQ200" s="54"/>
      <c r="GR200" s="54"/>
      <c r="GS200" s="54"/>
      <c r="GT200" s="54"/>
      <c r="GU200" s="54"/>
      <c r="GV200" s="54"/>
      <c r="GW200" s="54"/>
      <c r="GX200" s="54"/>
      <c r="GY200" s="54"/>
      <c r="GZ200" s="54"/>
      <c r="HA200" s="54"/>
      <c r="HB200" s="54"/>
      <c r="HC200" s="54"/>
      <c r="HD200" s="54"/>
      <c r="HE200" s="54"/>
      <c r="HF200" s="54"/>
      <c r="HG200" s="54"/>
      <c r="HH200" s="54"/>
      <c r="HI200" s="54"/>
      <c r="HJ200" s="54"/>
      <c r="HK200" s="54"/>
      <c r="HL200" s="54"/>
      <c r="HM200" s="54"/>
      <c r="HN200" s="54"/>
      <c r="HO200" s="54"/>
      <c r="HP200" s="54"/>
      <c r="HQ200" s="54"/>
      <c r="HR200" s="54"/>
      <c r="HS200" s="54"/>
      <c r="HT200" s="54"/>
      <c r="HU200" s="54"/>
      <c r="HV200" s="54"/>
      <c r="HW200" s="54"/>
      <c r="HX200" s="54"/>
      <c r="HY200" s="54"/>
      <c r="HZ200" s="54"/>
      <c r="IA200" s="54"/>
      <c r="IB200" s="54"/>
      <c r="IC200" s="54"/>
      <c r="ID200" s="54"/>
      <c r="IE200" s="54"/>
      <c r="IF200" s="54"/>
      <c r="IG200" s="54"/>
      <c r="IH200" s="54"/>
      <c r="II200" s="54"/>
      <c r="IJ200" s="54"/>
      <c r="IK200" s="54"/>
      <c r="IL200" s="54"/>
      <c r="IM200" s="54"/>
      <c r="IN200" s="54"/>
      <c r="IO200" s="54"/>
      <c r="IP200" s="54"/>
      <c r="IQ200" s="54"/>
      <c r="IR200" s="54"/>
      <c r="IS200" s="54"/>
      <c r="IT200" s="54"/>
      <c r="IU200" s="54"/>
      <c r="IV200" s="54"/>
      <c r="IW200" s="54"/>
      <c r="IX200" s="54"/>
      <c r="IY200" s="54"/>
      <c r="IZ200" s="54"/>
      <c r="JA200" s="54"/>
      <c r="JB200" s="54"/>
      <c r="JC200" s="54"/>
      <c r="JD200" s="54"/>
      <c r="JE200" s="54"/>
      <c r="JF200" s="54"/>
      <c r="JG200" s="54"/>
      <c r="JH200" s="54"/>
      <c r="JI200" s="54"/>
      <c r="JJ200" s="54"/>
      <c r="JK200" s="54"/>
      <c r="JL200" s="54"/>
      <c r="JM200" s="54"/>
      <c r="JN200" s="54"/>
      <c r="JO200" s="54"/>
      <c r="JP200" s="54"/>
      <c r="JQ200" s="54"/>
      <c r="JR200" s="54"/>
      <c r="JS200" s="54"/>
      <c r="JT200" s="54"/>
      <c r="JU200" s="54"/>
      <c r="JV200" s="54"/>
      <c r="JW200" s="54"/>
      <c r="JX200" s="54"/>
      <c r="JY200" s="54"/>
      <c r="JZ200" s="54"/>
      <c r="KA200" s="54"/>
      <c r="KB200" s="54"/>
      <c r="KC200" s="54"/>
      <c r="KD200" s="54"/>
      <c r="KE200" s="54"/>
      <c r="KF200" s="54"/>
      <c r="KG200" s="54"/>
      <c r="KH200" s="54"/>
      <c r="KI200" s="54"/>
      <c r="KJ200" s="54"/>
      <c r="KK200" s="54"/>
      <c r="KL200" s="54"/>
      <c r="KM200" s="54"/>
      <c r="KN200" s="54"/>
      <c r="KO200" s="54"/>
      <c r="KP200" s="54"/>
      <c r="KQ200" s="54"/>
      <c r="KR200" s="54"/>
      <c r="KS200" s="54"/>
      <c r="KT200" s="54"/>
      <c r="KU200" s="54"/>
      <c r="KV200" s="54"/>
      <c r="KW200" s="54"/>
      <c r="KX200" s="54"/>
    </row>
    <row r="201" ht="5.2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54"/>
      <c r="BU201" s="54"/>
      <c r="BV201" s="54"/>
      <c r="BW201" s="54"/>
      <c r="BX201" s="54"/>
      <c r="BY201" s="54"/>
      <c r="BZ201" s="54"/>
      <c r="CA201" s="54"/>
      <c r="CB201" s="54"/>
      <c r="CC201" s="54"/>
      <c r="CD201" s="54"/>
      <c r="CE201" s="54"/>
      <c r="CF201" s="54"/>
      <c r="CG201" s="54"/>
      <c r="CH201" s="54"/>
      <c r="CI201" s="54"/>
      <c r="CJ201" s="54"/>
      <c r="CK201" s="54"/>
      <c r="CL201" s="54"/>
      <c r="CM201" s="54"/>
      <c r="CN201" s="54"/>
      <c r="CO201" s="54"/>
      <c r="CP201" s="54"/>
      <c r="CQ201" s="54"/>
      <c r="CR201" s="54"/>
      <c r="CS201" s="54"/>
      <c r="CT201" s="54"/>
      <c r="CU201" s="54"/>
      <c r="CV201" s="54"/>
      <c r="CW201" s="54"/>
      <c r="CX201" s="54"/>
      <c r="CY201" s="54"/>
      <c r="CZ201" s="54"/>
      <c r="DA201" s="54"/>
      <c r="DB201" s="54"/>
      <c r="DC201" s="108"/>
      <c r="DD201" s="60"/>
      <c r="FK201" s="61"/>
      <c r="FL201" s="108"/>
      <c r="FM201" s="54"/>
      <c r="FN201" s="54"/>
      <c r="FO201" s="54"/>
      <c r="FP201" s="54"/>
      <c r="FQ201" s="54"/>
      <c r="FR201" s="54"/>
      <c r="FS201" s="54"/>
      <c r="FT201" s="54"/>
      <c r="FU201" s="54"/>
      <c r="FV201" s="54"/>
      <c r="FW201" s="54"/>
      <c r="FX201" s="54"/>
      <c r="FY201" s="54"/>
      <c r="FZ201" s="54"/>
      <c r="GA201" s="54"/>
      <c r="GB201" s="54"/>
      <c r="GC201" s="54"/>
      <c r="GD201" s="54"/>
      <c r="GE201" s="54"/>
      <c r="GF201" s="54"/>
      <c r="GG201" s="54"/>
      <c r="GH201" s="54"/>
      <c r="GI201" s="54"/>
      <c r="GJ201" s="54"/>
      <c r="GK201" s="54"/>
      <c r="GL201" s="54"/>
      <c r="GM201" s="54"/>
      <c r="GN201" s="54"/>
      <c r="GO201" s="54"/>
      <c r="GP201" s="54"/>
      <c r="GQ201" s="54"/>
      <c r="GR201" s="54"/>
      <c r="GS201" s="54"/>
      <c r="GT201" s="54"/>
      <c r="GU201" s="54"/>
      <c r="GV201" s="54"/>
      <c r="GW201" s="54"/>
      <c r="GX201" s="54"/>
      <c r="GY201" s="54"/>
      <c r="GZ201" s="54"/>
      <c r="HA201" s="54"/>
      <c r="HB201" s="54"/>
      <c r="HC201" s="54"/>
      <c r="HD201" s="54"/>
      <c r="HE201" s="54"/>
      <c r="HF201" s="54"/>
      <c r="HG201" s="54"/>
      <c r="HH201" s="54"/>
      <c r="HI201" s="54"/>
      <c r="HJ201" s="54"/>
      <c r="HK201" s="54"/>
      <c r="HL201" s="54"/>
      <c r="HM201" s="54"/>
      <c r="HN201" s="54"/>
      <c r="HO201" s="54"/>
      <c r="HP201" s="54"/>
      <c r="HQ201" s="54"/>
      <c r="HR201" s="54"/>
      <c r="HS201" s="54"/>
      <c r="HT201" s="54"/>
      <c r="HU201" s="54"/>
      <c r="HV201" s="54"/>
      <c r="HW201" s="54"/>
      <c r="HX201" s="54"/>
      <c r="HY201" s="54"/>
      <c r="HZ201" s="54"/>
      <c r="IA201" s="54"/>
      <c r="IB201" s="54"/>
      <c r="IC201" s="54"/>
      <c r="ID201" s="54"/>
      <c r="IE201" s="54"/>
      <c r="IF201" s="54"/>
      <c r="IG201" s="54"/>
      <c r="IH201" s="54"/>
      <c r="II201" s="54"/>
      <c r="IJ201" s="54"/>
      <c r="IK201" s="54"/>
      <c r="IL201" s="54"/>
      <c r="IM201" s="54"/>
      <c r="IN201" s="54"/>
      <c r="IO201" s="54"/>
      <c r="IP201" s="54"/>
      <c r="IQ201" s="54"/>
      <c r="IR201" s="54"/>
      <c r="IS201" s="54"/>
      <c r="IT201" s="54"/>
      <c r="IU201" s="54"/>
      <c r="IV201" s="54"/>
      <c r="IW201" s="54"/>
      <c r="IX201" s="54"/>
      <c r="IY201" s="54"/>
      <c r="IZ201" s="54"/>
      <c r="JA201" s="54"/>
      <c r="JB201" s="54"/>
      <c r="JC201" s="54"/>
      <c r="JD201" s="54"/>
      <c r="JE201" s="54"/>
      <c r="JF201" s="54"/>
      <c r="JG201" s="54"/>
      <c r="JH201" s="54"/>
      <c r="JI201" s="54"/>
      <c r="JJ201" s="54"/>
      <c r="JK201" s="54"/>
      <c r="JL201" s="54"/>
      <c r="JM201" s="54"/>
      <c r="JN201" s="54"/>
      <c r="JO201" s="54"/>
      <c r="JP201" s="54"/>
      <c r="JQ201" s="54"/>
      <c r="JR201" s="54"/>
      <c r="JS201" s="54"/>
      <c r="JT201" s="54"/>
      <c r="JU201" s="54"/>
      <c r="JV201" s="54"/>
      <c r="JW201" s="54"/>
      <c r="JX201" s="54"/>
      <c r="JY201" s="54"/>
      <c r="JZ201" s="54"/>
      <c r="KA201" s="54"/>
      <c r="KB201" s="54"/>
      <c r="KC201" s="54"/>
      <c r="KD201" s="54"/>
      <c r="KE201" s="54"/>
      <c r="KF201" s="54"/>
      <c r="KG201" s="54"/>
      <c r="KH201" s="54"/>
      <c r="KI201" s="54"/>
      <c r="KJ201" s="54"/>
      <c r="KK201" s="54"/>
      <c r="KL201" s="54"/>
      <c r="KM201" s="54"/>
      <c r="KN201" s="54"/>
      <c r="KO201" s="54"/>
      <c r="KP201" s="54"/>
      <c r="KQ201" s="54"/>
      <c r="KR201" s="54"/>
      <c r="KS201" s="54"/>
      <c r="KT201" s="54"/>
      <c r="KU201" s="54"/>
      <c r="KV201" s="54"/>
      <c r="KW201" s="54"/>
      <c r="KX201" s="54"/>
    </row>
    <row r="202" ht="5.2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54"/>
      <c r="BK202" s="54"/>
      <c r="BL202" s="54"/>
      <c r="BM202" s="54"/>
      <c r="BN202" s="54"/>
      <c r="BO202" s="54"/>
      <c r="BP202" s="54"/>
      <c r="BQ202" s="54"/>
      <c r="BR202" s="54"/>
      <c r="BS202" s="54"/>
      <c r="BT202" s="54"/>
      <c r="BU202" s="54"/>
      <c r="BV202" s="54"/>
      <c r="BW202" s="54"/>
      <c r="BX202" s="54"/>
      <c r="BY202" s="54"/>
      <c r="BZ202" s="54"/>
      <c r="CA202" s="54"/>
      <c r="CB202" s="54"/>
      <c r="CC202" s="54"/>
      <c r="CD202" s="54"/>
      <c r="CE202" s="54"/>
      <c r="CF202" s="54"/>
      <c r="CG202" s="54"/>
      <c r="CH202" s="54"/>
      <c r="CI202" s="54"/>
      <c r="CJ202" s="54"/>
      <c r="CK202" s="54"/>
      <c r="CL202" s="54"/>
      <c r="CM202" s="54"/>
      <c r="CN202" s="54"/>
      <c r="CO202" s="54"/>
      <c r="CP202" s="54"/>
      <c r="CQ202" s="54"/>
      <c r="CR202" s="54"/>
      <c r="CS202" s="54"/>
      <c r="CT202" s="54"/>
      <c r="CU202" s="54"/>
      <c r="CV202" s="54"/>
      <c r="CW202" s="54"/>
      <c r="CX202" s="54"/>
      <c r="CY202" s="54"/>
      <c r="CZ202" s="54"/>
      <c r="DA202" s="54"/>
      <c r="DB202" s="54"/>
      <c r="DC202" s="108"/>
      <c r="DD202" s="60"/>
      <c r="FK202" s="61"/>
      <c r="FL202" s="108"/>
      <c r="FM202" s="54"/>
      <c r="FN202" s="54"/>
      <c r="FO202" s="54"/>
      <c r="FP202" s="54"/>
      <c r="FQ202" s="54"/>
      <c r="FR202" s="54"/>
      <c r="FS202" s="54"/>
      <c r="FT202" s="54"/>
      <c r="FU202" s="54"/>
      <c r="FV202" s="54"/>
      <c r="FW202" s="54"/>
      <c r="FX202" s="54"/>
      <c r="FY202" s="54"/>
      <c r="FZ202" s="54"/>
      <c r="GA202" s="54"/>
      <c r="GB202" s="54"/>
      <c r="GC202" s="54"/>
      <c r="GD202" s="54"/>
      <c r="GE202" s="54"/>
      <c r="GF202" s="54"/>
      <c r="GG202" s="54"/>
      <c r="GH202" s="54"/>
      <c r="GI202" s="54"/>
      <c r="GJ202" s="54"/>
      <c r="GK202" s="54"/>
      <c r="GL202" s="54"/>
      <c r="GM202" s="54"/>
      <c r="GN202" s="54"/>
      <c r="GO202" s="54"/>
      <c r="GP202" s="54"/>
      <c r="GQ202" s="54"/>
      <c r="GR202" s="54"/>
      <c r="GS202" s="54"/>
      <c r="GT202" s="54"/>
      <c r="GU202" s="54"/>
      <c r="GV202" s="54"/>
      <c r="GW202" s="54"/>
      <c r="GX202" s="54"/>
      <c r="GY202" s="54"/>
      <c r="GZ202" s="54"/>
      <c r="HA202" s="54"/>
      <c r="HB202" s="54"/>
      <c r="HC202" s="54"/>
      <c r="HD202" s="54"/>
      <c r="HE202" s="54"/>
      <c r="HF202" s="54"/>
      <c r="HG202" s="54"/>
      <c r="HH202" s="54"/>
      <c r="HI202" s="54"/>
      <c r="HJ202" s="54"/>
      <c r="HK202" s="54"/>
      <c r="HL202" s="54"/>
      <c r="HM202" s="54"/>
      <c r="HN202" s="54"/>
      <c r="HO202" s="54"/>
      <c r="HP202" s="54"/>
      <c r="HQ202" s="54"/>
      <c r="HR202" s="54"/>
      <c r="HS202" s="54"/>
      <c r="HT202" s="54"/>
      <c r="HU202" s="54"/>
      <c r="HV202" s="54"/>
      <c r="HW202" s="54"/>
      <c r="HX202" s="54"/>
      <c r="HY202" s="54"/>
      <c r="HZ202" s="54"/>
      <c r="IA202" s="54"/>
      <c r="IB202" s="54"/>
      <c r="IC202" s="54"/>
      <c r="ID202" s="54"/>
      <c r="IE202" s="54"/>
      <c r="IF202" s="54"/>
      <c r="IG202" s="54"/>
      <c r="IH202" s="54"/>
      <c r="II202" s="54"/>
      <c r="IJ202" s="54"/>
      <c r="IK202" s="54"/>
      <c r="IL202" s="54"/>
      <c r="IM202" s="54"/>
      <c r="IN202" s="54"/>
      <c r="IO202" s="54"/>
      <c r="IP202" s="54"/>
      <c r="IQ202" s="54"/>
      <c r="IR202" s="54"/>
      <c r="IS202" s="54"/>
      <c r="IT202" s="54"/>
      <c r="IU202" s="54"/>
      <c r="IV202" s="54"/>
      <c r="IW202" s="54"/>
      <c r="IX202" s="54"/>
      <c r="IY202" s="54"/>
      <c r="IZ202" s="54"/>
      <c r="JA202" s="54"/>
      <c r="JB202" s="54"/>
      <c r="JC202" s="54"/>
      <c r="JD202" s="54"/>
      <c r="JE202" s="54"/>
      <c r="JF202" s="54"/>
      <c r="JG202" s="54"/>
      <c r="JH202" s="54"/>
      <c r="JI202" s="54"/>
      <c r="JJ202" s="54"/>
      <c r="JK202" s="54"/>
      <c r="JL202" s="54"/>
      <c r="JM202" s="54"/>
      <c r="JN202" s="54"/>
      <c r="JO202" s="54"/>
      <c r="JP202" s="54"/>
      <c r="JQ202" s="54"/>
      <c r="JR202" s="54"/>
      <c r="JS202" s="54"/>
      <c r="JT202" s="54"/>
      <c r="JU202" s="54"/>
      <c r="JV202" s="54"/>
      <c r="JW202" s="54"/>
      <c r="JX202" s="54"/>
      <c r="JY202" s="54"/>
      <c r="JZ202" s="54"/>
      <c r="KA202" s="54"/>
      <c r="KB202" s="54"/>
      <c r="KC202" s="54"/>
      <c r="KD202" s="54"/>
      <c r="KE202" s="54"/>
      <c r="KF202" s="54"/>
      <c r="KG202" s="54"/>
      <c r="KH202" s="54"/>
      <c r="KI202" s="54"/>
      <c r="KJ202" s="54"/>
      <c r="KK202" s="54"/>
      <c r="KL202" s="54"/>
      <c r="KM202" s="54"/>
      <c r="KN202" s="54"/>
      <c r="KO202" s="54"/>
      <c r="KP202" s="54"/>
      <c r="KQ202" s="54"/>
      <c r="KR202" s="54"/>
      <c r="KS202" s="54"/>
      <c r="KT202" s="54"/>
      <c r="KU202" s="54"/>
      <c r="KV202" s="54"/>
      <c r="KW202" s="54"/>
      <c r="KX202" s="54"/>
    </row>
    <row r="203" ht="5.2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54"/>
      <c r="BU203" s="54"/>
      <c r="BV203" s="54"/>
      <c r="BW203" s="54"/>
      <c r="BX203" s="54"/>
      <c r="BY203" s="54"/>
      <c r="BZ203" s="54"/>
      <c r="CA203" s="54"/>
      <c r="CB203" s="54"/>
      <c r="CC203" s="54"/>
      <c r="CD203" s="54"/>
      <c r="CE203" s="54"/>
      <c r="CF203" s="54"/>
      <c r="CG203" s="54"/>
      <c r="CH203" s="54"/>
      <c r="CI203" s="54"/>
      <c r="CJ203" s="54"/>
      <c r="CK203" s="54"/>
      <c r="CL203" s="54"/>
      <c r="CM203" s="54"/>
      <c r="CN203" s="54"/>
      <c r="CO203" s="54"/>
      <c r="CP203" s="54"/>
      <c r="CQ203" s="54"/>
      <c r="CR203" s="54"/>
      <c r="CS203" s="54"/>
      <c r="CT203" s="54"/>
      <c r="CU203" s="54"/>
      <c r="CV203" s="54"/>
      <c r="CW203" s="54"/>
      <c r="CX203" s="54"/>
      <c r="CY203" s="54"/>
      <c r="CZ203" s="54"/>
      <c r="DA203" s="54"/>
      <c r="DB203" s="54"/>
      <c r="DC203" s="108"/>
      <c r="DD203" s="60"/>
      <c r="FK203" s="61"/>
      <c r="FL203" s="108"/>
      <c r="FM203" s="54"/>
      <c r="FN203" s="54"/>
      <c r="FO203" s="54"/>
      <c r="FP203" s="54"/>
      <c r="FQ203" s="54"/>
      <c r="FR203" s="54"/>
      <c r="FS203" s="54"/>
      <c r="FT203" s="54"/>
      <c r="FU203" s="54"/>
      <c r="FV203" s="54"/>
      <c r="FW203" s="54"/>
      <c r="FX203" s="54"/>
      <c r="FY203" s="54"/>
      <c r="FZ203" s="54"/>
      <c r="GA203" s="54"/>
      <c r="GB203" s="54"/>
      <c r="GC203" s="54"/>
      <c r="GD203" s="54"/>
      <c r="GE203" s="54"/>
      <c r="GF203" s="54"/>
      <c r="GG203" s="54"/>
      <c r="GH203" s="54"/>
      <c r="GI203" s="54"/>
      <c r="GJ203" s="54"/>
      <c r="GK203" s="54"/>
      <c r="GL203" s="54"/>
      <c r="GM203" s="54"/>
      <c r="GN203" s="54"/>
      <c r="GO203" s="54"/>
      <c r="GP203" s="54"/>
      <c r="GQ203" s="54"/>
      <c r="GR203" s="54"/>
      <c r="GS203" s="54"/>
      <c r="GT203" s="54"/>
      <c r="GU203" s="54"/>
      <c r="GV203" s="54"/>
      <c r="GW203" s="54"/>
      <c r="GX203" s="54"/>
      <c r="GY203" s="54"/>
      <c r="GZ203" s="54"/>
      <c r="HA203" s="54"/>
      <c r="HB203" s="54"/>
      <c r="HC203" s="54"/>
      <c r="HD203" s="54"/>
      <c r="HE203" s="54"/>
      <c r="HF203" s="54"/>
      <c r="HG203" s="54"/>
      <c r="HH203" s="54"/>
      <c r="HI203" s="54"/>
      <c r="HJ203" s="54"/>
      <c r="HK203" s="54"/>
      <c r="HL203" s="54"/>
      <c r="HM203" s="54"/>
      <c r="HN203" s="54"/>
      <c r="HO203" s="54"/>
      <c r="HP203" s="54"/>
      <c r="HQ203" s="54"/>
      <c r="HR203" s="54"/>
      <c r="HS203" s="54"/>
      <c r="HT203" s="54"/>
      <c r="HU203" s="54"/>
      <c r="HV203" s="54"/>
      <c r="HW203" s="54"/>
      <c r="HX203" s="54"/>
      <c r="HY203" s="54"/>
      <c r="HZ203" s="54"/>
      <c r="IA203" s="54"/>
      <c r="IB203" s="54"/>
      <c r="IC203" s="54"/>
      <c r="ID203" s="54"/>
      <c r="IE203" s="54"/>
      <c r="IF203" s="54"/>
      <c r="IG203" s="54"/>
      <c r="IH203" s="54"/>
      <c r="II203" s="54"/>
      <c r="IJ203" s="54"/>
      <c r="IK203" s="54"/>
      <c r="IL203" s="54"/>
      <c r="IM203" s="54"/>
      <c r="IN203" s="54"/>
      <c r="IO203" s="54"/>
      <c r="IP203" s="54"/>
      <c r="IQ203" s="54"/>
      <c r="IR203" s="54"/>
      <c r="IS203" s="54"/>
      <c r="IT203" s="54"/>
      <c r="IU203" s="54"/>
      <c r="IV203" s="54"/>
      <c r="IW203" s="54"/>
      <c r="IX203" s="54"/>
      <c r="IY203" s="54"/>
      <c r="IZ203" s="54"/>
      <c r="JA203" s="54"/>
      <c r="JB203" s="54"/>
      <c r="JC203" s="54"/>
      <c r="JD203" s="54"/>
      <c r="JE203" s="54"/>
      <c r="JF203" s="54"/>
      <c r="JG203" s="54"/>
      <c r="JH203" s="54"/>
      <c r="JI203" s="54"/>
      <c r="JJ203" s="54"/>
      <c r="JK203" s="54"/>
      <c r="JL203" s="54"/>
      <c r="JM203" s="54"/>
      <c r="JN203" s="54"/>
      <c r="JO203" s="54"/>
      <c r="JP203" s="54"/>
      <c r="JQ203" s="54"/>
      <c r="JR203" s="54"/>
      <c r="JS203" s="54"/>
      <c r="JT203" s="54"/>
      <c r="JU203" s="54"/>
      <c r="JV203" s="54"/>
      <c r="JW203" s="54"/>
      <c r="JX203" s="54"/>
      <c r="JY203" s="54"/>
      <c r="JZ203" s="54"/>
      <c r="KA203" s="54"/>
      <c r="KB203" s="54"/>
      <c r="KC203" s="54"/>
      <c r="KD203" s="54"/>
      <c r="KE203" s="54"/>
      <c r="KF203" s="54"/>
      <c r="KG203" s="54"/>
      <c r="KH203" s="54"/>
      <c r="KI203" s="54"/>
      <c r="KJ203" s="54"/>
      <c r="KK203" s="54"/>
      <c r="KL203" s="54"/>
      <c r="KM203" s="54"/>
      <c r="KN203" s="54"/>
      <c r="KO203" s="54"/>
      <c r="KP203" s="54"/>
      <c r="KQ203" s="54"/>
      <c r="KR203" s="54"/>
      <c r="KS203" s="54"/>
      <c r="KT203" s="54"/>
      <c r="KU203" s="54"/>
      <c r="KV203" s="54"/>
      <c r="KW203" s="54"/>
      <c r="KX203" s="54"/>
    </row>
    <row r="204" ht="5.2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c r="BI204" s="54"/>
      <c r="BJ204" s="54"/>
      <c r="BK204" s="54"/>
      <c r="BL204" s="54"/>
      <c r="BM204" s="54"/>
      <c r="BN204" s="54"/>
      <c r="BO204" s="54"/>
      <c r="BP204" s="54"/>
      <c r="BQ204" s="54"/>
      <c r="BR204" s="54"/>
      <c r="BS204" s="54"/>
      <c r="BT204" s="54"/>
      <c r="BU204" s="54"/>
      <c r="BV204" s="54"/>
      <c r="BW204" s="54"/>
      <c r="BX204" s="54"/>
      <c r="BY204" s="54"/>
      <c r="BZ204" s="54"/>
      <c r="CA204" s="54"/>
      <c r="CB204" s="54"/>
      <c r="CC204" s="54"/>
      <c r="CD204" s="54"/>
      <c r="CE204" s="54"/>
      <c r="CF204" s="54"/>
      <c r="CG204" s="54"/>
      <c r="CH204" s="54"/>
      <c r="CI204" s="54"/>
      <c r="CJ204" s="54"/>
      <c r="CK204" s="54"/>
      <c r="CL204" s="54"/>
      <c r="CM204" s="54"/>
      <c r="CN204" s="54"/>
      <c r="CO204" s="54"/>
      <c r="CP204" s="54"/>
      <c r="CQ204" s="54"/>
      <c r="CR204" s="54"/>
      <c r="CS204" s="54"/>
      <c r="CT204" s="54"/>
      <c r="CU204" s="54"/>
      <c r="CV204" s="54"/>
      <c r="CW204" s="54"/>
      <c r="CX204" s="54"/>
      <c r="CY204" s="54"/>
      <c r="CZ204" s="54"/>
      <c r="DA204" s="54"/>
      <c r="DB204" s="54"/>
      <c r="DC204" s="108"/>
      <c r="DD204" s="60"/>
      <c r="FK204" s="61"/>
      <c r="FL204" s="108"/>
      <c r="FM204" s="54"/>
      <c r="FN204" s="54"/>
      <c r="FO204" s="54"/>
      <c r="FP204" s="54"/>
      <c r="FQ204" s="54"/>
      <c r="FR204" s="54"/>
      <c r="FS204" s="54"/>
      <c r="FT204" s="54"/>
      <c r="FU204" s="54"/>
      <c r="FV204" s="54"/>
      <c r="FW204" s="54"/>
      <c r="FX204" s="54"/>
      <c r="FY204" s="54"/>
      <c r="FZ204" s="54"/>
      <c r="GA204" s="54"/>
      <c r="GB204" s="54"/>
      <c r="GC204" s="54"/>
      <c r="GD204" s="54"/>
      <c r="GE204" s="54"/>
      <c r="GF204" s="54"/>
      <c r="GG204" s="54"/>
      <c r="GH204" s="54"/>
      <c r="GI204" s="54"/>
      <c r="GJ204" s="54"/>
      <c r="GK204" s="54"/>
      <c r="GL204" s="54"/>
      <c r="GM204" s="54"/>
      <c r="GN204" s="54"/>
      <c r="GO204" s="54"/>
      <c r="GP204" s="54"/>
      <c r="GQ204" s="54"/>
      <c r="GR204" s="54"/>
      <c r="GS204" s="54"/>
      <c r="GT204" s="54"/>
      <c r="GU204" s="54"/>
      <c r="GV204" s="54"/>
      <c r="GW204" s="54"/>
      <c r="GX204" s="54"/>
      <c r="GY204" s="54"/>
      <c r="GZ204" s="54"/>
      <c r="HA204" s="54"/>
      <c r="HB204" s="54"/>
      <c r="HC204" s="54"/>
      <c r="HD204" s="54"/>
      <c r="HE204" s="54"/>
      <c r="HF204" s="54"/>
      <c r="HG204" s="54"/>
      <c r="HH204" s="54"/>
      <c r="HI204" s="54"/>
      <c r="HJ204" s="54"/>
      <c r="HK204" s="54"/>
      <c r="HL204" s="54"/>
      <c r="HM204" s="54"/>
      <c r="HN204" s="54"/>
      <c r="HO204" s="54"/>
      <c r="HP204" s="54"/>
      <c r="HQ204" s="54"/>
      <c r="HR204" s="54"/>
      <c r="HS204" s="54"/>
      <c r="HT204" s="54"/>
      <c r="HU204" s="54"/>
      <c r="HV204" s="54"/>
      <c r="HW204" s="54"/>
      <c r="HX204" s="54"/>
      <c r="HY204" s="54"/>
      <c r="HZ204" s="54"/>
      <c r="IA204" s="54"/>
      <c r="IB204" s="54"/>
      <c r="IC204" s="54"/>
      <c r="ID204" s="54"/>
      <c r="IE204" s="54"/>
      <c r="IF204" s="54"/>
      <c r="IG204" s="54"/>
      <c r="IH204" s="54"/>
      <c r="II204" s="54"/>
      <c r="IJ204" s="54"/>
      <c r="IK204" s="54"/>
      <c r="IL204" s="54"/>
      <c r="IM204" s="54"/>
      <c r="IN204" s="54"/>
      <c r="IO204" s="54"/>
      <c r="IP204" s="54"/>
      <c r="IQ204" s="54"/>
      <c r="IR204" s="54"/>
      <c r="IS204" s="54"/>
      <c r="IT204" s="54"/>
      <c r="IU204" s="54"/>
      <c r="IV204" s="54"/>
      <c r="IW204" s="54"/>
      <c r="IX204" s="54"/>
      <c r="IY204" s="54"/>
      <c r="IZ204" s="54"/>
      <c r="JA204" s="54"/>
      <c r="JB204" s="54"/>
      <c r="JC204" s="54"/>
      <c r="JD204" s="54"/>
      <c r="JE204" s="54"/>
      <c r="JF204" s="54"/>
      <c r="JG204" s="54"/>
      <c r="JH204" s="54"/>
      <c r="JI204" s="54"/>
      <c r="JJ204" s="54"/>
      <c r="JK204" s="54"/>
      <c r="JL204" s="54"/>
      <c r="JM204" s="54"/>
      <c r="JN204" s="54"/>
      <c r="JO204" s="54"/>
      <c r="JP204" s="54"/>
      <c r="JQ204" s="54"/>
      <c r="JR204" s="54"/>
      <c r="JS204" s="54"/>
      <c r="JT204" s="54"/>
      <c r="JU204" s="54"/>
      <c r="JV204" s="54"/>
      <c r="JW204" s="54"/>
      <c r="JX204" s="54"/>
      <c r="JY204" s="54"/>
      <c r="JZ204" s="54"/>
      <c r="KA204" s="54"/>
      <c r="KB204" s="54"/>
      <c r="KC204" s="54"/>
      <c r="KD204" s="54"/>
      <c r="KE204" s="54"/>
      <c r="KF204" s="54"/>
      <c r="KG204" s="54"/>
      <c r="KH204" s="54"/>
      <c r="KI204" s="54"/>
      <c r="KJ204" s="54"/>
      <c r="KK204" s="54"/>
      <c r="KL204" s="54"/>
      <c r="KM204" s="54"/>
      <c r="KN204" s="54"/>
      <c r="KO204" s="54"/>
      <c r="KP204" s="54"/>
      <c r="KQ204" s="54"/>
      <c r="KR204" s="54"/>
      <c r="KS204" s="54"/>
      <c r="KT204" s="54"/>
      <c r="KU204" s="54"/>
      <c r="KV204" s="54"/>
      <c r="KW204" s="54"/>
      <c r="KX204" s="54"/>
    </row>
    <row r="205" ht="5.2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54"/>
      <c r="BK205" s="54"/>
      <c r="BL205" s="54"/>
      <c r="BM205" s="54"/>
      <c r="BN205" s="54"/>
      <c r="BO205" s="54"/>
      <c r="BP205" s="54"/>
      <c r="BQ205" s="54"/>
      <c r="BR205" s="54"/>
      <c r="BS205" s="54"/>
      <c r="BT205" s="54"/>
      <c r="BU205" s="54"/>
      <c r="BV205" s="54"/>
      <c r="BW205" s="54"/>
      <c r="BX205" s="54"/>
      <c r="BY205" s="54"/>
      <c r="BZ205" s="54"/>
      <c r="CA205" s="54"/>
      <c r="CB205" s="54"/>
      <c r="CC205" s="54"/>
      <c r="CD205" s="54"/>
      <c r="CE205" s="54"/>
      <c r="CF205" s="54"/>
      <c r="CG205" s="54"/>
      <c r="CH205" s="54"/>
      <c r="CI205" s="54"/>
      <c r="CJ205" s="54"/>
      <c r="CK205" s="54"/>
      <c r="CL205" s="54"/>
      <c r="CM205" s="54"/>
      <c r="CN205" s="54"/>
      <c r="CO205" s="54"/>
      <c r="CP205" s="54"/>
      <c r="CQ205" s="54"/>
      <c r="CR205" s="54"/>
      <c r="CS205" s="54"/>
      <c r="CT205" s="54"/>
      <c r="CU205" s="54"/>
      <c r="CV205" s="54"/>
      <c r="CW205" s="54"/>
      <c r="CX205" s="54"/>
      <c r="CY205" s="54"/>
      <c r="CZ205" s="54"/>
      <c r="DA205" s="54"/>
      <c r="DB205" s="54"/>
      <c r="DC205" s="108"/>
      <c r="DD205" s="110" t="s">
        <v>2</v>
      </c>
      <c r="EH205" s="111" t="s">
        <v>4</v>
      </c>
      <c r="FK205" s="61"/>
      <c r="FL205" s="108"/>
      <c r="FM205" s="54"/>
      <c r="FN205" s="54"/>
      <c r="FO205" s="54"/>
      <c r="FP205" s="54"/>
      <c r="FQ205" s="54"/>
      <c r="FR205" s="54"/>
      <c r="FS205" s="54"/>
      <c r="FT205" s="54"/>
      <c r="FU205" s="54"/>
      <c r="FV205" s="54"/>
      <c r="FW205" s="54"/>
      <c r="FX205" s="54"/>
      <c r="FY205" s="54"/>
      <c r="FZ205" s="54"/>
      <c r="GA205" s="54"/>
      <c r="GB205" s="54"/>
      <c r="GC205" s="54"/>
      <c r="GD205" s="54"/>
      <c r="GE205" s="54"/>
      <c r="GF205" s="54"/>
      <c r="GG205" s="54"/>
      <c r="GH205" s="54"/>
      <c r="GI205" s="54"/>
      <c r="GJ205" s="54"/>
      <c r="GK205" s="54"/>
      <c r="GL205" s="54"/>
      <c r="GM205" s="54"/>
      <c r="GN205" s="54"/>
      <c r="GO205" s="54"/>
      <c r="GP205" s="54"/>
      <c r="GQ205" s="54"/>
      <c r="GR205" s="54"/>
      <c r="GS205" s="54"/>
      <c r="GT205" s="54"/>
      <c r="GU205" s="54"/>
      <c r="GV205" s="54"/>
      <c r="GW205" s="54"/>
      <c r="GX205" s="54"/>
      <c r="GY205" s="54"/>
      <c r="GZ205" s="54"/>
      <c r="HA205" s="54"/>
      <c r="HB205" s="54"/>
      <c r="HC205" s="54"/>
      <c r="HD205" s="54"/>
      <c r="HE205" s="54"/>
      <c r="HF205" s="54"/>
      <c r="HG205" s="54"/>
      <c r="HH205" s="54"/>
      <c r="HI205" s="54"/>
      <c r="HJ205" s="54"/>
      <c r="HK205" s="54"/>
      <c r="HL205" s="54"/>
      <c r="HM205" s="54"/>
      <c r="HN205" s="54"/>
      <c r="HO205" s="54"/>
      <c r="HP205" s="54"/>
      <c r="HQ205" s="54"/>
      <c r="HR205" s="54"/>
      <c r="HS205" s="54"/>
      <c r="HT205" s="54"/>
      <c r="HU205" s="54"/>
      <c r="HV205" s="54"/>
      <c r="HW205" s="54"/>
      <c r="HX205" s="54"/>
      <c r="HY205" s="54"/>
      <c r="HZ205" s="54"/>
      <c r="IA205" s="54"/>
      <c r="IB205" s="54"/>
      <c r="IC205" s="54"/>
      <c r="ID205" s="54"/>
      <c r="IE205" s="54"/>
      <c r="IF205" s="54"/>
      <c r="IG205" s="54"/>
      <c r="IH205" s="54"/>
      <c r="II205" s="54"/>
      <c r="IJ205" s="54"/>
      <c r="IK205" s="54"/>
      <c r="IL205" s="54"/>
      <c r="IM205" s="54"/>
      <c r="IN205" s="54"/>
      <c r="IO205" s="54"/>
      <c r="IP205" s="54"/>
      <c r="IQ205" s="54"/>
      <c r="IR205" s="54"/>
      <c r="IS205" s="54"/>
      <c r="IT205" s="54"/>
      <c r="IU205" s="54"/>
      <c r="IV205" s="54"/>
      <c r="IW205" s="54"/>
      <c r="IX205" s="54"/>
      <c r="IY205" s="54"/>
      <c r="IZ205" s="54"/>
      <c r="JA205" s="54"/>
      <c r="JB205" s="54"/>
      <c r="JC205" s="54"/>
      <c r="JD205" s="54"/>
      <c r="JE205" s="54"/>
      <c r="JF205" s="54"/>
      <c r="JG205" s="54"/>
      <c r="JH205" s="54"/>
      <c r="JI205" s="54"/>
      <c r="JJ205" s="54"/>
      <c r="JK205" s="54"/>
      <c r="JL205" s="54"/>
      <c r="JM205" s="54"/>
      <c r="JN205" s="54"/>
      <c r="JO205" s="54"/>
      <c r="JP205" s="54"/>
      <c r="JQ205" s="54"/>
      <c r="JR205" s="54"/>
      <c r="JS205" s="54"/>
      <c r="JT205" s="54"/>
      <c r="JU205" s="54"/>
      <c r="JV205" s="54"/>
      <c r="JW205" s="54"/>
      <c r="JX205" s="54"/>
      <c r="JY205" s="54"/>
      <c r="JZ205" s="54"/>
      <c r="KA205" s="54"/>
      <c r="KB205" s="54"/>
      <c r="KC205" s="54"/>
      <c r="KD205" s="54"/>
      <c r="KE205" s="54"/>
      <c r="KF205" s="54"/>
      <c r="KG205" s="54"/>
      <c r="KH205" s="54"/>
      <c r="KI205" s="54"/>
      <c r="KJ205" s="54"/>
      <c r="KK205" s="54"/>
      <c r="KL205" s="54"/>
      <c r="KM205" s="54"/>
      <c r="KN205" s="54"/>
      <c r="KO205" s="54"/>
      <c r="KP205" s="54"/>
      <c r="KQ205" s="54"/>
      <c r="KR205" s="54"/>
      <c r="KS205" s="54"/>
      <c r="KT205" s="54"/>
      <c r="KU205" s="54"/>
      <c r="KV205" s="54"/>
      <c r="KW205" s="54"/>
      <c r="KX205" s="54"/>
    </row>
    <row r="206" ht="5.2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54"/>
      <c r="BK206" s="54"/>
      <c r="BL206" s="54"/>
      <c r="BM206" s="54"/>
      <c r="BN206" s="54"/>
      <c r="BO206" s="54"/>
      <c r="BP206" s="54"/>
      <c r="BQ206" s="54"/>
      <c r="BR206" s="54"/>
      <c r="BS206" s="54"/>
      <c r="BT206" s="54"/>
      <c r="BU206" s="54"/>
      <c r="BV206" s="54"/>
      <c r="BW206" s="54"/>
      <c r="BX206" s="54"/>
      <c r="BY206" s="54"/>
      <c r="BZ206" s="54"/>
      <c r="CA206" s="54"/>
      <c r="CB206" s="54"/>
      <c r="CC206" s="54"/>
      <c r="CD206" s="54"/>
      <c r="CE206" s="54"/>
      <c r="CF206" s="54"/>
      <c r="CG206" s="54"/>
      <c r="CH206" s="54"/>
      <c r="CI206" s="54"/>
      <c r="CJ206" s="54"/>
      <c r="CK206" s="54"/>
      <c r="CL206" s="54"/>
      <c r="CM206" s="54"/>
      <c r="CN206" s="54"/>
      <c r="CO206" s="54"/>
      <c r="CP206" s="54"/>
      <c r="CQ206" s="54"/>
      <c r="CR206" s="54"/>
      <c r="CS206" s="54"/>
      <c r="CT206" s="54"/>
      <c r="CU206" s="54"/>
      <c r="CV206" s="54"/>
      <c r="CW206" s="54"/>
      <c r="CX206" s="54"/>
      <c r="CY206" s="54"/>
      <c r="CZ206" s="54"/>
      <c r="DA206" s="54"/>
      <c r="DB206" s="54"/>
      <c r="DC206" s="108"/>
      <c r="DD206" s="60"/>
      <c r="FK206" s="61"/>
      <c r="FL206" s="108"/>
      <c r="FM206" s="54"/>
      <c r="FN206" s="54"/>
      <c r="FO206" s="54"/>
      <c r="FP206" s="54"/>
      <c r="FQ206" s="54"/>
      <c r="FR206" s="54"/>
      <c r="FS206" s="54"/>
      <c r="FT206" s="54"/>
      <c r="FU206" s="54"/>
      <c r="FV206" s="54"/>
      <c r="FW206" s="54"/>
      <c r="FX206" s="54"/>
      <c r="FY206" s="54"/>
      <c r="FZ206" s="54"/>
      <c r="GA206" s="54"/>
      <c r="GB206" s="54"/>
      <c r="GC206" s="54"/>
      <c r="GD206" s="54"/>
      <c r="GE206" s="54"/>
      <c r="GF206" s="54"/>
      <c r="GG206" s="54"/>
      <c r="GH206" s="54"/>
      <c r="GI206" s="54"/>
      <c r="GJ206" s="54"/>
      <c r="GK206" s="54"/>
      <c r="GL206" s="54"/>
      <c r="GM206" s="54"/>
      <c r="GN206" s="54"/>
      <c r="GO206" s="54"/>
      <c r="GP206" s="54"/>
      <c r="GQ206" s="54"/>
      <c r="GR206" s="54"/>
      <c r="GS206" s="54"/>
      <c r="GT206" s="54"/>
      <c r="GU206" s="54"/>
      <c r="GV206" s="54"/>
      <c r="GW206" s="54"/>
      <c r="GX206" s="54"/>
      <c r="GY206" s="54"/>
      <c r="GZ206" s="54"/>
      <c r="HA206" s="54"/>
      <c r="HB206" s="54"/>
      <c r="HC206" s="54"/>
      <c r="HD206" s="54"/>
      <c r="HE206" s="54"/>
      <c r="HF206" s="54"/>
      <c r="HG206" s="54"/>
      <c r="HH206" s="54"/>
      <c r="HI206" s="54"/>
      <c r="HJ206" s="54"/>
      <c r="HK206" s="54"/>
      <c r="HL206" s="54"/>
      <c r="HM206" s="54"/>
      <c r="HN206" s="54"/>
      <c r="HO206" s="54"/>
      <c r="HP206" s="54"/>
      <c r="HQ206" s="54"/>
      <c r="HR206" s="54"/>
      <c r="HS206" s="54"/>
      <c r="HT206" s="54"/>
      <c r="HU206" s="54"/>
      <c r="HV206" s="54"/>
      <c r="HW206" s="54"/>
      <c r="HX206" s="54"/>
      <c r="HY206" s="54"/>
      <c r="HZ206" s="54"/>
      <c r="IA206" s="54"/>
      <c r="IB206" s="54"/>
      <c r="IC206" s="54"/>
      <c r="ID206" s="54"/>
      <c r="IE206" s="54"/>
      <c r="IF206" s="54"/>
      <c r="IG206" s="54"/>
      <c r="IH206" s="54"/>
      <c r="II206" s="54"/>
      <c r="IJ206" s="54"/>
      <c r="IK206" s="54"/>
      <c r="IL206" s="54"/>
      <c r="IM206" s="54"/>
      <c r="IN206" s="54"/>
      <c r="IO206" s="54"/>
      <c r="IP206" s="54"/>
      <c r="IQ206" s="54"/>
      <c r="IR206" s="54"/>
      <c r="IS206" s="54"/>
      <c r="IT206" s="54"/>
      <c r="IU206" s="54"/>
      <c r="IV206" s="54"/>
      <c r="IW206" s="54"/>
      <c r="IX206" s="54"/>
      <c r="IY206" s="54"/>
      <c r="IZ206" s="54"/>
      <c r="JA206" s="54"/>
      <c r="JB206" s="54"/>
      <c r="JC206" s="54"/>
      <c r="JD206" s="54"/>
      <c r="JE206" s="54"/>
      <c r="JF206" s="54"/>
      <c r="JG206" s="54"/>
      <c r="JH206" s="54"/>
      <c r="JI206" s="54"/>
      <c r="JJ206" s="54"/>
      <c r="JK206" s="54"/>
      <c r="JL206" s="54"/>
      <c r="JM206" s="54"/>
      <c r="JN206" s="54"/>
      <c r="JO206" s="54"/>
      <c r="JP206" s="54"/>
      <c r="JQ206" s="54"/>
      <c r="JR206" s="54"/>
      <c r="JS206" s="54"/>
      <c r="JT206" s="54"/>
      <c r="JU206" s="54"/>
      <c r="JV206" s="54"/>
      <c r="JW206" s="54"/>
      <c r="JX206" s="54"/>
      <c r="JY206" s="54"/>
      <c r="JZ206" s="54"/>
      <c r="KA206" s="54"/>
      <c r="KB206" s="54"/>
      <c r="KC206" s="54"/>
      <c r="KD206" s="54"/>
      <c r="KE206" s="54"/>
      <c r="KF206" s="54"/>
      <c r="KG206" s="54"/>
      <c r="KH206" s="54"/>
      <c r="KI206" s="54"/>
      <c r="KJ206" s="54"/>
      <c r="KK206" s="54"/>
      <c r="KL206" s="54"/>
      <c r="KM206" s="54"/>
      <c r="KN206" s="54"/>
      <c r="KO206" s="54"/>
      <c r="KP206" s="54"/>
      <c r="KQ206" s="54"/>
      <c r="KR206" s="54"/>
      <c r="KS206" s="54"/>
      <c r="KT206" s="54"/>
      <c r="KU206" s="54"/>
      <c r="KV206" s="54"/>
      <c r="KW206" s="54"/>
      <c r="KX206" s="54"/>
    </row>
    <row r="207" ht="5.2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c r="BS207" s="54"/>
      <c r="BT207" s="54"/>
      <c r="BU207" s="54"/>
      <c r="BV207" s="54"/>
      <c r="BW207" s="54"/>
      <c r="BX207" s="54"/>
      <c r="BY207" s="54"/>
      <c r="BZ207" s="54"/>
      <c r="CA207" s="54"/>
      <c r="CB207" s="54"/>
      <c r="CC207" s="54"/>
      <c r="CD207" s="54"/>
      <c r="CE207" s="54"/>
      <c r="CF207" s="54"/>
      <c r="CG207" s="54"/>
      <c r="CH207" s="54"/>
      <c r="CI207" s="54"/>
      <c r="CJ207" s="54"/>
      <c r="CK207" s="54"/>
      <c r="CL207" s="54"/>
      <c r="CM207" s="54"/>
      <c r="CN207" s="54"/>
      <c r="CO207" s="54"/>
      <c r="CP207" s="54"/>
      <c r="CQ207" s="54"/>
      <c r="CR207" s="54"/>
      <c r="CS207" s="54"/>
      <c r="CT207" s="54"/>
      <c r="CU207" s="54"/>
      <c r="CV207" s="54"/>
      <c r="CW207" s="54"/>
      <c r="CX207" s="54"/>
      <c r="CY207" s="54"/>
      <c r="CZ207" s="54"/>
      <c r="DA207" s="54"/>
      <c r="DB207" s="54"/>
      <c r="DC207" s="108"/>
      <c r="DD207" s="60"/>
      <c r="FK207" s="61"/>
      <c r="FL207" s="108"/>
      <c r="FM207" s="54"/>
      <c r="FN207" s="54"/>
      <c r="FO207" s="54"/>
      <c r="FP207" s="54"/>
      <c r="FQ207" s="54"/>
      <c r="FR207" s="54"/>
      <c r="FS207" s="54"/>
      <c r="FT207" s="54"/>
      <c r="FU207" s="54"/>
      <c r="FV207" s="54"/>
      <c r="FW207" s="54"/>
      <c r="FX207" s="54"/>
      <c r="FY207" s="54"/>
      <c r="FZ207" s="54"/>
      <c r="GA207" s="54"/>
      <c r="GB207" s="54"/>
      <c r="GC207" s="54"/>
      <c r="GD207" s="54"/>
      <c r="GE207" s="54"/>
      <c r="GF207" s="54"/>
      <c r="GG207" s="54"/>
      <c r="GH207" s="54"/>
      <c r="GI207" s="54"/>
      <c r="GJ207" s="54"/>
      <c r="GK207" s="54"/>
      <c r="GL207" s="54"/>
      <c r="GM207" s="54"/>
      <c r="GN207" s="54"/>
      <c r="GO207" s="54"/>
      <c r="GP207" s="54"/>
      <c r="GQ207" s="54"/>
      <c r="GR207" s="54"/>
      <c r="GS207" s="54"/>
      <c r="GT207" s="54"/>
      <c r="GU207" s="54"/>
      <c r="GV207" s="54"/>
      <c r="GW207" s="54"/>
      <c r="GX207" s="54"/>
      <c r="GY207" s="54"/>
      <c r="GZ207" s="54"/>
      <c r="HA207" s="54"/>
      <c r="HB207" s="54"/>
      <c r="HC207" s="54"/>
      <c r="HD207" s="54"/>
      <c r="HE207" s="54"/>
      <c r="HF207" s="54"/>
      <c r="HG207" s="54"/>
      <c r="HH207" s="54"/>
      <c r="HI207" s="54"/>
      <c r="HJ207" s="54"/>
      <c r="HK207" s="54"/>
      <c r="HL207" s="54"/>
      <c r="HM207" s="54"/>
      <c r="HN207" s="54"/>
      <c r="HO207" s="54"/>
      <c r="HP207" s="54"/>
      <c r="HQ207" s="54"/>
      <c r="HR207" s="54"/>
      <c r="HS207" s="54"/>
      <c r="HT207" s="54"/>
      <c r="HU207" s="54"/>
      <c r="HV207" s="54"/>
      <c r="HW207" s="54"/>
      <c r="HX207" s="54"/>
      <c r="HY207" s="54"/>
      <c r="HZ207" s="54"/>
      <c r="IA207" s="54"/>
      <c r="IB207" s="54"/>
      <c r="IC207" s="54"/>
      <c r="ID207" s="54"/>
      <c r="IE207" s="54"/>
      <c r="IF207" s="54"/>
      <c r="IG207" s="54"/>
      <c r="IH207" s="54"/>
      <c r="II207" s="54"/>
      <c r="IJ207" s="54"/>
      <c r="IK207" s="54"/>
      <c r="IL207" s="54"/>
      <c r="IM207" s="54"/>
      <c r="IN207" s="54"/>
      <c r="IO207" s="54"/>
      <c r="IP207" s="54"/>
      <c r="IQ207" s="54"/>
      <c r="IR207" s="54"/>
      <c r="IS207" s="54"/>
      <c r="IT207" s="54"/>
      <c r="IU207" s="54"/>
      <c r="IV207" s="54"/>
      <c r="IW207" s="54"/>
      <c r="IX207" s="54"/>
      <c r="IY207" s="54"/>
      <c r="IZ207" s="54"/>
      <c r="JA207" s="54"/>
      <c r="JB207" s="54"/>
      <c r="JC207" s="54"/>
      <c r="JD207" s="54"/>
      <c r="JE207" s="54"/>
      <c r="JF207" s="54"/>
      <c r="JG207" s="54"/>
      <c r="JH207" s="54"/>
      <c r="JI207" s="54"/>
      <c r="JJ207" s="54"/>
      <c r="JK207" s="54"/>
      <c r="JL207" s="54"/>
      <c r="JM207" s="54"/>
      <c r="JN207" s="54"/>
      <c r="JO207" s="54"/>
      <c r="JP207" s="54"/>
      <c r="JQ207" s="54"/>
      <c r="JR207" s="54"/>
      <c r="JS207" s="54"/>
      <c r="JT207" s="54"/>
      <c r="JU207" s="54"/>
      <c r="JV207" s="54"/>
      <c r="JW207" s="54"/>
      <c r="JX207" s="54"/>
      <c r="JY207" s="54"/>
      <c r="JZ207" s="54"/>
      <c r="KA207" s="54"/>
      <c r="KB207" s="54"/>
      <c r="KC207" s="54"/>
      <c r="KD207" s="54"/>
      <c r="KE207" s="54"/>
      <c r="KF207" s="54"/>
      <c r="KG207" s="54"/>
      <c r="KH207" s="54"/>
      <c r="KI207" s="54"/>
      <c r="KJ207" s="54"/>
      <c r="KK207" s="54"/>
      <c r="KL207" s="54"/>
      <c r="KM207" s="54"/>
      <c r="KN207" s="54"/>
      <c r="KO207" s="54"/>
      <c r="KP207" s="54"/>
      <c r="KQ207" s="54"/>
      <c r="KR207" s="54"/>
      <c r="KS207" s="54"/>
      <c r="KT207" s="54"/>
      <c r="KU207" s="54"/>
      <c r="KV207" s="54"/>
      <c r="KW207" s="54"/>
      <c r="KX207" s="54"/>
    </row>
    <row r="208" ht="5.2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c r="BI208" s="54"/>
      <c r="BJ208" s="54"/>
      <c r="BK208" s="54"/>
      <c r="BL208" s="54"/>
      <c r="BM208" s="54"/>
      <c r="BN208" s="54"/>
      <c r="BO208" s="54"/>
      <c r="BP208" s="54"/>
      <c r="BQ208" s="54"/>
      <c r="BR208" s="54"/>
      <c r="BS208" s="54"/>
      <c r="BT208" s="54"/>
      <c r="BU208" s="54"/>
      <c r="BV208" s="54"/>
      <c r="BW208" s="54"/>
      <c r="BX208" s="54"/>
      <c r="BY208" s="54"/>
      <c r="BZ208" s="54"/>
      <c r="CA208" s="54"/>
      <c r="CB208" s="54"/>
      <c r="CC208" s="54"/>
      <c r="CD208" s="54"/>
      <c r="CE208" s="54"/>
      <c r="CF208" s="54"/>
      <c r="CG208" s="54"/>
      <c r="CH208" s="54"/>
      <c r="CI208" s="54"/>
      <c r="CJ208" s="54"/>
      <c r="CK208" s="54"/>
      <c r="CL208" s="54"/>
      <c r="CM208" s="54"/>
      <c r="CN208" s="54"/>
      <c r="CO208" s="54"/>
      <c r="CP208" s="54"/>
      <c r="CQ208" s="54"/>
      <c r="CR208" s="54"/>
      <c r="CS208" s="54"/>
      <c r="CT208" s="54"/>
      <c r="CU208" s="54"/>
      <c r="CV208" s="54"/>
      <c r="CW208" s="54"/>
      <c r="CX208" s="54"/>
      <c r="CY208" s="54"/>
      <c r="CZ208" s="54"/>
      <c r="DA208" s="54"/>
      <c r="DB208" s="54"/>
      <c r="DC208" s="108"/>
      <c r="DD208" s="112"/>
      <c r="DL208" s="113" t="s">
        <v>57</v>
      </c>
      <c r="DN208" s="11"/>
      <c r="DO208" s="114" t="s">
        <v>58</v>
      </c>
      <c r="DQ208" s="11"/>
      <c r="DR208" s="114" t="s">
        <v>59</v>
      </c>
      <c r="DU208" s="108"/>
      <c r="ED208" s="115" t="s">
        <v>3</v>
      </c>
      <c r="EL208" s="108"/>
      <c r="EM208" s="108"/>
      <c r="EN208" s="108"/>
      <c r="EO208" s="108"/>
      <c r="EP208" s="108"/>
      <c r="EQ208" s="108"/>
      <c r="ER208" s="108"/>
      <c r="ES208" s="108"/>
      <c r="ET208" s="108"/>
      <c r="EU208" s="113" t="s">
        <v>59</v>
      </c>
      <c r="EW208" s="11"/>
      <c r="EX208" s="114" t="s">
        <v>58</v>
      </c>
      <c r="EZ208" s="11"/>
      <c r="FA208" s="114" t="s">
        <v>57</v>
      </c>
      <c r="FD208" s="108"/>
      <c r="FE208" s="108"/>
      <c r="FF208" s="108"/>
      <c r="FG208" s="108"/>
      <c r="FH208" s="108"/>
      <c r="FI208" s="108"/>
      <c r="FJ208" s="108"/>
      <c r="FK208" s="116"/>
      <c r="FL208" s="108"/>
      <c r="FM208" s="54"/>
      <c r="FN208" s="54"/>
      <c r="FO208" s="54"/>
      <c r="FP208" s="54"/>
      <c r="FQ208" s="54"/>
      <c r="FR208" s="54"/>
      <c r="FS208" s="54"/>
      <c r="FT208" s="54"/>
      <c r="FU208" s="54"/>
      <c r="FV208" s="54"/>
      <c r="FW208" s="54"/>
      <c r="FX208" s="54"/>
      <c r="FY208" s="54"/>
      <c r="FZ208" s="54"/>
      <c r="GA208" s="54"/>
      <c r="GB208" s="54"/>
      <c r="GC208" s="54"/>
      <c r="GD208" s="54"/>
      <c r="GE208" s="54"/>
      <c r="GF208" s="54"/>
      <c r="GG208" s="54"/>
      <c r="GH208" s="54"/>
      <c r="GI208" s="54"/>
      <c r="GJ208" s="54"/>
      <c r="GK208" s="54"/>
      <c r="GL208" s="54"/>
      <c r="GM208" s="54"/>
      <c r="GN208" s="54"/>
      <c r="GO208" s="54"/>
      <c r="GP208" s="54"/>
      <c r="GQ208" s="54"/>
      <c r="GR208" s="54"/>
      <c r="GS208" s="54"/>
      <c r="GT208" s="54"/>
      <c r="GU208" s="54"/>
      <c r="GV208" s="54"/>
      <c r="GW208" s="54"/>
      <c r="GX208" s="54"/>
      <c r="GY208" s="54"/>
      <c r="GZ208" s="54"/>
      <c r="HA208" s="54"/>
      <c r="HB208" s="54"/>
      <c r="HC208" s="54"/>
      <c r="HD208" s="54"/>
      <c r="HE208" s="54"/>
      <c r="HF208" s="54"/>
      <c r="HG208" s="54"/>
      <c r="HH208" s="54"/>
      <c r="HI208" s="54"/>
      <c r="HJ208" s="54"/>
      <c r="HK208" s="54"/>
      <c r="HL208" s="54"/>
      <c r="HM208" s="54"/>
      <c r="HN208" s="54"/>
      <c r="HO208" s="54"/>
      <c r="HP208" s="54"/>
      <c r="HQ208" s="54"/>
      <c r="HR208" s="54"/>
      <c r="HS208" s="54"/>
      <c r="HT208" s="54"/>
      <c r="HU208" s="54"/>
      <c r="HV208" s="54"/>
      <c r="HW208" s="54"/>
      <c r="HX208" s="54"/>
      <c r="HY208" s="54"/>
      <c r="HZ208" s="54"/>
      <c r="IA208" s="54"/>
      <c r="IB208" s="54"/>
      <c r="IC208" s="54"/>
      <c r="ID208" s="54"/>
      <c r="IE208" s="54"/>
      <c r="IF208" s="54"/>
      <c r="IG208" s="54"/>
      <c r="IH208" s="54"/>
      <c r="II208" s="54"/>
      <c r="IJ208" s="54"/>
      <c r="IK208" s="54"/>
      <c r="IL208" s="54"/>
      <c r="IM208" s="54"/>
      <c r="IN208" s="54"/>
      <c r="IO208" s="54"/>
      <c r="IP208" s="54"/>
      <c r="IQ208" s="54"/>
      <c r="IR208" s="54"/>
      <c r="IS208" s="54"/>
      <c r="IT208" s="54"/>
      <c r="IU208" s="54"/>
      <c r="IV208" s="54"/>
      <c r="IW208" s="54"/>
      <c r="IX208" s="54"/>
      <c r="IY208" s="54"/>
      <c r="IZ208" s="54"/>
      <c r="JA208" s="54"/>
      <c r="JB208" s="54"/>
      <c r="JC208" s="54"/>
      <c r="JD208" s="54"/>
      <c r="JE208" s="54"/>
      <c r="JF208" s="54"/>
      <c r="JG208" s="54"/>
      <c r="JH208" s="54"/>
      <c r="JI208" s="54"/>
      <c r="JJ208" s="54"/>
      <c r="JK208" s="54"/>
      <c r="JL208" s="54"/>
      <c r="JM208" s="54"/>
      <c r="JN208" s="54"/>
      <c r="JO208" s="54"/>
      <c r="JP208" s="54"/>
      <c r="JQ208" s="54"/>
      <c r="JR208" s="54"/>
      <c r="JS208" s="54"/>
      <c r="JT208" s="54"/>
      <c r="JU208" s="54"/>
      <c r="JV208" s="54"/>
      <c r="JW208" s="54"/>
      <c r="JX208" s="54"/>
      <c r="JY208" s="54"/>
      <c r="JZ208" s="54"/>
      <c r="KA208" s="54"/>
      <c r="KB208" s="54"/>
      <c r="KC208" s="54"/>
      <c r="KD208" s="54"/>
      <c r="KE208" s="54"/>
      <c r="KF208" s="54"/>
      <c r="KG208" s="54"/>
      <c r="KH208" s="54"/>
      <c r="KI208" s="54"/>
      <c r="KJ208" s="54"/>
      <c r="KK208" s="54"/>
      <c r="KL208" s="54"/>
      <c r="KM208" s="54"/>
      <c r="KN208" s="54"/>
      <c r="KO208" s="54"/>
      <c r="KP208" s="54"/>
      <c r="KQ208" s="54"/>
      <c r="KR208" s="54"/>
      <c r="KS208" s="54"/>
      <c r="KT208" s="54"/>
      <c r="KU208" s="54"/>
      <c r="KV208" s="54"/>
      <c r="KW208" s="54"/>
      <c r="KX208" s="54"/>
    </row>
    <row r="209" ht="5.2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c r="BS209" s="54"/>
      <c r="BT209" s="54"/>
      <c r="BU209" s="54"/>
      <c r="BV209" s="54"/>
      <c r="BW209" s="54"/>
      <c r="BX209" s="54"/>
      <c r="BY209" s="54"/>
      <c r="BZ209" s="54"/>
      <c r="CA209" s="54"/>
      <c r="CB209" s="54"/>
      <c r="CC209" s="54"/>
      <c r="CD209" s="54"/>
      <c r="CE209" s="54"/>
      <c r="CF209" s="54"/>
      <c r="CG209" s="54"/>
      <c r="CH209" s="54"/>
      <c r="CI209" s="54"/>
      <c r="CJ209" s="54"/>
      <c r="CK209" s="54"/>
      <c r="CL209" s="54"/>
      <c r="CM209" s="54"/>
      <c r="CN209" s="54"/>
      <c r="CO209" s="54"/>
      <c r="CP209" s="54"/>
      <c r="CQ209" s="54"/>
      <c r="CR209" s="54"/>
      <c r="CS209" s="54"/>
      <c r="CT209" s="54"/>
      <c r="CU209" s="54"/>
      <c r="CV209" s="54"/>
      <c r="CW209" s="54"/>
      <c r="CX209" s="54"/>
      <c r="CY209" s="54"/>
      <c r="CZ209" s="54"/>
      <c r="DA209" s="54"/>
      <c r="DB209" s="54"/>
      <c r="DC209" s="108"/>
      <c r="DD209" s="60"/>
      <c r="DN209" s="11"/>
      <c r="DO209" s="10"/>
      <c r="DQ209" s="11"/>
      <c r="DR209" s="10"/>
      <c r="EL209" s="108"/>
      <c r="EM209" s="108"/>
      <c r="EN209" s="108"/>
      <c r="EO209" s="108"/>
      <c r="EP209" s="108"/>
      <c r="EQ209" s="108"/>
      <c r="ER209" s="108"/>
      <c r="ES209" s="108"/>
      <c r="ET209" s="108"/>
      <c r="EW209" s="11"/>
      <c r="EX209" s="10"/>
      <c r="EZ209" s="11"/>
      <c r="FA209" s="10"/>
      <c r="FD209" s="108"/>
      <c r="FE209" s="108"/>
      <c r="FF209" s="108"/>
      <c r="FG209" s="108"/>
      <c r="FH209" s="108"/>
      <c r="FI209" s="108"/>
      <c r="FJ209" s="108"/>
      <c r="FK209" s="116"/>
      <c r="FL209" s="108"/>
      <c r="FM209" s="54"/>
      <c r="FN209" s="54"/>
      <c r="FO209" s="54"/>
      <c r="FP209" s="54"/>
      <c r="FQ209" s="54"/>
      <c r="FR209" s="54"/>
      <c r="FS209" s="54"/>
      <c r="FT209" s="54"/>
      <c r="FU209" s="54"/>
      <c r="FV209" s="54"/>
      <c r="FW209" s="54"/>
      <c r="FX209" s="54"/>
      <c r="FY209" s="54"/>
      <c r="FZ209" s="54"/>
      <c r="GA209" s="54"/>
      <c r="GB209" s="54"/>
      <c r="GC209" s="54"/>
      <c r="GD209" s="54"/>
      <c r="GE209" s="54"/>
      <c r="GF209" s="54"/>
      <c r="GG209" s="54"/>
      <c r="GH209" s="54"/>
      <c r="GI209" s="54"/>
      <c r="GJ209" s="54"/>
      <c r="GK209" s="54"/>
      <c r="GL209" s="54"/>
      <c r="GM209" s="54"/>
      <c r="GN209" s="54"/>
      <c r="GO209" s="54"/>
      <c r="GP209" s="54"/>
      <c r="GQ209" s="54"/>
      <c r="GR209" s="54"/>
      <c r="GS209" s="54"/>
      <c r="GT209" s="54"/>
      <c r="GU209" s="54"/>
      <c r="GV209" s="54"/>
      <c r="GW209" s="54"/>
      <c r="GX209" s="54"/>
      <c r="GY209" s="54"/>
      <c r="GZ209" s="54"/>
      <c r="HA209" s="54"/>
      <c r="HB209" s="54"/>
      <c r="HC209" s="54"/>
      <c r="HD209" s="54"/>
      <c r="HE209" s="54"/>
      <c r="HF209" s="54"/>
      <c r="HG209" s="54"/>
      <c r="HH209" s="54"/>
      <c r="HI209" s="54"/>
      <c r="HJ209" s="54"/>
      <c r="HK209" s="54"/>
      <c r="HL209" s="54"/>
      <c r="HM209" s="54"/>
      <c r="HN209" s="54"/>
      <c r="HO209" s="54"/>
      <c r="HP209" s="54"/>
      <c r="HQ209" s="54"/>
      <c r="HR209" s="54"/>
      <c r="HS209" s="54"/>
      <c r="HT209" s="54"/>
      <c r="HU209" s="54"/>
      <c r="HV209" s="54"/>
      <c r="HW209" s="54"/>
      <c r="HX209" s="54"/>
      <c r="HY209" s="54"/>
      <c r="HZ209" s="54"/>
      <c r="IA209" s="54"/>
      <c r="IB209" s="54"/>
      <c r="IC209" s="54"/>
      <c r="ID209" s="54"/>
      <c r="IE209" s="54"/>
      <c r="IF209" s="54"/>
      <c r="IG209" s="54"/>
      <c r="IH209" s="54"/>
      <c r="II209" s="54"/>
      <c r="IJ209" s="54"/>
      <c r="IK209" s="54"/>
      <c r="IL209" s="54"/>
      <c r="IM209" s="54"/>
      <c r="IN209" s="54"/>
      <c r="IO209" s="54"/>
      <c r="IP209" s="54"/>
      <c r="IQ209" s="54"/>
      <c r="IR209" s="54"/>
      <c r="IS209" s="54"/>
      <c r="IT209" s="54"/>
      <c r="IU209" s="54"/>
      <c r="IV209" s="54"/>
      <c r="IW209" s="54"/>
      <c r="IX209" s="54"/>
      <c r="IY209" s="54"/>
      <c r="IZ209" s="54"/>
      <c r="JA209" s="54"/>
      <c r="JB209" s="54"/>
      <c r="JC209" s="54"/>
      <c r="JD209" s="54"/>
      <c r="JE209" s="54"/>
      <c r="JF209" s="54"/>
      <c r="JG209" s="54"/>
      <c r="JH209" s="54"/>
      <c r="JI209" s="54"/>
      <c r="JJ209" s="54"/>
      <c r="JK209" s="54"/>
      <c r="JL209" s="54"/>
      <c r="JM209" s="54"/>
      <c r="JN209" s="54"/>
      <c r="JO209" s="54"/>
      <c r="JP209" s="54"/>
      <c r="JQ209" s="54"/>
      <c r="JR209" s="54"/>
      <c r="JS209" s="54"/>
      <c r="JT209" s="54"/>
      <c r="JU209" s="54"/>
      <c r="JV209" s="54"/>
      <c r="JW209" s="54"/>
      <c r="JX209" s="54"/>
      <c r="JY209" s="54"/>
      <c r="JZ209" s="54"/>
      <c r="KA209" s="54"/>
      <c r="KB209" s="54"/>
      <c r="KC209" s="54"/>
      <c r="KD209" s="54"/>
      <c r="KE209" s="54"/>
      <c r="KF209" s="54"/>
      <c r="KG209" s="54"/>
      <c r="KH209" s="54"/>
      <c r="KI209" s="54"/>
      <c r="KJ209" s="54"/>
      <c r="KK209" s="54"/>
      <c r="KL209" s="54"/>
      <c r="KM209" s="54"/>
      <c r="KN209" s="54"/>
      <c r="KO209" s="54"/>
      <c r="KP209" s="54"/>
      <c r="KQ209" s="54"/>
      <c r="KR209" s="54"/>
      <c r="KS209" s="54"/>
      <c r="KT209" s="54"/>
      <c r="KU209" s="54"/>
      <c r="KV209" s="54"/>
      <c r="KW209" s="54"/>
      <c r="KX209" s="54"/>
    </row>
    <row r="210" ht="5.2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c r="BI210" s="54"/>
      <c r="BJ210" s="54"/>
      <c r="BK210" s="54"/>
      <c r="BL210" s="54"/>
      <c r="BM210" s="54"/>
      <c r="BN210" s="54"/>
      <c r="BO210" s="54"/>
      <c r="BP210" s="54"/>
      <c r="BQ210" s="54"/>
      <c r="BR210" s="54"/>
      <c r="BS210" s="54"/>
      <c r="BT210" s="54"/>
      <c r="BU210" s="54"/>
      <c r="BV210" s="54"/>
      <c r="BW210" s="54"/>
      <c r="BX210" s="54"/>
      <c r="BY210" s="54"/>
      <c r="BZ210" s="54"/>
      <c r="CA210" s="54"/>
      <c r="CB210" s="54"/>
      <c r="CC210" s="54"/>
      <c r="CD210" s="54"/>
      <c r="CE210" s="54"/>
      <c r="CF210" s="54"/>
      <c r="CG210" s="54"/>
      <c r="CH210" s="54"/>
      <c r="CI210" s="54"/>
      <c r="CJ210" s="54"/>
      <c r="CK210" s="54"/>
      <c r="CL210" s="54"/>
      <c r="CM210" s="54"/>
      <c r="CN210" s="54"/>
      <c r="CO210" s="54"/>
      <c r="CP210" s="54"/>
      <c r="CQ210" s="54"/>
      <c r="CR210" s="54"/>
      <c r="CS210" s="54"/>
      <c r="CT210" s="54"/>
      <c r="CU210" s="54"/>
      <c r="CV210" s="54"/>
      <c r="CW210" s="54"/>
      <c r="CX210" s="54"/>
      <c r="CY210" s="54"/>
      <c r="CZ210" s="54"/>
      <c r="DA210" s="54"/>
      <c r="DB210" s="54"/>
      <c r="DC210" s="108"/>
      <c r="DD210" s="70"/>
      <c r="DE210" s="71"/>
      <c r="DF210" s="71"/>
      <c r="DG210" s="71"/>
      <c r="DH210" s="71"/>
      <c r="DI210" s="71"/>
      <c r="DJ210" s="71"/>
      <c r="DK210" s="71"/>
      <c r="DL210" s="71"/>
      <c r="DM210" s="71"/>
      <c r="DN210" s="72"/>
      <c r="DO210" s="73"/>
      <c r="DP210" s="71"/>
      <c r="DQ210" s="72"/>
      <c r="DR210" s="73"/>
      <c r="DS210" s="71"/>
      <c r="DT210" s="71"/>
      <c r="DU210" s="71"/>
      <c r="DV210" s="71"/>
      <c r="DW210" s="71"/>
      <c r="DX210" s="71"/>
      <c r="DY210" s="71"/>
      <c r="DZ210" s="71"/>
      <c r="EA210" s="71"/>
      <c r="EB210" s="71"/>
      <c r="EC210" s="71"/>
      <c r="ED210" s="71"/>
      <c r="EE210" s="71"/>
      <c r="EF210" s="71"/>
      <c r="EG210" s="71"/>
      <c r="EH210" s="71"/>
      <c r="EI210" s="71"/>
      <c r="EJ210" s="71"/>
      <c r="EK210" s="71"/>
      <c r="EL210" s="117"/>
      <c r="EM210" s="117"/>
      <c r="EN210" s="117"/>
      <c r="EO210" s="117"/>
      <c r="EP210" s="117"/>
      <c r="EQ210" s="117"/>
      <c r="ER210" s="117"/>
      <c r="ES210" s="117"/>
      <c r="ET210" s="117"/>
      <c r="EU210" s="71"/>
      <c r="EV210" s="71"/>
      <c r="EW210" s="72"/>
      <c r="EX210" s="73"/>
      <c r="EY210" s="71"/>
      <c r="EZ210" s="72"/>
      <c r="FA210" s="73"/>
      <c r="FB210" s="71"/>
      <c r="FC210" s="71"/>
      <c r="FD210" s="117"/>
      <c r="FE210" s="117"/>
      <c r="FF210" s="117"/>
      <c r="FG210" s="117"/>
      <c r="FH210" s="117"/>
      <c r="FI210" s="117"/>
      <c r="FJ210" s="117"/>
      <c r="FK210" s="118"/>
      <c r="FL210" s="108"/>
      <c r="FM210" s="54"/>
      <c r="FN210" s="54"/>
      <c r="FO210" s="54"/>
      <c r="FP210" s="54"/>
      <c r="FQ210" s="54"/>
      <c r="FR210" s="54"/>
      <c r="FS210" s="54"/>
      <c r="FT210" s="54"/>
      <c r="FU210" s="54"/>
      <c r="FV210" s="54"/>
      <c r="FW210" s="54"/>
      <c r="FX210" s="54"/>
      <c r="FY210" s="54"/>
      <c r="FZ210" s="54"/>
      <c r="GA210" s="54"/>
      <c r="GB210" s="54"/>
      <c r="GC210" s="54"/>
      <c r="GD210" s="54"/>
      <c r="GE210" s="54"/>
      <c r="GF210" s="54"/>
      <c r="GG210" s="54"/>
      <c r="GH210" s="54"/>
      <c r="GI210" s="54"/>
      <c r="GJ210" s="54"/>
      <c r="GK210" s="54"/>
      <c r="GL210" s="54"/>
      <c r="GM210" s="54"/>
      <c r="GN210" s="54"/>
      <c r="GO210" s="54"/>
      <c r="GP210" s="54"/>
      <c r="GQ210" s="54"/>
      <c r="GR210" s="54"/>
      <c r="GS210" s="54"/>
      <c r="GT210" s="54"/>
      <c r="GU210" s="54"/>
      <c r="GV210" s="54"/>
      <c r="GW210" s="54"/>
      <c r="GX210" s="54"/>
      <c r="GY210" s="54"/>
      <c r="GZ210" s="54"/>
      <c r="HA210" s="54"/>
      <c r="HB210" s="54"/>
      <c r="HC210" s="54"/>
      <c r="HD210" s="54"/>
      <c r="HE210" s="54"/>
      <c r="HF210" s="54"/>
      <c r="HG210" s="54"/>
      <c r="HH210" s="54"/>
      <c r="HI210" s="54"/>
      <c r="HJ210" s="54"/>
      <c r="HK210" s="54"/>
      <c r="HL210" s="54"/>
      <c r="HM210" s="54"/>
      <c r="HN210" s="54"/>
      <c r="HO210" s="54"/>
      <c r="HP210" s="54"/>
      <c r="HQ210" s="54"/>
      <c r="HR210" s="54"/>
      <c r="HS210" s="54"/>
      <c r="HT210" s="54"/>
      <c r="HU210" s="54"/>
      <c r="HV210" s="54"/>
      <c r="HW210" s="54"/>
      <c r="HX210" s="54"/>
      <c r="HY210" s="54"/>
      <c r="HZ210" s="54"/>
      <c r="IA210" s="54"/>
      <c r="IB210" s="54"/>
      <c r="IC210" s="54"/>
      <c r="ID210" s="54"/>
      <c r="IE210" s="54"/>
      <c r="IF210" s="54"/>
      <c r="IG210" s="54"/>
      <c r="IH210" s="54"/>
      <c r="II210" s="54"/>
      <c r="IJ210" s="54"/>
      <c r="IK210" s="54"/>
      <c r="IL210" s="54"/>
      <c r="IM210" s="54"/>
      <c r="IN210" s="54"/>
      <c r="IO210" s="54"/>
      <c r="IP210" s="54"/>
      <c r="IQ210" s="54"/>
      <c r="IR210" s="54"/>
      <c r="IS210" s="54"/>
      <c r="IT210" s="54"/>
      <c r="IU210" s="54"/>
      <c r="IV210" s="54"/>
      <c r="IW210" s="54"/>
      <c r="IX210" s="54"/>
      <c r="IY210" s="54"/>
      <c r="IZ210" s="54"/>
      <c r="JA210" s="54"/>
      <c r="JB210" s="54"/>
      <c r="JC210" s="54"/>
      <c r="JD210" s="54"/>
      <c r="JE210" s="54"/>
      <c r="JF210" s="54"/>
      <c r="JG210" s="54"/>
      <c r="JH210" s="54"/>
      <c r="JI210" s="54"/>
      <c r="JJ210" s="54"/>
      <c r="JK210" s="54"/>
      <c r="JL210" s="54"/>
      <c r="JM210" s="54"/>
      <c r="JN210" s="54"/>
      <c r="JO210" s="54"/>
      <c r="JP210" s="54"/>
      <c r="JQ210" s="54"/>
      <c r="JR210" s="54"/>
      <c r="JS210" s="54"/>
      <c r="JT210" s="54"/>
      <c r="JU210" s="54"/>
      <c r="JV210" s="54"/>
      <c r="JW210" s="54"/>
      <c r="JX210" s="54"/>
      <c r="JY210" s="54"/>
      <c r="JZ210" s="54"/>
      <c r="KA210" s="54"/>
      <c r="KB210" s="54"/>
      <c r="KC210" s="54"/>
      <c r="KD210" s="54"/>
      <c r="KE210" s="54"/>
      <c r="KF210" s="54"/>
      <c r="KG210" s="54"/>
      <c r="KH210" s="54"/>
      <c r="KI210" s="54"/>
      <c r="KJ210" s="54"/>
      <c r="KK210" s="54"/>
      <c r="KL210" s="54"/>
      <c r="KM210" s="54"/>
      <c r="KN210" s="54"/>
      <c r="KO210" s="54"/>
      <c r="KP210" s="54"/>
      <c r="KQ210" s="54"/>
      <c r="KR210" s="54"/>
      <c r="KS210" s="54"/>
      <c r="KT210" s="54"/>
      <c r="KU210" s="54"/>
      <c r="KV210" s="54"/>
      <c r="KW210" s="54"/>
      <c r="KX210" s="54"/>
    </row>
    <row r="211" ht="5.2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c r="BU211" s="54"/>
      <c r="BV211" s="54"/>
      <c r="BW211" s="54"/>
      <c r="BX211" s="54"/>
      <c r="BY211" s="54"/>
      <c r="BZ211" s="54"/>
      <c r="CA211" s="54"/>
      <c r="CB211" s="54"/>
      <c r="CC211" s="54"/>
      <c r="CD211" s="54"/>
      <c r="CE211" s="54"/>
      <c r="CF211" s="54"/>
      <c r="CG211" s="54"/>
      <c r="CH211" s="54"/>
      <c r="CI211" s="54"/>
      <c r="CJ211" s="54"/>
      <c r="CK211" s="54"/>
      <c r="CL211" s="54"/>
      <c r="CM211" s="54"/>
      <c r="CN211" s="54"/>
      <c r="CO211" s="54"/>
      <c r="CP211" s="54"/>
      <c r="CQ211" s="54"/>
      <c r="CR211" s="54"/>
      <c r="CS211" s="54"/>
      <c r="CT211" s="54"/>
      <c r="CU211" s="54"/>
      <c r="CV211" s="54"/>
      <c r="CW211" s="54"/>
      <c r="CX211" s="54"/>
      <c r="CY211" s="54"/>
      <c r="CZ211" s="54"/>
      <c r="DA211" s="54"/>
      <c r="DB211" s="54"/>
      <c r="DC211" s="119" t="str">
        <f>if(or(BX163=0,EJ163=0),"",reseeding!AC308)</f>
        <v/>
      </c>
      <c r="DD211" s="120" t="str">
        <f t="array" ref="DD211">xlookup(DC211,data!$M$2:$M$17,data!$O$2:$O$17,"")</f>
        <v/>
      </c>
      <c r="DH211" s="79" t="str">
        <f t="array" ref="DH211">xlookup(DC211,data!$M$2:$M$17,data!$N$2:$N$17,"")</f>
        <v/>
      </c>
      <c r="ED211" s="67"/>
      <c r="EG211" s="11"/>
      <c r="EH211" s="80"/>
      <c r="EL211" s="81" t="str">
        <f t="array" ref="EL211">xlookup(FL211,data!$M$2:$M$17,data!$N$2:$N$17,"")</f>
        <v/>
      </c>
      <c r="FH211" s="121" t="str">
        <f t="array" ref="FH211">xlookup(FL211,data!$M$2:$M$17,data!$O$2:$O$17,"")</f>
        <v/>
      </c>
      <c r="FK211" s="61"/>
      <c r="FL211" s="119" t="str">
        <f>if(or(BX163=0,EJ163=0),"",reseeding!AD308)</f>
        <v/>
      </c>
      <c r="FM211" s="54"/>
      <c r="FN211" s="54"/>
      <c r="FO211" s="54"/>
      <c r="FP211" s="54"/>
      <c r="FQ211" s="54"/>
      <c r="FR211" s="54"/>
      <c r="FS211" s="54"/>
      <c r="FT211" s="54"/>
      <c r="FU211" s="54"/>
      <c r="FV211" s="54"/>
      <c r="FW211" s="54"/>
      <c r="FX211" s="54"/>
      <c r="FY211" s="54"/>
      <c r="FZ211" s="54"/>
      <c r="GA211" s="54"/>
      <c r="GB211" s="54"/>
      <c r="GC211" s="54"/>
      <c r="GD211" s="54"/>
      <c r="GE211" s="54"/>
      <c r="GF211" s="54"/>
      <c r="GG211" s="54"/>
      <c r="GH211" s="54"/>
      <c r="GI211" s="54"/>
      <c r="GJ211" s="54"/>
      <c r="GK211" s="54"/>
      <c r="GL211" s="54"/>
      <c r="GM211" s="54"/>
      <c r="GN211" s="54"/>
      <c r="GO211" s="54"/>
      <c r="GP211" s="54"/>
      <c r="GQ211" s="54"/>
      <c r="GR211" s="54"/>
      <c r="GS211" s="54"/>
      <c r="GT211" s="54"/>
      <c r="GU211" s="54"/>
      <c r="GV211" s="54"/>
      <c r="GW211" s="54"/>
      <c r="GX211" s="54"/>
      <c r="GY211" s="54"/>
      <c r="GZ211" s="54"/>
      <c r="HA211" s="54"/>
      <c r="HB211" s="54"/>
      <c r="HC211" s="54"/>
      <c r="HD211" s="54"/>
      <c r="HE211" s="54"/>
      <c r="HF211" s="54"/>
      <c r="HG211" s="54"/>
      <c r="HH211" s="54"/>
      <c r="HI211" s="54"/>
      <c r="HJ211" s="54"/>
      <c r="HK211" s="54"/>
      <c r="HL211" s="54"/>
      <c r="HM211" s="54"/>
      <c r="HN211" s="54"/>
      <c r="HO211" s="54"/>
      <c r="HP211" s="54"/>
      <c r="HQ211" s="54"/>
      <c r="HR211" s="54"/>
      <c r="HS211" s="54"/>
      <c r="HT211" s="54"/>
      <c r="HU211" s="54"/>
      <c r="HV211" s="54"/>
      <c r="HW211" s="54"/>
      <c r="HX211" s="54"/>
      <c r="HY211" s="54"/>
      <c r="HZ211" s="54"/>
      <c r="IA211" s="54"/>
      <c r="IB211" s="54"/>
      <c r="IC211" s="54"/>
      <c r="ID211" s="54"/>
      <c r="IE211" s="54"/>
      <c r="IF211" s="54"/>
      <c r="IG211" s="54"/>
      <c r="IH211" s="54"/>
      <c r="II211" s="54"/>
      <c r="IJ211" s="54"/>
      <c r="IK211" s="54"/>
      <c r="IL211" s="54"/>
      <c r="IM211" s="54"/>
      <c r="IN211" s="54"/>
      <c r="IO211" s="54"/>
      <c r="IP211" s="54"/>
      <c r="IQ211" s="54"/>
      <c r="IR211" s="54"/>
      <c r="IS211" s="54"/>
      <c r="IT211" s="54"/>
      <c r="IU211" s="54"/>
      <c r="IV211" s="54"/>
      <c r="IW211" s="54"/>
      <c r="IX211" s="54"/>
      <c r="IY211" s="54"/>
      <c r="IZ211" s="54"/>
      <c r="JA211" s="54"/>
      <c r="JB211" s="54"/>
      <c r="JC211" s="54"/>
      <c r="JD211" s="54"/>
      <c r="JE211" s="54"/>
      <c r="JF211" s="54"/>
      <c r="JG211" s="54"/>
      <c r="JH211" s="54"/>
      <c r="JI211" s="54"/>
      <c r="JJ211" s="54"/>
      <c r="JK211" s="54"/>
      <c r="JL211" s="54"/>
      <c r="JM211" s="54"/>
      <c r="JN211" s="54"/>
      <c r="JO211" s="54"/>
      <c r="JP211" s="54"/>
      <c r="JQ211" s="54"/>
      <c r="JR211" s="54"/>
      <c r="JS211" s="54"/>
      <c r="JT211" s="54"/>
      <c r="JU211" s="54"/>
      <c r="JV211" s="54"/>
      <c r="JW211" s="54"/>
      <c r="JX211" s="54"/>
      <c r="JY211" s="54"/>
      <c r="JZ211" s="54"/>
      <c r="KA211" s="54"/>
      <c r="KB211" s="54"/>
      <c r="KC211" s="54"/>
      <c r="KD211" s="54"/>
      <c r="KE211" s="54"/>
      <c r="KF211" s="54"/>
      <c r="KG211" s="54"/>
      <c r="KH211" s="54"/>
      <c r="KI211" s="54"/>
      <c r="KJ211" s="54"/>
      <c r="KK211" s="54"/>
      <c r="KL211" s="54"/>
      <c r="KM211" s="54"/>
      <c r="KN211" s="54"/>
      <c r="KO211" s="54"/>
      <c r="KP211" s="54"/>
      <c r="KQ211" s="54"/>
      <c r="KR211" s="54"/>
      <c r="KS211" s="54"/>
      <c r="KT211" s="54"/>
      <c r="KU211" s="54"/>
      <c r="KV211" s="54"/>
      <c r="KW211" s="54"/>
      <c r="KX211" s="54"/>
    </row>
    <row r="212" ht="5.2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54"/>
      <c r="BK212" s="54"/>
      <c r="BL212" s="54"/>
      <c r="BM212" s="54"/>
      <c r="BN212" s="54"/>
      <c r="BO212" s="54"/>
      <c r="BP212" s="54"/>
      <c r="BQ212" s="54"/>
      <c r="BR212" s="54"/>
      <c r="BS212" s="54"/>
      <c r="BT212" s="54"/>
      <c r="BU212" s="54"/>
      <c r="BV212" s="54"/>
      <c r="BW212" s="54"/>
      <c r="BX212" s="54"/>
      <c r="BY212" s="54"/>
      <c r="BZ212" s="54"/>
      <c r="CA212" s="54"/>
      <c r="CB212" s="54"/>
      <c r="CC212" s="54"/>
      <c r="CD212" s="54"/>
      <c r="CE212" s="54"/>
      <c r="CF212" s="54"/>
      <c r="CG212" s="54"/>
      <c r="CH212" s="54"/>
      <c r="CI212" s="54"/>
      <c r="CJ212" s="54"/>
      <c r="CK212" s="54"/>
      <c r="CL212" s="54"/>
      <c r="CM212" s="54"/>
      <c r="CN212" s="54"/>
      <c r="CO212" s="54"/>
      <c r="CP212" s="54"/>
      <c r="CQ212" s="54"/>
      <c r="CR212" s="54"/>
      <c r="CS212" s="54"/>
      <c r="CT212" s="54"/>
      <c r="CU212" s="54"/>
      <c r="CV212" s="54"/>
      <c r="CW212" s="54"/>
      <c r="CX212" s="54"/>
      <c r="CY212" s="54"/>
      <c r="CZ212" s="54"/>
      <c r="DA212" s="54"/>
      <c r="DB212" s="54"/>
      <c r="DC212" s="108"/>
      <c r="DD212" s="60"/>
      <c r="EG212" s="11"/>
      <c r="EH212" s="10"/>
      <c r="FK212" s="61"/>
      <c r="FL212" s="108"/>
      <c r="FM212" s="54"/>
      <c r="FN212" s="54"/>
      <c r="FO212" s="54"/>
      <c r="FP212" s="54"/>
      <c r="FQ212" s="54"/>
      <c r="FR212" s="54"/>
      <c r="FS212" s="54"/>
      <c r="FT212" s="54"/>
      <c r="FU212" s="54"/>
      <c r="FV212" s="54"/>
      <c r="FW212" s="54"/>
      <c r="FX212" s="54"/>
      <c r="FY212" s="54"/>
      <c r="FZ212" s="54"/>
      <c r="GA212" s="54"/>
      <c r="GB212" s="54"/>
      <c r="GC212" s="54"/>
      <c r="GD212" s="54"/>
      <c r="GE212" s="54"/>
      <c r="GF212" s="54"/>
      <c r="GG212" s="54"/>
      <c r="GH212" s="54"/>
      <c r="GI212" s="54"/>
      <c r="GJ212" s="54"/>
      <c r="GK212" s="54"/>
      <c r="GL212" s="54"/>
      <c r="GM212" s="54"/>
      <c r="GN212" s="54"/>
      <c r="GO212" s="54"/>
      <c r="GP212" s="54"/>
      <c r="GQ212" s="54"/>
      <c r="GR212" s="54"/>
      <c r="GS212" s="54"/>
      <c r="GT212" s="54"/>
      <c r="GU212" s="54"/>
      <c r="GV212" s="54"/>
      <c r="GW212" s="54"/>
      <c r="GX212" s="54"/>
      <c r="GY212" s="54"/>
      <c r="GZ212" s="54"/>
      <c r="HA212" s="54"/>
      <c r="HB212" s="54"/>
      <c r="HC212" s="54"/>
      <c r="HD212" s="54"/>
      <c r="HE212" s="54"/>
      <c r="HF212" s="54"/>
      <c r="HG212" s="54"/>
      <c r="HH212" s="54"/>
      <c r="HI212" s="54"/>
      <c r="HJ212" s="54"/>
      <c r="HK212" s="54"/>
      <c r="HL212" s="54"/>
      <c r="HM212" s="54"/>
      <c r="HN212" s="54"/>
      <c r="HO212" s="54"/>
      <c r="HP212" s="54"/>
      <c r="HQ212" s="54"/>
      <c r="HR212" s="54"/>
      <c r="HS212" s="54"/>
      <c r="HT212" s="54"/>
      <c r="HU212" s="54"/>
      <c r="HV212" s="54"/>
      <c r="HW212" s="54"/>
      <c r="HX212" s="54"/>
      <c r="HY212" s="54"/>
      <c r="HZ212" s="54"/>
      <c r="IA212" s="54"/>
      <c r="IB212" s="54"/>
      <c r="IC212" s="54"/>
      <c r="ID212" s="54"/>
      <c r="IE212" s="54"/>
      <c r="IF212" s="54"/>
      <c r="IG212" s="54"/>
      <c r="IH212" s="54"/>
      <c r="II212" s="54"/>
      <c r="IJ212" s="54"/>
      <c r="IK212" s="54"/>
      <c r="IL212" s="54"/>
      <c r="IM212" s="54"/>
      <c r="IN212" s="54"/>
      <c r="IO212" s="54"/>
      <c r="IP212" s="54"/>
      <c r="IQ212" s="54"/>
      <c r="IR212" s="54"/>
      <c r="IS212" s="54"/>
      <c r="IT212" s="54"/>
      <c r="IU212" s="54"/>
      <c r="IV212" s="54"/>
      <c r="IW212" s="54"/>
      <c r="IX212" s="54"/>
      <c r="IY212" s="54"/>
      <c r="IZ212" s="54"/>
      <c r="JA212" s="54"/>
      <c r="JB212" s="54"/>
      <c r="JC212" s="54"/>
      <c r="JD212" s="54"/>
      <c r="JE212" s="54"/>
      <c r="JF212" s="54"/>
      <c r="JG212" s="54"/>
      <c r="JH212" s="54"/>
      <c r="JI212" s="54"/>
      <c r="JJ212" s="54"/>
      <c r="JK212" s="54"/>
      <c r="JL212" s="54"/>
      <c r="JM212" s="54"/>
      <c r="JN212" s="54"/>
      <c r="JO212" s="54"/>
      <c r="JP212" s="54"/>
      <c r="JQ212" s="54"/>
      <c r="JR212" s="54"/>
      <c r="JS212" s="54"/>
      <c r="JT212" s="54"/>
      <c r="JU212" s="54"/>
      <c r="JV212" s="54"/>
      <c r="JW212" s="54"/>
      <c r="JX212" s="54"/>
      <c r="JY212" s="54"/>
      <c r="JZ212" s="54"/>
      <c r="KA212" s="54"/>
      <c r="KB212" s="54"/>
      <c r="KC212" s="54"/>
      <c r="KD212" s="54"/>
      <c r="KE212" s="54"/>
      <c r="KF212" s="54"/>
      <c r="KG212" s="54"/>
      <c r="KH212" s="54"/>
      <c r="KI212" s="54"/>
      <c r="KJ212" s="54"/>
      <c r="KK212" s="54"/>
      <c r="KL212" s="54"/>
      <c r="KM212" s="54"/>
      <c r="KN212" s="54"/>
      <c r="KO212" s="54"/>
      <c r="KP212" s="54"/>
      <c r="KQ212" s="54"/>
      <c r="KR212" s="54"/>
      <c r="KS212" s="54"/>
      <c r="KT212" s="54"/>
      <c r="KU212" s="54"/>
      <c r="KV212" s="54"/>
      <c r="KW212" s="54"/>
      <c r="KX212" s="54"/>
    </row>
    <row r="213" ht="5.2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54"/>
      <c r="BK213" s="54"/>
      <c r="BL213" s="54"/>
      <c r="BM213" s="54"/>
      <c r="BN213" s="54"/>
      <c r="BO213" s="54"/>
      <c r="BP213" s="54"/>
      <c r="BQ213" s="54"/>
      <c r="BR213" s="54"/>
      <c r="BS213" s="54"/>
      <c r="BT213" s="54"/>
      <c r="BU213" s="54"/>
      <c r="BV213" s="54"/>
      <c r="BW213" s="54"/>
      <c r="BX213" s="54"/>
      <c r="BY213" s="54"/>
      <c r="BZ213" s="54"/>
      <c r="CA213" s="54"/>
      <c r="CB213" s="54"/>
      <c r="CC213" s="54"/>
      <c r="CD213" s="54"/>
      <c r="CE213" s="54"/>
      <c r="CF213" s="54"/>
      <c r="CG213" s="54"/>
      <c r="CH213" s="54"/>
      <c r="CI213" s="54"/>
      <c r="CJ213" s="54"/>
      <c r="CK213" s="54"/>
      <c r="CL213" s="54"/>
      <c r="CM213" s="54"/>
      <c r="CN213" s="54"/>
      <c r="CO213" s="54"/>
      <c r="CP213" s="54"/>
      <c r="CQ213" s="54"/>
      <c r="CR213" s="54"/>
      <c r="CS213" s="54"/>
      <c r="CT213" s="54"/>
      <c r="CU213" s="54"/>
      <c r="CV213" s="54"/>
      <c r="CW213" s="54"/>
      <c r="CX213" s="54"/>
      <c r="CY213" s="54"/>
      <c r="CZ213" s="54"/>
      <c r="DA213" s="54"/>
      <c r="DB213" s="54"/>
      <c r="DC213" s="108"/>
      <c r="DD213" s="60"/>
      <c r="EG213" s="11"/>
      <c r="EH213" s="10"/>
      <c r="FK213" s="61"/>
      <c r="FL213" s="108"/>
      <c r="FM213" s="54"/>
      <c r="FN213" s="54"/>
      <c r="FO213" s="54"/>
      <c r="FP213" s="54"/>
      <c r="FQ213" s="54"/>
      <c r="FR213" s="54"/>
      <c r="FS213" s="54"/>
      <c r="FT213" s="54"/>
      <c r="FU213" s="54"/>
      <c r="FV213" s="54"/>
      <c r="FW213" s="54"/>
      <c r="FX213" s="54"/>
      <c r="FY213" s="54"/>
      <c r="FZ213" s="54"/>
      <c r="GA213" s="54"/>
      <c r="GB213" s="54"/>
      <c r="GC213" s="54"/>
      <c r="GD213" s="54"/>
      <c r="GE213" s="54"/>
      <c r="GF213" s="54"/>
      <c r="GG213" s="54"/>
      <c r="GH213" s="54"/>
      <c r="GI213" s="54"/>
      <c r="GJ213" s="54"/>
      <c r="GK213" s="54"/>
      <c r="GL213" s="54"/>
      <c r="GM213" s="54"/>
      <c r="GN213" s="54"/>
      <c r="GO213" s="54"/>
      <c r="GP213" s="54"/>
      <c r="GQ213" s="54"/>
      <c r="GR213" s="54"/>
      <c r="GS213" s="54"/>
      <c r="GT213" s="54"/>
      <c r="GU213" s="54"/>
      <c r="GV213" s="54"/>
      <c r="GW213" s="54"/>
      <c r="GX213" s="54"/>
      <c r="GY213" s="54"/>
      <c r="GZ213" s="54"/>
      <c r="HA213" s="54"/>
      <c r="HB213" s="54"/>
      <c r="HC213" s="54"/>
      <c r="HD213" s="54"/>
      <c r="HE213" s="54"/>
      <c r="HF213" s="54"/>
      <c r="HG213" s="54"/>
      <c r="HH213" s="54"/>
      <c r="HI213" s="54"/>
      <c r="HJ213" s="54"/>
      <c r="HK213" s="54"/>
      <c r="HL213" s="54"/>
      <c r="HM213" s="54"/>
      <c r="HN213" s="54"/>
      <c r="HO213" s="54"/>
      <c r="HP213" s="54"/>
      <c r="HQ213" s="54"/>
      <c r="HR213" s="54"/>
      <c r="HS213" s="54"/>
      <c r="HT213" s="54"/>
      <c r="HU213" s="54"/>
      <c r="HV213" s="54"/>
      <c r="HW213" s="54"/>
      <c r="HX213" s="54"/>
      <c r="HY213" s="54"/>
      <c r="HZ213" s="54"/>
      <c r="IA213" s="54"/>
      <c r="IB213" s="54"/>
      <c r="IC213" s="54"/>
      <c r="ID213" s="54"/>
      <c r="IE213" s="54"/>
      <c r="IF213" s="54"/>
      <c r="IG213" s="54"/>
      <c r="IH213" s="54"/>
      <c r="II213" s="54"/>
      <c r="IJ213" s="54"/>
      <c r="IK213" s="54"/>
      <c r="IL213" s="54"/>
      <c r="IM213" s="54"/>
      <c r="IN213" s="54"/>
      <c r="IO213" s="54"/>
      <c r="IP213" s="54"/>
      <c r="IQ213" s="54"/>
      <c r="IR213" s="54"/>
      <c r="IS213" s="54"/>
      <c r="IT213" s="54"/>
      <c r="IU213" s="54"/>
      <c r="IV213" s="54"/>
      <c r="IW213" s="54"/>
      <c r="IX213" s="54"/>
      <c r="IY213" s="54"/>
      <c r="IZ213" s="54"/>
      <c r="JA213" s="54"/>
      <c r="JB213" s="54"/>
      <c r="JC213" s="54"/>
      <c r="JD213" s="54"/>
      <c r="JE213" s="54"/>
      <c r="JF213" s="54"/>
      <c r="JG213" s="54"/>
      <c r="JH213" s="54"/>
      <c r="JI213" s="54"/>
      <c r="JJ213" s="54"/>
      <c r="JK213" s="54"/>
      <c r="JL213" s="54"/>
      <c r="JM213" s="54"/>
      <c r="JN213" s="54"/>
      <c r="JO213" s="54"/>
      <c r="JP213" s="54"/>
      <c r="JQ213" s="54"/>
      <c r="JR213" s="54"/>
      <c r="JS213" s="54"/>
      <c r="JT213" s="54"/>
      <c r="JU213" s="54"/>
      <c r="JV213" s="54"/>
      <c r="JW213" s="54"/>
      <c r="JX213" s="54"/>
      <c r="JY213" s="54"/>
      <c r="JZ213" s="54"/>
      <c r="KA213" s="54"/>
      <c r="KB213" s="54"/>
      <c r="KC213" s="54"/>
      <c r="KD213" s="54"/>
      <c r="KE213" s="54"/>
      <c r="KF213" s="54"/>
      <c r="KG213" s="54"/>
      <c r="KH213" s="54"/>
      <c r="KI213" s="54"/>
      <c r="KJ213" s="54"/>
      <c r="KK213" s="54"/>
      <c r="KL213" s="54"/>
      <c r="KM213" s="54"/>
      <c r="KN213" s="54"/>
      <c r="KO213" s="54"/>
      <c r="KP213" s="54"/>
      <c r="KQ213" s="54"/>
      <c r="KR213" s="54"/>
      <c r="KS213" s="54"/>
      <c r="KT213" s="54"/>
      <c r="KU213" s="54"/>
      <c r="KV213" s="54"/>
      <c r="KW213" s="54"/>
      <c r="KX213" s="54"/>
    </row>
    <row r="214" ht="5.2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c r="BI214" s="54"/>
      <c r="BJ214" s="54"/>
      <c r="BK214" s="54"/>
      <c r="BL214" s="54"/>
      <c r="BM214" s="54"/>
      <c r="BN214" s="54"/>
      <c r="BO214" s="54"/>
      <c r="BP214" s="54"/>
      <c r="BQ214" s="54"/>
      <c r="BR214" s="54"/>
      <c r="BS214" s="54"/>
      <c r="BT214" s="54"/>
      <c r="BU214" s="54"/>
      <c r="BV214" s="54"/>
      <c r="BW214" s="54"/>
      <c r="BX214" s="54"/>
      <c r="BY214" s="54"/>
      <c r="BZ214" s="54"/>
      <c r="CA214" s="54"/>
      <c r="CB214" s="54"/>
      <c r="CC214" s="54"/>
      <c r="CD214" s="54"/>
      <c r="CE214" s="54"/>
      <c r="CF214" s="54"/>
      <c r="CG214" s="54"/>
      <c r="CH214" s="54"/>
      <c r="CI214" s="54"/>
      <c r="CJ214" s="54"/>
      <c r="CK214" s="54"/>
      <c r="CL214" s="54"/>
      <c r="CM214" s="54"/>
      <c r="CN214" s="54"/>
      <c r="CO214" s="54"/>
      <c r="CP214" s="54"/>
      <c r="CQ214" s="54"/>
      <c r="CR214" s="54"/>
      <c r="CS214" s="54"/>
      <c r="CT214" s="54"/>
      <c r="CU214" s="54"/>
      <c r="CV214" s="54"/>
      <c r="CW214" s="54"/>
      <c r="CX214" s="54"/>
      <c r="CY214" s="54"/>
      <c r="CZ214" s="54"/>
      <c r="DA214" s="54"/>
      <c r="DB214" s="54"/>
      <c r="DC214" s="108"/>
      <c r="DD214" s="60"/>
      <c r="EG214" s="11"/>
      <c r="EH214" s="10"/>
      <c r="FK214" s="61"/>
      <c r="FL214" s="108"/>
      <c r="FM214" s="54"/>
      <c r="FN214" s="54"/>
      <c r="FO214" s="54"/>
      <c r="FP214" s="54"/>
      <c r="FQ214" s="54"/>
      <c r="FR214" s="54"/>
      <c r="FS214" s="54"/>
      <c r="FT214" s="54"/>
      <c r="FU214" s="54"/>
      <c r="FV214" s="54"/>
      <c r="FW214" s="54"/>
      <c r="FX214" s="54"/>
      <c r="FY214" s="54"/>
      <c r="FZ214" s="54"/>
      <c r="GA214" s="54"/>
      <c r="GB214" s="54"/>
      <c r="GC214" s="54"/>
      <c r="GD214" s="54"/>
      <c r="GE214" s="54"/>
      <c r="GF214" s="54"/>
      <c r="GG214" s="54"/>
      <c r="GH214" s="54"/>
      <c r="GI214" s="54"/>
      <c r="GJ214" s="54"/>
      <c r="GK214" s="54"/>
      <c r="GL214" s="54"/>
      <c r="GM214" s="54"/>
      <c r="GN214" s="54"/>
      <c r="GO214" s="54"/>
      <c r="GP214" s="54"/>
      <c r="GQ214" s="54"/>
      <c r="GR214" s="54"/>
      <c r="GS214" s="54"/>
      <c r="GT214" s="54"/>
      <c r="GU214" s="54"/>
      <c r="GV214" s="54"/>
      <c r="GW214" s="54"/>
      <c r="GX214" s="54"/>
      <c r="GY214" s="54"/>
      <c r="GZ214" s="54"/>
      <c r="HA214" s="54"/>
      <c r="HB214" s="54"/>
      <c r="HC214" s="54"/>
      <c r="HD214" s="54"/>
      <c r="HE214" s="54"/>
      <c r="HF214" s="54"/>
      <c r="HG214" s="54"/>
      <c r="HH214" s="54"/>
      <c r="HI214" s="54"/>
      <c r="HJ214" s="54"/>
      <c r="HK214" s="54"/>
      <c r="HL214" s="54"/>
      <c r="HM214" s="54"/>
      <c r="HN214" s="54"/>
      <c r="HO214" s="54"/>
      <c r="HP214" s="54"/>
      <c r="HQ214" s="54"/>
      <c r="HR214" s="54"/>
      <c r="HS214" s="54"/>
      <c r="HT214" s="54"/>
      <c r="HU214" s="54"/>
      <c r="HV214" s="54"/>
      <c r="HW214" s="54"/>
      <c r="HX214" s="54"/>
      <c r="HY214" s="54"/>
      <c r="HZ214" s="54"/>
      <c r="IA214" s="54"/>
      <c r="IB214" s="54"/>
      <c r="IC214" s="54"/>
      <c r="ID214" s="54"/>
      <c r="IE214" s="54"/>
      <c r="IF214" s="54"/>
      <c r="IG214" s="54"/>
      <c r="IH214" s="54"/>
      <c r="II214" s="54"/>
      <c r="IJ214" s="54"/>
      <c r="IK214" s="54"/>
      <c r="IL214" s="54"/>
      <c r="IM214" s="54"/>
      <c r="IN214" s="54"/>
      <c r="IO214" s="54"/>
      <c r="IP214" s="54"/>
      <c r="IQ214" s="54"/>
      <c r="IR214" s="54"/>
      <c r="IS214" s="54"/>
      <c r="IT214" s="54"/>
      <c r="IU214" s="54"/>
      <c r="IV214" s="54"/>
      <c r="IW214" s="54"/>
      <c r="IX214" s="54"/>
      <c r="IY214" s="54"/>
      <c r="IZ214" s="54"/>
      <c r="JA214" s="54"/>
      <c r="JB214" s="54"/>
      <c r="JC214" s="54"/>
      <c r="JD214" s="54"/>
      <c r="JE214" s="54"/>
      <c r="JF214" s="54"/>
      <c r="JG214" s="54"/>
      <c r="JH214" s="54"/>
      <c r="JI214" s="54"/>
      <c r="JJ214" s="54"/>
      <c r="JK214" s="54"/>
      <c r="JL214" s="54"/>
      <c r="JM214" s="54"/>
      <c r="JN214" s="54"/>
      <c r="JO214" s="54"/>
      <c r="JP214" s="54"/>
      <c r="JQ214" s="54"/>
      <c r="JR214" s="54"/>
      <c r="JS214" s="54"/>
      <c r="JT214" s="54"/>
      <c r="JU214" s="54"/>
      <c r="JV214" s="54"/>
      <c r="JW214" s="54"/>
      <c r="JX214" s="54"/>
      <c r="JY214" s="54"/>
      <c r="JZ214" s="54"/>
      <c r="KA214" s="54"/>
      <c r="KB214" s="54"/>
      <c r="KC214" s="54"/>
      <c r="KD214" s="54"/>
      <c r="KE214" s="54"/>
      <c r="KF214" s="54"/>
      <c r="KG214" s="54"/>
      <c r="KH214" s="54"/>
      <c r="KI214" s="54"/>
      <c r="KJ214" s="54"/>
      <c r="KK214" s="54"/>
      <c r="KL214" s="54"/>
      <c r="KM214" s="54"/>
      <c r="KN214" s="54"/>
      <c r="KO214" s="54"/>
      <c r="KP214" s="54"/>
      <c r="KQ214" s="54"/>
      <c r="KR214" s="54"/>
      <c r="KS214" s="54"/>
      <c r="KT214" s="54"/>
      <c r="KU214" s="54"/>
      <c r="KV214" s="54"/>
      <c r="KW214" s="54"/>
      <c r="KX214" s="54"/>
    </row>
    <row r="215" ht="5.2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c r="BS215" s="54"/>
      <c r="BT215" s="54"/>
      <c r="BU215" s="54"/>
      <c r="BV215" s="54"/>
      <c r="BW215" s="54"/>
      <c r="BX215" s="54"/>
      <c r="BY215" s="54"/>
      <c r="BZ215" s="54"/>
      <c r="CA215" s="54"/>
      <c r="CB215" s="54"/>
      <c r="CC215" s="54"/>
      <c r="CD215" s="54"/>
      <c r="CE215" s="54"/>
      <c r="CF215" s="54"/>
      <c r="CG215" s="54"/>
      <c r="CH215" s="54"/>
      <c r="CI215" s="54"/>
      <c r="CJ215" s="54"/>
      <c r="CK215" s="54"/>
      <c r="CL215" s="54"/>
      <c r="CM215" s="54"/>
      <c r="CN215" s="54"/>
      <c r="CO215" s="54"/>
      <c r="CP215" s="54"/>
      <c r="CQ215" s="54"/>
      <c r="CR215" s="54"/>
      <c r="CS215" s="54"/>
      <c r="CT215" s="54"/>
      <c r="CU215" s="54"/>
      <c r="CV215" s="54"/>
      <c r="CW215" s="54"/>
      <c r="CX215" s="54"/>
      <c r="CY215" s="54"/>
      <c r="CZ215" s="54"/>
      <c r="DA215" s="54"/>
      <c r="DB215" s="54"/>
      <c r="DC215" s="119" t="str">
        <f>DC211</f>
        <v/>
      </c>
      <c r="DD215" s="112"/>
      <c r="DL215" s="122"/>
      <c r="DN215" s="11"/>
      <c r="DO215" s="127"/>
      <c r="DQ215" s="11"/>
      <c r="DR215" s="124"/>
      <c r="DU215" s="108"/>
      <c r="ED215" s="85">
        <f>sum(DL215:DT217)</f>
        <v>0</v>
      </c>
      <c r="EG215" s="11"/>
      <c r="EH215" s="86">
        <f>sum(EU215:FC217)</f>
        <v>0</v>
      </c>
      <c r="EL215" s="108"/>
      <c r="EM215" s="108"/>
      <c r="EN215" s="108"/>
      <c r="EO215" s="108"/>
      <c r="EP215" s="108"/>
      <c r="EQ215" s="108"/>
      <c r="ER215" s="108"/>
      <c r="ES215" s="108"/>
      <c r="ET215" s="108"/>
      <c r="EU215" s="125"/>
      <c r="EW215" s="11"/>
      <c r="EX215" s="126"/>
      <c r="EZ215" s="11"/>
      <c r="FA215" s="127"/>
      <c r="FD215" s="108"/>
      <c r="FE215" s="108"/>
      <c r="FF215" s="108"/>
      <c r="FG215" s="108"/>
      <c r="FH215" s="108"/>
      <c r="FI215" s="108"/>
      <c r="FJ215" s="108"/>
      <c r="FK215" s="116"/>
      <c r="FL215" s="119" t="str">
        <f>FL211</f>
        <v/>
      </c>
      <c r="FM215" s="54"/>
      <c r="FN215" s="54"/>
      <c r="FO215" s="54"/>
      <c r="FP215" s="54"/>
      <c r="FQ215" s="54"/>
      <c r="FR215" s="54"/>
      <c r="FS215" s="54"/>
      <c r="FT215" s="54"/>
      <c r="FU215" s="54"/>
      <c r="FV215" s="54"/>
      <c r="FW215" s="54"/>
      <c r="FX215" s="54"/>
      <c r="FY215" s="54"/>
      <c r="FZ215" s="54"/>
      <c r="GA215" s="54"/>
      <c r="GB215" s="54"/>
      <c r="GC215" s="54"/>
      <c r="GD215" s="54"/>
      <c r="GE215" s="54"/>
      <c r="GF215" s="54"/>
      <c r="GG215" s="54"/>
      <c r="GH215" s="54"/>
      <c r="GI215" s="54"/>
      <c r="GJ215" s="54"/>
      <c r="GK215" s="54"/>
      <c r="GL215" s="54"/>
      <c r="GM215" s="54"/>
      <c r="GN215" s="54"/>
      <c r="GO215" s="54"/>
      <c r="GP215" s="54"/>
      <c r="GQ215" s="54"/>
      <c r="GR215" s="54"/>
      <c r="GS215" s="54"/>
      <c r="GT215" s="54"/>
      <c r="GU215" s="54"/>
      <c r="GV215" s="54"/>
      <c r="GW215" s="54"/>
      <c r="GX215" s="54"/>
      <c r="GY215" s="54"/>
      <c r="GZ215" s="54"/>
      <c r="HA215" s="54"/>
      <c r="HB215" s="54"/>
      <c r="HC215" s="54"/>
      <c r="HD215" s="54"/>
      <c r="HE215" s="54"/>
      <c r="HF215" s="54"/>
      <c r="HG215" s="54"/>
      <c r="HH215" s="54"/>
      <c r="HI215" s="54"/>
      <c r="HJ215" s="54"/>
      <c r="HK215" s="54"/>
      <c r="HL215" s="54"/>
      <c r="HM215" s="54"/>
      <c r="HN215" s="54"/>
      <c r="HO215" s="54"/>
      <c r="HP215" s="54"/>
      <c r="HQ215" s="54"/>
      <c r="HR215" s="54"/>
      <c r="HS215" s="54"/>
      <c r="HT215" s="54"/>
      <c r="HU215" s="54"/>
      <c r="HV215" s="54"/>
      <c r="HW215" s="54"/>
      <c r="HX215" s="54"/>
      <c r="HY215" s="54"/>
      <c r="HZ215" s="54"/>
      <c r="IA215" s="54"/>
      <c r="IB215" s="54"/>
      <c r="IC215" s="54"/>
      <c r="ID215" s="54"/>
      <c r="IE215" s="54"/>
      <c r="IF215" s="54"/>
      <c r="IG215" s="54"/>
      <c r="IH215" s="54"/>
      <c r="II215" s="54"/>
      <c r="IJ215" s="54"/>
      <c r="IK215" s="54"/>
      <c r="IL215" s="54"/>
      <c r="IM215" s="54"/>
      <c r="IN215" s="54"/>
      <c r="IO215" s="54"/>
      <c r="IP215" s="54"/>
      <c r="IQ215" s="54"/>
      <c r="IR215" s="54"/>
      <c r="IS215" s="54"/>
      <c r="IT215" s="54"/>
      <c r="IU215" s="54"/>
      <c r="IV215" s="54"/>
      <c r="IW215" s="54"/>
      <c r="IX215" s="54"/>
      <c r="IY215" s="54"/>
      <c r="IZ215" s="54"/>
      <c r="JA215" s="54"/>
      <c r="JB215" s="54"/>
      <c r="JC215" s="54"/>
      <c r="JD215" s="54"/>
      <c r="JE215" s="54"/>
      <c r="JF215" s="54"/>
      <c r="JG215" s="54"/>
      <c r="JH215" s="54"/>
      <c r="JI215" s="54"/>
      <c r="JJ215" s="54"/>
      <c r="JK215" s="54"/>
      <c r="JL215" s="54"/>
      <c r="JM215" s="54"/>
      <c r="JN215" s="54"/>
      <c r="JO215" s="54"/>
      <c r="JP215" s="54"/>
      <c r="JQ215" s="54"/>
      <c r="JR215" s="54"/>
      <c r="JS215" s="54"/>
      <c r="JT215" s="54"/>
      <c r="JU215" s="54"/>
      <c r="JV215" s="54"/>
      <c r="JW215" s="54"/>
      <c r="JX215" s="54"/>
      <c r="JY215" s="54"/>
      <c r="JZ215" s="54"/>
      <c r="KA215" s="54"/>
      <c r="KB215" s="54"/>
      <c r="KC215" s="54"/>
      <c r="KD215" s="54"/>
      <c r="KE215" s="54"/>
      <c r="KF215" s="54"/>
      <c r="KG215" s="54"/>
      <c r="KH215" s="54"/>
      <c r="KI215" s="54"/>
      <c r="KJ215" s="54"/>
      <c r="KK215" s="54"/>
      <c r="KL215" s="54"/>
      <c r="KM215" s="54"/>
      <c r="KN215" s="54"/>
      <c r="KO215" s="54"/>
      <c r="KP215" s="54"/>
      <c r="KQ215" s="54"/>
      <c r="KR215" s="54"/>
      <c r="KS215" s="54"/>
      <c r="KT215" s="54"/>
      <c r="KU215" s="54"/>
      <c r="KV215" s="54"/>
      <c r="KW215" s="54"/>
      <c r="KX215" s="54"/>
    </row>
    <row r="216" ht="5.2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c r="BI216" s="54"/>
      <c r="BJ216" s="54"/>
      <c r="BK216" s="54"/>
      <c r="BL216" s="54"/>
      <c r="BM216" s="54"/>
      <c r="BN216" s="54"/>
      <c r="BO216" s="54"/>
      <c r="BP216" s="54"/>
      <c r="BQ216" s="54"/>
      <c r="BR216" s="54"/>
      <c r="BS216" s="54"/>
      <c r="BT216" s="54"/>
      <c r="BU216" s="54"/>
      <c r="BV216" s="54"/>
      <c r="BW216" s="54"/>
      <c r="BX216" s="54"/>
      <c r="BY216" s="54"/>
      <c r="BZ216" s="54"/>
      <c r="CA216" s="54"/>
      <c r="CB216" s="54"/>
      <c r="CC216" s="54"/>
      <c r="CD216" s="54"/>
      <c r="CE216" s="54"/>
      <c r="CF216" s="54"/>
      <c r="CG216" s="54"/>
      <c r="CH216" s="54"/>
      <c r="CI216" s="54"/>
      <c r="CJ216" s="54"/>
      <c r="CK216" s="54"/>
      <c r="CL216" s="54"/>
      <c r="CM216" s="54"/>
      <c r="CN216" s="54"/>
      <c r="CO216" s="54"/>
      <c r="CP216" s="54"/>
      <c r="CQ216" s="54"/>
      <c r="CR216" s="54"/>
      <c r="CS216" s="54"/>
      <c r="CT216" s="54"/>
      <c r="CU216" s="54"/>
      <c r="CV216" s="54"/>
      <c r="CW216" s="54"/>
      <c r="CX216" s="54"/>
      <c r="CY216" s="54"/>
      <c r="CZ216" s="54"/>
      <c r="DA216" s="54"/>
      <c r="DB216" s="54"/>
      <c r="DC216" s="108"/>
      <c r="DD216" s="60"/>
      <c r="DN216" s="11"/>
      <c r="DO216" s="10"/>
      <c r="DQ216" s="11"/>
      <c r="DR216" s="10"/>
      <c r="EG216" s="11"/>
      <c r="EH216" s="10"/>
      <c r="EL216" s="108"/>
      <c r="EM216" s="108"/>
      <c r="EN216" s="108"/>
      <c r="EO216" s="108"/>
      <c r="EP216" s="108"/>
      <c r="EQ216" s="108"/>
      <c r="ER216" s="108"/>
      <c r="ES216" s="108"/>
      <c r="ET216" s="108"/>
      <c r="EW216" s="11"/>
      <c r="EX216" s="10"/>
      <c r="EZ216" s="11"/>
      <c r="FA216" s="10"/>
      <c r="FD216" s="108"/>
      <c r="FE216" s="108"/>
      <c r="FF216" s="108"/>
      <c r="FG216" s="108"/>
      <c r="FH216" s="108"/>
      <c r="FI216" s="108"/>
      <c r="FJ216" s="108"/>
      <c r="FK216" s="116"/>
      <c r="FL216" s="108"/>
      <c r="FM216" s="54"/>
      <c r="FN216" s="54"/>
      <c r="FO216" s="54"/>
      <c r="FP216" s="54"/>
      <c r="FQ216" s="54"/>
      <c r="FR216" s="54"/>
      <c r="FS216" s="54"/>
      <c r="FT216" s="54"/>
      <c r="FU216" s="54"/>
      <c r="FV216" s="54"/>
      <c r="FW216" s="54"/>
      <c r="FX216" s="54"/>
      <c r="FY216" s="54"/>
      <c r="FZ216" s="54"/>
      <c r="GA216" s="54"/>
      <c r="GB216" s="54"/>
      <c r="GC216" s="54"/>
      <c r="GD216" s="54"/>
      <c r="GE216" s="54"/>
      <c r="GF216" s="54"/>
      <c r="GG216" s="54"/>
      <c r="GH216" s="54"/>
      <c r="GI216" s="54"/>
      <c r="GJ216" s="54"/>
      <c r="GK216" s="54"/>
      <c r="GL216" s="54"/>
      <c r="GM216" s="54"/>
      <c r="GN216" s="54"/>
      <c r="GO216" s="54"/>
      <c r="GP216" s="54"/>
      <c r="GQ216" s="54"/>
      <c r="GR216" s="54"/>
      <c r="GS216" s="54"/>
      <c r="GT216" s="54"/>
      <c r="GU216" s="54"/>
      <c r="GV216" s="54"/>
      <c r="GW216" s="54"/>
      <c r="GX216" s="54"/>
      <c r="GY216" s="54"/>
      <c r="GZ216" s="54"/>
      <c r="HA216" s="54"/>
      <c r="HB216" s="54"/>
      <c r="HC216" s="54"/>
      <c r="HD216" s="54"/>
      <c r="HE216" s="54"/>
      <c r="HF216" s="54"/>
      <c r="HG216" s="54"/>
      <c r="HH216" s="54"/>
      <c r="HI216" s="54"/>
      <c r="HJ216" s="54"/>
      <c r="HK216" s="54"/>
      <c r="HL216" s="54"/>
      <c r="HM216" s="54"/>
      <c r="HN216" s="54"/>
      <c r="HO216" s="54"/>
      <c r="HP216" s="54"/>
      <c r="HQ216" s="54"/>
      <c r="HR216" s="54"/>
      <c r="HS216" s="54"/>
      <c r="HT216" s="54"/>
      <c r="HU216" s="54"/>
      <c r="HV216" s="54"/>
      <c r="HW216" s="54"/>
      <c r="HX216" s="54"/>
      <c r="HY216" s="54"/>
      <c r="HZ216" s="54"/>
      <c r="IA216" s="54"/>
      <c r="IB216" s="54"/>
      <c r="IC216" s="54"/>
      <c r="ID216" s="54"/>
      <c r="IE216" s="54"/>
      <c r="IF216" s="54"/>
      <c r="IG216" s="54"/>
      <c r="IH216" s="54"/>
      <c r="II216" s="54"/>
      <c r="IJ216" s="54"/>
      <c r="IK216" s="54"/>
      <c r="IL216" s="54"/>
      <c r="IM216" s="54"/>
      <c r="IN216" s="54"/>
      <c r="IO216" s="54"/>
      <c r="IP216" s="54"/>
      <c r="IQ216" s="54"/>
      <c r="IR216" s="54"/>
      <c r="IS216" s="54"/>
      <c r="IT216" s="54"/>
      <c r="IU216" s="54"/>
      <c r="IV216" s="54"/>
      <c r="IW216" s="54"/>
      <c r="IX216" s="54"/>
      <c r="IY216" s="54"/>
      <c r="IZ216" s="54"/>
      <c r="JA216" s="54"/>
      <c r="JB216" s="54"/>
      <c r="JC216" s="54"/>
      <c r="JD216" s="54"/>
      <c r="JE216" s="54"/>
      <c r="JF216" s="54"/>
      <c r="JG216" s="54"/>
      <c r="JH216" s="54"/>
      <c r="JI216" s="54"/>
      <c r="JJ216" s="54"/>
      <c r="JK216" s="54"/>
      <c r="JL216" s="54"/>
      <c r="JM216" s="54"/>
      <c r="JN216" s="54"/>
      <c r="JO216" s="54"/>
      <c r="JP216" s="54"/>
      <c r="JQ216" s="54"/>
      <c r="JR216" s="54"/>
      <c r="JS216" s="54"/>
      <c r="JT216" s="54"/>
      <c r="JU216" s="54"/>
      <c r="JV216" s="54"/>
      <c r="JW216" s="54"/>
      <c r="JX216" s="54"/>
      <c r="JY216" s="54"/>
      <c r="JZ216" s="54"/>
      <c r="KA216" s="54"/>
      <c r="KB216" s="54"/>
      <c r="KC216" s="54"/>
      <c r="KD216" s="54"/>
      <c r="KE216" s="54"/>
      <c r="KF216" s="54"/>
      <c r="KG216" s="54"/>
      <c r="KH216" s="54"/>
      <c r="KI216" s="54"/>
      <c r="KJ216" s="54"/>
      <c r="KK216" s="54"/>
      <c r="KL216" s="54"/>
      <c r="KM216" s="54"/>
      <c r="KN216" s="54"/>
      <c r="KO216" s="54"/>
      <c r="KP216" s="54"/>
      <c r="KQ216" s="54"/>
      <c r="KR216" s="54"/>
      <c r="KS216" s="54"/>
      <c r="KT216" s="54"/>
      <c r="KU216" s="54"/>
      <c r="KV216" s="54"/>
      <c r="KW216" s="54"/>
      <c r="KX216" s="54"/>
    </row>
    <row r="217" ht="5.2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c r="BI217" s="54"/>
      <c r="BJ217" s="54"/>
      <c r="BK217" s="54"/>
      <c r="BL217" s="54"/>
      <c r="BM217" s="54"/>
      <c r="BN217" s="54"/>
      <c r="BO217" s="54"/>
      <c r="BP217" s="54"/>
      <c r="BQ217" s="54"/>
      <c r="BR217" s="54"/>
      <c r="BS217" s="54"/>
      <c r="BT217" s="54"/>
      <c r="BU217" s="54"/>
      <c r="BV217" s="54"/>
      <c r="BW217" s="54"/>
      <c r="BX217" s="54"/>
      <c r="BY217" s="54"/>
      <c r="BZ217" s="54"/>
      <c r="CA217" s="54"/>
      <c r="CB217" s="54"/>
      <c r="CC217" s="54"/>
      <c r="CD217" s="54"/>
      <c r="CE217" s="54"/>
      <c r="CF217" s="54"/>
      <c r="CG217" s="54"/>
      <c r="CH217" s="54"/>
      <c r="CI217" s="54"/>
      <c r="CJ217" s="54"/>
      <c r="CK217" s="54"/>
      <c r="CL217" s="54"/>
      <c r="CM217" s="54"/>
      <c r="CN217" s="54"/>
      <c r="CO217" s="54"/>
      <c r="CP217" s="54"/>
      <c r="CQ217" s="54"/>
      <c r="CR217" s="54"/>
      <c r="CS217" s="54"/>
      <c r="CT217" s="54"/>
      <c r="CU217" s="54"/>
      <c r="CV217" s="54"/>
      <c r="CW217" s="54"/>
      <c r="CX217" s="54"/>
      <c r="CY217" s="54"/>
      <c r="CZ217" s="54"/>
      <c r="DA217" s="54"/>
      <c r="DB217" s="54"/>
      <c r="DC217" s="108"/>
      <c r="DD217" s="88"/>
      <c r="DE217" s="13"/>
      <c r="DF217" s="13"/>
      <c r="DG217" s="13"/>
      <c r="DH217" s="13"/>
      <c r="DI217" s="13"/>
      <c r="DJ217" s="13"/>
      <c r="DK217" s="13"/>
      <c r="DL217" s="13"/>
      <c r="DM217" s="13"/>
      <c r="DN217" s="14"/>
      <c r="DO217" s="12"/>
      <c r="DP217" s="13"/>
      <c r="DQ217" s="14"/>
      <c r="DR217" s="12"/>
      <c r="DS217" s="13"/>
      <c r="DT217" s="13"/>
      <c r="DU217" s="13"/>
      <c r="DV217" s="13"/>
      <c r="DW217" s="13"/>
      <c r="DX217" s="13"/>
      <c r="DY217" s="13"/>
      <c r="DZ217" s="13"/>
      <c r="EA217" s="13"/>
      <c r="EB217" s="13"/>
      <c r="EC217" s="13"/>
      <c r="ED217" s="13"/>
      <c r="EE217" s="13"/>
      <c r="EF217" s="13"/>
      <c r="EG217" s="14"/>
      <c r="EH217" s="12"/>
      <c r="EI217" s="13"/>
      <c r="EJ217" s="13"/>
      <c r="EK217" s="13"/>
      <c r="EL217" s="128"/>
      <c r="EM217" s="128"/>
      <c r="EN217" s="128"/>
      <c r="EO217" s="128"/>
      <c r="EP217" s="128"/>
      <c r="EQ217" s="128"/>
      <c r="ER217" s="128"/>
      <c r="ES217" s="128"/>
      <c r="ET217" s="128"/>
      <c r="EU217" s="13"/>
      <c r="EV217" s="13"/>
      <c r="EW217" s="14"/>
      <c r="EX217" s="12"/>
      <c r="EY217" s="13"/>
      <c r="EZ217" s="14"/>
      <c r="FA217" s="12"/>
      <c r="FB217" s="13"/>
      <c r="FC217" s="13"/>
      <c r="FD217" s="128"/>
      <c r="FE217" s="128"/>
      <c r="FF217" s="128"/>
      <c r="FG217" s="128"/>
      <c r="FH217" s="128"/>
      <c r="FI217" s="128"/>
      <c r="FJ217" s="128"/>
      <c r="FK217" s="129"/>
      <c r="FL217" s="108"/>
      <c r="FM217" s="54"/>
      <c r="FN217" s="54"/>
      <c r="FO217" s="54"/>
      <c r="FP217" s="54"/>
      <c r="FQ217" s="54"/>
      <c r="FR217" s="54"/>
      <c r="FS217" s="54"/>
      <c r="FT217" s="54"/>
      <c r="FU217" s="54"/>
      <c r="FV217" s="54"/>
      <c r="FW217" s="54"/>
      <c r="FX217" s="54"/>
      <c r="FY217" s="54"/>
      <c r="FZ217" s="54"/>
      <c r="GA217" s="54"/>
      <c r="GB217" s="54"/>
      <c r="GC217" s="54"/>
      <c r="GD217" s="54"/>
      <c r="GE217" s="54"/>
      <c r="GF217" s="54"/>
      <c r="GG217" s="54"/>
      <c r="GH217" s="54"/>
      <c r="GI217" s="54"/>
      <c r="GJ217" s="54"/>
      <c r="GK217" s="54"/>
      <c r="GL217" s="54"/>
      <c r="GM217" s="54"/>
      <c r="GN217" s="54"/>
      <c r="GO217" s="54"/>
      <c r="GP217" s="54"/>
      <c r="GQ217" s="54"/>
      <c r="GR217" s="54"/>
      <c r="GS217" s="54"/>
      <c r="GT217" s="54"/>
      <c r="GU217" s="54"/>
      <c r="GV217" s="54"/>
      <c r="GW217" s="54"/>
      <c r="GX217" s="54"/>
      <c r="GY217" s="54"/>
      <c r="GZ217" s="54"/>
      <c r="HA217" s="54"/>
      <c r="HB217" s="54"/>
      <c r="HC217" s="54"/>
      <c r="HD217" s="54"/>
      <c r="HE217" s="54"/>
      <c r="HF217" s="54"/>
      <c r="HG217" s="54"/>
      <c r="HH217" s="54"/>
      <c r="HI217" s="54"/>
      <c r="HJ217" s="54"/>
      <c r="HK217" s="54"/>
      <c r="HL217" s="54"/>
      <c r="HM217" s="54"/>
      <c r="HN217" s="54"/>
      <c r="HO217" s="54"/>
      <c r="HP217" s="54"/>
      <c r="HQ217" s="54"/>
      <c r="HR217" s="54"/>
      <c r="HS217" s="54"/>
      <c r="HT217" s="54"/>
      <c r="HU217" s="54"/>
      <c r="HV217" s="54"/>
      <c r="HW217" s="54"/>
      <c r="HX217" s="54"/>
      <c r="HY217" s="54"/>
      <c r="HZ217" s="54"/>
      <c r="IA217" s="54"/>
      <c r="IB217" s="54"/>
      <c r="IC217" s="54"/>
      <c r="ID217" s="54"/>
      <c r="IE217" s="54"/>
      <c r="IF217" s="54"/>
      <c r="IG217" s="54"/>
      <c r="IH217" s="54"/>
      <c r="II217" s="54"/>
      <c r="IJ217" s="54"/>
      <c r="IK217" s="54"/>
      <c r="IL217" s="54"/>
      <c r="IM217" s="54"/>
      <c r="IN217" s="54"/>
      <c r="IO217" s="54"/>
      <c r="IP217" s="54"/>
      <c r="IQ217" s="54"/>
      <c r="IR217" s="54"/>
      <c r="IS217" s="54"/>
      <c r="IT217" s="54"/>
      <c r="IU217" s="54"/>
      <c r="IV217" s="54"/>
      <c r="IW217" s="54"/>
      <c r="IX217" s="54"/>
      <c r="IY217" s="54"/>
      <c r="IZ217" s="54"/>
      <c r="JA217" s="54"/>
      <c r="JB217" s="54"/>
      <c r="JC217" s="54"/>
      <c r="JD217" s="54"/>
      <c r="JE217" s="54"/>
      <c r="JF217" s="54"/>
      <c r="JG217" s="54"/>
      <c r="JH217" s="54"/>
      <c r="JI217" s="54"/>
      <c r="JJ217" s="54"/>
      <c r="JK217" s="54"/>
      <c r="JL217" s="54"/>
      <c r="JM217" s="54"/>
      <c r="JN217" s="54"/>
      <c r="JO217" s="54"/>
      <c r="JP217" s="54"/>
      <c r="JQ217" s="54"/>
      <c r="JR217" s="54"/>
      <c r="JS217" s="54"/>
      <c r="JT217" s="54"/>
      <c r="JU217" s="54"/>
      <c r="JV217" s="54"/>
      <c r="JW217" s="54"/>
      <c r="JX217" s="54"/>
      <c r="JY217" s="54"/>
      <c r="JZ217" s="54"/>
      <c r="KA217" s="54"/>
      <c r="KB217" s="54"/>
      <c r="KC217" s="54"/>
      <c r="KD217" s="54"/>
      <c r="KE217" s="54"/>
      <c r="KF217" s="54"/>
      <c r="KG217" s="54"/>
      <c r="KH217" s="54"/>
      <c r="KI217" s="54"/>
      <c r="KJ217" s="54"/>
      <c r="KK217" s="54"/>
      <c r="KL217" s="54"/>
      <c r="KM217" s="54"/>
      <c r="KN217" s="54"/>
      <c r="KO217" s="54"/>
      <c r="KP217" s="54"/>
      <c r="KQ217" s="54"/>
      <c r="KR217" s="54"/>
      <c r="KS217" s="54"/>
      <c r="KT217" s="54"/>
      <c r="KU217" s="54"/>
      <c r="KV217" s="54"/>
      <c r="KW217" s="54"/>
      <c r="KX217" s="54"/>
    </row>
    <row r="218" ht="5.2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c r="BI218" s="54"/>
      <c r="BJ218" s="54"/>
      <c r="BK218" s="54"/>
      <c r="BL218" s="54"/>
      <c r="BM218" s="54"/>
      <c r="BN218" s="54"/>
      <c r="BO218" s="54"/>
      <c r="BP218" s="54"/>
      <c r="BQ218" s="54"/>
      <c r="BR218" s="54"/>
      <c r="BS218" s="54"/>
      <c r="BT218" s="54"/>
      <c r="BU218" s="54"/>
      <c r="BV218" s="54"/>
      <c r="BW218" s="54"/>
      <c r="BX218" s="54"/>
      <c r="BY218" s="54"/>
      <c r="BZ218" s="54"/>
      <c r="CA218" s="54"/>
      <c r="CB218" s="54"/>
      <c r="CC218" s="54"/>
      <c r="CD218" s="54"/>
      <c r="CE218" s="54"/>
      <c r="CF218" s="54"/>
      <c r="CG218" s="54"/>
      <c r="CH218" s="54"/>
      <c r="CI218" s="54"/>
      <c r="CJ218" s="54"/>
      <c r="CK218" s="54"/>
      <c r="CL218" s="54"/>
      <c r="CM218" s="54"/>
      <c r="CN218" s="54"/>
      <c r="CO218" s="54"/>
      <c r="CP218" s="54"/>
      <c r="CQ218" s="54"/>
      <c r="CR218" s="54"/>
      <c r="CS218" s="54"/>
      <c r="CT218" s="54"/>
      <c r="CU218" s="54"/>
      <c r="CV218" s="54"/>
      <c r="CW218" s="54"/>
      <c r="CX218" s="54"/>
      <c r="CY218" s="54"/>
      <c r="CZ218" s="54"/>
      <c r="DA218" s="54"/>
      <c r="DB218" s="54"/>
      <c r="DC218" s="119" t="str">
        <f>if(or(BX163=0,EJ163=0),"",reseeding!AC309)</f>
        <v/>
      </c>
      <c r="DD218" s="130" t="str">
        <f t="array" ref="DD218">xlookup(DC218,data!$M$2:$M$17,data!$O$2:$O$17,"")</f>
        <v/>
      </c>
      <c r="DE218" s="8"/>
      <c r="DF218" s="8"/>
      <c r="DG218" s="8"/>
      <c r="DH218" s="93" t="str">
        <f t="array" ref="DH218">xlookup(DC218,data!$M$2:$M$17,data!$N$2:$N$17,"")</f>
        <v/>
      </c>
      <c r="DI218" s="8"/>
      <c r="DJ218" s="8"/>
      <c r="DK218" s="8"/>
      <c r="DL218" s="8"/>
      <c r="DM218" s="8"/>
      <c r="DN218" s="8"/>
      <c r="DO218" s="8"/>
      <c r="DP218" s="8"/>
      <c r="DQ218" s="8"/>
      <c r="DR218" s="8"/>
      <c r="DS218" s="8"/>
      <c r="DT218" s="8"/>
      <c r="DU218" s="8"/>
      <c r="DV218" s="8"/>
      <c r="DW218" s="8"/>
      <c r="DX218" s="8"/>
      <c r="DY218" s="8"/>
      <c r="DZ218" s="8"/>
      <c r="EA218" s="8"/>
      <c r="EB218" s="8"/>
      <c r="EC218" s="8"/>
      <c r="ED218" s="94"/>
      <c r="EE218" s="8"/>
      <c r="EF218" s="8"/>
      <c r="EG218" s="9"/>
      <c r="EH218" s="95"/>
      <c r="EI218" s="8"/>
      <c r="EJ218" s="8"/>
      <c r="EK218" s="8"/>
      <c r="EL218" s="96" t="str">
        <f t="array" ref="EL218">xlookup(FL218,data!$M$2:$M$17,data!$N$2:$N$17,"")</f>
        <v/>
      </c>
      <c r="EM218" s="8"/>
      <c r="EN218" s="8"/>
      <c r="EO218" s="8"/>
      <c r="EP218" s="8"/>
      <c r="EQ218" s="8"/>
      <c r="ER218" s="8"/>
      <c r="ES218" s="8"/>
      <c r="ET218" s="8"/>
      <c r="EU218" s="8"/>
      <c r="EV218" s="8"/>
      <c r="EW218" s="8"/>
      <c r="EX218" s="8"/>
      <c r="EY218" s="8"/>
      <c r="EZ218" s="8"/>
      <c r="FA218" s="8"/>
      <c r="FB218" s="8"/>
      <c r="FC218" s="8"/>
      <c r="FD218" s="8"/>
      <c r="FE218" s="8"/>
      <c r="FF218" s="8"/>
      <c r="FG218" s="8"/>
      <c r="FH218" s="131" t="str">
        <f t="array" ref="FH218">xlookup(FL218,data!$M$2:$M$17,data!$O$2:$O$17,"")</f>
        <v/>
      </c>
      <c r="FI218" s="8"/>
      <c r="FJ218" s="8"/>
      <c r="FK218" s="98"/>
      <c r="FL218" s="119" t="str">
        <f>if(or(BX163=0,EJ163=0),"",reseeding!AD309)</f>
        <v/>
      </c>
      <c r="FM218" s="54"/>
      <c r="FN218" s="54"/>
      <c r="FO218" s="54"/>
      <c r="FP218" s="54"/>
      <c r="FQ218" s="54"/>
      <c r="FR218" s="54"/>
      <c r="FS218" s="54"/>
      <c r="FT218" s="54"/>
      <c r="FU218" s="54"/>
      <c r="FV218" s="54"/>
      <c r="FW218" s="54"/>
      <c r="FX218" s="54"/>
      <c r="FY218" s="54"/>
      <c r="FZ218" s="54"/>
      <c r="GA218" s="54"/>
      <c r="GB218" s="54"/>
      <c r="GC218" s="54"/>
      <c r="GD218" s="54"/>
      <c r="GE218" s="54"/>
      <c r="GF218" s="54"/>
      <c r="GG218" s="54"/>
      <c r="GH218" s="54"/>
      <c r="GI218" s="54"/>
      <c r="GJ218" s="54"/>
      <c r="GK218" s="54"/>
      <c r="GL218" s="54"/>
      <c r="GM218" s="54"/>
      <c r="GN218" s="54"/>
      <c r="GO218" s="54"/>
      <c r="GP218" s="54"/>
      <c r="GQ218" s="54"/>
      <c r="GR218" s="54"/>
      <c r="GS218" s="54"/>
      <c r="GT218" s="54"/>
      <c r="GU218" s="54"/>
      <c r="GV218" s="54"/>
      <c r="GW218" s="54"/>
      <c r="GX218" s="54"/>
      <c r="GY218" s="54"/>
      <c r="GZ218" s="54"/>
      <c r="HA218" s="54"/>
      <c r="HB218" s="54"/>
      <c r="HC218" s="54"/>
      <c r="HD218" s="54"/>
      <c r="HE218" s="54"/>
      <c r="HF218" s="54"/>
      <c r="HG218" s="54"/>
      <c r="HH218" s="54"/>
      <c r="HI218" s="54"/>
      <c r="HJ218" s="54"/>
      <c r="HK218" s="54"/>
      <c r="HL218" s="54"/>
      <c r="HM218" s="54"/>
      <c r="HN218" s="54"/>
      <c r="HO218" s="54"/>
      <c r="HP218" s="54"/>
      <c r="HQ218" s="54"/>
      <c r="HR218" s="54"/>
      <c r="HS218" s="54"/>
      <c r="HT218" s="54"/>
      <c r="HU218" s="54"/>
      <c r="HV218" s="54"/>
      <c r="HW218" s="54"/>
      <c r="HX218" s="54"/>
      <c r="HY218" s="54"/>
      <c r="HZ218" s="54"/>
      <c r="IA218" s="54"/>
      <c r="IB218" s="54"/>
      <c r="IC218" s="54"/>
      <c r="ID218" s="54"/>
      <c r="IE218" s="54"/>
      <c r="IF218" s="54"/>
      <c r="IG218" s="54"/>
      <c r="IH218" s="54"/>
      <c r="II218" s="54"/>
      <c r="IJ218" s="54"/>
      <c r="IK218" s="54"/>
      <c r="IL218" s="54"/>
      <c r="IM218" s="54"/>
      <c r="IN218" s="54"/>
      <c r="IO218" s="54"/>
      <c r="IP218" s="54"/>
      <c r="IQ218" s="54"/>
      <c r="IR218" s="54"/>
      <c r="IS218" s="54"/>
      <c r="IT218" s="54"/>
      <c r="IU218" s="54"/>
      <c r="IV218" s="54"/>
      <c r="IW218" s="54"/>
      <c r="IX218" s="54"/>
      <c r="IY218" s="54"/>
      <c r="IZ218" s="54"/>
      <c r="JA218" s="54"/>
      <c r="JB218" s="54"/>
      <c r="JC218" s="54"/>
      <c r="JD218" s="54"/>
      <c r="JE218" s="54"/>
      <c r="JF218" s="54"/>
      <c r="JG218" s="54"/>
      <c r="JH218" s="54"/>
      <c r="JI218" s="54"/>
      <c r="JJ218" s="54"/>
      <c r="JK218" s="54"/>
      <c r="JL218" s="54"/>
      <c r="JM218" s="54"/>
      <c r="JN218" s="54"/>
      <c r="JO218" s="54"/>
      <c r="JP218" s="54"/>
      <c r="JQ218" s="54"/>
      <c r="JR218" s="54"/>
      <c r="JS218" s="54"/>
      <c r="JT218" s="54"/>
      <c r="JU218" s="54"/>
      <c r="JV218" s="54"/>
      <c r="JW218" s="54"/>
      <c r="JX218" s="54"/>
      <c r="JY218" s="54"/>
      <c r="JZ218" s="54"/>
      <c r="KA218" s="54"/>
      <c r="KB218" s="54"/>
      <c r="KC218" s="54"/>
      <c r="KD218" s="54"/>
      <c r="KE218" s="54"/>
      <c r="KF218" s="54"/>
      <c r="KG218" s="54"/>
      <c r="KH218" s="54"/>
      <c r="KI218" s="54"/>
      <c r="KJ218" s="54"/>
      <c r="KK218" s="54"/>
      <c r="KL218" s="54"/>
      <c r="KM218" s="54"/>
      <c r="KN218" s="54"/>
      <c r="KO218" s="54"/>
      <c r="KP218" s="54"/>
      <c r="KQ218" s="54"/>
      <c r="KR218" s="54"/>
      <c r="KS218" s="54"/>
      <c r="KT218" s="54"/>
      <c r="KU218" s="54"/>
      <c r="KV218" s="54"/>
      <c r="KW218" s="54"/>
      <c r="KX218" s="54"/>
    </row>
    <row r="219" ht="5.2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c r="BI219" s="54"/>
      <c r="BJ219" s="54"/>
      <c r="BK219" s="54"/>
      <c r="BL219" s="54"/>
      <c r="BM219" s="54"/>
      <c r="BN219" s="54"/>
      <c r="BO219" s="54"/>
      <c r="BP219" s="54"/>
      <c r="BQ219" s="54"/>
      <c r="BR219" s="54"/>
      <c r="BS219" s="54"/>
      <c r="BT219" s="54"/>
      <c r="BU219" s="54"/>
      <c r="BV219" s="54"/>
      <c r="BW219" s="54"/>
      <c r="BX219" s="54"/>
      <c r="BY219" s="54"/>
      <c r="BZ219" s="54"/>
      <c r="CA219" s="54"/>
      <c r="CB219" s="54"/>
      <c r="CC219" s="54"/>
      <c r="CD219" s="54"/>
      <c r="CE219" s="54"/>
      <c r="CF219" s="54"/>
      <c r="CG219" s="54"/>
      <c r="CH219" s="54"/>
      <c r="CI219" s="54"/>
      <c r="CJ219" s="54"/>
      <c r="CK219" s="54"/>
      <c r="CL219" s="54"/>
      <c r="CM219" s="54"/>
      <c r="CN219" s="54"/>
      <c r="CO219" s="54"/>
      <c r="CP219" s="54"/>
      <c r="CQ219" s="54"/>
      <c r="CR219" s="54"/>
      <c r="CS219" s="54"/>
      <c r="CT219" s="54"/>
      <c r="CU219" s="54"/>
      <c r="CV219" s="54"/>
      <c r="CW219" s="54"/>
      <c r="CX219" s="54"/>
      <c r="CY219" s="54"/>
      <c r="CZ219" s="54"/>
      <c r="DA219" s="54"/>
      <c r="DB219" s="54"/>
      <c r="DC219" s="108"/>
      <c r="DD219" s="60"/>
      <c r="EG219" s="11"/>
      <c r="EH219" s="10"/>
      <c r="FK219" s="61"/>
      <c r="FL219" s="108"/>
      <c r="FM219" s="54"/>
      <c r="FN219" s="54"/>
      <c r="FO219" s="54"/>
      <c r="FP219" s="54"/>
      <c r="FQ219" s="54"/>
      <c r="FR219" s="54"/>
      <c r="FS219" s="54"/>
      <c r="FT219" s="54"/>
      <c r="FU219" s="54"/>
      <c r="FV219" s="54"/>
      <c r="FW219" s="54"/>
      <c r="FX219" s="54"/>
      <c r="FY219" s="54"/>
      <c r="FZ219" s="54"/>
      <c r="GA219" s="54"/>
      <c r="GB219" s="54"/>
      <c r="GC219" s="54"/>
      <c r="GD219" s="54"/>
      <c r="GE219" s="54"/>
      <c r="GF219" s="54"/>
      <c r="GG219" s="54"/>
      <c r="GH219" s="54"/>
      <c r="GI219" s="54"/>
      <c r="GJ219" s="54"/>
      <c r="GK219" s="54"/>
      <c r="GL219" s="54"/>
      <c r="GM219" s="54"/>
      <c r="GN219" s="54"/>
      <c r="GO219" s="54"/>
      <c r="GP219" s="54"/>
      <c r="GQ219" s="54"/>
      <c r="GR219" s="54"/>
      <c r="GS219" s="54"/>
      <c r="GT219" s="54"/>
      <c r="GU219" s="54"/>
      <c r="GV219" s="54"/>
      <c r="GW219" s="54"/>
      <c r="GX219" s="54"/>
      <c r="GY219" s="54"/>
      <c r="GZ219" s="54"/>
      <c r="HA219" s="54"/>
      <c r="HB219" s="54"/>
      <c r="HC219" s="54"/>
      <c r="HD219" s="54"/>
      <c r="HE219" s="54"/>
      <c r="HF219" s="54"/>
      <c r="HG219" s="54"/>
      <c r="HH219" s="54"/>
      <c r="HI219" s="54"/>
      <c r="HJ219" s="54"/>
      <c r="HK219" s="54"/>
      <c r="HL219" s="54"/>
      <c r="HM219" s="54"/>
      <c r="HN219" s="54"/>
      <c r="HO219" s="54"/>
      <c r="HP219" s="54"/>
      <c r="HQ219" s="54"/>
      <c r="HR219" s="54"/>
      <c r="HS219" s="54"/>
      <c r="HT219" s="54"/>
      <c r="HU219" s="54"/>
      <c r="HV219" s="54"/>
      <c r="HW219" s="54"/>
      <c r="HX219" s="54"/>
      <c r="HY219" s="54"/>
      <c r="HZ219" s="54"/>
      <c r="IA219" s="54"/>
      <c r="IB219" s="54"/>
      <c r="IC219" s="54"/>
      <c r="ID219" s="54"/>
      <c r="IE219" s="54"/>
      <c r="IF219" s="54"/>
      <c r="IG219" s="54"/>
      <c r="IH219" s="54"/>
      <c r="II219" s="54"/>
      <c r="IJ219" s="54"/>
      <c r="IK219" s="54"/>
      <c r="IL219" s="54"/>
      <c r="IM219" s="54"/>
      <c r="IN219" s="54"/>
      <c r="IO219" s="54"/>
      <c r="IP219" s="54"/>
      <c r="IQ219" s="54"/>
      <c r="IR219" s="54"/>
      <c r="IS219" s="54"/>
      <c r="IT219" s="54"/>
      <c r="IU219" s="54"/>
      <c r="IV219" s="54"/>
      <c r="IW219" s="54"/>
      <c r="IX219" s="54"/>
      <c r="IY219" s="54"/>
      <c r="IZ219" s="54"/>
      <c r="JA219" s="54"/>
      <c r="JB219" s="54"/>
      <c r="JC219" s="54"/>
      <c r="JD219" s="54"/>
      <c r="JE219" s="54"/>
      <c r="JF219" s="54"/>
      <c r="JG219" s="54"/>
      <c r="JH219" s="54"/>
      <c r="JI219" s="54"/>
      <c r="JJ219" s="54"/>
      <c r="JK219" s="54"/>
      <c r="JL219" s="54"/>
      <c r="JM219" s="54"/>
      <c r="JN219" s="54"/>
      <c r="JO219" s="54"/>
      <c r="JP219" s="54"/>
      <c r="JQ219" s="54"/>
      <c r="JR219" s="54"/>
      <c r="JS219" s="54"/>
      <c r="JT219" s="54"/>
      <c r="JU219" s="54"/>
      <c r="JV219" s="54"/>
      <c r="JW219" s="54"/>
      <c r="JX219" s="54"/>
      <c r="JY219" s="54"/>
      <c r="JZ219" s="54"/>
      <c r="KA219" s="54"/>
      <c r="KB219" s="54"/>
      <c r="KC219" s="54"/>
      <c r="KD219" s="54"/>
      <c r="KE219" s="54"/>
      <c r="KF219" s="54"/>
      <c r="KG219" s="54"/>
      <c r="KH219" s="54"/>
      <c r="KI219" s="54"/>
      <c r="KJ219" s="54"/>
      <c r="KK219" s="54"/>
      <c r="KL219" s="54"/>
      <c r="KM219" s="54"/>
      <c r="KN219" s="54"/>
      <c r="KO219" s="54"/>
      <c r="KP219" s="54"/>
      <c r="KQ219" s="54"/>
      <c r="KR219" s="54"/>
      <c r="KS219" s="54"/>
      <c r="KT219" s="54"/>
      <c r="KU219" s="54"/>
      <c r="KV219" s="54"/>
      <c r="KW219" s="54"/>
      <c r="KX219" s="54"/>
    </row>
    <row r="220" ht="5.2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c r="AP220" s="54"/>
      <c r="AQ220" s="54"/>
      <c r="AR220" s="54"/>
      <c r="AS220" s="54"/>
      <c r="AT220" s="54"/>
      <c r="AU220" s="54"/>
      <c r="AV220" s="54"/>
      <c r="AW220" s="54"/>
      <c r="AX220" s="54"/>
      <c r="AY220" s="54"/>
      <c r="AZ220" s="54"/>
      <c r="BA220" s="54"/>
      <c r="BB220" s="54"/>
      <c r="BC220" s="54"/>
      <c r="BD220" s="54"/>
      <c r="BE220" s="54"/>
      <c r="BF220" s="54"/>
      <c r="BG220" s="54"/>
      <c r="BH220" s="54"/>
      <c r="BI220" s="54"/>
      <c r="BJ220" s="54"/>
      <c r="BK220" s="54"/>
      <c r="BL220" s="54"/>
      <c r="BM220" s="54"/>
      <c r="BN220" s="54"/>
      <c r="BO220" s="54"/>
      <c r="BP220" s="54"/>
      <c r="BQ220" s="54"/>
      <c r="BR220" s="54"/>
      <c r="BS220" s="54"/>
      <c r="BT220" s="54"/>
      <c r="BU220" s="54"/>
      <c r="BV220" s="54"/>
      <c r="BW220" s="54"/>
      <c r="BX220" s="54"/>
      <c r="BY220" s="54"/>
      <c r="BZ220" s="54"/>
      <c r="CA220" s="54"/>
      <c r="CB220" s="54"/>
      <c r="CC220" s="54"/>
      <c r="CD220" s="54"/>
      <c r="CE220" s="54"/>
      <c r="CF220" s="54"/>
      <c r="CG220" s="54"/>
      <c r="CH220" s="54"/>
      <c r="CI220" s="54"/>
      <c r="CJ220" s="54"/>
      <c r="CK220" s="54"/>
      <c r="CL220" s="54"/>
      <c r="CM220" s="54"/>
      <c r="CN220" s="54"/>
      <c r="CO220" s="54"/>
      <c r="CP220" s="54"/>
      <c r="CQ220" s="54"/>
      <c r="CR220" s="54"/>
      <c r="CS220" s="54"/>
      <c r="CT220" s="54"/>
      <c r="CU220" s="54"/>
      <c r="CV220" s="54"/>
      <c r="CW220" s="54"/>
      <c r="CX220" s="54"/>
      <c r="CY220" s="54"/>
      <c r="CZ220" s="54"/>
      <c r="DA220" s="54"/>
      <c r="DB220" s="54"/>
      <c r="DC220" s="108"/>
      <c r="DD220" s="60"/>
      <c r="EG220" s="11"/>
      <c r="EH220" s="10"/>
      <c r="FK220" s="61"/>
      <c r="FL220" s="108"/>
      <c r="FM220" s="54"/>
      <c r="FN220" s="54"/>
      <c r="FO220" s="54"/>
      <c r="FP220" s="54"/>
      <c r="FQ220" s="54"/>
      <c r="FR220" s="54"/>
      <c r="FS220" s="54"/>
      <c r="FT220" s="54"/>
      <c r="FU220" s="54"/>
      <c r="FV220" s="54"/>
      <c r="FW220" s="54"/>
      <c r="FX220" s="54"/>
      <c r="FY220" s="54"/>
      <c r="FZ220" s="54"/>
      <c r="GA220" s="54"/>
      <c r="GB220" s="54"/>
      <c r="GC220" s="54"/>
      <c r="GD220" s="54"/>
      <c r="GE220" s="54"/>
      <c r="GF220" s="54"/>
      <c r="GG220" s="54"/>
      <c r="GH220" s="54"/>
      <c r="GI220" s="54"/>
      <c r="GJ220" s="54"/>
      <c r="GK220" s="54"/>
      <c r="GL220" s="54"/>
      <c r="GM220" s="54"/>
      <c r="GN220" s="54"/>
      <c r="GO220" s="54"/>
      <c r="GP220" s="54"/>
      <c r="GQ220" s="54"/>
      <c r="GR220" s="54"/>
      <c r="GS220" s="54"/>
      <c r="GT220" s="54"/>
      <c r="GU220" s="54"/>
      <c r="GV220" s="54"/>
      <c r="GW220" s="54"/>
      <c r="GX220" s="54"/>
      <c r="GY220" s="54"/>
      <c r="GZ220" s="54"/>
      <c r="HA220" s="54"/>
      <c r="HB220" s="54"/>
      <c r="HC220" s="54"/>
      <c r="HD220" s="54"/>
      <c r="HE220" s="54"/>
      <c r="HF220" s="54"/>
      <c r="HG220" s="54"/>
      <c r="HH220" s="54"/>
      <c r="HI220" s="54"/>
      <c r="HJ220" s="54"/>
      <c r="HK220" s="54"/>
      <c r="HL220" s="54"/>
      <c r="HM220" s="54"/>
      <c r="HN220" s="54"/>
      <c r="HO220" s="54"/>
      <c r="HP220" s="54"/>
      <c r="HQ220" s="54"/>
      <c r="HR220" s="54"/>
      <c r="HS220" s="54"/>
      <c r="HT220" s="54"/>
      <c r="HU220" s="54"/>
      <c r="HV220" s="54"/>
      <c r="HW220" s="54"/>
      <c r="HX220" s="54"/>
      <c r="HY220" s="54"/>
      <c r="HZ220" s="54"/>
      <c r="IA220" s="54"/>
      <c r="IB220" s="54"/>
      <c r="IC220" s="54"/>
      <c r="ID220" s="54"/>
      <c r="IE220" s="54"/>
      <c r="IF220" s="54"/>
      <c r="IG220" s="54"/>
      <c r="IH220" s="54"/>
      <c r="II220" s="54"/>
      <c r="IJ220" s="54"/>
      <c r="IK220" s="54"/>
      <c r="IL220" s="54"/>
      <c r="IM220" s="54"/>
      <c r="IN220" s="54"/>
      <c r="IO220" s="54"/>
      <c r="IP220" s="54"/>
      <c r="IQ220" s="54"/>
      <c r="IR220" s="54"/>
      <c r="IS220" s="54"/>
      <c r="IT220" s="54"/>
      <c r="IU220" s="54"/>
      <c r="IV220" s="54"/>
      <c r="IW220" s="54"/>
      <c r="IX220" s="54"/>
      <c r="IY220" s="54"/>
      <c r="IZ220" s="54"/>
      <c r="JA220" s="54"/>
      <c r="JB220" s="54"/>
      <c r="JC220" s="54"/>
      <c r="JD220" s="54"/>
      <c r="JE220" s="54"/>
      <c r="JF220" s="54"/>
      <c r="JG220" s="54"/>
      <c r="JH220" s="54"/>
      <c r="JI220" s="54"/>
      <c r="JJ220" s="54"/>
      <c r="JK220" s="54"/>
      <c r="JL220" s="54"/>
      <c r="JM220" s="54"/>
      <c r="JN220" s="54"/>
      <c r="JO220" s="54"/>
      <c r="JP220" s="54"/>
      <c r="JQ220" s="54"/>
      <c r="JR220" s="54"/>
      <c r="JS220" s="54"/>
      <c r="JT220" s="54"/>
      <c r="JU220" s="54"/>
      <c r="JV220" s="54"/>
      <c r="JW220" s="54"/>
      <c r="JX220" s="54"/>
      <c r="JY220" s="54"/>
      <c r="JZ220" s="54"/>
      <c r="KA220" s="54"/>
      <c r="KB220" s="54"/>
      <c r="KC220" s="54"/>
      <c r="KD220" s="54"/>
      <c r="KE220" s="54"/>
      <c r="KF220" s="54"/>
      <c r="KG220" s="54"/>
      <c r="KH220" s="54"/>
      <c r="KI220" s="54"/>
      <c r="KJ220" s="54"/>
      <c r="KK220" s="54"/>
      <c r="KL220" s="54"/>
      <c r="KM220" s="54"/>
      <c r="KN220" s="54"/>
      <c r="KO220" s="54"/>
      <c r="KP220" s="54"/>
      <c r="KQ220" s="54"/>
      <c r="KR220" s="54"/>
      <c r="KS220" s="54"/>
      <c r="KT220" s="54"/>
      <c r="KU220" s="54"/>
      <c r="KV220" s="54"/>
      <c r="KW220" s="54"/>
      <c r="KX220" s="54"/>
    </row>
    <row r="221" ht="5.2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c r="AP221" s="54"/>
      <c r="AQ221" s="54"/>
      <c r="AR221" s="54"/>
      <c r="AS221" s="54"/>
      <c r="AT221" s="54"/>
      <c r="AU221" s="54"/>
      <c r="AV221" s="54"/>
      <c r="AW221" s="54"/>
      <c r="AX221" s="54"/>
      <c r="AY221" s="54"/>
      <c r="AZ221" s="54"/>
      <c r="BA221" s="54"/>
      <c r="BB221" s="54"/>
      <c r="BC221" s="54"/>
      <c r="BD221" s="54"/>
      <c r="BE221" s="54"/>
      <c r="BF221" s="54"/>
      <c r="BG221" s="54"/>
      <c r="BH221" s="54"/>
      <c r="BI221" s="54"/>
      <c r="BJ221" s="54"/>
      <c r="BK221" s="54"/>
      <c r="BL221" s="54"/>
      <c r="BM221" s="54"/>
      <c r="BN221" s="54"/>
      <c r="BO221" s="54"/>
      <c r="BP221" s="54"/>
      <c r="BQ221" s="54"/>
      <c r="BR221" s="54"/>
      <c r="BS221" s="54"/>
      <c r="BT221" s="54"/>
      <c r="BU221" s="54"/>
      <c r="BV221" s="54"/>
      <c r="BW221" s="54"/>
      <c r="BX221" s="54"/>
      <c r="BY221" s="54"/>
      <c r="BZ221" s="54"/>
      <c r="CA221" s="54"/>
      <c r="CB221" s="54"/>
      <c r="CC221" s="54"/>
      <c r="CD221" s="54"/>
      <c r="CE221" s="54"/>
      <c r="CF221" s="54"/>
      <c r="CG221" s="54"/>
      <c r="CH221" s="54"/>
      <c r="CI221" s="54"/>
      <c r="CJ221" s="54"/>
      <c r="CK221" s="54"/>
      <c r="CL221" s="54"/>
      <c r="CM221" s="54"/>
      <c r="CN221" s="54"/>
      <c r="CO221" s="54"/>
      <c r="CP221" s="54"/>
      <c r="CQ221" s="54"/>
      <c r="CR221" s="54"/>
      <c r="CS221" s="54"/>
      <c r="CT221" s="54"/>
      <c r="CU221" s="54"/>
      <c r="CV221" s="54"/>
      <c r="CW221" s="54"/>
      <c r="CX221" s="54"/>
      <c r="CY221" s="54"/>
      <c r="CZ221" s="54"/>
      <c r="DA221" s="54"/>
      <c r="DB221" s="54"/>
      <c r="DC221" s="108"/>
      <c r="DD221" s="60"/>
      <c r="EG221" s="11"/>
      <c r="EH221" s="10"/>
      <c r="FK221" s="61"/>
      <c r="FL221" s="108"/>
      <c r="FM221" s="54"/>
      <c r="FN221" s="54"/>
      <c r="FO221" s="54"/>
      <c r="FP221" s="54"/>
      <c r="FQ221" s="54"/>
      <c r="FR221" s="54"/>
      <c r="FS221" s="54"/>
      <c r="FT221" s="54"/>
      <c r="FU221" s="54"/>
      <c r="FV221" s="54"/>
      <c r="FW221" s="54"/>
      <c r="FX221" s="54"/>
      <c r="FY221" s="54"/>
      <c r="FZ221" s="54"/>
      <c r="GA221" s="54"/>
      <c r="GB221" s="54"/>
      <c r="GC221" s="54"/>
      <c r="GD221" s="54"/>
      <c r="GE221" s="54"/>
      <c r="GF221" s="54"/>
      <c r="GG221" s="54"/>
      <c r="GH221" s="54"/>
      <c r="GI221" s="54"/>
      <c r="GJ221" s="54"/>
      <c r="GK221" s="54"/>
      <c r="GL221" s="54"/>
      <c r="GM221" s="54"/>
      <c r="GN221" s="54"/>
      <c r="GO221" s="54"/>
      <c r="GP221" s="54"/>
      <c r="GQ221" s="54"/>
      <c r="GR221" s="54"/>
      <c r="GS221" s="54"/>
      <c r="GT221" s="54"/>
      <c r="GU221" s="54"/>
      <c r="GV221" s="54"/>
      <c r="GW221" s="54"/>
      <c r="GX221" s="54"/>
      <c r="GY221" s="54"/>
      <c r="GZ221" s="54"/>
      <c r="HA221" s="54"/>
      <c r="HB221" s="54"/>
      <c r="HC221" s="54"/>
      <c r="HD221" s="54"/>
      <c r="HE221" s="54"/>
      <c r="HF221" s="54"/>
      <c r="HG221" s="54"/>
      <c r="HH221" s="54"/>
      <c r="HI221" s="54"/>
      <c r="HJ221" s="54"/>
      <c r="HK221" s="54"/>
      <c r="HL221" s="54"/>
      <c r="HM221" s="54"/>
      <c r="HN221" s="54"/>
      <c r="HO221" s="54"/>
      <c r="HP221" s="54"/>
      <c r="HQ221" s="54"/>
      <c r="HR221" s="54"/>
      <c r="HS221" s="54"/>
      <c r="HT221" s="54"/>
      <c r="HU221" s="54"/>
      <c r="HV221" s="54"/>
      <c r="HW221" s="54"/>
      <c r="HX221" s="54"/>
      <c r="HY221" s="54"/>
      <c r="HZ221" s="54"/>
      <c r="IA221" s="54"/>
      <c r="IB221" s="54"/>
      <c r="IC221" s="54"/>
      <c r="ID221" s="54"/>
      <c r="IE221" s="54"/>
      <c r="IF221" s="54"/>
      <c r="IG221" s="54"/>
      <c r="IH221" s="54"/>
      <c r="II221" s="54"/>
      <c r="IJ221" s="54"/>
      <c r="IK221" s="54"/>
      <c r="IL221" s="54"/>
      <c r="IM221" s="54"/>
      <c r="IN221" s="54"/>
      <c r="IO221" s="54"/>
      <c r="IP221" s="54"/>
      <c r="IQ221" s="54"/>
      <c r="IR221" s="54"/>
      <c r="IS221" s="54"/>
      <c r="IT221" s="54"/>
      <c r="IU221" s="54"/>
      <c r="IV221" s="54"/>
      <c r="IW221" s="54"/>
      <c r="IX221" s="54"/>
      <c r="IY221" s="54"/>
      <c r="IZ221" s="54"/>
      <c r="JA221" s="54"/>
      <c r="JB221" s="54"/>
      <c r="JC221" s="54"/>
      <c r="JD221" s="54"/>
      <c r="JE221" s="54"/>
      <c r="JF221" s="54"/>
      <c r="JG221" s="54"/>
      <c r="JH221" s="54"/>
      <c r="JI221" s="54"/>
      <c r="JJ221" s="54"/>
      <c r="JK221" s="54"/>
      <c r="JL221" s="54"/>
      <c r="JM221" s="54"/>
      <c r="JN221" s="54"/>
      <c r="JO221" s="54"/>
      <c r="JP221" s="54"/>
      <c r="JQ221" s="54"/>
      <c r="JR221" s="54"/>
      <c r="JS221" s="54"/>
      <c r="JT221" s="54"/>
      <c r="JU221" s="54"/>
      <c r="JV221" s="54"/>
      <c r="JW221" s="54"/>
      <c r="JX221" s="54"/>
      <c r="JY221" s="54"/>
      <c r="JZ221" s="54"/>
      <c r="KA221" s="54"/>
      <c r="KB221" s="54"/>
      <c r="KC221" s="54"/>
      <c r="KD221" s="54"/>
      <c r="KE221" s="54"/>
      <c r="KF221" s="54"/>
      <c r="KG221" s="54"/>
      <c r="KH221" s="54"/>
      <c r="KI221" s="54"/>
      <c r="KJ221" s="54"/>
      <c r="KK221" s="54"/>
      <c r="KL221" s="54"/>
      <c r="KM221" s="54"/>
      <c r="KN221" s="54"/>
      <c r="KO221" s="54"/>
      <c r="KP221" s="54"/>
      <c r="KQ221" s="54"/>
      <c r="KR221" s="54"/>
      <c r="KS221" s="54"/>
      <c r="KT221" s="54"/>
      <c r="KU221" s="54"/>
      <c r="KV221" s="54"/>
      <c r="KW221" s="54"/>
      <c r="KX221" s="54"/>
    </row>
    <row r="222" ht="5.2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c r="AP222" s="54"/>
      <c r="AQ222" s="54"/>
      <c r="AR222" s="54"/>
      <c r="AS222" s="54"/>
      <c r="AT222" s="54"/>
      <c r="AU222" s="54"/>
      <c r="AV222" s="54"/>
      <c r="AW222" s="54"/>
      <c r="AX222" s="54"/>
      <c r="AY222" s="54"/>
      <c r="AZ222" s="54"/>
      <c r="BA222" s="54"/>
      <c r="BB222" s="54"/>
      <c r="BC222" s="54"/>
      <c r="BD222" s="54"/>
      <c r="BE222" s="54"/>
      <c r="BF222" s="54"/>
      <c r="BG222" s="54"/>
      <c r="BH222" s="54"/>
      <c r="BI222" s="54"/>
      <c r="BJ222" s="54"/>
      <c r="BK222" s="54"/>
      <c r="BL222" s="54"/>
      <c r="BM222" s="54"/>
      <c r="BN222" s="54"/>
      <c r="BO222" s="54"/>
      <c r="BP222" s="54"/>
      <c r="BQ222" s="54"/>
      <c r="BR222" s="54"/>
      <c r="BS222" s="54"/>
      <c r="BT222" s="54"/>
      <c r="BU222" s="54"/>
      <c r="BV222" s="54"/>
      <c r="BW222" s="54"/>
      <c r="BX222" s="54"/>
      <c r="BY222" s="54"/>
      <c r="BZ222" s="54"/>
      <c r="CA222" s="54"/>
      <c r="CB222" s="54"/>
      <c r="CC222" s="54"/>
      <c r="CD222" s="54"/>
      <c r="CE222" s="54"/>
      <c r="CF222" s="54"/>
      <c r="CG222" s="54"/>
      <c r="CH222" s="54"/>
      <c r="CI222" s="54"/>
      <c r="CJ222" s="54"/>
      <c r="CK222" s="54"/>
      <c r="CL222" s="54"/>
      <c r="CM222" s="54"/>
      <c r="CN222" s="54"/>
      <c r="CO222" s="54"/>
      <c r="CP222" s="54"/>
      <c r="CQ222" s="54"/>
      <c r="CR222" s="54"/>
      <c r="CS222" s="54"/>
      <c r="CT222" s="54"/>
      <c r="CU222" s="54"/>
      <c r="CV222" s="54"/>
      <c r="CW222" s="54"/>
      <c r="CX222" s="54"/>
      <c r="CY222" s="54"/>
      <c r="CZ222" s="54"/>
      <c r="DA222" s="54"/>
      <c r="DB222" s="54"/>
      <c r="DC222" s="119" t="str">
        <f>DC218</f>
        <v/>
      </c>
      <c r="DD222" s="112"/>
      <c r="DL222" s="135"/>
      <c r="DN222" s="11"/>
      <c r="DO222" s="127"/>
      <c r="DQ222" s="11"/>
      <c r="DR222" s="139"/>
      <c r="DU222" s="108"/>
      <c r="ED222" s="85">
        <f>sum(DL222:DT224)</f>
        <v>0</v>
      </c>
      <c r="EG222" s="11"/>
      <c r="EH222" s="86">
        <f>sum(EU222:FC224)</f>
        <v>0</v>
      </c>
      <c r="EL222" s="108"/>
      <c r="EM222" s="108"/>
      <c r="EN222" s="108"/>
      <c r="EO222" s="108"/>
      <c r="EP222" s="108"/>
      <c r="EQ222" s="108"/>
      <c r="ER222" s="108"/>
      <c r="ES222" s="108"/>
      <c r="ET222" s="108"/>
      <c r="EU222" s="134"/>
      <c r="EW222" s="11"/>
      <c r="EX222" s="139"/>
      <c r="EZ222" s="11"/>
      <c r="FA222" s="127"/>
      <c r="FD222" s="108"/>
      <c r="FE222" s="108"/>
      <c r="FF222" s="108"/>
      <c r="FG222" s="108"/>
      <c r="FH222" s="108"/>
      <c r="FI222" s="108"/>
      <c r="FJ222" s="108"/>
      <c r="FK222" s="116"/>
      <c r="FL222" s="119" t="str">
        <f>FL218</f>
        <v/>
      </c>
      <c r="FM222" s="54"/>
      <c r="FN222" s="54"/>
      <c r="FO222" s="54"/>
      <c r="FP222" s="54"/>
      <c r="FQ222" s="54"/>
      <c r="FR222" s="54"/>
      <c r="FS222" s="54"/>
      <c r="FT222" s="54"/>
      <c r="FU222" s="54"/>
      <c r="FV222" s="54"/>
      <c r="FW222" s="54"/>
      <c r="FX222" s="54"/>
      <c r="FY222" s="54"/>
      <c r="FZ222" s="54"/>
      <c r="GA222" s="54"/>
      <c r="GB222" s="54"/>
      <c r="GC222" s="54"/>
      <c r="GD222" s="54"/>
      <c r="GE222" s="54"/>
      <c r="GF222" s="54"/>
      <c r="GG222" s="54"/>
      <c r="GH222" s="54"/>
      <c r="GI222" s="54"/>
      <c r="GJ222" s="54"/>
      <c r="GK222" s="54"/>
      <c r="GL222" s="54"/>
      <c r="GM222" s="54"/>
      <c r="GN222" s="54"/>
      <c r="GO222" s="54"/>
      <c r="GP222" s="54"/>
      <c r="GQ222" s="54"/>
      <c r="GR222" s="54"/>
      <c r="GS222" s="54"/>
      <c r="GT222" s="54"/>
      <c r="GU222" s="54"/>
      <c r="GV222" s="54"/>
      <c r="GW222" s="54"/>
      <c r="GX222" s="54"/>
      <c r="GY222" s="54"/>
      <c r="GZ222" s="54"/>
      <c r="HA222" s="54"/>
      <c r="HB222" s="54"/>
      <c r="HC222" s="54"/>
      <c r="HD222" s="54"/>
      <c r="HE222" s="54"/>
      <c r="HF222" s="54"/>
      <c r="HG222" s="54"/>
      <c r="HH222" s="54"/>
      <c r="HI222" s="54"/>
      <c r="HJ222" s="54"/>
      <c r="HK222" s="54"/>
      <c r="HL222" s="54"/>
      <c r="HM222" s="54"/>
      <c r="HN222" s="54"/>
      <c r="HO222" s="54"/>
      <c r="HP222" s="54"/>
      <c r="HQ222" s="54"/>
      <c r="HR222" s="54"/>
      <c r="HS222" s="54"/>
      <c r="HT222" s="54"/>
      <c r="HU222" s="54"/>
      <c r="HV222" s="54"/>
      <c r="HW222" s="54"/>
      <c r="HX222" s="54"/>
      <c r="HY222" s="54"/>
      <c r="HZ222" s="54"/>
      <c r="IA222" s="54"/>
      <c r="IB222" s="54"/>
      <c r="IC222" s="54"/>
      <c r="ID222" s="54"/>
      <c r="IE222" s="54"/>
      <c r="IF222" s="54"/>
      <c r="IG222" s="54"/>
      <c r="IH222" s="54"/>
      <c r="II222" s="54"/>
      <c r="IJ222" s="54"/>
      <c r="IK222" s="54"/>
      <c r="IL222" s="54"/>
      <c r="IM222" s="54"/>
      <c r="IN222" s="54"/>
      <c r="IO222" s="54"/>
      <c r="IP222" s="54"/>
      <c r="IQ222" s="54"/>
      <c r="IR222" s="54"/>
      <c r="IS222" s="54"/>
      <c r="IT222" s="54"/>
      <c r="IU222" s="54"/>
      <c r="IV222" s="54"/>
      <c r="IW222" s="54"/>
      <c r="IX222" s="54"/>
      <c r="IY222" s="54"/>
      <c r="IZ222" s="54"/>
      <c r="JA222" s="54"/>
      <c r="JB222" s="54"/>
      <c r="JC222" s="54"/>
      <c r="JD222" s="54"/>
      <c r="JE222" s="54"/>
      <c r="JF222" s="54"/>
      <c r="JG222" s="54"/>
      <c r="JH222" s="54"/>
      <c r="JI222" s="54"/>
      <c r="JJ222" s="54"/>
      <c r="JK222" s="54"/>
      <c r="JL222" s="54"/>
      <c r="JM222" s="54"/>
      <c r="JN222" s="54"/>
      <c r="JO222" s="54"/>
      <c r="JP222" s="54"/>
      <c r="JQ222" s="54"/>
      <c r="JR222" s="54"/>
      <c r="JS222" s="54"/>
      <c r="JT222" s="54"/>
      <c r="JU222" s="54"/>
      <c r="JV222" s="54"/>
      <c r="JW222" s="54"/>
      <c r="JX222" s="54"/>
      <c r="JY222" s="54"/>
      <c r="JZ222" s="54"/>
      <c r="KA222" s="54"/>
      <c r="KB222" s="54"/>
      <c r="KC222" s="54"/>
      <c r="KD222" s="54"/>
      <c r="KE222" s="54"/>
      <c r="KF222" s="54"/>
      <c r="KG222" s="54"/>
      <c r="KH222" s="54"/>
      <c r="KI222" s="54"/>
      <c r="KJ222" s="54"/>
      <c r="KK222" s="54"/>
      <c r="KL222" s="54"/>
      <c r="KM222" s="54"/>
      <c r="KN222" s="54"/>
      <c r="KO222" s="54"/>
      <c r="KP222" s="54"/>
      <c r="KQ222" s="54"/>
      <c r="KR222" s="54"/>
      <c r="KS222" s="54"/>
      <c r="KT222" s="54"/>
      <c r="KU222" s="54"/>
      <c r="KV222" s="54"/>
      <c r="KW222" s="54"/>
      <c r="KX222" s="54"/>
    </row>
    <row r="223" ht="5.2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c r="AP223" s="54"/>
      <c r="AQ223" s="54"/>
      <c r="AR223" s="54"/>
      <c r="AS223" s="54"/>
      <c r="AT223" s="54"/>
      <c r="AU223" s="54"/>
      <c r="AV223" s="54"/>
      <c r="AW223" s="54"/>
      <c r="AX223" s="54"/>
      <c r="AY223" s="54"/>
      <c r="AZ223" s="54"/>
      <c r="BA223" s="54"/>
      <c r="BB223" s="54"/>
      <c r="BC223" s="54"/>
      <c r="BD223" s="54"/>
      <c r="BE223" s="54"/>
      <c r="BF223" s="54"/>
      <c r="BG223" s="54"/>
      <c r="BH223" s="54"/>
      <c r="BI223" s="54"/>
      <c r="BJ223" s="54"/>
      <c r="BK223" s="54"/>
      <c r="BL223" s="54"/>
      <c r="BM223" s="54"/>
      <c r="BN223" s="54"/>
      <c r="BO223" s="54"/>
      <c r="BP223" s="54"/>
      <c r="BQ223" s="54"/>
      <c r="BR223" s="54"/>
      <c r="BS223" s="54"/>
      <c r="BT223" s="54"/>
      <c r="BU223" s="54"/>
      <c r="BV223" s="54"/>
      <c r="BW223" s="54"/>
      <c r="BX223" s="54"/>
      <c r="BY223" s="54"/>
      <c r="BZ223" s="54"/>
      <c r="CA223" s="54"/>
      <c r="CB223" s="54"/>
      <c r="CC223" s="54"/>
      <c r="CD223" s="54"/>
      <c r="CE223" s="54"/>
      <c r="CF223" s="54"/>
      <c r="CG223" s="54"/>
      <c r="CH223" s="54"/>
      <c r="CI223" s="54"/>
      <c r="CJ223" s="54"/>
      <c r="CK223" s="54"/>
      <c r="CL223" s="54"/>
      <c r="CM223" s="54"/>
      <c r="CN223" s="54"/>
      <c r="CO223" s="54"/>
      <c r="CP223" s="54"/>
      <c r="CQ223" s="54"/>
      <c r="CR223" s="54"/>
      <c r="CS223" s="54"/>
      <c r="CT223" s="54"/>
      <c r="CU223" s="54"/>
      <c r="CV223" s="54"/>
      <c r="CW223" s="54"/>
      <c r="CX223" s="54"/>
      <c r="CY223" s="54"/>
      <c r="CZ223" s="54"/>
      <c r="DA223" s="54"/>
      <c r="DB223" s="54"/>
      <c r="DC223" s="108"/>
      <c r="DD223" s="60"/>
      <c r="DN223" s="11"/>
      <c r="DO223" s="10"/>
      <c r="DQ223" s="11"/>
      <c r="DR223" s="10"/>
      <c r="EG223" s="11"/>
      <c r="EH223" s="10"/>
      <c r="EL223" s="108"/>
      <c r="EM223" s="108"/>
      <c r="EN223" s="108"/>
      <c r="EO223" s="108"/>
      <c r="EP223" s="108"/>
      <c r="EQ223" s="108"/>
      <c r="ER223" s="108"/>
      <c r="ES223" s="108"/>
      <c r="ET223" s="108"/>
      <c r="EW223" s="11"/>
      <c r="EX223" s="10"/>
      <c r="EZ223" s="11"/>
      <c r="FA223" s="10"/>
      <c r="FD223" s="108"/>
      <c r="FE223" s="108"/>
      <c r="FF223" s="108"/>
      <c r="FG223" s="108"/>
      <c r="FH223" s="108"/>
      <c r="FI223" s="108"/>
      <c r="FJ223" s="108"/>
      <c r="FK223" s="116"/>
      <c r="FL223" s="108"/>
      <c r="FM223" s="54"/>
      <c r="FN223" s="54"/>
      <c r="FO223" s="54"/>
      <c r="FP223" s="54"/>
      <c r="FQ223" s="54"/>
      <c r="FR223" s="54"/>
      <c r="FS223" s="54"/>
      <c r="FT223" s="54"/>
      <c r="FU223" s="54"/>
      <c r="FV223" s="54"/>
      <c r="FW223" s="54"/>
      <c r="FX223" s="54"/>
      <c r="FY223" s="54"/>
      <c r="FZ223" s="54"/>
      <c r="GA223" s="54"/>
      <c r="GB223" s="54"/>
      <c r="GC223" s="54"/>
      <c r="GD223" s="54"/>
      <c r="GE223" s="54"/>
      <c r="GF223" s="54"/>
      <c r="GG223" s="54"/>
      <c r="GH223" s="54"/>
      <c r="GI223" s="54"/>
      <c r="GJ223" s="54"/>
      <c r="GK223" s="54"/>
      <c r="GL223" s="54"/>
      <c r="GM223" s="54"/>
      <c r="GN223" s="54"/>
      <c r="GO223" s="54"/>
      <c r="GP223" s="54"/>
      <c r="GQ223" s="54"/>
      <c r="GR223" s="54"/>
      <c r="GS223" s="54"/>
      <c r="GT223" s="54"/>
      <c r="GU223" s="54"/>
      <c r="GV223" s="54"/>
      <c r="GW223" s="54"/>
      <c r="GX223" s="54"/>
      <c r="GY223" s="54"/>
      <c r="GZ223" s="54"/>
      <c r="HA223" s="54"/>
      <c r="HB223" s="54"/>
      <c r="HC223" s="54"/>
      <c r="HD223" s="54"/>
      <c r="HE223" s="54"/>
      <c r="HF223" s="54"/>
      <c r="HG223" s="54"/>
      <c r="HH223" s="54"/>
      <c r="HI223" s="54"/>
      <c r="HJ223" s="54"/>
      <c r="HK223" s="54"/>
      <c r="HL223" s="54"/>
      <c r="HM223" s="54"/>
      <c r="HN223" s="54"/>
      <c r="HO223" s="54"/>
      <c r="HP223" s="54"/>
      <c r="HQ223" s="54"/>
      <c r="HR223" s="54"/>
      <c r="HS223" s="54"/>
      <c r="HT223" s="54"/>
      <c r="HU223" s="54"/>
      <c r="HV223" s="54"/>
      <c r="HW223" s="54"/>
      <c r="HX223" s="54"/>
      <c r="HY223" s="54"/>
      <c r="HZ223" s="54"/>
      <c r="IA223" s="54"/>
      <c r="IB223" s="54"/>
      <c r="IC223" s="54"/>
      <c r="ID223" s="54"/>
      <c r="IE223" s="54"/>
      <c r="IF223" s="54"/>
      <c r="IG223" s="54"/>
      <c r="IH223" s="54"/>
      <c r="II223" s="54"/>
      <c r="IJ223" s="54"/>
      <c r="IK223" s="54"/>
      <c r="IL223" s="54"/>
      <c r="IM223" s="54"/>
      <c r="IN223" s="54"/>
      <c r="IO223" s="54"/>
      <c r="IP223" s="54"/>
      <c r="IQ223" s="54"/>
      <c r="IR223" s="54"/>
      <c r="IS223" s="54"/>
      <c r="IT223" s="54"/>
      <c r="IU223" s="54"/>
      <c r="IV223" s="54"/>
      <c r="IW223" s="54"/>
      <c r="IX223" s="54"/>
      <c r="IY223" s="54"/>
      <c r="IZ223" s="54"/>
      <c r="JA223" s="54"/>
      <c r="JB223" s="54"/>
      <c r="JC223" s="54"/>
      <c r="JD223" s="54"/>
      <c r="JE223" s="54"/>
      <c r="JF223" s="54"/>
      <c r="JG223" s="54"/>
      <c r="JH223" s="54"/>
      <c r="JI223" s="54"/>
      <c r="JJ223" s="54"/>
      <c r="JK223" s="54"/>
      <c r="JL223" s="54"/>
      <c r="JM223" s="54"/>
      <c r="JN223" s="54"/>
      <c r="JO223" s="54"/>
      <c r="JP223" s="54"/>
      <c r="JQ223" s="54"/>
      <c r="JR223" s="54"/>
      <c r="JS223" s="54"/>
      <c r="JT223" s="54"/>
      <c r="JU223" s="54"/>
      <c r="JV223" s="54"/>
      <c r="JW223" s="54"/>
      <c r="JX223" s="54"/>
      <c r="JY223" s="54"/>
      <c r="JZ223" s="54"/>
      <c r="KA223" s="54"/>
      <c r="KB223" s="54"/>
      <c r="KC223" s="54"/>
      <c r="KD223" s="54"/>
      <c r="KE223" s="54"/>
      <c r="KF223" s="54"/>
      <c r="KG223" s="54"/>
      <c r="KH223" s="54"/>
      <c r="KI223" s="54"/>
      <c r="KJ223" s="54"/>
      <c r="KK223" s="54"/>
      <c r="KL223" s="54"/>
      <c r="KM223" s="54"/>
      <c r="KN223" s="54"/>
      <c r="KO223" s="54"/>
      <c r="KP223" s="54"/>
      <c r="KQ223" s="54"/>
      <c r="KR223" s="54"/>
      <c r="KS223" s="54"/>
      <c r="KT223" s="54"/>
      <c r="KU223" s="54"/>
      <c r="KV223" s="54"/>
      <c r="KW223" s="54"/>
      <c r="KX223" s="54"/>
    </row>
    <row r="224" ht="5.2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c r="AL224" s="54"/>
      <c r="AM224" s="54"/>
      <c r="AN224" s="54"/>
      <c r="AO224" s="54"/>
      <c r="AP224" s="54"/>
      <c r="AQ224" s="54"/>
      <c r="AR224" s="54"/>
      <c r="AS224" s="54"/>
      <c r="AT224" s="54"/>
      <c r="AU224" s="54"/>
      <c r="AV224" s="54"/>
      <c r="AW224" s="54"/>
      <c r="AX224" s="54"/>
      <c r="AY224" s="54"/>
      <c r="AZ224" s="54"/>
      <c r="BA224" s="54"/>
      <c r="BB224" s="54"/>
      <c r="BC224" s="54"/>
      <c r="BD224" s="54"/>
      <c r="BE224" s="54"/>
      <c r="BF224" s="54"/>
      <c r="BG224" s="54"/>
      <c r="BH224" s="54"/>
      <c r="BI224" s="54"/>
      <c r="BJ224" s="54"/>
      <c r="BK224" s="54"/>
      <c r="BL224" s="54"/>
      <c r="BM224" s="54"/>
      <c r="BN224" s="54"/>
      <c r="BO224" s="54"/>
      <c r="BP224" s="54"/>
      <c r="BQ224" s="54"/>
      <c r="BR224" s="54"/>
      <c r="BS224" s="54"/>
      <c r="BT224" s="54"/>
      <c r="BU224" s="54"/>
      <c r="BV224" s="54"/>
      <c r="BW224" s="54"/>
      <c r="BX224" s="54"/>
      <c r="BY224" s="54"/>
      <c r="BZ224" s="54"/>
      <c r="CA224" s="54"/>
      <c r="CB224" s="54"/>
      <c r="CC224" s="54"/>
      <c r="CD224" s="54"/>
      <c r="CE224" s="54"/>
      <c r="CF224" s="54"/>
      <c r="CG224" s="54"/>
      <c r="CH224" s="54"/>
      <c r="CI224" s="54"/>
      <c r="CJ224" s="54"/>
      <c r="CK224" s="54"/>
      <c r="CL224" s="54"/>
      <c r="CM224" s="54"/>
      <c r="CN224" s="54"/>
      <c r="CO224" s="54"/>
      <c r="CP224" s="54"/>
      <c r="CQ224" s="54"/>
      <c r="CR224" s="54"/>
      <c r="CS224" s="54"/>
      <c r="CT224" s="54"/>
      <c r="CU224" s="54"/>
      <c r="CV224" s="54"/>
      <c r="CW224" s="54"/>
      <c r="CX224" s="54"/>
      <c r="CY224" s="54"/>
      <c r="CZ224" s="54"/>
      <c r="DA224" s="54"/>
      <c r="DB224" s="54"/>
      <c r="DC224" s="108"/>
      <c r="DD224" s="88"/>
      <c r="DE224" s="13"/>
      <c r="DF224" s="13"/>
      <c r="DG224" s="13"/>
      <c r="DH224" s="13"/>
      <c r="DI224" s="13"/>
      <c r="DJ224" s="13"/>
      <c r="DK224" s="13"/>
      <c r="DL224" s="13"/>
      <c r="DM224" s="13"/>
      <c r="DN224" s="14"/>
      <c r="DO224" s="12"/>
      <c r="DP224" s="13"/>
      <c r="DQ224" s="14"/>
      <c r="DR224" s="12"/>
      <c r="DS224" s="13"/>
      <c r="DT224" s="13"/>
      <c r="DU224" s="13"/>
      <c r="DV224" s="13"/>
      <c r="DW224" s="13"/>
      <c r="DX224" s="13"/>
      <c r="DY224" s="13"/>
      <c r="DZ224" s="13"/>
      <c r="EA224" s="13"/>
      <c r="EB224" s="13"/>
      <c r="EC224" s="13"/>
      <c r="ED224" s="13"/>
      <c r="EE224" s="13"/>
      <c r="EF224" s="13"/>
      <c r="EG224" s="14"/>
      <c r="EH224" s="12"/>
      <c r="EI224" s="13"/>
      <c r="EJ224" s="13"/>
      <c r="EK224" s="13"/>
      <c r="EL224" s="128"/>
      <c r="EM224" s="128"/>
      <c r="EN224" s="128"/>
      <c r="EO224" s="128"/>
      <c r="EP224" s="128"/>
      <c r="EQ224" s="128"/>
      <c r="ER224" s="128"/>
      <c r="ES224" s="128"/>
      <c r="ET224" s="128"/>
      <c r="EU224" s="13"/>
      <c r="EV224" s="13"/>
      <c r="EW224" s="14"/>
      <c r="EX224" s="12"/>
      <c r="EY224" s="13"/>
      <c r="EZ224" s="14"/>
      <c r="FA224" s="12"/>
      <c r="FB224" s="13"/>
      <c r="FC224" s="13"/>
      <c r="FD224" s="128"/>
      <c r="FE224" s="128"/>
      <c r="FF224" s="128"/>
      <c r="FG224" s="128"/>
      <c r="FH224" s="128"/>
      <c r="FI224" s="128"/>
      <c r="FJ224" s="128"/>
      <c r="FK224" s="129"/>
      <c r="FL224" s="108"/>
      <c r="FM224" s="54"/>
      <c r="FN224" s="54"/>
      <c r="FO224" s="54"/>
      <c r="FP224" s="54"/>
      <c r="FQ224" s="54"/>
      <c r="FR224" s="54"/>
      <c r="FS224" s="54"/>
      <c r="FT224" s="54"/>
      <c r="FU224" s="54"/>
      <c r="FV224" s="54"/>
      <c r="FW224" s="54"/>
      <c r="FX224" s="54"/>
      <c r="FY224" s="54"/>
      <c r="FZ224" s="54"/>
      <c r="GA224" s="54"/>
      <c r="GB224" s="54"/>
      <c r="GC224" s="54"/>
      <c r="GD224" s="54"/>
      <c r="GE224" s="54"/>
      <c r="GF224" s="54"/>
      <c r="GG224" s="54"/>
      <c r="GH224" s="54"/>
      <c r="GI224" s="54"/>
      <c r="GJ224" s="54"/>
      <c r="GK224" s="54"/>
      <c r="GL224" s="54"/>
      <c r="GM224" s="54"/>
      <c r="GN224" s="54"/>
      <c r="GO224" s="54"/>
      <c r="GP224" s="54"/>
      <c r="GQ224" s="54"/>
      <c r="GR224" s="54"/>
      <c r="GS224" s="54"/>
      <c r="GT224" s="54"/>
      <c r="GU224" s="54"/>
      <c r="GV224" s="54"/>
      <c r="GW224" s="54"/>
      <c r="GX224" s="54"/>
      <c r="GY224" s="54"/>
      <c r="GZ224" s="54"/>
      <c r="HA224" s="54"/>
      <c r="HB224" s="54"/>
      <c r="HC224" s="54"/>
      <c r="HD224" s="54"/>
      <c r="HE224" s="54"/>
      <c r="HF224" s="54"/>
      <c r="HG224" s="54"/>
      <c r="HH224" s="54"/>
      <c r="HI224" s="54"/>
      <c r="HJ224" s="54"/>
      <c r="HK224" s="54"/>
      <c r="HL224" s="54"/>
      <c r="HM224" s="54"/>
      <c r="HN224" s="54"/>
      <c r="HO224" s="54"/>
      <c r="HP224" s="54"/>
      <c r="HQ224" s="54"/>
      <c r="HR224" s="54"/>
      <c r="HS224" s="54"/>
      <c r="HT224" s="54"/>
      <c r="HU224" s="54"/>
      <c r="HV224" s="54"/>
      <c r="HW224" s="54"/>
      <c r="HX224" s="54"/>
      <c r="HY224" s="54"/>
      <c r="HZ224" s="54"/>
      <c r="IA224" s="54"/>
      <c r="IB224" s="54"/>
      <c r="IC224" s="54"/>
      <c r="ID224" s="54"/>
      <c r="IE224" s="54"/>
      <c r="IF224" s="54"/>
      <c r="IG224" s="54"/>
      <c r="IH224" s="54"/>
      <c r="II224" s="54"/>
      <c r="IJ224" s="54"/>
      <c r="IK224" s="54"/>
      <c r="IL224" s="54"/>
      <c r="IM224" s="54"/>
      <c r="IN224" s="54"/>
      <c r="IO224" s="54"/>
      <c r="IP224" s="54"/>
      <c r="IQ224" s="54"/>
      <c r="IR224" s="54"/>
      <c r="IS224" s="54"/>
      <c r="IT224" s="54"/>
      <c r="IU224" s="54"/>
      <c r="IV224" s="54"/>
      <c r="IW224" s="54"/>
      <c r="IX224" s="54"/>
      <c r="IY224" s="54"/>
      <c r="IZ224" s="54"/>
      <c r="JA224" s="54"/>
      <c r="JB224" s="54"/>
      <c r="JC224" s="54"/>
      <c r="JD224" s="54"/>
      <c r="JE224" s="54"/>
      <c r="JF224" s="54"/>
      <c r="JG224" s="54"/>
      <c r="JH224" s="54"/>
      <c r="JI224" s="54"/>
      <c r="JJ224" s="54"/>
      <c r="JK224" s="54"/>
      <c r="JL224" s="54"/>
      <c r="JM224" s="54"/>
      <c r="JN224" s="54"/>
      <c r="JO224" s="54"/>
      <c r="JP224" s="54"/>
      <c r="JQ224" s="54"/>
      <c r="JR224" s="54"/>
      <c r="JS224" s="54"/>
      <c r="JT224" s="54"/>
      <c r="JU224" s="54"/>
      <c r="JV224" s="54"/>
      <c r="JW224" s="54"/>
      <c r="JX224" s="54"/>
      <c r="JY224" s="54"/>
      <c r="JZ224" s="54"/>
      <c r="KA224" s="54"/>
      <c r="KB224" s="54"/>
      <c r="KC224" s="54"/>
      <c r="KD224" s="54"/>
      <c r="KE224" s="54"/>
      <c r="KF224" s="54"/>
      <c r="KG224" s="54"/>
      <c r="KH224" s="54"/>
      <c r="KI224" s="54"/>
      <c r="KJ224" s="54"/>
      <c r="KK224" s="54"/>
      <c r="KL224" s="54"/>
      <c r="KM224" s="54"/>
      <c r="KN224" s="54"/>
      <c r="KO224" s="54"/>
      <c r="KP224" s="54"/>
      <c r="KQ224" s="54"/>
      <c r="KR224" s="54"/>
      <c r="KS224" s="54"/>
      <c r="KT224" s="54"/>
      <c r="KU224" s="54"/>
      <c r="KV224" s="54"/>
      <c r="KW224" s="54"/>
      <c r="KX224" s="54"/>
    </row>
    <row r="225" ht="5.2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c r="BI225" s="54"/>
      <c r="BJ225" s="54"/>
      <c r="BK225" s="54"/>
      <c r="BL225" s="54"/>
      <c r="BM225" s="54"/>
      <c r="BN225" s="54"/>
      <c r="BO225" s="54"/>
      <c r="BP225" s="54"/>
      <c r="BQ225" s="54"/>
      <c r="BR225" s="54"/>
      <c r="BS225" s="54"/>
      <c r="BT225" s="54"/>
      <c r="BU225" s="54"/>
      <c r="BV225" s="54"/>
      <c r="BW225" s="54"/>
      <c r="BX225" s="54"/>
      <c r="BY225" s="54"/>
      <c r="BZ225" s="54"/>
      <c r="CA225" s="54"/>
      <c r="CB225" s="54"/>
      <c r="CC225" s="54"/>
      <c r="CD225" s="54"/>
      <c r="CE225" s="54"/>
      <c r="CF225" s="54"/>
      <c r="CG225" s="54"/>
      <c r="CH225" s="54"/>
      <c r="CI225" s="54"/>
      <c r="CJ225" s="54"/>
      <c r="CK225" s="54"/>
      <c r="CL225" s="54"/>
      <c r="CM225" s="54"/>
      <c r="CN225" s="54"/>
      <c r="CO225" s="54"/>
      <c r="CP225" s="54"/>
      <c r="CQ225" s="54"/>
      <c r="CR225" s="54"/>
      <c r="CS225" s="54"/>
      <c r="CT225" s="54"/>
      <c r="CU225" s="54"/>
      <c r="CV225" s="54"/>
      <c r="CW225" s="54"/>
      <c r="CX225" s="54"/>
      <c r="CY225" s="54"/>
      <c r="CZ225" s="54"/>
      <c r="DA225" s="54"/>
      <c r="DB225" s="54"/>
      <c r="DC225" s="119" t="str">
        <f>if(or(BX163=0,EJ163=0),"",reseeding!AC310)</f>
        <v/>
      </c>
      <c r="DD225" s="130" t="str">
        <f t="array" ref="DD225">xlookup(DC225,data!$M$2:$M$17,data!$O$2:$O$17,"")</f>
        <v/>
      </c>
      <c r="DE225" s="8"/>
      <c r="DF225" s="8"/>
      <c r="DG225" s="8"/>
      <c r="DH225" s="93" t="str">
        <f t="array" ref="DH225">xlookup(DC225,data!$M$2:$M$17,data!$N$2:$N$17,"")</f>
        <v/>
      </c>
      <c r="DI225" s="8"/>
      <c r="DJ225" s="8"/>
      <c r="DK225" s="8"/>
      <c r="DL225" s="8"/>
      <c r="DM225" s="8"/>
      <c r="DN225" s="8"/>
      <c r="DO225" s="8"/>
      <c r="DP225" s="8"/>
      <c r="DQ225" s="8"/>
      <c r="DR225" s="8"/>
      <c r="DS225" s="8"/>
      <c r="DT225" s="8"/>
      <c r="DU225" s="8"/>
      <c r="DV225" s="8"/>
      <c r="DW225" s="8"/>
      <c r="DX225" s="8"/>
      <c r="DY225" s="8"/>
      <c r="DZ225" s="8"/>
      <c r="EA225" s="8"/>
      <c r="EB225" s="8"/>
      <c r="EC225" s="8"/>
      <c r="ED225" s="94"/>
      <c r="EE225" s="8"/>
      <c r="EF225" s="8"/>
      <c r="EG225" s="9"/>
      <c r="EH225" s="95"/>
      <c r="EI225" s="8"/>
      <c r="EJ225" s="8"/>
      <c r="EK225" s="8"/>
      <c r="EL225" s="96" t="str">
        <f t="array" ref="EL225">xlookup(FL225,data!$M$2:$M$17,data!$N$2:$N$17,"")</f>
        <v/>
      </c>
      <c r="EM225" s="8"/>
      <c r="EN225" s="8"/>
      <c r="EO225" s="8"/>
      <c r="EP225" s="8"/>
      <c r="EQ225" s="8"/>
      <c r="ER225" s="8"/>
      <c r="ES225" s="8"/>
      <c r="ET225" s="8"/>
      <c r="EU225" s="8"/>
      <c r="EV225" s="8"/>
      <c r="EW225" s="8"/>
      <c r="EX225" s="8"/>
      <c r="EY225" s="8"/>
      <c r="EZ225" s="8"/>
      <c r="FA225" s="8"/>
      <c r="FB225" s="8"/>
      <c r="FC225" s="8"/>
      <c r="FD225" s="8"/>
      <c r="FE225" s="8"/>
      <c r="FF225" s="8"/>
      <c r="FG225" s="8"/>
      <c r="FH225" s="131" t="str">
        <f t="array" ref="FH225">xlookup(FL225,data!$M$2:$M$17,data!$O$2:$O$17,"")</f>
        <v/>
      </c>
      <c r="FI225" s="8"/>
      <c r="FJ225" s="8"/>
      <c r="FK225" s="98"/>
      <c r="FL225" s="119" t="str">
        <f>if(or(BX163=0,EJ163=0),"",reseeding!AD310)</f>
        <v/>
      </c>
      <c r="FM225" s="54"/>
      <c r="FN225" s="54"/>
      <c r="FO225" s="54"/>
      <c r="FP225" s="54"/>
      <c r="FQ225" s="54"/>
      <c r="FR225" s="54"/>
      <c r="FS225" s="54"/>
      <c r="FT225" s="54"/>
      <c r="FU225" s="54"/>
      <c r="FV225" s="54"/>
      <c r="FW225" s="54"/>
      <c r="FX225" s="54"/>
      <c r="FY225" s="54"/>
      <c r="FZ225" s="54"/>
      <c r="GA225" s="54"/>
      <c r="GB225" s="54"/>
      <c r="GC225" s="54"/>
      <c r="GD225" s="54"/>
      <c r="GE225" s="54"/>
      <c r="GF225" s="54"/>
      <c r="GG225" s="54"/>
      <c r="GH225" s="54"/>
      <c r="GI225" s="54"/>
      <c r="GJ225" s="54"/>
      <c r="GK225" s="54"/>
      <c r="GL225" s="54"/>
      <c r="GM225" s="54"/>
      <c r="GN225" s="54"/>
      <c r="GO225" s="54"/>
      <c r="GP225" s="54"/>
      <c r="GQ225" s="54"/>
      <c r="GR225" s="54"/>
      <c r="GS225" s="54"/>
      <c r="GT225" s="54"/>
      <c r="GU225" s="54"/>
      <c r="GV225" s="54"/>
      <c r="GW225" s="54"/>
      <c r="GX225" s="54"/>
      <c r="GY225" s="54"/>
      <c r="GZ225" s="54"/>
      <c r="HA225" s="54"/>
      <c r="HB225" s="54"/>
      <c r="HC225" s="54"/>
      <c r="HD225" s="54"/>
      <c r="HE225" s="54"/>
      <c r="HF225" s="54"/>
      <c r="HG225" s="54"/>
      <c r="HH225" s="54"/>
      <c r="HI225" s="54"/>
      <c r="HJ225" s="54"/>
      <c r="HK225" s="54"/>
      <c r="HL225" s="54"/>
      <c r="HM225" s="54"/>
      <c r="HN225" s="54"/>
      <c r="HO225" s="54"/>
      <c r="HP225" s="54"/>
      <c r="HQ225" s="54"/>
      <c r="HR225" s="54"/>
      <c r="HS225" s="54"/>
      <c r="HT225" s="54"/>
      <c r="HU225" s="54"/>
      <c r="HV225" s="54"/>
      <c r="HW225" s="54"/>
      <c r="HX225" s="54"/>
      <c r="HY225" s="54"/>
      <c r="HZ225" s="54"/>
      <c r="IA225" s="54"/>
      <c r="IB225" s="54"/>
      <c r="IC225" s="54"/>
      <c r="ID225" s="54"/>
      <c r="IE225" s="54"/>
      <c r="IF225" s="54"/>
      <c r="IG225" s="54"/>
      <c r="IH225" s="54"/>
      <c r="II225" s="54"/>
      <c r="IJ225" s="54"/>
      <c r="IK225" s="54"/>
      <c r="IL225" s="54"/>
      <c r="IM225" s="54"/>
      <c r="IN225" s="54"/>
      <c r="IO225" s="54"/>
      <c r="IP225" s="54"/>
      <c r="IQ225" s="54"/>
      <c r="IR225" s="54"/>
      <c r="IS225" s="54"/>
      <c r="IT225" s="54"/>
      <c r="IU225" s="54"/>
      <c r="IV225" s="54"/>
      <c r="IW225" s="54"/>
      <c r="IX225" s="54"/>
      <c r="IY225" s="54"/>
      <c r="IZ225" s="54"/>
      <c r="JA225" s="54"/>
      <c r="JB225" s="54"/>
      <c r="JC225" s="54"/>
      <c r="JD225" s="54"/>
      <c r="JE225" s="54"/>
      <c r="JF225" s="54"/>
      <c r="JG225" s="54"/>
      <c r="JH225" s="54"/>
      <c r="JI225" s="54"/>
      <c r="JJ225" s="54"/>
      <c r="JK225" s="54"/>
      <c r="JL225" s="54"/>
      <c r="JM225" s="54"/>
      <c r="JN225" s="54"/>
      <c r="JO225" s="54"/>
      <c r="JP225" s="54"/>
      <c r="JQ225" s="54"/>
      <c r="JR225" s="54"/>
      <c r="JS225" s="54"/>
      <c r="JT225" s="54"/>
      <c r="JU225" s="54"/>
      <c r="JV225" s="54"/>
      <c r="JW225" s="54"/>
      <c r="JX225" s="54"/>
      <c r="JY225" s="54"/>
      <c r="JZ225" s="54"/>
      <c r="KA225" s="54"/>
      <c r="KB225" s="54"/>
      <c r="KC225" s="54"/>
      <c r="KD225" s="54"/>
      <c r="KE225" s="54"/>
      <c r="KF225" s="54"/>
      <c r="KG225" s="54"/>
      <c r="KH225" s="54"/>
      <c r="KI225" s="54"/>
      <c r="KJ225" s="54"/>
      <c r="KK225" s="54"/>
      <c r="KL225" s="54"/>
      <c r="KM225" s="54"/>
      <c r="KN225" s="54"/>
      <c r="KO225" s="54"/>
      <c r="KP225" s="54"/>
      <c r="KQ225" s="54"/>
      <c r="KR225" s="54"/>
      <c r="KS225" s="54"/>
      <c r="KT225" s="54"/>
      <c r="KU225" s="54"/>
      <c r="KV225" s="54"/>
      <c r="KW225" s="54"/>
      <c r="KX225" s="54"/>
    </row>
    <row r="226" ht="5.2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c r="AL226" s="54"/>
      <c r="AM226" s="54"/>
      <c r="AN226" s="54"/>
      <c r="AO226" s="54"/>
      <c r="AP226" s="54"/>
      <c r="AQ226" s="54"/>
      <c r="AR226" s="54"/>
      <c r="AS226" s="54"/>
      <c r="AT226" s="54"/>
      <c r="AU226" s="54"/>
      <c r="AV226" s="54"/>
      <c r="AW226" s="54"/>
      <c r="AX226" s="54"/>
      <c r="AY226" s="54"/>
      <c r="AZ226" s="54"/>
      <c r="BA226" s="54"/>
      <c r="BB226" s="54"/>
      <c r="BC226" s="54"/>
      <c r="BD226" s="54"/>
      <c r="BE226" s="54"/>
      <c r="BF226" s="54"/>
      <c r="BG226" s="54"/>
      <c r="BH226" s="54"/>
      <c r="BI226" s="54"/>
      <c r="BJ226" s="54"/>
      <c r="BK226" s="54"/>
      <c r="BL226" s="54"/>
      <c r="BM226" s="54"/>
      <c r="BN226" s="54"/>
      <c r="BO226" s="54"/>
      <c r="BP226" s="54"/>
      <c r="BQ226" s="54"/>
      <c r="BR226" s="54"/>
      <c r="BS226" s="54"/>
      <c r="BT226" s="54"/>
      <c r="BU226" s="54"/>
      <c r="BV226" s="54"/>
      <c r="BW226" s="54"/>
      <c r="BX226" s="54"/>
      <c r="BY226" s="54"/>
      <c r="BZ226" s="54"/>
      <c r="CA226" s="54"/>
      <c r="CB226" s="54"/>
      <c r="CC226" s="54"/>
      <c r="CD226" s="54"/>
      <c r="CE226" s="54"/>
      <c r="CF226" s="54"/>
      <c r="CG226" s="54"/>
      <c r="CH226" s="54"/>
      <c r="CI226" s="54"/>
      <c r="CJ226" s="54"/>
      <c r="CK226" s="54"/>
      <c r="CL226" s="54"/>
      <c r="CM226" s="54"/>
      <c r="CN226" s="54"/>
      <c r="CO226" s="54"/>
      <c r="CP226" s="54"/>
      <c r="CQ226" s="54"/>
      <c r="CR226" s="54"/>
      <c r="CS226" s="54"/>
      <c r="CT226" s="54"/>
      <c r="CU226" s="54"/>
      <c r="CV226" s="54"/>
      <c r="CW226" s="54"/>
      <c r="CX226" s="54"/>
      <c r="CY226" s="54"/>
      <c r="CZ226" s="54"/>
      <c r="DA226" s="54"/>
      <c r="DB226" s="54"/>
      <c r="DC226" s="108"/>
      <c r="DD226" s="60"/>
      <c r="EG226" s="11"/>
      <c r="EH226" s="10"/>
      <c r="FK226" s="61"/>
      <c r="FL226" s="108"/>
      <c r="FM226" s="54"/>
      <c r="FN226" s="54"/>
      <c r="FO226" s="54"/>
      <c r="FP226" s="54"/>
      <c r="FQ226" s="54"/>
      <c r="FR226" s="54"/>
      <c r="FS226" s="54"/>
      <c r="FT226" s="54"/>
      <c r="FU226" s="54"/>
      <c r="FV226" s="54"/>
      <c r="FW226" s="54"/>
      <c r="FX226" s="54"/>
      <c r="FY226" s="54"/>
      <c r="FZ226" s="54"/>
      <c r="GA226" s="54"/>
      <c r="GB226" s="54"/>
      <c r="GC226" s="54"/>
      <c r="GD226" s="54"/>
      <c r="GE226" s="54"/>
      <c r="GF226" s="54"/>
      <c r="GG226" s="54"/>
      <c r="GH226" s="54"/>
      <c r="GI226" s="54"/>
      <c r="GJ226" s="54"/>
      <c r="GK226" s="54"/>
      <c r="GL226" s="54"/>
      <c r="GM226" s="54"/>
      <c r="GN226" s="54"/>
      <c r="GO226" s="54"/>
      <c r="GP226" s="54"/>
      <c r="GQ226" s="54"/>
      <c r="GR226" s="54"/>
      <c r="GS226" s="54"/>
      <c r="GT226" s="54"/>
      <c r="GU226" s="54"/>
      <c r="GV226" s="54"/>
      <c r="GW226" s="54"/>
      <c r="GX226" s="54"/>
      <c r="GY226" s="54"/>
      <c r="GZ226" s="54"/>
      <c r="HA226" s="54"/>
      <c r="HB226" s="54"/>
      <c r="HC226" s="54"/>
      <c r="HD226" s="54"/>
      <c r="HE226" s="54"/>
      <c r="HF226" s="54"/>
      <c r="HG226" s="54"/>
      <c r="HH226" s="54"/>
      <c r="HI226" s="54"/>
      <c r="HJ226" s="54"/>
      <c r="HK226" s="54"/>
      <c r="HL226" s="54"/>
      <c r="HM226" s="54"/>
      <c r="HN226" s="54"/>
      <c r="HO226" s="54"/>
      <c r="HP226" s="54"/>
      <c r="HQ226" s="54"/>
      <c r="HR226" s="54"/>
      <c r="HS226" s="54"/>
      <c r="HT226" s="54"/>
      <c r="HU226" s="54"/>
      <c r="HV226" s="54"/>
      <c r="HW226" s="54"/>
      <c r="HX226" s="54"/>
      <c r="HY226" s="54"/>
      <c r="HZ226" s="54"/>
      <c r="IA226" s="54"/>
      <c r="IB226" s="54"/>
      <c r="IC226" s="54"/>
      <c r="ID226" s="54"/>
      <c r="IE226" s="54"/>
      <c r="IF226" s="54"/>
      <c r="IG226" s="54"/>
      <c r="IH226" s="54"/>
      <c r="II226" s="54"/>
      <c r="IJ226" s="54"/>
      <c r="IK226" s="54"/>
      <c r="IL226" s="54"/>
      <c r="IM226" s="54"/>
      <c r="IN226" s="54"/>
      <c r="IO226" s="54"/>
      <c r="IP226" s="54"/>
      <c r="IQ226" s="54"/>
      <c r="IR226" s="54"/>
      <c r="IS226" s="54"/>
      <c r="IT226" s="54"/>
      <c r="IU226" s="54"/>
      <c r="IV226" s="54"/>
      <c r="IW226" s="54"/>
      <c r="IX226" s="54"/>
      <c r="IY226" s="54"/>
      <c r="IZ226" s="54"/>
      <c r="JA226" s="54"/>
      <c r="JB226" s="54"/>
      <c r="JC226" s="54"/>
      <c r="JD226" s="54"/>
      <c r="JE226" s="54"/>
      <c r="JF226" s="54"/>
      <c r="JG226" s="54"/>
      <c r="JH226" s="54"/>
      <c r="JI226" s="54"/>
      <c r="JJ226" s="54"/>
      <c r="JK226" s="54"/>
      <c r="JL226" s="54"/>
      <c r="JM226" s="54"/>
      <c r="JN226" s="54"/>
      <c r="JO226" s="54"/>
      <c r="JP226" s="54"/>
      <c r="JQ226" s="54"/>
      <c r="JR226" s="54"/>
      <c r="JS226" s="54"/>
      <c r="JT226" s="54"/>
      <c r="JU226" s="54"/>
      <c r="JV226" s="54"/>
      <c r="JW226" s="54"/>
      <c r="JX226" s="54"/>
      <c r="JY226" s="54"/>
      <c r="JZ226" s="54"/>
      <c r="KA226" s="54"/>
      <c r="KB226" s="54"/>
      <c r="KC226" s="54"/>
      <c r="KD226" s="54"/>
      <c r="KE226" s="54"/>
      <c r="KF226" s="54"/>
      <c r="KG226" s="54"/>
      <c r="KH226" s="54"/>
      <c r="KI226" s="54"/>
      <c r="KJ226" s="54"/>
      <c r="KK226" s="54"/>
      <c r="KL226" s="54"/>
      <c r="KM226" s="54"/>
      <c r="KN226" s="54"/>
      <c r="KO226" s="54"/>
      <c r="KP226" s="54"/>
      <c r="KQ226" s="54"/>
      <c r="KR226" s="54"/>
      <c r="KS226" s="54"/>
      <c r="KT226" s="54"/>
      <c r="KU226" s="54"/>
      <c r="KV226" s="54"/>
      <c r="KW226" s="54"/>
      <c r="KX226" s="54"/>
    </row>
    <row r="227" ht="5.2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c r="BI227" s="54"/>
      <c r="BJ227" s="54"/>
      <c r="BK227" s="54"/>
      <c r="BL227" s="54"/>
      <c r="BM227" s="54"/>
      <c r="BN227" s="54"/>
      <c r="BO227" s="54"/>
      <c r="BP227" s="54"/>
      <c r="BQ227" s="54"/>
      <c r="BR227" s="54"/>
      <c r="BS227" s="54"/>
      <c r="BT227" s="54"/>
      <c r="BU227" s="54"/>
      <c r="BV227" s="54"/>
      <c r="BW227" s="54"/>
      <c r="BX227" s="54"/>
      <c r="BY227" s="54"/>
      <c r="BZ227" s="54"/>
      <c r="CA227" s="54"/>
      <c r="CB227" s="54"/>
      <c r="CC227" s="54"/>
      <c r="CD227" s="54"/>
      <c r="CE227" s="54"/>
      <c r="CF227" s="54"/>
      <c r="CG227" s="54"/>
      <c r="CH227" s="54"/>
      <c r="CI227" s="54"/>
      <c r="CJ227" s="54"/>
      <c r="CK227" s="54"/>
      <c r="CL227" s="54"/>
      <c r="CM227" s="54"/>
      <c r="CN227" s="54"/>
      <c r="CO227" s="54"/>
      <c r="CP227" s="54"/>
      <c r="CQ227" s="54"/>
      <c r="CR227" s="54"/>
      <c r="CS227" s="54"/>
      <c r="CT227" s="54"/>
      <c r="CU227" s="54"/>
      <c r="CV227" s="54"/>
      <c r="CW227" s="54"/>
      <c r="CX227" s="54"/>
      <c r="CY227" s="54"/>
      <c r="CZ227" s="54"/>
      <c r="DA227" s="54"/>
      <c r="DB227" s="54"/>
      <c r="DC227" s="108"/>
      <c r="DD227" s="60"/>
      <c r="EG227" s="11"/>
      <c r="EH227" s="10"/>
      <c r="FK227" s="61"/>
      <c r="FL227" s="108"/>
      <c r="FM227" s="54"/>
      <c r="FN227" s="54"/>
      <c r="FO227" s="54"/>
      <c r="FP227" s="54"/>
      <c r="FQ227" s="54"/>
      <c r="FR227" s="54"/>
      <c r="FS227" s="54"/>
      <c r="FT227" s="54"/>
      <c r="FU227" s="54"/>
      <c r="FV227" s="54"/>
      <c r="FW227" s="54"/>
      <c r="FX227" s="54"/>
      <c r="FY227" s="54"/>
      <c r="FZ227" s="54"/>
      <c r="GA227" s="54"/>
      <c r="GB227" s="54"/>
      <c r="GC227" s="54"/>
      <c r="GD227" s="54"/>
      <c r="GE227" s="54"/>
      <c r="GF227" s="54"/>
      <c r="GG227" s="54"/>
      <c r="GH227" s="54"/>
      <c r="GI227" s="54"/>
      <c r="GJ227" s="54"/>
      <c r="GK227" s="54"/>
      <c r="GL227" s="54"/>
      <c r="GM227" s="54"/>
      <c r="GN227" s="54"/>
      <c r="GO227" s="54"/>
      <c r="GP227" s="54"/>
      <c r="GQ227" s="54"/>
      <c r="GR227" s="54"/>
      <c r="GS227" s="54"/>
      <c r="GT227" s="54"/>
      <c r="GU227" s="54"/>
      <c r="GV227" s="54"/>
      <c r="GW227" s="54"/>
      <c r="GX227" s="54"/>
      <c r="GY227" s="54"/>
      <c r="GZ227" s="54"/>
      <c r="HA227" s="54"/>
      <c r="HB227" s="54"/>
      <c r="HC227" s="54"/>
      <c r="HD227" s="54"/>
      <c r="HE227" s="54"/>
      <c r="HF227" s="54"/>
      <c r="HG227" s="54"/>
      <c r="HH227" s="54"/>
      <c r="HI227" s="54"/>
      <c r="HJ227" s="54"/>
      <c r="HK227" s="54"/>
      <c r="HL227" s="54"/>
      <c r="HM227" s="54"/>
      <c r="HN227" s="54"/>
      <c r="HO227" s="54"/>
      <c r="HP227" s="54"/>
      <c r="HQ227" s="54"/>
      <c r="HR227" s="54"/>
      <c r="HS227" s="54"/>
      <c r="HT227" s="54"/>
      <c r="HU227" s="54"/>
      <c r="HV227" s="54"/>
      <c r="HW227" s="54"/>
      <c r="HX227" s="54"/>
      <c r="HY227" s="54"/>
      <c r="HZ227" s="54"/>
      <c r="IA227" s="54"/>
      <c r="IB227" s="54"/>
      <c r="IC227" s="54"/>
      <c r="ID227" s="54"/>
      <c r="IE227" s="54"/>
      <c r="IF227" s="54"/>
      <c r="IG227" s="54"/>
      <c r="IH227" s="54"/>
      <c r="II227" s="54"/>
      <c r="IJ227" s="54"/>
      <c r="IK227" s="54"/>
      <c r="IL227" s="54"/>
      <c r="IM227" s="54"/>
      <c r="IN227" s="54"/>
      <c r="IO227" s="54"/>
      <c r="IP227" s="54"/>
      <c r="IQ227" s="54"/>
      <c r="IR227" s="54"/>
      <c r="IS227" s="54"/>
      <c r="IT227" s="54"/>
      <c r="IU227" s="54"/>
      <c r="IV227" s="54"/>
      <c r="IW227" s="54"/>
      <c r="IX227" s="54"/>
      <c r="IY227" s="54"/>
      <c r="IZ227" s="54"/>
      <c r="JA227" s="54"/>
      <c r="JB227" s="54"/>
      <c r="JC227" s="54"/>
      <c r="JD227" s="54"/>
      <c r="JE227" s="54"/>
      <c r="JF227" s="54"/>
      <c r="JG227" s="54"/>
      <c r="JH227" s="54"/>
      <c r="JI227" s="54"/>
      <c r="JJ227" s="54"/>
      <c r="JK227" s="54"/>
      <c r="JL227" s="54"/>
      <c r="JM227" s="54"/>
      <c r="JN227" s="54"/>
      <c r="JO227" s="54"/>
      <c r="JP227" s="54"/>
      <c r="JQ227" s="54"/>
      <c r="JR227" s="54"/>
      <c r="JS227" s="54"/>
      <c r="JT227" s="54"/>
      <c r="JU227" s="54"/>
      <c r="JV227" s="54"/>
      <c r="JW227" s="54"/>
      <c r="JX227" s="54"/>
      <c r="JY227" s="54"/>
      <c r="JZ227" s="54"/>
      <c r="KA227" s="54"/>
      <c r="KB227" s="54"/>
      <c r="KC227" s="54"/>
      <c r="KD227" s="54"/>
      <c r="KE227" s="54"/>
      <c r="KF227" s="54"/>
      <c r="KG227" s="54"/>
      <c r="KH227" s="54"/>
      <c r="KI227" s="54"/>
      <c r="KJ227" s="54"/>
      <c r="KK227" s="54"/>
      <c r="KL227" s="54"/>
      <c r="KM227" s="54"/>
      <c r="KN227" s="54"/>
      <c r="KO227" s="54"/>
      <c r="KP227" s="54"/>
      <c r="KQ227" s="54"/>
      <c r="KR227" s="54"/>
      <c r="KS227" s="54"/>
      <c r="KT227" s="54"/>
      <c r="KU227" s="54"/>
      <c r="KV227" s="54"/>
      <c r="KW227" s="54"/>
      <c r="KX227" s="54"/>
    </row>
    <row r="228" ht="5.2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c r="AL228" s="54"/>
      <c r="AM228" s="54"/>
      <c r="AN228" s="54"/>
      <c r="AO228" s="54"/>
      <c r="AP228" s="54"/>
      <c r="AQ228" s="54"/>
      <c r="AR228" s="54"/>
      <c r="AS228" s="54"/>
      <c r="AT228" s="54"/>
      <c r="AU228" s="54"/>
      <c r="AV228" s="54"/>
      <c r="AW228" s="54"/>
      <c r="AX228" s="54"/>
      <c r="AY228" s="54"/>
      <c r="AZ228" s="54"/>
      <c r="BA228" s="54"/>
      <c r="BB228" s="54"/>
      <c r="BC228" s="54"/>
      <c r="BD228" s="54"/>
      <c r="BE228" s="54"/>
      <c r="BF228" s="54"/>
      <c r="BG228" s="54"/>
      <c r="BH228" s="54"/>
      <c r="BI228" s="54"/>
      <c r="BJ228" s="54"/>
      <c r="BK228" s="54"/>
      <c r="BL228" s="54"/>
      <c r="BM228" s="54"/>
      <c r="BN228" s="54"/>
      <c r="BO228" s="54"/>
      <c r="BP228" s="54"/>
      <c r="BQ228" s="54"/>
      <c r="BR228" s="54"/>
      <c r="BS228" s="54"/>
      <c r="BT228" s="54"/>
      <c r="BU228" s="54"/>
      <c r="BV228" s="54"/>
      <c r="BW228" s="54"/>
      <c r="BX228" s="54"/>
      <c r="BY228" s="54"/>
      <c r="BZ228" s="54"/>
      <c r="CA228" s="54"/>
      <c r="CB228" s="54"/>
      <c r="CC228" s="54"/>
      <c r="CD228" s="54"/>
      <c r="CE228" s="54"/>
      <c r="CF228" s="54"/>
      <c r="CG228" s="54"/>
      <c r="CH228" s="54"/>
      <c r="CI228" s="54"/>
      <c r="CJ228" s="54"/>
      <c r="CK228" s="54"/>
      <c r="CL228" s="54"/>
      <c r="CM228" s="54"/>
      <c r="CN228" s="54"/>
      <c r="CO228" s="54"/>
      <c r="CP228" s="54"/>
      <c r="CQ228" s="54"/>
      <c r="CR228" s="54"/>
      <c r="CS228" s="54"/>
      <c r="CT228" s="54"/>
      <c r="CU228" s="54"/>
      <c r="CV228" s="54"/>
      <c r="CW228" s="54"/>
      <c r="CX228" s="54"/>
      <c r="CY228" s="54"/>
      <c r="CZ228" s="54"/>
      <c r="DA228" s="54"/>
      <c r="DB228" s="54"/>
      <c r="DC228" s="108"/>
      <c r="DD228" s="60"/>
      <c r="EG228" s="11"/>
      <c r="EH228" s="10"/>
      <c r="FK228" s="61"/>
      <c r="FL228" s="108"/>
      <c r="FM228" s="54"/>
      <c r="FN228" s="54"/>
      <c r="FO228" s="54"/>
      <c r="FP228" s="54"/>
      <c r="FQ228" s="54"/>
      <c r="FR228" s="54"/>
      <c r="FS228" s="54"/>
      <c r="FT228" s="54"/>
      <c r="FU228" s="54"/>
      <c r="FV228" s="54"/>
      <c r="FW228" s="54"/>
      <c r="FX228" s="54"/>
      <c r="FY228" s="54"/>
      <c r="FZ228" s="54"/>
      <c r="GA228" s="54"/>
      <c r="GB228" s="54"/>
      <c r="GC228" s="54"/>
      <c r="GD228" s="54"/>
      <c r="GE228" s="54"/>
      <c r="GF228" s="54"/>
      <c r="GG228" s="54"/>
      <c r="GH228" s="54"/>
      <c r="GI228" s="54"/>
      <c r="GJ228" s="54"/>
      <c r="GK228" s="54"/>
      <c r="GL228" s="54"/>
      <c r="GM228" s="54"/>
      <c r="GN228" s="54"/>
      <c r="GO228" s="54"/>
      <c r="GP228" s="54"/>
      <c r="GQ228" s="54"/>
      <c r="GR228" s="54"/>
      <c r="GS228" s="54"/>
      <c r="GT228" s="54"/>
      <c r="GU228" s="54"/>
      <c r="GV228" s="54"/>
      <c r="GW228" s="54"/>
      <c r="GX228" s="54"/>
      <c r="GY228" s="54"/>
      <c r="GZ228" s="54"/>
      <c r="HA228" s="54"/>
      <c r="HB228" s="54"/>
      <c r="HC228" s="54"/>
      <c r="HD228" s="54"/>
      <c r="HE228" s="54"/>
      <c r="HF228" s="54"/>
      <c r="HG228" s="54"/>
      <c r="HH228" s="54"/>
      <c r="HI228" s="54"/>
      <c r="HJ228" s="54"/>
      <c r="HK228" s="54"/>
      <c r="HL228" s="54"/>
      <c r="HM228" s="54"/>
      <c r="HN228" s="54"/>
      <c r="HO228" s="54"/>
      <c r="HP228" s="54"/>
      <c r="HQ228" s="54"/>
      <c r="HR228" s="54"/>
      <c r="HS228" s="54"/>
      <c r="HT228" s="54"/>
      <c r="HU228" s="54"/>
      <c r="HV228" s="54"/>
      <c r="HW228" s="54"/>
      <c r="HX228" s="54"/>
      <c r="HY228" s="54"/>
      <c r="HZ228" s="54"/>
      <c r="IA228" s="54"/>
      <c r="IB228" s="54"/>
      <c r="IC228" s="54"/>
      <c r="ID228" s="54"/>
      <c r="IE228" s="54"/>
      <c r="IF228" s="54"/>
      <c r="IG228" s="54"/>
      <c r="IH228" s="54"/>
      <c r="II228" s="54"/>
      <c r="IJ228" s="54"/>
      <c r="IK228" s="54"/>
      <c r="IL228" s="54"/>
      <c r="IM228" s="54"/>
      <c r="IN228" s="54"/>
      <c r="IO228" s="54"/>
      <c r="IP228" s="54"/>
      <c r="IQ228" s="54"/>
      <c r="IR228" s="54"/>
      <c r="IS228" s="54"/>
      <c r="IT228" s="54"/>
      <c r="IU228" s="54"/>
      <c r="IV228" s="54"/>
      <c r="IW228" s="54"/>
      <c r="IX228" s="54"/>
      <c r="IY228" s="54"/>
      <c r="IZ228" s="54"/>
      <c r="JA228" s="54"/>
      <c r="JB228" s="54"/>
      <c r="JC228" s="54"/>
      <c r="JD228" s="54"/>
      <c r="JE228" s="54"/>
      <c r="JF228" s="54"/>
      <c r="JG228" s="54"/>
      <c r="JH228" s="54"/>
      <c r="JI228" s="54"/>
      <c r="JJ228" s="54"/>
      <c r="JK228" s="54"/>
      <c r="JL228" s="54"/>
      <c r="JM228" s="54"/>
      <c r="JN228" s="54"/>
      <c r="JO228" s="54"/>
      <c r="JP228" s="54"/>
      <c r="JQ228" s="54"/>
      <c r="JR228" s="54"/>
      <c r="JS228" s="54"/>
      <c r="JT228" s="54"/>
      <c r="JU228" s="54"/>
      <c r="JV228" s="54"/>
      <c r="JW228" s="54"/>
      <c r="JX228" s="54"/>
      <c r="JY228" s="54"/>
      <c r="JZ228" s="54"/>
      <c r="KA228" s="54"/>
      <c r="KB228" s="54"/>
      <c r="KC228" s="54"/>
      <c r="KD228" s="54"/>
      <c r="KE228" s="54"/>
      <c r="KF228" s="54"/>
      <c r="KG228" s="54"/>
      <c r="KH228" s="54"/>
      <c r="KI228" s="54"/>
      <c r="KJ228" s="54"/>
      <c r="KK228" s="54"/>
      <c r="KL228" s="54"/>
      <c r="KM228" s="54"/>
      <c r="KN228" s="54"/>
      <c r="KO228" s="54"/>
      <c r="KP228" s="54"/>
      <c r="KQ228" s="54"/>
      <c r="KR228" s="54"/>
      <c r="KS228" s="54"/>
      <c r="KT228" s="54"/>
      <c r="KU228" s="54"/>
      <c r="KV228" s="54"/>
      <c r="KW228" s="54"/>
      <c r="KX228" s="54"/>
    </row>
    <row r="229" ht="5.2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c r="AP229" s="54"/>
      <c r="AQ229" s="54"/>
      <c r="AR229" s="54"/>
      <c r="AS229" s="54"/>
      <c r="AT229" s="54"/>
      <c r="AU229" s="54"/>
      <c r="AV229" s="54"/>
      <c r="AW229" s="54"/>
      <c r="AX229" s="54"/>
      <c r="AY229" s="54"/>
      <c r="AZ229" s="54"/>
      <c r="BA229" s="54"/>
      <c r="BB229" s="54"/>
      <c r="BC229" s="54"/>
      <c r="BD229" s="54"/>
      <c r="BE229" s="54"/>
      <c r="BF229" s="54"/>
      <c r="BG229" s="54"/>
      <c r="BH229" s="54"/>
      <c r="BI229" s="54"/>
      <c r="BJ229" s="54"/>
      <c r="BK229" s="54"/>
      <c r="BL229" s="54"/>
      <c r="BM229" s="54"/>
      <c r="BN229" s="54"/>
      <c r="BO229" s="54"/>
      <c r="BP229" s="54"/>
      <c r="BQ229" s="54"/>
      <c r="BR229" s="54"/>
      <c r="BS229" s="54"/>
      <c r="BT229" s="54"/>
      <c r="BU229" s="54"/>
      <c r="BV229" s="54"/>
      <c r="BW229" s="54"/>
      <c r="BX229" s="54"/>
      <c r="BY229" s="54"/>
      <c r="BZ229" s="54"/>
      <c r="CA229" s="54"/>
      <c r="CB229" s="54"/>
      <c r="CC229" s="54"/>
      <c r="CD229" s="54"/>
      <c r="CE229" s="54"/>
      <c r="CF229" s="54"/>
      <c r="CG229" s="54"/>
      <c r="CH229" s="54"/>
      <c r="CI229" s="54"/>
      <c r="CJ229" s="54"/>
      <c r="CK229" s="54"/>
      <c r="CL229" s="54"/>
      <c r="CM229" s="54"/>
      <c r="CN229" s="54"/>
      <c r="CO229" s="54"/>
      <c r="CP229" s="54"/>
      <c r="CQ229" s="54"/>
      <c r="CR229" s="54"/>
      <c r="CS229" s="54"/>
      <c r="CT229" s="54"/>
      <c r="CU229" s="54"/>
      <c r="CV229" s="54"/>
      <c r="CW229" s="54"/>
      <c r="CX229" s="54"/>
      <c r="CY229" s="54"/>
      <c r="CZ229" s="54"/>
      <c r="DA229" s="54"/>
      <c r="DB229" s="54"/>
      <c r="DC229" s="119" t="str">
        <f>DC225</f>
        <v/>
      </c>
      <c r="DD229" s="112"/>
      <c r="DL229" s="122"/>
      <c r="DN229" s="11"/>
      <c r="DO229" s="126"/>
      <c r="DQ229" s="11"/>
      <c r="DR229" s="136"/>
      <c r="DU229" s="108"/>
      <c r="ED229" s="85">
        <f>sum(DL229:DT231)</f>
        <v>0</v>
      </c>
      <c r="EG229" s="11"/>
      <c r="EH229" s="86">
        <f>sum(EU229:FC231)</f>
        <v>0</v>
      </c>
      <c r="EL229" s="108"/>
      <c r="EM229" s="108"/>
      <c r="EN229" s="108"/>
      <c r="EO229" s="108"/>
      <c r="EP229" s="108"/>
      <c r="EQ229" s="108"/>
      <c r="ER229" s="108"/>
      <c r="ES229" s="108"/>
      <c r="ET229" s="108"/>
      <c r="EU229" s="121"/>
      <c r="EW229" s="11"/>
      <c r="EX229" s="123"/>
      <c r="EZ229" s="11"/>
      <c r="FA229" s="127"/>
      <c r="FD229" s="108"/>
      <c r="FE229" s="108"/>
      <c r="FF229" s="108"/>
      <c r="FG229" s="108"/>
      <c r="FH229" s="108"/>
      <c r="FI229" s="108"/>
      <c r="FJ229" s="108"/>
      <c r="FK229" s="116"/>
      <c r="FL229" s="119" t="str">
        <f>FL225</f>
        <v/>
      </c>
      <c r="FM229" s="54"/>
      <c r="FN229" s="54"/>
      <c r="FO229" s="54"/>
      <c r="FP229" s="54"/>
      <c r="FQ229" s="54"/>
      <c r="FR229" s="54"/>
      <c r="FS229" s="54"/>
      <c r="FT229" s="54"/>
      <c r="FU229" s="54"/>
      <c r="FV229" s="54"/>
      <c r="FW229" s="54"/>
      <c r="FX229" s="54"/>
      <c r="FY229" s="54"/>
      <c r="FZ229" s="54"/>
      <c r="GA229" s="54"/>
      <c r="GB229" s="54"/>
      <c r="GC229" s="54"/>
      <c r="GD229" s="54"/>
      <c r="GE229" s="54"/>
      <c r="GF229" s="54"/>
      <c r="GG229" s="54"/>
      <c r="GH229" s="54"/>
      <c r="GI229" s="54"/>
      <c r="GJ229" s="54"/>
      <c r="GK229" s="54"/>
      <c r="GL229" s="54"/>
      <c r="GM229" s="54"/>
      <c r="GN229" s="54"/>
      <c r="GO229" s="54"/>
      <c r="GP229" s="54"/>
      <c r="GQ229" s="54"/>
      <c r="GR229" s="54"/>
      <c r="GS229" s="54"/>
      <c r="GT229" s="54"/>
      <c r="GU229" s="54"/>
      <c r="GV229" s="54"/>
      <c r="GW229" s="54"/>
      <c r="GX229" s="54"/>
      <c r="GY229" s="54"/>
      <c r="GZ229" s="54"/>
      <c r="HA229" s="54"/>
      <c r="HB229" s="54"/>
      <c r="HC229" s="54"/>
      <c r="HD229" s="54"/>
      <c r="HE229" s="54"/>
      <c r="HF229" s="54"/>
      <c r="HG229" s="54"/>
      <c r="HH229" s="54"/>
      <c r="HI229" s="54"/>
      <c r="HJ229" s="54"/>
      <c r="HK229" s="54"/>
      <c r="HL229" s="54"/>
      <c r="HM229" s="54"/>
      <c r="HN229" s="54"/>
      <c r="HO229" s="54"/>
      <c r="HP229" s="54"/>
      <c r="HQ229" s="54"/>
      <c r="HR229" s="54"/>
      <c r="HS229" s="54"/>
      <c r="HT229" s="54"/>
      <c r="HU229" s="54"/>
      <c r="HV229" s="54"/>
      <c r="HW229" s="54"/>
      <c r="HX229" s="54"/>
      <c r="HY229" s="54"/>
      <c r="HZ229" s="54"/>
      <c r="IA229" s="54"/>
      <c r="IB229" s="54"/>
      <c r="IC229" s="54"/>
      <c r="ID229" s="54"/>
      <c r="IE229" s="54"/>
      <c r="IF229" s="54"/>
      <c r="IG229" s="54"/>
      <c r="IH229" s="54"/>
      <c r="II229" s="54"/>
      <c r="IJ229" s="54"/>
      <c r="IK229" s="54"/>
      <c r="IL229" s="54"/>
      <c r="IM229" s="54"/>
      <c r="IN229" s="54"/>
      <c r="IO229" s="54"/>
      <c r="IP229" s="54"/>
      <c r="IQ229" s="54"/>
      <c r="IR229" s="54"/>
      <c r="IS229" s="54"/>
      <c r="IT229" s="54"/>
      <c r="IU229" s="54"/>
      <c r="IV229" s="54"/>
      <c r="IW229" s="54"/>
      <c r="IX229" s="54"/>
      <c r="IY229" s="54"/>
      <c r="IZ229" s="54"/>
      <c r="JA229" s="54"/>
      <c r="JB229" s="54"/>
      <c r="JC229" s="54"/>
      <c r="JD229" s="54"/>
      <c r="JE229" s="54"/>
      <c r="JF229" s="54"/>
      <c r="JG229" s="54"/>
      <c r="JH229" s="54"/>
      <c r="JI229" s="54"/>
      <c r="JJ229" s="54"/>
      <c r="JK229" s="54"/>
      <c r="JL229" s="54"/>
      <c r="JM229" s="54"/>
      <c r="JN229" s="54"/>
      <c r="JO229" s="54"/>
      <c r="JP229" s="54"/>
      <c r="JQ229" s="54"/>
      <c r="JR229" s="54"/>
      <c r="JS229" s="54"/>
      <c r="JT229" s="54"/>
      <c r="JU229" s="54"/>
      <c r="JV229" s="54"/>
      <c r="JW229" s="54"/>
      <c r="JX229" s="54"/>
      <c r="JY229" s="54"/>
      <c r="JZ229" s="54"/>
      <c r="KA229" s="54"/>
      <c r="KB229" s="54"/>
      <c r="KC229" s="54"/>
      <c r="KD229" s="54"/>
      <c r="KE229" s="54"/>
      <c r="KF229" s="54"/>
      <c r="KG229" s="54"/>
      <c r="KH229" s="54"/>
      <c r="KI229" s="54"/>
      <c r="KJ229" s="54"/>
      <c r="KK229" s="54"/>
      <c r="KL229" s="54"/>
      <c r="KM229" s="54"/>
      <c r="KN229" s="54"/>
      <c r="KO229" s="54"/>
      <c r="KP229" s="54"/>
      <c r="KQ229" s="54"/>
      <c r="KR229" s="54"/>
      <c r="KS229" s="54"/>
      <c r="KT229" s="54"/>
      <c r="KU229" s="54"/>
      <c r="KV229" s="54"/>
      <c r="KW229" s="54"/>
      <c r="KX229" s="54"/>
    </row>
    <row r="230" ht="5.2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c r="AL230" s="54"/>
      <c r="AM230" s="54"/>
      <c r="AN230" s="54"/>
      <c r="AO230" s="54"/>
      <c r="AP230" s="54"/>
      <c r="AQ230" s="54"/>
      <c r="AR230" s="54"/>
      <c r="AS230" s="54"/>
      <c r="AT230" s="54"/>
      <c r="AU230" s="54"/>
      <c r="AV230" s="54"/>
      <c r="AW230" s="54"/>
      <c r="AX230" s="54"/>
      <c r="AY230" s="54"/>
      <c r="AZ230" s="54"/>
      <c r="BA230" s="54"/>
      <c r="BB230" s="54"/>
      <c r="BC230" s="54"/>
      <c r="BD230" s="54"/>
      <c r="BE230" s="54"/>
      <c r="BF230" s="54"/>
      <c r="BG230" s="54"/>
      <c r="BH230" s="54"/>
      <c r="BI230" s="54"/>
      <c r="BJ230" s="54"/>
      <c r="BK230" s="54"/>
      <c r="BL230" s="54"/>
      <c r="BM230" s="54"/>
      <c r="BN230" s="54"/>
      <c r="BO230" s="54"/>
      <c r="BP230" s="54"/>
      <c r="BQ230" s="54"/>
      <c r="BR230" s="54"/>
      <c r="BS230" s="54"/>
      <c r="BT230" s="54"/>
      <c r="BU230" s="54"/>
      <c r="BV230" s="54"/>
      <c r="BW230" s="54"/>
      <c r="BX230" s="54"/>
      <c r="BY230" s="54"/>
      <c r="BZ230" s="54"/>
      <c r="CA230" s="54"/>
      <c r="CB230" s="54"/>
      <c r="CC230" s="54"/>
      <c r="CD230" s="54"/>
      <c r="CE230" s="54"/>
      <c r="CF230" s="54"/>
      <c r="CG230" s="54"/>
      <c r="CH230" s="54"/>
      <c r="CI230" s="54"/>
      <c r="CJ230" s="54"/>
      <c r="CK230" s="54"/>
      <c r="CL230" s="54"/>
      <c r="CM230" s="54"/>
      <c r="CN230" s="54"/>
      <c r="CO230" s="54"/>
      <c r="CP230" s="54"/>
      <c r="CQ230" s="54"/>
      <c r="CR230" s="54"/>
      <c r="CS230" s="54"/>
      <c r="CT230" s="54"/>
      <c r="CU230" s="54"/>
      <c r="CV230" s="54"/>
      <c r="CW230" s="54"/>
      <c r="CX230" s="54"/>
      <c r="CY230" s="54"/>
      <c r="CZ230" s="54"/>
      <c r="DA230" s="54"/>
      <c r="DB230" s="54"/>
      <c r="DC230" s="108"/>
      <c r="DD230" s="60"/>
      <c r="DN230" s="11"/>
      <c r="DO230" s="10"/>
      <c r="DQ230" s="11"/>
      <c r="DR230" s="10"/>
      <c r="EG230" s="11"/>
      <c r="EH230" s="10"/>
      <c r="EL230" s="108"/>
      <c r="EM230" s="108"/>
      <c r="EN230" s="108"/>
      <c r="EO230" s="108"/>
      <c r="EP230" s="108"/>
      <c r="EQ230" s="108"/>
      <c r="ER230" s="108"/>
      <c r="ES230" s="108"/>
      <c r="ET230" s="108"/>
      <c r="EW230" s="11"/>
      <c r="EX230" s="10"/>
      <c r="EZ230" s="11"/>
      <c r="FA230" s="10"/>
      <c r="FD230" s="108"/>
      <c r="FE230" s="108"/>
      <c r="FF230" s="108"/>
      <c r="FG230" s="108"/>
      <c r="FH230" s="108"/>
      <c r="FI230" s="108"/>
      <c r="FJ230" s="108"/>
      <c r="FK230" s="116"/>
      <c r="FL230" s="108"/>
      <c r="FM230" s="54"/>
      <c r="FN230" s="54"/>
      <c r="FO230" s="54"/>
      <c r="FP230" s="54"/>
      <c r="FQ230" s="54"/>
      <c r="FR230" s="54"/>
      <c r="FS230" s="54"/>
      <c r="FT230" s="54"/>
      <c r="FU230" s="54"/>
      <c r="FV230" s="54"/>
      <c r="FW230" s="54"/>
      <c r="FX230" s="54"/>
      <c r="FY230" s="54"/>
      <c r="FZ230" s="54"/>
      <c r="GA230" s="54"/>
      <c r="GB230" s="54"/>
      <c r="GC230" s="54"/>
      <c r="GD230" s="54"/>
      <c r="GE230" s="54"/>
      <c r="GF230" s="54"/>
      <c r="GG230" s="54"/>
      <c r="GH230" s="54"/>
      <c r="GI230" s="54"/>
      <c r="GJ230" s="54"/>
      <c r="GK230" s="54"/>
      <c r="GL230" s="54"/>
      <c r="GM230" s="54"/>
      <c r="GN230" s="54"/>
      <c r="GO230" s="54"/>
      <c r="GP230" s="54"/>
      <c r="GQ230" s="54"/>
      <c r="GR230" s="54"/>
      <c r="GS230" s="54"/>
      <c r="GT230" s="54"/>
      <c r="GU230" s="54"/>
      <c r="GV230" s="54"/>
      <c r="GW230" s="54"/>
      <c r="GX230" s="54"/>
      <c r="GY230" s="54"/>
      <c r="GZ230" s="54"/>
      <c r="HA230" s="54"/>
      <c r="HB230" s="54"/>
      <c r="HC230" s="54"/>
      <c r="HD230" s="54"/>
      <c r="HE230" s="54"/>
      <c r="HF230" s="54"/>
      <c r="HG230" s="54"/>
      <c r="HH230" s="54"/>
      <c r="HI230" s="54"/>
      <c r="HJ230" s="54"/>
      <c r="HK230" s="54"/>
      <c r="HL230" s="54"/>
      <c r="HM230" s="54"/>
      <c r="HN230" s="54"/>
      <c r="HO230" s="54"/>
      <c r="HP230" s="54"/>
      <c r="HQ230" s="54"/>
      <c r="HR230" s="54"/>
      <c r="HS230" s="54"/>
      <c r="HT230" s="54"/>
      <c r="HU230" s="54"/>
      <c r="HV230" s="54"/>
      <c r="HW230" s="54"/>
      <c r="HX230" s="54"/>
      <c r="HY230" s="54"/>
      <c r="HZ230" s="54"/>
      <c r="IA230" s="54"/>
      <c r="IB230" s="54"/>
      <c r="IC230" s="54"/>
      <c r="ID230" s="54"/>
      <c r="IE230" s="54"/>
      <c r="IF230" s="54"/>
      <c r="IG230" s="54"/>
      <c r="IH230" s="54"/>
      <c r="II230" s="54"/>
      <c r="IJ230" s="54"/>
      <c r="IK230" s="54"/>
      <c r="IL230" s="54"/>
      <c r="IM230" s="54"/>
      <c r="IN230" s="54"/>
      <c r="IO230" s="54"/>
      <c r="IP230" s="54"/>
      <c r="IQ230" s="54"/>
      <c r="IR230" s="54"/>
      <c r="IS230" s="54"/>
      <c r="IT230" s="54"/>
      <c r="IU230" s="54"/>
      <c r="IV230" s="54"/>
      <c r="IW230" s="54"/>
      <c r="IX230" s="54"/>
      <c r="IY230" s="54"/>
      <c r="IZ230" s="54"/>
      <c r="JA230" s="54"/>
      <c r="JB230" s="54"/>
      <c r="JC230" s="54"/>
      <c r="JD230" s="54"/>
      <c r="JE230" s="54"/>
      <c r="JF230" s="54"/>
      <c r="JG230" s="54"/>
      <c r="JH230" s="54"/>
      <c r="JI230" s="54"/>
      <c r="JJ230" s="54"/>
      <c r="JK230" s="54"/>
      <c r="JL230" s="54"/>
      <c r="JM230" s="54"/>
      <c r="JN230" s="54"/>
      <c r="JO230" s="54"/>
      <c r="JP230" s="54"/>
      <c r="JQ230" s="54"/>
      <c r="JR230" s="54"/>
      <c r="JS230" s="54"/>
      <c r="JT230" s="54"/>
      <c r="JU230" s="54"/>
      <c r="JV230" s="54"/>
      <c r="JW230" s="54"/>
      <c r="JX230" s="54"/>
      <c r="JY230" s="54"/>
      <c r="JZ230" s="54"/>
      <c r="KA230" s="54"/>
      <c r="KB230" s="54"/>
      <c r="KC230" s="54"/>
      <c r="KD230" s="54"/>
      <c r="KE230" s="54"/>
      <c r="KF230" s="54"/>
      <c r="KG230" s="54"/>
      <c r="KH230" s="54"/>
      <c r="KI230" s="54"/>
      <c r="KJ230" s="54"/>
      <c r="KK230" s="54"/>
      <c r="KL230" s="54"/>
      <c r="KM230" s="54"/>
      <c r="KN230" s="54"/>
      <c r="KO230" s="54"/>
      <c r="KP230" s="54"/>
      <c r="KQ230" s="54"/>
      <c r="KR230" s="54"/>
      <c r="KS230" s="54"/>
      <c r="KT230" s="54"/>
      <c r="KU230" s="54"/>
      <c r="KV230" s="54"/>
      <c r="KW230" s="54"/>
      <c r="KX230" s="54"/>
    </row>
    <row r="231" ht="5.2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c r="AL231" s="54"/>
      <c r="AM231" s="54"/>
      <c r="AN231" s="54"/>
      <c r="AO231" s="54"/>
      <c r="AP231" s="54"/>
      <c r="AQ231" s="54"/>
      <c r="AR231" s="54"/>
      <c r="AS231" s="54"/>
      <c r="AT231" s="54"/>
      <c r="AU231" s="54"/>
      <c r="AV231" s="54"/>
      <c r="AW231" s="54"/>
      <c r="AX231" s="54"/>
      <c r="AY231" s="54"/>
      <c r="AZ231" s="54"/>
      <c r="BA231" s="54"/>
      <c r="BB231" s="54"/>
      <c r="BC231" s="54"/>
      <c r="BD231" s="54"/>
      <c r="BE231" s="54"/>
      <c r="BF231" s="54"/>
      <c r="BG231" s="54"/>
      <c r="BH231" s="54"/>
      <c r="BI231" s="54"/>
      <c r="BJ231" s="54"/>
      <c r="BK231" s="54"/>
      <c r="BL231" s="54"/>
      <c r="BM231" s="54"/>
      <c r="BN231" s="54"/>
      <c r="BO231" s="54"/>
      <c r="BP231" s="54"/>
      <c r="BQ231" s="54"/>
      <c r="BR231" s="54"/>
      <c r="BS231" s="54"/>
      <c r="BT231" s="54"/>
      <c r="BU231" s="54"/>
      <c r="BV231" s="54"/>
      <c r="BW231" s="54"/>
      <c r="BX231" s="54"/>
      <c r="BY231" s="54"/>
      <c r="BZ231" s="54"/>
      <c r="CA231" s="54"/>
      <c r="CB231" s="54"/>
      <c r="CC231" s="54"/>
      <c r="CD231" s="54"/>
      <c r="CE231" s="54"/>
      <c r="CF231" s="54"/>
      <c r="CG231" s="54"/>
      <c r="CH231" s="54"/>
      <c r="CI231" s="54"/>
      <c r="CJ231" s="54"/>
      <c r="CK231" s="54"/>
      <c r="CL231" s="54"/>
      <c r="CM231" s="54"/>
      <c r="CN231" s="54"/>
      <c r="CO231" s="54"/>
      <c r="CP231" s="54"/>
      <c r="CQ231" s="54"/>
      <c r="CR231" s="54"/>
      <c r="CS231" s="54"/>
      <c r="CT231" s="54"/>
      <c r="CU231" s="54"/>
      <c r="CV231" s="54"/>
      <c r="CW231" s="54"/>
      <c r="CX231" s="54"/>
      <c r="CY231" s="54"/>
      <c r="CZ231" s="54"/>
      <c r="DA231" s="54"/>
      <c r="DB231" s="54"/>
      <c r="DC231" s="108"/>
      <c r="DD231" s="101"/>
      <c r="DE231" s="102"/>
      <c r="DF231" s="102"/>
      <c r="DG231" s="102"/>
      <c r="DH231" s="102"/>
      <c r="DI231" s="102"/>
      <c r="DJ231" s="102"/>
      <c r="DK231" s="102"/>
      <c r="DL231" s="102"/>
      <c r="DM231" s="102"/>
      <c r="DN231" s="103"/>
      <c r="DO231" s="104"/>
      <c r="DP231" s="102"/>
      <c r="DQ231" s="103"/>
      <c r="DR231" s="104"/>
      <c r="DS231" s="102"/>
      <c r="DT231" s="102"/>
      <c r="DU231" s="102"/>
      <c r="DV231" s="102"/>
      <c r="DW231" s="102"/>
      <c r="DX231" s="102"/>
      <c r="DY231" s="102"/>
      <c r="DZ231" s="102"/>
      <c r="EA231" s="102"/>
      <c r="EB231" s="102"/>
      <c r="EC231" s="102"/>
      <c r="ED231" s="102"/>
      <c r="EE231" s="102"/>
      <c r="EF231" s="102"/>
      <c r="EG231" s="103"/>
      <c r="EH231" s="104"/>
      <c r="EI231" s="102"/>
      <c r="EJ231" s="102"/>
      <c r="EK231" s="102"/>
      <c r="EL231" s="137"/>
      <c r="EM231" s="137"/>
      <c r="EN231" s="137"/>
      <c r="EO231" s="137"/>
      <c r="EP231" s="137"/>
      <c r="EQ231" s="137"/>
      <c r="ER231" s="137"/>
      <c r="ES231" s="137"/>
      <c r="ET231" s="137"/>
      <c r="EU231" s="102"/>
      <c r="EV231" s="102"/>
      <c r="EW231" s="103"/>
      <c r="EX231" s="104"/>
      <c r="EY231" s="102"/>
      <c r="EZ231" s="103"/>
      <c r="FA231" s="104"/>
      <c r="FB231" s="102"/>
      <c r="FC231" s="102"/>
      <c r="FD231" s="137"/>
      <c r="FE231" s="137"/>
      <c r="FF231" s="137"/>
      <c r="FG231" s="137"/>
      <c r="FH231" s="137"/>
      <c r="FI231" s="137"/>
      <c r="FJ231" s="137"/>
      <c r="FK231" s="138"/>
      <c r="FL231" s="108"/>
      <c r="FM231" s="54"/>
      <c r="FN231" s="54"/>
      <c r="FO231" s="54"/>
      <c r="FP231" s="54"/>
      <c r="FQ231" s="54"/>
      <c r="FR231" s="54"/>
      <c r="FS231" s="54"/>
      <c r="FT231" s="54"/>
      <c r="FU231" s="54"/>
      <c r="FV231" s="54"/>
      <c r="FW231" s="54"/>
      <c r="FX231" s="54"/>
      <c r="FY231" s="54"/>
      <c r="FZ231" s="54"/>
      <c r="GA231" s="54"/>
      <c r="GB231" s="54"/>
      <c r="GC231" s="54"/>
      <c r="GD231" s="54"/>
      <c r="GE231" s="54"/>
      <c r="GF231" s="54"/>
      <c r="GG231" s="54"/>
      <c r="GH231" s="54"/>
      <c r="GI231" s="54"/>
      <c r="GJ231" s="54"/>
      <c r="GK231" s="54"/>
      <c r="GL231" s="54"/>
      <c r="GM231" s="54"/>
      <c r="GN231" s="54"/>
      <c r="GO231" s="54"/>
      <c r="GP231" s="54"/>
      <c r="GQ231" s="54"/>
      <c r="GR231" s="54"/>
      <c r="GS231" s="54"/>
      <c r="GT231" s="54"/>
      <c r="GU231" s="54"/>
      <c r="GV231" s="54"/>
      <c r="GW231" s="54"/>
      <c r="GX231" s="54"/>
      <c r="GY231" s="54"/>
      <c r="GZ231" s="54"/>
      <c r="HA231" s="54"/>
      <c r="HB231" s="54"/>
      <c r="HC231" s="54"/>
      <c r="HD231" s="54"/>
      <c r="HE231" s="54"/>
      <c r="HF231" s="54"/>
      <c r="HG231" s="54"/>
      <c r="HH231" s="54"/>
      <c r="HI231" s="54"/>
      <c r="HJ231" s="54"/>
      <c r="HK231" s="54"/>
      <c r="HL231" s="54"/>
      <c r="HM231" s="54"/>
      <c r="HN231" s="54"/>
      <c r="HO231" s="54"/>
      <c r="HP231" s="54"/>
      <c r="HQ231" s="54"/>
      <c r="HR231" s="54"/>
      <c r="HS231" s="54"/>
      <c r="HT231" s="54"/>
      <c r="HU231" s="54"/>
      <c r="HV231" s="54"/>
      <c r="HW231" s="54"/>
      <c r="HX231" s="54"/>
      <c r="HY231" s="54"/>
      <c r="HZ231" s="54"/>
      <c r="IA231" s="54"/>
      <c r="IB231" s="54"/>
      <c r="IC231" s="54"/>
      <c r="ID231" s="54"/>
      <c r="IE231" s="54"/>
      <c r="IF231" s="54"/>
      <c r="IG231" s="54"/>
      <c r="IH231" s="54"/>
      <c r="II231" s="143" t="s">
        <v>68</v>
      </c>
      <c r="IJ231" s="144"/>
      <c r="IK231" s="144"/>
      <c r="IL231" s="144"/>
      <c r="IM231" s="144"/>
      <c r="IN231" s="144"/>
      <c r="IO231" s="144"/>
      <c r="IP231" s="144"/>
      <c r="IQ231" s="144"/>
      <c r="IR231" s="144"/>
      <c r="IS231" s="144"/>
      <c r="IT231" s="145"/>
      <c r="IU231" s="146"/>
      <c r="IV231" s="143" t="s">
        <v>69</v>
      </c>
      <c r="IW231" s="144"/>
      <c r="IX231" s="144"/>
      <c r="IY231" s="144"/>
      <c r="IZ231" s="144"/>
      <c r="JA231" s="144"/>
      <c r="JB231" s="144"/>
      <c r="JC231" s="144"/>
      <c r="JD231" s="144"/>
      <c r="JE231" s="144"/>
      <c r="JF231" s="144"/>
      <c r="JG231" s="144"/>
      <c r="JH231" s="145"/>
      <c r="JI231" s="146"/>
      <c r="JJ231" s="143" t="s">
        <v>70</v>
      </c>
      <c r="JK231" s="144"/>
      <c r="JL231" s="144"/>
      <c r="JM231" s="144"/>
      <c r="JN231" s="144"/>
      <c r="JO231" s="144"/>
      <c r="JP231" s="144"/>
      <c r="JQ231" s="144"/>
      <c r="JR231" s="144"/>
      <c r="JS231" s="144"/>
      <c r="JT231" s="144"/>
      <c r="JU231" s="144"/>
      <c r="JV231" s="144"/>
      <c r="JW231" s="144"/>
      <c r="JX231" s="144"/>
      <c r="JY231" s="144"/>
      <c r="JZ231" s="144"/>
      <c r="KA231" s="144"/>
      <c r="KB231" s="144"/>
      <c r="KC231" s="144"/>
      <c r="KD231" s="144"/>
      <c r="KE231" s="144"/>
      <c r="KF231" s="144"/>
      <c r="KG231" s="144"/>
      <c r="KH231" s="144"/>
      <c r="KI231" s="144"/>
      <c r="KJ231" s="144"/>
      <c r="KK231" s="144"/>
      <c r="KL231" s="145"/>
      <c r="KM231" s="54"/>
      <c r="KN231" s="54"/>
      <c r="KO231" s="54"/>
      <c r="KP231" s="54"/>
      <c r="KQ231" s="54"/>
      <c r="KR231" s="54"/>
      <c r="KS231" s="54"/>
      <c r="KT231" s="54"/>
      <c r="KU231" s="54"/>
      <c r="KV231" s="54"/>
      <c r="KW231" s="54"/>
      <c r="KX231" s="54"/>
    </row>
    <row r="232" ht="5.2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c r="AL232" s="54"/>
      <c r="AM232" s="54"/>
      <c r="AN232" s="54"/>
      <c r="AO232" s="54"/>
      <c r="AP232" s="54"/>
      <c r="AQ232" s="54"/>
      <c r="AR232" s="54"/>
      <c r="AS232" s="54"/>
      <c r="AT232" s="54"/>
      <c r="AU232" s="54"/>
      <c r="AV232" s="54"/>
      <c r="AW232" s="54"/>
      <c r="AX232" s="54"/>
      <c r="AY232" s="54"/>
      <c r="AZ232" s="54"/>
      <c r="BA232" s="54"/>
      <c r="BB232" s="54"/>
      <c r="BC232" s="54"/>
      <c r="BD232" s="54"/>
      <c r="BE232" s="54"/>
      <c r="BF232" s="54"/>
      <c r="BG232" s="54"/>
      <c r="BH232" s="54"/>
      <c r="BI232" s="54"/>
      <c r="BJ232" s="54"/>
      <c r="BK232" s="54"/>
      <c r="BL232" s="54"/>
      <c r="BM232" s="54"/>
      <c r="BN232" s="54"/>
      <c r="BO232" s="54"/>
      <c r="BP232" s="54"/>
      <c r="BQ232" s="54"/>
      <c r="BR232" s="54"/>
      <c r="BS232" s="54"/>
      <c r="BT232" s="54"/>
      <c r="BU232" s="54"/>
      <c r="BV232" s="54"/>
      <c r="BW232" s="54"/>
      <c r="BX232" s="54"/>
      <c r="BY232" s="54"/>
      <c r="BZ232" s="54"/>
      <c r="CA232" s="54"/>
      <c r="CB232" s="54"/>
      <c r="CC232" s="54"/>
      <c r="CD232" s="54"/>
      <c r="CE232" s="54"/>
      <c r="CF232" s="54"/>
      <c r="CG232" s="54"/>
      <c r="CH232" s="54"/>
      <c r="CI232" s="54"/>
      <c r="CJ232" s="54"/>
      <c r="CK232" s="54"/>
      <c r="CL232" s="54"/>
      <c r="CM232" s="54"/>
      <c r="CN232" s="54"/>
      <c r="CO232" s="54"/>
      <c r="CP232" s="54"/>
      <c r="CQ232" s="54"/>
      <c r="CR232" s="54"/>
      <c r="CS232" s="54"/>
      <c r="CT232" s="54"/>
      <c r="CU232" s="54"/>
      <c r="CV232" s="54"/>
      <c r="CW232" s="54"/>
      <c r="CX232" s="54"/>
      <c r="CY232" s="54"/>
      <c r="CZ232" s="54"/>
      <c r="DA232" s="54"/>
      <c r="DB232" s="54"/>
      <c r="DC232" s="54"/>
      <c r="DD232" s="54"/>
      <c r="DE232" s="54"/>
      <c r="DF232" s="54"/>
      <c r="DG232" s="54"/>
      <c r="DH232" s="54"/>
      <c r="DI232" s="54"/>
      <c r="DJ232" s="54"/>
      <c r="DK232" s="54"/>
      <c r="DL232" s="54"/>
      <c r="DM232" s="54"/>
      <c r="DN232" s="54"/>
      <c r="DO232" s="54"/>
      <c r="DP232" s="54"/>
      <c r="DQ232" s="54"/>
      <c r="DR232" s="54"/>
      <c r="DS232" s="54"/>
      <c r="DT232" s="54"/>
      <c r="DU232" s="54"/>
      <c r="DV232" s="54"/>
      <c r="DW232" s="54"/>
      <c r="DX232" s="54"/>
      <c r="DY232" s="54"/>
      <c r="DZ232" s="54"/>
      <c r="EA232" s="54"/>
      <c r="EB232" s="54"/>
      <c r="EC232" s="54"/>
      <c r="ED232" s="54"/>
      <c r="EE232" s="54"/>
      <c r="EF232" s="54"/>
      <c r="EG232" s="54"/>
      <c r="EH232" s="54"/>
      <c r="EI232" s="54"/>
      <c r="EJ232" s="54"/>
      <c r="EK232" s="54"/>
      <c r="EL232" s="54"/>
      <c r="EM232" s="54"/>
      <c r="EN232" s="54"/>
      <c r="EO232" s="54"/>
      <c r="EP232" s="54"/>
      <c r="EQ232" s="54"/>
      <c r="ER232" s="54"/>
      <c r="ES232" s="54"/>
      <c r="ET232" s="54"/>
      <c r="EU232" s="54"/>
      <c r="EV232" s="54"/>
      <c r="EW232" s="54"/>
      <c r="EX232" s="54"/>
      <c r="EY232" s="54"/>
      <c r="EZ232" s="54"/>
      <c r="FA232" s="54"/>
      <c r="FB232" s="54"/>
      <c r="FC232" s="54"/>
      <c r="FD232" s="54"/>
      <c r="FE232" s="54"/>
      <c r="FF232" s="54"/>
      <c r="FG232" s="54"/>
      <c r="FH232" s="54"/>
      <c r="FI232" s="54"/>
      <c r="FJ232" s="54"/>
      <c r="FK232" s="54"/>
      <c r="FL232" s="54"/>
      <c r="FM232" s="54"/>
      <c r="FN232" s="54"/>
      <c r="FO232" s="54"/>
      <c r="FP232" s="54"/>
      <c r="FQ232" s="54"/>
      <c r="FR232" s="54"/>
      <c r="FS232" s="54"/>
      <c r="FT232" s="54"/>
      <c r="FU232" s="54"/>
      <c r="FV232" s="54"/>
      <c r="FW232" s="54"/>
      <c r="FX232" s="54"/>
      <c r="FY232" s="54"/>
      <c r="FZ232" s="54"/>
      <c r="GA232" s="54"/>
      <c r="GB232" s="54"/>
      <c r="GC232" s="54"/>
      <c r="GD232" s="54"/>
      <c r="GE232" s="54"/>
      <c r="GF232" s="54"/>
      <c r="GG232" s="54"/>
      <c r="GH232" s="54"/>
      <c r="GI232" s="54"/>
      <c r="GJ232" s="54"/>
      <c r="GK232" s="54"/>
      <c r="GL232" s="54"/>
      <c r="GM232" s="54"/>
      <c r="GN232" s="54"/>
      <c r="GO232" s="54"/>
      <c r="GP232" s="54"/>
      <c r="GQ232" s="54"/>
      <c r="GR232" s="54"/>
      <c r="GS232" s="54"/>
      <c r="GT232" s="54"/>
      <c r="GU232" s="54"/>
      <c r="GV232" s="54"/>
      <c r="GW232" s="54"/>
      <c r="GX232" s="54"/>
      <c r="GY232" s="54"/>
      <c r="GZ232" s="54"/>
      <c r="HA232" s="54"/>
      <c r="HB232" s="54"/>
      <c r="HC232" s="54"/>
      <c r="HD232" s="54"/>
      <c r="HE232" s="54"/>
      <c r="HF232" s="54"/>
      <c r="HG232" s="54"/>
      <c r="HH232" s="54"/>
      <c r="HI232" s="54"/>
      <c r="HJ232" s="54"/>
      <c r="HK232" s="54"/>
      <c r="HL232" s="54"/>
      <c r="HM232" s="54"/>
      <c r="HN232" s="54"/>
      <c r="HO232" s="54"/>
      <c r="HP232" s="54"/>
      <c r="HQ232" s="54"/>
      <c r="HR232" s="54"/>
      <c r="HS232" s="54"/>
      <c r="HT232" s="54"/>
      <c r="HU232" s="54"/>
      <c r="HV232" s="54"/>
      <c r="HW232" s="54"/>
      <c r="HX232" s="54"/>
      <c r="HY232" s="54"/>
      <c r="HZ232" s="54"/>
      <c r="IA232" s="54"/>
      <c r="IB232" s="54"/>
      <c r="IC232" s="54"/>
      <c r="ID232" s="54"/>
      <c r="IE232" s="54"/>
      <c r="IF232" s="54"/>
      <c r="IG232" s="54"/>
      <c r="IH232" s="54"/>
      <c r="II232" s="147"/>
      <c r="IT232" s="148"/>
      <c r="IU232" s="146"/>
      <c r="IV232" s="147"/>
      <c r="JH232" s="148"/>
      <c r="JI232" s="146"/>
      <c r="JJ232" s="147"/>
      <c r="KL232" s="148"/>
      <c r="KM232" s="54"/>
      <c r="KN232" s="54"/>
      <c r="KO232" s="54"/>
      <c r="KP232" s="54"/>
      <c r="KQ232" s="54"/>
      <c r="KR232" s="54"/>
      <c r="KS232" s="54"/>
      <c r="KT232" s="54"/>
      <c r="KU232" s="54"/>
      <c r="KV232" s="54"/>
      <c r="KW232" s="54"/>
      <c r="KX232" s="54"/>
    </row>
    <row r="233" ht="5.2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c r="AL233" s="54"/>
      <c r="AM233" s="54"/>
      <c r="AN233" s="54"/>
      <c r="AO233" s="54"/>
      <c r="AP233" s="54"/>
      <c r="AQ233" s="54"/>
      <c r="AR233" s="54"/>
      <c r="AS233" s="54"/>
      <c r="AT233" s="54"/>
      <c r="AU233" s="54"/>
      <c r="AV233" s="54"/>
      <c r="AW233" s="54"/>
      <c r="AX233" s="54"/>
      <c r="AY233" s="54"/>
      <c r="AZ233" s="54"/>
      <c r="BA233" s="54"/>
      <c r="BB233" s="54"/>
      <c r="BC233" s="54"/>
      <c r="BD233" s="54"/>
      <c r="BE233" s="54"/>
      <c r="BF233" s="54"/>
      <c r="BG233" s="54"/>
      <c r="BH233" s="54"/>
      <c r="BI233" s="54"/>
      <c r="BJ233" s="54"/>
      <c r="BK233" s="54"/>
      <c r="BL233" s="54"/>
      <c r="BM233" s="54"/>
      <c r="BN233" s="54"/>
      <c r="BO233" s="54"/>
      <c r="BP233" s="54"/>
      <c r="BQ233" s="54"/>
      <c r="BR233" s="54"/>
      <c r="BS233" s="54"/>
      <c r="BT233" s="54"/>
      <c r="BU233" s="54"/>
      <c r="BV233" s="54"/>
      <c r="BW233" s="54"/>
      <c r="BX233" s="54"/>
      <c r="BY233" s="54"/>
      <c r="BZ233" s="54"/>
      <c r="CA233" s="54"/>
      <c r="CB233" s="54"/>
      <c r="CC233" s="54"/>
      <c r="CD233" s="54"/>
      <c r="CE233" s="54"/>
      <c r="CF233" s="54"/>
      <c r="CG233" s="54"/>
      <c r="CH233" s="54"/>
      <c r="CI233" s="54"/>
      <c r="CJ233" s="54"/>
      <c r="CK233" s="54"/>
      <c r="CL233" s="54"/>
      <c r="CM233" s="54"/>
      <c r="CN233" s="54"/>
      <c r="CO233" s="54"/>
      <c r="CP233" s="54"/>
      <c r="CQ233" s="54"/>
      <c r="CR233" s="54"/>
      <c r="CS233" s="54"/>
      <c r="CT233" s="54"/>
      <c r="CU233" s="54"/>
      <c r="CV233" s="54"/>
      <c r="CW233" s="54"/>
      <c r="CX233" s="54"/>
      <c r="CY233" s="54"/>
      <c r="CZ233" s="54"/>
      <c r="DA233" s="54"/>
      <c r="DB233" s="54"/>
      <c r="DC233" s="54"/>
      <c r="DD233" s="54"/>
      <c r="DE233" s="54"/>
      <c r="DF233" s="54"/>
      <c r="DG233" s="54"/>
      <c r="DH233" s="54"/>
      <c r="DI233" s="54"/>
      <c r="DJ233" s="54"/>
      <c r="DK233" s="54"/>
      <c r="DL233" s="54"/>
      <c r="DM233" s="54"/>
      <c r="DN233" s="54"/>
      <c r="DO233" s="54"/>
      <c r="DP233" s="54"/>
      <c r="DQ233" s="54"/>
      <c r="DR233" s="54"/>
      <c r="DS233" s="54"/>
      <c r="DT233" s="54"/>
      <c r="DU233" s="54"/>
      <c r="DV233" s="54"/>
      <c r="DW233" s="54"/>
      <c r="DX233" s="54"/>
      <c r="DY233" s="54"/>
      <c r="DZ233" s="54"/>
      <c r="EA233" s="54"/>
      <c r="EB233" s="54"/>
      <c r="EC233" s="54"/>
      <c r="ED233" s="54"/>
      <c r="EE233" s="54"/>
      <c r="EF233" s="54"/>
      <c r="EG233" s="54"/>
      <c r="EH233" s="54"/>
      <c r="EI233" s="54"/>
      <c r="EJ233" s="54"/>
      <c r="EK233" s="54"/>
      <c r="EL233" s="54"/>
      <c r="EM233" s="54"/>
      <c r="EN233" s="54"/>
      <c r="EO233" s="54"/>
      <c r="EP233" s="54"/>
      <c r="EQ233" s="54"/>
      <c r="ER233" s="54"/>
      <c r="ES233" s="54"/>
      <c r="ET233" s="54"/>
      <c r="EU233" s="54"/>
      <c r="EV233" s="54"/>
      <c r="EW233" s="54"/>
      <c r="EX233" s="54"/>
      <c r="EY233" s="54"/>
      <c r="EZ233" s="54"/>
      <c r="FA233" s="54"/>
      <c r="FB233" s="54"/>
      <c r="FC233" s="54"/>
      <c r="FD233" s="54"/>
      <c r="FE233" s="54"/>
      <c r="FF233" s="54"/>
      <c r="FG233" s="54"/>
      <c r="FH233" s="54"/>
      <c r="FI233" s="54"/>
      <c r="FJ233" s="54"/>
      <c r="FK233" s="54"/>
      <c r="FL233" s="54"/>
      <c r="FM233" s="54"/>
      <c r="FN233" s="54"/>
      <c r="FO233" s="54"/>
      <c r="FP233" s="54"/>
      <c r="FQ233" s="54"/>
      <c r="FR233" s="54"/>
      <c r="FS233" s="54"/>
      <c r="FT233" s="54"/>
      <c r="FU233" s="54"/>
      <c r="FV233" s="54"/>
      <c r="FW233" s="54"/>
      <c r="FX233" s="54"/>
      <c r="FY233" s="54"/>
      <c r="FZ233" s="54"/>
      <c r="GA233" s="54"/>
      <c r="GB233" s="54"/>
      <c r="GC233" s="54"/>
      <c r="GD233" s="54"/>
      <c r="GE233" s="54"/>
      <c r="GF233" s="54"/>
      <c r="GG233" s="54"/>
      <c r="GH233" s="54"/>
      <c r="GI233" s="54"/>
      <c r="GJ233" s="54"/>
      <c r="GK233" s="54"/>
      <c r="GL233" s="54"/>
      <c r="GM233" s="54"/>
      <c r="GN233" s="54"/>
      <c r="GO233" s="54"/>
      <c r="GP233" s="54"/>
      <c r="GQ233" s="54"/>
      <c r="GR233" s="54"/>
      <c r="GS233" s="54"/>
      <c r="GT233" s="54"/>
      <c r="GU233" s="54"/>
      <c r="GV233" s="54"/>
      <c r="GW233" s="54"/>
      <c r="GX233" s="54"/>
      <c r="GY233" s="54"/>
      <c r="GZ233" s="54"/>
      <c r="HA233" s="54"/>
      <c r="HB233" s="54"/>
      <c r="HC233" s="54"/>
      <c r="HD233" s="54"/>
      <c r="HE233" s="54"/>
      <c r="HF233" s="54"/>
      <c r="HG233" s="54"/>
      <c r="HH233" s="54"/>
      <c r="HI233" s="54"/>
      <c r="HJ233" s="54"/>
      <c r="HK233" s="54"/>
      <c r="HL233" s="54"/>
      <c r="HM233" s="54"/>
      <c r="HN233" s="54"/>
      <c r="HO233" s="54"/>
      <c r="HP233" s="54"/>
      <c r="HQ233" s="54"/>
      <c r="HR233" s="54"/>
      <c r="HS233" s="54"/>
      <c r="HT233" s="54"/>
      <c r="HU233" s="54"/>
      <c r="HV233" s="54"/>
      <c r="HW233" s="54"/>
      <c r="HX233" s="54"/>
      <c r="HY233" s="54"/>
      <c r="HZ233" s="54"/>
      <c r="IA233" s="54"/>
      <c r="IB233" s="54"/>
      <c r="IC233" s="54"/>
      <c r="ID233" s="54"/>
      <c r="IE233" s="54"/>
      <c r="IF233" s="54"/>
      <c r="IG233" s="54"/>
      <c r="IH233" s="54"/>
      <c r="II233" s="147"/>
      <c r="IT233" s="148"/>
      <c r="IU233" s="146"/>
      <c r="IV233" s="147"/>
      <c r="JH233" s="148"/>
      <c r="JI233" s="146"/>
      <c r="JJ233" s="147"/>
      <c r="KL233" s="148"/>
      <c r="KM233" s="54"/>
      <c r="KN233" s="54"/>
      <c r="KO233" s="54"/>
      <c r="KP233" s="54"/>
      <c r="KQ233" s="54"/>
      <c r="KR233" s="54"/>
      <c r="KS233" s="54"/>
      <c r="KT233" s="54"/>
      <c r="KU233" s="54"/>
      <c r="KV233" s="54"/>
      <c r="KW233" s="54"/>
      <c r="KX233" s="54"/>
    </row>
    <row r="234" ht="5.2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c r="AP234" s="54"/>
      <c r="AQ234" s="54"/>
      <c r="AR234" s="54"/>
      <c r="AS234" s="54"/>
      <c r="AT234" s="54"/>
      <c r="AU234" s="54"/>
      <c r="AV234" s="54"/>
      <c r="AW234" s="54"/>
      <c r="AX234" s="54"/>
      <c r="AY234" s="54"/>
      <c r="AZ234" s="54"/>
      <c r="BA234" s="54"/>
      <c r="BB234" s="54"/>
      <c r="BC234" s="54"/>
      <c r="BD234" s="54"/>
      <c r="BE234" s="54"/>
      <c r="BF234" s="54"/>
      <c r="BG234" s="54"/>
      <c r="BH234" s="54"/>
      <c r="BI234" s="54"/>
      <c r="BJ234" s="54"/>
      <c r="BK234" s="54"/>
      <c r="BL234" s="54"/>
      <c r="BM234" s="54"/>
      <c r="BN234" s="54"/>
      <c r="BO234" s="54"/>
      <c r="BP234" s="54"/>
      <c r="BQ234" s="54"/>
      <c r="BR234" s="54"/>
      <c r="BS234" s="54"/>
      <c r="BT234" s="54"/>
      <c r="BU234" s="54"/>
      <c r="BV234" s="54"/>
      <c r="BW234" s="54"/>
      <c r="BX234" s="54"/>
      <c r="BY234" s="54"/>
      <c r="BZ234" s="54"/>
      <c r="CA234" s="54"/>
      <c r="CB234" s="54"/>
      <c r="CC234" s="54"/>
      <c r="CD234" s="54"/>
      <c r="CE234" s="54"/>
      <c r="CF234" s="54"/>
      <c r="CG234" s="54"/>
      <c r="CH234" s="54"/>
      <c r="CI234" s="54"/>
      <c r="CJ234" s="54"/>
      <c r="CK234" s="54"/>
      <c r="CL234" s="54"/>
      <c r="CM234" s="54"/>
      <c r="CN234" s="54"/>
      <c r="CO234" s="54"/>
      <c r="CP234" s="54"/>
      <c r="CQ234" s="54"/>
      <c r="CR234" s="54"/>
      <c r="CS234" s="54"/>
      <c r="CT234" s="54"/>
      <c r="CU234" s="54"/>
      <c r="CV234" s="54"/>
      <c r="CW234" s="54"/>
      <c r="CX234" s="54"/>
      <c r="CY234" s="54"/>
      <c r="CZ234" s="54"/>
      <c r="DA234" s="54"/>
      <c r="DB234" s="54"/>
      <c r="DC234" s="54"/>
      <c r="DD234" s="54"/>
      <c r="DE234" s="54"/>
      <c r="DF234" s="54"/>
      <c r="DG234" s="54"/>
      <c r="DH234" s="54"/>
      <c r="DI234" s="54"/>
      <c r="DJ234" s="54"/>
      <c r="DK234" s="54"/>
      <c r="DL234" s="54"/>
      <c r="DM234" s="54"/>
      <c r="DN234" s="54"/>
      <c r="DO234" s="54"/>
      <c r="DP234" s="54"/>
      <c r="DQ234" s="54"/>
      <c r="DR234" s="54"/>
      <c r="DS234" s="54"/>
      <c r="DT234" s="54"/>
      <c r="DU234" s="54"/>
      <c r="DV234" s="54"/>
      <c r="DW234" s="54"/>
      <c r="DX234" s="54"/>
      <c r="DY234" s="54"/>
      <c r="DZ234" s="54"/>
      <c r="EA234" s="54"/>
      <c r="EB234" s="54"/>
      <c r="EC234" s="54"/>
      <c r="ED234" s="54"/>
      <c r="EE234" s="54"/>
      <c r="EF234" s="54"/>
      <c r="EG234" s="54"/>
      <c r="EH234" s="54"/>
      <c r="EI234" s="54"/>
      <c r="EJ234" s="54"/>
      <c r="EK234" s="54"/>
      <c r="EL234" s="54"/>
      <c r="EM234" s="54"/>
      <c r="EN234" s="54"/>
      <c r="EO234" s="54"/>
      <c r="EP234" s="54"/>
      <c r="EQ234" s="54"/>
      <c r="ER234" s="54"/>
      <c r="ES234" s="54"/>
      <c r="ET234" s="54"/>
      <c r="EU234" s="54"/>
      <c r="EV234" s="54"/>
      <c r="EW234" s="54"/>
      <c r="EX234" s="54"/>
      <c r="EY234" s="54"/>
      <c r="EZ234" s="54"/>
      <c r="FA234" s="54"/>
      <c r="FB234" s="54"/>
      <c r="FC234" s="54"/>
      <c r="FD234" s="54"/>
      <c r="FE234" s="54"/>
      <c r="FF234" s="54"/>
      <c r="FG234" s="54"/>
      <c r="FH234" s="54"/>
      <c r="FI234" s="54"/>
      <c r="FJ234" s="54"/>
      <c r="FK234" s="54"/>
      <c r="FL234" s="54"/>
      <c r="FM234" s="54"/>
      <c r="FN234" s="54"/>
      <c r="FO234" s="54"/>
      <c r="FP234" s="54"/>
      <c r="FQ234" s="54"/>
      <c r="FR234" s="54"/>
      <c r="FS234" s="54"/>
      <c r="FT234" s="54"/>
      <c r="FU234" s="54"/>
      <c r="FV234" s="54"/>
      <c r="FW234" s="54"/>
      <c r="FX234" s="54"/>
      <c r="FY234" s="54"/>
      <c r="FZ234" s="54"/>
      <c r="GA234" s="54"/>
      <c r="GB234" s="54"/>
      <c r="GC234" s="54"/>
      <c r="GD234" s="54"/>
      <c r="GE234" s="54"/>
      <c r="GF234" s="54"/>
      <c r="GG234" s="54"/>
      <c r="GH234" s="54"/>
      <c r="GI234" s="54"/>
      <c r="GJ234" s="54"/>
      <c r="GK234" s="54"/>
      <c r="GL234" s="54"/>
      <c r="GM234" s="54"/>
      <c r="GN234" s="54"/>
      <c r="GO234" s="54"/>
      <c r="GP234" s="54"/>
      <c r="GQ234" s="54"/>
      <c r="GR234" s="54"/>
      <c r="GS234" s="54"/>
      <c r="GT234" s="54"/>
      <c r="GU234" s="54"/>
      <c r="GV234" s="54"/>
      <c r="GW234" s="54"/>
      <c r="GX234" s="54"/>
      <c r="GY234" s="54"/>
      <c r="GZ234" s="54"/>
      <c r="HA234" s="54"/>
      <c r="HB234" s="54"/>
      <c r="HC234" s="54"/>
      <c r="HD234" s="54"/>
      <c r="HE234" s="54"/>
      <c r="HF234" s="54"/>
      <c r="HG234" s="54"/>
      <c r="HH234" s="54"/>
      <c r="HI234" s="54"/>
      <c r="HJ234" s="54"/>
      <c r="HK234" s="54"/>
      <c r="HL234" s="54"/>
      <c r="HM234" s="54"/>
      <c r="HN234" s="54"/>
      <c r="HO234" s="54"/>
      <c r="HP234" s="54"/>
      <c r="HQ234" s="54"/>
      <c r="HR234" s="54"/>
      <c r="HS234" s="54"/>
      <c r="HT234" s="54"/>
      <c r="HU234" s="54"/>
      <c r="HV234" s="54"/>
      <c r="HW234" s="54"/>
      <c r="HX234" s="54"/>
      <c r="HY234" s="54"/>
      <c r="HZ234" s="54"/>
      <c r="IA234" s="54"/>
      <c r="IB234" s="54"/>
      <c r="IC234" s="54"/>
      <c r="ID234" s="54"/>
      <c r="IE234" s="54"/>
      <c r="IF234" s="54"/>
      <c r="IG234" s="54"/>
      <c r="IH234" s="54"/>
      <c r="II234" s="149"/>
      <c r="IJ234" s="150"/>
      <c r="IK234" s="150"/>
      <c r="IL234" s="150"/>
      <c r="IM234" s="150"/>
      <c r="IN234" s="150"/>
      <c r="IO234" s="150"/>
      <c r="IP234" s="150"/>
      <c r="IQ234" s="150"/>
      <c r="IR234" s="150"/>
      <c r="IS234" s="150"/>
      <c r="IT234" s="151"/>
      <c r="IU234" s="146"/>
      <c r="IV234" s="149"/>
      <c r="IW234" s="150"/>
      <c r="IX234" s="150"/>
      <c r="IY234" s="150"/>
      <c r="IZ234" s="150"/>
      <c r="JA234" s="150"/>
      <c r="JB234" s="150"/>
      <c r="JC234" s="150"/>
      <c r="JD234" s="150"/>
      <c r="JE234" s="150"/>
      <c r="JF234" s="150"/>
      <c r="JG234" s="150"/>
      <c r="JH234" s="151"/>
      <c r="JI234" s="146"/>
      <c r="JJ234" s="149"/>
      <c r="JK234" s="150"/>
      <c r="JL234" s="150"/>
      <c r="JM234" s="150"/>
      <c r="JN234" s="150"/>
      <c r="JO234" s="150"/>
      <c r="JP234" s="150"/>
      <c r="JQ234" s="150"/>
      <c r="JR234" s="150"/>
      <c r="JS234" s="150"/>
      <c r="JT234" s="150"/>
      <c r="JU234" s="150"/>
      <c r="JV234" s="150"/>
      <c r="JW234" s="150"/>
      <c r="JX234" s="150"/>
      <c r="JY234" s="150"/>
      <c r="JZ234" s="150"/>
      <c r="KA234" s="150"/>
      <c r="KB234" s="150"/>
      <c r="KC234" s="150"/>
      <c r="KD234" s="150"/>
      <c r="KE234" s="150"/>
      <c r="KF234" s="150"/>
      <c r="KG234" s="150"/>
      <c r="KH234" s="150"/>
      <c r="KI234" s="150"/>
      <c r="KJ234" s="150"/>
      <c r="KK234" s="150"/>
      <c r="KL234" s="151"/>
      <c r="KM234" s="54"/>
      <c r="KN234" s="54"/>
      <c r="KO234" s="54"/>
      <c r="KP234" s="54"/>
      <c r="KQ234" s="54"/>
      <c r="KR234" s="54"/>
      <c r="KS234" s="54"/>
      <c r="KT234" s="54"/>
      <c r="KU234" s="54"/>
      <c r="KV234" s="54"/>
      <c r="KW234" s="54"/>
      <c r="KX234" s="54"/>
    </row>
    <row r="235" ht="5.2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c r="AL235" s="54"/>
      <c r="AM235" s="54"/>
      <c r="AN235" s="54"/>
      <c r="AO235" s="54"/>
      <c r="AP235" s="54"/>
      <c r="AQ235" s="54"/>
      <c r="AR235" s="54"/>
      <c r="AS235" s="54"/>
      <c r="AT235" s="54"/>
      <c r="AU235" s="54"/>
      <c r="AV235" s="54"/>
      <c r="AW235" s="54"/>
      <c r="AX235" s="54"/>
      <c r="AY235" s="54"/>
      <c r="AZ235" s="54"/>
      <c r="BA235" s="54"/>
      <c r="BB235" s="54"/>
      <c r="BC235" s="54"/>
      <c r="BD235" s="54"/>
      <c r="BE235" s="54"/>
      <c r="BF235" s="54"/>
      <c r="BG235" s="54"/>
      <c r="BH235" s="54"/>
      <c r="BI235" s="54"/>
      <c r="BJ235" s="54"/>
      <c r="BK235" s="54"/>
      <c r="BL235" s="54"/>
      <c r="BM235" s="54"/>
      <c r="BN235" s="54"/>
      <c r="BO235" s="54"/>
      <c r="BP235" s="54"/>
      <c r="BQ235" s="54"/>
      <c r="BR235" s="54"/>
      <c r="BS235" s="54"/>
      <c r="BT235" s="54"/>
      <c r="BU235" s="54"/>
      <c r="BV235" s="54"/>
      <c r="BW235" s="54"/>
      <c r="BX235" s="54"/>
      <c r="BY235" s="54"/>
      <c r="BZ235" s="54"/>
      <c r="CA235" s="54"/>
      <c r="CB235" s="54"/>
      <c r="CC235" s="54"/>
      <c r="CD235" s="54"/>
      <c r="CE235" s="54"/>
      <c r="CF235" s="54"/>
      <c r="CG235" s="54"/>
      <c r="CH235" s="54"/>
      <c r="CI235" s="54"/>
      <c r="CJ235" s="54"/>
      <c r="CK235" s="54"/>
      <c r="CL235" s="54"/>
      <c r="CM235" s="54"/>
      <c r="CN235" s="54"/>
      <c r="CO235" s="54"/>
      <c r="CP235" s="54"/>
      <c r="CQ235" s="54"/>
      <c r="CR235" s="54"/>
      <c r="CS235" s="54"/>
      <c r="CT235" s="54"/>
      <c r="CU235" s="54"/>
      <c r="CV235" s="54"/>
      <c r="CW235" s="54"/>
      <c r="CX235" s="54"/>
      <c r="CY235" s="54"/>
      <c r="CZ235" s="54"/>
      <c r="DA235" s="54"/>
      <c r="DB235" s="54"/>
      <c r="DC235" s="54"/>
      <c r="DD235" s="54"/>
      <c r="DE235" s="54"/>
      <c r="DF235" s="54"/>
      <c r="DG235" s="54"/>
      <c r="DH235" s="54"/>
      <c r="DI235" s="54"/>
      <c r="DJ235" s="54"/>
      <c r="DK235" s="54"/>
      <c r="DL235" s="54"/>
      <c r="DM235" s="54"/>
      <c r="DN235" s="54"/>
      <c r="DO235" s="54"/>
      <c r="DP235" s="54"/>
      <c r="DQ235" s="54"/>
      <c r="DR235" s="54"/>
      <c r="DS235" s="54"/>
      <c r="DT235" s="54"/>
      <c r="DU235" s="54"/>
      <c r="DV235" s="54"/>
      <c r="DW235" s="54"/>
      <c r="DX235" s="54"/>
      <c r="DY235" s="54"/>
      <c r="DZ235" s="54"/>
      <c r="EA235" s="54"/>
      <c r="EB235" s="54"/>
      <c r="EC235" s="54"/>
      <c r="ED235" s="54"/>
      <c r="EE235" s="54"/>
      <c r="EF235" s="54"/>
      <c r="EG235" s="54"/>
      <c r="EH235" s="54"/>
      <c r="EI235" s="54"/>
      <c r="EJ235" s="54"/>
      <c r="EK235" s="54"/>
      <c r="EL235" s="54"/>
      <c r="EM235" s="54"/>
      <c r="EN235" s="54"/>
      <c r="EO235" s="54"/>
      <c r="EP235" s="54"/>
      <c r="EQ235" s="54"/>
      <c r="ER235" s="54"/>
      <c r="ES235" s="54"/>
      <c r="ET235" s="54"/>
      <c r="EU235" s="54"/>
      <c r="EV235" s="54"/>
      <c r="EW235" s="54"/>
      <c r="EX235" s="54"/>
      <c r="EY235" s="54"/>
      <c r="EZ235" s="54"/>
      <c r="FA235" s="54"/>
      <c r="FB235" s="54"/>
      <c r="FC235" s="54"/>
      <c r="FD235" s="54"/>
      <c r="FE235" s="54"/>
      <c r="FF235" s="54"/>
      <c r="FG235" s="54"/>
      <c r="FH235" s="54"/>
      <c r="FI235" s="54"/>
      <c r="FJ235" s="54"/>
      <c r="FK235" s="54"/>
      <c r="FL235" s="54"/>
      <c r="FM235" s="54"/>
      <c r="FN235" s="54"/>
      <c r="FO235" s="54"/>
      <c r="FP235" s="54"/>
      <c r="FQ235" s="54"/>
      <c r="FR235" s="54"/>
      <c r="FS235" s="54"/>
      <c r="FT235" s="54"/>
      <c r="FU235" s="54"/>
      <c r="FV235" s="54"/>
      <c r="FW235" s="54"/>
      <c r="FX235" s="54"/>
      <c r="FY235" s="54"/>
      <c r="FZ235" s="54"/>
      <c r="GA235" s="54"/>
      <c r="GB235" s="54"/>
      <c r="GC235" s="54"/>
      <c r="GD235" s="54"/>
      <c r="GE235" s="54"/>
      <c r="GF235" s="54"/>
      <c r="GG235" s="54"/>
      <c r="GH235" s="54"/>
      <c r="GI235" s="54"/>
      <c r="GJ235" s="54"/>
      <c r="GK235" s="54"/>
      <c r="GL235" s="54"/>
      <c r="GM235" s="54"/>
      <c r="GN235" s="54"/>
      <c r="GO235" s="54"/>
      <c r="GP235" s="54"/>
      <c r="GQ235" s="54"/>
      <c r="GR235" s="54"/>
      <c r="GS235" s="54"/>
      <c r="GT235" s="54"/>
      <c r="GU235" s="54"/>
      <c r="GV235" s="54"/>
      <c r="GW235" s="54"/>
      <c r="GX235" s="54"/>
      <c r="GY235" s="54"/>
      <c r="GZ235" s="54"/>
      <c r="HA235" s="54"/>
      <c r="HB235" s="54"/>
      <c r="HC235" s="54"/>
      <c r="HD235" s="54"/>
      <c r="HE235" s="54"/>
      <c r="HF235" s="54"/>
      <c r="HG235" s="54"/>
      <c r="HH235" s="54"/>
      <c r="HI235" s="54"/>
      <c r="HJ235" s="54"/>
      <c r="HK235" s="54"/>
      <c r="HL235" s="54"/>
      <c r="HM235" s="54"/>
      <c r="HN235" s="54"/>
      <c r="HO235" s="54"/>
      <c r="HP235" s="54"/>
      <c r="HQ235" s="54"/>
      <c r="HR235" s="54"/>
      <c r="HS235" s="54"/>
      <c r="HT235" s="54"/>
      <c r="HU235" s="54"/>
      <c r="HV235" s="54"/>
      <c r="HW235" s="54"/>
      <c r="HX235" s="54"/>
      <c r="HY235" s="54"/>
      <c r="HZ235" s="54"/>
      <c r="IA235" s="54"/>
      <c r="IB235" s="54"/>
      <c r="IC235" s="54"/>
      <c r="ID235" s="54"/>
      <c r="IE235" s="54"/>
      <c r="IF235" s="54"/>
      <c r="IG235" s="54"/>
      <c r="IH235" s="54"/>
      <c r="II235" s="54"/>
      <c r="IJ235" s="54"/>
      <c r="IK235" s="54"/>
      <c r="IL235" s="54"/>
      <c r="IM235" s="54"/>
      <c r="IN235" s="54"/>
      <c r="IO235" s="54"/>
      <c r="IP235" s="54"/>
      <c r="IQ235" s="54"/>
      <c r="IR235" s="54"/>
      <c r="IS235" s="54"/>
      <c r="IT235" s="54"/>
      <c r="IU235" s="54"/>
      <c r="IV235" s="54"/>
      <c r="IW235" s="54"/>
      <c r="IX235" s="54"/>
      <c r="IY235" s="54"/>
      <c r="IZ235" s="54"/>
      <c r="JA235" s="54"/>
      <c r="JB235" s="54"/>
      <c r="JC235" s="54"/>
      <c r="JD235" s="54"/>
      <c r="JE235" s="54"/>
      <c r="JF235" s="54"/>
      <c r="JG235" s="54"/>
      <c r="JH235" s="54"/>
      <c r="JI235" s="54"/>
      <c r="JJ235" s="54"/>
      <c r="JK235" s="54"/>
      <c r="JL235" s="54"/>
      <c r="JM235" s="54"/>
      <c r="JN235" s="54"/>
      <c r="JO235" s="54"/>
      <c r="JP235" s="54"/>
      <c r="JQ235" s="54"/>
      <c r="JR235" s="54"/>
      <c r="JS235" s="54"/>
      <c r="JT235" s="54"/>
      <c r="JU235" s="54"/>
      <c r="JV235" s="54"/>
      <c r="JW235" s="54"/>
      <c r="JX235" s="54"/>
      <c r="JY235" s="54"/>
      <c r="JZ235" s="54"/>
      <c r="KA235" s="54"/>
      <c r="KB235" s="54"/>
      <c r="KC235" s="54"/>
      <c r="KD235" s="152"/>
      <c r="KE235" s="152"/>
      <c r="KF235" s="152"/>
      <c r="KG235" s="152"/>
      <c r="KH235" s="152"/>
      <c r="KI235" s="152"/>
      <c r="KJ235" s="152"/>
      <c r="KK235" s="152"/>
      <c r="KL235" s="54"/>
      <c r="KM235" s="54"/>
      <c r="KN235" s="54"/>
      <c r="KO235" s="54"/>
      <c r="KP235" s="54"/>
      <c r="KQ235" s="54"/>
      <c r="KR235" s="54"/>
      <c r="KS235" s="54"/>
      <c r="KT235" s="54"/>
      <c r="KU235" s="54"/>
      <c r="KV235" s="54"/>
      <c r="KW235" s="54"/>
      <c r="KX235" s="54"/>
    </row>
    <row r="236" ht="5.2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c r="AL236" s="54"/>
      <c r="AM236" s="54"/>
      <c r="AN236" s="54"/>
      <c r="AO236" s="54"/>
      <c r="AP236" s="54"/>
      <c r="AQ236" s="54"/>
      <c r="AR236" s="54"/>
      <c r="AS236" s="54"/>
      <c r="AT236" s="54"/>
      <c r="AU236" s="54"/>
      <c r="AV236" s="54"/>
      <c r="AW236" s="54"/>
      <c r="AX236" s="54"/>
      <c r="AY236" s="54"/>
      <c r="AZ236" s="54"/>
      <c r="BA236" s="54"/>
      <c r="BB236" s="54"/>
      <c r="BC236" s="54"/>
      <c r="BD236" s="54"/>
      <c r="BE236" s="54"/>
      <c r="BF236" s="54"/>
      <c r="BG236" s="54"/>
      <c r="BH236" s="54"/>
      <c r="BI236" s="54"/>
      <c r="BJ236" s="54"/>
      <c r="BK236" s="54"/>
      <c r="BL236" s="54"/>
      <c r="BM236" s="54"/>
      <c r="BN236" s="54"/>
      <c r="BO236" s="54"/>
      <c r="BP236" s="54"/>
      <c r="BQ236" s="54"/>
      <c r="BR236" s="54"/>
      <c r="BS236" s="54"/>
      <c r="BT236" s="54"/>
      <c r="BU236" s="54"/>
      <c r="BV236" s="54"/>
      <c r="BW236" s="54"/>
      <c r="BX236" s="54"/>
      <c r="BY236" s="54"/>
      <c r="BZ236" s="54"/>
      <c r="CA236" s="54"/>
      <c r="CB236" s="54"/>
      <c r="CC236" s="54"/>
      <c r="CD236" s="54"/>
      <c r="CE236" s="54"/>
      <c r="CF236" s="54"/>
      <c r="CG236" s="54"/>
      <c r="CH236" s="54"/>
      <c r="CI236" s="54"/>
      <c r="CJ236" s="54"/>
      <c r="CK236" s="54"/>
      <c r="CL236" s="54"/>
      <c r="CM236" s="54"/>
      <c r="CN236" s="54"/>
      <c r="CO236" s="54"/>
      <c r="CP236" s="54"/>
      <c r="CQ236" s="54"/>
      <c r="CR236" s="54"/>
      <c r="CS236" s="54"/>
      <c r="CT236" s="54"/>
      <c r="CU236" s="54"/>
      <c r="CV236" s="54"/>
      <c r="CW236" s="54"/>
      <c r="CX236" s="54"/>
      <c r="CY236" s="54"/>
      <c r="CZ236" s="54"/>
      <c r="DA236" s="54"/>
      <c r="DB236" s="54"/>
      <c r="DC236" s="54"/>
      <c r="DD236" s="54"/>
      <c r="DE236" s="54"/>
      <c r="DF236" s="54"/>
      <c r="DG236" s="54"/>
      <c r="DH236" s="54"/>
      <c r="DI236" s="54"/>
      <c r="DJ236" s="54"/>
      <c r="DK236" s="54"/>
      <c r="DL236" s="54"/>
      <c r="DM236" s="54"/>
      <c r="DN236" s="54"/>
      <c r="DO236" s="54"/>
      <c r="DP236" s="54"/>
      <c r="DQ236" s="54"/>
      <c r="DR236" s="54"/>
      <c r="DS236" s="54"/>
      <c r="DT236" s="54"/>
      <c r="DU236" s="54"/>
      <c r="DV236" s="54"/>
      <c r="DW236" s="54"/>
      <c r="DX236" s="54"/>
      <c r="DY236" s="54"/>
      <c r="DZ236" s="54"/>
      <c r="EA236" s="54"/>
      <c r="EB236" s="54"/>
      <c r="EC236" s="54"/>
      <c r="ED236" s="54"/>
      <c r="EE236" s="54"/>
      <c r="EF236" s="54"/>
      <c r="EG236" s="54"/>
      <c r="EH236" s="54"/>
      <c r="EI236" s="54"/>
      <c r="EJ236" s="54"/>
      <c r="EK236" s="54"/>
      <c r="EL236" s="54"/>
      <c r="EM236" s="54"/>
      <c r="EN236" s="54"/>
      <c r="EO236" s="54"/>
      <c r="EP236" s="54"/>
      <c r="EQ236" s="54"/>
      <c r="ER236" s="54"/>
      <c r="ES236" s="54"/>
      <c r="ET236" s="54"/>
      <c r="EU236" s="54"/>
      <c r="EV236" s="54"/>
      <c r="EW236" s="54"/>
      <c r="EX236" s="54"/>
      <c r="EY236" s="54"/>
      <c r="EZ236" s="54"/>
      <c r="FA236" s="54"/>
      <c r="FB236" s="54"/>
      <c r="FC236" s="54"/>
      <c r="FD236" s="54"/>
      <c r="FE236" s="54"/>
      <c r="FF236" s="54"/>
      <c r="FG236" s="54"/>
      <c r="FH236" s="54"/>
      <c r="FI236" s="54"/>
      <c r="FJ236" s="54"/>
      <c r="FK236" s="54"/>
      <c r="FL236" s="54"/>
      <c r="FM236" s="54"/>
      <c r="FN236" s="54"/>
      <c r="FO236" s="54"/>
      <c r="FP236" s="54"/>
      <c r="FQ236" s="54"/>
      <c r="FR236" s="54"/>
      <c r="FS236" s="54"/>
      <c r="FT236" s="54"/>
      <c r="FU236" s="54"/>
      <c r="FV236" s="54"/>
      <c r="FW236" s="54"/>
      <c r="FX236" s="54"/>
      <c r="FY236" s="54"/>
      <c r="FZ236" s="54"/>
      <c r="GA236" s="54"/>
      <c r="GB236" s="54"/>
      <c r="GC236" s="54"/>
      <c r="GD236" s="54"/>
      <c r="GE236" s="54"/>
      <c r="GF236" s="54"/>
      <c r="GG236" s="54"/>
      <c r="GH236" s="54"/>
      <c r="GI236" s="54"/>
      <c r="GJ236" s="54"/>
      <c r="GK236" s="54"/>
      <c r="GL236" s="54"/>
      <c r="GM236" s="54"/>
      <c r="GN236" s="54"/>
      <c r="GO236" s="54"/>
      <c r="GP236" s="54"/>
      <c r="GQ236" s="54"/>
      <c r="GR236" s="54"/>
      <c r="GS236" s="54"/>
      <c r="GT236" s="54"/>
      <c r="GU236" s="54"/>
      <c r="GV236" s="54"/>
      <c r="GW236" s="54"/>
      <c r="GX236" s="54"/>
      <c r="GY236" s="54"/>
      <c r="GZ236" s="54"/>
      <c r="HA236" s="54"/>
      <c r="HB236" s="54"/>
      <c r="HC236" s="54"/>
      <c r="HD236" s="54"/>
      <c r="HE236" s="54"/>
      <c r="HF236" s="54"/>
      <c r="HG236" s="54"/>
      <c r="HH236" s="54"/>
      <c r="HI236" s="54"/>
      <c r="HJ236" s="54"/>
      <c r="HK236" s="54"/>
      <c r="HL236" s="54"/>
      <c r="HM236" s="54"/>
      <c r="HN236" s="54"/>
      <c r="HO236" s="54"/>
      <c r="HP236" s="54"/>
      <c r="HQ236" s="54"/>
      <c r="HR236" s="54"/>
      <c r="HS236" s="54"/>
      <c r="HT236" s="54"/>
      <c r="HU236" s="54"/>
      <c r="HV236" s="54"/>
      <c r="HW236" s="54"/>
      <c r="HX236" s="54"/>
      <c r="HY236" s="54"/>
      <c r="HZ236" s="54"/>
      <c r="IA236" s="54"/>
      <c r="IB236" s="54"/>
      <c r="IC236" s="54"/>
      <c r="ID236" s="54"/>
      <c r="IE236" s="54"/>
      <c r="IF236" s="54"/>
      <c r="IG236" s="54"/>
      <c r="IH236" s="54"/>
      <c r="II236" s="153"/>
      <c r="IO236" s="154" t="s">
        <v>71</v>
      </c>
      <c r="IU236" s="54"/>
      <c r="IV236" s="155">
        <v>5000.0</v>
      </c>
      <c r="JI236" s="54"/>
      <c r="JJ236" s="82" t="str">
        <f t="array" ref="JJ236">xlookup(JN236,'Team Entry'!$A:$A,'Team Entry'!$B:$B,"")</f>
        <v/>
      </c>
      <c r="JN236" s="156" t="str">
        <f>if(FN268="","TBD",FN268)</f>
        <v>TBD</v>
      </c>
      <c r="KM236" s="54"/>
      <c r="KN236" s="54"/>
      <c r="KO236" s="54"/>
      <c r="KP236" s="54"/>
      <c r="KQ236" s="54"/>
      <c r="KR236" s="54"/>
      <c r="KS236" s="54"/>
      <c r="KT236" s="54"/>
      <c r="KU236" s="54"/>
      <c r="KV236" s="54"/>
      <c r="KW236" s="54"/>
      <c r="KX236" s="54"/>
    </row>
    <row r="237" ht="5.2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c r="AL237" s="54"/>
      <c r="AM237" s="54"/>
      <c r="AN237" s="54"/>
      <c r="AO237" s="54"/>
      <c r="AP237" s="54"/>
      <c r="AQ237" s="54"/>
      <c r="AR237" s="54"/>
      <c r="AS237" s="54"/>
      <c r="AT237" s="54"/>
      <c r="AU237" s="54"/>
      <c r="AV237" s="54"/>
      <c r="AW237" s="54"/>
      <c r="AX237" s="54"/>
      <c r="AY237" s="54"/>
      <c r="AZ237" s="54"/>
      <c r="BA237" s="54"/>
      <c r="BB237" s="54"/>
      <c r="BC237" s="54"/>
      <c r="BD237" s="54"/>
      <c r="BE237" s="54"/>
      <c r="BF237" s="54"/>
      <c r="BG237" s="54"/>
      <c r="BH237" s="54"/>
      <c r="BI237" s="54"/>
      <c r="BJ237" s="54"/>
      <c r="BK237" s="54"/>
      <c r="BL237" s="54"/>
      <c r="BM237" s="54"/>
      <c r="BN237" s="54"/>
      <c r="BO237" s="54"/>
      <c r="BP237" s="54"/>
      <c r="BQ237" s="54"/>
      <c r="BR237" s="54"/>
      <c r="BS237" s="54"/>
      <c r="BT237" s="54"/>
      <c r="BU237" s="54"/>
      <c r="BV237" s="54"/>
      <c r="BW237" s="54"/>
      <c r="BX237" s="54"/>
      <c r="BY237" s="54"/>
      <c r="BZ237" s="54"/>
      <c r="CA237" s="54"/>
      <c r="CB237" s="54"/>
      <c r="CC237" s="54"/>
      <c r="CD237" s="54"/>
      <c r="CE237" s="54"/>
      <c r="CF237" s="54"/>
      <c r="CG237" s="54"/>
      <c r="CH237" s="54"/>
      <c r="CI237" s="54"/>
      <c r="CJ237" s="54"/>
      <c r="CK237" s="54"/>
      <c r="CL237" s="54"/>
      <c r="CM237" s="54"/>
      <c r="CN237" s="54"/>
      <c r="CO237" s="54"/>
      <c r="CP237" s="54"/>
      <c r="CQ237" s="54"/>
      <c r="CR237" s="54"/>
      <c r="CS237" s="54"/>
      <c r="CT237" s="54"/>
      <c r="CU237" s="54"/>
      <c r="CV237" s="54"/>
      <c r="CW237" s="54"/>
      <c r="CX237" s="54"/>
      <c r="CY237" s="54"/>
      <c r="CZ237" s="54"/>
      <c r="DA237" s="54"/>
      <c r="DB237" s="54"/>
      <c r="DC237" s="54"/>
      <c r="DD237" s="54"/>
      <c r="DE237" s="54"/>
      <c r="DF237" s="54"/>
      <c r="DG237" s="54"/>
      <c r="DH237" s="54"/>
      <c r="DI237" s="54"/>
      <c r="DJ237" s="54"/>
      <c r="DK237" s="54"/>
      <c r="DL237" s="54"/>
      <c r="DM237" s="54"/>
      <c r="DN237" s="54"/>
      <c r="DO237" s="54"/>
      <c r="DP237" s="54"/>
      <c r="DQ237" s="54"/>
      <c r="DR237" s="54"/>
      <c r="DS237" s="54"/>
      <c r="DT237" s="54"/>
      <c r="DU237" s="54"/>
      <c r="DV237" s="54"/>
      <c r="DW237" s="54"/>
      <c r="DX237" s="54"/>
      <c r="DY237" s="54"/>
      <c r="DZ237" s="54"/>
      <c r="EA237" s="54"/>
      <c r="EB237" s="54"/>
      <c r="EC237" s="54"/>
      <c r="ED237" s="54"/>
      <c r="EE237" s="54"/>
      <c r="EF237" s="54"/>
      <c r="EG237" s="54"/>
      <c r="EH237" s="54"/>
      <c r="EI237" s="54"/>
      <c r="EJ237" s="54"/>
      <c r="EK237" s="54"/>
      <c r="EL237" s="54"/>
      <c r="EM237" s="54"/>
      <c r="EN237" s="54"/>
      <c r="EO237" s="54"/>
      <c r="EP237" s="54"/>
      <c r="EQ237" s="54"/>
      <c r="ER237" s="54"/>
      <c r="ES237" s="54"/>
      <c r="ET237" s="54"/>
      <c r="EU237" s="54"/>
      <c r="EV237" s="54"/>
      <c r="EW237" s="54"/>
      <c r="EX237" s="54"/>
      <c r="EY237" s="54"/>
      <c r="EZ237" s="54"/>
      <c r="FA237" s="54"/>
      <c r="FB237" s="54"/>
      <c r="FC237" s="54"/>
      <c r="FD237" s="54"/>
      <c r="FE237" s="54"/>
      <c r="FF237" s="54"/>
      <c r="FG237" s="54"/>
      <c r="FH237" s="54"/>
      <c r="FI237" s="54"/>
      <c r="FJ237" s="54"/>
      <c r="FK237" s="54"/>
      <c r="FL237" s="54"/>
      <c r="FM237" s="54"/>
      <c r="FN237" s="54"/>
      <c r="FO237" s="54"/>
      <c r="FP237" s="54"/>
      <c r="FQ237" s="54"/>
      <c r="FR237" s="54"/>
      <c r="FS237" s="54"/>
      <c r="FT237" s="54"/>
      <c r="FU237" s="54"/>
      <c r="FV237" s="54"/>
      <c r="FW237" s="54"/>
      <c r="FX237" s="54"/>
      <c r="FY237" s="54"/>
      <c r="FZ237" s="54"/>
      <c r="GA237" s="54"/>
      <c r="GB237" s="54"/>
      <c r="GC237" s="54"/>
      <c r="GD237" s="54"/>
      <c r="GE237" s="54"/>
      <c r="GF237" s="54"/>
      <c r="GG237" s="54"/>
      <c r="GH237" s="54"/>
      <c r="GI237" s="54"/>
      <c r="GJ237" s="54"/>
      <c r="GK237" s="54"/>
      <c r="GL237" s="54"/>
      <c r="GM237" s="54"/>
      <c r="GN237" s="54"/>
      <c r="GO237" s="54"/>
      <c r="GP237" s="54"/>
      <c r="GQ237" s="54"/>
      <c r="GR237" s="54"/>
      <c r="GS237" s="54"/>
      <c r="GT237" s="54"/>
      <c r="GU237" s="54"/>
      <c r="GV237" s="54"/>
      <c r="GW237" s="54"/>
      <c r="GX237" s="54"/>
      <c r="GY237" s="54"/>
      <c r="GZ237" s="54"/>
      <c r="HA237" s="54"/>
      <c r="HB237" s="54"/>
      <c r="HC237" s="54"/>
      <c r="HD237" s="54"/>
      <c r="HE237" s="54"/>
      <c r="HF237" s="54"/>
      <c r="HG237" s="54"/>
      <c r="HH237" s="54"/>
      <c r="HI237" s="54"/>
      <c r="HJ237" s="54"/>
      <c r="HK237" s="54"/>
      <c r="HL237" s="54"/>
      <c r="HM237" s="54"/>
      <c r="HN237" s="54"/>
      <c r="HO237" s="54"/>
      <c r="HP237" s="54"/>
      <c r="HQ237" s="54"/>
      <c r="HR237" s="54"/>
      <c r="HS237" s="54"/>
      <c r="HT237" s="54"/>
      <c r="HU237" s="54"/>
      <c r="HV237" s="54"/>
      <c r="HW237" s="54"/>
      <c r="HX237" s="54"/>
      <c r="HY237" s="54"/>
      <c r="HZ237" s="54"/>
      <c r="IA237" s="54"/>
      <c r="IB237" s="54"/>
      <c r="IC237" s="54"/>
      <c r="ID237" s="54"/>
      <c r="IE237" s="54"/>
      <c r="IF237" s="54"/>
      <c r="IG237" s="54"/>
      <c r="IH237" s="54"/>
      <c r="IU237" s="152"/>
      <c r="JI237" s="152"/>
      <c r="KM237" s="54"/>
      <c r="KN237" s="54"/>
      <c r="KO237" s="54"/>
      <c r="KP237" s="54"/>
      <c r="KQ237" s="54"/>
      <c r="KR237" s="54"/>
      <c r="KS237" s="54"/>
      <c r="KT237" s="54"/>
      <c r="KU237" s="54"/>
      <c r="KV237" s="54"/>
      <c r="KW237" s="54"/>
      <c r="KX237" s="54"/>
    </row>
    <row r="238" ht="5.2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c r="AH238" s="54"/>
      <c r="AI238" s="54"/>
      <c r="AJ238" s="54"/>
      <c r="AK238" s="54"/>
      <c r="AL238" s="54"/>
      <c r="AM238" s="54"/>
      <c r="AN238" s="54"/>
      <c r="AO238" s="54"/>
      <c r="AP238" s="54"/>
      <c r="AQ238" s="54"/>
      <c r="AR238" s="54"/>
      <c r="AS238" s="54"/>
      <c r="AT238" s="54"/>
      <c r="AU238" s="54"/>
      <c r="AV238" s="54"/>
      <c r="AW238" s="54"/>
      <c r="AX238" s="54"/>
      <c r="AY238" s="54"/>
      <c r="AZ238" s="54"/>
      <c r="BA238" s="54"/>
      <c r="BB238" s="54"/>
      <c r="BC238" s="54"/>
      <c r="BD238" s="54"/>
      <c r="BE238" s="54"/>
      <c r="BF238" s="54"/>
      <c r="BG238" s="54"/>
      <c r="BH238" s="54"/>
      <c r="BI238" s="54"/>
      <c r="BJ238" s="54"/>
      <c r="BK238" s="54"/>
      <c r="BL238" s="54"/>
      <c r="BM238" s="54"/>
      <c r="BN238" s="54"/>
      <c r="BO238" s="54"/>
      <c r="BP238" s="54"/>
      <c r="BQ238" s="54"/>
      <c r="BR238" s="54"/>
      <c r="BS238" s="54"/>
      <c r="BT238" s="54"/>
      <c r="BU238" s="54"/>
      <c r="BV238" s="54"/>
      <c r="BW238" s="54"/>
      <c r="BX238" s="54"/>
      <c r="BY238" s="54"/>
      <c r="BZ238" s="54"/>
      <c r="CA238" s="54"/>
      <c r="CB238" s="54"/>
      <c r="CC238" s="54"/>
      <c r="CD238" s="54"/>
      <c r="CE238" s="54"/>
      <c r="CF238" s="54"/>
      <c r="CG238" s="54"/>
      <c r="CH238" s="54"/>
      <c r="CI238" s="54"/>
      <c r="CJ238" s="54"/>
      <c r="CK238" s="54"/>
      <c r="CL238" s="54"/>
      <c r="CM238" s="54"/>
      <c r="CN238" s="54"/>
      <c r="CO238" s="54"/>
      <c r="CP238" s="54"/>
      <c r="CQ238" s="54"/>
      <c r="CR238" s="54"/>
      <c r="CS238" s="54"/>
      <c r="CT238" s="54"/>
      <c r="CU238" s="54"/>
      <c r="CV238" s="54"/>
      <c r="CW238" s="54"/>
      <c r="CX238" s="54"/>
      <c r="CY238" s="54"/>
      <c r="CZ238" s="54"/>
      <c r="DA238" s="54"/>
      <c r="DB238" s="54"/>
      <c r="DC238" s="54"/>
      <c r="DD238" s="54"/>
      <c r="DE238" s="54"/>
      <c r="DF238" s="54"/>
      <c r="DG238" s="54"/>
      <c r="DH238" s="54"/>
      <c r="DI238" s="54"/>
      <c r="DJ238" s="54"/>
      <c r="DK238" s="54"/>
      <c r="DL238" s="54"/>
      <c r="DM238" s="54"/>
      <c r="DN238" s="54"/>
      <c r="DO238" s="54"/>
      <c r="DP238" s="54"/>
      <c r="DQ238" s="54"/>
      <c r="DR238" s="54"/>
      <c r="DS238" s="54"/>
      <c r="DT238" s="54"/>
      <c r="DU238" s="54"/>
      <c r="DV238" s="54"/>
      <c r="DW238" s="54"/>
      <c r="DX238" s="54"/>
      <c r="DY238" s="54"/>
      <c r="DZ238" s="54"/>
      <c r="EA238" s="54"/>
      <c r="EB238" s="54"/>
      <c r="EC238" s="54"/>
      <c r="ED238" s="54"/>
      <c r="EE238" s="54"/>
      <c r="EF238" s="54"/>
      <c r="EG238" s="54"/>
      <c r="EH238" s="54"/>
      <c r="EI238" s="54"/>
      <c r="EJ238" s="54"/>
      <c r="EK238" s="54"/>
      <c r="EL238" s="54"/>
      <c r="EM238" s="54"/>
      <c r="EN238" s="54"/>
      <c r="EO238" s="54"/>
      <c r="EP238" s="54"/>
      <c r="EQ238" s="54"/>
      <c r="ER238" s="54"/>
      <c r="ES238" s="54"/>
      <c r="ET238" s="54"/>
      <c r="EU238" s="54"/>
      <c r="EV238" s="54"/>
      <c r="EW238" s="54"/>
      <c r="EX238" s="54"/>
      <c r="EY238" s="54"/>
      <c r="EZ238" s="54"/>
      <c r="FA238" s="54"/>
      <c r="FB238" s="54"/>
      <c r="FC238" s="54"/>
      <c r="FD238" s="54"/>
      <c r="FE238" s="54"/>
      <c r="FF238" s="54"/>
      <c r="FG238" s="54"/>
      <c r="FH238" s="54"/>
      <c r="FI238" s="54"/>
      <c r="FJ238" s="54"/>
      <c r="FK238" s="54"/>
      <c r="FL238" s="54"/>
      <c r="FM238" s="54"/>
      <c r="FN238" s="54"/>
      <c r="FO238" s="54"/>
      <c r="FP238" s="54"/>
      <c r="FQ238" s="54"/>
      <c r="FR238" s="54"/>
      <c r="FS238" s="54"/>
      <c r="FT238" s="54"/>
      <c r="FU238" s="54"/>
      <c r="FV238" s="54"/>
      <c r="FW238" s="54"/>
      <c r="FX238" s="54"/>
      <c r="FY238" s="54"/>
      <c r="FZ238" s="54"/>
      <c r="GA238" s="54"/>
      <c r="GB238" s="54"/>
      <c r="GC238" s="54"/>
      <c r="GD238" s="54"/>
      <c r="GE238" s="54"/>
      <c r="GF238" s="54"/>
      <c r="GG238" s="54"/>
      <c r="GH238" s="54"/>
      <c r="GI238" s="54"/>
      <c r="GJ238" s="54"/>
      <c r="GK238" s="54"/>
      <c r="GL238" s="54"/>
      <c r="GM238" s="54"/>
      <c r="GN238" s="54"/>
      <c r="GO238" s="54"/>
      <c r="GP238" s="54"/>
      <c r="GQ238" s="54"/>
      <c r="GR238" s="54"/>
      <c r="GS238" s="54"/>
      <c r="GT238" s="54"/>
      <c r="GU238" s="54"/>
      <c r="GV238" s="54"/>
      <c r="GW238" s="54"/>
      <c r="GX238" s="54"/>
      <c r="GY238" s="54"/>
      <c r="GZ238" s="54"/>
      <c r="HA238" s="54"/>
      <c r="HB238" s="54"/>
      <c r="HC238" s="54"/>
      <c r="HD238" s="54"/>
      <c r="HE238" s="54"/>
      <c r="HF238" s="54"/>
      <c r="HG238" s="54"/>
      <c r="HH238" s="54"/>
      <c r="HI238" s="54"/>
      <c r="HJ238" s="54"/>
      <c r="HK238" s="54"/>
      <c r="HL238" s="54"/>
      <c r="HM238" s="54"/>
      <c r="HN238" s="54"/>
      <c r="HO238" s="54"/>
      <c r="HP238" s="54"/>
      <c r="HQ238" s="54"/>
      <c r="HR238" s="54"/>
      <c r="HS238" s="54"/>
      <c r="HT238" s="54"/>
      <c r="HU238" s="54"/>
      <c r="HV238" s="54"/>
      <c r="HW238" s="54"/>
      <c r="HX238" s="54"/>
      <c r="HY238" s="54"/>
      <c r="HZ238" s="54"/>
      <c r="IA238" s="54"/>
      <c r="IB238" s="54"/>
      <c r="IC238" s="54"/>
      <c r="ID238" s="54"/>
      <c r="IE238" s="54"/>
      <c r="IF238" s="54"/>
      <c r="IG238" s="54"/>
      <c r="IH238" s="54"/>
      <c r="IU238" s="152"/>
      <c r="JI238" s="152"/>
      <c r="KM238" s="54"/>
      <c r="KN238" s="54"/>
      <c r="KO238" s="54"/>
      <c r="KP238" s="54"/>
      <c r="KQ238" s="54"/>
      <c r="KR238" s="54"/>
      <c r="KS238" s="54"/>
      <c r="KT238" s="54"/>
      <c r="KU238" s="54"/>
      <c r="KV238" s="54"/>
      <c r="KW238" s="54"/>
      <c r="KX238" s="54"/>
    </row>
    <row r="239" ht="5.25" customHeight="1">
      <c r="A239" s="54"/>
      <c r="B239" s="54"/>
      <c r="C239" s="54"/>
      <c r="D239" s="54"/>
      <c r="E239" s="54"/>
      <c r="F239" s="54"/>
      <c r="G239" s="157"/>
      <c r="H239" s="157"/>
      <c r="I239" s="157"/>
      <c r="J239" s="157"/>
      <c r="K239" s="157"/>
      <c r="L239" s="157"/>
      <c r="M239" s="157"/>
      <c r="N239" s="157"/>
      <c r="O239" s="157"/>
      <c r="P239" s="157"/>
      <c r="Q239" s="157"/>
      <c r="R239" s="157"/>
      <c r="S239" s="157"/>
      <c r="T239" s="157"/>
      <c r="U239" s="157"/>
      <c r="V239" s="157"/>
      <c r="W239" s="157"/>
      <c r="X239" s="157"/>
      <c r="Y239" s="157"/>
      <c r="Z239" s="157"/>
      <c r="AA239" s="157"/>
      <c r="AB239" s="157"/>
      <c r="AC239" s="157"/>
      <c r="AD239" s="157"/>
      <c r="AE239" s="157"/>
      <c r="AF239" s="157"/>
      <c r="AG239" s="157"/>
      <c r="AH239" s="157"/>
      <c r="AI239" s="157"/>
      <c r="AJ239" s="157"/>
      <c r="AK239" s="157"/>
      <c r="AL239" s="157"/>
      <c r="AM239" s="157"/>
      <c r="AN239" s="157"/>
      <c r="AO239" s="157"/>
      <c r="AP239" s="157"/>
      <c r="AQ239" s="157"/>
      <c r="AR239" s="157"/>
      <c r="AS239" s="157"/>
      <c r="AT239" s="157"/>
      <c r="AU239" s="157"/>
      <c r="AV239" s="157"/>
      <c r="AW239" s="157"/>
      <c r="AX239" s="157"/>
      <c r="AY239" s="157"/>
      <c r="AZ239" s="157"/>
      <c r="BA239" s="157"/>
      <c r="BB239" s="157"/>
      <c r="BC239" s="157"/>
      <c r="BD239" s="157"/>
      <c r="BE239" s="157"/>
      <c r="BF239" s="157"/>
      <c r="BG239" s="157"/>
      <c r="BH239" s="157"/>
      <c r="BI239" s="157"/>
      <c r="BJ239" s="157"/>
      <c r="BK239" s="157"/>
      <c r="BL239" s="157"/>
      <c r="BM239" s="157"/>
      <c r="BN239" s="157"/>
      <c r="BO239" s="157"/>
      <c r="BP239" s="157"/>
      <c r="BQ239" s="157"/>
      <c r="BR239" s="157"/>
      <c r="BS239" s="157"/>
      <c r="BT239" s="157"/>
      <c r="BU239" s="157"/>
      <c r="BV239" s="157"/>
      <c r="BW239" s="157"/>
      <c r="BX239" s="157"/>
      <c r="BY239" s="157"/>
      <c r="BZ239" s="157"/>
      <c r="CA239" s="157"/>
      <c r="CB239" s="157"/>
      <c r="CC239" s="157"/>
      <c r="CD239" s="157"/>
      <c r="CE239" s="157"/>
      <c r="CF239" s="157"/>
      <c r="CG239" s="157"/>
      <c r="CH239" s="157"/>
      <c r="CI239" s="157"/>
      <c r="CJ239" s="157"/>
      <c r="CK239" s="157"/>
      <c r="CL239" s="157"/>
      <c r="CM239" s="157"/>
      <c r="CN239" s="157"/>
      <c r="CO239" s="157"/>
      <c r="CP239" s="157"/>
      <c r="CQ239" s="157"/>
      <c r="CR239" s="157"/>
      <c r="CS239" s="157"/>
      <c r="CT239" s="157"/>
      <c r="CU239" s="157"/>
      <c r="CV239" s="157"/>
      <c r="CW239" s="157"/>
      <c r="CX239" s="157"/>
      <c r="CY239" s="157"/>
      <c r="CZ239" s="157"/>
      <c r="DA239" s="157"/>
      <c r="DB239" s="157"/>
      <c r="DC239" s="157"/>
      <c r="DD239" s="157"/>
      <c r="DE239" s="157"/>
      <c r="DF239" s="157"/>
      <c r="DG239" s="157"/>
      <c r="DH239" s="157"/>
      <c r="DI239" s="157"/>
      <c r="DJ239" s="157"/>
      <c r="DK239" s="157"/>
      <c r="DL239" s="157"/>
      <c r="DM239" s="157"/>
      <c r="DN239" s="157"/>
      <c r="DO239" s="157"/>
      <c r="DP239" s="157"/>
      <c r="DQ239" s="157"/>
      <c r="DR239" s="157"/>
      <c r="DS239" s="157"/>
      <c r="DT239" s="157"/>
      <c r="DU239" s="157"/>
      <c r="DV239" s="157"/>
      <c r="DW239" s="157"/>
      <c r="DX239" s="157"/>
      <c r="DY239" s="157"/>
      <c r="DZ239" s="157"/>
      <c r="EA239" s="157"/>
      <c r="EB239" s="157"/>
      <c r="EC239" s="157"/>
      <c r="ED239" s="157"/>
      <c r="EE239" s="157"/>
      <c r="EF239" s="157"/>
      <c r="EG239" s="157"/>
      <c r="EH239" s="157"/>
      <c r="EI239" s="157"/>
      <c r="EJ239" s="157"/>
      <c r="EK239" s="157"/>
      <c r="EL239" s="157"/>
      <c r="EM239" s="157"/>
      <c r="EN239" s="157"/>
      <c r="EO239" s="157"/>
      <c r="EP239" s="157"/>
      <c r="EQ239" s="157"/>
      <c r="ER239" s="157"/>
      <c r="ES239" s="157"/>
      <c r="ET239" s="157"/>
      <c r="EU239" s="157"/>
      <c r="EV239" s="157"/>
      <c r="EW239" s="157"/>
      <c r="EX239" s="157"/>
      <c r="EY239" s="157"/>
      <c r="EZ239" s="157"/>
      <c r="FA239" s="157"/>
      <c r="FB239" s="157"/>
      <c r="FC239" s="157"/>
      <c r="FD239" s="157"/>
      <c r="FE239" s="157"/>
      <c r="FF239" s="157"/>
      <c r="FG239" s="157"/>
      <c r="FH239" s="157"/>
      <c r="FI239" s="157"/>
      <c r="FJ239" s="157"/>
      <c r="FK239" s="157"/>
      <c r="FL239" s="157"/>
      <c r="FM239" s="157"/>
      <c r="FN239" s="157"/>
      <c r="FO239" s="157"/>
      <c r="FP239" s="157"/>
      <c r="FQ239" s="157"/>
      <c r="FR239" s="157"/>
      <c r="FS239" s="157"/>
      <c r="FT239" s="157"/>
      <c r="FU239" s="157"/>
      <c r="FV239" s="157"/>
      <c r="FW239" s="157"/>
      <c r="FX239" s="157"/>
      <c r="FY239" s="157"/>
      <c r="FZ239" s="157"/>
      <c r="GA239" s="157"/>
      <c r="GB239" s="157"/>
      <c r="GC239" s="157"/>
      <c r="GD239" s="157"/>
      <c r="GE239" s="157"/>
      <c r="GF239" s="157"/>
      <c r="GG239" s="157"/>
      <c r="GH239" s="157"/>
      <c r="GI239" s="157"/>
      <c r="GJ239" s="157"/>
      <c r="GK239" s="157"/>
      <c r="GL239" s="157"/>
      <c r="GM239" s="157"/>
      <c r="GN239" s="157"/>
      <c r="GO239" s="157"/>
      <c r="GP239" s="157"/>
      <c r="GQ239" s="157"/>
      <c r="GR239" s="157"/>
      <c r="GS239" s="157"/>
      <c r="GT239" s="157"/>
      <c r="GU239" s="157"/>
      <c r="GV239" s="157"/>
      <c r="GW239" s="157"/>
      <c r="GX239" s="157"/>
      <c r="GY239" s="157"/>
      <c r="GZ239" s="157"/>
      <c r="HA239" s="157"/>
      <c r="HB239" s="157"/>
      <c r="HC239" s="157"/>
      <c r="HD239" s="157"/>
      <c r="HE239" s="157"/>
      <c r="HF239" s="157"/>
      <c r="HG239" s="157"/>
      <c r="HH239" s="157"/>
      <c r="HI239" s="157"/>
      <c r="HJ239" s="157"/>
      <c r="HK239" s="157"/>
      <c r="HL239" s="157"/>
      <c r="HM239" s="157"/>
      <c r="HN239" s="157"/>
      <c r="HO239" s="157"/>
      <c r="HP239" s="157"/>
      <c r="HQ239" s="157"/>
      <c r="HR239" s="157"/>
      <c r="HS239" s="157"/>
      <c r="HT239" s="157"/>
      <c r="HU239" s="157"/>
      <c r="HV239" s="157"/>
      <c r="HW239" s="157"/>
      <c r="HX239" s="157"/>
      <c r="HY239" s="54"/>
      <c r="HZ239" s="54"/>
      <c r="IA239" s="54"/>
      <c r="IB239" s="54"/>
      <c r="IC239" s="54"/>
      <c r="ID239" s="54"/>
      <c r="IE239" s="54"/>
      <c r="IF239" s="54"/>
      <c r="IG239" s="54"/>
      <c r="IH239" s="54"/>
      <c r="II239" s="13"/>
      <c r="IJ239" s="13"/>
      <c r="IK239" s="13"/>
      <c r="IL239" s="13"/>
      <c r="IM239" s="13"/>
      <c r="IN239" s="13"/>
      <c r="IO239" s="13"/>
      <c r="IP239" s="13"/>
      <c r="IQ239" s="13"/>
      <c r="IR239" s="13"/>
      <c r="IS239" s="13"/>
      <c r="IT239" s="13"/>
      <c r="IU239" s="152"/>
      <c r="IV239" s="13"/>
      <c r="IW239" s="13"/>
      <c r="IX239" s="13"/>
      <c r="IY239" s="13"/>
      <c r="IZ239" s="13"/>
      <c r="JA239" s="13"/>
      <c r="JB239" s="13"/>
      <c r="JC239" s="13"/>
      <c r="JD239" s="13"/>
      <c r="JE239" s="13"/>
      <c r="JF239" s="13"/>
      <c r="JG239" s="13"/>
      <c r="JH239" s="13"/>
      <c r="JI239" s="152"/>
      <c r="JJ239" s="158"/>
      <c r="JK239" s="158"/>
      <c r="JL239" s="158"/>
      <c r="JM239" s="158"/>
      <c r="JN239" s="158"/>
      <c r="JO239" s="158"/>
      <c r="JP239" s="158"/>
      <c r="JQ239" s="158"/>
      <c r="JR239" s="158"/>
      <c r="JS239" s="158"/>
      <c r="JT239" s="158"/>
      <c r="JU239" s="158"/>
      <c r="JV239" s="158"/>
      <c r="JW239" s="158"/>
      <c r="JX239" s="158"/>
      <c r="JY239" s="158"/>
      <c r="JZ239" s="158"/>
      <c r="KA239" s="158"/>
      <c r="KB239" s="158"/>
      <c r="KC239" s="158"/>
      <c r="KD239" s="158"/>
      <c r="KE239" s="158"/>
      <c r="KF239" s="158"/>
      <c r="KG239" s="158"/>
      <c r="KH239" s="158"/>
      <c r="KI239" s="158"/>
      <c r="KJ239" s="158"/>
      <c r="KK239" s="158"/>
      <c r="KL239" s="158"/>
      <c r="KM239" s="54"/>
      <c r="KN239" s="54"/>
      <c r="KO239" s="54"/>
      <c r="KP239" s="54"/>
      <c r="KQ239" s="54"/>
      <c r="KR239" s="54"/>
      <c r="KS239" s="54"/>
      <c r="KT239" s="54"/>
      <c r="KU239" s="54"/>
      <c r="KV239" s="54"/>
      <c r="KW239" s="54"/>
      <c r="KX239" s="54"/>
    </row>
    <row r="240" ht="5.2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4"/>
      <c r="AL240" s="54"/>
      <c r="AM240" s="54"/>
      <c r="AN240" s="54"/>
      <c r="AO240" s="54"/>
      <c r="AP240" s="54"/>
      <c r="AQ240" s="54"/>
      <c r="AR240" s="54"/>
      <c r="AS240" s="54"/>
      <c r="AT240" s="54"/>
      <c r="AU240" s="54"/>
      <c r="AV240" s="54"/>
      <c r="AW240" s="54"/>
      <c r="AX240" s="54"/>
      <c r="AY240" s="54"/>
      <c r="AZ240" s="54"/>
      <c r="BA240" s="54"/>
      <c r="BB240" s="54"/>
      <c r="BC240" s="54"/>
      <c r="BD240" s="54"/>
      <c r="BE240" s="54"/>
      <c r="BF240" s="54"/>
      <c r="BG240" s="54"/>
      <c r="BH240" s="54"/>
      <c r="BI240" s="54"/>
      <c r="BJ240" s="54"/>
      <c r="BK240" s="54"/>
      <c r="BL240" s="54"/>
      <c r="BM240" s="54"/>
      <c r="BN240" s="54"/>
      <c r="BO240" s="54"/>
      <c r="BP240" s="54"/>
      <c r="BQ240" s="54"/>
      <c r="BR240" s="54"/>
      <c r="BS240" s="54"/>
      <c r="BT240" s="54"/>
      <c r="BU240" s="54"/>
      <c r="BV240" s="54"/>
      <c r="BW240" s="54"/>
      <c r="BX240" s="54"/>
      <c r="BY240" s="54"/>
      <c r="BZ240" s="54"/>
      <c r="CA240" s="54"/>
      <c r="CB240" s="54"/>
      <c r="CC240" s="54"/>
      <c r="CD240" s="54"/>
      <c r="CE240" s="54"/>
      <c r="CF240" s="54"/>
      <c r="CG240" s="54"/>
      <c r="CH240" s="54"/>
      <c r="CI240" s="54"/>
      <c r="CJ240" s="54"/>
      <c r="CK240" s="54"/>
      <c r="CL240" s="54"/>
      <c r="CM240" s="54"/>
      <c r="CN240" s="54"/>
      <c r="CO240" s="54"/>
      <c r="CP240" s="54"/>
      <c r="CQ240" s="54"/>
      <c r="CR240" s="54"/>
      <c r="CS240" s="54"/>
      <c r="CT240" s="54"/>
      <c r="CU240" s="54"/>
      <c r="CV240" s="54"/>
      <c r="CW240" s="54"/>
      <c r="CX240" s="54"/>
      <c r="CY240" s="54"/>
      <c r="CZ240" s="54"/>
      <c r="DA240" s="54"/>
      <c r="DB240" s="54"/>
      <c r="DC240" s="54"/>
      <c r="DD240" s="54"/>
      <c r="DE240" s="54"/>
      <c r="DF240" s="54"/>
      <c r="DG240" s="54"/>
      <c r="DH240" s="54"/>
      <c r="DI240" s="54"/>
      <c r="DJ240" s="54"/>
      <c r="DK240" s="54"/>
      <c r="DL240" s="54"/>
      <c r="DM240" s="54"/>
      <c r="DN240" s="54"/>
      <c r="DO240" s="54"/>
      <c r="DP240" s="54"/>
      <c r="DQ240" s="54"/>
      <c r="DR240" s="54"/>
      <c r="DS240" s="54"/>
      <c r="DT240" s="54"/>
      <c r="DU240" s="54"/>
      <c r="DV240" s="54"/>
      <c r="DW240" s="54"/>
      <c r="DX240" s="54"/>
      <c r="DY240" s="54"/>
      <c r="DZ240" s="54"/>
      <c r="EA240" s="54"/>
      <c r="EB240" s="54"/>
      <c r="EC240" s="54"/>
      <c r="ED240" s="54"/>
      <c r="EE240" s="54"/>
      <c r="EF240" s="54"/>
      <c r="EG240" s="54"/>
      <c r="EH240" s="54"/>
      <c r="EI240" s="54"/>
      <c r="EJ240" s="54"/>
      <c r="EK240" s="54"/>
      <c r="EL240" s="54"/>
      <c r="EM240" s="54"/>
      <c r="EN240" s="54"/>
      <c r="EO240" s="54"/>
      <c r="EP240" s="54"/>
      <c r="EQ240" s="54"/>
      <c r="ER240" s="54"/>
      <c r="ES240" s="54"/>
      <c r="ET240" s="54"/>
      <c r="EU240" s="54"/>
      <c r="EV240" s="54"/>
      <c r="EW240" s="54"/>
      <c r="EX240" s="54"/>
      <c r="EY240" s="54"/>
      <c r="EZ240" s="54"/>
      <c r="FA240" s="54"/>
      <c r="FB240" s="54"/>
      <c r="FC240" s="54"/>
      <c r="FD240" s="54"/>
      <c r="FE240" s="54"/>
      <c r="FF240" s="54"/>
      <c r="FG240" s="54"/>
      <c r="FH240" s="54"/>
      <c r="FI240" s="54"/>
      <c r="FJ240" s="54"/>
      <c r="FK240" s="54"/>
      <c r="FL240" s="54"/>
      <c r="FM240" s="54"/>
      <c r="FN240" s="54"/>
      <c r="FO240" s="54"/>
      <c r="FP240" s="54"/>
      <c r="FQ240" s="54"/>
      <c r="FR240" s="54"/>
      <c r="FS240" s="54"/>
      <c r="FT240" s="54"/>
      <c r="FU240" s="54"/>
      <c r="FV240" s="54"/>
      <c r="FW240" s="54"/>
      <c r="FX240" s="54"/>
      <c r="FY240" s="54"/>
      <c r="FZ240" s="54"/>
      <c r="GA240" s="54"/>
      <c r="GB240" s="54"/>
      <c r="GC240" s="54"/>
      <c r="GD240" s="54"/>
      <c r="GE240" s="54"/>
      <c r="GF240" s="54"/>
      <c r="GG240" s="54"/>
      <c r="GH240" s="54"/>
      <c r="GI240" s="54"/>
      <c r="GJ240" s="54"/>
      <c r="GK240" s="54"/>
      <c r="GL240" s="54"/>
      <c r="GM240" s="54"/>
      <c r="GN240" s="54"/>
      <c r="GO240" s="54"/>
      <c r="GP240" s="54"/>
      <c r="GQ240" s="54"/>
      <c r="GR240" s="54"/>
      <c r="GS240" s="54"/>
      <c r="GT240" s="54"/>
      <c r="GU240" s="54"/>
      <c r="GV240" s="54"/>
      <c r="GW240" s="54"/>
      <c r="GX240" s="54"/>
      <c r="GY240" s="54"/>
      <c r="GZ240" s="54"/>
      <c r="HA240" s="54"/>
      <c r="HB240" s="54"/>
      <c r="HC240" s="54"/>
      <c r="HD240" s="54"/>
      <c r="HE240" s="54"/>
      <c r="HF240" s="54"/>
      <c r="HG240" s="54"/>
      <c r="HH240" s="54"/>
      <c r="HI240" s="54"/>
      <c r="HJ240" s="54"/>
      <c r="HK240" s="54"/>
      <c r="HL240" s="54"/>
      <c r="HM240" s="54"/>
      <c r="HN240" s="54"/>
      <c r="HO240" s="54"/>
      <c r="HP240" s="54"/>
      <c r="HQ240" s="54"/>
      <c r="HR240" s="54"/>
      <c r="HS240" s="54"/>
      <c r="HT240" s="54"/>
      <c r="HU240" s="54"/>
      <c r="HV240" s="54"/>
      <c r="HW240" s="54"/>
      <c r="HX240" s="54"/>
      <c r="HY240" s="54"/>
      <c r="HZ240" s="54"/>
      <c r="IA240" s="54"/>
      <c r="IB240" s="54"/>
      <c r="IC240" s="54"/>
      <c r="ID240" s="54"/>
      <c r="IE240" s="54"/>
      <c r="IF240" s="54"/>
      <c r="IG240" s="54"/>
      <c r="IH240" s="54"/>
      <c r="II240" s="159"/>
      <c r="IO240" s="160" t="s">
        <v>72</v>
      </c>
      <c r="IU240" s="152"/>
      <c r="IV240" s="161">
        <v>3000.0</v>
      </c>
      <c r="JI240" s="152"/>
      <c r="JJ240" s="82" t="str">
        <f t="array" ref="JJ240">xlookup(JN240,'Team Entry'!$A:$A,'Team Entry'!$B:$B,"")</f>
        <v/>
      </c>
      <c r="JN240" s="156" t="str">
        <f>ifs(or(ER268="",ER272="",ER268=ER272),"TBD",ER268&gt;ER272,DS272,ER272&gt;ER268,DS268)</f>
        <v>TBD</v>
      </c>
      <c r="KM240" s="54"/>
      <c r="KN240" s="54"/>
      <c r="KO240" s="54"/>
      <c r="KP240" s="54"/>
      <c r="KQ240" s="54"/>
      <c r="KR240" s="54"/>
      <c r="KS240" s="54"/>
      <c r="KT240" s="54"/>
      <c r="KU240" s="54"/>
      <c r="KV240" s="54"/>
      <c r="KW240" s="54"/>
      <c r="KX240" s="54"/>
    </row>
    <row r="241" ht="5.2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c r="AI241" s="54"/>
      <c r="AJ241" s="54"/>
      <c r="AK241" s="54"/>
      <c r="AL241" s="54"/>
      <c r="AM241" s="54"/>
      <c r="AN241" s="54"/>
      <c r="AO241" s="54"/>
      <c r="AP241" s="54"/>
      <c r="AQ241" s="54"/>
      <c r="AR241" s="54"/>
      <c r="AS241" s="54"/>
      <c r="AT241" s="54"/>
      <c r="AU241" s="54"/>
      <c r="AV241" s="54"/>
      <c r="AW241" s="54"/>
      <c r="AX241" s="54"/>
      <c r="AY241" s="54"/>
      <c r="AZ241" s="54"/>
      <c r="BA241" s="54"/>
      <c r="BB241" s="54"/>
      <c r="BC241" s="54"/>
      <c r="BD241" s="54"/>
      <c r="BE241" s="54"/>
      <c r="BF241" s="54"/>
      <c r="BG241" s="54"/>
      <c r="BH241" s="54"/>
      <c r="BI241" s="54"/>
      <c r="BJ241" s="54"/>
      <c r="BK241" s="54"/>
      <c r="BL241" s="54"/>
      <c r="BM241" s="54"/>
      <c r="BN241" s="54"/>
      <c r="BO241" s="54"/>
      <c r="BP241" s="54"/>
      <c r="BQ241" s="54"/>
      <c r="BR241" s="54"/>
      <c r="BS241" s="54"/>
      <c r="BT241" s="54"/>
      <c r="BU241" s="54"/>
      <c r="BV241" s="54"/>
      <c r="BW241" s="54"/>
      <c r="BX241" s="54"/>
      <c r="BY241" s="54"/>
      <c r="BZ241" s="54"/>
      <c r="CA241" s="54"/>
      <c r="CB241" s="54"/>
      <c r="CC241" s="54"/>
      <c r="CD241" s="54"/>
      <c r="CE241" s="54"/>
      <c r="CF241" s="54"/>
      <c r="CG241" s="54"/>
      <c r="CH241" s="54"/>
      <c r="CI241" s="54"/>
      <c r="CJ241" s="54"/>
      <c r="CK241" s="54"/>
      <c r="CL241" s="54"/>
      <c r="CM241" s="54"/>
      <c r="CN241" s="54"/>
      <c r="CO241" s="54"/>
      <c r="CP241" s="54"/>
      <c r="CQ241" s="54"/>
      <c r="CR241" s="54"/>
      <c r="CS241" s="54"/>
      <c r="CT241" s="54"/>
      <c r="CU241" s="54"/>
      <c r="CV241" s="54"/>
      <c r="CW241" s="54"/>
      <c r="CX241" s="54"/>
      <c r="CY241" s="54"/>
      <c r="CZ241" s="54"/>
      <c r="DA241" s="54"/>
      <c r="DB241" s="54"/>
      <c r="DC241" s="54"/>
      <c r="DD241" s="54"/>
      <c r="DE241" s="54"/>
      <c r="DF241" s="54"/>
      <c r="DG241" s="54"/>
      <c r="DH241" s="54"/>
      <c r="DI241" s="54"/>
      <c r="DJ241" s="54"/>
      <c r="DK241" s="54"/>
      <c r="DL241" s="54"/>
      <c r="DM241" s="54"/>
      <c r="DN241" s="54"/>
      <c r="DO241" s="54"/>
      <c r="DP241" s="54"/>
      <c r="DQ241" s="54"/>
      <c r="DR241" s="54"/>
      <c r="DS241" s="54"/>
      <c r="DT241" s="54"/>
      <c r="DU241" s="54"/>
      <c r="DV241" s="54"/>
      <c r="DW241" s="54"/>
      <c r="DX241" s="54"/>
      <c r="DY241" s="54"/>
      <c r="DZ241" s="54"/>
      <c r="EA241" s="54"/>
      <c r="EB241" s="54"/>
      <c r="EC241" s="54"/>
      <c r="ED241" s="54"/>
      <c r="EE241" s="54"/>
      <c r="EF241" s="54"/>
      <c r="EG241" s="54"/>
      <c r="EH241" s="54"/>
      <c r="EI241" s="54"/>
      <c r="EJ241" s="54"/>
      <c r="EK241" s="54"/>
      <c r="EL241" s="54"/>
      <c r="EM241" s="54"/>
      <c r="EN241" s="54"/>
      <c r="EO241" s="54"/>
      <c r="EP241" s="54"/>
      <c r="EQ241" s="54"/>
      <c r="ER241" s="54"/>
      <c r="ES241" s="54"/>
      <c r="ET241" s="54"/>
      <c r="EU241" s="54"/>
      <c r="EV241" s="54"/>
      <c r="EW241" s="54"/>
      <c r="EX241" s="54"/>
      <c r="EY241" s="54"/>
      <c r="EZ241" s="54"/>
      <c r="FA241" s="54"/>
      <c r="FB241" s="54"/>
      <c r="FC241" s="54"/>
      <c r="FD241" s="54"/>
      <c r="FE241" s="54"/>
      <c r="FF241" s="54"/>
      <c r="FG241" s="54"/>
      <c r="FH241" s="54"/>
      <c r="FI241" s="54"/>
      <c r="FJ241" s="54"/>
      <c r="FK241" s="54"/>
      <c r="FL241" s="54"/>
      <c r="FM241" s="54"/>
      <c r="FN241" s="54"/>
      <c r="FO241" s="54"/>
      <c r="FP241" s="54"/>
      <c r="FQ241" s="54"/>
      <c r="FR241" s="54"/>
      <c r="FS241" s="54"/>
      <c r="FT241" s="54"/>
      <c r="FU241" s="54"/>
      <c r="FV241" s="54"/>
      <c r="FW241" s="54"/>
      <c r="FX241" s="54"/>
      <c r="FY241" s="54"/>
      <c r="FZ241" s="54"/>
      <c r="GA241" s="54"/>
      <c r="GB241" s="54"/>
      <c r="GC241" s="54"/>
      <c r="GD241" s="54"/>
      <c r="GE241" s="54"/>
      <c r="GF241" s="54"/>
      <c r="GG241" s="54"/>
      <c r="GH241" s="54"/>
      <c r="GI241" s="54"/>
      <c r="GJ241" s="54"/>
      <c r="GK241" s="54"/>
      <c r="GL241" s="54"/>
      <c r="GM241" s="54"/>
      <c r="GN241" s="54"/>
      <c r="GO241" s="54"/>
      <c r="GP241" s="54"/>
      <c r="GQ241" s="54"/>
      <c r="GR241" s="54"/>
      <c r="GS241" s="54"/>
      <c r="GT241" s="54"/>
      <c r="GU241" s="54"/>
      <c r="GV241" s="54"/>
      <c r="GW241" s="54"/>
      <c r="GX241" s="54"/>
      <c r="GY241" s="54"/>
      <c r="GZ241" s="54"/>
      <c r="HA241" s="54"/>
      <c r="HB241" s="54"/>
      <c r="HC241" s="54"/>
      <c r="HD241" s="54"/>
      <c r="HE241" s="54"/>
      <c r="HF241" s="54"/>
      <c r="HG241" s="54"/>
      <c r="HH241" s="54"/>
      <c r="HI241" s="54"/>
      <c r="HJ241" s="54"/>
      <c r="HK241" s="54"/>
      <c r="HL241" s="54"/>
      <c r="HM241" s="54"/>
      <c r="HN241" s="54"/>
      <c r="HO241" s="54"/>
      <c r="HP241" s="54"/>
      <c r="HQ241" s="54"/>
      <c r="HR241" s="54"/>
      <c r="HS241" s="54"/>
      <c r="HT241" s="54"/>
      <c r="HU241" s="54"/>
      <c r="HV241" s="54"/>
      <c r="HW241" s="54"/>
      <c r="HX241" s="54"/>
      <c r="HY241" s="54"/>
      <c r="HZ241" s="54"/>
      <c r="IA241" s="54"/>
      <c r="IB241" s="54"/>
      <c r="IC241" s="54"/>
      <c r="ID241" s="54"/>
      <c r="IE241" s="54"/>
      <c r="IF241" s="54"/>
      <c r="IG241" s="54"/>
      <c r="IH241" s="54"/>
      <c r="IU241" s="54"/>
      <c r="JI241" s="54"/>
      <c r="KM241" s="54"/>
      <c r="KN241" s="54"/>
      <c r="KO241" s="54"/>
      <c r="KP241" s="54"/>
      <c r="KQ241" s="54"/>
      <c r="KR241" s="54"/>
      <c r="KS241" s="54"/>
      <c r="KT241" s="54"/>
      <c r="KU241" s="54"/>
      <c r="KV241" s="54"/>
      <c r="KW241" s="54"/>
      <c r="KX241" s="54"/>
    </row>
    <row r="242" ht="5.2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c r="AI242" s="54"/>
      <c r="AJ242" s="54"/>
      <c r="AK242" s="54"/>
      <c r="AL242" s="54"/>
      <c r="AM242" s="54"/>
      <c r="AN242" s="54"/>
      <c r="AO242" s="54"/>
      <c r="AP242" s="54"/>
      <c r="AQ242" s="54"/>
      <c r="AR242" s="54"/>
      <c r="AS242" s="54"/>
      <c r="AT242" s="54"/>
      <c r="AU242" s="54"/>
      <c r="AV242" s="54"/>
      <c r="AW242" s="54"/>
      <c r="AX242" s="54"/>
      <c r="AY242" s="54"/>
      <c r="AZ242" s="54"/>
      <c r="BA242" s="54"/>
      <c r="BB242" s="54"/>
      <c r="BC242" s="54"/>
      <c r="BD242" s="54"/>
      <c r="BE242" s="54"/>
      <c r="BF242" s="54"/>
      <c r="BG242" s="54"/>
      <c r="BH242" s="54"/>
      <c r="BI242" s="54"/>
      <c r="BJ242" s="54"/>
      <c r="BK242" s="54"/>
      <c r="BL242" s="54"/>
      <c r="BM242" s="54"/>
      <c r="BN242" s="54"/>
      <c r="BO242" s="54"/>
      <c r="BP242" s="54"/>
      <c r="BQ242" s="54"/>
      <c r="BR242" s="54"/>
      <c r="BS242" s="54"/>
      <c r="BT242" s="54"/>
      <c r="BU242" s="54"/>
      <c r="BV242" s="54"/>
      <c r="BW242" s="54"/>
      <c r="BX242" s="54"/>
      <c r="BY242" s="54"/>
      <c r="BZ242" s="54"/>
      <c r="CA242" s="54"/>
      <c r="CB242" s="54"/>
      <c r="CC242" s="54"/>
      <c r="CD242" s="54"/>
      <c r="CE242" s="54"/>
      <c r="CF242" s="54"/>
      <c r="CG242" s="54"/>
      <c r="CH242" s="54"/>
      <c r="CI242" s="54"/>
      <c r="CJ242" s="54"/>
      <c r="CK242" s="54"/>
      <c r="CL242" s="54"/>
      <c r="CM242" s="54"/>
      <c r="CN242" s="54"/>
      <c r="CO242" s="54"/>
      <c r="CP242" s="54"/>
      <c r="CQ242" s="54"/>
      <c r="CR242" s="54"/>
      <c r="CS242" s="54"/>
      <c r="CT242" s="54"/>
      <c r="CU242" s="54"/>
      <c r="CV242" s="54"/>
      <c r="CW242" s="54"/>
      <c r="CX242" s="54"/>
      <c r="CY242" s="54"/>
      <c r="CZ242" s="54"/>
      <c r="DA242" s="54"/>
      <c r="DB242" s="54"/>
      <c r="DC242" s="54"/>
      <c r="DD242" s="54"/>
      <c r="DE242" s="54"/>
      <c r="DF242" s="54"/>
      <c r="DG242" s="54"/>
      <c r="DH242" s="54"/>
      <c r="DI242" s="54"/>
      <c r="DJ242" s="54"/>
      <c r="DK242" s="54"/>
      <c r="DL242" s="54"/>
      <c r="DM242" s="54"/>
      <c r="DN242" s="54"/>
      <c r="DO242" s="54"/>
      <c r="DP242" s="54"/>
      <c r="DQ242" s="54"/>
      <c r="DR242" s="54"/>
      <c r="DS242" s="54"/>
      <c r="DT242" s="54"/>
      <c r="DU242" s="54"/>
      <c r="DV242" s="54"/>
      <c r="DW242" s="54"/>
      <c r="DX242" s="54"/>
      <c r="DY242" s="54"/>
      <c r="DZ242" s="54"/>
      <c r="EA242" s="54"/>
      <c r="EB242" s="54"/>
      <c r="EC242" s="54"/>
      <c r="ED242" s="54"/>
      <c r="EE242" s="54"/>
      <c r="EF242" s="54"/>
      <c r="EG242" s="54"/>
      <c r="EH242" s="54"/>
      <c r="EI242" s="54"/>
      <c r="EJ242" s="54"/>
      <c r="EK242" s="54"/>
      <c r="EL242" s="54"/>
      <c r="EM242" s="54"/>
      <c r="EN242" s="54"/>
      <c r="EO242" s="54"/>
      <c r="EP242" s="54"/>
      <c r="EQ242" s="54"/>
      <c r="ER242" s="54"/>
      <c r="ES242" s="54"/>
      <c r="ET242" s="54"/>
      <c r="EU242" s="54"/>
      <c r="EV242" s="54"/>
      <c r="EW242" s="54"/>
      <c r="EX242" s="54"/>
      <c r="EY242" s="54"/>
      <c r="EZ242" s="54"/>
      <c r="FA242" s="54"/>
      <c r="FB242" s="54"/>
      <c r="FC242" s="54"/>
      <c r="FD242" s="54"/>
      <c r="FE242" s="54"/>
      <c r="FF242" s="54"/>
      <c r="FG242" s="54"/>
      <c r="FH242" s="54"/>
      <c r="FI242" s="54"/>
      <c r="FJ242" s="54"/>
      <c r="FK242" s="54"/>
      <c r="FL242" s="54"/>
      <c r="FM242" s="54"/>
      <c r="FN242" s="54"/>
      <c r="FO242" s="54"/>
      <c r="FP242" s="54"/>
      <c r="FQ242" s="54"/>
      <c r="FR242" s="54"/>
      <c r="FS242" s="54"/>
      <c r="FT242" s="54"/>
      <c r="FU242" s="54"/>
      <c r="FV242" s="54"/>
      <c r="FW242" s="54"/>
      <c r="FX242" s="54"/>
      <c r="FY242" s="54"/>
      <c r="FZ242" s="54"/>
      <c r="GA242" s="54"/>
      <c r="GB242" s="54"/>
      <c r="GC242" s="54"/>
      <c r="GD242" s="54"/>
      <c r="GE242" s="54"/>
      <c r="GF242" s="54"/>
      <c r="GG242" s="54"/>
      <c r="GH242" s="54"/>
      <c r="GI242" s="54"/>
      <c r="GJ242" s="54"/>
      <c r="GK242" s="54"/>
      <c r="GL242" s="54"/>
      <c r="GM242" s="54"/>
      <c r="GN242" s="54"/>
      <c r="GO242" s="54"/>
      <c r="GP242" s="54"/>
      <c r="GQ242" s="54"/>
      <c r="GR242" s="54"/>
      <c r="GS242" s="54"/>
      <c r="GT242" s="54"/>
      <c r="GU242" s="54"/>
      <c r="GV242" s="54"/>
      <c r="GW242" s="54"/>
      <c r="GX242" s="54"/>
      <c r="GY242" s="54"/>
      <c r="GZ242" s="54"/>
      <c r="HA242" s="54"/>
      <c r="HB242" s="54"/>
      <c r="HC242" s="54"/>
      <c r="HD242" s="54"/>
      <c r="HE242" s="54"/>
      <c r="HF242" s="54"/>
      <c r="HG242" s="54"/>
      <c r="HH242" s="54"/>
      <c r="HI242" s="54"/>
      <c r="HJ242" s="54"/>
      <c r="HK242" s="54"/>
      <c r="HL242" s="54"/>
      <c r="HM242" s="54"/>
      <c r="HN242" s="54"/>
      <c r="HO242" s="54"/>
      <c r="HP242" s="54"/>
      <c r="HQ242" s="54"/>
      <c r="HR242" s="54"/>
      <c r="HS242" s="54"/>
      <c r="HT242" s="54"/>
      <c r="HU242" s="54"/>
      <c r="HV242" s="54"/>
      <c r="HW242" s="54"/>
      <c r="HX242" s="54"/>
      <c r="HY242" s="54"/>
      <c r="HZ242" s="54"/>
      <c r="IA242" s="54"/>
      <c r="IB242" s="54"/>
      <c r="IC242" s="54"/>
      <c r="ID242" s="54"/>
      <c r="IE242" s="54"/>
      <c r="IF242" s="54"/>
      <c r="IG242" s="54"/>
      <c r="IH242" s="54"/>
      <c r="IU242" s="54"/>
      <c r="JI242" s="54"/>
      <c r="KM242" s="54"/>
      <c r="KN242" s="54"/>
      <c r="KO242" s="54"/>
      <c r="KP242" s="54"/>
      <c r="KQ242" s="54"/>
      <c r="KR242" s="54"/>
      <c r="KS242" s="54"/>
      <c r="KT242" s="54"/>
      <c r="KU242" s="54"/>
      <c r="KV242" s="54"/>
      <c r="KW242" s="54"/>
      <c r="KX242" s="54"/>
    </row>
    <row r="243" ht="5.2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c r="AL243" s="54"/>
      <c r="AM243" s="54"/>
      <c r="AN243" s="54"/>
      <c r="AO243" s="54"/>
      <c r="AP243" s="54"/>
      <c r="AQ243" s="54"/>
      <c r="AR243" s="54"/>
      <c r="AS243" s="54"/>
      <c r="AT243" s="54"/>
      <c r="AU243" s="54"/>
      <c r="AV243" s="54"/>
      <c r="AW243" s="54"/>
      <c r="AX243" s="54"/>
      <c r="AY243" s="54"/>
      <c r="AZ243" s="54"/>
      <c r="BA243" s="54"/>
      <c r="BB243" s="54"/>
      <c r="BC243" s="54"/>
      <c r="BD243" s="54"/>
      <c r="BE243" s="54"/>
      <c r="BF243" s="54"/>
      <c r="BG243" s="54"/>
      <c r="BH243" s="54"/>
      <c r="BI243" s="54"/>
      <c r="BJ243" s="54"/>
      <c r="BK243" s="54"/>
      <c r="BL243" s="54"/>
      <c r="BM243" s="54"/>
      <c r="BN243" s="54"/>
      <c r="BO243" s="54"/>
      <c r="BP243" s="54"/>
      <c r="BQ243" s="54"/>
      <c r="BR243" s="54"/>
      <c r="BS243" s="54"/>
      <c r="BT243" s="54"/>
      <c r="BU243" s="54"/>
      <c r="BV243" s="54"/>
      <c r="BW243" s="54"/>
      <c r="BX243" s="54"/>
      <c r="BY243" s="54"/>
      <c r="BZ243" s="54"/>
      <c r="CA243" s="54"/>
      <c r="CB243" s="54"/>
      <c r="CC243" s="54"/>
      <c r="CD243" s="54"/>
      <c r="CE243" s="54"/>
      <c r="CF243" s="54"/>
      <c r="CG243" s="54"/>
      <c r="CH243" s="54"/>
      <c r="CI243" s="54"/>
      <c r="CJ243" s="54"/>
      <c r="CK243" s="54"/>
      <c r="CL243" s="54"/>
      <c r="CM243" s="54"/>
      <c r="CN243" s="54"/>
      <c r="CO243" s="54"/>
      <c r="CP243" s="54"/>
      <c r="CQ243" s="54"/>
      <c r="CR243" s="54"/>
      <c r="CS243" s="54"/>
      <c r="CT243" s="54"/>
      <c r="CU243" s="54"/>
      <c r="CV243" s="54"/>
      <c r="CW243" s="54"/>
      <c r="CX243" s="54"/>
      <c r="CY243" s="54"/>
      <c r="CZ243" s="54"/>
      <c r="DA243" s="54"/>
      <c r="DB243" s="54"/>
      <c r="DC243" s="54"/>
      <c r="DD243" s="54"/>
      <c r="DE243" s="54"/>
      <c r="DF243" s="54"/>
      <c r="DG243" s="54"/>
      <c r="DH243" s="54"/>
      <c r="DI243" s="54"/>
      <c r="DJ243" s="54"/>
      <c r="DK243" s="54"/>
      <c r="DL243" s="54"/>
      <c r="DM243" s="54"/>
      <c r="DN243" s="54"/>
      <c r="DO243" s="54"/>
      <c r="DP243" s="54"/>
      <c r="DQ243" s="54"/>
      <c r="DR243" s="54"/>
      <c r="DS243" s="54"/>
      <c r="DT243" s="54"/>
      <c r="DU243" s="54"/>
      <c r="DV243" s="54"/>
      <c r="DW243" s="54"/>
      <c r="DX243" s="54"/>
      <c r="DY243" s="54"/>
      <c r="DZ243" s="54"/>
      <c r="EA243" s="54"/>
      <c r="EB243" s="54"/>
      <c r="EC243" s="54"/>
      <c r="ED243" s="54"/>
      <c r="EE243" s="54"/>
      <c r="EF243" s="54"/>
      <c r="EG243" s="54"/>
      <c r="EH243" s="54"/>
      <c r="EI243" s="54"/>
      <c r="EJ243" s="54"/>
      <c r="EK243" s="54"/>
      <c r="EL243" s="54"/>
      <c r="EM243" s="54"/>
      <c r="EN243" s="54"/>
      <c r="EO243" s="54"/>
      <c r="EP243" s="54"/>
      <c r="EQ243" s="54"/>
      <c r="ER243" s="54"/>
      <c r="ES243" s="54"/>
      <c r="ET243" s="54"/>
      <c r="EU243" s="54"/>
      <c r="EV243" s="54"/>
      <c r="EW243" s="54"/>
      <c r="EX243" s="54"/>
      <c r="EY243" s="54"/>
      <c r="EZ243" s="54"/>
      <c r="FA243" s="54"/>
      <c r="FB243" s="54"/>
      <c r="FC243" s="54"/>
      <c r="FD243" s="54"/>
      <c r="FE243" s="54"/>
      <c r="FF243" s="54"/>
      <c r="FG243" s="54"/>
      <c r="FH243" s="54"/>
      <c r="FI243" s="54"/>
      <c r="FJ243" s="54"/>
      <c r="FK243" s="54"/>
      <c r="FL243" s="54"/>
      <c r="FM243" s="54"/>
      <c r="FN243" s="54"/>
      <c r="FO243" s="54"/>
      <c r="FP243" s="54"/>
      <c r="FQ243" s="54"/>
      <c r="FR243" s="54"/>
      <c r="FS243" s="54"/>
      <c r="FT243" s="54"/>
      <c r="FU243" s="54"/>
      <c r="FV243" s="54"/>
      <c r="FW243" s="54"/>
      <c r="FX243" s="54"/>
      <c r="FY243" s="54"/>
      <c r="FZ243" s="54"/>
      <c r="GA243" s="54"/>
      <c r="GB243" s="54"/>
      <c r="GC243" s="54"/>
      <c r="GD243" s="54"/>
      <c r="GE243" s="54"/>
      <c r="GF243" s="54"/>
      <c r="GG243" s="54"/>
      <c r="GH243" s="54"/>
      <c r="GI243" s="54"/>
      <c r="GJ243" s="54"/>
      <c r="GK243" s="54"/>
      <c r="GL243" s="54"/>
      <c r="GM243" s="54"/>
      <c r="GN243" s="54"/>
      <c r="GO243" s="54"/>
      <c r="GP243" s="54"/>
      <c r="GQ243" s="54"/>
      <c r="GR243" s="54"/>
      <c r="GS243" s="54"/>
      <c r="GT243" s="54"/>
      <c r="GU243" s="54"/>
      <c r="GV243" s="54"/>
      <c r="GW243" s="54"/>
      <c r="GX243" s="54"/>
      <c r="GY243" s="54"/>
      <c r="GZ243" s="54"/>
      <c r="HA243" s="54"/>
      <c r="HB243" s="54"/>
      <c r="HC243" s="54"/>
      <c r="HD243" s="54"/>
      <c r="HE243" s="54"/>
      <c r="HF243" s="54"/>
      <c r="HG243" s="54"/>
      <c r="HH243" s="54"/>
      <c r="HI243" s="54"/>
      <c r="HJ243" s="54"/>
      <c r="HK243" s="54"/>
      <c r="HL243" s="54"/>
      <c r="HM243" s="54"/>
      <c r="HN243" s="54"/>
      <c r="HO243" s="54"/>
      <c r="HP243" s="54"/>
      <c r="HQ243" s="54"/>
      <c r="HR243" s="54"/>
      <c r="HS243" s="54"/>
      <c r="HT243" s="54"/>
      <c r="HU243" s="54"/>
      <c r="HV243" s="54"/>
      <c r="HW243" s="54"/>
      <c r="HX243" s="54"/>
      <c r="HY243" s="54"/>
      <c r="HZ243" s="54"/>
      <c r="IA243" s="54"/>
      <c r="IB243" s="54"/>
      <c r="IC243" s="54"/>
      <c r="ID243" s="54"/>
      <c r="IE243" s="54"/>
      <c r="IF243" s="54"/>
      <c r="IG243" s="54"/>
      <c r="IH243" s="54"/>
      <c r="II243" s="13"/>
      <c r="IJ243" s="13"/>
      <c r="IK243" s="13"/>
      <c r="IL243" s="13"/>
      <c r="IM243" s="13"/>
      <c r="IN243" s="13"/>
      <c r="IO243" s="13"/>
      <c r="IP243" s="13"/>
      <c r="IQ243" s="13"/>
      <c r="IR243" s="13"/>
      <c r="IS243" s="13"/>
      <c r="IT243" s="13"/>
      <c r="IU243" s="54"/>
      <c r="IV243" s="13"/>
      <c r="IW243" s="13"/>
      <c r="IX243" s="13"/>
      <c r="IY243" s="13"/>
      <c r="IZ243" s="13"/>
      <c r="JA243" s="13"/>
      <c r="JB243" s="13"/>
      <c r="JC243" s="13"/>
      <c r="JD243" s="13"/>
      <c r="JE243" s="13"/>
      <c r="JF243" s="13"/>
      <c r="JG243" s="13"/>
      <c r="JH243" s="13"/>
      <c r="JI243" s="54"/>
      <c r="JJ243" s="158"/>
      <c r="JK243" s="158"/>
      <c r="JL243" s="158"/>
      <c r="JM243" s="158"/>
      <c r="JN243" s="158"/>
      <c r="JO243" s="158"/>
      <c r="JP243" s="158"/>
      <c r="JQ243" s="158"/>
      <c r="JR243" s="158"/>
      <c r="JS243" s="158"/>
      <c r="JT243" s="158"/>
      <c r="JU243" s="158"/>
      <c r="JV243" s="158"/>
      <c r="JW243" s="158"/>
      <c r="JX243" s="158"/>
      <c r="JY243" s="158"/>
      <c r="JZ243" s="158"/>
      <c r="KA243" s="158"/>
      <c r="KB243" s="158"/>
      <c r="KC243" s="158"/>
      <c r="KD243" s="158"/>
      <c r="KE243" s="158"/>
      <c r="KF243" s="158"/>
      <c r="KG243" s="158"/>
      <c r="KH243" s="158"/>
      <c r="KI243" s="158"/>
      <c r="KJ243" s="158"/>
      <c r="KK243" s="158"/>
      <c r="KL243" s="158"/>
      <c r="KM243" s="54"/>
      <c r="KN243" s="54"/>
      <c r="KO243" s="54"/>
      <c r="KP243" s="54"/>
      <c r="KQ243" s="54"/>
      <c r="KR243" s="54"/>
      <c r="KS243" s="54"/>
      <c r="KT243" s="54"/>
      <c r="KU243" s="54"/>
      <c r="KV243" s="54"/>
      <c r="KW243" s="54"/>
      <c r="KX243" s="54"/>
    </row>
    <row r="244" ht="5.2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c r="AG244" s="54"/>
      <c r="AH244" s="54"/>
      <c r="AI244" s="54"/>
      <c r="AJ244" s="54"/>
      <c r="AK244" s="54"/>
      <c r="AL244" s="54"/>
      <c r="AM244" s="54"/>
      <c r="AN244" s="54"/>
      <c r="AO244" s="54"/>
      <c r="AP244" s="54"/>
      <c r="AQ244" s="54"/>
      <c r="AR244" s="54"/>
      <c r="AS244" s="54"/>
      <c r="AT244" s="54"/>
      <c r="AU244" s="54"/>
      <c r="AV244" s="54"/>
      <c r="AW244" s="54"/>
      <c r="AX244" s="54"/>
      <c r="AY244" s="54"/>
      <c r="AZ244" s="54"/>
      <c r="BA244" s="54"/>
      <c r="BB244" s="54"/>
      <c r="BC244" s="54"/>
      <c r="BD244" s="54"/>
      <c r="BE244" s="54"/>
      <c r="BF244" s="54"/>
      <c r="BG244" s="54"/>
      <c r="BH244" s="54"/>
      <c r="BI244" s="54"/>
      <c r="BJ244" s="54"/>
      <c r="BK244" s="54"/>
      <c r="BL244" s="54"/>
      <c r="BM244" s="54"/>
      <c r="BN244" s="54"/>
      <c r="BO244" s="54"/>
      <c r="BP244" s="54"/>
      <c r="BQ244" s="54"/>
      <c r="BR244" s="54"/>
      <c r="BS244" s="54"/>
      <c r="BT244" s="54"/>
      <c r="BU244" s="54"/>
      <c r="BV244" s="54"/>
      <c r="BW244" s="54"/>
      <c r="BX244" s="54"/>
      <c r="BY244" s="54"/>
      <c r="BZ244" s="54"/>
      <c r="CA244" s="54"/>
      <c r="CB244" s="54"/>
      <c r="CC244" s="54"/>
      <c r="CD244" s="54"/>
      <c r="CE244" s="54"/>
      <c r="CF244" s="54"/>
      <c r="CG244" s="54"/>
      <c r="CH244" s="54"/>
      <c r="CI244" s="54"/>
      <c r="CJ244" s="54"/>
      <c r="CK244" s="54"/>
      <c r="CL244" s="54"/>
      <c r="CM244" s="54"/>
      <c r="CN244" s="54"/>
      <c r="CO244" s="54"/>
      <c r="CP244" s="54"/>
      <c r="CQ244" s="54"/>
      <c r="CR244" s="54"/>
      <c r="CS244" s="54"/>
      <c r="CT244" s="54"/>
      <c r="CU244" s="54"/>
      <c r="CV244" s="54"/>
      <c r="CW244" s="54"/>
      <c r="CX244" s="54"/>
      <c r="CY244" s="54"/>
      <c r="CZ244" s="54"/>
      <c r="DA244" s="54"/>
      <c r="DB244" s="54"/>
      <c r="DC244" s="54"/>
      <c r="DD244" s="54"/>
      <c r="DE244" s="54"/>
      <c r="DF244" s="54"/>
      <c r="DG244" s="54"/>
      <c r="DH244" s="54"/>
      <c r="DI244" s="54"/>
      <c r="DJ244" s="54"/>
      <c r="DK244" s="54"/>
      <c r="DL244" s="54"/>
      <c r="DM244" s="54"/>
      <c r="DN244" s="54"/>
      <c r="DO244" s="54"/>
      <c r="DP244" s="54"/>
      <c r="DQ244" s="54"/>
      <c r="DR244" s="54"/>
      <c r="DS244" s="54"/>
      <c r="DT244" s="54"/>
      <c r="DU244" s="54"/>
      <c r="DV244" s="54"/>
      <c r="DW244" s="54"/>
      <c r="DX244" s="54"/>
      <c r="DY244" s="54"/>
      <c r="DZ244" s="54"/>
      <c r="EA244" s="54"/>
      <c r="EB244" s="54"/>
      <c r="EC244" s="54"/>
      <c r="ED244" s="54"/>
      <c r="EE244" s="54"/>
      <c r="EF244" s="54"/>
      <c r="EG244" s="54"/>
      <c r="EH244" s="54"/>
      <c r="EI244" s="54"/>
      <c r="EJ244" s="54"/>
      <c r="EK244" s="54"/>
      <c r="EL244" s="54"/>
      <c r="EM244" s="54"/>
      <c r="EN244" s="54"/>
      <c r="EO244" s="54"/>
      <c r="EP244" s="54"/>
      <c r="EQ244" s="54"/>
      <c r="ER244" s="54"/>
      <c r="ES244" s="54"/>
      <c r="ET244" s="54"/>
      <c r="EU244" s="54"/>
      <c r="EV244" s="54"/>
      <c r="EW244" s="54"/>
      <c r="EX244" s="54"/>
      <c r="EY244" s="54"/>
      <c r="EZ244" s="54"/>
      <c r="FA244" s="54"/>
      <c r="FB244" s="54"/>
      <c r="FC244" s="54"/>
      <c r="FD244" s="54"/>
      <c r="FE244" s="54"/>
      <c r="FF244" s="54"/>
      <c r="FG244" s="54"/>
      <c r="FH244" s="54"/>
      <c r="FI244" s="54"/>
      <c r="FJ244" s="54"/>
      <c r="FK244" s="54"/>
      <c r="FL244" s="54"/>
      <c r="FM244" s="54"/>
      <c r="FN244" s="54"/>
      <c r="FO244" s="54"/>
      <c r="FP244" s="54"/>
      <c r="FQ244" s="54"/>
      <c r="FR244" s="54"/>
      <c r="FS244" s="54"/>
      <c r="FT244" s="54"/>
      <c r="FU244" s="54"/>
      <c r="FV244" s="54"/>
      <c r="FW244" s="54"/>
      <c r="FX244" s="54"/>
      <c r="FY244" s="54"/>
      <c r="FZ244" s="54"/>
      <c r="GA244" s="54"/>
      <c r="GB244" s="54"/>
      <c r="GC244" s="54"/>
      <c r="GD244" s="54"/>
      <c r="GE244" s="54"/>
      <c r="GF244" s="54"/>
      <c r="GG244" s="54"/>
      <c r="GH244" s="54"/>
      <c r="GI244" s="54"/>
      <c r="GJ244" s="54"/>
      <c r="GK244" s="54"/>
      <c r="GL244" s="54"/>
      <c r="GM244" s="54"/>
      <c r="GN244" s="54"/>
      <c r="GO244" s="54"/>
      <c r="GP244" s="54"/>
      <c r="GQ244" s="54"/>
      <c r="GR244" s="54"/>
      <c r="GS244" s="54"/>
      <c r="GT244" s="54"/>
      <c r="GU244" s="54"/>
      <c r="GV244" s="54"/>
      <c r="GW244" s="54"/>
      <c r="GX244" s="54"/>
      <c r="GY244" s="54"/>
      <c r="GZ244" s="54"/>
      <c r="HA244" s="54"/>
      <c r="HB244" s="54"/>
      <c r="HC244" s="54"/>
      <c r="HD244" s="54"/>
      <c r="HE244" s="54"/>
      <c r="HF244" s="54"/>
      <c r="HG244" s="54"/>
      <c r="HH244" s="54"/>
      <c r="HI244" s="54"/>
      <c r="HJ244" s="54"/>
      <c r="HK244" s="54"/>
      <c r="HL244" s="54"/>
      <c r="HM244" s="54"/>
      <c r="HN244" s="54"/>
      <c r="HO244" s="54"/>
      <c r="HP244" s="54"/>
      <c r="HQ244" s="54"/>
      <c r="HR244" s="54"/>
      <c r="HS244" s="54"/>
      <c r="HT244" s="54"/>
      <c r="HU244" s="54"/>
      <c r="HV244" s="54"/>
      <c r="HW244" s="54"/>
      <c r="HX244" s="54"/>
      <c r="HY244" s="54"/>
      <c r="HZ244" s="54"/>
      <c r="IA244" s="54"/>
      <c r="IB244" s="54"/>
      <c r="IC244" s="54"/>
      <c r="ID244" s="54"/>
      <c r="IE244" s="54"/>
      <c r="IF244" s="54"/>
      <c r="IG244" s="54"/>
      <c r="IH244" s="54"/>
      <c r="II244" s="162"/>
      <c r="IJ244" s="162"/>
      <c r="IK244" s="162"/>
      <c r="IL244" s="162"/>
      <c r="IM244" s="154" t="s">
        <v>73</v>
      </c>
      <c r="IU244" s="54"/>
      <c r="IV244" s="155">
        <v>1000.0</v>
      </c>
      <c r="JI244" s="54"/>
      <c r="JJ244" s="82" t="str">
        <f t="array" ref="JJ244">xlookup(JN244,'Team Entry'!$A:$A,'Team Entry'!$B:$B,"")</f>
        <v/>
      </c>
      <c r="JN244" s="156" t="str">
        <f>ifs(or(DG258="",DG262="",DG258=DG262),"TBD",DG258&gt;DG262,CH262,DG262&gt;DG258,CH258)</f>
        <v>TBD</v>
      </c>
      <c r="KM244" s="54"/>
      <c r="KN244" s="54"/>
      <c r="KO244" s="54"/>
      <c r="KP244" s="54"/>
      <c r="KQ244" s="54"/>
      <c r="KR244" s="54"/>
      <c r="KS244" s="54"/>
      <c r="KT244" s="54"/>
      <c r="KU244" s="54"/>
      <c r="KV244" s="54"/>
      <c r="KW244" s="54"/>
      <c r="KX244" s="54"/>
    </row>
    <row r="245" ht="5.25" customHeight="1">
      <c r="A245" s="54"/>
      <c r="B245" s="54"/>
      <c r="C245" s="54"/>
      <c r="D245" s="54"/>
      <c r="E245" s="54"/>
      <c r="F245" s="54"/>
      <c r="G245" s="54"/>
      <c r="H245" s="163" t="s">
        <v>74</v>
      </c>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9"/>
      <c r="AO245" s="54"/>
      <c r="AP245" s="54"/>
      <c r="AQ245" s="54"/>
      <c r="AR245" s="54"/>
      <c r="AS245" s="163" t="s">
        <v>75</v>
      </c>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9"/>
      <c r="BZ245" s="54"/>
      <c r="CA245" s="54"/>
      <c r="CB245" s="54"/>
      <c r="CC245" s="54"/>
      <c r="CD245" s="163" t="s">
        <v>76</v>
      </c>
      <c r="CE245" s="58"/>
      <c r="CF245" s="58"/>
      <c r="CG245" s="58"/>
      <c r="CH245" s="58"/>
      <c r="CI245" s="58"/>
      <c r="CJ245" s="58"/>
      <c r="CK245" s="58"/>
      <c r="CL245" s="58"/>
      <c r="CM245" s="58"/>
      <c r="CN245" s="58"/>
      <c r="CO245" s="58"/>
      <c r="CP245" s="58"/>
      <c r="CQ245" s="58"/>
      <c r="CR245" s="58"/>
      <c r="CS245" s="58"/>
      <c r="CT245" s="58"/>
      <c r="CU245" s="58"/>
      <c r="CV245" s="58"/>
      <c r="CW245" s="58"/>
      <c r="CX245" s="58"/>
      <c r="CY245" s="58"/>
      <c r="CZ245" s="58"/>
      <c r="DA245" s="58"/>
      <c r="DB245" s="58"/>
      <c r="DC245" s="58"/>
      <c r="DD245" s="58"/>
      <c r="DE245" s="58"/>
      <c r="DF245" s="58"/>
      <c r="DG245" s="58"/>
      <c r="DH245" s="58"/>
      <c r="DI245" s="58"/>
      <c r="DJ245" s="59"/>
      <c r="DK245" s="54"/>
      <c r="DL245" s="54"/>
      <c r="DM245" s="54"/>
      <c r="DN245" s="54"/>
      <c r="DO245" s="163" t="s">
        <v>77</v>
      </c>
      <c r="DP245" s="58"/>
      <c r="DQ245" s="58"/>
      <c r="DR245" s="58"/>
      <c r="DS245" s="58"/>
      <c r="DT245" s="58"/>
      <c r="DU245" s="58"/>
      <c r="DV245" s="58"/>
      <c r="DW245" s="58"/>
      <c r="DX245" s="58"/>
      <c r="DY245" s="58"/>
      <c r="DZ245" s="58"/>
      <c r="EA245" s="58"/>
      <c r="EB245" s="58"/>
      <c r="EC245" s="58"/>
      <c r="ED245" s="58"/>
      <c r="EE245" s="58"/>
      <c r="EF245" s="58"/>
      <c r="EG245" s="58"/>
      <c r="EH245" s="58"/>
      <c r="EI245" s="58"/>
      <c r="EJ245" s="58"/>
      <c r="EK245" s="58"/>
      <c r="EL245" s="58"/>
      <c r="EM245" s="58"/>
      <c r="EN245" s="58"/>
      <c r="EO245" s="58"/>
      <c r="EP245" s="58"/>
      <c r="EQ245" s="58"/>
      <c r="ER245" s="58"/>
      <c r="ES245" s="58"/>
      <c r="ET245" s="58"/>
      <c r="EU245" s="59"/>
      <c r="EV245" s="54"/>
      <c r="EW245" s="54"/>
      <c r="EX245" s="54"/>
      <c r="EY245" s="54"/>
      <c r="EZ245" s="54"/>
      <c r="FA245" s="54"/>
      <c r="FB245" s="54"/>
      <c r="FC245" s="54"/>
      <c r="FD245" s="54"/>
      <c r="FE245" s="163" t="s">
        <v>78</v>
      </c>
      <c r="FF245" s="58"/>
      <c r="FG245" s="58"/>
      <c r="FH245" s="58"/>
      <c r="FI245" s="58"/>
      <c r="FJ245" s="58"/>
      <c r="FK245" s="58"/>
      <c r="FL245" s="58"/>
      <c r="FM245" s="58"/>
      <c r="FN245" s="58"/>
      <c r="FO245" s="58"/>
      <c r="FP245" s="58"/>
      <c r="FQ245" s="58"/>
      <c r="FR245" s="58"/>
      <c r="FS245" s="58"/>
      <c r="FT245" s="58"/>
      <c r="FU245" s="58"/>
      <c r="FV245" s="58"/>
      <c r="FW245" s="58"/>
      <c r="FX245" s="58"/>
      <c r="FY245" s="58"/>
      <c r="FZ245" s="58"/>
      <c r="GA245" s="58"/>
      <c r="GB245" s="58"/>
      <c r="GC245" s="58"/>
      <c r="GD245" s="58"/>
      <c r="GE245" s="58"/>
      <c r="GF245" s="58"/>
      <c r="GG245" s="58"/>
      <c r="GH245" s="58"/>
      <c r="GI245" s="58"/>
      <c r="GJ245" s="58"/>
      <c r="GK245" s="58"/>
      <c r="GL245" s="58"/>
      <c r="GM245" s="58"/>
      <c r="GN245" s="58"/>
      <c r="GO245" s="58"/>
      <c r="GP245" s="58"/>
      <c r="GQ245" s="58"/>
      <c r="GR245" s="58"/>
      <c r="GS245" s="58"/>
      <c r="GT245" s="58"/>
      <c r="GU245" s="58"/>
      <c r="GV245" s="58"/>
      <c r="GW245" s="58"/>
      <c r="GX245" s="58"/>
      <c r="GY245" s="58"/>
      <c r="GZ245" s="58"/>
      <c r="HA245" s="58"/>
      <c r="HB245" s="58"/>
      <c r="HC245" s="58"/>
      <c r="HD245" s="58"/>
      <c r="HE245" s="58"/>
      <c r="HF245" s="58"/>
      <c r="HG245" s="59"/>
      <c r="HH245" s="55"/>
      <c r="HI245" s="54"/>
      <c r="HJ245" s="54"/>
      <c r="HK245" s="54"/>
      <c r="HL245" s="54"/>
      <c r="HM245" s="54"/>
      <c r="HN245" s="54"/>
      <c r="HO245" s="54"/>
      <c r="HP245" s="54"/>
      <c r="HQ245" s="54"/>
      <c r="HR245" s="54"/>
      <c r="HS245" s="54"/>
      <c r="HT245" s="54"/>
      <c r="HU245" s="54"/>
      <c r="HV245" s="54"/>
      <c r="HW245" s="54"/>
      <c r="HX245" s="54"/>
      <c r="HY245" s="54"/>
      <c r="HZ245" s="54"/>
      <c r="IA245" s="54"/>
      <c r="IB245" s="54"/>
      <c r="IC245" s="54"/>
      <c r="ID245" s="54"/>
      <c r="IE245" s="54"/>
      <c r="IF245" s="54"/>
      <c r="IG245" s="54"/>
      <c r="IH245" s="54"/>
      <c r="II245" s="162"/>
      <c r="IJ245" s="162"/>
      <c r="IK245" s="162"/>
      <c r="IL245" s="162"/>
      <c r="IU245" s="54"/>
      <c r="JI245" s="54"/>
      <c r="KM245" s="54"/>
      <c r="KN245" s="54"/>
      <c r="KO245" s="54"/>
      <c r="KP245" s="54"/>
      <c r="KQ245" s="54"/>
      <c r="KR245" s="54"/>
      <c r="KS245" s="54"/>
      <c r="KT245" s="54"/>
      <c r="KU245" s="54"/>
      <c r="KV245" s="54"/>
      <c r="KW245" s="54"/>
      <c r="KX245" s="54"/>
    </row>
    <row r="246" ht="5.25" customHeight="1">
      <c r="A246" s="54"/>
      <c r="B246" s="54"/>
      <c r="C246" s="54"/>
      <c r="D246" s="54"/>
      <c r="E246" s="54"/>
      <c r="F246" s="54"/>
      <c r="G246" s="54"/>
      <c r="H246" s="60"/>
      <c r="AN246" s="61"/>
      <c r="AO246" s="54"/>
      <c r="AP246" s="54"/>
      <c r="AQ246" s="54"/>
      <c r="AR246" s="54"/>
      <c r="AS246" s="60"/>
      <c r="BY246" s="61"/>
      <c r="BZ246" s="54"/>
      <c r="CA246" s="54"/>
      <c r="CB246" s="54"/>
      <c r="CC246" s="54"/>
      <c r="CD246" s="60"/>
      <c r="DJ246" s="61"/>
      <c r="DK246" s="54"/>
      <c r="DL246" s="54"/>
      <c r="DM246" s="54"/>
      <c r="DN246" s="54"/>
      <c r="DO246" s="60"/>
      <c r="EU246" s="61"/>
      <c r="EV246" s="54"/>
      <c r="EW246" s="54"/>
      <c r="EX246" s="54"/>
      <c r="EY246" s="54"/>
      <c r="EZ246" s="54"/>
      <c r="FA246" s="54"/>
      <c r="FB246" s="54"/>
      <c r="FC246" s="54"/>
      <c r="FD246" s="54"/>
      <c r="FE246" s="60"/>
      <c r="HG246" s="61"/>
      <c r="HH246" s="54"/>
      <c r="HI246" s="54"/>
      <c r="HJ246" s="54"/>
      <c r="HK246" s="54"/>
      <c r="HL246" s="54"/>
      <c r="HM246" s="54"/>
      <c r="HN246" s="54"/>
      <c r="HO246" s="54"/>
      <c r="HP246" s="54"/>
      <c r="HQ246" s="54"/>
      <c r="HR246" s="54"/>
      <c r="HS246" s="54"/>
      <c r="HT246" s="54"/>
      <c r="HU246" s="54"/>
      <c r="HV246" s="54"/>
      <c r="HW246" s="54"/>
      <c r="HX246" s="54"/>
      <c r="HY246" s="54"/>
      <c r="HZ246" s="54"/>
      <c r="IA246" s="54"/>
      <c r="IB246" s="54"/>
      <c r="IC246" s="54"/>
      <c r="ID246" s="54"/>
      <c r="IE246" s="54"/>
      <c r="IF246" s="54"/>
      <c r="IG246" s="54"/>
      <c r="IH246" s="54"/>
      <c r="II246" s="153"/>
      <c r="IU246" s="54"/>
      <c r="JI246" s="54"/>
      <c r="KM246" s="54"/>
      <c r="KN246" s="54"/>
      <c r="KO246" s="54"/>
      <c r="KP246" s="54"/>
      <c r="KQ246" s="54"/>
      <c r="KR246" s="54"/>
      <c r="KS246" s="54"/>
      <c r="KT246" s="54"/>
      <c r="KU246" s="54"/>
      <c r="KV246" s="54"/>
      <c r="KW246" s="54"/>
      <c r="KX246" s="54"/>
    </row>
    <row r="247" ht="5.25" customHeight="1">
      <c r="A247" s="54"/>
      <c r="B247" s="54"/>
      <c r="C247" s="54"/>
      <c r="D247" s="54"/>
      <c r="E247" s="54"/>
      <c r="F247" s="54"/>
      <c r="G247" s="54"/>
      <c r="H247" s="60"/>
      <c r="AN247" s="61"/>
      <c r="AO247" s="54"/>
      <c r="AP247" s="54"/>
      <c r="AQ247" s="54"/>
      <c r="AR247" s="54"/>
      <c r="AS247" s="60"/>
      <c r="BY247" s="61"/>
      <c r="BZ247" s="54"/>
      <c r="CA247" s="54"/>
      <c r="CB247" s="54"/>
      <c r="CC247" s="54"/>
      <c r="CD247" s="60"/>
      <c r="DJ247" s="61"/>
      <c r="DK247" s="54"/>
      <c r="DL247" s="54"/>
      <c r="DM247" s="54"/>
      <c r="DN247" s="54"/>
      <c r="DO247" s="60"/>
      <c r="EU247" s="61"/>
      <c r="EV247" s="54"/>
      <c r="EW247" s="54"/>
      <c r="EX247" s="54"/>
      <c r="EY247" s="54"/>
      <c r="EZ247" s="54"/>
      <c r="FA247" s="54"/>
      <c r="FB247" s="54"/>
      <c r="FC247" s="54"/>
      <c r="FD247" s="54"/>
      <c r="FE247" s="60"/>
      <c r="HG247" s="61"/>
      <c r="HH247" s="54"/>
      <c r="HI247" s="54"/>
      <c r="HJ247" s="54"/>
      <c r="HK247" s="54"/>
      <c r="HL247" s="54"/>
      <c r="HM247" s="54"/>
      <c r="HN247" s="54"/>
      <c r="HO247" s="54"/>
      <c r="HP247" s="54"/>
      <c r="HQ247" s="54"/>
      <c r="HR247" s="54"/>
      <c r="HS247" s="54"/>
      <c r="HT247" s="54"/>
      <c r="HU247" s="54"/>
      <c r="HV247" s="54"/>
      <c r="HW247" s="54"/>
      <c r="HX247" s="54"/>
      <c r="HY247" s="54"/>
      <c r="HZ247" s="54"/>
      <c r="IA247" s="54"/>
      <c r="IB247" s="54"/>
      <c r="IC247" s="54"/>
      <c r="ID247" s="54"/>
      <c r="IE247" s="54"/>
      <c r="IF247" s="54"/>
      <c r="IG247" s="54"/>
      <c r="IH247" s="54"/>
      <c r="IU247" s="54"/>
      <c r="JI247" s="54"/>
      <c r="JJ247" s="158"/>
      <c r="JK247" s="158"/>
      <c r="JL247" s="158"/>
      <c r="JM247" s="158"/>
      <c r="JN247" s="158"/>
      <c r="JO247" s="158"/>
      <c r="JP247" s="158"/>
      <c r="JQ247" s="158"/>
      <c r="JR247" s="158"/>
      <c r="JS247" s="158"/>
      <c r="JT247" s="158"/>
      <c r="JU247" s="158"/>
      <c r="JV247" s="158"/>
      <c r="JW247" s="158"/>
      <c r="JX247" s="158"/>
      <c r="JY247" s="158"/>
      <c r="JZ247" s="158"/>
      <c r="KA247" s="158"/>
      <c r="KB247" s="158"/>
      <c r="KC247" s="158"/>
      <c r="KD247" s="158"/>
      <c r="KE247" s="158"/>
      <c r="KF247" s="158"/>
      <c r="KG247" s="158"/>
      <c r="KH247" s="158"/>
      <c r="KI247" s="158"/>
      <c r="KJ247" s="158"/>
      <c r="KK247" s="158"/>
      <c r="KL247" s="158"/>
      <c r="KM247" s="54"/>
      <c r="KN247" s="54"/>
      <c r="KO247" s="54"/>
      <c r="KP247" s="54"/>
      <c r="KQ247" s="54"/>
      <c r="KR247" s="54"/>
      <c r="KS247" s="54"/>
      <c r="KT247" s="54"/>
      <c r="KU247" s="54"/>
      <c r="KV247" s="54"/>
      <c r="KW247" s="54"/>
      <c r="KX247" s="54"/>
    </row>
    <row r="248" ht="5.25" customHeight="1">
      <c r="A248" s="54"/>
      <c r="B248" s="54"/>
      <c r="C248" s="54"/>
      <c r="D248" s="54"/>
      <c r="E248" s="54"/>
      <c r="F248" s="54"/>
      <c r="G248" s="54"/>
      <c r="H248" s="101"/>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02"/>
      <c r="AJ248" s="102"/>
      <c r="AK248" s="102"/>
      <c r="AL248" s="102"/>
      <c r="AM248" s="102"/>
      <c r="AN248" s="164"/>
      <c r="AO248" s="54"/>
      <c r="AP248" s="54"/>
      <c r="AQ248" s="54"/>
      <c r="AR248" s="54"/>
      <c r="AS248" s="101"/>
      <c r="AT248" s="102"/>
      <c r="AU248" s="102"/>
      <c r="AV248" s="102"/>
      <c r="AW248" s="102"/>
      <c r="AX248" s="102"/>
      <c r="AY248" s="102"/>
      <c r="AZ248" s="102"/>
      <c r="BA248" s="102"/>
      <c r="BB248" s="102"/>
      <c r="BC248" s="102"/>
      <c r="BD248" s="102"/>
      <c r="BE248" s="102"/>
      <c r="BF248" s="102"/>
      <c r="BG248" s="102"/>
      <c r="BH248" s="102"/>
      <c r="BI248" s="102"/>
      <c r="BJ248" s="102"/>
      <c r="BK248" s="102"/>
      <c r="BL248" s="102"/>
      <c r="BM248" s="102"/>
      <c r="BN248" s="102"/>
      <c r="BO248" s="102"/>
      <c r="BP248" s="102"/>
      <c r="BQ248" s="102"/>
      <c r="BR248" s="102"/>
      <c r="BS248" s="102"/>
      <c r="BT248" s="102"/>
      <c r="BU248" s="102"/>
      <c r="BV248" s="102"/>
      <c r="BW248" s="102"/>
      <c r="BX248" s="102"/>
      <c r="BY248" s="164"/>
      <c r="BZ248" s="54"/>
      <c r="CA248" s="54"/>
      <c r="CB248" s="54"/>
      <c r="CC248" s="54"/>
      <c r="CD248" s="101"/>
      <c r="CE248" s="102"/>
      <c r="CF248" s="102"/>
      <c r="CG248" s="102"/>
      <c r="CH248" s="102"/>
      <c r="CI248" s="102"/>
      <c r="CJ248" s="102"/>
      <c r="CK248" s="102"/>
      <c r="CL248" s="102"/>
      <c r="CM248" s="102"/>
      <c r="CN248" s="102"/>
      <c r="CO248" s="102"/>
      <c r="CP248" s="102"/>
      <c r="CQ248" s="102"/>
      <c r="CR248" s="102"/>
      <c r="CS248" s="102"/>
      <c r="CT248" s="102"/>
      <c r="CU248" s="102"/>
      <c r="CV248" s="102"/>
      <c r="CW248" s="102"/>
      <c r="CX248" s="102"/>
      <c r="CY248" s="102"/>
      <c r="CZ248" s="102"/>
      <c r="DA248" s="102"/>
      <c r="DB248" s="102"/>
      <c r="DC248" s="102"/>
      <c r="DD248" s="102"/>
      <c r="DE248" s="102"/>
      <c r="DF248" s="102"/>
      <c r="DG248" s="102"/>
      <c r="DH248" s="102"/>
      <c r="DI248" s="102"/>
      <c r="DJ248" s="164"/>
      <c r="DK248" s="54"/>
      <c r="DL248" s="54"/>
      <c r="DM248" s="54"/>
      <c r="DN248" s="54"/>
      <c r="DO248" s="101"/>
      <c r="DP248" s="102"/>
      <c r="DQ248" s="102"/>
      <c r="DR248" s="102"/>
      <c r="DS248" s="102"/>
      <c r="DT248" s="102"/>
      <c r="DU248" s="102"/>
      <c r="DV248" s="102"/>
      <c r="DW248" s="102"/>
      <c r="DX248" s="102"/>
      <c r="DY248" s="102"/>
      <c r="DZ248" s="102"/>
      <c r="EA248" s="102"/>
      <c r="EB248" s="102"/>
      <c r="EC248" s="102"/>
      <c r="ED248" s="102"/>
      <c r="EE248" s="102"/>
      <c r="EF248" s="102"/>
      <c r="EG248" s="102"/>
      <c r="EH248" s="102"/>
      <c r="EI248" s="102"/>
      <c r="EJ248" s="102"/>
      <c r="EK248" s="102"/>
      <c r="EL248" s="102"/>
      <c r="EM248" s="102"/>
      <c r="EN248" s="102"/>
      <c r="EO248" s="102"/>
      <c r="EP248" s="102"/>
      <c r="EQ248" s="102"/>
      <c r="ER248" s="102"/>
      <c r="ES248" s="102"/>
      <c r="ET248" s="102"/>
      <c r="EU248" s="164"/>
      <c r="EV248" s="54"/>
      <c r="EW248" s="54"/>
      <c r="EX248" s="54"/>
      <c r="EY248" s="54"/>
      <c r="EZ248" s="54"/>
      <c r="FA248" s="54"/>
      <c r="FB248" s="54"/>
      <c r="FC248" s="54"/>
      <c r="FD248" s="54"/>
      <c r="FE248" s="101"/>
      <c r="FF248" s="102"/>
      <c r="FG248" s="102"/>
      <c r="FH248" s="102"/>
      <c r="FI248" s="102"/>
      <c r="FJ248" s="102"/>
      <c r="FK248" s="102"/>
      <c r="FL248" s="102"/>
      <c r="FM248" s="102"/>
      <c r="FN248" s="102"/>
      <c r="FO248" s="102"/>
      <c r="FP248" s="102"/>
      <c r="FQ248" s="102"/>
      <c r="FR248" s="102"/>
      <c r="FS248" s="102"/>
      <c r="FT248" s="102"/>
      <c r="FU248" s="102"/>
      <c r="FV248" s="102"/>
      <c r="FW248" s="102"/>
      <c r="FX248" s="102"/>
      <c r="FY248" s="102"/>
      <c r="FZ248" s="102"/>
      <c r="GA248" s="102"/>
      <c r="GB248" s="102"/>
      <c r="GC248" s="102"/>
      <c r="GD248" s="102"/>
      <c r="GE248" s="102"/>
      <c r="GF248" s="102"/>
      <c r="GG248" s="102"/>
      <c r="GH248" s="102"/>
      <c r="GI248" s="102"/>
      <c r="GJ248" s="102"/>
      <c r="GK248" s="102"/>
      <c r="GL248" s="102"/>
      <c r="GM248" s="102"/>
      <c r="GN248" s="102"/>
      <c r="GO248" s="102"/>
      <c r="GP248" s="102"/>
      <c r="GQ248" s="102"/>
      <c r="GR248" s="102"/>
      <c r="GS248" s="102"/>
      <c r="GT248" s="102"/>
      <c r="GU248" s="102"/>
      <c r="GV248" s="102"/>
      <c r="GW248" s="102"/>
      <c r="GX248" s="102"/>
      <c r="GY248" s="102"/>
      <c r="GZ248" s="102"/>
      <c r="HA248" s="102"/>
      <c r="HB248" s="102"/>
      <c r="HC248" s="102"/>
      <c r="HD248" s="102"/>
      <c r="HE248" s="102"/>
      <c r="HF248" s="102"/>
      <c r="HG248" s="164"/>
      <c r="HH248" s="54"/>
      <c r="HI248" s="54"/>
      <c r="HJ248" s="54"/>
      <c r="HK248" s="54"/>
      <c r="HL248" s="54"/>
      <c r="HM248" s="54"/>
      <c r="HN248" s="54"/>
      <c r="HO248" s="54"/>
      <c r="HP248" s="54"/>
      <c r="HQ248" s="54"/>
      <c r="HR248" s="54"/>
      <c r="HS248" s="54"/>
      <c r="HT248" s="54"/>
      <c r="HU248" s="54"/>
      <c r="HV248" s="54"/>
      <c r="HW248" s="54"/>
      <c r="HX248" s="54"/>
      <c r="HY248" s="54"/>
      <c r="HZ248" s="54"/>
      <c r="IA248" s="54"/>
      <c r="IB248" s="54"/>
      <c r="IC248" s="54"/>
      <c r="ID248" s="54"/>
      <c r="IE248" s="54"/>
      <c r="IF248" s="54"/>
      <c r="IG248" s="54"/>
      <c r="IH248" s="54"/>
      <c r="IU248" s="54"/>
      <c r="JI248" s="54"/>
      <c r="JJ248" s="82" t="str">
        <f t="array" ref="JJ248">xlookup(JN248,'Team Entry'!$A:$A,'Team Entry'!$B:$B,"")</f>
        <v/>
      </c>
      <c r="JN248" s="156" t="str">
        <f>ifs(or(DG278="",DG282="",DG278=DG282),"TBD",DG278&gt;DG282,CH282,DG282&gt;DG278,CH278)</f>
        <v>TBD</v>
      </c>
      <c r="KM248" s="54"/>
      <c r="KN248" s="54"/>
      <c r="KO248" s="54"/>
      <c r="KP248" s="54"/>
      <c r="KQ248" s="54"/>
      <c r="KR248" s="54"/>
      <c r="KS248" s="54"/>
      <c r="KT248" s="54"/>
      <c r="KU248" s="54"/>
      <c r="KV248" s="54"/>
      <c r="KW248" s="54"/>
      <c r="KX248" s="54"/>
    </row>
    <row r="249" ht="5.2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c r="AL249" s="54"/>
      <c r="AM249" s="54"/>
      <c r="AN249" s="54"/>
      <c r="AO249" s="54"/>
      <c r="AP249" s="54"/>
      <c r="AQ249" s="54"/>
      <c r="AR249" s="54"/>
      <c r="AS249" s="152"/>
      <c r="AT249" s="152"/>
      <c r="AU249" s="152"/>
      <c r="AV249" s="152"/>
      <c r="AW249" s="152"/>
      <c r="AX249" s="152"/>
      <c r="AY249" s="152"/>
      <c r="AZ249" s="152"/>
      <c r="BA249" s="152"/>
      <c r="BB249" s="152"/>
      <c r="BC249" s="152"/>
      <c r="BD249" s="152"/>
      <c r="BE249" s="152"/>
      <c r="BF249" s="152"/>
      <c r="BG249" s="152"/>
      <c r="BH249" s="152"/>
      <c r="BI249" s="152"/>
      <c r="BJ249" s="152"/>
      <c r="BK249" s="152"/>
      <c r="BL249" s="152"/>
      <c r="BM249" s="152"/>
      <c r="BN249" s="152"/>
      <c r="BO249" s="152"/>
      <c r="BP249" s="152"/>
      <c r="BQ249" s="152"/>
      <c r="BR249" s="152"/>
      <c r="BS249" s="152"/>
      <c r="BT249" s="152"/>
      <c r="BU249" s="152"/>
      <c r="BV249" s="152"/>
      <c r="BW249" s="152"/>
      <c r="BX249" s="152"/>
      <c r="BY249" s="152"/>
      <c r="BZ249" s="152"/>
      <c r="CA249" s="152"/>
      <c r="CB249" s="152"/>
      <c r="CC249" s="152"/>
      <c r="CD249" s="152"/>
      <c r="CE249" s="152"/>
      <c r="CF249" s="152"/>
      <c r="CG249" s="152"/>
      <c r="CH249" s="152"/>
      <c r="CI249" s="152"/>
      <c r="CJ249" s="152"/>
      <c r="CK249" s="152"/>
      <c r="CL249" s="152"/>
      <c r="CM249" s="152"/>
      <c r="CN249" s="152"/>
      <c r="CO249" s="152"/>
      <c r="CP249" s="152"/>
      <c r="CQ249" s="152"/>
      <c r="CR249" s="152"/>
      <c r="CS249" s="152"/>
      <c r="CT249" s="152"/>
      <c r="CU249" s="152"/>
      <c r="CV249" s="152"/>
      <c r="CW249" s="152"/>
      <c r="CX249" s="152"/>
      <c r="CY249" s="152"/>
      <c r="CZ249" s="152"/>
      <c r="DA249" s="152"/>
      <c r="DB249" s="152"/>
      <c r="DC249" s="152"/>
      <c r="DD249" s="152"/>
      <c r="DE249" s="152"/>
      <c r="DF249" s="152"/>
      <c r="DG249" s="152"/>
      <c r="DH249" s="152"/>
      <c r="DI249" s="152"/>
      <c r="DJ249" s="152"/>
      <c r="DK249" s="152"/>
      <c r="DL249" s="152"/>
      <c r="DM249" s="152"/>
      <c r="DN249" s="152"/>
      <c r="DO249" s="152"/>
      <c r="DP249" s="152"/>
      <c r="DQ249" s="152"/>
      <c r="DR249" s="152"/>
      <c r="DS249" s="152"/>
      <c r="DT249" s="152"/>
      <c r="DU249" s="152"/>
      <c r="DV249" s="152"/>
      <c r="DW249" s="152"/>
      <c r="DX249" s="152"/>
      <c r="DY249" s="152"/>
      <c r="DZ249" s="152"/>
      <c r="EA249" s="152"/>
      <c r="EB249" s="152"/>
      <c r="EC249" s="152"/>
      <c r="ED249" s="152"/>
      <c r="EE249" s="152"/>
      <c r="EF249" s="152"/>
      <c r="EG249" s="152"/>
      <c r="EH249" s="152"/>
      <c r="EI249" s="152"/>
      <c r="EJ249" s="152"/>
      <c r="EK249" s="152"/>
      <c r="EL249" s="152"/>
      <c r="EM249" s="152"/>
      <c r="EN249" s="152"/>
      <c r="EO249" s="152"/>
      <c r="EP249" s="152"/>
      <c r="EQ249" s="152"/>
      <c r="ER249" s="152"/>
      <c r="ES249" s="152"/>
      <c r="ET249" s="152"/>
      <c r="EU249" s="152"/>
      <c r="EV249" s="152"/>
      <c r="EW249" s="152"/>
      <c r="EX249" s="152"/>
      <c r="EY249" s="152"/>
      <c r="EZ249" s="152"/>
      <c r="FA249" s="152"/>
      <c r="FB249" s="152"/>
      <c r="FC249" s="152"/>
      <c r="FD249" s="152"/>
      <c r="FE249" s="152"/>
      <c r="FF249" s="152"/>
      <c r="FG249" s="152"/>
      <c r="FH249" s="152"/>
      <c r="FI249" s="152"/>
      <c r="FJ249" s="152"/>
      <c r="FK249" s="152"/>
      <c r="FL249" s="152"/>
      <c r="FM249" s="152"/>
      <c r="FN249" s="152"/>
      <c r="FO249" s="152"/>
      <c r="FP249" s="152"/>
      <c r="FQ249" s="152"/>
      <c r="FR249" s="152"/>
      <c r="FS249" s="152"/>
      <c r="FT249" s="152"/>
      <c r="FU249" s="152"/>
      <c r="FV249" s="152"/>
      <c r="FW249" s="152"/>
      <c r="FX249" s="152"/>
      <c r="FY249" s="152"/>
      <c r="FZ249" s="152"/>
      <c r="GA249" s="152"/>
      <c r="GB249" s="152"/>
      <c r="GC249" s="152"/>
      <c r="GD249" s="152"/>
      <c r="GE249" s="152"/>
      <c r="GF249" s="152"/>
      <c r="GG249" s="152"/>
      <c r="GH249" s="152"/>
      <c r="GI249" s="152"/>
      <c r="GJ249" s="152"/>
      <c r="GK249" s="152"/>
      <c r="GL249" s="152"/>
      <c r="GM249" s="152"/>
      <c r="GN249" s="152"/>
      <c r="GO249" s="152"/>
      <c r="GP249" s="152"/>
      <c r="GQ249" s="152"/>
      <c r="GR249" s="152"/>
      <c r="GS249" s="152"/>
      <c r="GT249" s="152"/>
      <c r="GU249" s="152"/>
      <c r="GV249" s="152"/>
      <c r="GW249" s="152"/>
      <c r="GX249" s="152"/>
      <c r="GY249" s="152"/>
      <c r="GZ249" s="152"/>
      <c r="HA249" s="152"/>
      <c r="HB249" s="152"/>
      <c r="HC249" s="152"/>
      <c r="HD249" s="152"/>
      <c r="HE249" s="152"/>
      <c r="HF249" s="152"/>
      <c r="HG249" s="152"/>
      <c r="HH249" s="54"/>
      <c r="HI249" s="54"/>
      <c r="HJ249" s="54"/>
      <c r="HK249" s="54"/>
      <c r="HL249" s="54"/>
      <c r="HM249" s="54"/>
      <c r="HN249" s="54"/>
      <c r="HO249" s="54"/>
      <c r="HP249" s="54"/>
      <c r="HQ249" s="54"/>
      <c r="HR249" s="54"/>
      <c r="HS249" s="54"/>
      <c r="HT249" s="54"/>
      <c r="HU249" s="54"/>
      <c r="HV249" s="54"/>
      <c r="HW249" s="54"/>
      <c r="HX249" s="54"/>
      <c r="HY249" s="54"/>
      <c r="HZ249" s="54"/>
      <c r="IA249" s="54"/>
      <c r="IB249" s="54"/>
      <c r="IC249" s="54"/>
      <c r="ID249" s="54"/>
      <c r="IE249" s="54"/>
      <c r="IF249" s="54"/>
      <c r="IG249" s="54"/>
      <c r="IH249" s="54"/>
      <c r="IU249" s="54"/>
      <c r="JI249" s="54"/>
      <c r="KM249" s="54"/>
      <c r="KN249" s="54"/>
      <c r="KO249" s="54"/>
      <c r="KP249" s="54"/>
      <c r="KQ249" s="54"/>
      <c r="KR249" s="54"/>
      <c r="KS249" s="54"/>
      <c r="KT249" s="54"/>
      <c r="KU249" s="54"/>
      <c r="KV249" s="54"/>
      <c r="KW249" s="54"/>
      <c r="KX249" s="54"/>
    </row>
    <row r="250" ht="5.2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c r="AG250" s="54"/>
      <c r="AH250" s="54"/>
      <c r="AI250" s="54"/>
      <c r="AJ250" s="54"/>
      <c r="AK250" s="54"/>
      <c r="AL250" s="54"/>
      <c r="AM250" s="54"/>
      <c r="AN250" s="54"/>
      <c r="AO250" s="54"/>
      <c r="AP250" s="54"/>
      <c r="AQ250" s="54"/>
      <c r="AR250" s="54"/>
      <c r="AS250" s="152"/>
      <c r="AT250" s="152"/>
      <c r="AU250" s="152"/>
      <c r="AV250" s="152"/>
      <c r="AW250" s="152"/>
      <c r="AX250" s="152"/>
      <c r="AY250" s="152"/>
      <c r="AZ250" s="152"/>
      <c r="BA250" s="152"/>
      <c r="BB250" s="152"/>
      <c r="BC250" s="152"/>
      <c r="BD250" s="152"/>
      <c r="BE250" s="152"/>
      <c r="BF250" s="152"/>
      <c r="BG250" s="152"/>
      <c r="BH250" s="152"/>
      <c r="BI250" s="152"/>
      <c r="BJ250" s="152"/>
      <c r="BK250" s="152"/>
      <c r="BL250" s="152"/>
      <c r="BM250" s="152"/>
      <c r="BN250" s="152"/>
      <c r="BO250" s="152"/>
      <c r="BP250" s="152"/>
      <c r="BQ250" s="152"/>
      <c r="BR250" s="152"/>
      <c r="BS250" s="152"/>
      <c r="BT250" s="152"/>
      <c r="BU250" s="152"/>
      <c r="BV250" s="152"/>
      <c r="BW250" s="152"/>
      <c r="BX250" s="152"/>
      <c r="BY250" s="152"/>
      <c r="BZ250" s="152"/>
      <c r="CA250" s="152"/>
      <c r="CB250" s="152"/>
      <c r="CC250" s="152"/>
      <c r="CD250" s="152"/>
      <c r="CE250" s="152"/>
      <c r="CF250" s="152"/>
      <c r="CG250" s="152"/>
      <c r="CH250" s="152"/>
      <c r="CI250" s="152"/>
      <c r="CJ250" s="152"/>
      <c r="CK250" s="152"/>
      <c r="CL250" s="152"/>
      <c r="CM250" s="152"/>
      <c r="CN250" s="152"/>
      <c r="CO250" s="152"/>
      <c r="CP250" s="152"/>
      <c r="CQ250" s="152"/>
      <c r="CR250" s="152"/>
      <c r="CS250" s="152"/>
      <c r="CT250" s="152"/>
      <c r="CU250" s="152"/>
      <c r="CV250" s="152"/>
      <c r="CW250" s="152"/>
      <c r="CX250" s="152"/>
      <c r="CY250" s="152"/>
      <c r="CZ250" s="152"/>
      <c r="DA250" s="152"/>
      <c r="DB250" s="152"/>
      <c r="DC250" s="152"/>
      <c r="DD250" s="152"/>
      <c r="DE250" s="152"/>
      <c r="DF250" s="152"/>
      <c r="DG250" s="152"/>
      <c r="DH250" s="152"/>
      <c r="DI250" s="152"/>
      <c r="DJ250" s="152"/>
      <c r="DK250" s="152"/>
      <c r="DL250" s="152"/>
      <c r="DM250" s="152"/>
      <c r="DN250" s="152"/>
      <c r="DO250" s="152"/>
      <c r="DP250" s="152"/>
      <c r="DQ250" s="152"/>
      <c r="DR250" s="152"/>
      <c r="DS250" s="152"/>
      <c r="DT250" s="152"/>
      <c r="DU250" s="152"/>
      <c r="DV250" s="152"/>
      <c r="DW250" s="152"/>
      <c r="DX250" s="152"/>
      <c r="DY250" s="152"/>
      <c r="DZ250" s="152"/>
      <c r="EA250" s="152"/>
      <c r="EB250" s="152"/>
      <c r="EC250" s="152"/>
      <c r="ED250" s="152"/>
      <c r="EE250" s="152"/>
      <c r="EF250" s="152"/>
      <c r="EG250" s="152"/>
      <c r="EH250" s="152"/>
      <c r="EI250" s="152"/>
      <c r="EJ250" s="152"/>
      <c r="EK250" s="152"/>
      <c r="EL250" s="152"/>
      <c r="EM250" s="152"/>
      <c r="EN250" s="152"/>
      <c r="EO250" s="152"/>
      <c r="EP250" s="152"/>
      <c r="EQ250" s="152"/>
      <c r="ER250" s="152"/>
      <c r="ES250" s="152"/>
      <c r="ET250" s="152"/>
      <c r="EU250" s="152"/>
      <c r="EV250" s="152"/>
      <c r="EW250" s="152"/>
      <c r="EX250" s="152"/>
      <c r="EY250" s="152"/>
      <c r="EZ250" s="152"/>
      <c r="FA250" s="152"/>
      <c r="FB250" s="152"/>
      <c r="FC250" s="152"/>
      <c r="FD250" s="152"/>
      <c r="FE250" s="152"/>
      <c r="FF250" s="152"/>
      <c r="FG250" s="152"/>
      <c r="FH250" s="152"/>
      <c r="FI250" s="152"/>
      <c r="FJ250" s="152"/>
      <c r="FK250" s="152"/>
      <c r="FL250" s="152"/>
      <c r="FM250" s="152"/>
      <c r="FN250" s="152"/>
      <c r="FO250" s="152"/>
      <c r="FP250" s="152"/>
      <c r="FQ250" s="152"/>
      <c r="FR250" s="152"/>
      <c r="FS250" s="152"/>
      <c r="FT250" s="152"/>
      <c r="FU250" s="152"/>
      <c r="FV250" s="152"/>
      <c r="FW250" s="152"/>
      <c r="FX250" s="152"/>
      <c r="FY250" s="152"/>
      <c r="FZ250" s="152"/>
      <c r="GA250" s="152"/>
      <c r="GB250" s="152"/>
      <c r="GC250" s="152"/>
      <c r="GD250" s="152"/>
      <c r="GE250" s="152"/>
      <c r="GF250" s="152"/>
      <c r="GG250" s="152"/>
      <c r="GH250" s="152"/>
      <c r="GI250" s="152"/>
      <c r="GJ250" s="152"/>
      <c r="GK250" s="152"/>
      <c r="GL250" s="152"/>
      <c r="GM250" s="152"/>
      <c r="GN250" s="152"/>
      <c r="GO250" s="152"/>
      <c r="GP250" s="152"/>
      <c r="GQ250" s="152"/>
      <c r="GR250" s="152"/>
      <c r="GS250" s="152"/>
      <c r="GT250" s="152"/>
      <c r="GU250" s="152"/>
      <c r="GV250" s="152"/>
      <c r="GW250" s="152"/>
      <c r="GX250" s="152"/>
      <c r="GY250" s="152"/>
      <c r="GZ250" s="152"/>
      <c r="HA250" s="152"/>
      <c r="HB250" s="152"/>
      <c r="HC250" s="152"/>
      <c r="HD250" s="152"/>
      <c r="HE250" s="152"/>
      <c r="HF250" s="152"/>
      <c r="HG250" s="152"/>
      <c r="HH250" s="54"/>
      <c r="HI250" s="54"/>
      <c r="HJ250" s="54"/>
      <c r="HK250" s="54"/>
      <c r="HL250" s="54"/>
      <c r="HM250" s="54"/>
      <c r="HN250" s="54"/>
      <c r="HO250" s="54"/>
      <c r="HP250" s="54"/>
      <c r="HQ250" s="54"/>
      <c r="HR250" s="54"/>
      <c r="HS250" s="54"/>
      <c r="HT250" s="54"/>
      <c r="HU250" s="54"/>
      <c r="HV250" s="54"/>
      <c r="HW250" s="54"/>
      <c r="HX250" s="54"/>
      <c r="HY250" s="54"/>
      <c r="HZ250" s="54"/>
      <c r="IA250" s="54"/>
      <c r="IB250" s="54"/>
      <c r="IC250" s="54"/>
      <c r="ID250" s="54"/>
      <c r="IE250" s="54"/>
      <c r="IF250" s="54"/>
      <c r="IG250" s="54"/>
      <c r="IH250" s="54"/>
      <c r="II250" s="162"/>
      <c r="IJ250" s="162"/>
      <c r="IK250" s="162"/>
      <c r="IL250" s="162"/>
      <c r="IU250" s="54"/>
      <c r="JI250" s="54"/>
      <c r="KM250" s="54"/>
      <c r="KN250" s="54"/>
      <c r="KO250" s="54"/>
      <c r="KP250" s="54"/>
      <c r="KQ250" s="54"/>
      <c r="KR250" s="54"/>
      <c r="KS250" s="54"/>
      <c r="KT250" s="54"/>
      <c r="KU250" s="54"/>
      <c r="KV250" s="54"/>
      <c r="KW250" s="54"/>
      <c r="KX250" s="54"/>
    </row>
    <row r="251" ht="5.2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c r="AJ251" s="54"/>
      <c r="AK251" s="54"/>
      <c r="AL251" s="54"/>
      <c r="AM251" s="54"/>
      <c r="AN251" s="54"/>
      <c r="AO251" s="54"/>
      <c r="AP251" s="54"/>
      <c r="AQ251" s="54"/>
      <c r="AR251" s="54"/>
      <c r="AS251" s="142"/>
      <c r="AT251" s="142"/>
      <c r="AU251" s="142"/>
      <c r="AV251" s="142"/>
      <c r="AW251" s="142"/>
      <c r="AX251" s="142"/>
      <c r="AY251" s="142"/>
      <c r="AZ251" s="142"/>
      <c r="BA251" s="142"/>
      <c r="BB251" s="142"/>
      <c r="BC251" s="142"/>
      <c r="BD251" s="142"/>
      <c r="BE251" s="142"/>
      <c r="BF251" s="142"/>
      <c r="BG251" s="142"/>
      <c r="BH251" s="142"/>
      <c r="BI251" s="142"/>
      <c r="BJ251" s="142"/>
      <c r="BK251" s="142"/>
      <c r="BL251" s="142"/>
      <c r="BM251" s="142"/>
      <c r="BN251" s="142"/>
      <c r="BO251" s="142"/>
      <c r="BP251" s="142"/>
      <c r="BQ251" s="142"/>
      <c r="BR251" s="142"/>
      <c r="BS251" s="142"/>
      <c r="BT251" s="142"/>
      <c r="BU251" s="142"/>
      <c r="BV251" s="142"/>
      <c r="BW251" s="142"/>
      <c r="BX251" s="142"/>
      <c r="BY251" s="142"/>
      <c r="BZ251" s="54"/>
      <c r="CA251" s="54"/>
      <c r="CB251" s="54"/>
      <c r="CC251" s="54"/>
      <c r="CD251" s="142"/>
      <c r="CE251" s="142"/>
      <c r="CF251" s="142"/>
      <c r="CG251" s="142"/>
      <c r="CH251" s="142"/>
      <c r="CI251" s="142"/>
      <c r="CJ251" s="142"/>
      <c r="CK251" s="142"/>
      <c r="CL251" s="142"/>
      <c r="CM251" s="142"/>
      <c r="CN251" s="142"/>
      <c r="CO251" s="142"/>
      <c r="CP251" s="142"/>
      <c r="CQ251" s="142"/>
      <c r="CR251" s="142"/>
      <c r="CS251" s="142"/>
      <c r="CT251" s="142"/>
      <c r="CU251" s="142"/>
      <c r="CV251" s="142"/>
      <c r="CW251" s="142"/>
      <c r="CX251" s="142"/>
      <c r="CY251" s="142"/>
      <c r="CZ251" s="142"/>
      <c r="DA251" s="142"/>
      <c r="DB251" s="142"/>
      <c r="DC251" s="142"/>
      <c r="DD251" s="142"/>
      <c r="DE251" s="142"/>
      <c r="DF251" s="142"/>
      <c r="DG251" s="142"/>
      <c r="DH251" s="142"/>
      <c r="DI251" s="142"/>
      <c r="DJ251" s="142"/>
      <c r="DK251" s="54"/>
      <c r="DL251" s="54"/>
      <c r="DM251" s="54"/>
      <c r="DN251" s="54"/>
      <c r="DO251" s="142"/>
      <c r="DP251" s="142"/>
      <c r="DQ251" s="142"/>
      <c r="DR251" s="142"/>
      <c r="DS251" s="142"/>
      <c r="DT251" s="142"/>
      <c r="DU251" s="142"/>
      <c r="DV251" s="142"/>
      <c r="DW251" s="142"/>
      <c r="DX251" s="142"/>
      <c r="DY251" s="142"/>
      <c r="DZ251" s="142"/>
      <c r="EA251" s="142"/>
      <c r="EB251" s="142"/>
      <c r="EC251" s="142"/>
      <c r="ED251" s="142"/>
      <c r="EE251" s="142"/>
      <c r="EF251" s="142"/>
      <c r="EG251" s="142"/>
      <c r="EH251" s="142"/>
      <c r="EI251" s="142"/>
      <c r="EJ251" s="142"/>
      <c r="EK251" s="142"/>
      <c r="EL251" s="142"/>
      <c r="EM251" s="142"/>
      <c r="EN251" s="142"/>
      <c r="EO251" s="142"/>
      <c r="EP251" s="142"/>
      <c r="EQ251" s="142"/>
      <c r="ER251" s="142"/>
      <c r="ES251" s="142"/>
      <c r="ET251" s="142"/>
      <c r="EU251" s="142"/>
      <c r="EV251" s="54"/>
      <c r="EW251" s="54"/>
      <c r="EX251" s="54"/>
      <c r="EY251" s="54"/>
      <c r="EZ251" s="54"/>
      <c r="FA251" s="54"/>
      <c r="FB251" s="54"/>
      <c r="FC251" s="54"/>
      <c r="FD251" s="54"/>
      <c r="FE251" s="142"/>
      <c r="FF251" s="142"/>
      <c r="FG251" s="142"/>
      <c r="FH251" s="142"/>
      <c r="FI251" s="142"/>
      <c r="FJ251" s="142"/>
      <c r="FK251" s="142"/>
      <c r="FL251" s="142"/>
      <c r="FM251" s="142"/>
      <c r="FN251" s="142"/>
      <c r="FO251" s="142"/>
      <c r="FP251" s="142"/>
      <c r="FQ251" s="142"/>
      <c r="FR251" s="142"/>
      <c r="FS251" s="142"/>
      <c r="FT251" s="142"/>
      <c r="FU251" s="142"/>
      <c r="FV251" s="142"/>
      <c r="FW251" s="142"/>
      <c r="FX251" s="142"/>
      <c r="FY251" s="142"/>
      <c r="FZ251" s="142"/>
      <c r="GA251" s="142"/>
      <c r="GB251" s="142"/>
      <c r="GC251" s="142"/>
      <c r="GD251" s="142"/>
      <c r="GE251" s="142"/>
      <c r="GF251" s="142"/>
      <c r="GG251" s="142"/>
      <c r="GH251" s="142"/>
      <c r="GI251" s="142"/>
      <c r="GJ251" s="142"/>
      <c r="GK251" s="142"/>
      <c r="GL251" s="142"/>
      <c r="GM251" s="142"/>
      <c r="GN251" s="142"/>
      <c r="GO251" s="142"/>
      <c r="GP251" s="142"/>
      <c r="GQ251" s="142"/>
      <c r="GR251" s="142"/>
      <c r="GS251" s="142"/>
      <c r="GT251" s="142"/>
      <c r="GU251" s="142"/>
      <c r="GV251" s="142"/>
      <c r="GW251" s="142"/>
      <c r="GX251" s="142"/>
      <c r="GY251" s="142"/>
      <c r="GZ251" s="142"/>
      <c r="HA251" s="142"/>
      <c r="HB251" s="142"/>
      <c r="HC251" s="142"/>
      <c r="HD251" s="142"/>
      <c r="HE251" s="142"/>
      <c r="HF251" s="142"/>
      <c r="HG251" s="142"/>
      <c r="HH251" s="54"/>
      <c r="HI251" s="54"/>
      <c r="HJ251" s="54"/>
      <c r="HK251" s="54"/>
      <c r="HL251" s="54"/>
      <c r="HM251" s="54"/>
      <c r="HN251" s="54"/>
      <c r="HO251" s="54"/>
      <c r="HP251" s="54"/>
      <c r="HQ251" s="54"/>
      <c r="HR251" s="54"/>
      <c r="HS251" s="54"/>
      <c r="HT251" s="54"/>
      <c r="HU251" s="54"/>
      <c r="HV251" s="54"/>
      <c r="HW251" s="54"/>
      <c r="HX251" s="54"/>
      <c r="HY251" s="54"/>
      <c r="HZ251" s="54"/>
      <c r="IA251" s="54"/>
      <c r="IB251" s="54"/>
      <c r="IC251" s="54"/>
      <c r="ID251" s="54"/>
      <c r="IE251" s="54"/>
      <c r="IF251" s="54"/>
      <c r="IG251" s="54"/>
      <c r="IH251" s="54"/>
      <c r="II251" s="165"/>
      <c r="IJ251" s="165"/>
      <c r="IK251" s="165"/>
      <c r="IL251" s="165"/>
      <c r="IM251" s="13"/>
      <c r="IN251" s="13"/>
      <c r="IO251" s="13"/>
      <c r="IP251" s="13"/>
      <c r="IQ251" s="13"/>
      <c r="IR251" s="13"/>
      <c r="IS251" s="13"/>
      <c r="IT251" s="13"/>
      <c r="IU251" s="54"/>
      <c r="IV251" s="13"/>
      <c r="IW251" s="13"/>
      <c r="IX251" s="13"/>
      <c r="IY251" s="13"/>
      <c r="IZ251" s="13"/>
      <c r="JA251" s="13"/>
      <c r="JB251" s="13"/>
      <c r="JC251" s="13"/>
      <c r="JD251" s="13"/>
      <c r="JE251" s="13"/>
      <c r="JF251" s="13"/>
      <c r="JG251" s="13"/>
      <c r="JH251" s="13"/>
      <c r="JI251" s="54"/>
      <c r="JJ251" s="158"/>
      <c r="JK251" s="158"/>
      <c r="JL251" s="158"/>
      <c r="JM251" s="158"/>
      <c r="JN251" s="158"/>
      <c r="JO251" s="158"/>
      <c r="JP251" s="158"/>
      <c r="JQ251" s="158"/>
      <c r="JR251" s="158"/>
      <c r="JS251" s="158"/>
      <c r="JT251" s="158"/>
      <c r="JU251" s="158"/>
      <c r="JV251" s="158"/>
      <c r="JW251" s="158"/>
      <c r="JX251" s="158"/>
      <c r="JY251" s="158"/>
      <c r="JZ251" s="158"/>
      <c r="KA251" s="158"/>
      <c r="KB251" s="158"/>
      <c r="KC251" s="158"/>
      <c r="KD251" s="158"/>
      <c r="KE251" s="158"/>
      <c r="KF251" s="158"/>
      <c r="KG251" s="158"/>
      <c r="KH251" s="158"/>
      <c r="KI251" s="158"/>
      <c r="KJ251" s="158"/>
      <c r="KK251" s="158"/>
      <c r="KL251" s="158"/>
      <c r="KM251" s="54"/>
      <c r="KN251" s="54"/>
      <c r="KO251" s="54"/>
      <c r="KP251" s="54"/>
      <c r="KQ251" s="54"/>
      <c r="KR251" s="54"/>
      <c r="KS251" s="54"/>
      <c r="KT251" s="54"/>
      <c r="KU251" s="54"/>
      <c r="KV251" s="54"/>
      <c r="KW251" s="54"/>
      <c r="KX251" s="54"/>
    </row>
    <row r="252" ht="5.2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4"/>
      <c r="AI252" s="54"/>
      <c r="AJ252" s="54"/>
      <c r="AK252" s="54"/>
      <c r="AL252" s="54"/>
      <c r="AM252" s="54"/>
      <c r="AN252" s="54"/>
      <c r="AO252" s="54"/>
      <c r="AP252" s="54"/>
      <c r="AQ252" s="54"/>
      <c r="AR252" s="54"/>
      <c r="AS252" s="54"/>
      <c r="AT252" s="54"/>
      <c r="AU252" s="54"/>
      <c r="AV252" s="54"/>
      <c r="AW252" s="54"/>
      <c r="AX252" s="54"/>
      <c r="AY252" s="54"/>
      <c r="AZ252" s="54"/>
      <c r="BA252" s="54"/>
      <c r="BB252" s="54"/>
      <c r="BC252" s="54"/>
      <c r="BD252" s="54"/>
      <c r="BE252" s="54"/>
      <c r="BF252" s="54"/>
      <c r="BG252" s="54"/>
      <c r="BH252" s="54"/>
      <c r="BI252" s="54"/>
      <c r="BJ252" s="54"/>
      <c r="BK252" s="54"/>
      <c r="BL252" s="54"/>
      <c r="BM252" s="54"/>
      <c r="BN252" s="54"/>
      <c r="BO252" s="54"/>
      <c r="BP252" s="54"/>
      <c r="BQ252" s="54"/>
      <c r="BR252" s="54"/>
      <c r="BS252" s="54"/>
      <c r="BT252" s="54"/>
      <c r="BU252" s="54"/>
      <c r="BV252" s="54"/>
      <c r="BW252" s="54"/>
      <c r="BX252" s="54"/>
      <c r="BY252" s="54"/>
      <c r="BZ252" s="54"/>
      <c r="CA252" s="54"/>
      <c r="CB252" s="54"/>
      <c r="CC252" s="54"/>
      <c r="CD252" s="54"/>
      <c r="CE252" s="54"/>
      <c r="CF252" s="54"/>
      <c r="CG252" s="54"/>
      <c r="CH252" s="54"/>
      <c r="CI252" s="54"/>
      <c r="CJ252" s="54"/>
      <c r="CK252" s="54"/>
      <c r="CL252" s="54"/>
      <c r="CM252" s="54"/>
      <c r="CN252" s="54"/>
      <c r="CO252" s="54"/>
      <c r="CP252" s="54"/>
      <c r="CQ252" s="54"/>
      <c r="CR252" s="54"/>
      <c r="CS252" s="54"/>
      <c r="CT252" s="54"/>
      <c r="CU252" s="54"/>
      <c r="CV252" s="54"/>
      <c r="CW252" s="54"/>
      <c r="CX252" s="54"/>
      <c r="CY252" s="54"/>
      <c r="CZ252" s="54"/>
      <c r="DA252" s="54"/>
      <c r="DB252" s="54"/>
      <c r="DC252" s="54"/>
      <c r="DD252" s="54"/>
      <c r="DE252" s="54"/>
      <c r="DF252" s="54"/>
      <c r="DG252" s="54"/>
      <c r="DH252" s="54"/>
      <c r="DI252" s="54"/>
      <c r="DJ252" s="54"/>
      <c r="DK252" s="54"/>
      <c r="DL252" s="54"/>
      <c r="DM252" s="54"/>
      <c r="DN252" s="54"/>
      <c r="DO252" s="54"/>
      <c r="DP252" s="54"/>
      <c r="DQ252" s="54"/>
      <c r="DR252" s="54"/>
      <c r="DS252" s="54"/>
      <c r="DT252" s="54"/>
      <c r="DU252" s="54"/>
      <c r="DV252" s="54"/>
      <c r="DW252" s="54"/>
      <c r="DX252" s="54"/>
      <c r="DY252" s="54"/>
      <c r="DZ252" s="54"/>
      <c r="EA252" s="54"/>
      <c r="EB252" s="54"/>
      <c r="EC252" s="54"/>
      <c r="ED252" s="54"/>
      <c r="EE252" s="54"/>
      <c r="EF252" s="54"/>
      <c r="EG252" s="54"/>
      <c r="EH252" s="54"/>
      <c r="EI252" s="54"/>
      <c r="EJ252" s="54"/>
      <c r="EK252" s="54"/>
      <c r="EL252" s="54"/>
      <c r="EM252" s="54"/>
      <c r="EN252" s="54"/>
      <c r="EO252" s="54"/>
      <c r="EP252" s="54"/>
      <c r="EQ252" s="54"/>
      <c r="ER252" s="54"/>
      <c r="ES252" s="54"/>
      <c r="ET252" s="54"/>
      <c r="EU252" s="54"/>
      <c r="EV252" s="54"/>
      <c r="EW252" s="54"/>
      <c r="EX252" s="54"/>
      <c r="EY252" s="54"/>
      <c r="EZ252" s="54"/>
      <c r="FA252" s="54"/>
      <c r="FB252" s="54"/>
      <c r="FC252" s="54"/>
      <c r="FD252" s="54"/>
      <c r="FE252" s="54"/>
      <c r="FF252" s="54"/>
      <c r="FG252" s="54"/>
      <c r="FH252" s="54"/>
      <c r="FI252" s="54"/>
      <c r="FJ252" s="54"/>
      <c r="FK252" s="54"/>
      <c r="FL252" s="54"/>
      <c r="FM252" s="54"/>
      <c r="FN252" s="54"/>
      <c r="FO252" s="54"/>
      <c r="FP252" s="54"/>
      <c r="FQ252" s="54"/>
      <c r="FR252" s="54"/>
      <c r="FS252" s="54"/>
      <c r="FT252" s="54"/>
      <c r="FU252" s="54"/>
      <c r="FV252" s="54"/>
      <c r="FW252" s="54"/>
      <c r="FX252" s="54"/>
      <c r="FY252" s="54"/>
      <c r="FZ252" s="54"/>
      <c r="GA252" s="54"/>
      <c r="GB252" s="54"/>
      <c r="GC252" s="54"/>
      <c r="GD252" s="54"/>
      <c r="GE252" s="54"/>
      <c r="GF252" s="54"/>
      <c r="GG252" s="54"/>
      <c r="GH252" s="54"/>
      <c r="GI252" s="54"/>
      <c r="GJ252" s="54"/>
      <c r="GK252" s="54"/>
      <c r="GL252" s="54"/>
      <c r="GM252" s="54"/>
      <c r="GN252" s="54"/>
      <c r="GO252" s="54"/>
      <c r="GP252" s="54"/>
      <c r="GQ252" s="54"/>
      <c r="GR252" s="54"/>
      <c r="GS252" s="54"/>
      <c r="GT252" s="54"/>
      <c r="GU252" s="54"/>
      <c r="GV252" s="54"/>
      <c r="GW252" s="54"/>
      <c r="GX252" s="54"/>
      <c r="GY252" s="54"/>
      <c r="GZ252" s="54"/>
      <c r="HA252" s="54"/>
      <c r="HB252" s="54"/>
      <c r="HC252" s="54"/>
      <c r="HD252" s="54"/>
      <c r="HE252" s="54"/>
      <c r="HF252" s="54"/>
      <c r="HG252" s="54"/>
      <c r="HH252" s="54"/>
      <c r="HI252" s="54"/>
      <c r="HJ252" s="54"/>
      <c r="HK252" s="54"/>
      <c r="HL252" s="54"/>
      <c r="HM252" s="54"/>
      <c r="HN252" s="54"/>
      <c r="HO252" s="54"/>
      <c r="HP252" s="54"/>
      <c r="HQ252" s="54"/>
      <c r="HR252" s="54"/>
      <c r="HS252" s="54"/>
      <c r="HT252" s="54"/>
      <c r="HU252" s="54"/>
      <c r="HV252" s="54"/>
      <c r="HW252" s="54"/>
      <c r="HX252" s="54"/>
      <c r="HY252" s="54"/>
      <c r="HZ252" s="54"/>
      <c r="IA252" s="54"/>
      <c r="IB252" s="54"/>
      <c r="IC252" s="54"/>
      <c r="ID252" s="54"/>
      <c r="IE252" s="54"/>
      <c r="IF252" s="54"/>
      <c r="IG252" s="54"/>
      <c r="IH252" s="54"/>
      <c r="II252" s="166" t="s">
        <v>79</v>
      </c>
      <c r="IU252" s="54"/>
      <c r="IV252" s="167" t="s">
        <v>80</v>
      </c>
      <c r="JI252" s="54"/>
      <c r="JJ252" s="82" t="str">
        <f t="array" ref="JJ252">xlookup(JN252,'Team Entry'!$A:$A,'Team Entry'!$B:$B,"")</f>
        <v/>
      </c>
      <c r="JN252" s="156" t="str">
        <f>ifs(or(BV253="",BV257="",BV253=BV257),"TBD",BV253&gt;BV257,AW257,BV257&gt;BV253,AW253)</f>
        <v>TBD</v>
      </c>
      <c r="KM252" s="54"/>
      <c r="KN252" s="54"/>
      <c r="KO252" s="54"/>
      <c r="KP252" s="54"/>
      <c r="KQ252" s="54"/>
      <c r="KR252" s="54"/>
      <c r="KS252" s="54"/>
      <c r="KT252" s="54"/>
      <c r="KU252" s="54"/>
      <c r="KV252" s="54"/>
      <c r="KW252" s="54"/>
      <c r="KX252" s="54"/>
    </row>
    <row r="253" ht="5.2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4"/>
      <c r="AI253" s="54"/>
      <c r="AJ253" s="54"/>
      <c r="AK253" s="54"/>
      <c r="AL253" s="54"/>
      <c r="AM253" s="54"/>
      <c r="AN253" s="54"/>
      <c r="AO253" s="54"/>
      <c r="AP253" s="54"/>
      <c r="AQ253" s="54"/>
      <c r="AR253" s="55">
        <v>1.0</v>
      </c>
      <c r="AS253" s="82" t="str">
        <f t="array" ref="AS253">xlookup(AW253,'Team Entry'!$A:$A,'Team Entry'!$B:$B,"")</f>
        <v/>
      </c>
      <c r="AW253" s="156" t="str">
        <f t="array" ref="AW253">xlookup(1,'Team Entry'!$C:$C,'Team Entry'!$A:$A,"")</f>
        <v>Team 1 (Playoff)</v>
      </c>
      <c r="BV253" s="168"/>
      <c r="BZ253" s="54"/>
      <c r="CA253" s="54"/>
      <c r="CB253" s="54"/>
      <c r="CC253" s="54"/>
      <c r="CD253" s="54"/>
      <c r="CE253" s="54"/>
      <c r="CF253" s="54"/>
      <c r="CG253" s="54"/>
      <c r="CH253" s="54"/>
      <c r="CI253" s="54"/>
      <c r="CJ253" s="54"/>
      <c r="CK253" s="54"/>
      <c r="CL253" s="54"/>
      <c r="CM253" s="54"/>
      <c r="CN253" s="54"/>
      <c r="CO253" s="54"/>
      <c r="CP253" s="54"/>
      <c r="CQ253" s="54"/>
      <c r="CR253" s="54"/>
      <c r="CS253" s="54"/>
      <c r="CT253" s="54"/>
      <c r="CU253" s="54"/>
      <c r="CV253" s="54"/>
      <c r="CW253" s="54"/>
      <c r="CX253" s="54"/>
      <c r="CY253" s="54"/>
      <c r="CZ253" s="54"/>
      <c r="DA253" s="54"/>
      <c r="DB253" s="54"/>
      <c r="DC253" s="54"/>
      <c r="DD253" s="54"/>
      <c r="DE253" s="54"/>
      <c r="DF253" s="54"/>
      <c r="DG253" s="54"/>
      <c r="DH253" s="54"/>
      <c r="DI253" s="54"/>
      <c r="DJ253" s="54"/>
      <c r="DK253" s="54"/>
      <c r="DL253" s="54"/>
      <c r="DM253" s="54"/>
      <c r="DN253" s="54"/>
      <c r="DO253" s="54"/>
      <c r="DP253" s="54"/>
      <c r="DQ253" s="54"/>
      <c r="DR253" s="54"/>
      <c r="DS253" s="54"/>
      <c r="DT253" s="54"/>
      <c r="DU253" s="54"/>
      <c r="DV253" s="54"/>
      <c r="DW253" s="54"/>
      <c r="DX253" s="54"/>
      <c r="DY253" s="54"/>
      <c r="DZ253" s="54"/>
      <c r="EA253" s="54"/>
      <c r="EB253" s="54"/>
      <c r="EC253" s="54"/>
      <c r="ED253" s="54"/>
      <c r="EE253" s="54"/>
      <c r="EF253" s="54"/>
      <c r="EG253" s="54"/>
      <c r="EH253" s="54"/>
      <c r="EI253" s="54"/>
      <c r="EJ253" s="54"/>
      <c r="EK253" s="54"/>
      <c r="EL253" s="54"/>
      <c r="EM253" s="54"/>
      <c r="EN253" s="54"/>
      <c r="EO253" s="54"/>
      <c r="EP253" s="54"/>
      <c r="EQ253" s="54"/>
      <c r="ER253" s="54"/>
      <c r="ES253" s="54"/>
      <c r="ET253" s="54"/>
      <c r="EU253" s="54"/>
      <c r="EV253" s="54"/>
      <c r="EW253" s="54"/>
      <c r="EX253" s="54"/>
      <c r="EY253" s="54"/>
      <c r="EZ253" s="54"/>
      <c r="FA253" s="54"/>
      <c r="FB253" s="54"/>
      <c r="FC253" s="54"/>
      <c r="FD253" s="54"/>
      <c r="FE253" s="54"/>
      <c r="FF253" s="54"/>
      <c r="FG253" s="54"/>
      <c r="FH253" s="54"/>
      <c r="FI253" s="54"/>
      <c r="FJ253" s="54"/>
      <c r="FK253" s="54"/>
      <c r="FL253" s="54"/>
      <c r="FM253" s="54"/>
      <c r="FN253" s="54"/>
      <c r="FO253" s="54"/>
      <c r="FP253" s="54"/>
      <c r="FQ253" s="54"/>
      <c r="FR253" s="54"/>
      <c r="FS253" s="54"/>
      <c r="FT253" s="54"/>
      <c r="FU253" s="54"/>
      <c r="FV253" s="54"/>
      <c r="FW253" s="54"/>
      <c r="FX253" s="54"/>
      <c r="FY253" s="54"/>
      <c r="FZ253" s="54"/>
      <c r="GA253" s="54"/>
      <c r="GB253" s="54"/>
      <c r="GC253" s="54"/>
      <c r="GD253" s="54"/>
      <c r="GE253" s="54"/>
      <c r="GF253" s="54"/>
      <c r="GG253" s="54"/>
      <c r="GH253" s="54"/>
      <c r="GI253" s="54"/>
      <c r="GJ253" s="54"/>
      <c r="GK253" s="54"/>
      <c r="GL253" s="54"/>
      <c r="GM253" s="54"/>
      <c r="GN253" s="54"/>
      <c r="GO253" s="54"/>
      <c r="GP253" s="54"/>
      <c r="GQ253" s="54"/>
      <c r="GR253" s="54"/>
      <c r="GS253" s="54"/>
      <c r="GT253" s="54"/>
      <c r="GU253" s="54"/>
      <c r="GV253" s="54"/>
      <c r="GW253" s="54"/>
      <c r="GX253" s="54"/>
      <c r="GY253" s="54"/>
      <c r="GZ253" s="54"/>
      <c r="HA253" s="54"/>
      <c r="HB253" s="54"/>
      <c r="HC253" s="54"/>
      <c r="HD253" s="54"/>
      <c r="HE253" s="54"/>
      <c r="HF253" s="54"/>
      <c r="HG253" s="54"/>
      <c r="HH253" s="54"/>
      <c r="HI253" s="54"/>
      <c r="HJ253" s="54"/>
      <c r="HK253" s="54"/>
      <c r="HL253" s="54"/>
      <c r="HM253" s="54"/>
      <c r="HN253" s="54"/>
      <c r="HO253" s="54"/>
      <c r="HP253" s="54"/>
      <c r="HQ253" s="54"/>
      <c r="HR253" s="54"/>
      <c r="HS253" s="54"/>
      <c r="HT253" s="54"/>
      <c r="HU253" s="54"/>
      <c r="HV253" s="54"/>
      <c r="HW253" s="54"/>
      <c r="HX253" s="54"/>
      <c r="HY253" s="54"/>
      <c r="HZ253" s="54"/>
      <c r="IA253" s="54"/>
      <c r="IB253" s="54"/>
      <c r="IC253" s="54"/>
      <c r="ID253" s="54"/>
      <c r="IE253" s="54"/>
      <c r="IF253" s="54"/>
      <c r="IG253" s="54"/>
      <c r="IH253" s="54"/>
      <c r="IU253" s="54"/>
      <c r="JI253" s="54"/>
      <c r="KM253" s="54"/>
      <c r="KN253" s="54"/>
      <c r="KO253" s="54"/>
      <c r="KP253" s="54"/>
      <c r="KQ253" s="54"/>
      <c r="KR253" s="54"/>
      <c r="KS253" s="54"/>
      <c r="KT253" s="54"/>
      <c r="KU253" s="54"/>
      <c r="KV253" s="54"/>
      <c r="KW253" s="54"/>
      <c r="KX253" s="54"/>
    </row>
    <row r="254" ht="5.2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4"/>
      <c r="AI254" s="54"/>
      <c r="AJ254" s="54"/>
      <c r="AK254" s="54"/>
      <c r="AL254" s="54"/>
      <c r="AM254" s="54"/>
      <c r="AN254" s="54"/>
      <c r="AO254" s="54"/>
      <c r="AP254" s="54"/>
      <c r="AQ254" s="54"/>
      <c r="AR254" s="54"/>
      <c r="BZ254" s="54"/>
      <c r="CA254" s="54"/>
      <c r="CB254" s="54"/>
      <c r="CC254" s="54"/>
      <c r="CD254" s="54"/>
      <c r="CE254" s="54"/>
      <c r="CF254" s="54"/>
      <c r="CG254" s="54"/>
      <c r="CH254" s="54"/>
      <c r="CI254" s="54"/>
      <c r="CJ254" s="54"/>
      <c r="CK254" s="54"/>
      <c r="CL254" s="54"/>
      <c r="CM254" s="54"/>
      <c r="CN254" s="54"/>
      <c r="CO254" s="54"/>
      <c r="CP254" s="54"/>
      <c r="CQ254" s="54"/>
      <c r="CR254" s="54"/>
      <c r="CS254" s="54"/>
      <c r="CT254" s="54"/>
      <c r="CU254" s="54"/>
      <c r="CV254" s="54"/>
      <c r="CW254" s="54"/>
      <c r="CX254" s="54"/>
      <c r="CY254" s="54"/>
      <c r="CZ254" s="54"/>
      <c r="DA254" s="54"/>
      <c r="DB254" s="54"/>
      <c r="DC254" s="54"/>
      <c r="DD254" s="54"/>
      <c r="DE254" s="54"/>
      <c r="DF254" s="54"/>
      <c r="DG254" s="54"/>
      <c r="DH254" s="54"/>
      <c r="DI254" s="54"/>
      <c r="DJ254" s="54"/>
      <c r="DK254" s="54"/>
      <c r="DL254" s="54"/>
      <c r="DM254" s="54"/>
      <c r="DN254" s="54"/>
      <c r="DO254" s="54"/>
      <c r="DP254" s="54"/>
      <c r="DQ254" s="54"/>
      <c r="DR254" s="54"/>
      <c r="DS254" s="54"/>
      <c r="DT254" s="54"/>
      <c r="DU254" s="54"/>
      <c r="DV254" s="54"/>
      <c r="DW254" s="54"/>
      <c r="DX254" s="54"/>
      <c r="DY254" s="54"/>
      <c r="DZ254" s="54"/>
      <c r="EA254" s="54"/>
      <c r="EB254" s="54"/>
      <c r="EC254" s="54"/>
      <c r="ED254" s="54"/>
      <c r="EE254" s="54"/>
      <c r="EF254" s="54"/>
      <c r="EG254" s="54"/>
      <c r="EH254" s="54"/>
      <c r="EI254" s="54"/>
      <c r="EJ254" s="54"/>
      <c r="EK254" s="54"/>
      <c r="EL254" s="54"/>
      <c r="EM254" s="54"/>
      <c r="EN254" s="54"/>
      <c r="EO254" s="54"/>
      <c r="EP254" s="54"/>
      <c r="EQ254" s="54"/>
      <c r="ER254" s="54"/>
      <c r="ES254" s="54"/>
      <c r="ET254" s="54"/>
      <c r="EU254" s="54"/>
      <c r="EV254" s="54"/>
      <c r="EW254" s="54"/>
      <c r="EX254" s="54"/>
      <c r="EY254" s="54"/>
      <c r="EZ254" s="54"/>
      <c r="FA254" s="54"/>
      <c r="FB254" s="54"/>
      <c r="FC254" s="54"/>
      <c r="FD254" s="54"/>
      <c r="FE254" s="54"/>
      <c r="FF254" s="54"/>
      <c r="FG254" s="54"/>
      <c r="FH254" s="54"/>
      <c r="FI254" s="54"/>
      <c r="FJ254" s="54"/>
      <c r="FK254" s="54"/>
      <c r="FL254" s="54"/>
      <c r="FM254" s="54"/>
      <c r="FN254" s="54"/>
      <c r="FO254" s="54"/>
      <c r="FP254" s="54"/>
      <c r="FQ254" s="54"/>
      <c r="FR254" s="54"/>
      <c r="FS254" s="54"/>
      <c r="FT254" s="54"/>
      <c r="FU254" s="54"/>
      <c r="FV254" s="54"/>
      <c r="FW254" s="54"/>
      <c r="FX254" s="54"/>
      <c r="FY254" s="54"/>
      <c r="FZ254" s="54"/>
      <c r="GA254" s="54"/>
      <c r="GB254" s="54"/>
      <c r="GC254" s="54"/>
      <c r="GD254" s="54"/>
      <c r="GE254" s="54"/>
      <c r="GF254" s="54"/>
      <c r="GG254" s="54"/>
      <c r="GH254" s="54"/>
      <c r="GI254" s="54"/>
      <c r="GJ254" s="54"/>
      <c r="GK254" s="54"/>
      <c r="GL254" s="54"/>
      <c r="GM254" s="54"/>
      <c r="GN254" s="54"/>
      <c r="GO254" s="54"/>
      <c r="GP254" s="54"/>
      <c r="GQ254" s="54"/>
      <c r="GR254" s="54"/>
      <c r="GS254" s="54"/>
      <c r="GT254" s="54"/>
      <c r="GU254" s="54"/>
      <c r="GV254" s="54"/>
      <c r="GW254" s="54"/>
      <c r="GX254" s="54"/>
      <c r="GY254" s="54"/>
      <c r="GZ254" s="54"/>
      <c r="HA254" s="54"/>
      <c r="HB254" s="54"/>
      <c r="HC254" s="54"/>
      <c r="HD254" s="54"/>
      <c r="HE254" s="54"/>
      <c r="HF254" s="54"/>
      <c r="HG254" s="54"/>
      <c r="HH254" s="54"/>
      <c r="HI254" s="54"/>
      <c r="HJ254" s="54"/>
      <c r="HK254" s="54"/>
      <c r="HL254" s="54"/>
      <c r="HM254" s="54"/>
      <c r="HN254" s="54"/>
      <c r="HO254" s="54"/>
      <c r="HP254" s="54"/>
      <c r="HQ254" s="54"/>
      <c r="HR254" s="54"/>
      <c r="HS254" s="54"/>
      <c r="HT254" s="54"/>
      <c r="HU254" s="54"/>
      <c r="HV254" s="54"/>
      <c r="HW254" s="54"/>
      <c r="HX254" s="54"/>
      <c r="HY254" s="54"/>
      <c r="HZ254" s="54"/>
      <c r="IA254" s="54"/>
      <c r="IB254" s="54"/>
      <c r="IC254" s="54"/>
      <c r="ID254" s="54"/>
      <c r="IE254" s="54"/>
      <c r="IF254" s="54"/>
      <c r="IG254" s="54"/>
      <c r="IH254" s="54"/>
      <c r="IU254" s="54"/>
      <c r="JI254" s="54"/>
      <c r="KM254" s="54"/>
      <c r="KN254" s="54"/>
      <c r="KO254" s="54"/>
      <c r="KP254" s="54"/>
      <c r="KQ254" s="54"/>
      <c r="KR254" s="54"/>
      <c r="KS254" s="54"/>
      <c r="KT254" s="54"/>
      <c r="KU254" s="54"/>
      <c r="KV254" s="54"/>
      <c r="KW254" s="54"/>
      <c r="KX254" s="54"/>
    </row>
    <row r="255" ht="5.25" customHeight="1">
      <c r="A255" s="54"/>
      <c r="B255" s="54"/>
      <c r="C255" s="54"/>
      <c r="D255" s="54"/>
      <c r="E255" s="54"/>
      <c r="F255" s="54"/>
      <c r="G255" s="55">
        <v>4.0</v>
      </c>
      <c r="H255" s="82" t="str">
        <f t="array" ref="H255">xlookup(L255,'Team Entry'!$A:$A,'Team Entry'!$B:$B,"")</f>
        <v/>
      </c>
      <c r="L255" s="169" t="str">
        <f t="array" ref="L255">if($BX$163=0,"Swiss #4 Seed",xlookup(G255,data!$G$24:$G$39,data!$A$24:$A$39,""))</f>
        <v>Swiss #4 Seed</v>
      </c>
      <c r="AK255" s="168"/>
      <c r="AO255" s="54"/>
      <c r="AP255" s="54"/>
      <c r="AQ255" s="54"/>
      <c r="AR255" s="54"/>
      <c r="BZ255" s="54"/>
      <c r="CA255" s="54"/>
      <c r="CB255" s="54"/>
      <c r="CC255" s="54"/>
      <c r="CD255" s="54"/>
      <c r="CE255" s="54"/>
      <c r="CF255" s="54"/>
      <c r="CG255" s="54"/>
      <c r="CH255" s="54"/>
      <c r="CI255" s="54"/>
      <c r="CJ255" s="54"/>
      <c r="CK255" s="54"/>
      <c r="CL255" s="54"/>
      <c r="CM255" s="54"/>
      <c r="CN255" s="54"/>
      <c r="CO255" s="54"/>
      <c r="CP255" s="54"/>
      <c r="CQ255" s="54"/>
      <c r="CR255" s="54"/>
      <c r="CS255" s="54"/>
      <c r="CT255" s="54"/>
      <c r="CU255" s="54"/>
      <c r="CV255" s="54"/>
      <c r="CW255" s="54"/>
      <c r="CX255" s="54"/>
      <c r="CY255" s="54"/>
      <c r="CZ255" s="54"/>
      <c r="DA255" s="54"/>
      <c r="DB255" s="54"/>
      <c r="DC255" s="54"/>
      <c r="DD255" s="54"/>
      <c r="DE255" s="54"/>
      <c r="DF255" s="54"/>
      <c r="DG255" s="54"/>
      <c r="DH255" s="54"/>
      <c r="DI255" s="54"/>
      <c r="DJ255" s="54"/>
      <c r="DK255" s="54"/>
      <c r="DL255" s="54"/>
      <c r="DM255" s="54"/>
      <c r="DN255" s="54"/>
      <c r="DO255" s="54"/>
      <c r="DP255" s="54"/>
      <c r="DQ255" s="54"/>
      <c r="DR255" s="54"/>
      <c r="DS255" s="54"/>
      <c r="DT255" s="54"/>
      <c r="DU255" s="54"/>
      <c r="DV255" s="54"/>
      <c r="DW255" s="54"/>
      <c r="DX255" s="54"/>
      <c r="DY255" s="54"/>
      <c r="DZ255" s="54"/>
      <c r="EA255" s="54"/>
      <c r="EB255" s="54"/>
      <c r="EC255" s="54"/>
      <c r="ED255" s="54"/>
      <c r="EE255" s="54"/>
      <c r="EF255" s="54"/>
      <c r="EG255" s="54"/>
      <c r="EH255" s="54"/>
      <c r="EI255" s="54"/>
      <c r="EJ255" s="54"/>
      <c r="EK255" s="54"/>
      <c r="EL255" s="54"/>
      <c r="EM255" s="54"/>
      <c r="EN255" s="54"/>
      <c r="EO255" s="54"/>
      <c r="EP255" s="54"/>
      <c r="EQ255" s="54"/>
      <c r="ER255" s="54"/>
      <c r="ES255" s="54"/>
      <c r="ET255" s="54"/>
      <c r="EU255" s="54"/>
      <c r="EV255" s="54"/>
      <c r="EW255" s="54"/>
      <c r="EX255" s="54"/>
      <c r="EY255" s="54"/>
      <c r="EZ255" s="54"/>
      <c r="FA255" s="54"/>
      <c r="FB255" s="54"/>
      <c r="FC255" s="54"/>
      <c r="FD255" s="54"/>
      <c r="FE255" s="54"/>
      <c r="FF255" s="54"/>
      <c r="FG255" s="54"/>
      <c r="FH255" s="54"/>
      <c r="FI255" s="54"/>
      <c r="FJ255" s="54"/>
      <c r="FK255" s="54"/>
      <c r="FL255" s="54"/>
      <c r="FM255" s="54"/>
      <c r="FN255" s="54"/>
      <c r="FO255" s="54"/>
      <c r="FP255" s="54"/>
      <c r="FQ255" s="54"/>
      <c r="FR255" s="54"/>
      <c r="FS255" s="54"/>
      <c r="FT255" s="54"/>
      <c r="FU255" s="54"/>
      <c r="FV255" s="54"/>
      <c r="FW255" s="54"/>
      <c r="FX255" s="54"/>
      <c r="FY255" s="54"/>
      <c r="FZ255" s="54"/>
      <c r="GA255" s="54"/>
      <c r="GB255" s="54"/>
      <c r="GC255" s="54"/>
      <c r="GD255" s="54"/>
      <c r="GE255" s="54"/>
      <c r="GF255" s="54"/>
      <c r="GG255" s="54"/>
      <c r="GH255" s="54"/>
      <c r="GI255" s="54"/>
      <c r="GJ255" s="54"/>
      <c r="GK255" s="54"/>
      <c r="GL255" s="54"/>
      <c r="GM255" s="54"/>
      <c r="GN255" s="54"/>
      <c r="GO255" s="54"/>
      <c r="GP255" s="54"/>
      <c r="GQ255" s="54"/>
      <c r="GR255" s="54"/>
      <c r="GS255" s="54"/>
      <c r="GT255" s="54"/>
      <c r="GU255" s="54"/>
      <c r="GV255" s="54"/>
      <c r="GW255" s="54"/>
      <c r="GX255" s="54"/>
      <c r="GY255" s="54"/>
      <c r="GZ255" s="54"/>
      <c r="HA255" s="54"/>
      <c r="HB255" s="54"/>
      <c r="HC255" s="54"/>
      <c r="HD255" s="54"/>
      <c r="HE255" s="54"/>
      <c r="HF255" s="54"/>
      <c r="HG255" s="54"/>
      <c r="HH255" s="54"/>
      <c r="HI255" s="54"/>
      <c r="HJ255" s="54"/>
      <c r="HK255" s="54"/>
      <c r="HL255" s="54"/>
      <c r="HM255" s="54"/>
      <c r="HN255" s="54"/>
      <c r="HO255" s="54"/>
      <c r="HP255" s="54"/>
      <c r="HQ255" s="54"/>
      <c r="HR255" s="54"/>
      <c r="HS255" s="54"/>
      <c r="HT255" s="54"/>
      <c r="HU255" s="54"/>
      <c r="HV255" s="54"/>
      <c r="HW255" s="54"/>
      <c r="HX255" s="54"/>
      <c r="HY255" s="54"/>
      <c r="HZ255" s="54"/>
      <c r="IA255" s="54"/>
      <c r="IB255" s="54"/>
      <c r="IC255" s="54"/>
      <c r="ID255" s="54"/>
      <c r="IE255" s="54"/>
      <c r="IF255" s="54"/>
      <c r="IG255" s="54"/>
      <c r="IH255" s="54"/>
      <c r="IU255" s="54"/>
      <c r="JI255" s="54"/>
      <c r="JJ255" s="158"/>
      <c r="JK255" s="158"/>
      <c r="JL255" s="158"/>
      <c r="JM255" s="158"/>
      <c r="JN255" s="158"/>
      <c r="JO255" s="158"/>
      <c r="JP255" s="158"/>
      <c r="JQ255" s="158"/>
      <c r="JR255" s="158"/>
      <c r="JS255" s="158"/>
      <c r="JT255" s="158"/>
      <c r="JU255" s="158"/>
      <c r="JV255" s="158"/>
      <c r="JW255" s="158"/>
      <c r="JX255" s="158"/>
      <c r="JY255" s="158"/>
      <c r="JZ255" s="158"/>
      <c r="KA255" s="158"/>
      <c r="KB255" s="158"/>
      <c r="KC255" s="158"/>
      <c r="KD255" s="158"/>
      <c r="KE255" s="158"/>
      <c r="KF255" s="158"/>
      <c r="KG255" s="158"/>
      <c r="KH255" s="158"/>
      <c r="KI255" s="158"/>
      <c r="KJ255" s="158"/>
      <c r="KK255" s="158"/>
      <c r="KL255" s="158"/>
      <c r="KM255" s="54"/>
      <c r="KN255" s="54"/>
      <c r="KO255" s="54"/>
      <c r="KP255" s="54"/>
      <c r="KQ255" s="54"/>
      <c r="KR255" s="54"/>
      <c r="KS255" s="54"/>
      <c r="KT255" s="54"/>
      <c r="KU255" s="54"/>
      <c r="KV255" s="54"/>
      <c r="KW255" s="54"/>
      <c r="KX255" s="54"/>
    </row>
    <row r="256" ht="5.25" customHeight="1">
      <c r="A256" s="54"/>
      <c r="B256" s="54"/>
      <c r="C256" s="54"/>
      <c r="D256" s="54"/>
      <c r="E256" s="54"/>
      <c r="F256" s="54"/>
      <c r="G256" s="54"/>
      <c r="AO256" s="54"/>
      <c r="AP256" s="54"/>
      <c r="AQ256" s="54"/>
      <c r="AR256" s="54"/>
      <c r="AS256" s="170"/>
      <c r="AT256" s="170"/>
      <c r="AU256" s="170"/>
      <c r="AV256" s="170"/>
      <c r="AW256" s="170"/>
      <c r="AX256" s="170"/>
      <c r="AY256" s="170"/>
      <c r="AZ256" s="170"/>
      <c r="BA256" s="170"/>
      <c r="BB256" s="170"/>
      <c r="BC256" s="170"/>
      <c r="BD256" s="170"/>
      <c r="BE256" s="170"/>
      <c r="BF256" s="170"/>
      <c r="BG256" s="170"/>
      <c r="BH256" s="170"/>
      <c r="BI256" s="170"/>
      <c r="BJ256" s="170"/>
      <c r="BK256" s="170"/>
      <c r="BL256" s="170"/>
      <c r="BM256" s="170"/>
      <c r="BN256" s="170"/>
      <c r="BO256" s="170"/>
      <c r="BP256" s="170"/>
      <c r="BQ256" s="170"/>
      <c r="BR256" s="170"/>
      <c r="BS256" s="170"/>
      <c r="BT256" s="170"/>
      <c r="BU256" s="170"/>
      <c r="BV256" s="170"/>
      <c r="BW256" s="170"/>
      <c r="BX256" s="170"/>
      <c r="BY256" s="170"/>
      <c r="BZ256" s="54"/>
      <c r="CA256" s="54"/>
      <c r="CB256" s="54"/>
      <c r="CC256" s="54"/>
      <c r="CD256" s="54"/>
      <c r="CE256" s="54"/>
      <c r="CF256" s="54"/>
      <c r="CG256" s="54"/>
      <c r="CH256" s="54"/>
      <c r="CI256" s="54"/>
      <c r="CJ256" s="54"/>
      <c r="CK256" s="54"/>
      <c r="CL256" s="54"/>
      <c r="CM256" s="54"/>
      <c r="CN256" s="54"/>
      <c r="CO256" s="54"/>
      <c r="CP256" s="54"/>
      <c r="CQ256" s="54"/>
      <c r="CR256" s="54"/>
      <c r="CS256" s="54"/>
      <c r="CT256" s="54"/>
      <c r="CU256" s="54"/>
      <c r="CV256" s="54"/>
      <c r="CW256" s="54"/>
      <c r="CX256" s="54"/>
      <c r="CY256" s="54"/>
      <c r="CZ256" s="54"/>
      <c r="DA256" s="54"/>
      <c r="DB256" s="54"/>
      <c r="DC256" s="54"/>
      <c r="DD256" s="54"/>
      <c r="DE256" s="54"/>
      <c r="DF256" s="54"/>
      <c r="DG256" s="54"/>
      <c r="DH256" s="54"/>
      <c r="DI256" s="54"/>
      <c r="DJ256" s="54"/>
      <c r="DK256" s="54"/>
      <c r="DL256" s="54"/>
      <c r="DM256" s="54"/>
      <c r="DN256" s="54"/>
      <c r="DO256" s="54"/>
      <c r="DP256" s="54"/>
      <c r="DQ256" s="54"/>
      <c r="DR256" s="54"/>
      <c r="DS256" s="54"/>
      <c r="DT256" s="54"/>
      <c r="DU256" s="54"/>
      <c r="DV256" s="54"/>
      <c r="DW256" s="54"/>
      <c r="DX256" s="54"/>
      <c r="DY256" s="54"/>
      <c r="DZ256" s="54"/>
      <c r="EA256" s="54"/>
      <c r="EB256" s="54"/>
      <c r="EC256" s="54"/>
      <c r="ED256" s="54"/>
      <c r="EE256" s="54"/>
      <c r="EF256" s="54"/>
      <c r="EG256" s="54"/>
      <c r="EH256" s="54"/>
      <c r="EI256" s="54"/>
      <c r="EJ256" s="54"/>
      <c r="EK256" s="54"/>
      <c r="EL256" s="54"/>
      <c r="EM256" s="54"/>
      <c r="EN256" s="54"/>
      <c r="EO256" s="54"/>
      <c r="EP256" s="54"/>
      <c r="EQ256" s="54"/>
      <c r="ER256" s="54"/>
      <c r="ES256" s="54"/>
      <c r="ET256" s="54"/>
      <c r="EU256" s="54"/>
      <c r="EV256" s="54"/>
      <c r="EW256" s="54"/>
      <c r="EX256" s="54"/>
      <c r="EY256" s="54"/>
      <c r="EZ256" s="54"/>
      <c r="FA256" s="54"/>
      <c r="FB256" s="54"/>
      <c r="FC256" s="54"/>
      <c r="FD256" s="54"/>
      <c r="FE256" s="54"/>
      <c r="FF256" s="54"/>
      <c r="FG256" s="54"/>
      <c r="FH256" s="54"/>
      <c r="FI256" s="54"/>
      <c r="FJ256" s="54"/>
      <c r="FK256" s="54"/>
      <c r="FL256" s="54"/>
      <c r="FM256" s="54"/>
      <c r="FN256" s="54"/>
      <c r="FO256" s="54"/>
      <c r="FP256" s="54"/>
      <c r="FQ256" s="54"/>
      <c r="FR256" s="54"/>
      <c r="FS256" s="54"/>
      <c r="FT256" s="54"/>
      <c r="FU256" s="54"/>
      <c r="FV256" s="54"/>
      <c r="FW256" s="54"/>
      <c r="FX256" s="54"/>
      <c r="FY256" s="54"/>
      <c r="FZ256" s="54"/>
      <c r="GA256" s="54"/>
      <c r="GB256" s="54"/>
      <c r="GC256" s="54"/>
      <c r="GD256" s="54"/>
      <c r="GE256" s="54"/>
      <c r="GF256" s="54"/>
      <c r="GG256" s="54"/>
      <c r="GH256" s="54"/>
      <c r="GI256" s="54"/>
      <c r="GJ256" s="54"/>
      <c r="GK256" s="54"/>
      <c r="GL256" s="54"/>
      <c r="GM256" s="54"/>
      <c r="GN256" s="54"/>
      <c r="GO256" s="54"/>
      <c r="GP256" s="54"/>
      <c r="GQ256" s="54"/>
      <c r="GR256" s="54"/>
      <c r="GS256" s="54"/>
      <c r="GT256" s="54"/>
      <c r="GU256" s="54"/>
      <c r="GV256" s="54"/>
      <c r="GW256" s="54"/>
      <c r="GX256" s="54"/>
      <c r="GY256" s="54"/>
      <c r="GZ256" s="54"/>
      <c r="HA256" s="54"/>
      <c r="HB256" s="54"/>
      <c r="HC256" s="54"/>
      <c r="HD256" s="54"/>
      <c r="HE256" s="54"/>
      <c r="HF256" s="54"/>
      <c r="HG256" s="54"/>
      <c r="HH256" s="54"/>
      <c r="HI256" s="54"/>
      <c r="HJ256" s="54"/>
      <c r="HK256" s="54"/>
      <c r="HL256" s="54"/>
      <c r="HM256" s="54"/>
      <c r="HN256" s="54"/>
      <c r="HO256" s="54"/>
      <c r="HP256" s="54"/>
      <c r="HQ256" s="54"/>
      <c r="HR256" s="54"/>
      <c r="HS256" s="54"/>
      <c r="HT256" s="54"/>
      <c r="HU256" s="54"/>
      <c r="HV256" s="54"/>
      <c r="HW256" s="54"/>
      <c r="HX256" s="54"/>
      <c r="HY256" s="54"/>
      <c r="HZ256" s="54"/>
      <c r="IA256" s="54"/>
      <c r="IB256" s="54"/>
      <c r="IC256" s="54"/>
      <c r="ID256" s="54"/>
      <c r="IE256" s="54"/>
      <c r="IF256" s="54"/>
      <c r="IG256" s="54"/>
      <c r="IH256" s="54"/>
      <c r="IU256" s="54"/>
      <c r="JI256" s="54"/>
      <c r="JJ256" s="82" t="str">
        <f t="array" ref="JJ256">xlookup(JN256,'Team Entry'!$A:$A,'Team Entry'!$B:$B,"")</f>
        <v/>
      </c>
      <c r="JN256" s="156" t="str">
        <f>ifs(or(BV263="",BV267="",BV263=BV267),"TBD",BV263&gt;BV267,AW267,BV267&gt;BV263,AW263)</f>
        <v>TBD</v>
      </c>
      <c r="KM256" s="54"/>
      <c r="KN256" s="54"/>
      <c r="KO256" s="54"/>
      <c r="KP256" s="54"/>
      <c r="KQ256" s="54"/>
      <c r="KR256" s="54"/>
      <c r="KS256" s="54"/>
      <c r="KT256" s="54"/>
      <c r="KU256" s="54"/>
      <c r="KV256" s="54"/>
      <c r="KW256" s="54"/>
      <c r="KX256" s="54"/>
    </row>
    <row r="257" ht="5.25" customHeight="1">
      <c r="A257" s="54"/>
      <c r="B257" s="54"/>
      <c r="C257" s="54"/>
      <c r="D257" s="54"/>
      <c r="E257" s="54"/>
      <c r="F257" s="54"/>
      <c r="G257" s="54"/>
      <c r="AO257" s="54"/>
      <c r="AP257" s="54"/>
      <c r="AQ257" s="54"/>
      <c r="AR257" s="55">
        <v>8.0</v>
      </c>
      <c r="AS257" s="82" t="str">
        <f t="array" ref="AS257">xlookup(AW257,'Team Entry'!$A:$A,'Team Entry'!$B:$B,"")</f>
        <v/>
      </c>
      <c r="AW257" s="156" t="str">
        <f>ifs(or(AK255="",AK259="",AK255=AK259),"",AK255&gt;AK259,L255,AK259&gt;AK255,L259)</f>
        <v/>
      </c>
      <c r="BV257" s="168"/>
      <c r="BZ257" s="171"/>
      <c r="CA257" s="172"/>
      <c r="CB257" s="54"/>
      <c r="CC257" s="54"/>
      <c r="CD257" s="54"/>
      <c r="CE257" s="54"/>
      <c r="CF257" s="54"/>
      <c r="CG257" s="54"/>
      <c r="CH257" s="54"/>
      <c r="CI257" s="54"/>
      <c r="CJ257" s="54"/>
      <c r="CK257" s="54"/>
      <c r="CL257" s="54"/>
      <c r="CM257" s="54"/>
      <c r="CN257" s="54"/>
      <c r="CO257" s="54"/>
      <c r="CP257" s="54"/>
      <c r="CQ257" s="54"/>
      <c r="CR257" s="54"/>
      <c r="CS257" s="54"/>
      <c r="CT257" s="54"/>
      <c r="CU257" s="54"/>
      <c r="CV257" s="54"/>
      <c r="CW257" s="54"/>
      <c r="CX257" s="54"/>
      <c r="CY257" s="54"/>
      <c r="CZ257" s="54"/>
      <c r="DA257" s="54"/>
      <c r="DB257" s="54"/>
      <c r="DC257" s="54"/>
      <c r="DD257" s="54"/>
      <c r="DE257" s="54"/>
      <c r="DF257" s="54"/>
      <c r="DG257" s="54"/>
      <c r="DH257" s="54"/>
      <c r="DI257" s="54"/>
      <c r="DJ257" s="54"/>
      <c r="DK257" s="54"/>
      <c r="DL257" s="54"/>
      <c r="DM257" s="54"/>
      <c r="DN257" s="54"/>
      <c r="DO257" s="54"/>
      <c r="DP257" s="54"/>
      <c r="DQ257" s="54"/>
      <c r="DR257" s="54"/>
      <c r="DS257" s="54"/>
      <c r="DT257" s="54"/>
      <c r="DU257" s="54"/>
      <c r="DV257" s="54"/>
      <c r="DW257" s="54"/>
      <c r="DX257" s="54"/>
      <c r="DY257" s="54"/>
      <c r="DZ257" s="54"/>
      <c r="EA257" s="54"/>
      <c r="EB257" s="54"/>
      <c r="EC257" s="54"/>
      <c r="ED257" s="54"/>
      <c r="EE257" s="54"/>
      <c r="EF257" s="54"/>
      <c r="EG257" s="54"/>
      <c r="EH257" s="54"/>
      <c r="EI257" s="54"/>
      <c r="EJ257" s="54"/>
      <c r="EK257" s="54"/>
      <c r="EL257" s="54"/>
      <c r="EM257" s="54"/>
      <c r="EN257" s="54"/>
      <c r="EO257" s="54"/>
      <c r="EP257" s="54"/>
      <c r="EQ257" s="54"/>
      <c r="ER257" s="54"/>
      <c r="ES257" s="54"/>
      <c r="ET257" s="54"/>
      <c r="EU257" s="54"/>
      <c r="EV257" s="54"/>
      <c r="EW257" s="54"/>
      <c r="EX257" s="54"/>
      <c r="EY257" s="54"/>
      <c r="EZ257" s="54"/>
      <c r="FA257" s="54"/>
      <c r="FB257" s="54"/>
      <c r="FC257" s="54"/>
      <c r="FD257" s="54"/>
      <c r="FE257" s="54"/>
      <c r="FF257" s="54"/>
      <c r="FG257" s="54"/>
      <c r="FH257" s="54"/>
      <c r="FI257" s="54"/>
      <c r="FJ257" s="54"/>
      <c r="FK257" s="54"/>
      <c r="FL257" s="54"/>
      <c r="FM257" s="54"/>
      <c r="FN257" s="54"/>
      <c r="FO257" s="54"/>
      <c r="FP257" s="54"/>
      <c r="FQ257" s="54"/>
      <c r="FR257" s="54"/>
      <c r="FS257" s="54"/>
      <c r="FT257" s="54"/>
      <c r="FU257" s="54"/>
      <c r="FV257" s="54"/>
      <c r="FW257" s="54"/>
      <c r="FX257" s="54"/>
      <c r="FY257" s="54"/>
      <c r="FZ257" s="54"/>
      <c r="GA257" s="54"/>
      <c r="GB257" s="54"/>
      <c r="GC257" s="54"/>
      <c r="GD257" s="54"/>
      <c r="GE257" s="54"/>
      <c r="GF257" s="54"/>
      <c r="GG257" s="54"/>
      <c r="GH257" s="54"/>
      <c r="GI257" s="54"/>
      <c r="GJ257" s="54"/>
      <c r="GK257" s="54"/>
      <c r="GL257" s="54"/>
      <c r="GM257" s="54"/>
      <c r="GN257" s="54"/>
      <c r="GO257" s="54"/>
      <c r="GP257" s="54"/>
      <c r="GQ257" s="54"/>
      <c r="GR257" s="54"/>
      <c r="GS257" s="54"/>
      <c r="GT257" s="54"/>
      <c r="GU257" s="54"/>
      <c r="GV257" s="54"/>
      <c r="GW257" s="54"/>
      <c r="GX257" s="54"/>
      <c r="GY257" s="54"/>
      <c r="GZ257" s="54"/>
      <c r="HA257" s="54"/>
      <c r="HB257" s="54"/>
      <c r="HC257" s="54"/>
      <c r="HD257" s="54"/>
      <c r="HE257" s="54"/>
      <c r="HF257" s="54"/>
      <c r="HG257" s="54"/>
      <c r="HH257" s="54"/>
      <c r="HI257" s="54"/>
      <c r="HJ257" s="54"/>
      <c r="HK257" s="54"/>
      <c r="HL257" s="54"/>
      <c r="HM257" s="54"/>
      <c r="HN257" s="54"/>
      <c r="HO257" s="54"/>
      <c r="HP257" s="54"/>
      <c r="HQ257" s="54"/>
      <c r="HR257" s="54"/>
      <c r="HS257" s="54"/>
      <c r="HT257" s="54"/>
      <c r="HU257" s="54"/>
      <c r="HV257" s="54"/>
      <c r="HW257" s="54"/>
      <c r="HX257" s="54"/>
      <c r="HY257" s="54"/>
      <c r="HZ257" s="54"/>
      <c r="IA257" s="54"/>
      <c r="IB257" s="54"/>
      <c r="IC257" s="54"/>
      <c r="ID257" s="54"/>
      <c r="IE257" s="54"/>
      <c r="IF257" s="54"/>
      <c r="IG257" s="54"/>
      <c r="IH257" s="54"/>
      <c r="IU257" s="54"/>
      <c r="JI257" s="54"/>
      <c r="KM257" s="54"/>
      <c r="KN257" s="54"/>
      <c r="KO257" s="54"/>
      <c r="KP257" s="54"/>
      <c r="KQ257" s="54"/>
      <c r="KR257" s="54"/>
      <c r="KS257" s="54"/>
      <c r="KT257" s="54"/>
      <c r="KU257" s="54"/>
      <c r="KV257" s="54"/>
      <c r="KW257" s="54"/>
      <c r="KX257" s="54"/>
    </row>
    <row r="258" ht="5.25" customHeight="1">
      <c r="A258" s="54"/>
      <c r="B258" s="54"/>
      <c r="C258" s="54"/>
      <c r="D258" s="54"/>
      <c r="E258" s="54"/>
      <c r="F258" s="54"/>
      <c r="G258" s="54"/>
      <c r="H258" s="170"/>
      <c r="I258" s="170"/>
      <c r="J258" s="170"/>
      <c r="K258" s="170"/>
      <c r="L258" s="170"/>
      <c r="M258" s="170"/>
      <c r="N258" s="170"/>
      <c r="O258" s="170"/>
      <c r="P258" s="170"/>
      <c r="Q258" s="170"/>
      <c r="R258" s="170"/>
      <c r="S258" s="170"/>
      <c r="T258" s="170"/>
      <c r="U258" s="170"/>
      <c r="V258" s="170"/>
      <c r="W258" s="170"/>
      <c r="X258" s="170"/>
      <c r="Y258" s="170"/>
      <c r="Z258" s="170"/>
      <c r="AA258" s="170"/>
      <c r="AB258" s="170"/>
      <c r="AC258" s="170"/>
      <c r="AD258" s="170"/>
      <c r="AE258" s="170"/>
      <c r="AF258" s="170"/>
      <c r="AG258" s="170"/>
      <c r="AH258" s="170"/>
      <c r="AI258" s="170"/>
      <c r="AJ258" s="170"/>
      <c r="AK258" s="170"/>
      <c r="AL258" s="170"/>
      <c r="AM258" s="170"/>
      <c r="AN258" s="170"/>
      <c r="AO258" s="54"/>
      <c r="AP258" s="54"/>
      <c r="AQ258" s="54"/>
      <c r="AR258" s="54"/>
      <c r="BZ258" s="54"/>
      <c r="CA258" s="173"/>
      <c r="CB258" s="54"/>
      <c r="CC258" s="54"/>
      <c r="CD258" s="82" t="str">
        <f t="array" ref="CD258">xlookup(CH258,'Team Entry'!$A:$A,'Team Entry'!$B:$B,"")</f>
        <v/>
      </c>
      <c r="CH258" s="156" t="str">
        <f>ifs(or(BV253="",BV257="",BV253=BV257),"",BV253&gt;BV257,AW253,BV257&gt;BV253,AW257)</f>
        <v/>
      </c>
      <c r="DG258" s="168"/>
      <c r="DK258" s="54"/>
      <c r="DL258" s="54"/>
      <c r="DM258" s="54"/>
      <c r="DN258" s="54"/>
      <c r="DO258" s="54"/>
      <c r="DP258" s="54"/>
      <c r="DQ258" s="54"/>
      <c r="DR258" s="54"/>
      <c r="DS258" s="54"/>
      <c r="DT258" s="54"/>
      <c r="DU258" s="54"/>
      <c r="DV258" s="54"/>
      <c r="DW258" s="54"/>
      <c r="DX258" s="54"/>
      <c r="DY258" s="54"/>
      <c r="DZ258" s="54"/>
      <c r="EA258" s="54"/>
      <c r="EB258" s="54"/>
      <c r="EC258" s="54"/>
      <c r="ED258" s="54"/>
      <c r="EE258" s="54"/>
      <c r="EF258" s="54"/>
      <c r="EG258" s="54"/>
      <c r="EH258" s="54"/>
      <c r="EI258" s="54"/>
      <c r="EJ258" s="54"/>
      <c r="EK258" s="54"/>
      <c r="EL258" s="54"/>
      <c r="EM258" s="54"/>
      <c r="EN258" s="54"/>
      <c r="EO258" s="54"/>
      <c r="EP258" s="54"/>
      <c r="EQ258" s="54"/>
      <c r="ER258" s="54"/>
      <c r="ES258" s="54"/>
      <c r="ET258" s="54"/>
      <c r="EU258" s="54"/>
      <c r="EV258" s="54"/>
      <c r="EW258" s="54"/>
      <c r="EX258" s="54"/>
      <c r="EY258" s="54"/>
      <c r="EZ258" s="54"/>
      <c r="FA258" s="54"/>
      <c r="FB258" s="54"/>
      <c r="FC258" s="54"/>
      <c r="FD258" s="54"/>
      <c r="FE258" s="54"/>
      <c r="FF258" s="54"/>
      <c r="FG258" s="54"/>
      <c r="FH258" s="54"/>
      <c r="FI258" s="54"/>
      <c r="FJ258" s="54"/>
      <c r="FK258" s="54"/>
      <c r="FL258" s="54"/>
      <c r="FM258" s="54"/>
      <c r="FN258" s="54"/>
      <c r="FO258" s="54"/>
      <c r="FP258" s="54"/>
      <c r="FQ258" s="54"/>
      <c r="FR258" s="54"/>
      <c r="FS258" s="54"/>
      <c r="FT258" s="54"/>
      <c r="FU258" s="54"/>
      <c r="FV258" s="54"/>
      <c r="FW258" s="54"/>
      <c r="FX258" s="54"/>
      <c r="FY258" s="54"/>
      <c r="FZ258" s="54"/>
      <c r="GA258" s="54"/>
      <c r="GB258" s="54"/>
      <c r="GC258" s="54"/>
      <c r="GD258" s="54"/>
      <c r="GE258" s="54"/>
      <c r="GF258" s="54"/>
      <c r="GG258" s="54"/>
      <c r="GH258" s="54"/>
      <c r="GI258" s="54"/>
      <c r="GJ258" s="54"/>
      <c r="GK258" s="54"/>
      <c r="GL258" s="54"/>
      <c r="GM258" s="54"/>
      <c r="GN258" s="54"/>
      <c r="GO258" s="54"/>
      <c r="GP258" s="54"/>
      <c r="GQ258" s="54"/>
      <c r="GR258" s="54"/>
      <c r="GS258" s="54"/>
      <c r="GT258" s="54"/>
      <c r="GU258" s="54"/>
      <c r="GV258" s="54"/>
      <c r="GW258" s="54"/>
      <c r="GX258" s="54"/>
      <c r="GY258" s="54"/>
      <c r="GZ258" s="54"/>
      <c r="HA258" s="54"/>
      <c r="HB258" s="54"/>
      <c r="HC258" s="54"/>
      <c r="HD258" s="54"/>
      <c r="HE258" s="54"/>
      <c r="HF258" s="54"/>
      <c r="HG258" s="54"/>
      <c r="HH258" s="54"/>
      <c r="HI258" s="54"/>
      <c r="HJ258" s="54"/>
      <c r="HK258" s="54"/>
      <c r="HL258" s="54"/>
      <c r="HM258" s="54"/>
      <c r="HN258" s="54"/>
      <c r="HO258" s="54"/>
      <c r="HP258" s="54"/>
      <c r="HQ258" s="54"/>
      <c r="HR258" s="54"/>
      <c r="HS258" s="54"/>
      <c r="HT258" s="54"/>
      <c r="HU258" s="54"/>
      <c r="HV258" s="54"/>
      <c r="HW258" s="54"/>
      <c r="HX258" s="54"/>
      <c r="HY258" s="54"/>
      <c r="HZ258" s="54"/>
      <c r="IA258" s="54"/>
      <c r="IB258" s="54"/>
      <c r="IC258" s="54"/>
      <c r="ID258" s="54"/>
      <c r="IE258" s="54"/>
      <c r="IF258" s="54"/>
      <c r="IG258" s="54"/>
      <c r="IH258" s="54"/>
      <c r="IU258" s="54"/>
      <c r="JI258" s="54"/>
      <c r="KM258" s="54"/>
      <c r="KN258" s="54"/>
      <c r="KO258" s="54"/>
      <c r="KP258" s="54"/>
      <c r="KQ258" s="54"/>
      <c r="KR258" s="54"/>
      <c r="KS258" s="54"/>
      <c r="KT258" s="54"/>
      <c r="KU258" s="54"/>
      <c r="KV258" s="54"/>
      <c r="KW258" s="54"/>
      <c r="KX258" s="54"/>
    </row>
    <row r="259" ht="5.25" customHeight="1">
      <c r="A259" s="54"/>
      <c r="B259" s="54"/>
      <c r="C259" s="54"/>
      <c r="D259" s="54"/>
      <c r="E259" s="54"/>
      <c r="F259" s="54"/>
      <c r="G259" s="55">
        <v>5.0</v>
      </c>
      <c r="H259" s="82" t="str">
        <f t="array" ref="H259">xlookup(L259,'Team Entry'!$A:$A,'Team Entry'!$B:$B,"")</f>
        <v/>
      </c>
      <c r="L259" s="169" t="str">
        <f t="array" ref="L259">if($BX$163=0,"Swiss #5 Seed",xlookup(G259,data!$G$24:$G$39,data!$A$24:$A$39,""))</f>
        <v>Swiss #5 Seed</v>
      </c>
      <c r="AK259" s="168"/>
      <c r="AO259" s="157"/>
      <c r="AP259" s="157"/>
      <c r="AQ259" s="157"/>
      <c r="AR259" s="157"/>
      <c r="BZ259" s="54"/>
      <c r="CA259" s="173"/>
      <c r="CB259" s="54"/>
      <c r="CC259" s="54"/>
      <c r="DK259" s="54"/>
      <c r="DL259" s="54"/>
      <c r="DM259" s="54"/>
      <c r="DN259" s="54"/>
      <c r="DO259" s="54"/>
      <c r="DP259" s="54"/>
      <c r="DQ259" s="54"/>
      <c r="DR259" s="54"/>
      <c r="DS259" s="54"/>
      <c r="DT259" s="54"/>
      <c r="DU259" s="54"/>
      <c r="DV259" s="54"/>
      <c r="DW259" s="54"/>
      <c r="DX259" s="54"/>
      <c r="DY259" s="54"/>
      <c r="DZ259" s="54"/>
      <c r="EA259" s="54"/>
      <c r="EB259" s="54"/>
      <c r="EC259" s="54"/>
      <c r="ED259" s="54"/>
      <c r="EE259" s="54"/>
      <c r="EF259" s="54"/>
      <c r="EG259" s="54"/>
      <c r="EH259" s="54"/>
      <c r="EI259" s="54"/>
      <c r="EJ259" s="54"/>
      <c r="EK259" s="54"/>
      <c r="EL259" s="54"/>
      <c r="EM259" s="54"/>
      <c r="EN259" s="54"/>
      <c r="EO259" s="54"/>
      <c r="EP259" s="54"/>
      <c r="EQ259" s="54"/>
      <c r="ER259" s="54"/>
      <c r="ES259" s="54"/>
      <c r="ET259" s="54"/>
      <c r="EU259" s="54"/>
      <c r="EV259" s="54"/>
      <c r="EW259" s="54"/>
      <c r="EX259" s="54"/>
      <c r="EY259" s="54"/>
      <c r="EZ259" s="54"/>
      <c r="FA259" s="54"/>
      <c r="FB259" s="54"/>
      <c r="FC259" s="54"/>
      <c r="FD259" s="54"/>
      <c r="FE259" s="54"/>
      <c r="FF259" s="54"/>
      <c r="FG259" s="54"/>
      <c r="FH259" s="54"/>
      <c r="FI259" s="54"/>
      <c r="FJ259" s="54"/>
      <c r="FK259" s="54"/>
      <c r="FL259" s="54"/>
      <c r="FM259" s="54"/>
      <c r="FN259" s="54"/>
      <c r="FO259" s="54"/>
      <c r="FP259" s="54"/>
      <c r="FQ259" s="54"/>
      <c r="FR259" s="54"/>
      <c r="FS259" s="54"/>
      <c r="FT259" s="54"/>
      <c r="FU259" s="54"/>
      <c r="FV259" s="54"/>
      <c r="FW259" s="54"/>
      <c r="FX259" s="54"/>
      <c r="FY259" s="54"/>
      <c r="FZ259" s="54"/>
      <c r="GA259" s="54"/>
      <c r="GB259" s="54"/>
      <c r="GC259" s="54"/>
      <c r="GD259" s="54"/>
      <c r="GE259" s="54"/>
      <c r="GF259" s="54"/>
      <c r="GG259" s="54"/>
      <c r="GH259" s="54"/>
      <c r="GI259" s="54"/>
      <c r="GJ259" s="54"/>
      <c r="GK259" s="54"/>
      <c r="GL259" s="54"/>
      <c r="GM259" s="54"/>
      <c r="GN259" s="54"/>
      <c r="GO259" s="54"/>
      <c r="GP259" s="54"/>
      <c r="GQ259" s="54"/>
      <c r="GR259" s="54"/>
      <c r="GS259" s="54"/>
      <c r="GT259" s="54"/>
      <c r="GU259" s="54"/>
      <c r="GV259" s="54"/>
      <c r="GW259" s="54"/>
      <c r="GX259" s="54"/>
      <c r="GY259" s="54"/>
      <c r="GZ259" s="54"/>
      <c r="HA259" s="54"/>
      <c r="HB259" s="54"/>
      <c r="HC259" s="54"/>
      <c r="HD259" s="54"/>
      <c r="HE259" s="54"/>
      <c r="HF259" s="54"/>
      <c r="HG259" s="54"/>
      <c r="HH259" s="54"/>
      <c r="HI259" s="54"/>
      <c r="HJ259" s="54"/>
      <c r="HK259" s="54"/>
      <c r="HL259" s="54"/>
      <c r="HM259" s="54"/>
      <c r="HN259" s="54"/>
      <c r="HO259" s="54"/>
      <c r="HP259" s="54"/>
      <c r="HQ259" s="54"/>
      <c r="HR259" s="54"/>
      <c r="HS259" s="54"/>
      <c r="HT259" s="54"/>
      <c r="HU259" s="54"/>
      <c r="HV259" s="54"/>
      <c r="HW259" s="54"/>
      <c r="HX259" s="54"/>
      <c r="HY259" s="54"/>
      <c r="HZ259" s="54"/>
      <c r="IA259" s="54"/>
      <c r="IB259" s="54"/>
      <c r="IC259" s="54"/>
      <c r="ID259" s="54"/>
      <c r="IE259" s="54"/>
      <c r="IF259" s="54"/>
      <c r="IG259" s="54"/>
      <c r="IH259" s="54"/>
      <c r="IU259" s="54"/>
      <c r="JI259" s="54"/>
      <c r="JJ259" s="158"/>
      <c r="JK259" s="158"/>
      <c r="JL259" s="158"/>
      <c r="JM259" s="158"/>
      <c r="JN259" s="158"/>
      <c r="JO259" s="158"/>
      <c r="JP259" s="158"/>
      <c r="JQ259" s="158"/>
      <c r="JR259" s="158"/>
      <c r="JS259" s="158"/>
      <c r="JT259" s="158"/>
      <c r="JU259" s="158"/>
      <c r="JV259" s="158"/>
      <c r="JW259" s="158"/>
      <c r="JX259" s="158"/>
      <c r="JY259" s="158"/>
      <c r="JZ259" s="158"/>
      <c r="KA259" s="158"/>
      <c r="KB259" s="158"/>
      <c r="KC259" s="158"/>
      <c r="KD259" s="158"/>
      <c r="KE259" s="158"/>
      <c r="KF259" s="158"/>
      <c r="KG259" s="158"/>
      <c r="KH259" s="158"/>
      <c r="KI259" s="158"/>
      <c r="KJ259" s="158"/>
      <c r="KK259" s="158"/>
      <c r="KL259" s="158"/>
      <c r="KM259" s="54"/>
      <c r="KN259" s="54"/>
      <c r="KO259" s="54"/>
      <c r="KP259" s="54"/>
      <c r="KQ259" s="54"/>
      <c r="KR259" s="54"/>
      <c r="KS259" s="54"/>
      <c r="KT259" s="54"/>
      <c r="KU259" s="54"/>
      <c r="KV259" s="54"/>
      <c r="KW259" s="54"/>
      <c r="KX259" s="54"/>
    </row>
    <row r="260" ht="5.25" customHeight="1">
      <c r="A260" s="54"/>
      <c r="B260" s="54"/>
      <c r="C260" s="54"/>
      <c r="D260" s="54"/>
      <c r="E260" s="54"/>
      <c r="F260" s="54"/>
      <c r="G260" s="54"/>
      <c r="AO260" s="54"/>
      <c r="AP260" s="54"/>
      <c r="AQ260" s="54"/>
      <c r="AR260" s="54"/>
      <c r="BZ260" s="54"/>
      <c r="CA260" s="54"/>
      <c r="CB260" s="171"/>
      <c r="CC260" s="171"/>
      <c r="DK260" s="54"/>
      <c r="DL260" s="54"/>
      <c r="DM260" s="54"/>
      <c r="DN260" s="54"/>
      <c r="DO260" s="54"/>
      <c r="DP260" s="54"/>
      <c r="DQ260" s="54"/>
      <c r="DR260" s="54"/>
      <c r="DS260" s="54"/>
      <c r="DT260" s="54"/>
      <c r="DU260" s="54"/>
      <c r="DV260" s="54"/>
      <c r="DW260" s="54"/>
      <c r="DX260" s="54"/>
      <c r="DY260" s="54"/>
      <c r="DZ260" s="54"/>
      <c r="EA260" s="54"/>
      <c r="EB260" s="54"/>
      <c r="EC260" s="54"/>
      <c r="ED260" s="54"/>
      <c r="EE260" s="54"/>
      <c r="EF260" s="54"/>
      <c r="EG260" s="54"/>
      <c r="EH260" s="54"/>
      <c r="EI260" s="54"/>
      <c r="EJ260" s="54"/>
      <c r="EK260" s="54"/>
      <c r="EL260" s="54"/>
      <c r="EM260" s="54"/>
      <c r="EN260" s="54"/>
      <c r="EO260" s="54"/>
      <c r="EP260" s="54"/>
      <c r="EQ260" s="54"/>
      <c r="ER260" s="54"/>
      <c r="ES260" s="54"/>
      <c r="ET260" s="54"/>
      <c r="EU260" s="54"/>
      <c r="EV260" s="54"/>
      <c r="EW260" s="54"/>
      <c r="EX260" s="54"/>
      <c r="EY260" s="54"/>
      <c r="EZ260" s="54"/>
      <c r="FA260" s="54"/>
      <c r="FB260" s="54"/>
      <c r="FC260" s="54"/>
      <c r="FD260" s="54"/>
      <c r="FE260" s="54"/>
      <c r="FF260" s="54"/>
      <c r="FG260" s="54"/>
      <c r="FH260" s="54"/>
      <c r="FI260" s="54"/>
      <c r="FJ260" s="54"/>
      <c r="FK260" s="54"/>
      <c r="FL260" s="54"/>
      <c r="FM260" s="54"/>
      <c r="FN260" s="54"/>
      <c r="FO260" s="54"/>
      <c r="FP260" s="54"/>
      <c r="FQ260" s="54"/>
      <c r="FR260" s="54"/>
      <c r="FS260" s="54"/>
      <c r="FT260" s="54"/>
      <c r="FU260" s="54"/>
      <c r="FV260" s="54"/>
      <c r="FW260" s="54"/>
      <c r="FX260" s="54"/>
      <c r="FY260" s="54"/>
      <c r="FZ260" s="54"/>
      <c r="GA260" s="54"/>
      <c r="GB260" s="54"/>
      <c r="GC260" s="54"/>
      <c r="GD260" s="54"/>
      <c r="GE260" s="54"/>
      <c r="GF260" s="54"/>
      <c r="GG260" s="54"/>
      <c r="GH260" s="54"/>
      <c r="GI260" s="54"/>
      <c r="GJ260" s="54"/>
      <c r="GK260" s="54"/>
      <c r="GL260" s="54"/>
      <c r="GM260" s="54"/>
      <c r="GN260" s="54"/>
      <c r="GO260" s="54"/>
      <c r="GP260" s="54"/>
      <c r="GQ260" s="54"/>
      <c r="GR260" s="54"/>
      <c r="GS260" s="54"/>
      <c r="GT260" s="54"/>
      <c r="GU260" s="54"/>
      <c r="GV260" s="54"/>
      <c r="GW260" s="54"/>
      <c r="GX260" s="54"/>
      <c r="GY260" s="54"/>
      <c r="GZ260" s="54"/>
      <c r="HA260" s="54"/>
      <c r="HB260" s="54"/>
      <c r="HC260" s="54"/>
      <c r="HD260" s="54"/>
      <c r="HE260" s="54"/>
      <c r="HF260" s="54"/>
      <c r="HG260" s="54"/>
      <c r="HH260" s="54"/>
      <c r="HI260" s="54"/>
      <c r="HJ260" s="54"/>
      <c r="HK260" s="54"/>
      <c r="HL260" s="54"/>
      <c r="HM260" s="54"/>
      <c r="HN260" s="54"/>
      <c r="HO260" s="54"/>
      <c r="HP260" s="54"/>
      <c r="HQ260" s="54"/>
      <c r="HR260" s="54"/>
      <c r="HS260" s="54"/>
      <c r="HT260" s="54"/>
      <c r="HU260" s="54"/>
      <c r="HV260" s="54"/>
      <c r="HW260" s="54"/>
      <c r="HX260" s="54"/>
      <c r="HY260" s="54"/>
      <c r="HZ260" s="54"/>
      <c r="IA260" s="54"/>
      <c r="IB260" s="54"/>
      <c r="IC260" s="54"/>
      <c r="ID260" s="54"/>
      <c r="IE260" s="54"/>
      <c r="IF260" s="54"/>
      <c r="IG260" s="54"/>
      <c r="IH260" s="54"/>
      <c r="IU260" s="54"/>
      <c r="JI260" s="54"/>
      <c r="JJ260" s="82" t="str">
        <f t="array" ref="JJ260">xlookup(JN260,'Team Entry'!$A:$A,'Team Entry'!$B:$B,"")</f>
        <v/>
      </c>
      <c r="JN260" s="156" t="str">
        <f>ifs(or(BV273="",BV277="",BV273=BV277),"TBD",BV273&gt;BV277,AW277,BV277&gt;BV273,AW273)</f>
        <v>TBD</v>
      </c>
      <c r="KM260" s="54"/>
      <c r="KN260" s="54"/>
      <c r="KO260" s="54"/>
      <c r="KP260" s="54"/>
      <c r="KQ260" s="54"/>
      <c r="KR260" s="54"/>
      <c r="KS260" s="54"/>
      <c r="KT260" s="54"/>
      <c r="KU260" s="54"/>
      <c r="KV260" s="54"/>
      <c r="KW260" s="54"/>
      <c r="KX260" s="54"/>
    </row>
    <row r="261" ht="5.25" customHeight="1">
      <c r="A261" s="54"/>
      <c r="B261" s="54"/>
      <c r="C261" s="54"/>
      <c r="D261" s="54"/>
      <c r="E261" s="54"/>
      <c r="F261" s="54"/>
      <c r="G261" s="54"/>
      <c r="AO261" s="54"/>
      <c r="AP261" s="54"/>
      <c r="AQ261" s="54"/>
      <c r="AR261" s="54"/>
      <c r="AS261" s="54"/>
      <c r="AT261" s="54"/>
      <c r="AU261" s="54"/>
      <c r="AV261" s="54"/>
      <c r="AW261" s="54"/>
      <c r="AX261" s="54"/>
      <c r="AY261" s="54"/>
      <c r="AZ261" s="54"/>
      <c r="BA261" s="54"/>
      <c r="BB261" s="54"/>
      <c r="BC261" s="54"/>
      <c r="BD261" s="54"/>
      <c r="BE261" s="54"/>
      <c r="BF261" s="54"/>
      <c r="BG261" s="54"/>
      <c r="BH261" s="54"/>
      <c r="BI261" s="54"/>
      <c r="BJ261" s="54"/>
      <c r="BK261" s="54"/>
      <c r="BL261" s="54"/>
      <c r="BM261" s="54"/>
      <c r="BN261" s="54"/>
      <c r="BO261" s="54"/>
      <c r="BP261" s="54"/>
      <c r="BQ261" s="54"/>
      <c r="BR261" s="54"/>
      <c r="BS261" s="54"/>
      <c r="BT261" s="54"/>
      <c r="BU261" s="54"/>
      <c r="BV261" s="54"/>
      <c r="BW261" s="54"/>
      <c r="BX261" s="54"/>
      <c r="BY261" s="54"/>
      <c r="BZ261" s="54"/>
      <c r="CA261" s="54"/>
      <c r="CB261" s="54"/>
      <c r="CC261" s="54"/>
      <c r="CD261" s="170"/>
      <c r="CE261" s="170"/>
      <c r="CF261" s="170"/>
      <c r="CG261" s="170"/>
      <c r="CH261" s="170"/>
      <c r="CI261" s="170"/>
      <c r="CJ261" s="170"/>
      <c r="CK261" s="170"/>
      <c r="CL261" s="170"/>
      <c r="CM261" s="170"/>
      <c r="CN261" s="170"/>
      <c r="CO261" s="170"/>
      <c r="CP261" s="170"/>
      <c r="CQ261" s="170"/>
      <c r="CR261" s="170"/>
      <c r="CS261" s="170"/>
      <c r="CT261" s="170"/>
      <c r="CU261" s="170"/>
      <c r="CV261" s="170"/>
      <c r="CW261" s="170"/>
      <c r="CX261" s="170"/>
      <c r="CY261" s="170"/>
      <c r="CZ261" s="170"/>
      <c r="DA261" s="170"/>
      <c r="DB261" s="170"/>
      <c r="DC261" s="170"/>
      <c r="DD261" s="170"/>
      <c r="DE261" s="170"/>
      <c r="DF261" s="170"/>
      <c r="DG261" s="170"/>
      <c r="DH261" s="170"/>
      <c r="DI261" s="170"/>
      <c r="DJ261" s="170"/>
      <c r="DK261" s="54"/>
      <c r="DL261" s="54"/>
      <c r="DM261" s="54"/>
      <c r="DN261" s="54"/>
      <c r="DO261" s="54"/>
      <c r="DP261" s="54"/>
      <c r="DQ261" s="54"/>
      <c r="DR261" s="54"/>
      <c r="DS261" s="54"/>
      <c r="DT261" s="54"/>
      <c r="DU261" s="54"/>
      <c r="DV261" s="54"/>
      <c r="DW261" s="54"/>
      <c r="DX261" s="54"/>
      <c r="DY261" s="54"/>
      <c r="DZ261" s="54"/>
      <c r="EA261" s="54"/>
      <c r="EB261" s="54"/>
      <c r="EC261" s="54"/>
      <c r="ED261" s="54"/>
      <c r="EE261" s="54"/>
      <c r="EF261" s="54"/>
      <c r="EG261" s="54"/>
      <c r="EH261" s="54"/>
      <c r="EI261" s="54"/>
      <c r="EJ261" s="54"/>
      <c r="EK261" s="54"/>
      <c r="EL261" s="54"/>
      <c r="EM261" s="54"/>
      <c r="EN261" s="54"/>
      <c r="EO261" s="54"/>
      <c r="EP261" s="54"/>
      <c r="EQ261" s="54"/>
      <c r="ER261" s="54"/>
      <c r="ES261" s="54"/>
      <c r="ET261" s="54"/>
      <c r="EU261" s="54"/>
      <c r="EV261" s="54"/>
      <c r="EW261" s="54"/>
      <c r="EX261" s="54"/>
      <c r="EY261" s="54"/>
      <c r="EZ261" s="54"/>
      <c r="FA261" s="54"/>
      <c r="FB261" s="54"/>
      <c r="FC261" s="54"/>
      <c r="FD261" s="54"/>
      <c r="FE261" s="54"/>
      <c r="FF261" s="54"/>
      <c r="FG261" s="54"/>
      <c r="FH261" s="54"/>
      <c r="FI261" s="54"/>
      <c r="FJ261" s="54"/>
      <c r="FK261" s="54"/>
      <c r="FL261" s="54"/>
      <c r="FM261" s="54"/>
      <c r="FN261" s="54"/>
      <c r="FO261" s="54"/>
      <c r="FP261" s="54"/>
      <c r="FQ261" s="54"/>
      <c r="FR261" s="54"/>
      <c r="FS261" s="54"/>
      <c r="FT261" s="54"/>
      <c r="FU261" s="54"/>
      <c r="FV261" s="54"/>
      <c r="FW261" s="54"/>
      <c r="FX261" s="54"/>
      <c r="FY261" s="54"/>
      <c r="FZ261" s="54"/>
      <c r="GA261" s="54"/>
      <c r="GB261" s="54"/>
      <c r="GC261" s="54"/>
      <c r="GD261" s="54"/>
      <c r="GE261" s="54"/>
      <c r="GF261" s="54"/>
      <c r="GG261" s="54"/>
      <c r="GH261" s="54"/>
      <c r="GI261" s="54"/>
      <c r="GJ261" s="54"/>
      <c r="GK261" s="54"/>
      <c r="GL261" s="54"/>
      <c r="GM261" s="54"/>
      <c r="GN261" s="54"/>
      <c r="GO261" s="54"/>
      <c r="GP261" s="54"/>
      <c r="GQ261" s="54"/>
      <c r="GR261" s="54"/>
      <c r="GS261" s="54"/>
      <c r="GT261" s="54"/>
      <c r="GU261" s="54"/>
      <c r="GV261" s="54"/>
      <c r="GW261" s="54"/>
      <c r="GX261" s="54"/>
      <c r="GY261" s="54"/>
      <c r="GZ261" s="54"/>
      <c r="HA261" s="54"/>
      <c r="HB261" s="54"/>
      <c r="HC261" s="54"/>
      <c r="HD261" s="54"/>
      <c r="HE261" s="54"/>
      <c r="HF261" s="54"/>
      <c r="HG261" s="54"/>
      <c r="HH261" s="54"/>
      <c r="HI261" s="54"/>
      <c r="HJ261" s="54"/>
      <c r="HK261" s="54"/>
      <c r="HL261" s="54"/>
      <c r="HM261" s="54"/>
      <c r="HN261" s="54"/>
      <c r="HO261" s="54"/>
      <c r="HP261" s="54"/>
      <c r="HQ261" s="54"/>
      <c r="HR261" s="54"/>
      <c r="HS261" s="54"/>
      <c r="HT261" s="54"/>
      <c r="HU261" s="54"/>
      <c r="HV261" s="54"/>
      <c r="HW261" s="54"/>
      <c r="HX261" s="54"/>
      <c r="HY261" s="54"/>
      <c r="HZ261" s="54"/>
      <c r="IA261" s="54"/>
      <c r="IB261" s="54"/>
      <c r="IC261" s="54"/>
      <c r="ID261" s="54"/>
      <c r="IE261" s="54"/>
      <c r="IF261" s="54"/>
      <c r="IG261" s="54"/>
      <c r="IH261" s="54"/>
      <c r="IU261" s="54"/>
      <c r="JI261" s="54"/>
      <c r="KM261" s="54"/>
      <c r="KN261" s="54"/>
      <c r="KO261" s="54"/>
      <c r="KP261" s="54"/>
      <c r="KQ261" s="54"/>
      <c r="KR261" s="54"/>
      <c r="KS261" s="54"/>
      <c r="KT261" s="54"/>
      <c r="KU261" s="54"/>
      <c r="KV261" s="54"/>
      <c r="KW261" s="54"/>
      <c r="KX261" s="54"/>
    </row>
    <row r="262" ht="5.25" customHeight="1">
      <c r="A262" s="54"/>
      <c r="B262" s="54"/>
      <c r="C262" s="54"/>
      <c r="D262" s="54"/>
      <c r="E262" s="54"/>
      <c r="F262" s="54"/>
      <c r="G262" s="54"/>
      <c r="AO262" s="54"/>
      <c r="AP262" s="54"/>
      <c r="AQ262" s="54"/>
      <c r="AR262" s="54"/>
      <c r="AS262" s="54"/>
      <c r="AT262" s="54"/>
      <c r="AU262" s="54"/>
      <c r="AV262" s="54"/>
      <c r="AW262" s="54"/>
      <c r="AX262" s="54"/>
      <c r="AY262" s="54"/>
      <c r="AZ262" s="54"/>
      <c r="BA262" s="54"/>
      <c r="BB262" s="54"/>
      <c r="BC262" s="54"/>
      <c r="BD262" s="54"/>
      <c r="BE262" s="54"/>
      <c r="BF262" s="54"/>
      <c r="BG262" s="54"/>
      <c r="BH262" s="54"/>
      <c r="BI262" s="54"/>
      <c r="BJ262" s="54"/>
      <c r="BK262" s="54"/>
      <c r="BL262" s="54"/>
      <c r="BM262" s="54"/>
      <c r="BN262" s="54"/>
      <c r="BO262" s="54"/>
      <c r="BP262" s="54"/>
      <c r="BQ262" s="54"/>
      <c r="BR262" s="54"/>
      <c r="BS262" s="54"/>
      <c r="BT262" s="54"/>
      <c r="BU262" s="54"/>
      <c r="BV262" s="54"/>
      <c r="BW262" s="54"/>
      <c r="BX262" s="54"/>
      <c r="BY262" s="54"/>
      <c r="BZ262" s="54"/>
      <c r="CA262" s="54"/>
      <c r="CB262" s="54"/>
      <c r="CC262" s="54"/>
      <c r="CD262" s="82" t="str">
        <f t="array" ref="CD262">xlookup(CH262,'Team Entry'!$A:$A,'Team Entry'!$B:$B,"")</f>
        <v/>
      </c>
      <c r="CH262" s="156" t="str">
        <f>ifs(or(BV263="",BV267="",BV263=BV267),"",BV263&gt;BV267,AW263,BV267&gt;BV263,AW267)</f>
        <v/>
      </c>
      <c r="DG262" s="168"/>
      <c r="DK262" s="171"/>
      <c r="DL262" s="172"/>
      <c r="DM262" s="54"/>
      <c r="DN262" s="54"/>
      <c r="DO262" s="54"/>
      <c r="DP262" s="54"/>
      <c r="DQ262" s="54"/>
      <c r="DR262" s="54"/>
      <c r="DS262" s="54"/>
      <c r="DT262" s="54"/>
      <c r="DU262" s="54"/>
      <c r="DV262" s="54"/>
      <c r="DW262" s="54"/>
      <c r="DX262" s="54"/>
      <c r="DY262" s="54"/>
      <c r="DZ262" s="54"/>
      <c r="EA262" s="54"/>
      <c r="EB262" s="54"/>
      <c r="EC262" s="54"/>
      <c r="ED262" s="54"/>
      <c r="EE262" s="54"/>
      <c r="EF262" s="54"/>
      <c r="EG262" s="54"/>
      <c r="EH262" s="54"/>
      <c r="EI262" s="54"/>
      <c r="EJ262" s="54"/>
      <c r="EK262" s="54"/>
      <c r="EL262" s="54"/>
      <c r="EM262" s="54"/>
      <c r="EN262" s="54"/>
      <c r="EO262" s="54"/>
      <c r="EP262" s="54"/>
      <c r="EQ262" s="54"/>
      <c r="ER262" s="54"/>
      <c r="ES262" s="54"/>
      <c r="ET262" s="54"/>
      <c r="EU262" s="54"/>
      <c r="EV262" s="54"/>
      <c r="EW262" s="54"/>
      <c r="EX262" s="54"/>
      <c r="EY262" s="54"/>
      <c r="EZ262" s="54"/>
      <c r="FA262" s="54"/>
      <c r="FB262" s="54"/>
      <c r="FC262" s="54"/>
      <c r="FD262" s="54"/>
      <c r="FE262" s="54"/>
      <c r="FF262" s="54"/>
      <c r="FG262" s="54"/>
      <c r="FH262" s="54"/>
      <c r="FI262" s="54"/>
      <c r="FJ262" s="54"/>
      <c r="FK262" s="54"/>
      <c r="FL262" s="54"/>
      <c r="FM262" s="54"/>
      <c r="FN262" s="54"/>
      <c r="FO262" s="54"/>
      <c r="FP262" s="54"/>
      <c r="FQ262" s="54"/>
      <c r="FR262" s="54"/>
      <c r="FS262" s="54"/>
      <c r="FT262" s="54"/>
      <c r="FU262" s="54"/>
      <c r="FV262" s="54"/>
      <c r="FW262" s="54"/>
      <c r="FX262" s="54"/>
      <c r="FY262" s="54"/>
      <c r="FZ262" s="54"/>
      <c r="GA262" s="54"/>
      <c r="GB262" s="54"/>
      <c r="GC262" s="54"/>
      <c r="GD262" s="54"/>
      <c r="GE262" s="54"/>
      <c r="GF262" s="54"/>
      <c r="GG262" s="54"/>
      <c r="GH262" s="54"/>
      <c r="GI262" s="54"/>
      <c r="GJ262" s="54"/>
      <c r="GK262" s="54"/>
      <c r="GL262" s="54"/>
      <c r="GM262" s="54"/>
      <c r="GN262" s="54"/>
      <c r="GO262" s="54"/>
      <c r="GP262" s="54"/>
      <c r="GQ262" s="54"/>
      <c r="GR262" s="54"/>
      <c r="GS262" s="54"/>
      <c r="GT262" s="54"/>
      <c r="GU262" s="54"/>
      <c r="GV262" s="54"/>
      <c r="GW262" s="54"/>
      <c r="GX262" s="54"/>
      <c r="GY262" s="54"/>
      <c r="GZ262" s="54"/>
      <c r="HA262" s="54"/>
      <c r="HB262" s="54"/>
      <c r="HC262" s="54"/>
      <c r="HD262" s="54"/>
      <c r="HE262" s="54"/>
      <c r="HF262" s="54"/>
      <c r="HG262" s="54"/>
      <c r="HH262" s="54"/>
      <c r="HI262" s="54"/>
      <c r="HJ262" s="54"/>
      <c r="HK262" s="54"/>
      <c r="HL262" s="54"/>
      <c r="HM262" s="54"/>
      <c r="HN262" s="54"/>
      <c r="HO262" s="54"/>
      <c r="HP262" s="54"/>
      <c r="HQ262" s="54"/>
      <c r="HR262" s="54"/>
      <c r="HS262" s="54"/>
      <c r="HT262" s="54"/>
      <c r="HU262" s="54"/>
      <c r="HV262" s="54"/>
      <c r="HW262" s="54"/>
      <c r="HX262" s="54"/>
      <c r="HY262" s="54"/>
      <c r="HZ262" s="54"/>
      <c r="IA262" s="54"/>
      <c r="IB262" s="54"/>
      <c r="IC262" s="54"/>
      <c r="ID262" s="54"/>
      <c r="IE262" s="54"/>
      <c r="IF262" s="54"/>
      <c r="IG262" s="54"/>
      <c r="IH262" s="54"/>
      <c r="IU262" s="54"/>
      <c r="JI262" s="54"/>
      <c r="KM262" s="54"/>
      <c r="KN262" s="54"/>
      <c r="KO262" s="54"/>
      <c r="KP262" s="54"/>
      <c r="KQ262" s="54"/>
      <c r="KR262" s="54"/>
      <c r="KS262" s="54"/>
      <c r="KT262" s="54"/>
      <c r="KU262" s="54"/>
      <c r="KV262" s="54"/>
      <c r="KW262" s="54"/>
      <c r="KX262" s="54"/>
    </row>
    <row r="263" ht="5.2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c r="AG263" s="54"/>
      <c r="AH263" s="54"/>
      <c r="AI263" s="54"/>
      <c r="AJ263" s="54"/>
      <c r="AK263" s="54"/>
      <c r="AL263" s="54"/>
      <c r="AM263" s="54"/>
      <c r="AN263" s="54"/>
      <c r="AO263" s="54"/>
      <c r="AP263" s="54"/>
      <c r="AQ263" s="54"/>
      <c r="AR263" s="55">
        <v>4.0</v>
      </c>
      <c r="AS263" s="82" t="str">
        <f t="array" ref="AS263">xlookup(AW263,'Team Entry'!$A:$A,'Team Entry'!$B:$B,"")</f>
        <v/>
      </c>
      <c r="AW263" s="156" t="str">
        <f t="array" ref="AW263">xlookup(4,'Team Entry'!$C:$C,'Team Entry'!$A:$A,"")</f>
        <v>Team 4 (Playoff)</v>
      </c>
      <c r="BV263" s="168"/>
      <c r="BZ263" s="54"/>
      <c r="CA263" s="54"/>
      <c r="CB263" s="54"/>
      <c r="CC263" s="54"/>
      <c r="DK263" s="54"/>
      <c r="DL263" s="173"/>
      <c r="DM263" s="54"/>
      <c r="DN263" s="54"/>
      <c r="DO263" s="54"/>
      <c r="DP263" s="54"/>
      <c r="DQ263" s="54"/>
      <c r="DR263" s="54"/>
      <c r="DS263" s="54"/>
      <c r="DT263" s="54"/>
      <c r="DU263" s="54"/>
      <c r="DV263" s="54"/>
      <c r="DW263" s="54"/>
      <c r="DX263" s="54"/>
      <c r="DY263" s="54"/>
      <c r="DZ263" s="54"/>
      <c r="EA263" s="54"/>
      <c r="EB263" s="54"/>
      <c r="EC263" s="54"/>
      <c r="ED263" s="54"/>
      <c r="EE263" s="54"/>
      <c r="EF263" s="54"/>
      <c r="EG263" s="54"/>
      <c r="EH263" s="54"/>
      <c r="EI263" s="54"/>
      <c r="EJ263" s="54"/>
      <c r="EK263" s="54"/>
      <c r="EL263" s="54"/>
      <c r="EM263" s="54"/>
      <c r="EN263" s="54"/>
      <c r="EO263" s="54"/>
      <c r="EP263" s="54"/>
      <c r="EQ263" s="54"/>
      <c r="ER263" s="54"/>
      <c r="ES263" s="54"/>
      <c r="ET263" s="54"/>
      <c r="EU263" s="54"/>
      <c r="EV263" s="54"/>
      <c r="EW263" s="54"/>
      <c r="EX263" s="54"/>
      <c r="EY263" s="54"/>
      <c r="EZ263" s="54"/>
      <c r="FA263" s="54"/>
      <c r="FB263" s="54"/>
      <c r="FC263" s="54"/>
      <c r="FD263" s="54"/>
      <c r="FE263" s="54"/>
      <c r="FF263" s="54"/>
      <c r="FG263" s="54"/>
      <c r="FH263" s="54"/>
      <c r="FI263" s="54"/>
      <c r="FJ263" s="54"/>
      <c r="FK263" s="54"/>
      <c r="FL263" s="54"/>
      <c r="FM263" s="54"/>
      <c r="FN263" s="54"/>
      <c r="FO263" s="54"/>
      <c r="FP263" s="54"/>
      <c r="FQ263" s="54"/>
      <c r="FR263" s="54"/>
      <c r="FS263" s="54"/>
      <c r="FT263" s="54"/>
      <c r="FU263" s="54"/>
      <c r="FV263" s="54"/>
      <c r="FW263" s="54"/>
      <c r="FX263" s="54"/>
      <c r="FY263" s="54"/>
      <c r="FZ263" s="54"/>
      <c r="GA263" s="54"/>
      <c r="GB263" s="54"/>
      <c r="GC263" s="54"/>
      <c r="GD263" s="54"/>
      <c r="GE263" s="54"/>
      <c r="GF263" s="54"/>
      <c r="GG263" s="54"/>
      <c r="GH263" s="54"/>
      <c r="GI263" s="54"/>
      <c r="GJ263" s="54"/>
      <c r="GK263" s="54"/>
      <c r="GL263" s="54"/>
      <c r="GM263" s="54"/>
      <c r="GN263" s="54"/>
      <c r="GO263" s="54"/>
      <c r="GP263" s="54"/>
      <c r="GQ263" s="54"/>
      <c r="GR263" s="54"/>
      <c r="GS263" s="54"/>
      <c r="GT263" s="54"/>
      <c r="GU263" s="54"/>
      <c r="GV263" s="54"/>
      <c r="GW263" s="54"/>
      <c r="GX263" s="54"/>
      <c r="GY263" s="54"/>
      <c r="GZ263" s="54"/>
      <c r="HA263" s="54"/>
      <c r="HB263" s="54"/>
      <c r="HC263" s="54"/>
      <c r="HD263" s="54"/>
      <c r="HE263" s="54"/>
      <c r="HF263" s="54"/>
      <c r="HG263" s="54"/>
      <c r="HH263" s="54"/>
      <c r="HI263" s="54"/>
      <c r="HJ263" s="54"/>
      <c r="HK263" s="54"/>
      <c r="HL263" s="54"/>
      <c r="HM263" s="54"/>
      <c r="HN263" s="54"/>
      <c r="HO263" s="54"/>
      <c r="HP263" s="54"/>
      <c r="HQ263" s="54"/>
      <c r="HR263" s="54"/>
      <c r="HS263" s="54"/>
      <c r="HT263" s="54"/>
      <c r="HU263" s="54"/>
      <c r="HV263" s="54"/>
      <c r="HW263" s="54"/>
      <c r="HX263" s="54"/>
      <c r="HY263" s="54"/>
      <c r="HZ263" s="54"/>
      <c r="IA263" s="54"/>
      <c r="IB263" s="54"/>
      <c r="IC263" s="54"/>
      <c r="ID263" s="54"/>
      <c r="IE263" s="54"/>
      <c r="IF263" s="54"/>
      <c r="IG263" s="54"/>
      <c r="IH263" s="54"/>
      <c r="IU263" s="54"/>
      <c r="JI263" s="54"/>
      <c r="JJ263" s="158"/>
      <c r="JK263" s="158"/>
      <c r="JL263" s="158"/>
      <c r="JM263" s="158"/>
      <c r="JN263" s="158"/>
      <c r="JO263" s="158"/>
      <c r="JP263" s="158"/>
      <c r="JQ263" s="158"/>
      <c r="JR263" s="158"/>
      <c r="JS263" s="158"/>
      <c r="JT263" s="158"/>
      <c r="JU263" s="158"/>
      <c r="JV263" s="158"/>
      <c r="JW263" s="158"/>
      <c r="JX263" s="158"/>
      <c r="JY263" s="158"/>
      <c r="JZ263" s="158"/>
      <c r="KA263" s="158"/>
      <c r="KB263" s="158"/>
      <c r="KC263" s="158"/>
      <c r="KD263" s="158"/>
      <c r="KE263" s="158"/>
      <c r="KF263" s="158"/>
      <c r="KG263" s="158"/>
      <c r="KH263" s="158"/>
      <c r="KI263" s="158"/>
      <c r="KJ263" s="158"/>
      <c r="KK263" s="158"/>
      <c r="KL263" s="158"/>
      <c r="KM263" s="54"/>
      <c r="KN263" s="54"/>
      <c r="KO263" s="54"/>
      <c r="KP263" s="54"/>
      <c r="KQ263" s="54"/>
      <c r="KR263" s="54"/>
      <c r="KS263" s="54"/>
      <c r="KT263" s="54"/>
      <c r="KU263" s="54"/>
      <c r="KV263" s="54"/>
      <c r="KW263" s="54"/>
      <c r="KX263" s="54"/>
    </row>
    <row r="264" ht="5.2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c r="AF264" s="54"/>
      <c r="AG264" s="54"/>
      <c r="AH264" s="54"/>
      <c r="AI264" s="54"/>
      <c r="AJ264" s="54"/>
      <c r="AK264" s="54"/>
      <c r="AL264" s="54"/>
      <c r="AM264" s="54"/>
      <c r="AN264" s="54"/>
      <c r="AO264" s="54"/>
      <c r="AP264" s="54"/>
      <c r="AQ264" s="54"/>
      <c r="AR264" s="54"/>
      <c r="BZ264" s="54"/>
      <c r="CA264" s="173"/>
      <c r="CB264" s="171"/>
      <c r="CC264" s="171"/>
      <c r="DK264" s="54"/>
      <c r="DL264" s="173"/>
      <c r="DM264" s="54"/>
      <c r="DN264" s="54"/>
      <c r="DO264" s="54"/>
      <c r="DP264" s="54"/>
      <c r="DQ264" s="54"/>
      <c r="DR264" s="54"/>
      <c r="DS264" s="54"/>
      <c r="DT264" s="54"/>
      <c r="DU264" s="54"/>
      <c r="DV264" s="54"/>
      <c r="DW264" s="54"/>
      <c r="DX264" s="54"/>
      <c r="DY264" s="54"/>
      <c r="DZ264" s="54"/>
      <c r="EA264" s="54"/>
      <c r="EB264" s="54"/>
      <c r="EC264" s="54"/>
      <c r="ED264" s="54"/>
      <c r="EE264" s="54"/>
      <c r="EF264" s="54"/>
      <c r="EG264" s="54"/>
      <c r="EH264" s="54"/>
      <c r="EI264" s="54"/>
      <c r="EJ264" s="54"/>
      <c r="EK264" s="54"/>
      <c r="EL264" s="54"/>
      <c r="EM264" s="54"/>
      <c r="EN264" s="54"/>
      <c r="EO264" s="54"/>
      <c r="EP264" s="54"/>
      <c r="EQ264" s="54"/>
      <c r="ER264" s="54"/>
      <c r="ES264" s="54"/>
      <c r="ET264" s="54"/>
      <c r="EU264" s="54"/>
      <c r="EV264" s="54"/>
      <c r="EW264" s="54"/>
      <c r="EX264" s="54"/>
      <c r="EY264" s="54"/>
      <c r="EZ264" s="54"/>
      <c r="FA264" s="54"/>
      <c r="FB264" s="54"/>
      <c r="FC264" s="54"/>
      <c r="FD264" s="54"/>
      <c r="FE264" s="54"/>
      <c r="FF264" s="54"/>
      <c r="FG264" s="54"/>
      <c r="FH264" s="54"/>
      <c r="FI264" s="54"/>
      <c r="FJ264" s="54"/>
      <c r="FK264" s="54"/>
      <c r="FL264" s="54"/>
      <c r="FM264" s="54"/>
      <c r="FN264" s="54"/>
      <c r="FO264" s="54"/>
      <c r="FP264" s="54"/>
      <c r="FQ264" s="54"/>
      <c r="FR264" s="54"/>
      <c r="FS264" s="54"/>
      <c r="FT264" s="54"/>
      <c r="FU264" s="54"/>
      <c r="FV264" s="54"/>
      <c r="FW264" s="54"/>
      <c r="FX264" s="54"/>
      <c r="FY264" s="54"/>
      <c r="FZ264" s="54"/>
      <c r="GA264" s="54"/>
      <c r="GB264" s="54"/>
      <c r="GC264" s="54"/>
      <c r="GD264" s="54"/>
      <c r="GE264" s="54"/>
      <c r="GF264" s="54"/>
      <c r="GG264" s="54"/>
      <c r="GH264" s="54"/>
      <c r="GI264" s="54"/>
      <c r="GJ264" s="54"/>
      <c r="GK264" s="54"/>
      <c r="GL264" s="54"/>
      <c r="GM264" s="54"/>
      <c r="GN264" s="54"/>
      <c r="GO264" s="54"/>
      <c r="GP264" s="54"/>
      <c r="GQ264" s="54"/>
      <c r="GR264" s="54"/>
      <c r="GS264" s="54"/>
      <c r="GT264" s="54"/>
      <c r="GU264" s="54"/>
      <c r="GV264" s="54"/>
      <c r="GW264" s="54"/>
      <c r="GX264" s="54"/>
      <c r="GY264" s="54"/>
      <c r="GZ264" s="54"/>
      <c r="HA264" s="54"/>
      <c r="HB264" s="54"/>
      <c r="HC264" s="54"/>
      <c r="HD264" s="54"/>
      <c r="HE264" s="54"/>
      <c r="HF264" s="54"/>
      <c r="HG264" s="54"/>
      <c r="HH264" s="54"/>
      <c r="HI264" s="54"/>
      <c r="HJ264" s="54"/>
      <c r="HK264" s="54"/>
      <c r="HL264" s="54"/>
      <c r="HM264" s="54"/>
      <c r="HN264" s="54"/>
      <c r="HO264" s="54"/>
      <c r="HP264" s="54"/>
      <c r="HQ264" s="54"/>
      <c r="HR264" s="54"/>
      <c r="HS264" s="54"/>
      <c r="HT264" s="54"/>
      <c r="HU264" s="54"/>
      <c r="HV264" s="54"/>
      <c r="HW264" s="54"/>
      <c r="HX264" s="54"/>
      <c r="HY264" s="54"/>
      <c r="HZ264" s="54"/>
      <c r="IA264" s="54"/>
      <c r="IB264" s="54"/>
      <c r="IC264" s="54"/>
      <c r="ID264" s="54"/>
      <c r="IE264" s="54"/>
      <c r="IF264" s="54"/>
      <c r="IG264" s="54"/>
      <c r="IH264" s="54"/>
      <c r="IU264" s="54"/>
      <c r="JI264" s="54"/>
      <c r="JJ264" s="82" t="str">
        <f t="array" ref="JJ264">xlookup(JN264,'Team Entry'!$A:$A,'Team Entry'!$B:$B,"")</f>
        <v/>
      </c>
      <c r="JN264" s="156" t="str">
        <f>ifs(or(BV283="",BV287="",BV283=BV287),"TBD",BV283&gt;BV287,AW287,BV287&gt;BV283,AW283)</f>
        <v>TBD</v>
      </c>
      <c r="KM264" s="54"/>
      <c r="KN264" s="54"/>
      <c r="KO264" s="54"/>
      <c r="KP264" s="54"/>
      <c r="KQ264" s="54"/>
      <c r="KR264" s="54"/>
      <c r="KS264" s="54"/>
      <c r="KT264" s="54"/>
      <c r="KU264" s="54"/>
      <c r="KV264" s="54"/>
      <c r="KW264" s="54"/>
      <c r="KX264" s="54"/>
    </row>
    <row r="265" ht="5.25" customHeight="1">
      <c r="A265" s="54"/>
      <c r="B265" s="54"/>
      <c r="C265" s="54"/>
      <c r="D265" s="54"/>
      <c r="E265" s="54"/>
      <c r="F265" s="54"/>
      <c r="G265" s="55">
        <v>1.0</v>
      </c>
      <c r="H265" s="82" t="str">
        <f t="array" ref="H265">xlookup(L265,'Team Entry'!$A:$A,'Team Entry'!$B:$B,"")</f>
        <v/>
      </c>
      <c r="L265" s="169" t="str">
        <f t="array" ref="L265">if($AR$120=0,"Swiss #1 Seed",xlookup(G265,data!$G$24:$G$39,data!$A$24:$A$39,""))</f>
        <v>Swiss #1 Seed</v>
      </c>
      <c r="AK265" s="168"/>
      <c r="AO265" s="54"/>
      <c r="AP265" s="54"/>
      <c r="AQ265" s="54"/>
      <c r="AR265" s="54"/>
      <c r="BZ265" s="54"/>
      <c r="CA265" s="173"/>
      <c r="CB265" s="54"/>
      <c r="CC265" s="54"/>
      <c r="DK265" s="54"/>
      <c r="DL265" s="173"/>
      <c r="DM265" s="54"/>
      <c r="DN265" s="54"/>
      <c r="DO265" s="54"/>
      <c r="DP265" s="54"/>
      <c r="DQ265" s="54"/>
      <c r="DR265" s="54"/>
      <c r="DS265" s="54"/>
      <c r="DT265" s="54"/>
      <c r="DU265" s="54"/>
      <c r="DV265" s="54"/>
      <c r="DW265" s="54"/>
      <c r="DX265" s="54"/>
      <c r="DY265" s="54"/>
      <c r="DZ265" s="54"/>
      <c r="EA265" s="54"/>
      <c r="EB265" s="54"/>
      <c r="EC265" s="54"/>
      <c r="ED265" s="54"/>
      <c r="EE265" s="54"/>
      <c r="EF265" s="54"/>
      <c r="EG265" s="54"/>
      <c r="EH265" s="54"/>
      <c r="EI265" s="54"/>
      <c r="EJ265" s="54"/>
      <c r="EK265" s="54"/>
      <c r="EL265" s="54"/>
      <c r="EM265" s="54"/>
      <c r="EN265" s="54"/>
      <c r="EO265" s="54"/>
      <c r="EP265" s="54"/>
      <c r="EQ265" s="54"/>
      <c r="ER265" s="54"/>
      <c r="ES265" s="54"/>
      <c r="ET265" s="54"/>
      <c r="EU265" s="54"/>
      <c r="EV265" s="54"/>
      <c r="EW265" s="54"/>
      <c r="EX265" s="54"/>
      <c r="EY265" s="54"/>
      <c r="EZ265" s="54"/>
      <c r="FA265" s="54"/>
      <c r="FB265" s="54"/>
      <c r="FC265" s="54"/>
      <c r="FD265" s="54"/>
      <c r="FE265" s="54"/>
      <c r="FF265" s="54"/>
      <c r="FG265" s="54"/>
      <c r="FH265" s="54"/>
      <c r="FI265" s="54"/>
      <c r="FJ265" s="54"/>
      <c r="FK265" s="54"/>
      <c r="FL265" s="54"/>
      <c r="FM265" s="54"/>
      <c r="FN265" s="54"/>
      <c r="FO265" s="54"/>
      <c r="FP265" s="54"/>
      <c r="FQ265" s="54"/>
      <c r="FR265" s="54"/>
      <c r="FS265" s="54"/>
      <c r="FT265" s="54"/>
      <c r="FU265" s="54"/>
      <c r="FV265" s="54"/>
      <c r="FW265" s="54"/>
      <c r="FX265" s="54"/>
      <c r="FY265" s="54"/>
      <c r="FZ265" s="54"/>
      <c r="GA265" s="54"/>
      <c r="GB265" s="54"/>
      <c r="GC265" s="54"/>
      <c r="GD265" s="54"/>
      <c r="GE265" s="54"/>
      <c r="GF265" s="54"/>
      <c r="GG265" s="54"/>
      <c r="GH265" s="54"/>
      <c r="GI265" s="54"/>
      <c r="GJ265" s="54"/>
      <c r="GK265" s="54"/>
      <c r="GL265" s="54"/>
      <c r="GM265" s="54"/>
      <c r="GN265" s="54"/>
      <c r="GO265" s="54"/>
      <c r="GP265" s="54"/>
      <c r="GQ265" s="54"/>
      <c r="GR265" s="54"/>
      <c r="GS265" s="54"/>
      <c r="GT265" s="54"/>
      <c r="GU265" s="54"/>
      <c r="GV265" s="54"/>
      <c r="GW265" s="54"/>
      <c r="GX265" s="54"/>
      <c r="GY265" s="54"/>
      <c r="GZ265" s="54"/>
      <c r="HA265" s="54"/>
      <c r="HB265" s="54"/>
      <c r="HC265" s="54"/>
      <c r="HD265" s="54"/>
      <c r="HE265" s="54"/>
      <c r="HF265" s="54"/>
      <c r="HG265" s="54"/>
      <c r="HH265" s="54"/>
      <c r="HI265" s="54"/>
      <c r="HJ265" s="54"/>
      <c r="HK265" s="54"/>
      <c r="HL265" s="54"/>
      <c r="HM265" s="54"/>
      <c r="HN265" s="54"/>
      <c r="HO265" s="54"/>
      <c r="HP265" s="54"/>
      <c r="HQ265" s="54"/>
      <c r="HR265" s="54"/>
      <c r="HS265" s="54"/>
      <c r="HT265" s="54"/>
      <c r="HU265" s="54"/>
      <c r="HV265" s="54"/>
      <c r="HW265" s="54"/>
      <c r="HX265" s="54"/>
      <c r="HY265" s="54"/>
      <c r="HZ265" s="54"/>
      <c r="IA265" s="54"/>
      <c r="IB265" s="54"/>
      <c r="IC265" s="54"/>
      <c r="ID265" s="54"/>
      <c r="IE265" s="54"/>
      <c r="IF265" s="54"/>
      <c r="IG265" s="54"/>
      <c r="IH265" s="54"/>
      <c r="IU265" s="54"/>
      <c r="JI265" s="54"/>
      <c r="KM265" s="54"/>
      <c r="KN265" s="54"/>
      <c r="KO265" s="54"/>
      <c r="KP265" s="54"/>
      <c r="KQ265" s="54"/>
      <c r="KR265" s="54"/>
      <c r="KS265" s="54"/>
      <c r="KT265" s="54"/>
      <c r="KU265" s="54"/>
      <c r="KV265" s="54"/>
      <c r="KW265" s="54"/>
      <c r="KX265" s="54"/>
    </row>
    <row r="266" ht="5.25" customHeight="1">
      <c r="A266" s="54"/>
      <c r="B266" s="54"/>
      <c r="C266" s="54"/>
      <c r="D266" s="54"/>
      <c r="E266" s="54"/>
      <c r="F266" s="54"/>
      <c r="G266" s="54"/>
      <c r="AO266" s="54"/>
      <c r="AP266" s="54"/>
      <c r="AQ266" s="54"/>
      <c r="AR266" s="54"/>
      <c r="AS266" s="170"/>
      <c r="AT266" s="170"/>
      <c r="AU266" s="170"/>
      <c r="AV266" s="170"/>
      <c r="AW266" s="170"/>
      <c r="AX266" s="170"/>
      <c r="AY266" s="170"/>
      <c r="AZ266" s="170"/>
      <c r="BA266" s="170"/>
      <c r="BB266" s="170"/>
      <c r="BC266" s="170"/>
      <c r="BD266" s="170"/>
      <c r="BE266" s="170"/>
      <c r="BF266" s="170"/>
      <c r="BG266" s="170"/>
      <c r="BH266" s="170"/>
      <c r="BI266" s="170"/>
      <c r="BJ266" s="170"/>
      <c r="BK266" s="170"/>
      <c r="BL266" s="170"/>
      <c r="BM266" s="170"/>
      <c r="BN266" s="170"/>
      <c r="BO266" s="170"/>
      <c r="BP266" s="170"/>
      <c r="BQ266" s="170"/>
      <c r="BR266" s="170"/>
      <c r="BS266" s="170"/>
      <c r="BT266" s="170"/>
      <c r="BU266" s="170"/>
      <c r="BV266" s="170"/>
      <c r="BW266" s="170"/>
      <c r="BX266" s="170"/>
      <c r="BY266" s="170"/>
      <c r="BZ266" s="54"/>
      <c r="CA266" s="173"/>
      <c r="CB266" s="54"/>
      <c r="CC266" s="54"/>
      <c r="CD266" s="54"/>
      <c r="CE266" s="54"/>
      <c r="CF266" s="54"/>
      <c r="CG266" s="54"/>
      <c r="CH266" s="54"/>
      <c r="CI266" s="54"/>
      <c r="CJ266" s="54"/>
      <c r="CK266" s="54"/>
      <c r="CL266" s="54"/>
      <c r="CM266" s="54"/>
      <c r="CN266" s="54"/>
      <c r="CO266" s="54"/>
      <c r="CP266" s="54"/>
      <c r="CQ266" s="54"/>
      <c r="CR266" s="54"/>
      <c r="CS266" s="54"/>
      <c r="CT266" s="54"/>
      <c r="CU266" s="54"/>
      <c r="CV266" s="54"/>
      <c r="CW266" s="54"/>
      <c r="CX266" s="54"/>
      <c r="CY266" s="54"/>
      <c r="CZ266" s="54"/>
      <c r="DA266" s="54"/>
      <c r="DB266" s="54"/>
      <c r="DC266" s="54"/>
      <c r="DD266" s="54"/>
      <c r="DE266" s="54"/>
      <c r="DF266" s="54"/>
      <c r="DG266" s="54"/>
      <c r="DH266" s="54"/>
      <c r="DI266" s="54"/>
      <c r="DJ266" s="54"/>
      <c r="DK266" s="54"/>
      <c r="DL266" s="173"/>
      <c r="DM266" s="54"/>
      <c r="DN266" s="54"/>
      <c r="DO266" s="54"/>
      <c r="DP266" s="54"/>
      <c r="DQ266" s="54"/>
      <c r="DR266" s="54"/>
      <c r="DS266" s="54"/>
      <c r="DT266" s="54"/>
      <c r="DU266" s="54"/>
      <c r="DV266" s="54"/>
      <c r="DW266" s="54"/>
      <c r="DX266" s="54"/>
      <c r="DY266" s="54"/>
      <c r="DZ266" s="54"/>
      <c r="EA266" s="54"/>
      <c r="EB266" s="54"/>
      <c r="EC266" s="54"/>
      <c r="ED266" s="54"/>
      <c r="EE266" s="54"/>
      <c r="EF266" s="54"/>
      <c r="EG266" s="54"/>
      <c r="EH266" s="54"/>
      <c r="EI266" s="54"/>
      <c r="EJ266" s="54"/>
      <c r="EK266" s="54"/>
      <c r="EL266" s="54"/>
      <c r="EM266" s="54"/>
      <c r="EN266" s="54"/>
      <c r="EO266" s="54"/>
      <c r="EP266" s="54"/>
      <c r="EQ266" s="54"/>
      <c r="ER266" s="54"/>
      <c r="ES266" s="54"/>
      <c r="ET266" s="54"/>
      <c r="EU266" s="54"/>
      <c r="EV266" s="54"/>
      <c r="EW266" s="54"/>
      <c r="EX266" s="54"/>
      <c r="EY266" s="54"/>
      <c r="EZ266" s="54"/>
      <c r="FA266" s="54"/>
      <c r="FB266" s="54"/>
      <c r="FC266" s="54"/>
      <c r="FD266" s="54"/>
      <c r="FE266" s="54"/>
      <c r="FF266" s="54"/>
      <c r="FG266" s="54"/>
      <c r="FH266" s="54"/>
      <c r="FI266" s="54"/>
      <c r="FJ266" s="54"/>
      <c r="FK266" s="54"/>
      <c r="FL266" s="54"/>
      <c r="FM266" s="54"/>
      <c r="FN266" s="54"/>
      <c r="FO266" s="54"/>
      <c r="FP266" s="54"/>
      <c r="FQ266" s="54"/>
      <c r="FR266" s="54"/>
      <c r="FS266" s="54"/>
      <c r="FT266" s="54"/>
      <c r="FU266" s="54"/>
      <c r="FV266" s="54"/>
      <c r="FW266" s="54"/>
      <c r="FX266" s="54"/>
      <c r="FY266" s="54"/>
      <c r="FZ266" s="54"/>
      <c r="GA266" s="54"/>
      <c r="GB266" s="54"/>
      <c r="GC266" s="54"/>
      <c r="GD266" s="54"/>
      <c r="GE266" s="54"/>
      <c r="GF266" s="54"/>
      <c r="GG266" s="54"/>
      <c r="GH266" s="54"/>
      <c r="GI266" s="54"/>
      <c r="GJ266" s="54"/>
      <c r="GK266" s="54"/>
      <c r="GL266" s="54"/>
      <c r="GM266" s="54"/>
      <c r="GN266" s="54"/>
      <c r="GO266" s="54"/>
      <c r="GP266" s="54"/>
      <c r="GQ266" s="54"/>
      <c r="GR266" s="54"/>
      <c r="GS266" s="54"/>
      <c r="GT266" s="54"/>
      <c r="GU266" s="54"/>
      <c r="GV266" s="54"/>
      <c r="GW266" s="54"/>
      <c r="GX266" s="54"/>
      <c r="GY266" s="54"/>
      <c r="GZ266" s="54"/>
      <c r="HA266" s="54"/>
      <c r="HB266" s="54"/>
      <c r="HC266" s="54"/>
      <c r="HD266" s="54"/>
      <c r="HE266" s="54"/>
      <c r="HF266" s="54"/>
      <c r="HG266" s="54"/>
      <c r="HH266" s="54"/>
      <c r="HI266" s="54"/>
      <c r="HJ266" s="54"/>
      <c r="HK266" s="54"/>
      <c r="HL266" s="54"/>
      <c r="HM266" s="54"/>
      <c r="HN266" s="54"/>
      <c r="HO266" s="54"/>
      <c r="HP266" s="54"/>
      <c r="HQ266" s="54"/>
      <c r="HR266" s="54"/>
      <c r="HS266" s="54"/>
      <c r="HT266" s="54"/>
      <c r="HU266" s="54"/>
      <c r="HV266" s="54"/>
      <c r="HW266" s="54"/>
      <c r="HX266" s="54"/>
      <c r="HY266" s="54"/>
      <c r="HZ266" s="54"/>
      <c r="IA266" s="54"/>
      <c r="IB266" s="54"/>
      <c r="IC266" s="54"/>
      <c r="ID266" s="54"/>
      <c r="IE266" s="54"/>
      <c r="IF266" s="54"/>
      <c r="IG266" s="54"/>
      <c r="IH266" s="54"/>
      <c r="IU266" s="54"/>
      <c r="JI266" s="54"/>
      <c r="KM266" s="54"/>
      <c r="KN266" s="54"/>
      <c r="KO266" s="54"/>
      <c r="KP266" s="54"/>
      <c r="KQ266" s="54"/>
      <c r="KR266" s="54"/>
      <c r="KS266" s="54"/>
      <c r="KT266" s="54"/>
      <c r="KU266" s="54"/>
      <c r="KV266" s="54"/>
      <c r="KW266" s="54"/>
      <c r="KX266" s="54"/>
    </row>
    <row r="267" ht="5.25" customHeight="1">
      <c r="A267" s="54"/>
      <c r="B267" s="54"/>
      <c r="C267" s="54"/>
      <c r="D267" s="54"/>
      <c r="E267" s="54"/>
      <c r="F267" s="54"/>
      <c r="G267" s="54"/>
      <c r="AO267" s="54"/>
      <c r="AP267" s="54"/>
      <c r="AQ267" s="54"/>
      <c r="AR267" s="55">
        <v>8.0</v>
      </c>
      <c r="AS267" s="82" t="str">
        <f t="array" ref="AS267">xlookup(AW267,'Team Entry'!$A:$A,'Team Entry'!$B:$B,"")</f>
        <v/>
      </c>
      <c r="AW267" s="156" t="str">
        <f>ifs(or(AK265="",AK269="",AK265=AK269),"",AK265&gt;AK269,L265,AK269&gt;AK265,L269)</f>
        <v/>
      </c>
      <c r="BV267" s="168"/>
      <c r="BZ267" s="171"/>
      <c r="CA267" s="171"/>
      <c r="CB267" s="54"/>
      <c r="CC267" s="54"/>
      <c r="CD267" s="54"/>
      <c r="CE267" s="54"/>
      <c r="CF267" s="54"/>
      <c r="CG267" s="54"/>
      <c r="CH267" s="54"/>
      <c r="CI267" s="54"/>
      <c r="CJ267" s="54"/>
      <c r="CK267" s="54"/>
      <c r="CL267" s="54"/>
      <c r="CM267" s="54"/>
      <c r="CN267" s="54"/>
      <c r="CO267" s="54"/>
      <c r="CP267" s="54"/>
      <c r="CQ267" s="54"/>
      <c r="CR267" s="54"/>
      <c r="CS267" s="54"/>
      <c r="CT267" s="54"/>
      <c r="CU267" s="54"/>
      <c r="CV267" s="54"/>
      <c r="CW267" s="54"/>
      <c r="CX267" s="54"/>
      <c r="CY267" s="54"/>
      <c r="CZ267" s="54"/>
      <c r="DA267" s="54"/>
      <c r="DB267" s="54"/>
      <c r="DC267" s="54"/>
      <c r="DD267" s="54"/>
      <c r="DE267" s="54"/>
      <c r="DF267" s="54"/>
      <c r="DG267" s="54"/>
      <c r="DH267" s="54"/>
      <c r="DI267" s="54"/>
      <c r="DJ267" s="54"/>
      <c r="DK267" s="54"/>
      <c r="DL267" s="173"/>
      <c r="DM267" s="54"/>
      <c r="DN267" s="54"/>
      <c r="DO267" s="54"/>
      <c r="DP267" s="54"/>
      <c r="DQ267" s="54"/>
      <c r="DR267" s="54"/>
      <c r="DS267" s="54"/>
      <c r="DT267" s="54"/>
      <c r="DU267" s="54"/>
      <c r="DV267" s="54"/>
      <c r="DW267" s="54"/>
      <c r="DX267" s="54"/>
      <c r="DY267" s="54"/>
      <c r="DZ267" s="54"/>
      <c r="EA267" s="54"/>
      <c r="EB267" s="54"/>
      <c r="EC267" s="54"/>
      <c r="ED267" s="54"/>
      <c r="EE267" s="54"/>
      <c r="EF267" s="54"/>
      <c r="EG267" s="54"/>
      <c r="EH267" s="54"/>
      <c r="EI267" s="54"/>
      <c r="EJ267" s="54"/>
      <c r="EK267" s="54"/>
      <c r="EL267" s="54"/>
      <c r="EM267" s="54"/>
      <c r="EN267" s="54"/>
      <c r="EO267" s="54"/>
      <c r="EP267" s="54"/>
      <c r="EQ267" s="54"/>
      <c r="ER267" s="54"/>
      <c r="ES267" s="54"/>
      <c r="ET267" s="54"/>
      <c r="EU267" s="54"/>
      <c r="EV267" s="54"/>
      <c r="EW267" s="54"/>
      <c r="EX267" s="54"/>
      <c r="EY267" s="54"/>
      <c r="EZ267" s="54"/>
      <c r="FA267" s="54"/>
      <c r="FB267" s="54"/>
      <c r="FC267" s="54"/>
      <c r="FD267" s="54"/>
      <c r="FE267" s="54"/>
      <c r="FF267" s="54"/>
      <c r="FG267" s="54"/>
      <c r="FH267" s="54"/>
      <c r="FI267" s="54"/>
      <c r="FJ267" s="54"/>
      <c r="FK267" s="54"/>
      <c r="FL267" s="54"/>
      <c r="FM267" s="54"/>
      <c r="FN267" s="54"/>
      <c r="FO267" s="54"/>
      <c r="FP267" s="54"/>
      <c r="FQ267" s="54"/>
      <c r="FR267" s="54"/>
      <c r="FS267" s="54"/>
      <c r="FT267" s="54"/>
      <c r="FU267" s="54"/>
      <c r="FV267" s="54"/>
      <c r="FW267" s="54"/>
      <c r="FX267" s="54"/>
      <c r="FY267" s="54"/>
      <c r="FZ267" s="54"/>
      <c r="GA267" s="54"/>
      <c r="GB267" s="54"/>
      <c r="GC267" s="54"/>
      <c r="GD267" s="54"/>
      <c r="GE267" s="54"/>
      <c r="GF267" s="54"/>
      <c r="GG267" s="54"/>
      <c r="GH267" s="54"/>
      <c r="GI267" s="54"/>
      <c r="GJ267" s="54"/>
      <c r="GK267" s="54"/>
      <c r="GL267" s="54"/>
      <c r="GM267" s="54"/>
      <c r="GN267" s="54"/>
      <c r="GO267" s="54"/>
      <c r="GP267" s="54"/>
      <c r="GQ267" s="54"/>
      <c r="GR267" s="54"/>
      <c r="GS267" s="54"/>
      <c r="GT267" s="54"/>
      <c r="GU267" s="54"/>
      <c r="GV267" s="54"/>
      <c r="GW267" s="54"/>
      <c r="GX267" s="54"/>
      <c r="GY267" s="54"/>
      <c r="GZ267" s="54"/>
      <c r="HA267" s="54"/>
      <c r="HB267" s="54"/>
      <c r="HC267" s="54"/>
      <c r="HD267" s="54"/>
      <c r="HE267" s="54"/>
      <c r="HF267" s="54"/>
      <c r="HG267" s="54"/>
      <c r="HH267" s="54"/>
      <c r="HI267" s="54"/>
      <c r="HJ267" s="54"/>
      <c r="HK267" s="54"/>
      <c r="HL267" s="54"/>
      <c r="HM267" s="54"/>
      <c r="HN267" s="54"/>
      <c r="HO267" s="54"/>
      <c r="HP267" s="54"/>
      <c r="HQ267" s="54"/>
      <c r="HR267" s="54"/>
      <c r="HS267" s="54"/>
      <c r="HT267" s="54"/>
      <c r="HU267" s="54"/>
      <c r="HV267" s="54"/>
      <c r="HW267" s="54"/>
      <c r="HX267" s="54"/>
      <c r="HY267" s="54"/>
      <c r="HZ267" s="54"/>
      <c r="IA267" s="54"/>
      <c r="IB267" s="54"/>
      <c r="IC267" s="54"/>
      <c r="ID267" s="54"/>
      <c r="IE267" s="54"/>
      <c r="IF267" s="54"/>
      <c r="IG267" s="54"/>
      <c r="IH267" s="54"/>
      <c r="II267" s="13"/>
      <c r="IJ267" s="13"/>
      <c r="IK267" s="13"/>
      <c r="IL267" s="13"/>
      <c r="IM267" s="13"/>
      <c r="IN267" s="13"/>
      <c r="IO267" s="13"/>
      <c r="IP267" s="13"/>
      <c r="IQ267" s="13"/>
      <c r="IR267" s="13"/>
      <c r="IS267" s="13"/>
      <c r="IT267" s="13"/>
      <c r="IU267" s="54"/>
      <c r="IV267" s="13"/>
      <c r="IW267" s="13"/>
      <c r="IX267" s="13"/>
      <c r="IY267" s="13"/>
      <c r="IZ267" s="13"/>
      <c r="JA267" s="13"/>
      <c r="JB267" s="13"/>
      <c r="JC267" s="13"/>
      <c r="JD267" s="13"/>
      <c r="JE267" s="13"/>
      <c r="JF267" s="13"/>
      <c r="JG267" s="13"/>
      <c r="JH267" s="13"/>
      <c r="JI267" s="54"/>
      <c r="JJ267" s="158"/>
      <c r="JK267" s="158"/>
      <c r="JL267" s="158"/>
      <c r="JM267" s="158"/>
      <c r="JN267" s="158"/>
      <c r="JO267" s="158"/>
      <c r="JP267" s="158"/>
      <c r="JQ267" s="158"/>
      <c r="JR267" s="158"/>
      <c r="JS267" s="158"/>
      <c r="JT267" s="158"/>
      <c r="JU267" s="158"/>
      <c r="JV267" s="158"/>
      <c r="JW267" s="158"/>
      <c r="JX267" s="158"/>
      <c r="JY267" s="158"/>
      <c r="JZ267" s="158"/>
      <c r="KA267" s="158"/>
      <c r="KB267" s="158"/>
      <c r="KC267" s="158"/>
      <c r="KD267" s="158"/>
      <c r="KE267" s="158"/>
      <c r="KF267" s="158"/>
      <c r="KG267" s="158"/>
      <c r="KH267" s="158"/>
      <c r="KI267" s="158"/>
      <c r="KJ267" s="158"/>
      <c r="KK267" s="158"/>
      <c r="KL267" s="158"/>
      <c r="KM267" s="54"/>
      <c r="KN267" s="54"/>
      <c r="KO267" s="54"/>
      <c r="KP267" s="54"/>
      <c r="KQ267" s="54"/>
      <c r="KR267" s="54"/>
      <c r="KS267" s="54"/>
      <c r="KT267" s="54"/>
      <c r="KU267" s="54"/>
      <c r="KV267" s="54"/>
      <c r="KW267" s="54"/>
      <c r="KX267" s="54"/>
    </row>
    <row r="268" ht="5.25" customHeight="1">
      <c r="A268" s="54"/>
      <c r="B268" s="54"/>
      <c r="C268" s="54"/>
      <c r="D268" s="54"/>
      <c r="E268" s="54"/>
      <c r="F268" s="54"/>
      <c r="G268" s="54"/>
      <c r="H268" s="170"/>
      <c r="I268" s="170"/>
      <c r="J268" s="170"/>
      <c r="K268" s="170"/>
      <c r="L268" s="170"/>
      <c r="M268" s="170"/>
      <c r="N268" s="170"/>
      <c r="O268" s="170"/>
      <c r="P268" s="170"/>
      <c r="Q268" s="170"/>
      <c r="R268" s="170"/>
      <c r="S268" s="170"/>
      <c r="T268" s="170"/>
      <c r="U268" s="170"/>
      <c r="V268" s="170"/>
      <c r="W268" s="170"/>
      <c r="X268" s="170"/>
      <c r="Y268" s="170"/>
      <c r="Z268" s="170"/>
      <c r="AA268" s="170"/>
      <c r="AB268" s="170"/>
      <c r="AC268" s="170"/>
      <c r="AD268" s="170"/>
      <c r="AE268" s="170"/>
      <c r="AF268" s="170"/>
      <c r="AG268" s="170"/>
      <c r="AH268" s="170"/>
      <c r="AI268" s="170"/>
      <c r="AJ268" s="170"/>
      <c r="AK268" s="170"/>
      <c r="AL268" s="170"/>
      <c r="AM268" s="170"/>
      <c r="AN268" s="170"/>
      <c r="AO268" s="54"/>
      <c r="AP268" s="54"/>
      <c r="AQ268" s="54"/>
      <c r="AR268" s="54"/>
      <c r="BZ268" s="54"/>
      <c r="CA268" s="54"/>
      <c r="CB268" s="54"/>
      <c r="CC268" s="54"/>
      <c r="CD268" s="54"/>
      <c r="CE268" s="54"/>
      <c r="CF268" s="54"/>
      <c r="CG268" s="54"/>
      <c r="CH268" s="54"/>
      <c r="CI268" s="54"/>
      <c r="CJ268" s="54"/>
      <c r="CK268" s="54"/>
      <c r="CL268" s="54"/>
      <c r="CM268" s="54"/>
      <c r="CN268" s="54"/>
      <c r="CO268" s="54"/>
      <c r="CP268" s="54"/>
      <c r="CQ268" s="54"/>
      <c r="CR268" s="54"/>
      <c r="CS268" s="54"/>
      <c r="CT268" s="54"/>
      <c r="CU268" s="54"/>
      <c r="CV268" s="54"/>
      <c r="CW268" s="54"/>
      <c r="CX268" s="54"/>
      <c r="CY268" s="54"/>
      <c r="CZ268" s="54"/>
      <c r="DA268" s="54"/>
      <c r="DB268" s="54"/>
      <c r="DC268" s="54"/>
      <c r="DD268" s="54"/>
      <c r="DE268" s="54"/>
      <c r="DF268" s="54"/>
      <c r="DG268" s="54"/>
      <c r="DH268" s="54"/>
      <c r="DI268" s="54"/>
      <c r="DJ268" s="54"/>
      <c r="DK268" s="54"/>
      <c r="DL268" s="173"/>
      <c r="DM268" s="54"/>
      <c r="DN268" s="54"/>
      <c r="DO268" s="82" t="str">
        <f t="array" ref="DO268">xlookup(DS268,'Team Entry'!$A:$A,'Team Entry'!$B:$B,"")</f>
        <v/>
      </c>
      <c r="DS268" s="156" t="str">
        <f>ifs(or(DG258="",DG262="",DG258=DG262),"",DG258&gt;DG262,CH258,DG262&gt;DG258,CH262)</f>
        <v/>
      </c>
      <c r="ER268" s="168"/>
      <c r="EV268" s="54"/>
      <c r="EW268" s="54"/>
      <c r="EX268" s="54"/>
      <c r="EY268" s="54"/>
      <c r="EZ268" s="54"/>
      <c r="FA268" s="54"/>
      <c r="FB268" s="54"/>
      <c r="FC268" s="54"/>
      <c r="FD268" s="54"/>
      <c r="FE268" s="174" t="str">
        <f t="array" ref="FE268">xlookup(FN268,'Team Entry'!$A:$A,'Team Entry'!$B:$B,"")</f>
        <v/>
      </c>
      <c r="FN268" s="175" t="str">
        <f>ifs(or(ER268="",ER272="",ER268=ER272),"",ER268&gt;ER272,DS268,ER272&gt;ER268,DS272)</f>
        <v/>
      </c>
      <c r="HH268" s="54"/>
      <c r="HI268" s="54"/>
      <c r="HJ268" s="54"/>
      <c r="HK268" s="54"/>
      <c r="HL268" s="54"/>
      <c r="HM268" s="54"/>
      <c r="HN268" s="54"/>
      <c r="HO268" s="54"/>
      <c r="HP268" s="54"/>
      <c r="HQ268" s="54"/>
      <c r="HR268" s="54"/>
      <c r="HS268" s="54"/>
      <c r="HT268" s="54"/>
      <c r="HU268" s="54"/>
      <c r="HV268" s="54"/>
      <c r="HW268" s="54"/>
      <c r="HX268" s="54"/>
      <c r="HY268" s="54"/>
      <c r="HZ268" s="54"/>
      <c r="IA268" s="54"/>
      <c r="IB268" s="54"/>
      <c r="IC268" s="54"/>
      <c r="ID268" s="54"/>
      <c r="IE268" s="54"/>
      <c r="IF268" s="54"/>
      <c r="IG268" s="54"/>
      <c r="IH268" s="54"/>
      <c r="II268" s="176" t="s">
        <v>81</v>
      </c>
      <c r="IU268" s="54"/>
      <c r="IV268" s="155" t="s">
        <v>80</v>
      </c>
      <c r="JI268" s="54"/>
      <c r="JJ268" s="82" t="str">
        <f t="array" ref="JJ268">xlookup(JN268,'Team Entry'!$A:$A,'Team Entry'!$B:$B,"")</f>
        <v/>
      </c>
      <c r="JN268" s="156" t="str">
        <f>ifs(or(AK255="",AK259="",AK255=AK259),"TBD",AK255&gt;AK259,L259,AK259&gt;AK255,L255)</f>
        <v>TBD</v>
      </c>
      <c r="KM268" s="54"/>
      <c r="KN268" s="54"/>
      <c r="KO268" s="54"/>
      <c r="KP268" s="54"/>
      <c r="KQ268" s="54"/>
      <c r="KR268" s="54"/>
      <c r="KS268" s="54"/>
      <c r="KT268" s="54"/>
      <c r="KU268" s="54"/>
      <c r="KV268" s="54"/>
      <c r="KW268" s="54"/>
      <c r="KX268" s="54"/>
    </row>
    <row r="269" ht="5.25" customHeight="1">
      <c r="A269" s="54"/>
      <c r="B269" s="54"/>
      <c r="C269" s="54"/>
      <c r="D269" s="54"/>
      <c r="E269" s="54"/>
      <c r="F269" s="54"/>
      <c r="G269" s="55">
        <v>8.0</v>
      </c>
      <c r="H269" s="82" t="str">
        <f t="array" ref="H269">xlookup(L269,'Team Entry'!$A:$A,'Team Entry'!$B:$B,"")</f>
        <v/>
      </c>
      <c r="L269" s="169" t="str">
        <f t="array" ref="L269">if($DD$199=0,"Swiss #8 Seed",xlookup(G269,data!$G$24:$G$39,data!$A$24:$A$39,""))</f>
        <v>Swiss #8 Seed</v>
      </c>
      <c r="AK269" s="168"/>
      <c r="AO269" s="157"/>
      <c r="AP269" s="157"/>
      <c r="AQ269" s="157"/>
      <c r="AR269" s="157"/>
      <c r="BZ269" s="54"/>
      <c r="CA269" s="54"/>
      <c r="CB269" s="54"/>
      <c r="CC269" s="54"/>
      <c r="CD269" s="54"/>
      <c r="CE269" s="54"/>
      <c r="CF269" s="54"/>
      <c r="CG269" s="54"/>
      <c r="CH269" s="54"/>
      <c r="CI269" s="54"/>
      <c r="CJ269" s="54"/>
      <c r="CK269" s="54"/>
      <c r="CL269" s="54"/>
      <c r="CM269" s="54"/>
      <c r="CN269" s="54"/>
      <c r="CO269" s="54"/>
      <c r="CP269" s="54"/>
      <c r="CQ269" s="54"/>
      <c r="CR269" s="54"/>
      <c r="CS269" s="54"/>
      <c r="CT269" s="54"/>
      <c r="CU269" s="54"/>
      <c r="CV269" s="54"/>
      <c r="CW269" s="54"/>
      <c r="CX269" s="54"/>
      <c r="CY269" s="54"/>
      <c r="CZ269" s="54"/>
      <c r="DA269" s="54"/>
      <c r="DB269" s="54"/>
      <c r="DC269" s="54"/>
      <c r="DD269" s="54"/>
      <c r="DE269" s="54"/>
      <c r="DF269" s="54"/>
      <c r="DG269" s="54"/>
      <c r="DH269" s="54"/>
      <c r="DI269" s="54"/>
      <c r="DJ269" s="54"/>
      <c r="DK269" s="54"/>
      <c r="DL269" s="173"/>
      <c r="DM269" s="54"/>
      <c r="DN269" s="54"/>
      <c r="EV269" s="54"/>
      <c r="EW269" s="54"/>
      <c r="EX269" s="54"/>
      <c r="EY269" s="54"/>
      <c r="EZ269" s="54"/>
      <c r="FA269" s="54"/>
      <c r="FB269" s="54"/>
      <c r="FC269" s="54"/>
      <c r="FD269" s="54"/>
      <c r="HH269" s="54"/>
      <c r="HI269" s="54"/>
      <c r="HJ269" s="54"/>
      <c r="HK269" s="54"/>
      <c r="HL269" s="54"/>
      <c r="HM269" s="54"/>
      <c r="HN269" s="54"/>
      <c r="HO269" s="54"/>
      <c r="HP269" s="54"/>
      <c r="HQ269" s="54"/>
      <c r="HR269" s="54"/>
      <c r="HS269" s="54"/>
      <c r="HT269" s="54"/>
      <c r="HU269" s="54"/>
      <c r="HV269" s="54"/>
      <c r="HW269" s="54"/>
      <c r="HX269" s="54"/>
      <c r="HY269" s="54"/>
      <c r="HZ269" s="54"/>
      <c r="IA269" s="54"/>
      <c r="IB269" s="54"/>
      <c r="IC269" s="54"/>
      <c r="ID269" s="54"/>
      <c r="IE269" s="54"/>
      <c r="IF269" s="54"/>
      <c r="IG269" s="54"/>
      <c r="IH269" s="54"/>
      <c r="IU269" s="54"/>
      <c r="JI269" s="54"/>
      <c r="KM269" s="54"/>
      <c r="KN269" s="54"/>
      <c r="KO269" s="54"/>
      <c r="KP269" s="54"/>
      <c r="KQ269" s="54"/>
      <c r="KR269" s="54"/>
      <c r="KS269" s="54"/>
      <c r="KT269" s="54"/>
      <c r="KU269" s="54"/>
      <c r="KV269" s="54"/>
      <c r="KW269" s="54"/>
      <c r="KX269" s="54"/>
    </row>
    <row r="270" ht="5.25" customHeight="1">
      <c r="A270" s="54"/>
      <c r="B270" s="54"/>
      <c r="C270" s="54"/>
      <c r="D270" s="54"/>
      <c r="E270" s="54"/>
      <c r="F270" s="54"/>
      <c r="G270" s="54"/>
      <c r="AO270" s="54"/>
      <c r="AP270" s="54"/>
      <c r="AQ270" s="54"/>
      <c r="AR270" s="54"/>
      <c r="BZ270" s="54"/>
      <c r="CA270" s="54"/>
      <c r="CB270" s="54"/>
      <c r="CC270" s="54"/>
      <c r="CD270" s="54"/>
      <c r="CE270" s="54"/>
      <c r="CF270" s="54"/>
      <c r="CG270" s="54"/>
      <c r="CH270" s="54"/>
      <c r="CI270" s="54"/>
      <c r="CJ270" s="54"/>
      <c r="CK270" s="54"/>
      <c r="CL270" s="54"/>
      <c r="CM270" s="54"/>
      <c r="CN270" s="54"/>
      <c r="CO270" s="54"/>
      <c r="CP270" s="54"/>
      <c r="CQ270" s="54"/>
      <c r="CR270" s="54"/>
      <c r="CS270" s="54"/>
      <c r="CT270" s="54"/>
      <c r="CU270" s="54"/>
      <c r="CV270" s="54"/>
      <c r="CW270" s="54"/>
      <c r="CX270" s="54"/>
      <c r="CY270" s="54"/>
      <c r="CZ270" s="54"/>
      <c r="DA270" s="54"/>
      <c r="DB270" s="54"/>
      <c r="DC270" s="54"/>
      <c r="DD270" s="54"/>
      <c r="DE270" s="54"/>
      <c r="DF270" s="54"/>
      <c r="DG270" s="54"/>
      <c r="DH270" s="54"/>
      <c r="DI270" s="54"/>
      <c r="DJ270" s="54"/>
      <c r="DK270" s="54"/>
      <c r="DL270" s="54"/>
      <c r="DM270" s="171"/>
      <c r="DN270" s="171"/>
      <c r="EV270" s="54"/>
      <c r="EW270" s="54"/>
      <c r="EX270" s="54"/>
      <c r="EY270" s="54"/>
      <c r="EZ270" s="54"/>
      <c r="FA270" s="54"/>
      <c r="FB270" s="54"/>
      <c r="FC270" s="54"/>
      <c r="FD270" s="54"/>
      <c r="HH270" s="54"/>
      <c r="HI270" s="54"/>
      <c r="HJ270" s="54"/>
      <c r="HK270" s="54"/>
      <c r="HL270" s="54"/>
      <c r="HM270" s="54"/>
      <c r="HN270" s="54"/>
      <c r="HO270" s="54"/>
      <c r="HP270" s="54"/>
      <c r="HQ270" s="54"/>
      <c r="HR270" s="54"/>
      <c r="HS270" s="54"/>
      <c r="HT270" s="54"/>
      <c r="HU270" s="54"/>
      <c r="HV270" s="54"/>
      <c r="HW270" s="54"/>
      <c r="HX270" s="54"/>
      <c r="HY270" s="54"/>
      <c r="HZ270" s="54"/>
      <c r="IA270" s="54"/>
      <c r="IB270" s="54"/>
      <c r="IC270" s="54"/>
      <c r="ID270" s="54"/>
      <c r="IE270" s="54"/>
      <c r="IF270" s="54"/>
      <c r="IG270" s="54"/>
      <c r="IH270" s="54"/>
      <c r="IU270" s="54"/>
      <c r="JI270" s="54"/>
      <c r="KM270" s="54"/>
      <c r="KN270" s="54"/>
      <c r="KO270" s="54"/>
      <c r="KP270" s="54"/>
      <c r="KQ270" s="54"/>
      <c r="KR270" s="54"/>
      <c r="KS270" s="54"/>
      <c r="KT270" s="54"/>
      <c r="KU270" s="54"/>
      <c r="KV270" s="54"/>
      <c r="KW270" s="54"/>
      <c r="KX270" s="54"/>
    </row>
    <row r="271" ht="5.25" customHeight="1">
      <c r="A271" s="54"/>
      <c r="B271" s="54"/>
      <c r="C271" s="54"/>
      <c r="D271" s="54"/>
      <c r="E271" s="54"/>
      <c r="F271" s="54"/>
      <c r="G271" s="54"/>
      <c r="AO271" s="54"/>
      <c r="AP271" s="54"/>
      <c r="AQ271" s="54"/>
      <c r="AR271" s="54"/>
      <c r="AS271" s="54"/>
      <c r="AT271" s="54"/>
      <c r="AU271" s="54"/>
      <c r="AV271" s="54"/>
      <c r="AW271" s="54"/>
      <c r="AX271" s="54"/>
      <c r="AY271" s="54"/>
      <c r="AZ271" s="54"/>
      <c r="BA271" s="54"/>
      <c r="BB271" s="54"/>
      <c r="BC271" s="54"/>
      <c r="BD271" s="54"/>
      <c r="BE271" s="54"/>
      <c r="BF271" s="54"/>
      <c r="BG271" s="54"/>
      <c r="BH271" s="54"/>
      <c r="BI271" s="54"/>
      <c r="BJ271" s="54"/>
      <c r="BK271" s="54"/>
      <c r="BL271" s="54"/>
      <c r="BM271" s="54"/>
      <c r="BN271" s="54"/>
      <c r="BO271" s="54"/>
      <c r="BP271" s="54"/>
      <c r="BQ271" s="54"/>
      <c r="BR271" s="54"/>
      <c r="BS271" s="54"/>
      <c r="BT271" s="54"/>
      <c r="BU271" s="54"/>
      <c r="BV271" s="54"/>
      <c r="BW271" s="54"/>
      <c r="BX271" s="54"/>
      <c r="BY271" s="54"/>
      <c r="BZ271" s="54"/>
      <c r="CA271" s="54"/>
      <c r="CB271" s="54"/>
      <c r="CC271" s="54"/>
      <c r="CD271" s="54"/>
      <c r="CE271" s="54"/>
      <c r="CF271" s="54"/>
      <c r="CG271" s="54"/>
      <c r="CH271" s="54"/>
      <c r="CI271" s="54"/>
      <c r="CJ271" s="54"/>
      <c r="CK271" s="54"/>
      <c r="CL271" s="54"/>
      <c r="CM271" s="54"/>
      <c r="CN271" s="54"/>
      <c r="CO271" s="54"/>
      <c r="CP271" s="54"/>
      <c r="CQ271" s="54"/>
      <c r="CR271" s="54"/>
      <c r="CS271" s="54"/>
      <c r="CT271" s="54"/>
      <c r="CU271" s="54"/>
      <c r="CV271" s="54"/>
      <c r="CW271" s="54"/>
      <c r="CX271" s="54"/>
      <c r="CY271" s="54"/>
      <c r="CZ271" s="54"/>
      <c r="DA271" s="54"/>
      <c r="DB271" s="54"/>
      <c r="DC271" s="54"/>
      <c r="DD271" s="54"/>
      <c r="DE271" s="54"/>
      <c r="DF271" s="54"/>
      <c r="DG271" s="54"/>
      <c r="DH271" s="54"/>
      <c r="DI271" s="54"/>
      <c r="DJ271" s="54"/>
      <c r="DK271" s="54"/>
      <c r="DL271" s="54"/>
      <c r="DM271" s="54"/>
      <c r="DN271" s="54"/>
      <c r="DO271" s="170"/>
      <c r="DP271" s="170"/>
      <c r="DQ271" s="170"/>
      <c r="DR271" s="170"/>
      <c r="DS271" s="170"/>
      <c r="DT271" s="170"/>
      <c r="DU271" s="170"/>
      <c r="DV271" s="170"/>
      <c r="DW271" s="170"/>
      <c r="DX271" s="170"/>
      <c r="DY271" s="170"/>
      <c r="DZ271" s="170"/>
      <c r="EA271" s="170"/>
      <c r="EB271" s="170"/>
      <c r="EC271" s="170"/>
      <c r="ED271" s="170"/>
      <c r="EE271" s="170"/>
      <c r="EF271" s="170"/>
      <c r="EG271" s="170"/>
      <c r="EH271" s="170"/>
      <c r="EI271" s="170"/>
      <c r="EJ271" s="170"/>
      <c r="EK271" s="170"/>
      <c r="EL271" s="170"/>
      <c r="EM271" s="170"/>
      <c r="EN271" s="170"/>
      <c r="EO271" s="170"/>
      <c r="EP271" s="170"/>
      <c r="EQ271" s="170"/>
      <c r="ER271" s="170"/>
      <c r="ES271" s="170"/>
      <c r="ET271" s="170"/>
      <c r="EU271" s="170"/>
      <c r="EV271" s="54"/>
      <c r="EW271" s="54"/>
      <c r="EX271" s="54"/>
      <c r="EY271" s="54"/>
      <c r="EZ271" s="54"/>
      <c r="FA271" s="54"/>
      <c r="FB271" s="54"/>
      <c r="FC271" s="54"/>
      <c r="FD271" s="54"/>
      <c r="HH271" s="54"/>
      <c r="HI271" s="54"/>
      <c r="HJ271" s="54"/>
      <c r="HK271" s="54"/>
      <c r="HL271" s="54"/>
      <c r="HM271" s="54"/>
      <c r="HN271" s="54"/>
      <c r="HO271" s="54"/>
      <c r="HP271" s="54"/>
      <c r="HQ271" s="54"/>
      <c r="HR271" s="54"/>
      <c r="HS271" s="54"/>
      <c r="HT271" s="54"/>
      <c r="HU271" s="54"/>
      <c r="HV271" s="54"/>
      <c r="HW271" s="54"/>
      <c r="HX271" s="54"/>
      <c r="HY271" s="54"/>
      <c r="HZ271" s="54"/>
      <c r="IA271" s="54"/>
      <c r="IB271" s="54"/>
      <c r="IC271" s="54"/>
      <c r="ID271" s="54"/>
      <c r="IE271" s="54"/>
      <c r="IF271" s="54"/>
      <c r="IG271" s="54"/>
      <c r="IH271" s="54"/>
      <c r="IU271" s="54"/>
      <c r="JI271" s="54"/>
      <c r="JJ271" s="158"/>
      <c r="JK271" s="158"/>
      <c r="JL271" s="158"/>
      <c r="JM271" s="158"/>
      <c r="JN271" s="158"/>
      <c r="JO271" s="158"/>
      <c r="JP271" s="158"/>
      <c r="JQ271" s="158"/>
      <c r="JR271" s="158"/>
      <c r="JS271" s="158"/>
      <c r="JT271" s="158"/>
      <c r="JU271" s="158"/>
      <c r="JV271" s="158"/>
      <c r="JW271" s="158"/>
      <c r="JX271" s="158"/>
      <c r="JY271" s="158"/>
      <c r="JZ271" s="158"/>
      <c r="KA271" s="158"/>
      <c r="KB271" s="158"/>
      <c r="KC271" s="158"/>
      <c r="KD271" s="158"/>
      <c r="KE271" s="158"/>
      <c r="KF271" s="158"/>
      <c r="KG271" s="158"/>
      <c r="KH271" s="158"/>
      <c r="KI271" s="158"/>
      <c r="KJ271" s="158"/>
      <c r="KK271" s="158"/>
      <c r="KL271" s="158"/>
      <c r="KM271" s="54"/>
      <c r="KN271" s="54"/>
      <c r="KO271" s="54"/>
      <c r="KP271" s="54"/>
      <c r="KQ271" s="54"/>
      <c r="KR271" s="54"/>
      <c r="KS271" s="54"/>
      <c r="KT271" s="54"/>
      <c r="KU271" s="54"/>
      <c r="KV271" s="54"/>
      <c r="KW271" s="54"/>
      <c r="KX271" s="54"/>
    </row>
    <row r="272" ht="5.25" customHeight="1">
      <c r="A272" s="54"/>
      <c r="B272" s="54"/>
      <c r="C272" s="54"/>
      <c r="D272" s="54"/>
      <c r="E272" s="54"/>
      <c r="F272" s="54"/>
      <c r="G272" s="54"/>
      <c r="AO272" s="54"/>
      <c r="AP272" s="54"/>
      <c r="AQ272" s="54"/>
      <c r="AR272" s="54"/>
      <c r="AS272" s="54"/>
      <c r="AT272" s="54"/>
      <c r="AU272" s="54"/>
      <c r="AV272" s="54"/>
      <c r="AW272" s="54"/>
      <c r="AX272" s="54"/>
      <c r="AY272" s="54"/>
      <c r="AZ272" s="54"/>
      <c r="BA272" s="54"/>
      <c r="BB272" s="54"/>
      <c r="BC272" s="54"/>
      <c r="BD272" s="54"/>
      <c r="BE272" s="54"/>
      <c r="BF272" s="54"/>
      <c r="BG272" s="54"/>
      <c r="BH272" s="54"/>
      <c r="BI272" s="54"/>
      <c r="BJ272" s="54"/>
      <c r="BK272" s="54"/>
      <c r="BL272" s="54"/>
      <c r="BM272" s="54"/>
      <c r="BN272" s="54"/>
      <c r="BO272" s="54"/>
      <c r="BP272" s="54"/>
      <c r="BQ272" s="54"/>
      <c r="BR272" s="54"/>
      <c r="BS272" s="54"/>
      <c r="BT272" s="54"/>
      <c r="BU272" s="54"/>
      <c r="BV272" s="54"/>
      <c r="BW272" s="54"/>
      <c r="BX272" s="54"/>
      <c r="BY272" s="54"/>
      <c r="BZ272" s="54"/>
      <c r="CA272" s="54"/>
      <c r="CB272" s="54"/>
      <c r="CC272" s="54"/>
      <c r="CD272" s="54"/>
      <c r="CE272" s="54"/>
      <c r="CF272" s="54"/>
      <c r="CG272" s="54"/>
      <c r="CH272" s="54"/>
      <c r="CI272" s="54"/>
      <c r="CJ272" s="54"/>
      <c r="CK272" s="54"/>
      <c r="CL272" s="54"/>
      <c r="CM272" s="54"/>
      <c r="CN272" s="54"/>
      <c r="CO272" s="54"/>
      <c r="CP272" s="54"/>
      <c r="CQ272" s="54"/>
      <c r="CR272" s="54"/>
      <c r="CS272" s="54"/>
      <c r="CT272" s="54"/>
      <c r="CU272" s="54"/>
      <c r="CV272" s="54"/>
      <c r="CW272" s="54"/>
      <c r="CX272" s="54"/>
      <c r="CY272" s="54"/>
      <c r="CZ272" s="54"/>
      <c r="DA272" s="54"/>
      <c r="DB272" s="54"/>
      <c r="DC272" s="54"/>
      <c r="DD272" s="54"/>
      <c r="DE272" s="54"/>
      <c r="DF272" s="54"/>
      <c r="DG272" s="54"/>
      <c r="DH272" s="54"/>
      <c r="DI272" s="54"/>
      <c r="DJ272" s="54"/>
      <c r="DK272" s="54"/>
      <c r="DL272" s="54"/>
      <c r="DM272" s="54"/>
      <c r="DN272" s="54"/>
      <c r="DO272" s="82" t="str">
        <f t="array" ref="DO272">xlookup(DS272,'Team Entry'!$A:$A,'Team Entry'!$B:$B,"")</f>
        <v/>
      </c>
      <c r="DS272" s="156" t="str">
        <f>ifs(or(DG278="",DG282="",DG278=DG282),"",DG278&gt;DG282,CH278,DG282&gt;DG278,CH282)</f>
        <v/>
      </c>
      <c r="ER272" s="168"/>
      <c r="EV272" s="54"/>
      <c r="EW272" s="54"/>
      <c r="EX272" s="54"/>
      <c r="EY272" s="54"/>
      <c r="EZ272" s="54"/>
      <c r="FA272" s="54"/>
      <c r="FB272" s="54"/>
      <c r="FC272" s="54"/>
      <c r="FD272" s="54"/>
      <c r="HH272" s="54"/>
      <c r="HI272" s="54"/>
      <c r="HJ272" s="54"/>
      <c r="HK272" s="54"/>
      <c r="HL272" s="54"/>
      <c r="HM272" s="54"/>
      <c r="HN272" s="54"/>
      <c r="HO272" s="54"/>
      <c r="HP272" s="54"/>
      <c r="HQ272" s="54"/>
      <c r="HR272" s="54"/>
      <c r="HS272" s="54"/>
      <c r="HT272" s="54"/>
      <c r="HU272" s="54"/>
      <c r="HV272" s="54"/>
      <c r="HW272" s="54"/>
      <c r="HX272" s="54"/>
      <c r="HY272" s="54"/>
      <c r="HZ272" s="54"/>
      <c r="IA272" s="54"/>
      <c r="IB272" s="54"/>
      <c r="IC272" s="54"/>
      <c r="ID272" s="54"/>
      <c r="IE272" s="54"/>
      <c r="IF272" s="54"/>
      <c r="IG272" s="54"/>
      <c r="IH272" s="54"/>
      <c r="IU272" s="54"/>
      <c r="JI272" s="54"/>
      <c r="JJ272" s="82" t="str">
        <f t="array" ref="JJ272">xlookup(JN272,'Team Entry'!$A:$A,'Team Entry'!$B:$B,"")</f>
        <v/>
      </c>
      <c r="JN272" s="156" t="str">
        <f>ifs(or(AK265="",AK269="",AK265=AK269),"TBD",AK265&gt;AK269,L269,AK269&gt;AK265,L265)</f>
        <v>TBD</v>
      </c>
      <c r="KM272" s="54"/>
      <c r="KN272" s="54"/>
      <c r="KO272" s="54"/>
      <c r="KP272" s="54"/>
      <c r="KQ272" s="54"/>
      <c r="KR272" s="54"/>
      <c r="KS272" s="54"/>
      <c r="KT272" s="54"/>
      <c r="KU272" s="54"/>
      <c r="KV272" s="54"/>
      <c r="KW272" s="54"/>
      <c r="KX272" s="54"/>
    </row>
    <row r="273" ht="5.2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c r="AL273" s="54"/>
      <c r="AM273" s="54"/>
      <c r="AN273" s="54"/>
      <c r="AO273" s="54"/>
      <c r="AP273" s="54"/>
      <c r="AQ273" s="54"/>
      <c r="AR273" s="55">
        <v>2.0</v>
      </c>
      <c r="AS273" s="82" t="str">
        <f t="array" ref="AS273">xlookup(AW273,'Team Entry'!$A:$A,'Team Entry'!$B:$B,"")</f>
        <v/>
      </c>
      <c r="AW273" s="156" t="str">
        <f t="array" ref="AW273">xlookup(2,'Team Entry'!$C:$C,'Team Entry'!$A:$A,"")</f>
        <v>Team 2 (Playoff)</v>
      </c>
      <c r="BV273" s="168"/>
      <c r="BZ273" s="54"/>
      <c r="CA273" s="54"/>
      <c r="CB273" s="54"/>
      <c r="CC273" s="54"/>
      <c r="CD273" s="54"/>
      <c r="CE273" s="54"/>
      <c r="CF273" s="54"/>
      <c r="CG273" s="54"/>
      <c r="CH273" s="54"/>
      <c r="CI273" s="54"/>
      <c r="CJ273" s="54"/>
      <c r="CK273" s="54"/>
      <c r="CL273" s="54"/>
      <c r="CM273" s="54"/>
      <c r="CN273" s="54"/>
      <c r="CO273" s="54"/>
      <c r="CP273" s="54"/>
      <c r="CQ273" s="54"/>
      <c r="CR273" s="54"/>
      <c r="CS273" s="54"/>
      <c r="CT273" s="54"/>
      <c r="CU273" s="54"/>
      <c r="CV273" s="54"/>
      <c r="CW273" s="54"/>
      <c r="CX273" s="54"/>
      <c r="CY273" s="54"/>
      <c r="CZ273" s="54"/>
      <c r="DA273" s="54"/>
      <c r="DB273" s="54"/>
      <c r="DC273" s="54"/>
      <c r="DD273" s="54"/>
      <c r="DE273" s="54"/>
      <c r="DF273" s="54"/>
      <c r="DG273" s="54"/>
      <c r="DH273" s="54"/>
      <c r="DI273" s="54"/>
      <c r="DJ273" s="54"/>
      <c r="DK273" s="54"/>
      <c r="DL273" s="54"/>
      <c r="DM273" s="54"/>
      <c r="DN273" s="54"/>
      <c r="EV273" s="54"/>
      <c r="EW273" s="54"/>
      <c r="EX273" s="54"/>
      <c r="EY273" s="54"/>
      <c r="EZ273" s="54"/>
      <c r="FA273" s="54"/>
      <c r="FB273" s="54"/>
      <c r="FC273" s="54"/>
      <c r="FD273" s="54"/>
      <c r="HH273" s="54"/>
      <c r="HI273" s="54"/>
      <c r="HJ273" s="54"/>
      <c r="HK273" s="54"/>
      <c r="HL273" s="54"/>
      <c r="HM273" s="54"/>
      <c r="HN273" s="54"/>
      <c r="HO273" s="54"/>
      <c r="HP273" s="54"/>
      <c r="HQ273" s="54"/>
      <c r="HR273" s="54"/>
      <c r="HS273" s="54"/>
      <c r="HT273" s="54"/>
      <c r="HU273" s="54"/>
      <c r="HV273" s="54"/>
      <c r="HW273" s="54"/>
      <c r="HX273" s="54"/>
      <c r="HY273" s="54"/>
      <c r="HZ273" s="54"/>
      <c r="IA273" s="54"/>
      <c r="IB273" s="54"/>
      <c r="IC273" s="54"/>
      <c r="ID273" s="54"/>
      <c r="IE273" s="54"/>
      <c r="IF273" s="54"/>
      <c r="IG273" s="54"/>
      <c r="IH273" s="54"/>
      <c r="IU273" s="54"/>
      <c r="JI273" s="54"/>
      <c r="KM273" s="54"/>
      <c r="KN273" s="54"/>
      <c r="KO273" s="54"/>
      <c r="KP273" s="54"/>
      <c r="KQ273" s="54"/>
      <c r="KR273" s="54"/>
      <c r="KS273" s="54"/>
      <c r="KT273" s="54"/>
      <c r="KU273" s="54"/>
      <c r="KV273" s="54"/>
      <c r="KW273" s="54"/>
      <c r="KX273" s="54"/>
    </row>
    <row r="274" ht="5.2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c r="AH274" s="54"/>
      <c r="AI274" s="54"/>
      <c r="AJ274" s="54"/>
      <c r="AK274" s="54"/>
      <c r="AL274" s="54"/>
      <c r="AM274" s="54"/>
      <c r="AN274" s="54"/>
      <c r="AO274" s="54"/>
      <c r="AP274" s="54"/>
      <c r="AQ274" s="54"/>
      <c r="AR274" s="54"/>
      <c r="BZ274" s="54"/>
      <c r="CA274" s="54"/>
      <c r="CB274" s="54"/>
      <c r="CC274" s="54"/>
      <c r="CD274" s="54"/>
      <c r="CE274" s="54"/>
      <c r="CF274" s="54"/>
      <c r="CG274" s="54"/>
      <c r="CH274" s="54"/>
      <c r="CI274" s="54"/>
      <c r="CJ274" s="54"/>
      <c r="CK274" s="54"/>
      <c r="CL274" s="54"/>
      <c r="CM274" s="54"/>
      <c r="CN274" s="54"/>
      <c r="CO274" s="54"/>
      <c r="CP274" s="54"/>
      <c r="CQ274" s="54"/>
      <c r="CR274" s="54"/>
      <c r="CS274" s="54"/>
      <c r="CT274" s="54"/>
      <c r="CU274" s="54"/>
      <c r="CV274" s="54"/>
      <c r="CW274" s="54"/>
      <c r="CX274" s="54"/>
      <c r="CY274" s="54"/>
      <c r="CZ274" s="54"/>
      <c r="DA274" s="54"/>
      <c r="DB274" s="54"/>
      <c r="DC274" s="54"/>
      <c r="DD274" s="54"/>
      <c r="DE274" s="54"/>
      <c r="DF274" s="54"/>
      <c r="DG274" s="54"/>
      <c r="DH274" s="54"/>
      <c r="DI274" s="54"/>
      <c r="DJ274" s="54"/>
      <c r="DK274" s="54"/>
      <c r="DL274" s="173"/>
      <c r="DM274" s="171"/>
      <c r="DN274" s="171"/>
      <c r="EV274" s="54"/>
      <c r="EW274" s="54"/>
      <c r="EX274" s="54"/>
      <c r="EY274" s="54"/>
      <c r="EZ274" s="54"/>
      <c r="FA274" s="54"/>
      <c r="FB274" s="54"/>
      <c r="FC274" s="54"/>
      <c r="FD274" s="54"/>
      <c r="HH274" s="54"/>
      <c r="HI274" s="54"/>
      <c r="HJ274" s="54"/>
      <c r="HK274" s="54"/>
      <c r="HL274" s="54"/>
      <c r="HM274" s="54"/>
      <c r="HN274" s="54"/>
      <c r="HO274" s="54"/>
      <c r="HP274" s="54"/>
      <c r="HQ274" s="54"/>
      <c r="HR274" s="54"/>
      <c r="HS274" s="54"/>
      <c r="HT274" s="54"/>
      <c r="HU274" s="54"/>
      <c r="HV274" s="54"/>
      <c r="HW274" s="54"/>
      <c r="HX274" s="54"/>
      <c r="HY274" s="54"/>
      <c r="HZ274" s="54"/>
      <c r="IA274" s="54"/>
      <c r="IB274" s="54"/>
      <c r="IC274" s="54"/>
      <c r="ID274" s="54"/>
      <c r="IE274" s="54"/>
      <c r="IF274" s="54"/>
      <c r="IG274" s="54"/>
      <c r="IH274" s="54"/>
      <c r="IU274" s="54"/>
      <c r="JI274" s="54"/>
      <c r="KM274" s="54"/>
      <c r="KN274" s="54"/>
      <c r="KO274" s="54"/>
      <c r="KP274" s="54"/>
      <c r="KQ274" s="54"/>
      <c r="KR274" s="54"/>
      <c r="KS274" s="54"/>
      <c r="KT274" s="54"/>
      <c r="KU274" s="54"/>
      <c r="KV274" s="54"/>
      <c r="KW274" s="54"/>
      <c r="KX274" s="54"/>
    </row>
    <row r="275" ht="5.25" customHeight="1">
      <c r="A275" s="54"/>
      <c r="B275" s="54"/>
      <c r="C275" s="54"/>
      <c r="D275" s="54"/>
      <c r="E275" s="54"/>
      <c r="F275" s="54"/>
      <c r="G275" s="55">
        <v>3.0</v>
      </c>
      <c r="H275" s="82" t="str">
        <f t="array" ref="H275">xlookup(L275,'Team Entry'!$A:$A,'Team Entry'!$B:$B,"")</f>
        <v/>
      </c>
      <c r="L275" s="169" t="str">
        <f t="array" ref="L275">if($BX$163=0,"Swiss #3 Seed",xlookup(G275,data!$G$24:$G$39,data!$A$24:$A$39,""))</f>
        <v>Swiss #3 Seed</v>
      </c>
      <c r="AK275" s="168"/>
      <c r="AO275" s="54"/>
      <c r="AP275" s="54"/>
      <c r="AQ275" s="54"/>
      <c r="AR275" s="54"/>
      <c r="BZ275" s="54"/>
      <c r="CA275" s="54"/>
      <c r="CB275" s="54"/>
      <c r="CC275" s="54"/>
      <c r="CD275" s="54"/>
      <c r="CE275" s="54"/>
      <c r="CF275" s="54"/>
      <c r="CG275" s="54"/>
      <c r="CH275" s="54"/>
      <c r="CI275" s="54"/>
      <c r="CJ275" s="54"/>
      <c r="CK275" s="54"/>
      <c r="CL275" s="54"/>
      <c r="CM275" s="54"/>
      <c r="CN275" s="54"/>
      <c r="CO275" s="54"/>
      <c r="CP275" s="54"/>
      <c r="CQ275" s="54"/>
      <c r="CR275" s="54"/>
      <c r="CS275" s="54"/>
      <c r="CT275" s="54"/>
      <c r="CU275" s="54"/>
      <c r="CV275" s="54"/>
      <c r="CW275" s="54"/>
      <c r="CX275" s="54"/>
      <c r="CY275" s="54"/>
      <c r="CZ275" s="54"/>
      <c r="DA275" s="54"/>
      <c r="DB275" s="54"/>
      <c r="DC275" s="54"/>
      <c r="DD275" s="54"/>
      <c r="DE275" s="54"/>
      <c r="DF275" s="54"/>
      <c r="DG275" s="54"/>
      <c r="DH275" s="54"/>
      <c r="DI275" s="54"/>
      <c r="DJ275" s="54"/>
      <c r="DK275" s="54"/>
      <c r="DL275" s="173"/>
      <c r="DM275" s="54"/>
      <c r="DN275" s="54"/>
      <c r="EV275" s="54"/>
      <c r="EW275" s="54"/>
      <c r="EX275" s="54"/>
      <c r="EY275" s="54"/>
      <c r="EZ275" s="54"/>
      <c r="FA275" s="54"/>
      <c r="FB275" s="54"/>
      <c r="FC275" s="54"/>
      <c r="FD275" s="54"/>
      <c r="HH275" s="54"/>
      <c r="HI275" s="54"/>
      <c r="HJ275" s="54"/>
      <c r="HK275" s="54"/>
      <c r="HL275" s="54"/>
      <c r="HM275" s="54"/>
      <c r="HN275" s="54"/>
      <c r="HO275" s="54"/>
      <c r="HP275" s="54"/>
      <c r="HQ275" s="54"/>
      <c r="HR275" s="54"/>
      <c r="HS275" s="54"/>
      <c r="HT275" s="54"/>
      <c r="HU275" s="54"/>
      <c r="HV275" s="54"/>
      <c r="HW275" s="54"/>
      <c r="HX275" s="54"/>
      <c r="HY275" s="54"/>
      <c r="HZ275" s="54"/>
      <c r="IA275" s="54"/>
      <c r="IB275" s="54"/>
      <c r="IC275" s="54"/>
      <c r="ID275" s="54"/>
      <c r="IE275" s="54"/>
      <c r="IF275" s="54"/>
      <c r="IG275" s="54"/>
      <c r="IH275" s="54"/>
      <c r="IU275" s="54"/>
      <c r="JI275" s="54"/>
      <c r="JJ275" s="158"/>
      <c r="JK275" s="158"/>
      <c r="JL275" s="158"/>
      <c r="JM275" s="158"/>
      <c r="JN275" s="158"/>
      <c r="JO275" s="158"/>
      <c r="JP275" s="158"/>
      <c r="JQ275" s="158"/>
      <c r="JR275" s="158"/>
      <c r="JS275" s="158"/>
      <c r="JT275" s="158"/>
      <c r="JU275" s="158"/>
      <c r="JV275" s="158"/>
      <c r="JW275" s="158"/>
      <c r="JX275" s="158"/>
      <c r="JY275" s="158"/>
      <c r="JZ275" s="158"/>
      <c r="KA275" s="158"/>
      <c r="KB275" s="158"/>
      <c r="KC275" s="158"/>
      <c r="KD275" s="158"/>
      <c r="KE275" s="158"/>
      <c r="KF275" s="158"/>
      <c r="KG275" s="158"/>
      <c r="KH275" s="158"/>
      <c r="KI275" s="158"/>
      <c r="KJ275" s="158"/>
      <c r="KK275" s="158"/>
      <c r="KL275" s="158"/>
      <c r="KM275" s="54"/>
      <c r="KN275" s="54"/>
      <c r="KO275" s="54"/>
      <c r="KP275" s="54"/>
      <c r="KQ275" s="54"/>
      <c r="KR275" s="54"/>
      <c r="KS275" s="54"/>
      <c r="KT275" s="54"/>
      <c r="KU275" s="54"/>
      <c r="KV275" s="54"/>
      <c r="KW275" s="54"/>
      <c r="KX275" s="54"/>
    </row>
    <row r="276" ht="5.25" customHeight="1">
      <c r="A276" s="54"/>
      <c r="B276" s="54"/>
      <c r="C276" s="54"/>
      <c r="D276" s="54"/>
      <c r="E276" s="54"/>
      <c r="F276" s="54"/>
      <c r="G276" s="54"/>
      <c r="AO276" s="54"/>
      <c r="AP276" s="54"/>
      <c r="AQ276" s="54"/>
      <c r="AR276" s="54"/>
      <c r="AS276" s="170"/>
      <c r="AT276" s="170"/>
      <c r="AU276" s="170"/>
      <c r="AV276" s="170"/>
      <c r="AW276" s="170"/>
      <c r="AX276" s="170"/>
      <c r="AY276" s="170"/>
      <c r="AZ276" s="170"/>
      <c r="BA276" s="170"/>
      <c r="BB276" s="170"/>
      <c r="BC276" s="170"/>
      <c r="BD276" s="170"/>
      <c r="BE276" s="170"/>
      <c r="BF276" s="170"/>
      <c r="BG276" s="170"/>
      <c r="BH276" s="170"/>
      <c r="BI276" s="170"/>
      <c r="BJ276" s="170"/>
      <c r="BK276" s="170"/>
      <c r="BL276" s="170"/>
      <c r="BM276" s="170"/>
      <c r="BN276" s="170"/>
      <c r="BO276" s="170"/>
      <c r="BP276" s="170"/>
      <c r="BQ276" s="170"/>
      <c r="BR276" s="170"/>
      <c r="BS276" s="170"/>
      <c r="BT276" s="170"/>
      <c r="BU276" s="170"/>
      <c r="BV276" s="170"/>
      <c r="BW276" s="170"/>
      <c r="BX276" s="170"/>
      <c r="BY276" s="170"/>
      <c r="BZ276" s="54"/>
      <c r="CA276" s="54"/>
      <c r="CB276" s="54"/>
      <c r="CC276" s="54"/>
      <c r="CD276" s="54"/>
      <c r="CE276" s="54"/>
      <c r="CF276" s="54"/>
      <c r="CG276" s="54"/>
      <c r="CH276" s="54"/>
      <c r="CI276" s="54"/>
      <c r="CJ276" s="54"/>
      <c r="CK276" s="54"/>
      <c r="CL276" s="54"/>
      <c r="CM276" s="54"/>
      <c r="CN276" s="54"/>
      <c r="CO276" s="54"/>
      <c r="CP276" s="54"/>
      <c r="CQ276" s="54"/>
      <c r="CR276" s="54"/>
      <c r="CS276" s="54"/>
      <c r="CT276" s="54"/>
      <c r="CU276" s="54"/>
      <c r="CV276" s="54"/>
      <c r="CW276" s="54"/>
      <c r="CX276" s="54"/>
      <c r="CY276" s="54"/>
      <c r="CZ276" s="54"/>
      <c r="DA276" s="54"/>
      <c r="DB276" s="54"/>
      <c r="DC276" s="54"/>
      <c r="DD276" s="54"/>
      <c r="DE276" s="54"/>
      <c r="DF276" s="54"/>
      <c r="DG276" s="54"/>
      <c r="DH276" s="54"/>
      <c r="DI276" s="54"/>
      <c r="DJ276" s="54"/>
      <c r="DK276" s="54"/>
      <c r="DL276" s="173"/>
      <c r="DM276" s="54"/>
      <c r="DN276" s="54"/>
      <c r="DO276" s="54"/>
      <c r="DP276" s="54"/>
      <c r="DQ276" s="54"/>
      <c r="DR276" s="54"/>
      <c r="DS276" s="54"/>
      <c r="DT276" s="54"/>
      <c r="DU276" s="54"/>
      <c r="DV276" s="54"/>
      <c r="DW276" s="54"/>
      <c r="DX276" s="54"/>
      <c r="DY276" s="54"/>
      <c r="DZ276" s="54"/>
      <c r="EA276" s="54"/>
      <c r="EB276" s="54"/>
      <c r="EC276" s="54"/>
      <c r="ED276" s="54"/>
      <c r="EE276" s="54"/>
      <c r="EF276" s="54"/>
      <c r="EG276" s="54"/>
      <c r="EH276" s="54"/>
      <c r="EI276" s="54"/>
      <c r="EJ276" s="54"/>
      <c r="EK276" s="54"/>
      <c r="EL276" s="54"/>
      <c r="EM276" s="54"/>
      <c r="EN276" s="54"/>
      <c r="EO276" s="54"/>
      <c r="EP276" s="54"/>
      <c r="EQ276" s="54"/>
      <c r="ER276" s="54"/>
      <c r="ES276" s="54"/>
      <c r="ET276" s="54"/>
      <c r="EU276" s="54"/>
      <c r="EV276" s="54"/>
      <c r="EW276" s="54"/>
      <c r="EX276" s="54"/>
      <c r="EY276" s="54"/>
      <c r="EZ276" s="54"/>
      <c r="FA276" s="54"/>
      <c r="FB276" s="54"/>
      <c r="FC276" s="54"/>
      <c r="FD276" s="54"/>
      <c r="FE276" s="54"/>
      <c r="FF276" s="54"/>
      <c r="FG276" s="54"/>
      <c r="FH276" s="54"/>
      <c r="FI276" s="54"/>
      <c r="FJ276" s="54"/>
      <c r="FK276" s="54"/>
      <c r="FL276" s="54"/>
      <c r="FM276" s="54"/>
      <c r="FN276" s="54"/>
      <c r="FO276" s="54"/>
      <c r="FP276" s="54"/>
      <c r="FQ276" s="54"/>
      <c r="FR276" s="54"/>
      <c r="FS276" s="54"/>
      <c r="FT276" s="54"/>
      <c r="FU276" s="54"/>
      <c r="FV276" s="54"/>
      <c r="FW276" s="54"/>
      <c r="FX276" s="54"/>
      <c r="FY276" s="54"/>
      <c r="FZ276" s="54"/>
      <c r="GA276" s="54"/>
      <c r="GB276" s="54"/>
      <c r="GC276" s="54"/>
      <c r="GD276" s="54"/>
      <c r="GE276" s="54"/>
      <c r="GF276" s="54"/>
      <c r="GG276" s="54"/>
      <c r="GH276" s="54"/>
      <c r="GI276" s="54"/>
      <c r="GJ276" s="54"/>
      <c r="GK276" s="54"/>
      <c r="GL276" s="54"/>
      <c r="GM276" s="54"/>
      <c r="GN276" s="54"/>
      <c r="GO276" s="54"/>
      <c r="GP276" s="54"/>
      <c r="GQ276" s="54"/>
      <c r="GR276" s="54"/>
      <c r="GS276" s="54"/>
      <c r="GT276" s="54"/>
      <c r="GU276" s="54"/>
      <c r="GV276" s="54"/>
      <c r="GW276" s="54"/>
      <c r="GX276" s="54"/>
      <c r="GY276" s="54"/>
      <c r="GZ276" s="54"/>
      <c r="HA276" s="54"/>
      <c r="HB276" s="54"/>
      <c r="HC276" s="54"/>
      <c r="HD276" s="54"/>
      <c r="HE276" s="54"/>
      <c r="HF276" s="54"/>
      <c r="HG276" s="54"/>
      <c r="HH276" s="54"/>
      <c r="HI276" s="54"/>
      <c r="HJ276" s="54"/>
      <c r="HK276" s="54"/>
      <c r="HL276" s="54"/>
      <c r="HM276" s="54"/>
      <c r="HN276" s="54"/>
      <c r="HO276" s="54"/>
      <c r="HP276" s="54"/>
      <c r="HQ276" s="54"/>
      <c r="HR276" s="54"/>
      <c r="HS276" s="54"/>
      <c r="HT276" s="54"/>
      <c r="HU276" s="54"/>
      <c r="HV276" s="54"/>
      <c r="HW276" s="54"/>
      <c r="HX276" s="54"/>
      <c r="HY276" s="54"/>
      <c r="HZ276" s="54"/>
      <c r="IA276" s="54"/>
      <c r="IB276" s="54"/>
      <c r="IC276" s="54"/>
      <c r="ID276" s="54"/>
      <c r="IE276" s="54"/>
      <c r="IF276" s="54"/>
      <c r="IG276" s="54"/>
      <c r="IH276" s="54"/>
      <c r="IU276" s="54"/>
      <c r="JI276" s="54"/>
      <c r="JJ276" s="82" t="str">
        <f t="array" ref="JJ276">xlookup(JN276,'Team Entry'!$A:$A,'Team Entry'!$B:$B,"")</f>
        <v/>
      </c>
      <c r="JN276" s="156" t="str">
        <f>ifs(or(AK275="",AK279="",AK275=AK279),"TBD",AK275&gt;AK279,L279,AK279&gt;AK275,L275)</f>
        <v>TBD</v>
      </c>
      <c r="KM276" s="54"/>
      <c r="KN276" s="54"/>
      <c r="KO276" s="54"/>
      <c r="KP276" s="54"/>
      <c r="KQ276" s="54"/>
      <c r="KR276" s="54"/>
      <c r="KS276" s="54"/>
      <c r="KT276" s="54"/>
      <c r="KU276" s="54"/>
      <c r="KV276" s="54"/>
      <c r="KW276" s="54"/>
      <c r="KX276" s="54"/>
    </row>
    <row r="277" ht="5.25" customHeight="1">
      <c r="A277" s="54"/>
      <c r="B277" s="54"/>
      <c r="C277" s="54"/>
      <c r="D277" s="54"/>
      <c r="E277" s="54"/>
      <c r="F277" s="54"/>
      <c r="G277" s="54"/>
      <c r="AO277" s="54"/>
      <c r="AP277" s="54"/>
      <c r="AQ277" s="54"/>
      <c r="AR277" s="55">
        <v>8.0</v>
      </c>
      <c r="AS277" s="82" t="str">
        <f t="array" ref="AS277">xlookup(AW277,'Team Entry'!$A:$A,'Team Entry'!$B:$B,"")</f>
        <v/>
      </c>
      <c r="AW277" s="156" t="str">
        <f>ifs(or(AK275="",AK279="",AK275=AK279),"",AK275&gt;AK279,L275,AK279&gt;AK275,L279)</f>
        <v/>
      </c>
      <c r="BV277" s="168"/>
      <c r="BZ277" s="171"/>
      <c r="CA277" s="172"/>
      <c r="CB277" s="54"/>
      <c r="CC277" s="54"/>
      <c r="CD277" s="54"/>
      <c r="CE277" s="54"/>
      <c r="CF277" s="54"/>
      <c r="CG277" s="54"/>
      <c r="CH277" s="54"/>
      <c r="CI277" s="54"/>
      <c r="CJ277" s="54"/>
      <c r="CK277" s="54"/>
      <c r="CL277" s="54"/>
      <c r="CM277" s="54"/>
      <c r="CN277" s="54"/>
      <c r="CO277" s="54"/>
      <c r="CP277" s="54"/>
      <c r="CQ277" s="54"/>
      <c r="CR277" s="54"/>
      <c r="CS277" s="54"/>
      <c r="CT277" s="54"/>
      <c r="CU277" s="54"/>
      <c r="CV277" s="54"/>
      <c r="CW277" s="54"/>
      <c r="CX277" s="54"/>
      <c r="CY277" s="54"/>
      <c r="CZ277" s="54"/>
      <c r="DA277" s="54"/>
      <c r="DB277" s="54"/>
      <c r="DC277" s="54"/>
      <c r="DD277" s="54"/>
      <c r="DE277" s="54"/>
      <c r="DF277" s="54"/>
      <c r="DG277" s="54"/>
      <c r="DH277" s="54"/>
      <c r="DI277" s="54"/>
      <c r="DJ277" s="54"/>
      <c r="DK277" s="54"/>
      <c r="DL277" s="173"/>
      <c r="DM277" s="54"/>
      <c r="DN277" s="54"/>
      <c r="DO277" s="54"/>
      <c r="DP277" s="54"/>
      <c r="DQ277" s="54"/>
      <c r="DR277" s="54"/>
      <c r="DS277" s="54"/>
      <c r="DT277" s="54"/>
      <c r="DU277" s="54"/>
      <c r="DV277" s="54"/>
      <c r="DW277" s="54"/>
      <c r="DX277" s="54"/>
      <c r="DY277" s="54"/>
      <c r="DZ277" s="54"/>
      <c r="EA277" s="54"/>
      <c r="EB277" s="54"/>
      <c r="EC277" s="54"/>
      <c r="ED277" s="54"/>
      <c r="EE277" s="54"/>
      <c r="EF277" s="54"/>
      <c r="EG277" s="54"/>
      <c r="EH277" s="54"/>
      <c r="EI277" s="54"/>
      <c r="EJ277" s="54"/>
      <c r="EK277" s="54"/>
      <c r="EL277" s="54"/>
      <c r="EM277" s="54"/>
      <c r="EN277" s="54"/>
      <c r="EO277" s="54"/>
      <c r="EP277" s="54"/>
      <c r="EQ277" s="54"/>
      <c r="ER277" s="54"/>
      <c r="ES277" s="54"/>
      <c r="ET277" s="54"/>
      <c r="EU277" s="54"/>
      <c r="EV277" s="54"/>
      <c r="EW277" s="54"/>
      <c r="EX277" s="54"/>
      <c r="EY277" s="54"/>
      <c r="EZ277" s="54"/>
      <c r="FA277" s="54"/>
      <c r="FB277" s="54"/>
      <c r="FC277" s="54"/>
      <c r="FD277" s="54"/>
      <c r="FE277" s="54"/>
      <c r="FF277" s="54"/>
      <c r="FG277" s="54"/>
      <c r="FH277" s="54"/>
      <c r="FI277" s="54"/>
      <c r="FJ277" s="54"/>
      <c r="FK277" s="54"/>
      <c r="FL277" s="54"/>
      <c r="FM277" s="54"/>
      <c r="FN277" s="54"/>
      <c r="FO277" s="54"/>
      <c r="FP277" s="54"/>
      <c r="FQ277" s="54"/>
      <c r="FR277" s="54"/>
      <c r="FS277" s="54"/>
      <c r="FT277" s="54"/>
      <c r="FU277" s="54"/>
      <c r="FV277" s="54"/>
      <c r="FW277" s="54"/>
      <c r="FX277" s="54"/>
      <c r="FY277" s="54"/>
      <c r="FZ277" s="54"/>
      <c r="GA277" s="54"/>
      <c r="GB277" s="54"/>
      <c r="GC277" s="54"/>
      <c r="GD277" s="54"/>
      <c r="GE277" s="54"/>
      <c r="GF277" s="54"/>
      <c r="GG277" s="54"/>
      <c r="GH277" s="54"/>
      <c r="GI277" s="54"/>
      <c r="GJ277" s="54"/>
      <c r="GK277" s="54"/>
      <c r="GL277" s="54"/>
      <c r="GM277" s="54"/>
      <c r="GN277" s="54"/>
      <c r="GO277" s="54"/>
      <c r="GP277" s="54"/>
      <c r="GQ277" s="54"/>
      <c r="GR277" s="54"/>
      <c r="GS277" s="54"/>
      <c r="GT277" s="54"/>
      <c r="GU277" s="54"/>
      <c r="GV277" s="54"/>
      <c r="GW277" s="54"/>
      <c r="GX277" s="54"/>
      <c r="GY277" s="54"/>
      <c r="GZ277" s="54"/>
      <c r="HA277" s="54"/>
      <c r="HB277" s="54"/>
      <c r="HC277" s="54"/>
      <c r="HD277" s="54"/>
      <c r="HE277" s="54"/>
      <c r="HF277" s="54"/>
      <c r="HG277" s="54"/>
      <c r="HH277" s="54"/>
      <c r="HI277" s="54"/>
      <c r="HJ277" s="54"/>
      <c r="HK277" s="54"/>
      <c r="HL277" s="54"/>
      <c r="HM277" s="54"/>
      <c r="HN277" s="54"/>
      <c r="HO277" s="54"/>
      <c r="HP277" s="54"/>
      <c r="HQ277" s="54"/>
      <c r="HR277" s="54"/>
      <c r="HS277" s="54"/>
      <c r="HT277" s="54"/>
      <c r="HU277" s="54"/>
      <c r="HV277" s="54"/>
      <c r="HW277" s="54"/>
      <c r="HX277" s="54"/>
      <c r="HY277" s="54"/>
      <c r="HZ277" s="54"/>
      <c r="IA277" s="54"/>
      <c r="IB277" s="54"/>
      <c r="IC277" s="54"/>
      <c r="ID277" s="54"/>
      <c r="IE277" s="54"/>
      <c r="IF277" s="54"/>
      <c r="IG277" s="54"/>
      <c r="IH277" s="54"/>
      <c r="IU277" s="54"/>
      <c r="JI277" s="54"/>
      <c r="KM277" s="54"/>
      <c r="KN277" s="54"/>
      <c r="KO277" s="54"/>
      <c r="KP277" s="54"/>
      <c r="KQ277" s="54"/>
      <c r="KR277" s="54"/>
      <c r="KS277" s="54"/>
      <c r="KT277" s="54"/>
      <c r="KU277" s="54"/>
      <c r="KV277" s="54"/>
      <c r="KW277" s="54"/>
      <c r="KX277" s="54"/>
    </row>
    <row r="278" ht="5.25" customHeight="1">
      <c r="A278" s="54"/>
      <c r="B278" s="54"/>
      <c r="C278" s="54"/>
      <c r="D278" s="54"/>
      <c r="E278" s="54"/>
      <c r="F278" s="54"/>
      <c r="G278" s="54"/>
      <c r="H278" s="170"/>
      <c r="I278" s="170"/>
      <c r="J278" s="170"/>
      <c r="K278" s="170"/>
      <c r="L278" s="170"/>
      <c r="M278" s="170"/>
      <c r="N278" s="170"/>
      <c r="O278" s="170"/>
      <c r="P278" s="170"/>
      <c r="Q278" s="170"/>
      <c r="R278" s="170"/>
      <c r="S278" s="170"/>
      <c r="T278" s="170"/>
      <c r="U278" s="170"/>
      <c r="V278" s="170"/>
      <c r="W278" s="170"/>
      <c r="X278" s="170"/>
      <c r="Y278" s="170"/>
      <c r="Z278" s="170"/>
      <c r="AA278" s="170"/>
      <c r="AB278" s="170"/>
      <c r="AC278" s="170"/>
      <c r="AD278" s="170"/>
      <c r="AE278" s="170"/>
      <c r="AF278" s="170"/>
      <c r="AG278" s="170"/>
      <c r="AH278" s="170"/>
      <c r="AI278" s="170"/>
      <c r="AJ278" s="170"/>
      <c r="AK278" s="170"/>
      <c r="AL278" s="170"/>
      <c r="AM278" s="170"/>
      <c r="AN278" s="170"/>
      <c r="AO278" s="54"/>
      <c r="AP278" s="54"/>
      <c r="AQ278" s="54"/>
      <c r="AR278" s="54"/>
      <c r="BZ278" s="54"/>
      <c r="CA278" s="173"/>
      <c r="CB278" s="54"/>
      <c r="CC278" s="54"/>
      <c r="CD278" s="82" t="str">
        <f t="array" ref="CD278">xlookup(CH278,'Team Entry'!$A:$A,'Team Entry'!$B:$B,"")</f>
        <v/>
      </c>
      <c r="CH278" s="156" t="str">
        <f>ifs(or(BV273="",BV277="",BV273=BV277),"",BV273&gt;BV277,AW273,BV277&gt;BV273,AW277)</f>
        <v/>
      </c>
      <c r="DG278" s="168"/>
      <c r="DK278" s="54"/>
      <c r="DL278" s="173"/>
      <c r="DM278" s="54"/>
      <c r="DN278" s="54"/>
      <c r="DO278" s="54"/>
      <c r="DP278" s="54"/>
      <c r="DQ278" s="54"/>
      <c r="DR278" s="54"/>
      <c r="DS278" s="54"/>
      <c r="DT278" s="54"/>
      <c r="DU278" s="54"/>
      <c r="DV278" s="54"/>
      <c r="DW278" s="54"/>
      <c r="DX278" s="54"/>
      <c r="DY278" s="54"/>
      <c r="DZ278" s="54"/>
      <c r="EA278" s="54"/>
      <c r="EB278" s="54"/>
      <c r="EC278" s="54"/>
      <c r="ED278" s="54"/>
      <c r="EE278" s="54"/>
      <c r="EF278" s="54"/>
      <c r="EG278" s="54"/>
      <c r="EH278" s="54"/>
      <c r="EI278" s="54"/>
      <c r="EJ278" s="54"/>
      <c r="EK278" s="54"/>
      <c r="EL278" s="54"/>
      <c r="EM278" s="54"/>
      <c r="EN278" s="54"/>
      <c r="EO278" s="54"/>
      <c r="EP278" s="54"/>
      <c r="EQ278" s="54"/>
      <c r="ER278" s="54"/>
      <c r="ES278" s="54"/>
      <c r="ET278" s="54"/>
      <c r="EU278" s="54"/>
      <c r="EV278" s="54"/>
      <c r="EW278" s="54"/>
      <c r="EX278" s="54"/>
      <c r="EY278" s="54"/>
      <c r="EZ278" s="54"/>
      <c r="FA278" s="54"/>
      <c r="FB278" s="54"/>
      <c r="FC278" s="54"/>
      <c r="FD278" s="54"/>
      <c r="FE278" s="54"/>
      <c r="FF278" s="54"/>
      <c r="FG278" s="54"/>
      <c r="FH278" s="54"/>
      <c r="FI278" s="54"/>
      <c r="FJ278" s="54"/>
      <c r="FK278" s="54"/>
      <c r="FL278" s="54"/>
      <c r="FM278" s="54"/>
      <c r="FN278" s="54"/>
      <c r="FO278" s="54"/>
      <c r="FP278" s="54"/>
      <c r="FQ278" s="54"/>
      <c r="FR278" s="54"/>
      <c r="FS278" s="54"/>
      <c r="FT278" s="54"/>
      <c r="FU278" s="54"/>
      <c r="FV278" s="54"/>
      <c r="FW278" s="54"/>
      <c r="FX278" s="54"/>
      <c r="FY278" s="54"/>
      <c r="FZ278" s="54"/>
      <c r="GA278" s="54"/>
      <c r="GB278" s="54"/>
      <c r="GC278" s="54"/>
      <c r="GD278" s="54"/>
      <c r="GE278" s="54"/>
      <c r="GF278" s="54"/>
      <c r="GG278" s="54"/>
      <c r="GH278" s="54"/>
      <c r="GI278" s="54"/>
      <c r="GJ278" s="54"/>
      <c r="GK278" s="54"/>
      <c r="GL278" s="54"/>
      <c r="GM278" s="54"/>
      <c r="GN278" s="54"/>
      <c r="GO278" s="54"/>
      <c r="GP278" s="54"/>
      <c r="GQ278" s="54"/>
      <c r="GR278" s="54"/>
      <c r="GS278" s="54"/>
      <c r="GT278" s="54"/>
      <c r="GU278" s="54"/>
      <c r="GV278" s="54"/>
      <c r="GW278" s="54"/>
      <c r="GX278" s="54"/>
      <c r="GY278" s="54"/>
      <c r="GZ278" s="54"/>
      <c r="HA278" s="54"/>
      <c r="HB278" s="54"/>
      <c r="HC278" s="54"/>
      <c r="HD278" s="54"/>
      <c r="HE278" s="54"/>
      <c r="HF278" s="54"/>
      <c r="HG278" s="54"/>
      <c r="HH278" s="54"/>
      <c r="HI278" s="54"/>
      <c r="HJ278" s="54"/>
      <c r="HK278" s="54"/>
      <c r="HL278" s="54"/>
      <c r="HM278" s="54"/>
      <c r="HN278" s="54"/>
      <c r="HO278" s="54"/>
      <c r="HP278" s="54"/>
      <c r="HQ278" s="54"/>
      <c r="HR278" s="54"/>
      <c r="HS278" s="54"/>
      <c r="HT278" s="54"/>
      <c r="HU278" s="54"/>
      <c r="HV278" s="54"/>
      <c r="HW278" s="54"/>
      <c r="HX278" s="54"/>
      <c r="HY278" s="54"/>
      <c r="HZ278" s="54"/>
      <c r="IA278" s="54"/>
      <c r="IB278" s="54"/>
      <c r="IC278" s="54"/>
      <c r="ID278" s="54"/>
      <c r="IE278" s="54"/>
      <c r="IF278" s="54"/>
      <c r="IG278" s="54"/>
      <c r="IH278" s="54"/>
      <c r="IU278" s="54"/>
      <c r="JI278" s="54"/>
      <c r="KM278" s="54"/>
      <c r="KN278" s="54"/>
      <c r="KO278" s="54"/>
      <c r="KP278" s="54"/>
      <c r="KQ278" s="54"/>
      <c r="KR278" s="54"/>
      <c r="KS278" s="54"/>
      <c r="KT278" s="54"/>
      <c r="KU278" s="54"/>
      <c r="KV278" s="54"/>
      <c r="KW278" s="54"/>
      <c r="KX278" s="54"/>
    </row>
    <row r="279" ht="5.25" customHeight="1">
      <c r="A279" s="54"/>
      <c r="B279" s="54"/>
      <c r="C279" s="54"/>
      <c r="D279" s="54"/>
      <c r="E279" s="54"/>
      <c r="F279" s="54"/>
      <c r="G279" s="55">
        <v>6.0</v>
      </c>
      <c r="H279" s="82" t="str">
        <f t="array" ref="H279">xlookup(L279,'Team Entry'!$A:$A,'Team Entry'!$B:$B,"")</f>
        <v/>
      </c>
      <c r="L279" s="169" t="str">
        <f t="array" ref="L279">if($DD$199=0,"Swiss #6 Seed",xlookup(G279,data!$G$24:$G$39,data!$A$24:$A$39,""))</f>
        <v>Swiss #6 Seed</v>
      </c>
      <c r="AK279" s="168"/>
      <c r="AO279" s="157"/>
      <c r="AP279" s="157"/>
      <c r="AQ279" s="157"/>
      <c r="AR279" s="157"/>
      <c r="BZ279" s="54"/>
      <c r="CA279" s="173"/>
      <c r="CB279" s="54"/>
      <c r="CC279" s="54"/>
      <c r="DK279" s="54"/>
      <c r="DL279" s="173"/>
      <c r="DM279" s="54"/>
      <c r="DN279" s="54"/>
      <c r="DO279" s="54"/>
      <c r="DP279" s="54"/>
      <c r="DQ279" s="54"/>
      <c r="DR279" s="54"/>
      <c r="DS279" s="54"/>
      <c r="DT279" s="54"/>
      <c r="DU279" s="54"/>
      <c r="DV279" s="54"/>
      <c r="DW279" s="54"/>
      <c r="DX279" s="54"/>
      <c r="DY279" s="54"/>
      <c r="DZ279" s="54"/>
      <c r="EA279" s="54"/>
      <c r="EB279" s="54"/>
      <c r="EC279" s="54"/>
      <c r="ED279" s="54"/>
      <c r="EE279" s="54"/>
      <c r="EF279" s="54"/>
      <c r="EG279" s="54"/>
      <c r="EH279" s="54"/>
      <c r="EI279" s="54"/>
      <c r="EJ279" s="54"/>
      <c r="EK279" s="54"/>
      <c r="EL279" s="54"/>
      <c r="EM279" s="54"/>
      <c r="EN279" s="54"/>
      <c r="EO279" s="54"/>
      <c r="EP279" s="54"/>
      <c r="EQ279" s="54"/>
      <c r="ER279" s="54"/>
      <c r="ES279" s="54"/>
      <c r="ET279" s="54"/>
      <c r="EU279" s="54"/>
      <c r="EV279" s="54"/>
      <c r="EW279" s="54"/>
      <c r="EX279" s="54"/>
      <c r="EY279" s="54"/>
      <c r="EZ279" s="54"/>
      <c r="FA279" s="54"/>
      <c r="FB279" s="54"/>
      <c r="FC279" s="54"/>
      <c r="FD279" s="54"/>
      <c r="FE279" s="54"/>
      <c r="FF279" s="54"/>
      <c r="FG279" s="54"/>
      <c r="FH279" s="54"/>
      <c r="FI279" s="54"/>
      <c r="FJ279" s="54"/>
      <c r="FK279" s="54"/>
      <c r="FL279" s="54"/>
      <c r="FM279" s="54"/>
      <c r="FN279" s="54"/>
      <c r="FO279" s="54"/>
      <c r="FP279" s="54"/>
      <c r="FQ279" s="54"/>
      <c r="FR279" s="54"/>
      <c r="FS279" s="54"/>
      <c r="FT279" s="54"/>
      <c r="FU279" s="54"/>
      <c r="FV279" s="54"/>
      <c r="FW279" s="54"/>
      <c r="FX279" s="54"/>
      <c r="FY279" s="54"/>
      <c r="FZ279" s="54"/>
      <c r="GA279" s="54"/>
      <c r="GB279" s="54"/>
      <c r="GC279" s="54"/>
      <c r="GD279" s="54"/>
      <c r="GE279" s="54"/>
      <c r="GF279" s="54"/>
      <c r="GG279" s="54"/>
      <c r="GH279" s="54"/>
      <c r="GI279" s="54"/>
      <c r="GJ279" s="54"/>
      <c r="GK279" s="54"/>
      <c r="GL279" s="54"/>
      <c r="GM279" s="54"/>
      <c r="GN279" s="54"/>
      <c r="GO279" s="54"/>
      <c r="GP279" s="54"/>
      <c r="GQ279" s="54"/>
      <c r="GR279" s="54"/>
      <c r="GS279" s="54"/>
      <c r="GT279" s="54"/>
      <c r="GU279" s="54"/>
      <c r="GV279" s="54"/>
      <c r="GW279" s="54"/>
      <c r="GX279" s="54"/>
      <c r="GY279" s="54"/>
      <c r="GZ279" s="54"/>
      <c r="HA279" s="54"/>
      <c r="HB279" s="54"/>
      <c r="HC279" s="54"/>
      <c r="HD279" s="54"/>
      <c r="HE279" s="54"/>
      <c r="HF279" s="54"/>
      <c r="HG279" s="54"/>
      <c r="HH279" s="54"/>
      <c r="HI279" s="54"/>
      <c r="HJ279" s="54"/>
      <c r="HK279" s="54"/>
      <c r="HL279" s="54"/>
      <c r="HM279" s="54"/>
      <c r="HN279" s="54"/>
      <c r="HO279" s="54"/>
      <c r="HP279" s="54"/>
      <c r="HQ279" s="54"/>
      <c r="HR279" s="54"/>
      <c r="HS279" s="54"/>
      <c r="HT279" s="54"/>
      <c r="HU279" s="54"/>
      <c r="HV279" s="54"/>
      <c r="HW279" s="54"/>
      <c r="HX279" s="54"/>
      <c r="HY279" s="54"/>
      <c r="HZ279" s="54"/>
      <c r="IA279" s="54"/>
      <c r="IB279" s="54"/>
      <c r="IC279" s="54"/>
      <c r="ID279" s="54"/>
      <c r="IE279" s="54"/>
      <c r="IF279" s="54"/>
      <c r="IG279" s="54"/>
      <c r="IH279" s="54"/>
      <c r="IU279" s="54"/>
      <c r="JI279" s="54"/>
      <c r="JJ279" s="158"/>
      <c r="JK279" s="158"/>
      <c r="JL279" s="158"/>
      <c r="JM279" s="158"/>
      <c r="JN279" s="158"/>
      <c r="JO279" s="158"/>
      <c r="JP279" s="158"/>
      <c r="JQ279" s="158"/>
      <c r="JR279" s="158"/>
      <c r="JS279" s="158"/>
      <c r="JT279" s="158"/>
      <c r="JU279" s="158"/>
      <c r="JV279" s="158"/>
      <c r="JW279" s="158"/>
      <c r="JX279" s="158"/>
      <c r="JY279" s="158"/>
      <c r="JZ279" s="158"/>
      <c r="KA279" s="158"/>
      <c r="KB279" s="158"/>
      <c r="KC279" s="158"/>
      <c r="KD279" s="158"/>
      <c r="KE279" s="158"/>
      <c r="KF279" s="158"/>
      <c r="KG279" s="158"/>
      <c r="KH279" s="158"/>
      <c r="KI279" s="158"/>
      <c r="KJ279" s="158"/>
      <c r="KK279" s="158"/>
      <c r="KL279" s="158"/>
      <c r="KM279" s="54"/>
      <c r="KN279" s="54"/>
      <c r="KO279" s="54"/>
      <c r="KP279" s="54"/>
      <c r="KQ279" s="54"/>
      <c r="KR279" s="54"/>
      <c r="KS279" s="54"/>
      <c r="KT279" s="54"/>
      <c r="KU279" s="54"/>
      <c r="KV279" s="54"/>
      <c r="KW279" s="54"/>
      <c r="KX279" s="54"/>
    </row>
    <row r="280" ht="5.25" customHeight="1">
      <c r="A280" s="54"/>
      <c r="B280" s="54"/>
      <c r="C280" s="54"/>
      <c r="D280" s="54"/>
      <c r="E280" s="54"/>
      <c r="F280" s="54"/>
      <c r="G280" s="54"/>
      <c r="AO280" s="54"/>
      <c r="AP280" s="54"/>
      <c r="AQ280" s="54"/>
      <c r="AR280" s="54"/>
      <c r="BZ280" s="54"/>
      <c r="CA280" s="54"/>
      <c r="CB280" s="171"/>
      <c r="CC280" s="171"/>
      <c r="DK280" s="54"/>
      <c r="DL280" s="173"/>
      <c r="DM280" s="54"/>
      <c r="DN280" s="54"/>
      <c r="DO280" s="54"/>
      <c r="DP280" s="54"/>
      <c r="DQ280" s="54"/>
      <c r="DR280" s="54"/>
      <c r="DS280" s="54"/>
      <c r="DT280" s="54"/>
      <c r="DU280" s="54"/>
      <c r="DV280" s="54"/>
      <c r="DW280" s="54"/>
      <c r="DX280" s="54"/>
      <c r="DY280" s="54"/>
      <c r="DZ280" s="54"/>
      <c r="EA280" s="54"/>
      <c r="EB280" s="54"/>
      <c r="EC280" s="54"/>
      <c r="ED280" s="54"/>
      <c r="EE280" s="54"/>
      <c r="EF280" s="54"/>
      <c r="EG280" s="54"/>
      <c r="EH280" s="54"/>
      <c r="EI280" s="54"/>
      <c r="EJ280" s="54"/>
      <c r="EK280" s="54"/>
      <c r="EL280" s="54"/>
      <c r="EM280" s="54"/>
      <c r="EN280" s="54"/>
      <c r="EO280" s="54"/>
      <c r="EP280" s="54"/>
      <c r="EQ280" s="54"/>
      <c r="ER280" s="54"/>
      <c r="ES280" s="54"/>
      <c r="ET280" s="54"/>
      <c r="EU280" s="54"/>
      <c r="EV280" s="54"/>
      <c r="EW280" s="54"/>
      <c r="EX280" s="54"/>
      <c r="EY280" s="54"/>
      <c r="EZ280" s="54"/>
      <c r="FA280" s="54"/>
      <c r="FB280" s="54"/>
      <c r="FC280" s="54"/>
      <c r="FD280" s="54"/>
      <c r="FE280" s="54"/>
      <c r="FF280" s="54"/>
      <c r="FG280" s="54"/>
      <c r="FH280" s="54"/>
      <c r="FI280" s="54"/>
      <c r="FJ280" s="54"/>
      <c r="FK280" s="54"/>
      <c r="FL280" s="54"/>
      <c r="FM280" s="54"/>
      <c r="FN280" s="54"/>
      <c r="FO280" s="54"/>
      <c r="FP280" s="54"/>
      <c r="FQ280" s="54"/>
      <c r="FR280" s="54"/>
      <c r="FS280" s="54"/>
      <c r="FT280" s="54"/>
      <c r="FU280" s="54"/>
      <c r="FV280" s="54"/>
      <c r="FW280" s="54"/>
      <c r="FX280" s="54"/>
      <c r="FY280" s="54"/>
      <c r="FZ280" s="54"/>
      <c r="GA280" s="54"/>
      <c r="GB280" s="54"/>
      <c r="GC280" s="54"/>
      <c r="GD280" s="54"/>
      <c r="GE280" s="54"/>
      <c r="GF280" s="54"/>
      <c r="GG280" s="54"/>
      <c r="GH280" s="54"/>
      <c r="GI280" s="54"/>
      <c r="GJ280" s="54"/>
      <c r="GK280" s="54"/>
      <c r="GL280" s="54"/>
      <c r="GM280" s="54"/>
      <c r="GN280" s="54"/>
      <c r="GO280" s="54"/>
      <c r="GP280" s="54"/>
      <c r="GQ280" s="54"/>
      <c r="GR280" s="54"/>
      <c r="GS280" s="54"/>
      <c r="GT280" s="54"/>
      <c r="GU280" s="54"/>
      <c r="GV280" s="54"/>
      <c r="GW280" s="54"/>
      <c r="GX280" s="54"/>
      <c r="GY280" s="54"/>
      <c r="GZ280" s="54"/>
      <c r="HA280" s="54"/>
      <c r="HB280" s="54"/>
      <c r="HC280" s="54"/>
      <c r="HD280" s="54"/>
      <c r="HE280" s="54"/>
      <c r="HF280" s="54"/>
      <c r="HG280" s="54"/>
      <c r="HH280" s="54"/>
      <c r="HI280" s="54"/>
      <c r="HJ280" s="54"/>
      <c r="HK280" s="54"/>
      <c r="HL280" s="54"/>
      <c r="HM280" s="54"/>
      <c r="HN280" s="54"/>
      <c r="HO280" s="54"/>
      <c r="HP280" s="54"/>
      <c r="HQ280" s="54"/>
      <c r="HR280" s="54"/>
      <c r="HS280" s="54"/>
      <c r="HT280" s="54"/>
      <c r="HU280" s="54"/>
      <c r="HV280" s="54"/>
      <c r="HW280" s="54"/>
      <c r="HX280" s="54"/>
      <c r="HY280" s="54"/>
      <c r="HZ280" s="54"/>
      <c r="IA280" s="54"/>
      <c r="IB280" s="54"/>
      <c r="IC280" s="54"/>
      <c r="ID280" s="54"/>
      <c r="IE280" s="54"/>
      <c r="IF280" s="54"/>
      <c r="IG280" s="54"/>
      <c r="IH280" s="54"/>
      <c r="IU280" s="152"/>
      <c r="JI280" s="152"/>
      <c r="JJ280" s="82" t="str">
        <f t="array" ref="JJ280">xlookup(JN280,'Team Entry'!$A:$A,'Team Entry'!$B:$B,"")</f>
        <v/>
      </c>
      <c r="JN280" s="156" t="str">
        <f>ifs(or(AK285="",AK289="",AK285=AK289),"TBD",AK285&gt;AK289,L289,AK289&gt;AK285,L285)</f>
        <v>TBD</v>
      </c>
      <c r="KM280" s="54"/>
      <c r="KN280" s="54"/>
      <c r="KO280" s="54"/>
      <c r="KP280" s="54"/>
      <c r="KQ280" s="54"/>
      <c r="KR280" s="54"/>
      <c r="KS280" s="54"/>
      <c r="KT280" s="54"/>
      <c r="KU280" s="54"/>
      <c r="KV280" s="54"/>
      <c r="KW280" s="54"/>
      <c r="KX280" s="54"/>
    </row>
    <row r="281" ht="5.25" customHeight="1">
      <c r="A281" s="54"/>
      <c r="B281" s="54"/>
      <c r="C281" s="54"/>
      <c r="D281" s="54"/>
      <c r="E281" s="54"/>
      <c r="F281" s="54"/>
      <c r="G281" s="54"/>
      <c r="AO281" s="54"/>
      <c r="AP281" s="54"/>
      <c r="AQ281" s="54"/>
      <c r="AR281" s="54"/>
      <c r="AS281" s="54"/>
      <c r="AT281" s="54"/>
      <c r="AU281" s="54"/>
      <c r="AV281" s="54"/>
      <c r="AW281" s="54"/>
      <c r="AX281" s="54"/>
      <c r="AY281" s="54"/>
      <c r="AZ281" s="54"/>
      <c r="BA281" s="54"/>
      <c r="BB281" s="54"/>
      <c r="BC281" s="54"/>
      <c r="BD281" s="54"/>
      <c r="BE281" s="54"/>
      <c r="BF281" s="54"/>
      <c r="BG281" s="54"/>
      <c r="BH281" s="54"/>
      <c r="BI281" s="54"/>
      <c r="BJ281" s="54"/>
      <c r="BK281" s="54"/>
      <c r="BL281" s="54"/>
      <c r="BM281" s="54"/>
      <c r="BN281" s="54"/>
      <c r="BO281" s="54"/>
      <c r="BP281" s="54"/>
      <c r="BQ281" s="54"/>
      <c r="BR281" s="54"/>
      <c r="BS281" s="54"/>
      <c r="BT281" s="54"/>
      <c r="BU281" s="54"/>
      <c r="BV281" s="54"/>
      <c r="BW281" s="54"/>
      <c r="BX281" s="54"/>
      <c r="BY281" s="54"/>
      <c r="BZ281" s="54"/>
      <c r="CA281" s="54"/>
      <c r="CB281" s="54"/>
      <c r="CC281" s="54"/>
      <c r="CD281" s="170"/>
      <c r="CE281" s="170"/>
      <c r="CF281" s="170"/>
      <c r="CG281" s="170"/>
      <c r="CH281" s="170"/>
      <c r="CI281" s="170"/>
      <c r="CJ281" s="170"/>
      <c r="CK281" s="170"/>
      <c r="CL281" s="170"/>
      <c r="CM281" s="170"/>
      <c r="CN281" s="170"/>
      <c r="CO281" s="170"/>
      <c r="CP281" s="170"/>
      <c r="CQ281" s="170"/>
      <c r="CR281" s="170"/>
      <c r="CS281" s="170"/>
      <c r="CT281" s="170"/>
      <c r="CU281" s="170"/>
      <c r="CV281" s="170"/>
      <c r="CW281" s="170"/>
      <c r="CX281" s="170"/>
      <c r="CY281" s="170"/>
      <c r="CZ281" s="170"/>
      <c r="DA281" s="170"/>
      <c r="DB281" s="170"/>
      <c r="DC281" s="170"/>
      <c r="DD281" s="170"/>
      <c r="DE281" s="170"/>
      <c r="DF281" s="170"/>
      <c r="DG281" s="170"/>
      <c r="DH281" s="170"/>
      <c r="DI281" s="170"/>
      <c r="DJ281" s="170"/>
      <c r="DK281" s="54"/>
      <c r="DL281" s="173"/>
      <c r="DM281" s="54"/>
      <c r="DN281" s="54"/>
      <c r="DO281" s="54"/>
      <c r="DP281" s="54"/>
      <c r="DQ281" s="54"/>
      <c r="DR281" s="54"/>
      <c r="DS281" s="54"/>
      <c r="DT281" s="54"/>
      <c r="DU281" s="54"/>
      <c r="DV281" s="54"/>
      <c r="DW281" s="54"/>
      <c r="DX281" s="54"/>
      <c r="DY281" s="54"/>
      <c r="DZ281" s="54"/>
      <c r="EA281" s="54"/>
      <c r="EB281" s="54"/>
      <c r="EC281" s="54"/>
      <c r="ED281" s="54"/>
      <c r="EE281" s="54"/>
      <c r="EF281" s="54"/>
      <c r="EG281" s="54"/>
      <c r="EH281" s="54"/>
      <c r="EI281" s="54"/>
      <c r="EJ281" s="54"/>
      <c r="EK281" s="54"/>
      <c r="EL281" s="54"/>
      <c r="EM281" s="54"/>
      <c r="EN281" s="54"/>
      <c r="EO281" s="54"/>
      <c r="EP281" s="54"/>
      <c r="EQ281" s="54"/>
      <c r="ER281" s="54"/>
      <c r="ES281" s="54"/>
      <c r="ET281" s="54"/>
      <c r="EU281" s="54"/>
      <c r="EV281" s="54"/>
      <c r="EW281" s="54"/>
      <c r="EX281" s="54"/>
      <c r="EY281" s="54"/>
      <c r="EZ281" s="54"/>
      <c r="FA281" s="54"/>
      <c r="FB281" s="54"/>
      <c r="FC281" s="54"/>
      <c r="FD281" s="54"/>
      <c r="FE281" s="54"/>
      <c r="FF281" s="54"/>
      <c r="FG281" s="54"/>
      <c r="FH281" s="54"/>
      <c r="FI281" s="54"/>
      <c r="FJ281" s="54"/>
      <c r="FK281" s="54"/>
      <c r="FL281" s="54"/>
      <c r="FM281" s="54"/>
      <c r="FN281" s="54"/>
      <c r="FO281" s="54"/>
      <c r="FP281" s="54"/>
      <c r="FQ281" s="54"/>
      <c r="FR281" s="54"/>
      <c r="FS281" s="54"/>
      <c r="FT281" s="54"/>
      <c r="FU281" s="54"/>
      <c r="FV281" s="54"/>
      <c r="FW281" s="54"/>
      <c r="FX281" s="54"/>
      <c r="FY281" s="54"/>
      <c r="FZ281" s="54"/>
      <c r="GA281" s="54"/>
      <c r="GB281" s="54"/>
      <c r="GC281" s="54"/>
      <c r="GD281" s="54"/>
      <c r="GE281" s="54"/>
      <c r="GF281" s="54"/>
      <c r="GG281" s="54"/>
      <c r="GH281" s="54"/>
      <c r="GI281" s="54"/>
      <c r="GJ281" s="54"/>
      <c r="GK281" s="54"/>
      <c r="GL281" s="54"/>
      <c r="GM281" s="54"/>
      <c r="GN281" s="54"/>
      <c r="GO281" s="54"/>
      <c r="GP281" s="54"/>
      <c r="GQ281" s="54"/>
      <c r="GR281" s="54"/>
      <c r="GS281" s="54"/>
      <c r="GT281" s="54"/>
      <c r="GU281" s="54"/>
      <c r="GV281" s="54"/>
      <c r="GW281" s="54"/>
      <c r="GX281" s="54"/>
      <c r="GY281" s="54"/>
      <c r="GZ281" s="54"/>
      <c r="HA281" s="54"/>
      <c r="HB281" s="54"/>
      <c r="HC281" s="54"/>
      <c r="HD281" s="54"/>
      <c r="HE281" s="54"/>
      <c r="HF281" s="54"/>
      <c r="HG281" s="54"/>
      <c r="HH281" s="54"/>
      <c r="HI281" s="54"/>
      <c r="HJ281" s="54"/>
      <c r="HK281" s="54"/>
      <c r="HL281" s="54"/>
      <c r="HM281" s="54"/>
      <c r="HN281" s="54"/>
      <c r="HO281" s="54"/>
      <c r="HP281" s="54"/>
      <c r="HQ281" s="54"/>
      <c r="HR281" s="54"/>
      <c r="HS281" s="54"/>
      <c r="HT281" s="54"/>
      <c r="HU281" s="54"/>
      <c r="HV281" s="54"/>
      <c r="HW281" s="54"/>
      <c r="HX281" s="54"/>
      <c r="HY281" s="54"/>
      <c r="HZ281" s="54"/>
      <c r="IA281" s="54"/>
      <c r="IB281" s="54"/>
      <c r="IC281" s="54"/>
      <c r="ID281" s="54"/>
      <c r="IE281" s="54"/>
      <c r="IF281" s="54"/>
      <c r="IG281" s="54"/>
      <c r="IH281" s="54"/>
      <c r="IU281" s="152"/>
      <c r="JI281" s="152"/>
      <c r="KM281" s="54"/>
      <c r="KN281" s="54"/>
      <c r="KO281" s="54"/>
      <c r="KP281" s="54"/>
      <c r="KQ281" s="54"/>
      <c r="KR281" s="54"/>
      <c r="KS281" s="54"/>
      <c r="KT281" s="54"/>
      <c r="KU281" s="54"/>
      <c r="KV281" s="54"/>
      <c r="KW281" s="54"/>
      <c r="KX281" s="54"/>
    </row>
    <row r="282" ht="5.25" customHeight="1">
      <c r="A282" s="54"/>
      <c r="B282" s="54"/>
      <c r="C282" s="54"/>
      <c r="D282" s="54"/>
      <c r="E282" s="54"/>
      <c r="F282" s="54"/>
      <c r="G282" s="54"/>
      <c r="AO282" s="54"/>
      <c r="AP282" s="54"/>
      <c r="AQ282" s="54"/>
      <c r="AR282" s="54"/>
      <c r="AS282" s="54"/>
      <c r="AT282" s="54"/>
      <c r="AU282" s="54"/>
      <c r="AV282" s="54"/>
      <c r="AW282" s="54"/>
      <c r="AX282" s="54"/>
      <c r="AY282" s="54"/>
      <c r="AZ282" s="54"/>
      <c r="BA282" s="54"/>
      <c r="BB282" s="54"/>
      <c r="BC282" s="54"/>
      <c r="BD282" s="54"/>
      <c r="BE282" s="54"/>
      <c r="BF282" s="54"/>
      <c r="BG282" s="54"/>
      <c r="BH282" s="54"/>
      <c r="BI282" s="54"/>
      <c r="BJ282" s="54"/>
      <c r="BK282" s="54"/>
      <c r="BL282" s="54"/>
      <c r="BM282" s="54"/>
      <c r="BN282" s="54"/>
      <c r="BO282" s="54"/>
      <c r="BP282" s="54"/>
      <c r="BQ282" s="54"/>
      <c r="BR282" s="54"/>
      <c r="BS282" s="54"/>
      <c r="BT282" s="54"/>
      <c r="BU282" s="54"/>
      <c r="BV282" s="54"/>
      <c r="BW282" s="54"/>
      <c r="BX282" s="54"/>
      <c r="BY282" s="54"/>
      <c r="BZ282" s="54"/>
      <c r="CA282" s="54"/>
      <c r="CB282" s="54"/>
      <c r="CC282" s="54"/>
      <c r="CD282" s="82" t="str">
        <f t="array" ref="CD282">xlookup(CH282,'Team Entry'!$A:$A,'Team Entry'!$B:$B,"")</f>
        <v/>
      </c>
      <c r="CH282" s="156" t="str">
        <f>ifs(or(BV283="",BV287="",BV283=BV287),"",BV283&gt;BV287,AW283,BV287&gt;BV283,AW287)</f>
        <v/>
      </c>
      <c r="DG282" s="168"/>
      <c r="DK282" s="171"/>
      <c r="DL282" s="171"/>
      <c r="DM282" s="54"/>
      <c r="DN282" s="54"/>
      <c r="DO282" s="54"/>
      <c r="DP282" s="54"/>
      <c r="DQ282" s="54"/>
      <c r="DR282" s="54"/>
      <c r="DS282" s="54"/>
      <c r="DT282" s="54"/>
      <c r="DU282" s="54"/>
      <c r="DV282" s="54"/>
      <c r="DW282" s="54"/>
      <c r="DX282" s="54"/>
      <c r="DY282" s="54"/>
      <c r="DZ282" s="54"/>
      <c r="EA282" s="54"/>
      <c r="EB282" s="54"/>
      <c r="EC282" s="54"/>
      <c r="ED282" s="54"/>
      <c r="EE282" s="54"/>
      <c r="EF282" s="54"/>
      <c r="EG282" s="54"/>
      <c r="EH282" s="54"/>
      <c r="EI282" s="54"/>
      <c r="EJ282" s="54"/>
      <c r="EK282" s="54"/>
      <c r="EL282" s="54"/>
      <c r="EM282" s="54"/>
      <c r="EN282" s="54"/>
      <c r="EO282" s="54"/>
      <c r="EP282" s="54"/>
      <c r="EQ282" s="54"/>
      <c r="ER282" s="54"/>
      <c r="ES282" s="54"/>
      <c r="ET282" s="54"/>
      <c r="EU282" s="54"/>
      <c r="EV282" s="54"/>
      <c r="EW282" s="54"/>
      <c r="EX282" s="54"/>
      <c r="EY282" s="54"/>
      <c r="EZ282" s="54"/>
      <c r="FA282" s="54"/>
      <c r="FB282" s="54"/>
      <c r="FC282" s="54"/>
      <c r="FD282" s="54"/>
      <c r="FE282" s="54"/>
      <c r="FF282" s="54"/>
      <c r="FG282" s="54"/>
      <c r="FH282" s="54"/>
      <c r="FI282" s="54"/>
      <c r="FJ282" s="54"/>
      <c r="FK282" s="54"/>
      <c r="FL282" s="54"/>
      <c r="FM282" s="54"/>
      <c r="FN282" s="54"/>
      <c r="FO282" s="54"/>
      <c r="FP282" s="54"/>
      <c r="FQ282" s="54"/>
      <c r="FR282" s="54"/>
      <c r="FS282" s="54"/>
      <c r="FT282" s="54"/>
      <c r="FU282" s="54"/>
      <c r="FV282" s="54"/>
      <c r="FW282" s="54"/>
      <c r="FX282" s="54"/>
      <c r="FY282" s="54"/>
      <c r="FZ282" s="54"/>
      <c r="GA282" s="54"/>
      <c r="GB282" s="54"/>
      <c r="GC282" s="54"/>
      <c r="GD282" s="54"/>
      <c r="GE282" s="54"/>
      <c r="GF282" s="54"/>
      <c r="GG282" s="54"/>
      <c r="GH282" s="54"/>
      <c r="GI282" s="54"/>
      <c r="GJ282" s="54"/>
      <c r="GK282" s="54"/>
      <c r="GL282" s="54"/>
      <c r="GM282" s="54"/>
      <c r="GN282" s="54"/>
      <c r="GO282" s="54"/>
      <c r="GP282" s="54"/>
      <c r="GQ282" s="54"/>
      <c r="GR282" s="54"/>
      <c r="GS282" s="54"/>
      <c r="GT282" s="54"/>
      <c r="GU282" s="54"/>
      <c r="GV282" s="54"/>
      <c r="GW282" s="54"/>
      <c r="GX282" s="54"/>
      <c r="GY282" s="54"/>
      <c r="GZ282" s="54"/>
      <c r="HA282" s="54"/>
      <c r="HB282" s="54"/>
      <c r="HC282" s="54"/>
      <c r="HD282" s="54"/>
      <c r="HE282" s="54"/>
      <c r="HF282" s="54"/>
      <c r="HG282" s="54"/>
      <c r="HH282" s="54"/>
      <c r="HI282" s="54"/>
      <c r="HJ282" s="54"/>
      <c r="HK282" s="54"/>
      <c r="HL282" s="54"/>
      <c r="HM282" s="54"/>
      <c r="HN282" s="54"/>
      <c r="HO282" s="54"/>
      <c r="HP282" s="54"/>
      <c r="HQ282" s="54"/>
      <c r="HR282" s="54"/>
      <c r="HS282" s="54"/>
      <c r="HT282" s="54"/>
      <c r="HU282" s="54"/>
      <c r="HV282" s="54"/>
      <c r="HW282" s="54"/>
      <c r="HX282" s="54"/>
      <c r="HY282" s="54"/>
      <c r="HZ282" s="54"/>
      <c r="IA282" s="54"/>
      <c r="IB282" s="54"/>
      <c r="IC282" s="54"/>
      <c r="ID282" s="54"/>
      <c r="IE282" s="54"/>
      <c r="IF282" s="54"/>
      <c r="IG282" s="54"/>
      <c r="IH282" s="54"/>
      <c r="IU282" s="152"/>
      <c r="JI282" s="152"/>
      <c r="KM282" s="54"/>
      <c r="KN282" s="54"/>
      <c r="KO282" s="54"/>
      <c r="KP282" s="54"/>
      <c r="KQ282" s="54"/>
      <c r="KR282" s="54"/>
      <c r="KS282" s="54"/>
      <c r="KT282" s="54"/>
      <c r="KU282" s="54"/>
      <c r="KV282" s="54"/>
      <c r="KW282" s="54"/>
      <c r="KX282" s="54"/>
    </row>
    <row r="283" ht="5.2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c r="AG283" s="54"/>
      <c r="AH283" s="54"/>
      <c r="AI283" s="54"/>
      <c r="AJ283" s="54"/>
      <c r="AK283" s="54"/>
      <c r="AL283" s="54"/>
      <c r="AM283" s="54"/>
      <c r="AN283" s="54"/>
      <c r="AO283" s="54"/>
      <c r="AP283" s="54"/>
      <c r="AQ283" s="54"/>
      <c r="AR283" s="55">
        <v>3.0</v>
      </c>
      <c r="AS283" s="82" t="str">
        <f t="array" ref="AS283">xlookup(AW283,'Team Entry'!$A:$A,'Team Entry'!$B:$B,"")</f>
        <v/>
      </c>
      <c r="AW283" s="156" t="str">
        <f t="array" ref="AW283">xlookup(3,'Team Entry'!$C:$C,'Team Entry'!$A:$A,"")</f>
        <v>Team 3 (Playoff)</v>
      </c>
      <c r="BV283" s="168"/>
      <c r="BZ283" s="54"/>
      <c r="CA283" s="54"/>
      <c r="CB283" s="54"/>
      <c r="CC283" s="54"/>
      <c r="DK283" s="54"/>
      <c r="DL283" s="54"/>
      <c r="DM283" s="54"/>
      <c r="DN283" s="54"/>
      <c r="DO283" s="54"/>
      <c r="DP283" s="54"/>
      <c r="DQ283" s="54"/>
      <c r="DR283" s="54"/>
      <c r="DS283" s="54"/>
      <c r="DT283" s="54"/>
      <c r="DU283" s="54"/>
      <c r="DV283" s="54"/>
      <c r="DW283" s="54"/>
      <c r="DX283" s="54"/>
      <c r="DY283" s="54"/>
      <c r="DZ283" s="54"/>
      <c r="EA283" s="54"/>
      <c r="EB283" s="54"/>
      <c r="EC283" s="54"/>
      <c r="ED283" s="54"/>
      <c r="EE283" s="54"/>
      <c r="EF283" s="54"/>
      <c r="EG283" s="54"/>
      <c r="EH283" s="54"/>
      <c r="EI283" s="54"/>
      <c r="EJ283" s="54"/>
      <c r="EK283" s="54"/>
      <c r="EL283" s="54"/>
      <c r="EM283" s="54"/>
      <c r="EN283" s="54"/>
      <c r="EO283" s="54"/>
      <c r="EP283" s="54"/>
      <c r="EQ283" s="54"/>
      <c r="ER283" s="54"/>
      <c r="ES283" s="54"/>
      <c r="ET283" s="54"/>
      <c r="EU283" s="54"/>
      <c r="EV283" s="54"/>
      <c r="EW283" s="54"/>
      <c r="EX283" s="54"/>
      <c r="EY283" s="54"/>
      <c r="EZ283" s="54"/>
      <c r="FA283" s="54"/>
      <c r="FB283" s="54"/>
      <c r="FC283" s="54"/>
      <c r="FD283" s="54"/>
      <c r="FE283" s="54"/>
      <c r="FF283" s="54"/>
      <c r="FG283" s="54"/>
      <c r="FH283" s="54"/>
      <c r="FI283" s="54"/>
      <c r="FJ283" s="54"/>
      <c r="FK283" s="54"/>
      <c r="FL283" s="54"/>
      <c r="FM283" s="54"/>
      <c r="FN283" s="54"/>
      <c r="FO283" s="54"/>
      <c r="FP283" s="54"/>
      <c r="FQ283" s="54"/>
      <c r="FR283" s="54"/>
      <c r="FS283" s="54"/>
      <c r="FT283" s="54"/>
      <c r="FU283" s="54"/>
      <c r="FV283" s="54"/>
      <c r="FW283" s="54"/>
      <c r="FX283" s="54"/>
      <c r="FY283" s="54"/>
      <c r="FZ283" s="54"/>
      <c r="GA283" s="54"/>
      <c r="GB283" s="54"/>
      <c r="GC283" s="54"/>
      <c r="GD283" s="54"/>
      <c r="GE283" s="54"/>
      <c r="GF283" s="54"/>
      <c r="GG283" s="54"/>
      <c r="GH283" s="54"/>
      <c r="GI283" s="54"/>
      <c r="GJ283" s="54"/>
      <c r="GK283" s="54"/>
      <c r="GL283" s="54"/>
      <c r="GM283" s="54"/>
      <c r="GN283" s="54"/>
      <c r="GO283" s="54"/>
      <c r="GP283" s="54"/>
      <c r="GQ283" s="54"/>
      <c r="GR283" s="54"/>
      <c r="GS283" s="54"/>
      <c r="GT283" s="54"/>
      <c r="GU283" s="54"/>
      <c r="GV283" s="54"/>
      <c r="GW283" s="54"/>
      <c r="GX283" s="54"/>
      <c r="GY283" s="54"/>
      <c r="GZ283" s="54"/>
      <c r="HA283" s="54"/>
      <c r="HB283" s="54"/>
      <c r="HC283" s="54"/>
      <c r="HD283" s="54"/>
      <c r="HE283" s="54"/>
      <c r="HF283" s="54"/>
      <c r="HG283" s="54"/>
      <c r="HH283" s="54"/>
      <c r="HI283" s="54"/>
      <c r="HJ283" s="54"/>
      <c r="HK283" s="54"/>
      <c r="HL283" s="54"/>
      <c r="HM283" s="54"/>
      <c r="HN283" s="54"/>
      <c r="HO283" s="54"/>
      <c r="HP283" s="54"/>
      <c r="HQ283" s="54"/>
      <c r="HR283" s="54"/>
      <c r="HS283" s="54"/>
      <c r="HT283" s="54"/>
      <c r="HU283" s="54"/>
      <c r="HV283" s="54"/>
      <c r="HW283" s="54"/>
      <c r="HX283" s="54"/>
      <c r="HY283" s="54"/>
      <c r="HZ283" s="54"/>
      <c r="IA283" s="54"/>
      <c r="IB283" s="54"/>
      <c r="IC283" s="54"/>
      <c r="ID283" s="54"/>
      <c r="IE283" s="54"/>
      <c r="IF283" s="54"/>
      <c r="IG283" s="54"/>
      <c r="IH283" s="54"/>
      <c r="II283" s="13"/>
      <c r="IJ283" s="13"/>
      <c r="IK283" s="13"/>
      <c r="IL283" s="13"/>
      <c r="IM283" s="13"/>
      <c r="IN283" s="13"/>
      <c r="IO283" s="13"/>
      <c r="IP283" s="13"/>
      <c r="IQ283" s="13"/>
      <c r="IR283" s="13"/>
      <c r="IS283" s="13"/>
      <c r="IT283" s="13"/>
      <c r="IU283" s="152"/>
      <c r="IV283" s="13"/>
      <c r="IW283" s="13"/>
      <c r="IX283" s="13"/>
      <c r="IY283" s="13"/>
      <c r="IZ283" s="13"/>
      <c r="JA283" s="13"/>
      <c r="JB283" s="13"/>
      <c r="JC283" s="13"/>
      <c r="JD283" s="13"/>
      <c r="JE283" s="13"/>
      <c r="JF283" s="13"/>
      <c r="JG283" s="13"/>
      <c r="JH283" s="13"/>
      <c r="JI283" s="152"/>
      <c r="JJ283" s="158"/>
      <c r="JK283" s="158"/>
      <c r="JL283" s="158"/>
      <c r="JM283" s="158"/>
      <c r="JN283" s="158"/>
      <c r="JO283" s="158"/>
      <c r="JP283" s="158"/>
      <c r="JQ283" s="158"/>
      <c r="JR283" s="158"/>
      <c r="JS283" s="158"/>
      <c r="JT283" s="158"/>
      <c r="JU283" s="158"/>
      <c r="JV283" s="158"/>
      <c r="JW283" s="158"/>
      <c r="JX283" s="158"/>
      <c r="JY283" s="158"/>
      <c r="JZ283" s="158"/>
      <c r="KA283" s="158"/>
      <c r="KB283" s="158"/>
      <c r="KC283" s="158"/>
      <c r="KD283" s="158"/>
      <c r="KE283" s="158"/>
      <c r="KF283" s="158"/>
      <c r="KG283" s="158"/>
      <c r="KH283" s="158"/>
      <c r="KI283" s="158"/>
      <c r="KJ283" s="158"/>
      <c r="KK283" s="158"/>
      <c r="KL283" s="158"/>
      <c r="KM283" s="54"/>
      <c r="KN283" s="54"/>
      <c r="KO283" s="54"/>
      <c r="KP283" s="54"/>
      <c r="KQ283" s="54"/>
      <c r="KR283" s="54"/>
      <c r="KS283" s="54"/>
      <c r="KT283" s="54"/>
      <c r="KU283" s="54"/>
      <c r="KV283" s="54"/>
      <c r="KW283" s="54"/>
      <c r="KX283" s="54"/>
    </row>
    <row r="284" ht="5.2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c r="AF284" s="54"/>
      <c r="AG284" s="54"/>
      <c r="AH284" s="54"/>
      <c r="AI284" s="54"/>
      <c r="AJ284" s="54"/>
      <c r="AK284" s="54"/>
      <c r="AL284" s="54"/>
      <c r="AM284" s="54"/>
      <c r="AN284" s="54"/>
      <c r="AO284" s="54"/>
      <c r="AP284" s="54"/>
      <c r="AQ284" s="54"/>
      <c r="AR284" s="54"/>
      <c r="BZ284" s="54"/>
      <c r="CA284" s="173"/>
      <c r="CB284" s="171"/>
      <c r="CC284" s="171"/>
      <c r="DK284" s="54"/>
      <c r="DL284" s="54"/>
      <c r="DM284" s="54"/>
      <c r="DN284" s="54"/>
      <c r="DO284" s="54"/>
      <c r="DP284" s="54"/>
      <c r="DQ284" s="54"/>
      <c r="DR284" s="54"/>
      <c r="DS284" s="54"/>
      <c r="DT284" s="54"/>
      <c r="DU284" s="54"/>
      <c r="DV284" s="54"/>
      <c r="DW284" s="54"/>
      <c r="DX284" s="54"/>
      <c r="DY284" s="54"/>
      <c r="DZ284" s="54"/>
      <c r="EA284" s="54"/>
      <c r="EB284" s="54"/>
      <c r="EC284" s="54"/>
      <c r="ED284" s="54"/>
      <c r="EE284" s="54"/>
      <c r="EF284" s="54"/>
      <c r="EG284" s="54"/>
      <c r="EH284" s="54"/>
      <c r="EI284" s="54"/>
      <c r="EJ284" s="54"/>
      <c r="EK284" s="54"/>
      <c r="EL284" s="54"/>
      <c r="EM284" s="54"/>
      <c r="EN284" s="54"/>
      <c r="EO284" s="54"/>
      <c r="EP284" s="54"/>
      <c r="EQ284" s="54"/>
      <c r="ER284" s="54"/>
      <c r="ES284" s="54"/>
      <c r="ET284" s="54"/>
      <c r="EU284" s="54"/>
      <c r="EV284" s="54"/>
      <c r="EW284" s="54"/>
      <c r="EX284" s="54"/>
      <c r="EY284" s="54"/>
      <c r="EZ284" s="54"/>
      <c r="FA284" s="54"/>
      <c r="FB284" s="54"/>
      <c r="FC284" s="54"/>
      <c r="FD284" s="54"/>
      <c r="FE284" s="54"/>
      <c r="FF284" s="54"/>
      <c r="FG284" s="54"/>
      <c r="FH284" s="54"/>
      <c r="FI284" s="54"/>
      <c r="FJ284" s="54"/>
      <c r="FK284" s="54"/>
      <c r="FL284" s="54"/>
      <c r="FM284" s="54"/>
      <c r="FN284" s="54"/>
      <c r="FO284" s="54"/>
      <c r="FP284" s="54"/>
      <c r="FQ284" s="54"/>
      <c r="FR284" s="54"/>
      <c r="FS284" s="54"/>
      <c r="FT284" s="54"/>
      <c r="FU284" s="54"/>
      <c r="FV284" s="54"/>
      <c r="FW284" s="54"/>
      <c r="FX284" s="54"/>
      <c r="FY284" s="54"/>
      <c r="FZ284" s="54"/>
      <c r="GA284" s="54"/>
      <c r="GB284" s="54"/>
      <c r="GC284" s="54"/>
      <c r="GD284" s="54"/>
      <c r="GE284" s="54"/>
      <c r="GF284" s="54"/>
      <c r="GG284" s="54"/>
      <c r="GH284" s="54"/>
      <c r="GI284" s="54"/>
      <c r="GJ284" s="54"/>
      <c r="GK284" s="54"/>
      <c r="GL284" s="54"/>
      <c r="GM284" s="54"/>
      <c r="GN284" s="54"/>
      <c r="GO284" s="54"/>
      <c r="GP284" s="54"/>
      <c r="GQ284" s="54"/>
      <c r="GR284" s="54"/>
      <c r="GS284" s="54"/>
      <c r="GT284" s="54"/>
      <c r="GU284" s="54"/>
      <c r="GV284" s="54"/>
      <c r="GW284" s="54"/>
      <c r="GX284" s="54"/>
      <c r="GY284" s="54"/>
      <c r="GZ284" s="54"/>
      <c r="HA284" s="54"/>
      <c r="HB284" s="54"/>
      <c r="HC284" s="54"/>
      <c r="HD284" s="54"/>
      <c r="HE284" s="54"/>
      <c r="HF284" s="54"/>
      <c r="HG284" s="54"/>
      <c r="HH284" s="54"/>
      <c r="HI284" s="54"/>
      <c r="HJ284" s="54"/>
      <c r="HK284" s="54"/>
      <c r="HL284" s="54"/>
      <c r="HM284" s="54"/>
      <c r="HN284" s="54"/>
      <c r="HO284" s="54"/>
      <c r="HP284" s="54"/>
      <c r="HQ284" s="54"/>
      <c r="HR284" s="54"/>
      <c r="HS284" s="54"/>
      <c r="HT284" s="54"/>
      <c r="HU284" s="54"/>
      <c r="HV284" s="54"/>
      <c r="HW284" s="54"/>
      <c r="HX284" s="54"/>
      <c r="HY284" s="54"/>
      <c r="HZ284" s="54"/>
      <c r="IA284" s="54"/>
      <c r="IB284" s="54"/>
      <c r="IC284" s="54"/>
      <c r="ID284" s="54"/>
      <c r="IE284" s="54"/>
      <c r="IF284" s="54"/>
      <c r="IG284" s="54"/>
      <c r="IH284" s="54"/>
      <c r="II284" s="166" t="s">
        <v>82</v>
      </c>
      <c r="IU284" s="54"/>
      <c r="IV284" s="167" t="s">
        <v>80</v>
      </c>
      <c r="JI284" s="54"/>
      <c r="JJ284" s="82" t="str">
        <f t="array" ref="JJ284">xlookup(JN284,'Team Entry'!$A:$A,'Team Entry'!$B:$B,"")</f>
        <v/>
      </c>
      <c r="JN284" s="156" t="str">
        <f>if(DD199=0,"TBD",'Swiss Results'!Y74)</f>
        <v>TBD</v>
      </c>
      <c r="KM284" s="54"/>
      <c r="KN284" s="54"/>
      <c r="KO284" s="54"/>
      <c r="KP284" s="54"/>
      <c r="KQ284" s="54"/>
      <c r="KR284" s="54"/>
      <c r="KS284" s="54"/>
      <c r="KT284" s="54"/>
      <c r="KU284" s="54"/>
      <c r="KV284" s="54"/>
      <c r="KW284" s="54"/>
      <c r="KX284" s="54"/>
    </row>
    <row r="285" ht="5.25" customHeight="1">
      <c r="A285" s="54"/>
      <c r="B285" s="54"/>
      <c r="C285" s="54"/>
      <c r="D285" s="54"/>
      <c r="E285" s="54"/>
      <c r="F285" s="54"/>
      <c r="G285" s="55">
        <v>2.0</v>
      </c>
      <c r="H285" s="82" t="str">
        <f t="array" ref="H285">xlookup(L285,'Team Entry'!$A:$A,'Team Entry'!$B:$B,"")</f>
        <v/>
      </c>
      <c r="L285" s="169" t="str">
        <f t="array" ref="L285">if($AR$120=0,"Swiss #2 Seed",xlookup(G285,data!$G$24:$G$39,data!$A$24:$A$39,""))</f>
        <v>Swiss #2 Seed</v>
      </c>
      <c r="AK285" s="168"/>
      <c r="AO285" s="54"/>
      <c r="AP285" s="54"/>
      <c r="AQ285" s="54"/>
      <c r="AR285" s="54"/>
      <c r="BZ285" s="54"/>
      <c r="CA285" s="173"/>
      <c r="CB285" s="54"/>
      <c r="CC285" s="54"/>
      <c r="DK285" s="54"/>
      <c r="DL285" s="54"/>
      <c r="DM285" s="54"/>
      <c r="DN285" s="54"/>
      <c r="DO285" s="54"/>
      <c r="DP285" s="54"/>
      <c r="DQ285" s="54"/>
      <c r="DR285" s="54"/>
      <c r="DS285" s="54"/>
      <c r="DT285" s="54"/>
      <c r="DU285" s="54"/>
      <c r="DV285" s="54"/>
      <c r="DW285" s="54"/>
      <c r="DX285" s="54"/>
      <c r="DY285" s="54"/>
      <c r="DZ285" s="54"/>
      <c r="EA285" s="54"/>
      <c r="EB285" s="54"/>
      <c r="EC285" s="54"/>
      <c r="ED285" s="54"/>
      <c r="EE285" s="54"/>
      <c r="EF285" s="54"/>
      <c r="EG285" s="54"/>
      <c r="EH285" s="54"/>
      <c r="EI285" s="54"/>
      <c r="EJ285" s="54"/>
      <c r="EK285" s="54"/>
      <c r="EL285" s="54"/>
      <c r="EM285" s="54"/>
      <c r="EN285" s="54"/>
      <c r="EO285" s="54"/>
      <c r="EP285" s="54"/>
      <c r="EQ285" s="54"/>
      <c r="ER285" s="54"/>
      <c r="ES285" s="54"/>
      <c r="ET285" s="54"/>
      <c r="EU285" s="54"/>
      <c r="EV285" s="54"/>
      <c r="EW285" s="54"/>
      <c r="EX285" s="54"/>
      <c r="EY285" s="54"/>
      <c r="EZ285" s="54"/>
      <c r="FA285" s="54"/>
      <c r="FB285" s="54"/>
      <c r="FC285" s="54"/>
      <c r="FD285" s="54"/>
      <c r="FE285" s="54"/>
      <c r="FF285" s="54"/>
      <c r="FG285" s="54"/>
      <c r="FH285" s="54"/>
      <c r="FI285" s="54"/>
      <c r="FJ285" s="54"/>
      <c r="FK285" s="54"/>
      <c r="FL285" s="54"/>
      <c r="FM285" s="54"/>
      <c r="FN285" s="54"/>
      <c r="FO285" s="54"/>
      <c r="FP285" s="54"/>
      <c r="FQ285" s="54"/>
      <c r="FR285" s="54"/>
      <c r="FS285" s="54"/>
      <c r="FT285" s="54"/>
      <c r="FU285" s="54"/>
      <c r="FV285" s="54"/>
      <c r="FW285" s="54"/>
      <c r="FX285" s="54"/>
      <c r="FY285" s="54"/>
      <c r="FZ285" s="54"/>
      <c r="GA285" s="54"/>
      <c r="GB285" s="54"/>
      <c r="GC285" s="54"/>
      <c r="GD285" s="54"/>
      <c r="GE285" s="54"/>
      <c r="GF285" s="54"/>
      <c r="GG285" s="54"/>
      <c r="GH285" s="54"/>
      <c r="GI285" s="54"/>
      <c r="GJ285" s="54"/>
      <c r="GK285" s="54"/>
      <c r="GL285" s="54"/>
      <c r="GM285" s="54"/>
      <c r="GN285" s="54"/>
      <c r="GO285" s="54"/>
      <c r="GP285" s="54"/>
      <c r="GQ285" s="54"/>
      <c r="GR285" s="54"/>
      <c r="GS285" s="54"/>
      <c r="GT285" s="54"/>
      <c r="GU285" s="54"/>
      <c r="GV285" s="54"/>
      <c r="GW285" s="54"/>
      <c r="GX285" s="54"/>
      <c r="GY285" s="54"/>
      <c r="GZ285" s="54"/>
      <c r="HA285" s="54"/>
      <c r="HB285" s="54"/>
      <c r="HC285" s="54"/>
      <c r="HD285" s="54"/>
      <c r="HE285" s="54"/>
      <c r="HF285" s="54"/>
      <c r="HG285" s="54"/>
      <c r="HH285" s="54"/>
      <c r="HI285" s="54"/>
      <c r="HJ285" s="54"/>
      <c r="HK285" s="54"/>
      <c r="HL285" s="54"/>
      <c r="HM285" s="54"/>
      <c r="HN285" s="54"/>
      <c r="HO285" s="54"/>
      <c r="HP285" s="54"/>
      <c r="HQ285" s="54"/>
      <c r="HR285" s="54"/>
      <c r="HS285" s="54"/>
      <c r="HT285" s="54"/>
      <c r="HU285" s="54"/>
      <c r="HV285" s="54"/>
      <c r="HW285" s="54"/>
      <c r="HX285" s="54"/>
      <c r="HY285" s="54"/>
      <c r="HZ285" s="54"/>
      <c r="IA285" s="54"/>
      <c r="IB285" s="54"/>
      <c r="IC285" s="54"/>
      <c r="ID285" s="54"/>
      <c r="IE285" s="54"/>
      <c r="IF285" s="54"/>
      <c r="IG285" s="54"/>
      <c r="IH285" s="54"/>
      <c r="IU285" s="54"/>
      <c r="JI285" s="54"/>
      <c r="KM285" s="54"/>
      <c r="KN285" s="54"/>
      <c r="KO285" s="54"/>
      <c r="KP285" s="54"/>
      <c r="KQ285" s="54"/>
      <c r="KR285" s="54"/>
      <c r="KS285" s="54"/>
      <c r="KT285" s="54"/>
      <c r="KU285" s="54"/>
      <c r="KV285" s="54"/>
      <c r="KW285" s="54"/>
      <c r="KX285" s="54"/>
    </row>
    <row r="286" ht="5.25" customHeight="1">
      <c r="A286" s="54"/>
      <c r="B286" s="54"/>
      <c r="C286" s="54"/>
      <c r="D286" s="54"/>
      <c r="E286" s="54"/>
      <c r="F286" s="54"/>
      <c r="G286" s="54"/>
      <c r="AO286" s="54"/>
      <c r="AP286" s="54"/>
      <c r="AQ286" s="54"/>
      <c r="AR286" s="54"/>
      <c r="AS286" s="170"/>
      <c r="AT286" s="170"/>
      <c r="AU286" s="170"/>
      <c r="AV286" s="170"/>
      <c r="AW286" s="170"/>
      <c r="AX286" s="170"/>
      <c r="AY286" s="170"/>
      <c r="AZ286" s="170"/>
      <c r="BA286" s="170"/>
      <c r="BB286" s="170"/>
      <c r="BC286" s="170"/>
      <c r="BD286" s="170"/>
      <c r="BE286" s="170"/>
      <c r="BF286" s="170"/>
      <c r="BG286" s="170"/>
      <c r="BH286" s="170"/>
      <c r="BI286" s="170"/>
      <c r="BJ286" s="170"/>
      <c r="BK286" s="170"/>
      <c r="BL286" s="170"/>
      <c r="BM286" s="170"/>
      <c r="BN286" s="170"/>
      <c r="BO286" s="170"/>
      <c r="BP286" s="170"/>
      <c r="BQ286" s="170"/>
      <c r="BR286" s="170"/>
      <c r="BS286" s="170"/>
      <c r="BT286" s="170"/>
      <c r="BU286" s="170"/>
      <c r="BV286" s="170"/>
      <c r="BW286" s="170"/>
      <c r="BX286" s="170"/>
      <c r="BY286" s="170"/>
      <c r="BZ286" s="54"/>
      <c r="CA286" s="173"/>
      <c r="CB286" s="54"/>
      <c r="CC286" s="54"/>
      <c r="CD286" s="54"/>
      <c r="CE286" s="54"/>
      <c r="CF286" s="54"/>
      <c r="CG286" s="54"/>
      <c r="CH286" s="54"/>
      <c r="CI286" s="54"/>
      <c r="CJ286" s="54"/>
      <c r="CK286" s="54"/>
      <c r="CL286" s="54"/>
      <c r="CM286" s="54"/>
      <c r="CN286" s="54"/>
      <c r="CO286" s="54"/>
      <c r="CP286" s="54"/>
      <c r="CQ286" s="54"/>
      <c r="CR286" s="54"/>
      <c r="CS286" s="54"/>
      <c r="CT286" s="54"/>
      <c r="CU286" s="54"/>
      <c r="CV286" s="54"/>
      <c r="CW286" s="54"/>
      <c r="CX286" s="54"/>
      <c r="CY286" s="54"/>
      <c r="CZ286" s="54"/>
      <c r="DA286" s="54"/>
      <c r="DB286" s="54"/>
      <c r="DC286" s="54"/>
      <c r="DD286" s="54"/>
      <c r="DE286" s="54"/>
      <c r="DF286" s="54"/>
      <c r="DG286" s="54"/>
      <c r="DH286" s="54"/>
      <c r="DI286" s="54"/>
      <c r="DJ286" s="54"/>
      <c r="DK286" s="54"/>
      <c r="DL286" s="54"/>
      <c r="DM286" s="54"/>
      <c r="DN286" s="54"/>
      <c r="DO286" s="54"/>
      <c r="DP286" s="54"/>
      <c r="DQ286" s="54"/>
      <c r="DR286" s="54"/>
      <c r="DS286" s="54"/>
      <c r="DT286" s="54"/>
      <c r="DU286" s="54"/>
      <c r="DV286" s="54"/>
      <c r="DW286" s="54"/>
      <c r="DX286" s="54"/>
      <c r="DY286" s="54"/>
      <c r="DZ286" s="54"/>
      <c r="EA286" s="54"/>
      <c r="EB286" s="54"/>
      <c r="EC286" s="54"/>
      <c r="ED286" s="54"/>
      <c r="EE286" s="54"/>
      <c r="EF286" s="54"/>
      <c r="EG286" s="54"/>
      <c r="EH286" s="54"/>
      <c r="EI286" s="54"/>
      <c r="EJ286" s="54"/>
      <c r="EK286" s="54"/>
      <c r="EL286" s="54"/>
      <c r="EM286" s="54"/>
      <c r="EN286" s="54"/>
      <c r="EO286" s="54"/>
      <c r="EP286" s="54"/>
      <c r="EQ286" s="54"/>
      <c r="ER286" s="54"/>
      <c r="ES286" s="54"/>
      <c r="ET286" s="54"/>
      <c r="EU286" s="54"/>
      <c r="EV286" s="54"/>
      <c r="EW286" s="54"/>
      <c r="EX286" s="54"/>
      <c r="EY286" s="54"/>
      <c r="EZ286" s="54"/>
      <c r="FA286" s="54"/>
      <c r="FB286" s="54"/>
      <c r="FC286" s="54"/>
      <c r="FD286" s="54"/>
      <c r="FE286" s="54"/>
      <c r="FF286" s="54"/>
      <c r="FG286" s="54"/>
      <c r="FH286" s="54"/>
      <c r="FI286" s="54"/>
      <c r="FJ286" s="54"/>
      <c r="FK286" s="54"/>
      <c r="FL286" s="54"/>
      <c r="FM286" s="54"/>
      <c r="FN286" s="54"/>
      <c r="FO286" s="54"/>
      <c r="FP286" s="54"/>
      <c r="FQ286" s="54"/>
      <c r="FR286" s="54"/>
      <c r="FS286" s="54"/>
      <c r="FT286" s="54"/>
      <c r="FU286" s="54"/>
      <c r="FV286" s="54"/>
      <c r="FW286" s="54"/>
      <c r="FX286" s="54"/>
      <c r="FY286" s="54"/>
      <c r="FZ286" s="54"/>
      <c r="GA286" s="54"/>
      <c r="GB286" s="54"/>
      <c r="GC286" s="54"/>
      <c r="GD286" s="54"/>
      <c r="GE286" s="54"/>
      <c r="GF286" s="54"/>
      <c r="GG286" s="54"/>
      <c r="GH286" s="54"/>
      <c r="GI286" s="54"/>
      <c r="GJ286" s="54"/>
      <c r="GK286" s="54"/>
      <c r="GL286" s="54"/>
      <c r="GM286" s="54"/>
      <c r="GN286" s="54"/>
      <c r="GO286" s="54"/>
      <c r="GP286" s="54"/>
      <c r="GQ286" s="54"/>
      <c r="GR286" s="54"/>
      <c r="GS286" s="54"/>
      <c r="GT286" s="54"/>
      <c r="GU286" s="54"/>
      <c r="GV286" s="54"/>
      <c r="GW286" s="54"/>
      <c r="GX286" s="54"/>
      <c r="GY286" s="54"/>
      <c r="GZ286" s="54"/>
      <c r="HA286" s="54"/>
      <c r="HB286" s="54"/>
      <c r="HC286" s="54"/>
      <c r="HD286" s="54"/>
      <c r="HE286" s="54"/>
      <c r="HF286" s="54"/>
      <c r="HG286" s="54"/>
      <c r="HH286" s="54"/>
      <c r="HI286" s="54"/>
      <c r="HJ286" s="54"/>
      <c r="HK286" s="54"/>
      <c r="HL286" s="54"/>
      <c r="HM286" s="54"/>
      <c r="HN286" s="54"/>
      <c r="HO286" s="54"/>
      <c r="HP286" s="54"/>
      <c r="HQ286" s="54"/>
      <c r="HR286" s="54"/>
      <c r="HS286" s="54"/>
      <c r="HT286" s="54"/>
      <c r="HU286" s="54"/>
      <c r="HV286" s="54"/>
      <c r="HW286" s="54"/>
      <c r="HX286" s="54"/>
      <c r="HY286" s="54"/>
      <c r="HZ286" s="54"/>
      <c r="IA286" s="54"/>
      <c r="IB286" s="54"/>
      <c r="IC286" s="54"/>
      <c r="ID286" s="54"/>
      <c r="IE286" s="54"/>
      <c r="IF286" s="54"/>
      <c r="IG286" s="54"/>
      <c r="IH286" s="54"/>
      <c r="IU286" s="54"/>
      <c r="JI286" s="54"/>
      <c r="KM286" s="54"/>
      <c r="KN286" s="54"/>
      <c r="KO286" s="54"/>
      <c r="KP286" s="54"/>
      <c r="KQ286" s="54"/>
      <c r="KR286" s="54"/>
      <c r="KS286" s="54"/>
      <c r="KT286" s="54"/>
      <c r="KU286" s="54"/>
      <c r="KV286" s="54"/>
      <c r="KW286" s="54"/>
      <c r="KX286" s="54"/>
    </row>
    <row r="287" ht="5.25" customHeight="1">
      <c r="A287" s="54"/>
      <c r="B287" s="54"/>
      <c r="C287" s="54"/>
      <c r="D287" s="54"/>
      <c r="E287" s="54"/>
      <c r="F287" s="54"/>
      <c r="G287" s="54"/>
      <c r="AO287" s="54"/>
      <c r="AP287" s="54"/>
      <c r="AQ287" s="54"/>
      <c r="AR287" s="55">
        <v>8.0</v>
      </c>
      <c r="AS287" s="82" t="str">
        <f t="array" ref="AS287">xlookup(AW287,'Team Entry'!$A:$A,'Team Entry'!$B:$B,"")</f>
        <v/>
      </c>
      <c r="AW287" s="156" t="str">
        <f>ifs(or(AK285="",AK289="",AK285=AK289),"",AK285&gt;AK289,L285,AK289&gt;AK285,L289)</f>
        <v/>
      </c>
      <c r="BV287" s="168"/>
      <c r="BZ287" s="171"/>
      <c r="CA287" s="171"/>
      <c r="CB287" s="54"/>
      <c r="CC287" s="54"/>
      <c r="CD287" s="54"/>
      <c r="CE287" s="54"/>
      <c r="CF287" s="54"/>
      <c r="CG287" s="54"/>
      <c r="CH287" s="54"/>
      <c r="CI287" s="54"/>
      <c r="CJ287" s="54"/>
      <c r="CK287" s="54"/>
      <c r="CL287" s="54"/>
      <c r="CM287" s="54"/>
      <c r="CN287" s="54"/>
      <c r="CO287" s="54"/>
      <c r="CP287" s="54"/>
      <c r="CQ287" s="54"/>
      <c r="CR287" s="54"/>
      <c r="CS287" s="54"/>
      <c r="CT287" s="54"/>
      <c r="CU287" s="54"/>
      <c r="CV287" s="54"/>
      <c r="CW287" s="54"/>
      <c r="CX287" s="54"/>
      <c r="CY287" s="54"/>
      <c r="CZ287" s="54"/>
      <c r="DA287" s="54"/>
      <c r="DB287" s="54"/>
      <c r="DC287" s="54"/>
      <c r="DD287" s="54"/>
      <c r="DE287" s="54"/>
      <c r="DF287" s="54"/>
      <c r="DG287" s="54"/>
      <c r="DH287" s="54"/>
      <c r="DI287" s="54"/>
      <c r="DJ287" s="54"/>
      <c r="DK287" s="54"/>
      <c r="DL287" s="54"/>
      <c r="DM287" s="54"/>
      <c r="DN287" s="54"/>
      <c r="DO287" s="54"/>
      <c r="DP287" s="54"/>
      <c r="DQ287" s="54"/>
      <c r="DR287" s="54"/>
      <c r="DS287" s="54"/>
      <c r="DT287" s="54"/>
      <c r="DU287" s="54"/>
      <c r="DV287" s="54"/>
      <c r="DW287" s="54"/>
      <c r="DX287" s="54"/>
      <c r="DY287" s="54"/>
      <c r="DZ287" s="54"/>
      <c r="EA287" s="54"/>
      <c r="EB287" s="54"/>
      <c r="EC287" s="54"/>
      <c r="ED287" s="54"/>
      <c r="EE287" s="54"/>
      <c r="EF287" s="54"/>
      <c r="EG287" s="54"/>
      <c r="EH287" s="54"/>
      <c r="EI287" s="54"/>
      <c r="EJ287" s="54"/>
      <c r="EK287" s="54"/>
      <c r="EL287" s="54"/>
      <c r="EM287" s="54"/>
      <c r="EN287" s="54"/>
      <c r="EO287" s="54"/>
      <c r="EP287" s="54"/>
      <c r="EQ287" s="54"/>
      <c r="ER287" s="54"/>
      <c r="ES287" s="54"/>
      <c r="ET287" s="54"/>
      <c r="EU287" s="54"/>
      <c r="EV287" s="54"/>
      <c r="EW287" s="54"/>
      <c r="EX287" s="54"/>
      <c r="EY287" s="54"/>
      <c r="EZ287" s="54"/>
      <c r="FA287" s="54"/>
      <c r="FB287" s="54"/>
      <c r="FC287" s="54"/>
      <c r="FD287" s="54"/>
      <c r="FE287" s="54"/>
      <c r="FF287" s="54"/>
      <c r="FG287" s="54"/>
      <c r="FH287" s="54"/>
      <c r="FI287" s="54"/>
      <c r="FJ287" s="54"/>
      <c r="FK287" s="54"/>
      <c r="FL287" s="54"/>
      <c r="FM287" s="54"/>
      <c r="FN287" s="54"/>
      <c r="FO287" s="54"/>
      <c r="FP287" s="54"/>
      <c r="FQ287" s="54"/>
      <c r="FR287" s="54"/>
      <c r="FS287" s="54"/>
      <c r="FT287" s="54"/>
      <c r="FU287" s="54"/>
      <c r="FV287" s="54"/>
      <c r="FW287" s="54"/>
      <c r="FX287" s="54"/>
      <c r="FY287" s="54"/>
      <c r="FZ287" s="54"/>
      <c r="GA287" s="54"/>
      <c r="GB287" s="54"/>
      <c r="GC287" s="54"/>
      <c r="GD287" s="54"/>
      <c r="GE287" s="54"/>
      <c r="GF287" s="54"/>
      <c r="GG287" s="54"/>
      <c r="GH287" s="54"/>
      <c r="GI287" s="54"/>
      <c r="GJ287" s="54"/>
      <c r="GK287" s="54"/>
      <c r="GL287" s="54"/>
      <c r="GM287" s="54"/>
      <c r="GN287" s="54"/>
      <c r="GO287" s="54"/>
      <c r="GP287" s="54"/>
      <c r="GQ287" s="54"/>
      <c r="GR287" s="54"/>
      <c r="GS287" s="54"/>
      <c r="GT287" s="54"/>
      <c r="GU287" s="54"/>
      <c r="GV287" s="54"/>
      <c r="GW287" s="54"/>
      <c r="GX287" s="54"/>
      <c r="GY287" s="54"/>
      <c r="GZ287" s="54"/>
      <c r="HA287" s="54"/>
      <c r="HB287" s="54"/>
      <c r="HC287" s="54"/>
      <c r="HD287" s="54"/>
      <c r="HE287" s="54"/>
      <c r="HF287" s="54"/>
      <c r="HG287" s="54"/>
      <c r="HH287" s="54"/>
      <c r="HI287" s="54"/>
      <c r="HJ287" s="54"/>
      <c r="HK287" s="54"/>
      <c r="HL287" s="54"/>
      <c r="HM287" s="54"/>
      <c r="HN287" s="54"/>
      <c r="HO287" s="54"/>
      <c r="HP287" s="54"/>
      <c r="HQ287" s="54"/>
      <c r="HR287" s="54"/>
      <c r="HS287" s="54"/>
      <c r="HT287" s="54"/>
      <c r="HU287" s="54"/>
      <c r="HV287" s="54"/>
      <c r="HW287" s="54"/>
      <c r="HX287" s="54"/>
      <c r="HY287" s="54"/>
      <c r="HZ287" s="54"/>
      <c r="IA287" s="54"/>
      <c r="IB287" s="54"/>
      <c r="IC287" s="54"/>
      <c r="ID287" s="54"/>
      <c r="IE287" s="54"/>
      <c r="IF287" s="54"/>
      <c r="IG287" s="54"/>
      <c r="IH287" s="54"/>
      <c r="IU287" s="54"/>
      <c r="JI287" s="54"/>
      <c r="JJ287" s="158"/>
      <c r="JK287" s="158"/>
      <c r="JL287" s="158"/>
      <c r="JM287" s="158"/>
      <c r="JN287" s="158"/>
      <c r="JO287" s="158"/>
      <c r="JP287" s="158"/>
      <c r="JQ287" s="158"/>
      <c r="JR287" s="158"/>
      <c r="JS287" s="158"/>
      <c r="JT287" s="158"/>
      <c r="JU287" s="158"/>
      <c r="JV287" s="158"/>
      <c r="JW287" s="158"/>
      <c r="JX287" s="158"/>
      <c r="JY287" s="158"/>
      <c r="JZ287" s="158"/>
      <c r="KA287" s="158"/>
      <c r="KB287" s="158"/>
      <c r="KC287" s="158"/>
      <c r="KD287" s="158"/>
      <c r="KE287" s="158"/>
      <c r="KF287" s="158"/>
      <c r="KG287" s="158"/>
      <c r="KH287" s="158"/>
      <c r="KI287" s="158"/>
      <c r="KJ287" s="158"/>
      <c r="KK287" s="158"/>
      <c r="KL287" s="158"/>
      <c r="KM287" s="54"/>
      <c r="KN287" s="54"/>
      <c r="KO287" s="54"/>
      <c r="KP287" s="54"/>
      <c r="KQ287" s="54"/>
      <c r="KR287" s="54"/>
      <c r="KS287" s="54"/>
      <c r="KT287" s="54"/>
      <c r="KU287" s="54"/>
      <c r="KV287" s="54"/>
      <c r="KW287" s="54"/>
      <c r="KX287" s="54"/>
    </row>
    <row r="288" ht="5.25" customHeight="1">
      <c r="A288" s="54"/>
      <c r="B288" s="54"/>
      <c r="C288" s="54"/>
      <c r="D288" s="54"/>
      <c r="E288" s="54"/>
      <c r="F288" s="54"/>
      <c r="G288" s="54"/>
      <c r="H288" s="170"/>
      <c r="I288" s="170"/>
      <c r="J288" s="170"/>
      <c r="K288" s="170"/>
      <c r="L288" s="170"/>
      <c r="M288" s="170"/>
      <c r="N288" s="170"/>
      <c r="O288" s="170"/>
      <c r="P288" s="170"/>
      <c r="Q288" s="170"/>
      <c r="R288" s="170"/>
      <c r="S288" s="170"/>
      <c r="T288" s="170"/>
      <c r="U288" s="170"/>
      <c r="V288" s="170"/>
      <c r="W288" s="170"/>
      <c r="X288" s="170"/>
      <c r="Y288" s="170"/>
      <c r="Z288" s="170"/>
      <c r="AA288" s="170"/>
      <c r="AB288" s="170"/>
      <c r="AC288" s="170"/>
      <c r="AD288" s="170"/>
      <c r="AE288" s="170"/>
      <c r="AF288" s="170"/>
      <c r="AG288" s="170"/>
      <c r="AH288" s="170"/>
      <c r="AI288" s="170"/>
      <c r="AJ288" s="170"/>
      <c r="AK288" s="170"/>
      <c r="AL288" s="170"/>
      <c r="AM288" s="170"/>
      <c r="AN288" s="170"/>
      <c r="AO288" s="54"/>
      <c r="AP288" s="54"/>
      <c r="AQ288" s="54"/>
      <c r="AR288" s="54"/>
      <c r="BZ288" s="54"/>
      <c r="CA288" s="54"/>
      <c r="CB288" s="54"/>
      <c r="CC288" s="54"/>
      <c r="CD288" s="54"/>
      <c r="CE288" s="54"/>
      <c r="CF288" s="54"/>
      <c r="CG288" s="54"/>
      <c r="CH288" s="54"/>
      <c r="CI288" s="54"/>
      <c r="CJ288" s="54"/>
      <c r="CK288" s="54"/>
      <c r="CL288" s="54"/>
      <c r="CM288" s="54"/>
      <c r="CN288" s="54"/>
      <c r="CO288" s="54"/>
      <c r="CP288" s="54"/>
      <c r="CQ288" s="54"/>
      <c r="CR288" s="54"/>
      <c r="CS288" s="54"/>
      <c r="CT288" s="54"/>
      <c r="CU288" s="54"/>
      <c r="CV288" s="54"/>
      <c r="CW288" s="54"/>
      <c r="CX288" s="54"/>
      <c r="CY288" s="54"/>
      <c r="CZ288" s="54"/>
      <c r="DA288" s="54"/>
      <c r="DB288" s="54"/>
      <c r="DC288" s="54"/>
      <c r="DD288" s="54"/>
      <c r="DE288" s="54"/>
      <c r="DF288" s="54"/>
      <c r="DG288" s="54"/>
      <c r="DH288" s="54"/>
      <c r="DI288" s="54"/>
      <c r="DJ288" s="54"/>
      <c r="DK288" s="54"/>
      <c r="DL288" s="54"/>
      <c r="DM288" s="54"/>
      <c r="DN288" s="54"/>
      <c r="DO288" s="54"/>
      <c r="DP288" s="54"/>
      <c r="DQ288" s="54"/>
      <c r="DR288" s="54"/>
      <c r="DS288" s="54"/>
      <c r="DT288" s="54"/>
      <c r="DU288" s="54"/>
      <c r="DV288" s="54"/>
      <c r="DW288" s="54"/>
      <c r="DX288" s="54"/>
      <c r="DY288" s="54"/>
      <c r="DZ288" s="54"/>
      <c r="EA288" s="54"/>
      <c r="EB288" s="54"/>
      <c r="EC288" s="54"/>
      <c r="ED288" s="54"/>
      <c r="EE288" s="54"/>
      <c r="EF288" s="54"/>
      <c r="EG288" s="54"/>
      <c r="EH288" s="54"/>
      <c r="EI288" s="54"/>
      <c r="EJ288" s="54"/>
      <c r="EK288" s="54"/>
      <c r="EL288" s="54"/>
      <c r="EM288" s="54"/>
      <c r="EN288" s="54"/>
      <c r="EO288" s="54"/>
      <c r="EP288" s="54"/>
      <c r="EQ288" s="54"/>
      <c r="ER288" s="54"/>
      <c r="ES288" s="54"/>
      <c r="ET288" s="54"/>
      <c r="EU288" s="54"/>
      <c r="EV288" s="54"/>
      <c r="EW288" s="54"/>
      <c r="EX288" s="54"/>
      <c r="EY288" s="54"/>
      <c r="EZ288" s="54"/>
      <c r="FA288" s="54"/>
      <c r="FB288" s="54"/>
      <c r="FC288" s="54"/>
      <c r="FD288" s="54"/>
      <c r="FE288" s="54"/>
      <c r="FF288" s="54"/>
      <c r="FG288" s="54"/>
      <c r="FH288" s="54"/>
      <c r="FI288" s="54"/>
      <c r="FJ288" s="54"/>
      <c r="FK288" s="54"/>
      <c r="FL288" s="54"/>
      <c r="FM288" s="54"/>
      <c r="FN288" s="54"/>
      <c r="FO288" s="54"/>
      <c r="FP288" s="54"/>
      <c r="FQ288" s="54"/>
      <c r="FR288" s="54"/>
      <c r="FS288" s="54"/>
      <c r="FT288" s="54"/>
      <c r="FU288" s="54"/>
      <c r="FV288" s="54"/>
      <c r="FW288" s="54"/>
      <c r="FX288" s="54"/>
      <c r="FY288" s="54"/>
      <c r="FZ288" s="54"/>
      <c r="GA288" s="54"/>
      <c r="GB288" s="54"/>
      <c r="GC288" s="54"/>
      <c r="GD288" s="54"/>
      <c r="GE288" s="54"/>
      <c r="GF288" s="54"/>
      <c r="GG288" s="54"/>
      <c r="GH288" s="54"/>
      <c r="GI288" s="54"/>
      <c r="GJ288" s="54"/>
      <c r="GK288" s="54"/>
      <c r="GL288" s="54"/>
      <c r="GM288" s="54"/>
      <c r="GN288" s="54"/>
      <c r="GO288" s="54"/>
      <c r="GP288" s="54"/>
      <c r="GQ288" s="54"/>
      <c r="GR288" s="54"/>
      <c r="GS288" s="54"/>
      <c r="GT288" s="54"/>
      <c r="GU288" s="54"/>
      <c r="GV288" s="54"/>
      <c r="GW288" s="54"/>
      <c r="GX288" s="54"/>
      <c r="GY288" s="54"/>
      <c r="GZ288" s="54"/>
      <c r="HA288" s="54"/>
      <c r="HB288" s="54"/>
      <c r="HC288" s="54"/>
      <c r="HD288" s="54"/>
      <c r="HE288" s="54"/>
      <c r="HF288" s="54"/>
      <c r="HG288" s="54"/>
      <c r="HH288" s="54"/>
      <c r="HI288" s="54"/>
      <c r="HJ288" s="54"/>
      <c r="HK288" s="54"/>
      <c r="HL288" s="54"/>
      <c r="HM288" s="54"/>
      <c r="HN288" s="54"/>
      <c r="HO288" s="54"/>
      <c r="HP288" s="54"/>
      <c r="HQ288" s="54"/>
      <c r="HR288" s="54"/>
      <c r="HS288" s="54"/>
      <c r="HT288" s="54"/>
      <c r="HU288" s="54"/>
      <c r="HV288" s="54"/>
      <c r="HW288" s="54"/>
      <c r="HX288" s="54"/>
      <c r="HY288" s="54"/>
      <c r="HZ288" s="54"/>
      <c r="IA288" s="54"/>
      <c r="IB288" s="54"/>
      <c r="IC288" s="54"/>
      <c r="ID288" s="54"/>
      <c r="IE288" s="54"/>
      <c r="IF288" s="54"/>
      <c r="IG288" s="54"/>
      <c r="IH288" s="54"/>
      <c r="IU288" s="54"/>
      <c r="JI288" s="54"/>
      <c r="JJ288" s="82" t="str">
        <f t="array" ref="JJ288">xlookup(JN288,'Team Entry'!$A:$A,'Team Entry'!$B:$B,"")</f>
        <v/>
      </c>
      <c r="JN288" s="156" t="str">
        <f>if(DD199=0,"TBD",'Swiss Results'!Y82)</f>
        <v>TBD</v>
      </c>
      <c r="KM288" s="54"/>
      <c r="KN288" s="54"/>
      <c r="KO288" s="54"/>
      <c r="KP288" s="54"/>
      <c r="KQ288" s="54"/>
      <c r="KR288" s="54"/>
      <c r="KS288" s="54"/>
      <c r="KT288" s="54"/>
      <c r="KU288" s="54"/>
      <c r="KV288" s="54"/>
      <c r="KW288" s="54"/>
      <c r="KX288" s="54"/>
    </row>
    <row r="289" ht="5.25" customHeight="1">
      <c r="A289" s="54"/>
      <c r="B289" s="54"/>
      <c r="C289" s="54"/>
      <c r="D289" s="54"/>
      <c r="E289" s="54"/>
      <c r="F289" s="54"/>
      <c r="G289" s="55">
        <v>7.0</v>
      </c>
      <c r="H289" s="82" t="str">
        <f t="array" ref="H289">xlookup(L289,'Team Entry'!$A:$A,'Team Entry'!$B:$B,"")</f>
        <v/>
      </c>
      <c r="L289" s="169" t="str">
        <f t="array" ref="L289">if($DD$199=0,"Swiss #7 Seed",xlookup(G289,data!$G$24:$G$39,data!$A$24:$A$39,""))</f>
        <v>Swiss #7 Seed</v>
      </c>
      <c r="AK289" s="168"/>
      <c r="AO289" s="157"/>
      <c r="AP289" s="157"/>
      <c r="AQ289" s="157"/>
      <c r="AR289" s="157"/>
      <c r="BZ289" s="54"/>
      <c r="CA289" s="54"/>
      <c r="CB289" s="54"/>
      <c r="CC289" s="54"/>
      <c r="CD289" s="54"/>
      <c r="CE289" s="54"/>
      <c r="CF289" s="54"/>
      <c r="CG289" s="54"/>
      <c r="CH289" s="54"/>
      <c r="CI289" s="54"/>
      <c r="CJ289" s="54"/>
      <c r="CK289" s="54"/>
      <c r="CL289" s="54"/>
      <c r="CM289" s="54"/>
      <c r="CN289" s="54"/>
      <c r="CO289" s="54"/>
      <c r="CP289" s="54"/>
      <c r="CQ289" s="54"/>
      <c r="CR289" s="54"/>
      <c r="CS289" s="54"/>
      <c r="CT289" s="54"/>
      <c r="CU289" s="54"/>
      <c r="CV289" s="54"/>
      <c r="CW289" s="54"/>
      <c r="CX289" s="54"/>
      <c r="CY289" s="54"/>
      <c r="CZ289" s="54"/>
      <c r="DA289" s="54"/>
      <c r="DB289" s="54"/>
      <c r="DC289" s="54"/>
      <c r="DD289" s="54"/>
      <c r="DE289" s="54"/>
      <c r="DF289" s="54"/>
      <c r="DG289" s="54"/>
      <c r="DH289" s="54"/>
      <c r="DI289" s="54"/>
      <c r="DJ289" s="54"/>
      <c r="DK289" s="54"/>
      <c r="DL289" s="54"/>
      <c r="DM289" s="54"/>
      <c r="DN289" s="54"/>
      <c r="DO289" s="54"/>
      <c r="DP289" s="54"/>
      <c r="DQ289" s="54"/>
      <c r="DR289" s="54"/>
      <c r="DS289" s="54"/>
      <c r="DT289" s="54"/>
      <c r="DU289" s="54"/>
      <c r="DV289" s="54"/>
      <c r="DW289" s="54"/>
      <c r="DX289" s="54"/>
      <c r="DY289" s="54"/>
      <c r="DZ289" s="54"/>
      <c r="EA289" s="54"/>
      <c r="EB289" s="54"/>
      <c r="EC289" s="54"/>
      <c r="ED289" s="54"/>
      <c r="EE289" s="54"/>
      <c r="EF289" s="54"/>
      <c r="EG289" s="54"/>
      <c r="EH289" s="54"/>
      <c r="EI289" s="54"/>
      <c r="EJ289" s="54"/>
      <c r="EK289" s="54"/>
      <c r="EL289" s="54"/>
      <c r="EM289" s="54"/>
      <c r="EN289" s="54"/>
      <c r="EO289" s="54"/>
      <c r="EP289" s="54"/>
      <c r="EQ289" s="54"/>
      <c r="ER289" s="54"/>
      <c r="ES289" s="54"/>
      <c r="ET289" s="54"/>
      <c r="EU289" s="54"/>
      <c r="EV289" s="54"/>
      <c r="EW289" s="54"/>
      <c r="EX289" s="54"/>
      <c r="EY289" s="54"/>
      <c r="EZ289" s="54"/>
      <c r="FA289" s="54"/>
      <c r="FB289" s="54"/>
      <c r="FC289" s="54"/>
      <c r="FD289" s="54"/>
      <c r="FE289" s="54"/>
      <c r="FF289" s="54"/>
      <c r="FG289" s="54"/>
      <c r="FH289" s="54"/>
      <c r="FI289" s="54"/>
      <c r="FJ289" s="54"/>
      <c r="FK289" s="54"/>
      <c r="FL289" s="54"/>
      <c r="FM289" s="54"/>
      <c r="FN289" s="54"/>
      <c r="FO289" s="54"/>
      <c r="FP289" s="54"/>
      <c r="FQ289" s="54"/>
      <c r="FR289" s="54"/>
      <c r="FS289" s="54"/>
      <c r="FT289" s="54"/>
      <c r="FU289" s="54"/>
      <c r="FV289" s="54"/>
      <c r="FW289" s="54"/>
      <c r="FX289" s="54"/>
      <c r="FY289" s="54"/>
      <c r="FZ289" s="54"/>
      <c r="GA289" s="54"/>
      <c r="GB289" s="54"/>
      <c r="GC289" s="54"/>
      <c r="GD289" s="54"/>
      <c r="GE289" s="54"/>
      <c r="GF289" s="54"/>
      <c r="GG289" s="54"/>
      <c r="GH289" s="54"/>
      <c r="GI289" s="54"/>
      <c r="GJ289" s="54"/>
      <c r="GK289" s="54"/>
      <c r="GL289" s="54"/>
      <c r="GM289" s="54"/>
      <c r="GN289" s="54"/>
      <c r="GO289" s="54"/>
      <c r="GP289" s="54"/>
      <c r="GQ289" s="54"/>
      <c r="GR289" s="54"/>
      <c r="GS289" s="54"/>
      <c r="GT289" s="54"/>
      <c r="GU289" s="54"/>
      <c r="GV289" s="54"/>
      <c r="GW289" s="54"/>
      <c r="GX289" s="54"/>
      <c r="GY289" s="54"/>
      <c r="GZ289" s="54"/>
      <c r="HA289" s="54"/>
      <c r="HB289" s="54"/>
      <c r="HC289" s="54"/>
      <c r="HD289" s="54"/>
      <c r="HE289" s="54"/>
      <c r="HF289" s="54"/>
      <c r="HG289" s="54"/>
      <c r="HH289" s="54"/>
      <c r="HI289" s="54"/>
      <c r="HJ289" s="54"/>
      <c r="HK289" s="54"/>
      <c r="HL289" s="54"/>
      <c r="HM289" s="54"/>
      <c r="HN289" s="54"/>
      <c r="HO289" s="54"/>
      <c r="HP289" s="54"/>
      <c r="HQ289" s="54"/>
      <c r="HR289" s="54"/>
      <c r="HS289" s="54"/>
      <c r="HT289" s="54"/>
      <c r="HU289" s="54"/>
      <c r="HV289" s="54"/>
      <c r="HW289" s="54"/>
      <c r="HX289" s="54"/>
      <c r="HY289" s="54"/>
      <c r="HZ289" s="54"/>
      <c r="IA289" s="54"/>
      <c r="IB289" s="54"/>
      <c r="IC289" s="54"/>
      <c r="ID289" s="54"/>
      <c r="IE289" s="54"/>
      <c r="IF289" s="54"/>
      <c r="IG289" s="54"/>
      <c r="IH289" s="54"/>
      <c r="IU289" s="54"/>
      <c r="JI289" s="54"/>
      <c r="KM289" s="54"/>
      <c r="KN289" s="54"/>
      <c r="KO289" s="54"/>
      <c r="KP289" s="54"/>
      <c r="KQ289" s="54"/>
      <c r="KR289" s="54"/>
      <c r="KS289" s="54"/>
      <c r="KT289" s="54"/>
      <c r="KU289" s="54"/>
      <c r="KV289" s="54"/>
      <c r="KW289" s="54"/>
      <c r="KX289" s="54"/>
    </row>
    <row r="290" ht="5.25" customHeight="1">
      <c r="A290" s="54"/>
      <c r="B290" s="54"/>
      <c r="C290" s="54"/>
      <c r="D290" s="54"/>
      <c r="E290" s="54"/>
      <c r="F290" s="54"/>
      <c r="G290" s="54"/>
      <c r="AO290" s="54"/>
      <c r="AP290" s="54"/>
      <c r="AQ290" s="54"/>
      <c r="AR290" s="54"/>
      <c r="BZ290" s="54"/>
      <c r="CA290" s="54"/>
      <c r="CB290" s="54"/>
      <c r="CC290" s="54"/>
      <c r="CD290" s="54"/>
      <c r="CE290" s="54"/>
      <c r="CF290" s="54"/>
      <c r="CG290" s="54"/>
      <c r="CH290" s="54"/>
      <c r="CI290" s="54"/>
      <c r="CJ290" s="54"/>
      <c r="CK290" s="54"/>
      <c r="CL290" s="54"/>
      <c r="CM290" s="54"/>
      <c r="CN290" s="54"/>
      <c r="CO290" s="54"/>
      <c r="CP290" s="54"/>
      <c r="CQ290" s="54"/>
      <c r="CR290" s="54"/>
      <c r="CS290" s="54"/>
      <c r="CT290" s="54"/>
      <c r="CU290" s="54"/>
      <c r="CV290" s="54"/>
      <c r="CW290" s="54"/>
      <c r="CX290" s="54"/>
      <c r="CY290" s="54"/>
      <c r="CZ290" s="54"/>
      <c r="DA290" s="54"/>
      <c r="DB290" s="54"/>
      <c r="DC290" s="54"/>
      <c r="DD290" s="54"/>
      <c r="DE290" s="54"/>
      <c r="DF290" s="54"/>
      <c r="DG290" s="54"/>
      <c r="DH290" s="54"/>
      <c r="DI290" s="54"/>
      <c r="DJ290" s="54"/>
      <c r="DK290" s="54"/>
      <c r="DL290" s="54"/>
      <c r="DM290" s="54"/>
      <c r="DN290" s="54"/>
      <c r="DO290" s="54"/>
      <c r="DP290" s="54"/>
      <c r="DQ290" s="54"/>
      <c r="DR290" s="54"/>
      <c r="DS290" s="54"/>
      <c r="DT290" s="54"/>
      <c r="DU290" s="54"/>
      <c r="DV290" s="54"/>
      <c r="DW290" s="54"/>
      <c r="DX290" s="54"/>
      <c r="DY290" s="54"/>
      <c r="DZ290" s="54"/>
      <c r="EA290" s="54"/>
      <c r="EB290" s="54"/>
      <c r="EC290" s="54"/>
      <c r="ED290" s="54"/>
      <c r="EE290" s="54"/>
      <c r="EF290" s="54"/>
      <c r="EG290" s="54"/>
      <c r="EH290" s="54"/>
      <c r="EI290" s="54"/>
      <c r="EJ290" s="54"/>
      <c r="EK290" s="54"/>
      <c r="EL290" s="54"/>
      <c r="EM290" s="54"/>
      <c r="EN290" s="54"/>
      <c r="EO290" s="54"/>
      <c r="EP290" s="54"/>
      <c r="EQ290" s="54"/>
      <c r="ER290" s="54"/>
      <c r="ES290" s="54"/>
      <c r="ET290" s="54"/>
      <c r="EU290" s="54"/>
      <c r="EV290" s="54"/>
      <c r="EW290" s="54"/>
      <c r="EX290" s="54"/>
      <c r="EY290" s="54"/>
      <c r="EZ290" s="54"/>
      <c r="FA290" s="54"/>
      <c r="FB290" s="54"/>
      <c r="FC290" s="54"/>
      <c r="FD290" s="54"/>
      <c r="FE290" s="54"/>
      <c r="FF290" s="54"/>
      <c r="FG290" s="54"/>
      <c r="FH290" s="54"/>
      <c r="FI290" s="54"/>
      <c r="FJ290" s="54"/>
      <c r="FK290" s="54"/>
      <c r="FL290" s="54"/>
      <c r="FM290" s="54"/>
      <c r="FN290" s="54"/>
      <c r="FO290" s="54"/>
      <c r="FP290" s="54"/>
      <c r="FQ290" s="54"/>
      <c r="FR290" s="54"/>
      <c r="FS290" s="54"/>
      <c r="FT290" s="54"/>
      <c r="FU290" s="54"/>
      <c r="FV290" s="54"/>
      <c r="FW290" s="54"/>
      <c r="FX290" s="54"/>
      <c r="FY290" s="54"/>
      <c r="FZ290" s="54"/>
      <c r="GA290" s="54"/>
      <c r="GB290" s="54"/>
      <c r="GC290" s="54"/>
      <c r="GD290" s="54"/>
      <c r="GE290" s="54"/>
      <c r="GF290" s="54"/>
      <c r="GG290" s="54"/>
      <c r="GH290" s="54"/>
      <c r="GI290" s="54"/>
      <c r="GJ290" s="54"/>
      <c r="GK290" s="54"/>
      <c r="GL290" s="54"/>
      <c r="GM290" s="54"/>
      <c r="GN290" s="54"/>
      <c r="GO290" s="54"/>
      <c r="GP290" s="54"/>
      <c r="GQ290" s="54"/>
      <c r="GR290" s="54"/>
      <c r="GS290" s="54"/>
      <c r="GT290" s="54"/>
      <c r="GU290" s="54"/>
      <c r="GV290" s="54"/>
      <c r="GW290" s="54"/>
      <c r="GX290" s="54"/>
      <c r="GY290" s="54"/>
      <c r="GZ290" s="54"/>
      <c r="HA290" s="54"/>
      <c r="HB290" s="54"/>
      <c r="HC290" s="54"/>
      <c r="HD290" s="54"/>
      <c r="HE290" s="54"/>
      <c r="HF290" s="54"/>
      <c r="HG290" s="54"/>
      <c r="HH290" s="54"/>
      <c r="HI290" s="54"/>
      <c r="HJ290" s="54"/>
      <c r="HK290" s="54"/>
      <c r="HL290" s="54"/>
      <c r="HM290" s="54"/>
      <c r="HN290" s="54"/>
      <c r="HO290" s="54"/>
      <c r="HP290" s="54"/>
      <c r="HQ290" s="54"/>
      <c r="HR290" s="54"/>
      <c r="HS290" s="54"/>
      <c r="HT290" s="54"/>
      <c r="HU290" s="54"/>
      <c r="HV290" s="54"/>
      <c r="HW290" s="54"/>
      <c r="HX290" s="54"/>
      <c r="HY290" s="54"/>
      <c r="HZ290" s="54"/>
      <c r="IA290" s="54"/>
      <c r="IB290" s="54"/>
      <c r="IC290" s="54"/>
      <c r="ID290" s="54"/>
      <c r="IE290" s="54"/>
      <c r="IF290" s="54"/>
      <c r="IG290" s="54"/>
      <c r="IH290" s="54"/>
      <c r="IU290" s="54"/>
      <c r="JI290" s="54"/>
      <c r="KM290" s="54"/>
      <c r="KN290" s="54"/>
      <c r="KO290" s="54"/>
      <c r="KP290" s="54"/>
      <c r="KQ290" s="54"/>
      <c r="KR290" s="54"/>
      <c r="KS290" s="54"/>
      <c r="KT290" s="54"/>
      <c r="KU290" s="54"/>
      <c r="KV290" s="54"/>
      <c r="KW290" s="54"/>
      <c r="KX290" s="54"/>
    </row>
    <row r="291" ht="5.25" customHeight="1">
      <c r="A291" s="54"/>
      <c r="B291" s="54"/>
      <c r="C291" s="54"/>
      <c r="D291" s="54"/>
      <c r="E291" s="54"/>
      <c r="F291" s="54"/>
      <c r="G291" s="54"/>
      <c r="AO291" s="54"/>
      <c r="AP291" s="54"/>
      <c r="AQ291" s="54"/>
      <c r="AR291" s="54"/>
      <c r="AS291" s="54"/>
      <c r="AT291" s="54"/>
      <c r="AU291" s="54"/>
      <c r="AV291" s="54"/>
      <c r="AW291" s="54"/>
      <c r="AX291" s="54"/>
      <c r="AY291" s="54"/>
      <c r="AZ291" s="54"/>
      <c r="BA291" s="54"/>
      <c r="BB291" s="54"/>
      <c r="BC291" s="54"/>
      <c r="BD291" s="54"/>
      <c r="BE291" s="54"/>
      <c r="BF291" s="54"/>
      <c r="BG291" s="54"/>
      <c r="BH291" s="54"/>
      <c r="BI291" s="54"/>
      <c r="BJ291" s="54"/>
      <c r="BK291" s="54"/>
      <c r="BL291" s="54"/>
      <c r="BM291" s="54"/>
      <c r="BN291" s="54"/>
      <c r="BO291" s="54"/>
      <c r="BP291" s="54"/>
      <c r="BQ291" s="54"/>
      <c r="BR291" s="54"/>
      <c r="BS291" s="54"/>
      <c r="BT291" s="54"/>
      <c r="BU291" s="54"/>
      <c r="BV291" s="54"/>
      <c r="BW291" s="54"/>
      <c r="BX291" s="54"/>
      <c r="BY291" s="54"/>
      <c r="BZ291" s="54"/>
      <c r="CA291" s="54"/>
      <c r="CB291" s="54"/>
      <c r="CC291" s="54"/>
      <c r="CD291" s="54"/>
      <c r="CE291" s="54"/>
      <c r="CF291" s="54"/>
      <c r="CG291" s="54"/>
      <c r="CH291" s="54"/>
      <c r="CI291" s="54"/>
      <c r="CJ291" s="54"/>
      <c r="CK291" s="54"/>
      <c r="CL291" s="54"/>
      <c r="CM291" s="54"/>
      <c r="CN291" s="54"/>
      <c r="CO291" s="54"/>
      <c r="CP291" s="54"/>
      <c r="CQ291" s="54"/>
      <c r="CR291" s="54"/>
      <c r="CS291" s="54"/>
      <c r="CT291" s="54"/>
      <c r="CU291" s="54"/>
      <c r="CV291" s="54"/>
      <c r="CW291" s="54"/>
      <c r="CX291" s="54"/>
      <c r="CY291" s="54"/>
      <c r="CZ291" s="54"/>
      <c r="DA291" s="54"/>
      <c r="DB291" s="54"/>
      <c r="DC291" s="54"/>
      <c r="DD291" s="54"/>
      <c r="DE291" s="54"/>
      <c r="DF291" s="54"/>
      <c r="DG291" s="54"/>
      <c r="DH291" s="54"/>
      <c r="DI291" s="54"/>
      <c r="DJ291" s="54"/>
      <c r="DK291" s="54"/>
      <c r="DL291" s="54"/>
      <c r="DM291" s="54"/>
      <c r="DN291" s="54"/>
      <c r="DO291" s="54"/>
      <c r="DP291" s="54"/>
      <c r="DQ291" s="54"/>
      <c r="DR291" s="54"/>
      <c r="DS291" s="54"/>
      <c r="DT291" s="54"/>
      <c r="DU291" s="54"/>
      <c r="DV291" s="54"/>
      <c r="DW291" s="54"/>
      <c r="DX291" s="54"/>
      <c r="DY291" s="54"/>
      <c r="DZ291" s="54"/>
      <c r="EA291" s="54"/>
      <c r="EB291" s="54"/>
      <c r="EC291" s="54"/>
      <c r="ED291" s="54"/>
      <c r="EE291" s="54"/>
      <c r="EF291" s="54"/>
      <c r="EG291" s="54"/>
      <c r="EH291" s="54"/>
      <c r="EI291" s="54"/>
      <c r="EJ291" s="54"/>
      <c r="EK291" s="54"/>
      <c r="EL291" s="54"/>
      <c r="EM291" s="54"/>
      <c r="EN291" s="54"/>
      <c r="EO291" s="54"/>
      <c r="EP291" s="54"/>
      <c r="EQ291" s="54"/>
      <c r="ER291" s="54"/>
      <c r="ES291" s="54"/>
      <c r="ET291" s="54"/>
      <c r="EU291" s="54"/>
      <c r="EV291" s="54"/>
      <c r="EW291" s="54"/>
      <c r="EX291" s="54"/>
      <c r="EY291" s="54"/>
      <c r="EZ291" s="54"/>
      <c r="FA291" s="54"/>
      <c r="FB291" s="54"/>
      <c r="FC291" s="54"/>
      <c r="FD291" s="54"/>
      <c r="FE291" s="54"/>
      <c r="FF291" s="54"/>
      <c r="FG291" s="54"/>
      <c r="FH291" s="54"/>
      <c r="FI291" s="54"/>
      <c r="FJ291" s="54"/>
      <c r="FK291" s="54"/>
      <c r="FL291" s="54"/>
      <c r="FM291" s="54"/>
      <c r="FN291" s="54"/>
      <c r="FO291" s="54"/>
      <c r="FP291" s="54"/>
      <c r="FQ291" s="54"/>
      <c r="FR291" s="54"/>
      <c r="FS291" s="54"/>
      <c r="FT291" s="54"/>
      <c r="FU291" s="54"/>
      <c r="FV291" s="54"/>
      <c r="FW291" s="54"/>
      <c r="FX291" s="54"/>
      <c r="FY291" s="54"/>
      <c r="FZ291" s="54"/>
      <c r="GA291" s="54"/>
      <c r="GB291" s="54"/>
      <c r="GC291" s="54"/>
      <c r="GD291" s="54"/>
      <c r="GE291" s="54"/>
      <c r="GF291" s="54"/>
      <c r="GG291" s="54"/>
      <c r="GH291" s="54"/>
      <c r="GI291" s="54"/>
      <c r="GJ291" s="54"/>
      <c r="GK291" s="54"/>
      <c r="GL291" s="54"/>
      <c r="GM291" s="54"/>
      <c r="GN291" s="54"/>
      <c r="GO291" s="54"/>
      <c r="GP291" s="54"/>
      <c r="GQ291" s="54"/>
      <c r="GR291" s="54"/>
      <c r="GS291" s="54"/>
      <c r="GT291" s="54"/>
      <c r="GU291" s="54"/>
      <c r="GV291" s="54"/>
      <c r="GW291" s="54"/>
      <c r="GX291" s="54"/>
      <c r="GY291" s="54"/>
      <c r="GZ291" s="54"/>
      <c r="HA291" s="54"/>
      <c r="HB291" s="54"/>
      <c r="HC291" s="54"/>
      <c r="HD291" s="54"/>
      <c r="HE291" s="54"/>
      <c r="HF291" s="54"/>
      <c r="HG291" s="54"/>
      <c r="HH291" s="54"/>
      <c r="HI291" s="54"/>
      <c r="HJ291" s="54"/>
      <c r="HK291" s="54"/>
      <c r="HL291" s="54"/>
      <c r="HM291" s="54"/>
      <c r="HN291" s="54"/>
      <c r="HO291" s="54"/>
      <c r="HP291" s="54"/>
      <c r="HQ291" s="54"/>
      <c r="HR291" s="54"/>
      <c r="HS291" s="54"/>
      <c r="HT291" s="54"/>
      <c r="HU291" s="54"/>
      <c r="HV291" s="54"/>
      <c r="HW291" s="54"/>
      <c r="HX291" s="54"/>
      <c r="HY291" s="54"/>
      <c r="HZ291" s="54"/>
      <c r="IA291" s="54"/>
      <c r="IB291" s="54"/>
      <c r="IC291" s="54"/>
      <c r="ID291" s="54"/>
      <c r="IE291" s="54"/>
      <c r="IF291" s="54"/>
      <c r="IG291" s="54"/>
      <c r="IH291" s="54"/>
      <c r="IU291" s="54"/>
      <c r="JI291" s="54"/>
      <c r="JJ291" s="158"/>
      <c r="JK291" s="158"/>
      <c r="JL291" s="158"/>
      <c r="JM291" s="158"/>
      <c r="JN291" s="158"/>
      <c r="JO291" s="158"/>
      <c r="JP291" s="158"/>
      <c r="JQ291" s="158"/>
      <c r="JR291" s="158"/>
      <c r="JS291" s="158"/>
      <c r="JT291" s="158"/>
      <c r="JU291" s="158"/>
      <c r="JV291" s="158"/>
      <c r="JW291" s="158"/>
      <c r="JX291" s="158"/>
      <c r="JY291" s="158"/>
      <c r="JZ291" s="158"/>
      <c r="KA291" s="158"/>
      <c r="KB291" s="158"/>
      <c r="KC291" s="158"/>
      <c r="KD291" s="158"/>
      <c r="KE291" s="158"/>
      <c r="KF291" s="158"/>
      <c r="KG291" s="158"/>
      <c r="KH291" s="158"/>
      <c r="KI291" s="158"/>
      <c r="KJ291" s="158"/>
      <c r="KK291" s="158"/>
      <c r="KL291" s="158"/>
      <c r="KM291" s="54"/>
      <c r="KN291" s="54"/>
      <c r="KO291" s="54"/>
      <c r="KP291" s="54"/>
      <c r="KQ291" s="54"/>
      <c r="KR291" s="54"/>
      <c r="KS291" s="54"/>
      <c r="KT291" s="54"/>
      <c r="KU291" s="54"/>
      <c r="KV291" s="54"/>
      <c r="KW291" s="54"/>
      <c r="KX291" s="54"/>
    </row>
    <row r="292" ht="5.25" customHeight="1">
      <c r="A292" s="54"/>
      <c r="B292" s="54"/>
      <c r="C292" s="54"/>
      <c r="D292" s="54"/>
      <c r="E292" s="54"/>
      <c r="F292" s="54"/>
      <c r="G292" s="54"/>
      <c r="AO292" s="54"/>
      <c r="AP292" s="54"/>
      <c r="AQ292" s="54"/>
      <c r="AR292" s="54"/>
      <c r="AS292" s="54"/>
      <c r="AT292" s="54"/>
      <c r="AU292" s="54"/>
      <c r="AV292" s="54"/>
      <c r="AW292" s="54"/>
      <c r="AX292" s="54"/>
      <c r="AY292" s="54"/>
      <c r="AZ292" s="54"/>
      <c r="BA292" s="54"/>
      <c r="BB292" s="54"/>
      <c r="BC292" s="54"/>
      <c r="BD292" s="54"/>
      <c r="BE292" s="54"/>
      <c r="BF292" s="54"/>
      <c r="BG292" s="54"/>
      <c r="BH292" s="54"/>
      <c r="BI292" s="54"/>
      <c r="BJ292" s="54"/>
      <c r="BK292" s="54"/>
      <c r="BL292" s="54"/>
      <c r="BM292" s="54"/>
      <c r="BN292" s="54"/>
      <c r="BO292" s="54"/>
      <c r="BP292" s="54"/>
      <c r="BQ292" s="54"/>
      <c r="BR292" s="54"/>
      <c r="BS292" s="54"/>
      <c r="BT292" s="54"/>
      <c r="BU292" s="54"/>
      <c r="BV292" s="54"/>
      <c r="BW292" s="54"/>
      <c r="BX292" s="54"/>
      <c r="BY292" s="54"/>
      <c r="BZ292" s="54"/>
      <c r="CA292" s="54"/>
      <c r="CB292" s="54"/>
      <c r="CC292" s="54"/>
      <c r="CD292" s="54"/>
      <c r="CE292" s="54"/>
      <c r="CF292" s="54"/>
      <c r="CG292" s="54"/>
      <c r="CH292" s="54"/>
      <c r="CI292" s="54"/>
      <c r="CJ292" s="54"/>
      <c r="CK292" s="54"/>
      <c r="CL292" s="54"/>
      <c r="CM292" s="54"/>
      <c r="CN292" s="54"/>
      <c r="CO292" s="54"/>
      <c r="CP292" s="54"/>
      <c r="CQ292" s="54"/>
      <c r="CR292" s="54"/>
      <c r="CS292" s="54"/>
      <c r="CT292" s="54"/>
      <c r="CU292" s="54"/>
      <c r="CV292" s="54"/>
      <c r="CW292" s="54"/>
      <c r="CX292" s="54"/>
      <c r="CY292" s="54"/>
      <c r="CZ292" s="54"/>
      <c r="DA292" s="54"/>
      <c r="DB292" s="54"/>
      <c r="DC292" s="54"/>
      <c r="DD292" s="54"/>
      <c r="DE292" s="54"/>
      <c r="DF292" s="54"/>
      <c r="DG292" s="54"/>
      <c r="DH292" s="54"/>
      <c r="DI292" s="54"/>
      <c r="DJ292" s="54"/>
      <c r="DK292" s="54"/>
      <c r="DL292" s="54"/>
      <c r="DM292" s="54"/>
      <c r="DN292" s="54"/>
      <c r="DO292" s="54"/>
      <c r="DP292" s="54"/>
      <c r="DQ292" s="54"/>
      <c r="DR292" s="54"/>
      <c r="DS292" s="54"/>
      <c r="DT292" s="54"/>
      <c r="DU292" s="54"/>
      <c r="DV292" s="54"/>
      <c r="DW292" s="54"/>
      <c r="DX292" s="54"/>
      <c r="DY292" s="54"/>
      <c r="DZ292" s="54"/>
      <c r="EA292" s="54"/>
      <c r="EB292" s="54"/>
      <c r="EC292" s="54"/>
      <c r="ED292" s="54"/>
      <c r="EE292" s="54"/>
      <c r="EF292" s="54"/>
      <c r="EG292" s="54"/>
      <c r="EH292" s="54"/>
      <c r="EI292" s="54"/>
      <c r="EJ292" s="54"/>
      <c r="EK292" s="54"/>
      <c r="EL292" s="54"/>
      <c r="EM292" s="54"/>
      <c r="EN292" s="54"/>
      <c r="EO292" s="54"/>
      <c r="EP292" s="54"/>
      <c r="EQ292" s="54"/>
      <c r="ER292" s="54"/>
      <c r="ES292" s="54"/>
      <c r="ET292" s="54"/>
      <c r="EU292" s="54"/>
      <c r="EV292" s="54"/>
      <c r="EW292" s="54"/>
      <c r="EX292" s="54"/>
      <c r="EY292" s="54"/>
      <c r="EZ292" s="54"/>
      <c r="FA292" s="54"/>
      <c r="FB292" s="54"/>
      <c r="FC292" s="54"/>
      <c r="FD292" s="54"/>
      <c r="FE292" s="54"/>
      <c r="FF292" s="54"/>
      <c r="FG292" s="54"/>
      <c r="FH292" s="54"/>
      <c r="FI292" s="54"/>
      <c r="FJ292" s="54"/>
      <c r="FK292" s="54"/>
      <c r="FL292" s="54"/>
      <c r="FM292" s="54"/>
      <c r="FN292" s="54"/>
      <c r="FO292" s="54"/>
      <c r="FP292" s="54"/>
      <c r="FQ292" s="54"/>
      <c r="FR292" s="54"/>
      <c r="FS292" s="54"/>
      <c r="FT292" s="54"/>
      <c r="FU292" s="54"/>
      <c r="FV292" s="54"/>
      <c r="FW292" s="54"/>
      <c r="FX292" s="54"/>
      <c r="FY292" s="54"/>
      <c r="FZ292" s="54"/>
      <c r="GA292" s="54"/>
      <c r="GB292" s="54"/>
      <c r="GC292" s="54"/>
      <c r="GD292" s="54"/>
      <c r="GE292" s="54"/>
      <c r="GF292" s="54"/>
      <c r="GG292" s="54"/>
      <c r="GH292" s="54"/>
      <c r="GI292" s="54"/>
      <c r="GJ292" s="54"/>
      <c r="GK292" s="54"/>
      <c r="GL292" s="54"/>
      <c r="GM292" s="54"/>
      <c r="GN292" s="54"/>
      <c r="GO292" s="54"/>
      <c r="GP292" s="54"/>
      <c r="GQ292" s="54"/>
      <c r="GR292" s="54"/>
      <c r="GS292" s="54"/>
      <c r="GT292" s="54"/>
      <c r="GU292" s="54"/>
      <c r="GV292" s="54"/>
      <c r="GW292" s="54"/>
      <c r="GX292" s="54"/>
      <c r="GY292" s="54"/>
      <c r="GZ292" s="54"/>
      <c r="HA292" s="54"/>
      <c r="HB292" s="54"/>
      <c r="HC292" s="54"/>
      <c r="HD292" s="54"/>
      <c r="HE292" s="54"/>
      <c r="HF292" s="54"/>
      <c r="HG292" s="54"/>
      <c r="HH292" s="54"/>
      <c r="HI292" s="54"/>
      <c r="HJ292" s="54"/>
      <c r="HK292" s="54"/>
      <c r="HL292" s="54"/>
      <c r="HM292" s="54"/>
      <c r="HN292" s="54"/>
      <c r="HO292" s="54"/>
      <c r="HP292" s="54"/>
      <c r="HQ292" s="54"/>
      <c r="HR292" s="54"/>
      <c r="HS292" s="54"/>
      <c r="HT292" s="54"/>
      <c r="HU292" s="54"/>
      <c r="HV292" s="54"/>
      <c r="HW292" s="54"/>
      <c r="HX292" s="54"/>
      <c r="HY292" s="54"/>
      <c r="HZ292" s="54"/>
      <c r="IA292" s="54"/>
      <c r="IB292" s="54"/>
      <c r="IC292" s="54"/>
      <c r="ID292" s="54"/>
      <c r="IE292" s="54"/>
      <c r="IF292" s="54"/>
      <c r="IG292" s="54"/>
      <c r="IH292" s="54"/>
      <c r="IU292" s="54"/>
      <c r="JI292" s="54"/>
      <c r="JJ292" s="82" t="str">
        <f t="array" ref="JJ292">xlookup(JN292,'Team Entry'!$A:$A,'Team Entry'!$B:$B,"")</f>
        <v/>
      </c>
      <c r="JN292" s="156" t="str">
        <f>if(DD199=0,"TBD",'Swiss Results'!Y90)</f>
        <v>TBD</v>
      </c>
      <c r="KM292" s="54"/>
      <c r="KN292" s="54"/>
      <c r="KO292" s="54"/>
      <c r="KP292" s="54"/>
      <c r="KQ292" s="54"/>
      <c r="KR292" s="54"/>
      <c r="KS292" s="54"/>
      <c r="KT292" s="54"/>
      <c r="KU292" s="54"/>
      <c r="KV292" s="54"/>
      <c r="KW292" s="54"/>
      <c r="KX292" s="54"/>
    </row>
    <row r="293" ht="5.2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c r="AF293" s="54"/>
      <c r="AG293" s="54"/>
      <c r="AH293" s="54"/>
      <c r="AI293" s="54"/>
      <c r="AJ293" s="54"/>
      <c r="AK293" s="54"/>
      <c r="AL293" s="54"/>
      <c r="AM293" s="54"/>
      <c r="AN293" s="54"/>
      <c r="AO293" s="54"/>
      <c r="AP293" s="54"/>
      <c r="AQ293" s="54"/>
      <c r="AR293" s="54"/>
      <c r="AS293" s="54"/>
      <c r="AT293" s="54"/>
      <c r="AU293" s="54"/>
      <c r="AV293" s="54"/>
      <c r="AW293" s="54"/>
      <c r="AX293" s="54"/>
      <c r="AY293" s="54"/>
      <c r="AZ293" s="54"/>
      <c r="BA293" s="54"/>
      <c r="BB293" s="54"/>
      <c r="BC293" s="54"/>
      <c r="BD293" s="54"/>
      <c r="BE293" s="54"/>
      <c r="BF293" s="54"/>
      <c r="BG293" s="54"/>
      <c r="BH293" s="54"/>
      <c r="BI293" s="54"/>
      <c r="BJ293" s="54"/>
      <c r="BK293" s="54"/>
      <c r="BL293" s="54"/>
      <c r="BM293" s="54"/>
      <c r="BN293" s="54"/>
      <c r="BO293" s="54"/>
      <c r="BP293" s="54"/>
      <c r="BQ293" s="54"/>
      <c r="BR293" s="54"/>
      <c r="BS293" s="54"/>
      <c r="BT293" s="54"/>
      <c r="BU293" s="54"/>
      <c r="BV293" s="54"/>
      <c r="BW293" s="54"/>
      <c r="BX293" s="54"/>
      <c r="BY293" s="54"/>
      <c r="BZ293" s="54"/>
      <c r="CA293" s="54"/>
      <c r="CB293" s="54"/>
      <c r="CC293" s="54"/>
      <c r="CD293" s="54"/>
      <c r="CE293" s="54"/>
      <c r="CF293" s="54"/>
      <c r="CG293" s="54"/>
      <c r="CH293" s="54"/>
      <c r="CI293" s="54"/>
      <c r="CJ293" s="54"/>
      <c r="CK293" s="54"/>
      <c r="CL293" s="54"/>
      <c r="CM293" s="54"/>
      <c r="CN293" s="54"/>
      <c r="CO293" s="54"/>
      <c r="CP293" s="54"/>
      <c r="CQ293" s="54"/>
      <c r="CR293" s="54"/>
      <c r="CS293" s="54"/>
      <c r="CT293" s="54"/>
      <c r="CU293" s="54"/>
      <c r="CV293" s="54"/>
      <c r="CW293" s="54"/>
      <c r="CX293" s="54"/>
      <c r="CY293" s="54"/>
      <c r="CZ293" s="54"/>
      <c r="DA293" s="54"/>
      <c r="DB293" s="54"/>
      <c r="DC293" s="54"/>
      <c r="DD293" s="54"/>
      <c r="DE293" s="54"/>
      <c r="DF293" s="54"/>
      <c r="DG293" s="54"/>
      <c r="DH293" s="54"/>
      <c r="DI293" s="54"/>
      <c r="DJ293" s="54"/>
      <c r="DK293" s="54"/>
      <c r="DL293" s="54"/>
      <c r="DM293" s="54"/>
      <c r="DN293" s="54"/>
      <c r="DO293" s="54"/>
      <c r="DP293" s="54"/>
      <c r="DQ293" s="54"/>
      <c r="DR293" s="54"/>
      <c r="DS293" s="54"/>
      <c r="DT293" s="54"/>
      <c r="DU293" s="54"/>
      <c r="DV293" s="54"/>
      <c r="DW293" s="54"/>
      <c r="DX293" s="54"/>
      <c r="DY293" s="54"/>
      <c r="DZ293" s="54"/>
      <c r="EA293" s="54"/>
      <c r="EB293" s="54"/>
      <c r="EC293" s="54"/>
      <c r="ED293" s="54"/>
      <c r="EE293" s="54"/>
      <c r="EF293" s="54"/>
      <c r="EG293" s="54"/>
      <c r="EH293" s="54"/>
      <c r="EI293" s="54"/>
      <c r="EJ293" s="54"/>
      <c r="EK293" s="54"/>
      <c r="EL293" s="54"/>
      <c r="EM293" s="54"/>
      <c r="EN293" s="54"/>
      <c r="EO293" s="54"/>
      <c r="EP293" s="54"/>
      <c r="EQ293" s="54"/>
      <c r="ER293" s="54"/>
      <c r="ES293" s="54"/>
      <c r="ET293" s="54"/>
      <c r="EU293" s="54"/>
      <c r="EV293" s="54"/>
      <c r="EW293" s="54"/>
      <c r="EX293" s="54"/>
      <c r="EY293" s="54"/>
      <c r="EZ293" s="54"/>
      <c r="FA293" s="54"/>
      <c r="FB293" s="54"/>
      <c r="FC293" s="54"/>
      <c r="FD293" s="54"/>
      <c r="FE293" s="54"/>
      <c r="FF293" s="54"/>
      <c r="FG293" s="54"/>
      <c r="FH293" s="54"/>
      <c r="FI293" s="54"/>
      <c r="FJ293" s="54"/>
      <c r="FK293" s="54"/>
      <c r="FL293" s="54"/>
      <c r="FM293" s="54"/>
      <c r="FN293" s="54"/>
      <c r="FO293" s="54"/>
      <c r="FP293" s="54"/>
      <c r="FQ293" s="54"/>
      <c r="FR293" s="54"/>
      <c r="FS293" s="54"/>
      <c r="FT293" s="54"/>
      <c r="FU293" s="54"/>
      <c r="FV293" s="54"/>
      <c r="FW293" s="54"/>
      <c r="FX293" s="54"/>
      <c r="FY293" s="54"/>
      <c r="FZ293" s="54"/>
      <c r="GA293" s="54"/>
      <c r="GB293" s="54"/>
      <c r="GC293" s="54"/>
      <c r="GD293" s="54"/>
      <c r="GE293" s="54"/>
      <c r="GF293" s="54"/>
      <c r="GG293" s="54"/>
      <c r="GH293" s="54"/>
      <c r="GI293" s="54"/>
      <c r="GJ293" s="54"/>
      <c r="GK293" s="54"/>
      <c r="GL293" s="54"/>
      <c r="GM293" s="54"/>
      <c r="GN293" s="54"/>
      <c r="GO293" s="54"/>
      <c r="GP293" s="54"/>
      <c r="GQ293" s="54"/>
      <c r="GR293" s="54"/>
      <c r="GS293" s="54"/>
      <c r="GT293" s="54"/>
      <c r="GU293" s="54"/>
      <c r="GV293" s="54"/>
      <c r="GW293" s="54"/>
      <c r="GX293" s="54"/>
      <c r="GY293" s="54"/>
      <c r="GZ293" s="54"/>
      <c r="HA293" s="54"/>
      <c r="HB293" s="54"/>
      <c r="HC293" s="54"/>
      <c r="HD293" s="54"/>
      <c r="HE293" s="54"/>
      <c r="HF293" s="54"/>
      <c r="HG293" s="54"/>
      <c r="HH293" s="54"/>
      <c r="HI293" s="54"/>
      <c r="HJ293" s="54"/>
      <c r="HK293" s="54"/>
      <c r="HL293" s="54"/>
      <c r="HM293" s="54"/>
      <c r="HN293" s="54"/>
      <c r="HO293" s="54"/>
      <c r="HP293" s="54"/>
      <c r="HQ293" s="54"/>
      <c r="HR293" s="54"/>
      <c r="HS293" s="54"/>
      <c r="HT293" s="54"/>
      <c r="HU293" s="54"/>
      <c r="HV293" s="54"/>
      <c r="HW293" s="54"/>
      <c r="HX293" s="54"/>
      <c r="HY293" s="54"/>
      <c r="HZ293" s="54"/>
      <c r="IA293" s="54"/>
      <c r="IB293" s="54"/>
      <c r="IC293" s="54"/>
      <c r="ID293" s="54"/>
      <c r="IE293" s="54"/>
      <c r="IF293" s="54"/>
      <c r="IG293" s="54"/>
      <c r="IH293" s="54"/>
      <c r="IU293" s="54"/>
      <c r="JI293" s="54"/>
      <c r="KM293" s="54"/>
      <c r="KN293" s="54"/>
      <c r="KO293" s="54"/>
      <c r="KP293" s="54"/>
      <c r="KQ293" s="54"/>
      <c r="KR293" s="54"/>
      <c r="KS293" s="54"/>
      <c r="KT293" s="54"/>
      <c r="KU293" s="54"/>
      <c r="KV293" s="54"/>
      <c r="KW293" s="54"/>
      <c r="KX293" s="54"/>
    </row>
    <row r="294" ht="5.2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c r="AG294" s="54"/>
      <c r="AH294" s="54"/>
      <c r="AI294" s="54"/>
      <c r="AJ294" s="54"/>
      <c r="AK294" s="54"/>
      <c r="AL294" s="54"/>
      <c r="AM294" s="54"/>
      <c r="AN294" s="54"/>
      <c r="AO294" s="54"/>
      <c r="AP294" s="54"/>
      <c r="AQ294" s="54"/>
      <c r="AR294" s="54"/>
      <c r="AS294" s="54"/>
      <c r="AT294" s="54"/>
      <c r="AU294" s="54"/>
      <c r="AV294" s="54"/>
      <c r="AW294" s="54"/>
      <c r="AX294" s="54"/>
      <c r="AY294" s="54"/>
      <c r="AZ294" s="54"/>
      <c r="BA294" s="54"/>
      <c r="BB294" s="54"/>
      <c r="BC294" s="54"/>
      <c r="BD294" s="54"/>
      <c r="BE294" s="54"/>
      <c r="BF294" s="54"/>
      <c r="BG294" s="54"/>
      <c r="BH294" s="54"/>
      <c r="BI294" s="54"/>
      <c r="BJ294" s="54"/>
      <c r="BK294" s="54"/>
      <c r="BL294" s="54"/>
      <c r="BM294" s="54"/>
      <c r="BN294" s="54"/>
      <c r="BO294" s="54"/>
      <c r="BP294" s="54"/>
      <c r="BQ294" s="54"/>
      <c r="BR294" s="54"/>
      <c r="BS294" s="54"/>
      <c r="BT294" s="54"/>
      <c r="BU294" s="54"/>
      <c r="BV294" s="54"/>
      <c r="BW294" s="54"/>
      <c r="BX294" s="54"/>
      <c r="BY294" s="54"/>
      <c r="BZ294" s="54"/>
      <c r="CA294" s="54"/>
      <c r="CB294" s="54"/>
      <c r="CC294" s="54"/>
      <c r="CD294" s="54"/>
      <c r="CE294" s="54"/>
      <c r="CF294" s="54"/>
      <c r="CG294" s="54"/>
      <c r="CH294" s="54"/>
      <c r="CI294" s="54"/>
      <c r="CJ294" s="54"/>
      <c r="CK294" s="54"/>
      <c r="CL294" s="54"/>
      <c r="CM294" s="54"/>
      <c r="CN294" s="54"/>
      <c r="CO294" s="54"/>
      <c r="CP294" s="54"/>
      <c r="CQ294" s="54"/>
      <c r="CR294" s="54"/>
      <c r="CS294" s="54"/>
      <c r="CT294" s="54"/>
      <c r="CU294" s="54"/>
      <c r="CV294" s="54"/>
      <c r="CW294" s="54"/>
      <c r="CX294" s="54"/>
      <c r="CY294" s="54"/>
      <c r="CZ294" s="54"/>
      <c r="DA294" s="54"/>
      <c r="DB294" s="54"/>
      <c r="DC294" s="54"/>
      <c r="DD294" s="54"/>
      <c r="DE294" s="54"/>
      <c r="DF294" s="54"/>
      <c r="DG294" s="54"/>
      <c r="DH294" s="54"/>
      <c r="DI294" s="54"/>
      <c r="DJ294" s="54"/>
      <c r="DK294" s="54"/>
      <c r="DL294" s="54"/>
      <c r="DM294" s="54"/>
      <c r="DN294" s="54"/>
      <c r="DO294" s="54"/>
      <c r="DP294" s="54"/>
      <c r="DQ294" s="54"/>
      <c r="DR294" s="54"/>
      <c r="DS294" s="54"/>
      <c r="DT294" s="54"/>
      <c r="DU294" s="54"/>
      <c r="DV294" s="54"/>
      <c r="DW294" s="54"/>
      <c r="DX294" s="54"/>
      <c r="DY294" s="54"/>
      <c r="DZ294" s="54"/>
      <c r="EA294" s="54"/>
      <c r="EB294" s="54"/>
      <c r="EC294" s="54"/>
      <c r="ED294" s="54"/>
      <c r="EE294" s="54"/>
      <c r="EF294" s="54"/>
      <c r="EG294" s="54"/>
      <c r="EH294" s="54"/>
      <c r="EI294" s="54"/>
      <c r="EJ294" s="54"/>
      <c r="EK294" s="54"/>
      <c r="EL294" s="54"/>
      <c r="EM294" s="54"/>
      <c r="EN294" s="54"/>
      <c r="EO294" s="54"/>
      <c r="EP294" s="54"/>
      <c r="EQ294" s="54"/>
      <c r="ER294" s="54"/>
      <c r="ES294" s="54"/>
      <c r="ET294" s="54"/>
      <c r="EU294" s="54"/>
      <c r="EV294" s="54"/>
      <c r="EW294" s="54"/>
      <c r="EX294" s="54"/>
      <c r="EY294" s="54"/>
      <c r="EZ294" s="54"/>
      <c r="FA294" s="54"/>
      <c r="FB294" s="54"/>
      <c r="FC294" s="54"/>
      <c r="FD294" s="54"/>
      <c r="FE294" s="54"/>
      <c r="FF294" s="54"/>
      <c r="FG294" s="54"/>
      <c r="FH294" s="54"/>
      <c r="FI294" s="54"/>
      <c r="FJ294" s="54"/>
      <c r="FK294" s="54"/>
      <c r="FL294" s="54"/>
      <c r="FM294" s="54"/>
      <c r="FN294" s="54"/>
      <c r="FO294" s="54"/>
      <c r="FP294" s="54"/>
      <c r="FQ294" s="54"/>
      <c r="FR294" s="54"/>
      <c r="FS294" s="54"/>
      <c r="FT294" s="54"/>
      <c r="FU294" s="54"/>
      <c r="FV294" s="54"/>
      <c r="FW294" s="54"/>
      <c r="FX294" s="54"/>
      <c r="FY294" s="54"/>
      <c r="FZ294" s="54"/>
      <c r="GA294" s="54"/>
      <c r="GB294" s="54"/>
      <c r="GC294" s="54"/>
      <c r="GD294" s="54"/>
      <c r="GE294" s="54"/>
      <c r="GF294" s="54"/>
      <c r="GG294" s="54"/>
      <c r="GH294" s="54"/>
      <c r="GI294" s="54"/>
      <c r="GJ294" s="54"/>
      <c r="GK294" s="54"/>
      <c r="GL294" s="54"/>
      <c r="GM294" s="54"/>
      <c r="GN294" s="54"/>
      <c r="GO294" s="54"/>
      <c r="GP294" s="54"/>
      <c r="GQ294" s="54"/>
      <c r="GR294" s="54"/>
      <c r="GS294" s="54"/>
      <c r="GT294" s="54"/>
      <c r="GU294" s="54"/>
      <c r="GV294" s="54"/>
      <c r="GW294" s="54"/>
      <c r="GX294" s="54"/>
      <c r="GY294" s="54"/>
      <c r="GZ294" s="54"/>
      <c r="HA294" s="54"/>
      <c r="HB294" s="54"/>
      <c r="HC294" s="54"/>
      <c r="HD294" s="54"/>
      <c r="HE294" s="54"/>
      <c r="HF294" s="54"/>
      <c r="HG294" s="54"/>
      <c r="HH294" s="54"/>
      <c r="HI294" s="54"/>
      <c r="HJ294" s="54"/>
      <c r="HK294" s="54"/>
      <c r="HL294" s="54"/>
      <c r="HM294" s="54"/>
      <c r="HN294" s="54"/>
      <c r="HO294" s="54"/>
      <c r="HP294" s="54"/>
      <c r="HQ294" s="54"/>
      <c r="HR294" s="54"/>
      <c r="HS294" s="54"/>
      <c r="HT294" s="54"/>
      <c r="HU294" s="54"/>
      <c r="HV294" s="54"/>
      <c r="HW294" s="54"/>
      <c r="HX294" s="54"/>
      <c r="HY294" s="54"/>
      <c r="HZ294" s="54"/>
      <c r="IA294" s="54"/>
      <c r="IB294" s="54"/>
      <c r="IC294" s="54"/>
      <c r="ID294" s="54"/>
      <c r="IE294" s="54"/>
      <c r="IF294" s="54"/>
      <c r="IG294" s="54"/>
      <c r="IH294" s="54"/>
      <c r="IU294" s="54"/>
      <c r="JI294" s="54"/>
      <c r="KM294" s="54"/>
      <c r="KN294" s="54"/>
      <c r="KO294" s="54"/>
      <c r="KP294" s="54"/>
      <c r="KQ294" s="54"/>
      <c r="KR294" s="54"/>
      <c r="KS294" s="54"/>
      <c r="KT294" s="54"/>
      <c r="KU294" s="54"/>
      <c r="KV294" s="54"/>
      <c r="KW294" s="54"/>
      <c r="KX294" s="54"/>
    </row>
    <row r="295" ht="5.2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54"/>
      <c r="AF295" s="54"/>
      <c r="AG295" s="54"/>
      <c r="AH295" s="54"/>
      <c r="AI295" s="54"/>
      <c r="AJ295" s="54"/>
      <c r="AK295" s="54"/>
      <c r="AL295" s="54"/>
      <c r="AM295" s="54"/>
      <c r="AN295" s="54"/>
      <c r="AO295" s="54"/>
      <c r="AP295" s="54"/>
      <c r="AQ295" s="54"/>
      <c r="AR295" s="54"/>
      <c r="AS295" s="54"/>
      <c r="AT295" s="54"/>
      <c r="AU295" s="54"/>
      <c r="AV295" s="54"/>
      <c r="AW295" s="54"/>
      <c r="AX295" s="54"/>
      <c r="AY295" s="54"/>
      <c r="AZ295" s="54"/>
      <c r="BA295" s="54"/>
      <c r="BB295" s="54"/>
      <c r="BC295" s="54"/>
      <c r="BD295" s="54"/>
      <c r="BE295" s="54"/>
      <c r="BF295" s="54"/>
      <c r="BG295" s="54"/>
      <c r="BH295" s="54"/>
      <c r="BI295" s="54"/>
      <c r="BJ295" s="54"/>
      <c r="BK295" s="54"/>
      <c r="BL295" s="54"/>
      <c r="BM295" s="54"/>
      <c r="BN295" s="54"/>
      <c r="BO295" s="54"/>
      <c r="BP295" s="54"/>
      <c r="BQ295" s="54"/>
      <c r="BR295" s="54"/>
      <c r="BS295" s="54"/>
      <c r="BT295" s="54"/>
      <c r="BU295" s="54"/>
      <c r="BV295" s="54"/>
      <c r="BW295" s="54"/>
      <c r="BX295" s="54"/>
      <c r="BY295" s="54"/>
      <c r="BZ295" s="54"/>
      <c r="CA295" s="54"/>
      <c r="CB295" s="54"/>
      <c r="CC295" s="54"/>
      <c r="CD295" s="54"/>
      <c r="CE295" s="54"/>
      <c r="CF295" s="54"/>
      <c r="CG295" s="54"/>
      <c r="CH295" s="54"/>
      <c r="CI295" s="54"/>
      <c r="CJ295" s="54"/>
      <c r="CK295" s="54"/>
      <c r="CL295" s="54"/>
      <c r="CM295" s="54"/>
      <c r="CN295" s="54"/>
      <c r="CO295" s="54"/>
      <c r="CP295" s="54"/>
      <c r="CQ295" s="54"/>
      <c r="CR295" s="54"/>
      <c r="CS295" s="54"/>
      <c r="CT295" s="54"/>
      <c r="CU295" s="54"/>
      <c r="CV295" s="54"/>
      <c r="CW295" s="54"/>
      <c r="CX295" s="54"/>
      <c r="CY295" s="54"/>
      <c r="CZ295" s="54"/>
      <c r="DA295" s="54"/>
      <c r="DB295" s="54"/>
      <c r="DC295" s="54"/>
      <c r="DD295" s="54"/>
      <c r="DE295" s="54"/>
      <c r="DF295" s="54"/>
      <c r="DG295" s="54"/>
      <c r="DH295" s="54"/>
      <c r="DI295" s="54"/>
      <c r="DJ295" s="54"/>
      <c r="DK295" s="54"/>
      <c r="DL295" s="54"/>
      <c r="DM295" s="54"/>
      <c r="DN295" s="54"/>
      <c r="DO295" s="54"/>
      <c r="DP295" s="54"/>
      <c r="DQ295" s="54"/>
      <c r="DR295" s="54"/>
      <c r="DS295" s="54"/>
      <c r="DT295" s="54"/>
      <c r="DU295" s="54"/>
      <c r="DV295" s="54"/>
      <c r="DW295" s="54"/>
      <c r="DX295" s="54"/>
      <c r="DY295" s="54"/>
      <c r="DZ295" s="54"/>
      <c r="EA295" s="54"/>
      <c r="EB295" s="54"/>
      <c r="EC295" s="54"/>
      <c r="ED295" s="54"/>
      <c r="EE295" s="54"/>
      <c r="EF295" s="54"/>
      <c r="EG295" s="54"/>
      <c r="EH295" s="54"/>
      <c r="EI295" s="54"/>
      <c r="EJ295" s="54"/>
      <c r="EK295" s="54"/>
      <c r="EL295" s="54"/>
      <c r="EM295" s="54"/>
      <c r="EN295" s="54"/>
      <c r="EO295" s="54"/>
      <c r="EP295" s="54"/>
      <c r="EQ295" s="54"/>
      <c r="ER295" s="54"/>
      <c r="ES295" s="54"/>
      <c r="ET295" s="54"/>
      <c r="EU295" s="54"/>
      <c r="EV295" s="54"/>
      <c r="EW295" s="54"/>
      <c r="EX295" s="54"/>
      <c r="EY295" s="54"/>
      <c r="EZ295" s="54"/>
      <c r="FA295" s="54"/>
      <c r="FB295" s="54"/>
      <c r="FC295" s="54"/>
      <c r="FD295" s="54"/>
      <c r="FE295" s="54"/>
      <c r="FF295" s="54"/>
      <c r="FG295" s="54"/>
      <c r="FH295" s="54"/>
      <c r="FI295" s="54"/>
      <c r="FJ295" s="54"/>
      <c r="FK295" s="54"/>
      <c r="FL295" s="54"/>
      <c r="FM295" s="54"/>
      <c r="FN295" s="54"/>
      <c r="FO295" s="54"/>
      <c r="FP295" s="54"/>
      <c r="FQ295" s="54"/>
      <c r="FR295" s="54"/>
      <c r="FS295" s="54"/>
      <c r="FT295" s="54"/>
      <c r="FU295" s="54"/>
      <c r="FV295" s="54"/>
      <c r="FW295" s="54"/>
      <c r="FX295" s="54"/>
      <c r="FY295" s="54"/>
      <c r="FZ295" s="54"/>
      <c r="GA295" s="54"/>
      <c r="GB295" s="54"/>
      <c r="GC295" s="54"/>
      <c r="GD295" s="54"/>
      <c r="GE295" s="54"/>
      <c r="GF295" s="54"/>
      <c r="GG295" s="54"/>
      <c r="GH295" s="54"/>
      <c r="GI295" s="54"/>
      <c r="GJ295" s="54"/>
      <c r="GK295" s="54"/>
      <c r="GL295" s="54"/>
      <c r="GM295" s="54"/>
      <c r="GN295" s="54"/>
      <c r="GO295" s="54"/>
      <c r="GP295" s="54"/>
      <c r="GQ295" s="54"/>
      <c r="GR295" s="54"/>
      <c r="GS295" s="54"/>
      <c r="GT295" s="54"/>
      <c r="GU295" s="54"/>
      <c r="GV295" s="54"/>
      <c r="GW295" s="54"/>
      <c r="GX295" s="54"/>
      <c r="GY295" s="54"/>
      <c r="GZ295" s="54"/>
      <c r="HA295" s="54"/>
      <c r="HB295" s="54"/>
      <c r="HC295" s="54"/>
      <c r="HD295" s="54"/>
      <c r="HE295" s="54"/>
      <c r="HF295" s="54"/>
      <c r="HG295" s="54"/>
      <c r="HH295" s="54"/>
      <c r="HI295" s="54"/>
      <c r="HJ295" s="54"/>
      <c r="HK295" s="54"/>
      <c r="HL295" s="54"/>
      <c r="HM295" s="54"/>
      <c r="HN295" s="54"/>
      <c r="HO295" s="54"/>
      <c r="HP295" s="54"/>
      <c r="HQ295" s="54"/>
      <c r="HR295" s="54"/>
      <c r="HS295" s="54"/>
      <c r="HT295" s="54"/>
      <c r="HU295" s="54"/>
      <c r="HV295" s="54"/>
      <c r="HW295" s="54"/>
      <c r="HX295" s="54"/>
      <c r="HY295" s="54"/>
      <c r="HZ295" s="54"/>
      <c r="IA295" s="54"/>
      <c r="IB295" s="54"/>
      <c r="IC295" s="54"/>
      <c r="ID295" s="54"/>
      <c r="IE295" s="54"/>
      <c r="IF295" s="54"/>
      <c r="IG295" s="54"/>
      <c r="IH295" s="54"/>
      <c r="II295" s="13"/>
      <c r="IJ295" s="13"/>
      <c r="IK295" s="13"/>
      <c r="IL295" s="13"/>
      <c r="IM295" s="13"/>
      <c r="IN295" s="13"/>
      <c r="IO295" s="13"/>
      <c r="IP295" s="13"/>
      <c r="IQ295" s="13"/>
      <c r="IR295" s="13"/>
      <c r="IS295" s="13"/>
      <c r="IT295" s="13"/>
      <c r="IU295" s="54"/>
      <c r="IV295" s="13"/>
      <c r="IW295" s="13"/>
      <c r="IX295" s="13"/>
      <c r="IY295" s="13"/>
      <c r="IZ295" s="13"/>
      <c r="JA295" s="13"/>
      <c r="JB295" s="13"/>
      <c r="JC295" s="13"/>
      <c r="JD295" s="13"/>
      <c r="JE295" s="13"/>
      <c r="JF295" s="13"/>
      <c r="JG295" s="13"/>
      <c r="JH295" s="13"/>
      <c r="JI295" s="54"/>
      <c r="JJ295" s="158"/>
      <c r="JK295" s="158"/>
      <c r="JL295" s="158"/>
      <c r="JM295" s="158"/>
      <c r="JN295" s="158"/>
      <c r="JO295" s="158"/>
      <c r="JP295" s="158"/>
      <c r="JQ295" s="158"/>
      <c r="JR295" s="158"/>
      <c r="JS295" s="158"/>
      <c r="JT295" s="158"/>
      <c r="JU295" s="158"/>
      <c r="JV295" s="158"/>
      <c r="JW295" s="158"/>
      <c r="JX295" s="158"/>
      <c r="JY295" s="158"/>
      <c r="JZ295" s="158"/>
      <c r="KA295" s="158"/>
      <c r="KB295" s="158"/>
      <c r="KC295" s="158"/>
      <c r="KD295" s="158"/>
      <c r="KE295" s="158"/>
      <c r="KF295" s="158"/>
      <c r="KG295" s="158"/>
      <c r="KH295" s="158"/>
      <c r="KI295" s="158"/>
      <c r="KJ295" s="158"/>
      <c r="KK295" s="158"/>
      <c r="KL295" s="158"/>
      <c r="KM295" s="54"/>
      <c r="KN295" s="54"/>
      <c r="KO295" s="54"/>
      <c r="KP295" s="54"/>
      <c r="KQ295" s="54"/>
      <c r="KR295" s="54"/>
      <c r="KS295" s="54"/>
      <c r="KT295" s="54"/>
      <c r="KU295" s="54"/>
      <c r="KV295" s="54"/>
      <c r="KW295" s="54"/>
      <c r="KX295" s="54"/>
    </row>
    <row r="296" ht="5.2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c r="AC296" s="54"/>
      <c r="AD296" s="54"/>
      <c r="AE296" s="54"/>
      <c r="AF296" s="54"/>
      <c r="AG296" s="54"/>
      <c r="AH296" s="54"/>
      <c r="AI296" s="54"/>
      <c r="AJ296" s="54"/>
      <c r="AK296" s="54"/>
      <c r="AL296" s="54"/>
      <c r="AM296" s="54"/>
      <c r="AN296" s="54"/>
      <c r="AO296" s="54"/>
      <c r="AP296" s="54"/>
      <c r="AQ296" s="54"/>
      <c r="AR296" s="54"/>
      <c r="AS296" s="54"/>
      <c r="AT296" s="54"/>
      <c r="AU296" s="54"/>
      <c r="AV296" s="54"/>
      <c r="AW296" s="54"/>
      <c r="AX296" s="54"/>
      <c r="AY296" s="54"/>
      <c r="AZ296" s="54"/>
      <c r="BA296" s="54"/>
      <c r="BB296" s="54"/>
      <c r="BC296" s="54"/>
      <c r="BD296" s="54"/>
      <c r="BE296" s="54"/>
      <c r="BF296" s="54"/>
      <c r="BG296" s="54"/>
      <c r="BH296" s="54"/>
      <c r="BI296" s="54"/>
      <c r="BJ296" s="54"/>
      <c r="BK296" s="54"/>
      <c r="BL296" s="54"/>
      <c r="BM296" s="54"/>
      <c r="BN296" s="54"/>
      <c r="BO296" s="54"/>
      <c r="BP296" s="54"/>
      <c r="BQ296" s="54"/>
      <c r="BR296" s="54"/>
      <c r="BS296" s="54"/>
      <c r="BT296" s="54"/>
      <c r="BU296" s="54"/>
      <c r="BV296" s="54"/>
      <c r="BW296" s="54"/>
      <c r="BX296" s="54"/>
      <c r="BY296" s="54"/>
      <c r="BZ296" s="54"/>
      <c r="CA296" s="54"/>
      <c r="CB296" s="54"/>
      <c r="CC296" s="54"/>
      <c r="CD296" s="54"/>
      <c r="CE296" s="54"/>
      <c r="CF296" s="54"/>
      <c r="CG296" s="54"/>
      <c r="CH296" s="54"/>
      <c r="CI296" s="54"/>
      <c r="CJ296" s="54"/>
      <c r="CK296" s="54"/>
      <c r="CL296" s="54"/>
      <c r="CM296" s="54"/>
      <c r="CN296" s="54"/>
      <c r="CO296" s="54"/>
      <c r="CP296" s="54"/>
      <c r="CQ296" s="54"/>
      <c r="CR296" s="54"/>
      <c r="CS296" s="54"/>
      <c r="CT296" s="54"/>
      <c r="CU296" s="54"/>
      <c r="CV296" s="54"/>
      <c r="CW296" s="54"/>
      <c r="CX296" s="54"/>
      <c r="CY296" s="54"/>
      <c r="CZ296" s="54"/>
      <c r="DA296" s="54"/>
      <c r="DB296" s="54"/>
      <c r="DC296" s="54"/>
      <c r="DD296" s="54"/>
      <c r="DE296" s="54"/>
      <c r="DF296" s="54"/>
      <c r="DG296" s="54"/>
      <c r="DH296" s="54"/>
      <c r="DI296" s="54"/>
      <c r="DJ296" s="54"/>
      <c r="DK296" s="54"/>
      <c r="DL296" s="54"/>
      <c r="DM296" s="54"/>
      <c r="DN296" s="54"/>
      <c r="DO296" s="54"/>
      <c r="DP296" s="54"/>
      <c r="DQ296" s="54"/>
      <c r="DR296" s="54"/>
      <c r="DS296" s="54"/>
      <c r="DT296" s="54"/>
      <c r="DU296" s="54"/>
      <c r="DV296" s="54"/>
      <c r="DW296" s="54"/>
      <c r="DX296" s="54"/>
      <c r="DY296" s="54"/>
      <c r="DZ296" s="54"/>
      <c r="EA296" s="54"/>
      <c r="EB296" s="54"/>
      <c r="EC296" s="54"/>
      <c r="ED296" s="54"/>
      <c r="EE296" s="54"/>
      <c r="EF296" s="54"/>
      <c r="EG296" s="54"/>
      <c r="EH296" s="54"/>
      <c r="EI296" s="54"/>
      <c r="EJ296" s="54"/>
      <c r="EK296" s="54"/>
      <c r="EL296" s="54"/>
      <c r="EM296" s="54"/>
      <c r="EN296" s="54"/>
      <c r="EO296" s="54"/>
      <c r="EP296" s="54"/>
      <c r="EQ296" s="54"/>
      <c r="ER296" s="54"/>
      <c r="ES296" s="54"/>
      <c r="ET296" s="54"/>
      <c r="EU296" s="54"/>
      <c r="EV296" s="54"/>
      <c r="EW296" s="54"/>
      <c r="EX296" s="54"/>
      <c r="EY296" s="54"/>
      <c r="EZ296" s="54"/>
      <c r="FA296" s="54"/>
      <c r="FB296" s="54"/>
      <c r="FC296" s="54"/>
      <c r="FD296" s="54"/>
      <c r="FE296" s="54"/>
      <c r="FF296" s="54"/>
      <c r="FG296" s="54"/>
      <c r="FH296" s="54"/>
      <c r="FI296" s="54"/>
      <c r="FJ296" s="54"/>
      <c r="FK296" s="54"/>
      <c r="FL296" s="54"/>
      <c r="FM296" s="54"/>
      <c r="FN296" s="54"/>
      <c r="FO296" s="54"/>
      <c r="FP296" s="54"/>
      <c r="FQ296" s="54"/>
      <c r="FR296" s="54"/>
      <c r="FS296" s="54"/>
      <c r="FT296" s="54"/>
      <c r="FU296" s="54"/>
      <c r="FV296" s="54"/>
      <c r="FW296" s="54"/>
      <c r="FX296" s="54"/>
      <c r="FY296" s="54"/>
      <c r="FZ296" s="54"/>
      <c r="GA296" s="54"/>
      <c r="GB296" s="54"/>
      <c r="GC296" s="54"/>
      <c r="GD296" s="54"/>
      <c r="GE296" s="54"/>
      <c r="GF296" s="54"/>
      <c r="GG296" s="54"/>
      <c r="GH296" s="54"/>
      <c r="GI296" s="54"/>
      <c r="GJ296" s="54"/>
      <c r="GK296" s="54"/>
      <c r="GL296" s="54"/>
      <c r="GM296" s="54"/>
      <c r="GN296" s="54"/>
      <c r="GO296" s="54"/>
      <c r="GP296" s="54"/>
      <c r="GQ296" s="54"/>
      <c r="GR296" s="54"/>
      <c r="GS296" s="54"/>
      <c r="GT296" s="54"/>
      <c r="GU296" s="54"/>
      <c r="GV296" s="54"/>
      <c r="GW296" s="54"/>
      <c r="GX296" s="54"/>
      <c r="GY296" s="54"/>
      <c r="GZ296" s="54"/>
      <c r="HA296" s="54"/>
      <c r="HB296" s="54"/>
      <c r="HC296" s="54"/>
      <c r="HD296" s="54"/>
      <c r="HE296" s="54"/>
      <c r="HF296" s="54"/>
      <c r="HG296" s="54"/>
      <c r="HH296" s="54"/>
      <c r="HI296" s="54"/>
      <c r="HJ296" s="54"/>
      <c r="HK296" s="54"/>
      <c r="HL296" s="54"/>
      <c r="HM296" s="54"/>
      <c r="HN296" s="54"/>
      <c r="HO296" s="54"/>
      <c r="HP296" s="54"/>
      <c r="HQ296" s="54"/>
      <c r="HR296" s="54"/>
      <c r="HS296" s="54"/>
      <c r="HT296" s="54"/>
      <c r="HU296" s="54"/>
      <c r="HV296" s="54"/>
      <c r="HW296" s="54"/>
      <c r="HX296" s="54"/>
      <c r="HY296" s="54"/>
      <c r="HZ296" s="54"/>
      <c r="IA296" s="54"/>
      <c r="IB296" s="54"/>
      <c r="IC296" s="54"/>
      <c r="ID296" s="54"/>
      <c r="IE296" s="54"/>
      <c r="IF296" s="54"/>
      <c r="IG296" s="54"/>
      <c r="IH296" s="54"/>
      <c r="II296" s="176" t="s">
        <v>83</v>
      </c>
      <c r="IU296" s="54"/>
      <c r="IV296" s="155" t="s">
        <v>80</v>
      </c>
      <c r="JI296" s="54"/>
      <c r="JJ296" s="82" t="str">
        <f t="array" ref="JJ296">xlookup(JN296,'Team Entry'!$A:$A,'Team Entry'!$B:$B,"")</f>
        <v/>
      </c>
      <c r="JN296" s="156" t="str">
        <f>if(EJ163=0,"TBD",'Swiss Results'!Y98)</f>
        <v>TBD</v>
      </c>
      <c r="KM296" s="54"/>
      <c r="KN296" s="54"/>
      <c r="KO296" s="54"/>
      <c r="KP296" s="54"/>
      <c r="KQ296" s="54"/>
      <c r="KR296" s="54"/>
      <c r="KS296" s="54"/>
      <c r="KT296" s="54"/>
      <c r="KU296" s="54"/>
      <c r="KV296" s="54"/>
      <c r="KW296" s="54"/>
      <c r="KX296" s="54"/>
    </row>
    <row r="297" ht="5.2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c r="AC297" s="54"/>
      <c r="AD297" s="54"/>
      <c r="AE297" s="54"/>
      <c r="AF297" s="54"/>
      <c r="AG297" s="54"/>
      <c r="AH297" s="54"/>
      <c r="AI297" s="54"/>
      <c r="AJ297" s="54"/>
      <c r="AK297" s="54"/>
      <c r="AL297" s="54"/>
      <c r="AM297" s="54"/>
      <c r="AN297" s="54"/>
      <c r="AO297" s="54"/>
      <c r="AP297" s="54"/>
      <c r="AQ297" s="54"/>
      <c r="AR297" s="54"/>
      <c r="AS297" s="54"/>
      <c r="AT297" s="54"/>
      <c r="AU297" s="54"/>
      <c r="AV297" s="54"/>
      <c r="AW297" s="54"/>
      <c r="AX297" s="54"/>
      <c r="AY297" s="54"/>
      <c r="AZ297" s="54"/>
      <c r="BA297" s="54"/>
      <c r="BB297" s="54"/>
      <c r="BC297" s="54"/>
      <c r="BD297" s="54"/>
      <c r="BE297" s="54"/>
      <c r="BF297" s="54"/>
      <c r="BG297" s="54"/>
      <c r="BH297" s="54"/>
      <c r="BI297" s="54"/>
      <c r="BJ297" s="54"/>
      <c r="BK297" s="54"/>
      <c r="BL297" s="54"/>
      <c r="BM297" s="54"/>
      <c r="BN297" s="54"/>
      <c r="BO297" s="54"/>
      <c r="BP297" s="54"/>
      <c r="BQ297" s="54"/>
      <c r="BR297" s="54"/>
      <c r="BS297" s="54"/>
      <c r="BT297" s="54"/>
      <c r="BU297" s="54"/>
      <c r="BV297" s="54"/>
      <c r="BW297" s="54"/>
      <c r="BX297" s="54"/>
      <c r="BY297" s="54"/>
      <c r="BZ297" s="54"/>
      <c r="CA297" s="54"/>
      <c r="CB297" s="54"/>
      <c r="CC297" s="54"/>
      <c r="CD297" s="54"/>
      <c r="CE297" s="54"/>
      <c r="CF297" s="54"/>
      <c r="CG297" s="54"/>
      <c r="CH297" s="54"/>
      <c r="CI297" s="54"/>
      <c r="CJ297" s="54"/>
      <c r="CK297" s="54"/>
      <c r="CL297" s="54"/>
      <c r="CM297" s="54"/>
      <c r="CN297" s="54"/>
      <c r="CO297" s="54"/>
      <c r="CP297" s="54"/>
      <c r="CQ297" s="54"/>
      <c r="CR297" s="54"/>
      <c r="CS297" s="54"/>
      <c r="CT297" s="54"/>
      <c r="CU297" s="54"/>
      <c r="CV297" s="54"/>
      <c r="CW297" s="54"/>
      <c r="CX297" s="54"/>
      <c r="CY297" s="54"/>
      <c r="CZ297" s="54"/>
      <c r="DA297" s="54"/>
      <c r="DB297" s="54"/>
      <c r="DC297" s="54"/>
      <c r="DD297" s="54"/>
      <c r="DE297" s="54"/>
      <c r="DF297" s="54"/>
      <c r="DG297" s="54"/>
      <c r="DH297" s="54"/>
      <c r="DI297" s="54"/>
      <c r="DJ297" s="54"/>
      <c r="DK297" s="54"/>
      <c r="DL297" s="54"/>
      <c r="DM297" s="54"/>
      <c r="DN297" s="54"/>
      <c r="DO297" s="54"/>
      <c r="DP297" s="54"/>
      <c r="DQ297" s="54"/>
      <c r="DR297" s="54"/>
      <c r="DS297" s="54"/>
      <c r="DT297" s="54"/>
      <c r="DU297" s="54"/>
      <c r="DV297" s="54"/>
      <c r="DW297" s="54"/>
      <c r="DX297" s="54"/>
      <c r="DY297" s="54"/>
      <c r="DZ297" s="54"/>
      <c r="EA297" s="54"/>
      <c r="EB297" s="54"/>
      <c r="EC297" s="54"/>
      <c r="ED297" s="54"/>
      <c r="EE297" s="54"/>
      <c r="EF297" s="54"/>
      <c r="EG297" s="54"/>
      <c r="EH297" s="54"/>
      <c r="EI297" s="54"/>
      <c r="EJ297" s="54"/>
      <c r="EK297" s="54"/>
      <c r="EL297" s="54"/>
      <c r="EM297" s="54"/>
      <c r="EN297" s="54"/>
      <c r="EO297" s="54"/>
      <c r="EP297" s="54"/>
      <c r="EQ297" s="54"/>
      <c r="ER297" s="54"/>
      <c r="ES297" s="54"/>
      <c r="ET297" s="54"/>
      <c r="EU297" s="54"/>
      <c r="EV297" s="54"/>
      <c r="EW297" s="54"/>
      <c r="EX297" s="54"/>
      <c r="EY297" s="54"/>
      <c r="EZ297" s="54"/>
      <c r="FA297" s="54"/>
      <c r="FB297" s="54"/>
      <c r="FC297" s="54"/>
      <c r="FD297" s="54"/>
      <c r="FE297" s="54"/>
      <c r="FF297" s="54"/>
      <c r="FG297" s="54"/>
      <c r="FH297" s="54"/>
      <c r="FI297" s="54"/>
      <c r="FJ297" s="54"/>
      <c r="FK297" s="54"/>
      <c r="FL297" s="54"/>
      <c r="FM297" s="54"/>
      <c r="FN297" s="54"/>
      <c r="FO297" s="54"/>
      <c r="FP297" s="54"/>
      <c r="FQ297" s="54"/>
      <c r="FR297" s="54"/>
      <c r="FS297" s="54"/>
      <c r="FT297" s="54"/>
      <c r="FU297" s="54"/>
      <c r="FV297" s="54"/>
      <c r="FW297" s="54"/>
      <c r="FX297" s="54"/>
      <c r="FY297" s="54"/>
      <c r="FZ297" s="54"/>
      <c r="GA297" s="54"/>
      <c r="GB297" s="54"/>
      <c r="GC297" s="54"/>
      <c r="GD297" s="54"/>
      <c r="GE297" s="54"/>
      <c r="GF297" s="54"/>
      <c r="GG297" s="54"/>
      <c r="GH297" s="54"/>
      <c r="GI297" s="54"/>
      <c r="GJ297" s="54"/>
      <c r="GK297" s="54"/>
      <c r="GL297" s="54"/>
      <c r="GM297" s="54"/>
      <c r="GN297" s="54"/>
      <c r="GO297" s="54"/>
      <c r="GP297" s="54"/>
      <c r="GQ297" s="54"/>
      <c r="GR297" s="54"/>
      <c r="GS297" s="54"/>
      <c r="GT297" s="54"/>
      <c r="GU297" s="54"/>
      <c r="GV297" s="54"/>
      <c r="GW297" s="54"/>
      <c r="GX297" s="54"/>
      <c r="GY297" s="54"/>
      <c r="GZ297" s="54"/>
      <c r="HA297" s="54"/>
      <c r="HB297" s="54"/>
      <c r="HC297" s="54"/>
      <c r="HD297" s="54"/>
      <c r="HE297" s="54"/>
      <c r="HF297" s="54"/>
      <c r="HG297" s="54"/>
      <c r="HH297" s="54"/>
      <c r="HI297" s="54"/>
      <c r="HJ297" s="54"/>
      <c r="HK297" s="54"/>
      <c r="HL297" s="54"/>
      <c r="HM297" s="54"/>
      <c r="HN297" s="54"/>
      <c r="HO297" s="54"/>
      <c r="HP297" s="54"/>
      <c r="HQ297" s="54"/>
      <c r="HR297" s="54"/>
      <c r="HS297" s="54"/>
      <c r="HT297" s="54"/>
      <c r="HU297" s="54"/>
      <c r="HV297" s="54"/>
      <c r="HW297" s="54"/>
      <c r="HX297" s="54"/>
      <c r="HY297" s="54"/>
      <c r="HZ297" s="54"/>
      <c r="IA297" s="54"/>
      <c r="IB297" s="54"/>
      <c r="IC297" s="54"/>
      <c r="ID297" s="54"/>
      <c r="IE297" s="54"/>
      <c r="IF297" s="54"/>
      <c r="IG297" s="54"/>
      <c r="IH297" s="54"/>
      <c r="IU297" s="54"/>
      <c r="JI297" s="54"/>
      <c r="KM297" s="54"/>
      <c r="KN297" s="54"/>
      <c r="KO297" s="54"/>
      <c r="KP297" s="54"/>
      <c r="KQ297" s="54"/>
      <c r="KR297" s="54"/>
      <c r="KS297" s="54"/>
      <c r="KT297" s="54"/>
      <c r="KU297" s="54"/>
      <c r="KV297" s="54"/>
      <c r="KW297" s="54"/>
      <c r="KX297" s="54"/>
    </row>
    <row r="298" ht="5.2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54"/>
      <c r="AE298" s="54"/>
      <c r="AF298" s="54"/>
      <c r="AG298" s="54"/>
      <c r="AH298" s="54"/>
      <c r="AI298" s="54"/>
      <c r="AJ298" s="54"/>
      <c r="AK298" s="54"/>
      <c r="AL298" s="54"/>
      <c r="AM298" s="54"/>
      <c r="AN298" s="54"/>
      <c r="AO298" s="54"/>
      <c r="AP298" s="54"/>
      <c r="AQ298" s="54"/>
      <c r="AR298" s="54"/>
      <c r="AS298" s="54"/>
      <c r="AT298" s="54"/>
      <c r="AU298" s="54"/>
      <c r="AV298" s="54"/>
      <c r="AW298" s="54"/>
      <c r="AX298" s="54"/>
      <c r="AY298" s="54"/>
      <c r="AZ298" s="54"/>
      <c r="BA298" s="54"/>
      <c r="BB298" s="54"/>
      <c r="BC298" s="54"/>
      <c r="BD298" s="54"/>
      <c r="BE298" s="54"/>
      <c r="BF298" s="54"/>
      <c r="BG298" s="54"/>
      <c r="BH298" s="54"/>
      <c r="BI298" s="54"/>
      <c r="BJ298" s="54"/>
      <c r="BK298" s="54"/>
      <c r="BL298" s="54"/>
      <c r="BM298" s="54"/>
      <c r="BN298" s="54"/>
      <c r="BO298" s="54"/>
      <c r="BP298" s="54"/>
      <c r="BQ298" s="54"/>
      <c r="BR298" s="54"/>
      <c r="BS298" s="54"/>
      <c r="BT298" s="54"/>
      <c r="BU298" s="54"/>
      <c r="BV298" s="54"/>
      <c r="BW298" s="54"/>
      <c r="BX298" s="54"/>
      <c r="BY298" s="54"/>
      <c r="BZ298" s="54"/>
      <c r="CA298" s="54"/>
      <c r="CB298" s="54"/>
      <c r="CC298" s="54"/>
      <c r="CD298" s="54"/>
      <c r="CE298" s="54"/>
      <c r="CF298" s="54"/>
      <c r="CG298" s="54"/>
      <c r="CH298" s="54"/>
      <c r="CI298" s="54"/>
      <c r="CJ298" s="54"/>
      <c r="CK298" s="54"/>
      <c r="CL298" s="54"/>
      <c r="CM298" s="54"/>
      <c r="CN298" s="54"/>
      <c r="CO298" s="54"/>
      <c r="CP298" s="54"/>
      <c r="CQ298" s="54"/>
      <c r="CR298" s="54"/>
      <c r="CS298" s="54"/>
      <c r="CT298" s="54"/>
      <c r="CU298" s="54"/>
      <c r="CV298" s="54"/>
      <c r="CW298" s="54"/>
      <c r="CX298" s="54"/>
      <c r="CY298" s="54"/>
      <c r="CZ298" s="54"/>
      <c r="DA298" s="54"/>
      <c r="DB298" s="54"/>
      <c r="DC298" s="54"/>
      <c r="DD298" s="54"/>
      <c r="DE298" s="54"/>
      <c r="DF298" s="54"/>
      <c r="DG298" s="54"/>
      <c r="DH298" s="54"/>
      <c r="DI298" s="54"/>
      <c r="DJ298" s="54"/>
      <c r="DK298" s="54"/>
      <c r="DL298" s="54"/>
      <c r="DM298" s="54"/>
      <c r="DN298" s="54"/>
      <c r="DO298" s="54"/>
      <c r="DP298" s="54"/>
      <c r="DQ298" s="54"/>
      <c r="DR298" s="54"/>
      <c r="DS298" s="54"/>
      <c r="DT298" s="54"/>
      <c r="DU298" s="54"/>
      <c r="DV298" s="54"/>
      <c r="DW298" s="54"/>
      <c r="DX298" s="54"/>
      <c r="DY298" s="54"/>
      <c r="DZ298" s="54"/>
      <c r="EA298" s="54"/>
      <c r="EB298" s="54"/>
      <c r="EC298" s="54"/>
      <c r="ED298" s="54"/>
      <c r="EE298" s="54"/>
      <c r="EF298" s="54"/>
      <c r="EG298" s="54"/>
      <c r="EH298" s="54"/>
      <c r="EI298" s="54"/>
      <c r="EJ298" s="54"/>
      <c r="EK298" s="54"/>
      <c r="EL298" s="54"/>
      <c r="EM298" s="54"/>
      <c r="EN298" s="54"/>
      <c r="EO298" s="54"/>
      <c r="EP298" s="54"/>
      <c r="EQ298" s="54"/>
      <c r="ER298" s="54"/>
      <c r="ES298" s="54"/>
      <c r="ET298" s="54"/>
      <c r="EU298" s="54"/>
      <c r="EV298" s="54"/>
      <c r="EW298" s="54"/>
      <c r="EX298" s="54"/>
      <c r="EY298" s="54"/>
      <c r="EZ298" s="54"/>
      <c r="FA298" s="54"/>
      <c r="FB298" s="54"/>
      <c r="FC298" s="54"/>
      <c r="FD298" s="54"/>
      <c r="FE298" s="54"/>
      <c r="FF298" s="54"/>
      <c r="FG298" s="54"/>
      <c r="FH298" s="54"/>
      <c r="FI298" s="54"/>
      <c r="FJ298" s="54"/>
      <c r="FK298" s="54"/>
      <c r="FL298" s="54"/>
      <c r="FM298" s="54"/>
      <c r="FN298" s="54"/>
      <c r="FO298" s="54"/>
      <c r="FP298" s="54"/>
      <c r="FQ298" s="54"/>
      <c r="FR298" s="54"/>
      <c r="FS298" s="54"/>
      <c r="FT298" s="54"/>
      <c r="FU298" s="54"/>
      <c r="FV298" s="54"/>
      <c r="FW298" s="54"/>
      <c r="FX298" s="54"/>
      <c r="FY298" s="54"/>
      <c r="FZ298" s="54"/>
      <c r="GA298" s="54"/>
      <c r="GB298" s="54"/>
      <c r="GC298" s="54"/>
      <c r="GD298" s="54"/>
      <c r="GE298" s="54"/>
      <c r="GF298" s="54"/>
      <c r="GG298" s="54"/>
      <c r="GH298" s="54"/>
      <c r="GI298" s="54"/>
      <c r="GJ298" s="54"/>
      <c r="GK298" s="54"/>
      <c r="GL298" s="54"/>
      <c r="GM298" s="54"/>
      <c r="GN298" s="54"/>
      <c r="GO298" s="54"/>
      <c r="GP298" s="54"/>
      <c r="GQ298" s="54"/>
      <c r="GR298" s="54"/>
      <c r="GS298" s="54"/>
      <c r="GT298" s="54"/>
      <c r="GU298" s="54"/>
      <c r="GV298" s="54"/>
      <c r="GW298" s="54"/>
      <c r="GX298" s="54"/>
      <c r="GY298" s="54"/>
      <c r="GZ298" s="54"/>
      <c r="HA298" s="54"/>
      <c r="HB298" s="54"/>
      <c r="HC298" s="54"/>
      <c r="HD298" s="54"/>
      <c r="HE298" s="54"/>
      <c r="HF298" s="54"/>
      <c r="HG298" s="54"/>
      <c r="HH298" s="54"/>
      <c r="HI298" s="54"/>
      <c r="HJ298" s="54"/>
      <c r="HK298" s="54"/>
      <c r="HL298" s="54"/>
      <c r="HM298" s="54"/>
      <c r="HN298" s="54"/>
      <c r="HO298" s="54"/>
      <c r="HP298" s="54"/>
      <c r="HQ298" s="54"/>
      <c r="HR298" s="54"/>
      <c r="HS298" s="54"/>
      <c r="HT298" s="54"/>
      <c r="HU298" s="54"/>
      <c r="HV298" s="54"/>
      <c r="HW298" s="54"/>
      <c r="HX298" s="54"/>
      <c r="HY298" s="54"/>
      <c r="HZ298" s="54"/>
      <c r="IA298" s="54"/>
      <c r="IB298" s="54"/>
      <c r="IC298" s="54"/>
      <c r="ID298" s="54"/>
      <c r="IE298" s="54"/>
      <c r="IF298" s="54"/>
      <c r="IG298" s="54"/>
      <c r="IH298" s="54"/>
      <c r="IU298" s="54"/>
      <c r="JI298" s="54"/>
      <c r="KM298" s="54"/>
      <c r="KN298" s="54"/>
      <c r="KO298" s="54"/>
      <c r="KP298" s="54"/>
      <c r="KQ298" s="54"/>
      <c r="KR298" s="54"/>
      <c r="KS298" s="54"/>
      <c r="KT298" s="54"/>
      <c r="KU298" s="54"/>
      <c r="KV298" s="54"/>
      <c r="KW298" s="54"/>
      <c r="KX298" s="54"/>
    </row>
    <row r="299" ht="5.2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c r="AC299" s="54"/>
      <c r="AD299" s="54"/>
      <c r="AE299" s="54"/>
      <c r="AF299" s="54"/>
      <c r="AG299" s="54"/>
      <c r="AH299" s="54"/>
      <c r="AI299" s="54"/>
      <c r="AJ299" s="54"/>
      <c r="AK299" s="54"/>
      <c r="AL299" s="54"/>
      <c r="AM299" s="54"/>
      <c r="AN299" s="54"/>
      <c r="AO299" s="54"/>
      <c r="AP299" s="54"/>
      <c r="AQ299" s="54"/>
      <c r="AR299" s="54"/>
      <c r="AS299" s="54"/>
      <c r="AT299" s="54"/>
      <c r="AU299" s="54"/>
      <c r="AV299" s="54"/>
      <c r="AW299" s="54"/>
      <c r="AX299" s="54"/>
      <c r="AY299" s="54"/>
      <c r="AZ299" s="54"/>
      <c r="BA299" s="54"/>
      <c r="BB299" s="54"/>
      <c r="BC299" s="54"/>
      <c r="BD299" s="54"/>
      <c r="BE299" s="54"/>
      <c r="BF299" s="54"/>
      <c r="BG299" s="54"/>
      <c r="BH299" s="54"/>
      <c r="BI299" s="54"/>
      <c r="BJ299" s="54"/>
      <c r="BK299" s="54"/>
      <c r="BL299" s="54"/>
      <c r="BM299" s="54"/>
      <c r="BN299" s="54"/>
      <c r="BO299" s="54"/>
      <c r="BP299" s="54"/>
      <c r="BQ299" s="54"/>
      <c r="BR299" s="54"/>
      <c r="BS299" s="54"/>
      <c r="BT299" s="54"/>
      <c r="BU299" s="54"/>
      <c r="BV299" s="54"/>
      <c r="BW299" s="54"/>
      <c r="BX299" s="54"/>
      <c r="BY299" s="54"/>
      <c r="BZ299" s="54"/>
      <c r="CA299" s="54"/>
      <c r="CB299" s="54"/>
      <c r="CC299" s="54"/>
      <c r="CD299" s="54"/>
      <c r="CE299" s="54"/>
      <c r="CF299" s="54"/>
      <c r="CG299" s="54"/>
      <c r="CH299" s="54"/>
      <c r="CI299" s="54"/>
      <c r="CJ299" s="54"/>
      <c r="CK299" s="54"/>
      <c r="CL299" s="54"/>
      <c r="CM299" s="54"/>
      <c r="CN299" s="54"/>
      <c r="CO299" s="54"/>
      <c r="CP299" s="54"/>
      <c r="CQ299" s="54"/>
      <c r="CR299" s="54"/>
      <c r="CS299" s="54"/>
      <c r="CT299" s="54"/>
      <c r="CU299" s="54"/>
      <c r="CV299" s="54"/>
      <c r="CW299" s="54"/>
      <c r="CX299" s="54"/>
      <c r="CY299" s="54"/>
      <c r="CZ299" s="54"/>
      <c r="DA299" s="54"/>
      <c r="DB299" s="54"/>
      <c r="DC299" s="54"/>
      <c r="DD299" s="54"/>
      <c r="DE299" s="54"/>
      <c r="DF299" s="54"/>
      <c r="DG299" s="54"/>
      <c r="DH299" s="54"/>
      <c r="DI299" s="54"/>
      <c r="DJ299" s="54"/>
      <c r="DK299" s="54"/>
      <c r="DL299" s="54"/>
      <c r="DM299" s="54"/>
      <c r="DN299" s="54"/>
      <c r="DO299" s="54"/>
      <c r="DP299" s="54"/>
      <c r="DQ299" s="54"/>
      <c r="DR299" s="54"/>
      <c r="DS299" s="54"/>
      <c r="DT299" s="54"/>
      <c r="DU299" s="54"/>
      <c r="DV299" s="54"/>
      <c r="DW299" s="54"/>
      <c r="DX299" s="54"/>
      <c r="DY299" s="54"/>
      <c r="DZ299" s="54"/>
      <c r="EA299" s="54"/>
      <c r="EB299" s="54"/>
      <c r="EC299" s="54"/>
      <c r="ED299" s="54"/>
      <c r="EE299" s="54"/>
      <c r="EF299" s="54"/>
      <c r="EG299" s="54"/>
      <c r="EH299" s="54"/>
      <c r="EI299" s="54"/>
      <c r="EJ299" s="54"/>
      <c r="EK299" s="54"/>
      <c r="EL299" s="54"/>
      <c r="EM299" s="54"/>
      <c r="EN299" s="54"/>
      <c r="EO299" s="54"/>
      <c r="EP299" s="54"/>
      <c r="EQ299" s="54"/>
      <c r="ER299" s="54"/>
      <c r="ES299" s="54"/>
      <c r="ET299" s="54"/>
      <c r="EU299" s="54"/>
      <c r="EV299" s="54"/>
      <c r="EW299" s="54"/>
      <c r="EX299" s="54"/>
      <c r="EY299" s="54"/>
      <c r="EZ299" s="54"/>
      <c r="FA299" s="54"/>
      <c r="FB299" s="54"/>
      <c r="FC299" s="54"/>
      <c r="FD299" s="54"/>
      <c r="FE299" s="54"/>
      <c r="FF299" s="54"/>
      <c r="FG299" s="54"/>
      <c r="FH299" s="54"/>
      <c r="FI299" s="54"/>
      <c r="FJ299" s="54"/>
      <c r="FK299" s="54"/>
      <c r="FL299" s="54"/>
      <c r="FM299" s="54"/>
      <c r="FN299" s="54"/>
      <c r="FO299" s="54"/>
      <c r="FP299" s="54"/>
      <c r="FQ299" s="54"/>
      <c r="FR299" s="54"/>
      <c r="FS299" s="54"/>
      <c r="FT299" s="54"/>
      <c r="FU299" s="54"/>
      <c r="FV299" s="54"/>
      <c r="FW299" s="54"/>
      <c r="FX299" s="54"/>
      <c r="FY299" s="54"/>
      <c r="FZ299" s="54"/>
      <c r="GA299" s="54"/>
      <c r="GB299" s="54"/>
      <c r="GC299" s="54"/>
      <c r="GD299" s="54"/>
      <c r="GE299" s="54"/>
      <c r="GF299" s="54"/>
      <c r="GG299" s="54"/>
      <c r="GH299" s="54"/>
      <c r="GI299" s="54"/>
      <c r="GJ299" s="54"/>
      <c r="GK299" s="54"/>
      <c r="GL299" s="54"/>
      <c r="GM299" s="54"/>
      <c r="GN299" s="54"/>
      <c r="GO299" s="54"/>
      <c r="GP299" s="54"/>
      <c r="GQ299" s="54"/>
      <c r="GR299" s="54"/>
      <c r="GS299" s="54"/>
      <c r="GT299" s="54"/>
      <c r="GU299" s="54"/>
      <c r="GV299" s="54"/>
      <c r="GW299" s="54"/>
      <c r="GX299" s="54"/>
      <c r="GY299" s="54"/>
      <c r="GZ299" s="54"/>
      <c r="HA299" s="54"/>
      <c r="HB299" s="54"/>
      <c r="HC299" s="54"/>
      <c r="HD299" s="54"/>
      <c r="HE299" s="54"/>
      <c r="HF299" s="54"/>
      <c r="HG299" s="54"/>
      <c r="HH299" s="54"/>
      <c r="HI299" s="54"/>
      <c r="HJ299" s="54"/>
      <c r="HK299" s="54"/>
      <c r="HL299" s="54"/>
      <c r="HM299" s="54"/>
      <c r="HN299" s="54"/>
      <c r="HO299" s="54"/>
      <c r="HP299" s="54"/>
      <c r="HQ299" s="54"/>
      <c r="HR299" s="54"/>
      <c r="HS299" s="54"/>
      <c r="HT299" s="54"/>
      <c r="HU299" s="54"/>
      <c r="HV299" s="54"/>
      <c r="HW299" s="54"/>
      <c r="HX299" s="54"/>
      <c r="HY299" s="54"/>
      <c r="HZ299" s="54"/>
      <c r="IA299" s="54"/>
      <c r="IB299" s="54"/>
      <c r="IC299" s="54"/>
      <c r="ID299" s="54"/>
      <c r="IE299" s="54"/>
      <c r="IF299" s="54"/>
      <c r="IG299" s="54"/>
      <c r="IH299" s="54"/>
      <c r="IU299" s="54"/>
      <c r="JI299" s="54"/>
      <c r="JJ299" s="158"/>
      <c r="JK299" s="158"/>
      <c r="JL299" s="158"/>
      <c r="JM299" s="158"/>
      <c r="JN299" s="158"/>
      <c r="JO299" s="158"/>
      <c r="JP299" s="158"/>
      <c r="JQ299" s="158"/>
      <c r="JR299" s="158"/>
      <c r="JS299" s="158"/>
      <c r="JT299" s="158"/>
      <c r="JU299" s="158"/>
      <c r="JV299" s="158"/>
      <c r="JW299" s="158"/>
      <c r="JX299" s="158"/>
      <c r="JY299" s="158"/>
      <c r="JZ299" s="158"/>
      <c r="KA299" s="158"/>
      <c r="KB299" s="158"/>
      <c r="KC299" s="158"/>
      <c r="KD299" s="158"/>
      <c r="KE299" s="158"/>
      <c r="KF299" s="158"/>
      <c r="KG299" s="158"/>
      <c r="KH299" s="158"/>
      <c r="KI299" s="158"/>
      <c r="KJ299" s="158"/>
      <c r="KK299" s="158"/>
      <c r="KL299" s="158"/>
      <c r="KM299" s="54"/>
      <c r="KN299" s="54"/>
      <c r="KO299" s="54"/>
      <c r="KP299" s="54"/>
      <c r="KQ299" s="54"/>
      <c r="KR299" s="54"/>
      <c r="KS299" s="54"/>
      <c r="KT299" s="54"/>
      <c r="KU299" s="54"/>
      <c r="KV299" s="54"/>
      <c r="KW299" s="54"/>
      <c r="KX299" s="54"/>
    </row>
    <row r="300" ht="5.2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c r="AF300" s="54"/>
      <c r="AG300" s="54"/>
      <c r="AH300" s="54"/>
      <c r="AI300" s="54"/>
      <c r="AJ300" s="54"/>
      <c r="AK300" s="54"/>
      <c r="AL300" s="54"/>
      <c r="AM300" s="54"/>
      <c r="AN300" s="54"/>
      <c r="AO300" s="54"/>
      <c r="AP300" s="54"/>
      <c r="AQ300" s="54"/>
      <c r="AR300" s="54"/>
      <c r="AS300" s="54"/>
      <c r="AT300" s="54"/>
      <c r="AU300" s="54"/>
      <c r="AV300" s="54"/>
      <c r="AW300" s="54"/>
      <c r="AX300" s="54"/>
      <c r="AY300" s="54"/>
      <c r="AZ300" s="54"/>
      <c r="BA300" s="54"/>
      <c r="BB300" s="54"/>
      <c r="BC300" s="54"/>
      <c r="BD300" s="54"/>
      <c r="BE300" s="54"/>
      <c r="BF300" s="54"/>
      <c r="BG300" s="54"/>
      <c r="BH300" s="54"/>
      <c r="BI300" s="54"/>
      <c r="BJ300" s="54"/>
      <c r="BK300" s="54"/>
      <c r="BL300" s="54"/>
      <c r="BM300" s="54"/>
      <c r="BN300" s="54"/>
      <c r="BO300" s="54"/>
      <c r="BP300" s="54"/>
      <c r="BQ300" s="54"/>
      <c r="BR300" s="54"/>
      <c r="BS300" s="54"/>
      <c r="BT300" s="54"/>
      <c r="BU300" s="54"/>
      <c r="BV300" s="54"/>
      <c r="BW300" s="54"/>
      <c r="BX300" s="54"/>
      <c r="BY300" s="54"/>
      <c r="BZ300" s="54"/>
      <c r="CA300" s="54"/>
      <c r="CB300" s="54"/>
      <c r="CC300" s="54"/>
      <c r="CD300" s="54"/>
      <c r="CE300" s="54"/>
      <c r="CF300" s="54"/>
      <c r="CG300" s="54"/>
      <c r="CH300" s="54"/>
      <c r="CI300" s="54"/>
      <c r="CJ300" s="54"/>
      <c r="CK300" s="54"/>
      <c r="CL300" s="54"/>
      <c r="CM300" s="54"/>
      <c r="CN300" s="54"/>
      <c r="CO300" s="54"/>
      <c r="CP300" s="54"/>
      <c r="CQ300" s="54"/>
      <c r="CR300" s="54"/>
      <c r="CS300" s="54"/>
      <c r="CT300" s="54"/>
      <c r="CU300" s="54"/>
      <c r="CV300" s="54"/>
      <c r="CW300" s="54"/>
      <c r="CX300" s="54"/>
      <c r="CY300" s="54"/>
      <c r="CZ300" s="54"/>
      <c r="DA300" s="54"/>
      <c r="DB300" s="54"/>
      <c r="DC300" s="54"/>
      <c r="DD300" s="54"/>
      <c r="DE300" s="54"/>
      <c r="DF300" s="54"/>
      <c r="DG300" s="54"/>
      <c r="DH300" s="54"/>
      <c r="DI300" s="54"/>
      <c r="DJ300" s="54"/>
      <c r="DK300" s="54"/>
      <c r="DL300" s="54"/>
      <c r="DM300" s="54"/>
      <c r="DN300" s="54"/>
      <c r="DO300" s="54"/>
      <c r="DP300" s="54"/>
      <c r="DQ300" s="54"/>
      <c r="DR300" s="54"/>
      <c r="DS300" s="54"/>
      <c r="DT300" s="54"/>
      <c r="DU300" s="54"/>
      <c r="DV300" s="54"/>
      <c r="DW300" s="54"/>
      <c r="DX300" s="54"/>
      <c r="DY300" s="54"/>
      <c r="DZ300" s="54"/>
      <c r="EA300" s="54"/>
      <c r="EB300" s="54"/>
      <c r="EC300" s="54"/>
      <c r="ED300" s="54"/>
      <c r="EE300" s="54"/>
      <c r="EF300" s="54"/>
      <c r="EG300" s="54"/>
      <c r="EH300" s="54"/>
      <c r="EI300" s="54"/>
      <c r="EJ300" s="54"/>
      <c r="EK300" s="54"/>
      <c r="EL300" s="54"/>
      <c r="EM300" s="54"/>
      <c r="EN300" s="54"/>
      <c r="EO300" s="54"/>
      <c r="EP300" s="54"/>
      <c r="EQ300" s="54"/>
      <c r="ER300" s="54"/>
      <c r="ES300" s="54"/>
      <c r="ET300" s="54"/>
      <c r="EU300" s="54"/>
      <c r="EV300" s="54"/>
      <c r="EW300" s="54"/>
      <c r="EX300" s="54"/>
      <c r="EY300" s="54"/>
      <c r="EZ300" s="54"/>
      <c r="FA300" s="54"/>
      <c r="FB300" s="54"/>
      <c r="FC300" s="54"/>
      <c r="FD300" s="54"/>
      <c r="FE300" s="54"/>
      <c r="FF300" s="54"/>
      <c r="FG300" s="54"/>
      <c r="FH300" s="54"/>
      <c r="FI300" s="54"/>
      <c r="FJ300" s="54"/>
      <c r="FK300" s="54"/>
      <c r="FL300" s="54"/>
      <c r="FM300" s="54"/>
      <c r="FN300" s="54"/>
      <c r="FO300" s="54"/>
      <c r="FP300" s="54"/>
      <c r="FQ300" s="54"/>
      <c r="FR300" s="54"/>
      <c r="FS300" s="54"/>
      <c r="FT300" s="54"/>
      <c r="FU300" s="54"/>
      <c r="FV300" s="54"/>
      <c r="FW300" s="54"/>
      <c r="FX300" s="54"/>
      <c r="FY300" s="54"/>
      <c r="FZ300" s="54"/>
      <c r="GA300" s="54"/>
      <c r="GB300" s="54"/>
      <c r="GC300" s="54"/>
      <c r="GD300" s="54"/>
      <c r="GE300" s="54"/>
      <c r="GF300" s="54"/>
      <c r="GG300" s="54"/>
      <c r="GH300" s="54"/>
      <c r="GI300" s="54"/>
      <c r="GJ300" s="54"/>
      <c r="GK300" s="54"/>
      <c r="GL300" s="54"/>
      <c r="GM300" s="54"/>
      <c r="GN300" s="54"/>
      <c r="GO300" s="54"/>
      <c r="GP300" s="54"/>
      <c r="GQ300" s="54"/>
      <c r="GR300" s="54"/>
      <c r="GS300" s="54"/>
      <c r="GT300" s="54"/>
      <c r="GU300" s="54"/>
      <c r="GV300" s="54"/>
      <c r="GW300" s="54"/>
      <c r="GX300" s="54"/>
      <c r="GY300" s="54"/>
      <c r="GZ300" s="54"/>
      <c r="HA300" s="54"/>
      <c r="HB300" s="54"/>
      <c r="HC300" s="54"/>
      <c r="HD300" s="54"/>
      <c r="HE300" s="54"/>
      <c r="HF300" s="54"/>
      <c r="HG300" s="54"/>
      <c r="HH300" s="54"/>
      <c r="HI300" s="54"/>
      <c r="HJ300" s="54"/>
      <c r="HK300" s="54"/>
      <c r="HL300" s="54"/>
      <c r="HM300" s="54"/>
      <c r="HN300" s="54"/>
      <c r="HO300" s="54"/>
      <c r="HP300" s="54"/>
      <c r="HQ300" s="54"/>
      <c r="HR300" s="54"/>
      <c r="HS300" s="54"/>
      <c r="HT300" s="54"/>
      <c r="HU300" s="54"/>
      <c r="HV300" s="54"/>
      <c r="HW300" s="54"/>
      <c r="HX300" s="54"/>
      <c r="HY300" s="54"/>
      <c r="HZ300" s="54"/>
      <c r="IA300" s="54"/>
      <c r="IB300" s="54"/>
      <c r="IC300" s="54"/>
      <c r="ID300" s="54"/>
      <c r="IE300" s="54"/>
      <c r="IF300" s="54"/>
      <c r="IG300" s="54"/>
      <c r="IH300" s="54"/>
      <c r="IU300" s="54"/>
      <c r="JI300" s="54"/>
      <c r="JJ300" s="82" t="str">
        <f t="array" ref="JJ300">xlookup(JN300,'Team Entry'!$A:$A,'Team Entry'!$B:$B,"")</f>
        <v/>
      </c>
      <c r="JN300" s="156" t="str">
        <f>if(EJ163=0,"TBD",'Swiss Results'!Y106)</f>
        <v>TBD</v>
      </c>
      <c r="KM300" s="54"/>
      <c r="KN300" s="54"/>
      <c r="KO300" s="54"/>
      <c r="KP300" s="54"/>
      <c r="KQ300" s="54"/>
      <c r="KR300" s="54"/>
      <c r="KS300" s="54"/>
      <c r="KT300" s="54"/>
      <c r="KU300" s="54"/>
      <c r="KV300" s="54"/>
      <c r="KW300" s="54"/>
      <c r="KX300" s="54"/>
    </row>
    <row r="301" ht="5.2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c r="AB301" s="54"/>
      <c r="AC301" s="54"/>
      <c r="AD301" s="54"/>
      <c r="AE301" s="54"/>
      <c r="AF301" s="54"/>
      <c r="AG301" s="54"/>
      <c r="AH301" s="54"/>
      <c r="AI301" s="54"/>
      <c r="AJ301" s="54"/>
      <c r="AK301" s="54"/>
      <c r="AL301" s="54"/>
      <c r="AM301" s="54"/>
      <c r="AN301" s="54"/>
      <c r="AO301" s="54"/>
      <c r="AP301" s="54"/>
      <c r="AQ301" s="54"/>
      <c r="AR301" s="54"/>
      <c r="AS301" s="54"/>
      <c r="AT301" s="54"/>
      <c r="AU301" s="54"/>
      <c r="AV301" s="54"/>
      <c r="AW301" s="54"/>
      <c r="AX301" s="54"/>
      <c r="AY301" s="54"/>
      <c r="AZ301" s="54"/>
      <c r="BA301" s="54"/>
      <c r="BB301" s="54"/>
      <c r="BC301" s="54"/>
      <c r="BD301" s="54"/>
      <c r="BE301" s="54"/>
      <c r="BF301" s="54"/>
      <c r="BG301" s="54"/>
      <c r="BH301" s="54"/>
      <c r="BI301" s="54"/>
      <c r="BJ301" s="54"/>
      <c r="BK301" s="54"/>
      <c r="BL301" s="54"/>
      <c r="BM301" s="54"/>
      <c r="BN301" s="54"/>
      <c r="BO301" s="54"/>
      <c r="BP301" s="54"/>
      <c r="BQ301" s="54"/>
      <c r="BR301" s="54"/>
      <c r="BS301" s="54"/>
      <c r="BT301" s="54"/>
      <c r="BU301" s="54"/>
      <c r="BV301" s="54"/>
      <c r="BW301" s="54"/>
      <c r="BX301" s="54"/>
      <c r="BY301" s="54"/>
      <c r="BZ301" s="54"/>
      <c r="CA301" s="54"/>
      <c r="CB301" s="54"/>
      <c r="CC301" s="54"/>
      <c r="CD301" s="54"/>
      <c r="CE301" s="54"/>
      <c r="CF301" s="54"/>
      <c r="CG301" s="54"/>
      <c r="CH301" s="54"/>
      <c r="CI301" s="54"/>
      <c r="CJ301" s="54"/>
      <c r="CK301" s="54"/>
      <c r="CL301" s="54"/>
      <c r="CM301" s="54"/>
      <c r="CN301" s="54"/>
      <c r="CO301" s="54"/>
      <c r="CP301" s="54"/>
      <c r="CQ301" s="54"/>
      <c r="CR301" s="54"/>
      <c r="CS301" s="54"/>
      <c r="CT301" s="54"/>
      <c r="CU301" s="54"/>
      <c r="CV301" s="54"/>
      <c r="CW301" s="54"/>
      <c r="CX301" s="54"/>
      <c r="CY301" s="54"/>
      <c r="CZ301" s="54"/>
      <c r="DA301" s="54"/>
      <c r="DB301" s="54"/>
      <c r="DC301" s="54"/>
      <c r="DD301" s="54"/>
      <c r="DE301" s="54"/>
      <c r="DF301" s="54"/>
      <c r="DG301" s="54"/>
      <c r="DH301" s="54"/>
      <c r="DI301" s="54"/>
      <c r="DJ301" s="54"/>
      <c r="DK301" s="54"/>
      <c r="DL301" s="54"/>
      <c r="DM301" s="54"/>
      <c r="DN301" s="54"/>
      <c r="DO301" s="54"/>
      <c r="DP301" s="54"/>
      <c r="DQ301" s="54"/>
      <c r="DR301" s="54"/>
      <c r="DS301" s="54"/>
      <c r="DT301" s="54"/>
      <c r="DU301" s="54"/>
      <c r="DV301" s="54"/>
      <c r="DW301" s="54"/>
      <c r="DX301" s="54"/>
      <c r="DY301" s="54"/>
      <c r="DZ301" s="54"/>
      <c r="EA301" s="54"/>
      <c r="EB301" s="54"/>
      <c r="EC301" s="54"/>
      <c r="ED301" s="54"/>
      <c r="EE301" s="54"/>
      <c r="EF301" s="54"/>
      <c r="EG301" s="54"/>
      <c r="EH301" s="54"/>
      <c r="EI301" s="54"/>
      <c r="EJ301" s="54"/>
      <c r="EK301" s="54"/>
      <c r="EL301" s="54"/>
      <c r="EM301" s="54"/>
      <c r="EN301" s="54"/>
      <c r="EO301" s="54"/>
      <c r="EP301" s="54"/>
      <c r="EQ301" s="54"/>
      <c r="ER301" s="54"/>
      <c r="ES301" s="54"/>
      <c r="ET301" s="54"/>
      <c r="EU301" s="54"/>
      <c r="EV301" s="54"/>
      <c r="EW301" s="54"/>
      <c r="EX301" s="54"/>
      <c r="EY301" s="54"/>
      <c r="EZ301" s="54"/>
      <c r="FA301" s="54"/>
      <c r="FB301" s="54"/>
      <c r="FC301" s="54"/>
      <c r="FD301" s="54"/>
      <c r="FE301" s="54"/>
      <c r="FF301" s="54"/>
      <c r="FG301" s="54"/>
      <c r="FH301" s="54"/>
      <c r="FI301" s="54"/>
      <c r="FJ301" s="54"/>
      <c r="FK301" s="54"/>
      <c r="FL301" s="54"/>
      <c r="FM301" s="54"/>
      <c r="FN301" s="54"/>
      <c r="FO301" s="54"/>
      <c r="FP301" s="54"/>
      <c r="FQ301" s="54"/>
      <c r="FR301" s="54"/>
      <c r="FS301" s="54"/>
      <c r="FT301" s="54"/>
      <c r="FU301" s="54"/>
      <c r="FV301" s="54"/>
      <c r="FW301" s="54"/>
      <c r="FX301" s="54"/>
      <c r="FY301" s="54"/>
      <c r="FZ301" s="54"/>
      <c r="GA301" s="54"/>
      <c r="GB301" s="54"/>
      <c r="GC301" s="54"/>
      <c r="GD301" s="54"/>
      <c r="GE301" s="54"/>
      <c r="GF301" s="54"/>
      <c r="GG301" s="54"/>
      <c r="GH301" s="54"/>
      <c r="GI301" s="54"/>
      <c r="GJ301" s="54"/>
      <c r="GK301" s="54"/>
      <c r="GL301" s="54"/>
      <c r="GM301" s="54"/>
      <c r="GN301" s="54"/>
      <c r="GO301" s="54"/>
      <c r="GP301" s="54"/>
      <c r="GQ301" s="54"/>
      <c r="GR301" s="54"/>
      <c r="GS301" s="54"/>
      <c r="GT301" s="54"/>
      <c r="GU301" s="54"/>
      <c r="GV301" s="54"/>
      <c r="GW301" s="54"/>
      <c r="GX301" s="54"/>
      <c r="GY301" s="54"/>
      <c r="GZ301" s="54"/>
      <c r="HA301" s="54"/>
      <c r="HB301" s="54"/>
      <c r="HC301" s="54"/>
      <c r="HD301" s="54"/>
      <c r="HE301" s="54"/>
      <c r="HF301" s="54"/>
      <c r="HG301" s="54"/>
      <c r="HH301" s="54"/>
      <c r="HI301" s="54"/>
      <c r="HJ301" s="54"/>
      <c r="HK301" s="54"/>
      <c r="HL301" s="54"/>
      <c r="HM301" s="54"/>
      <c r="HN301" s="54"/>
      <c r="HO301" s="54"/>
      <c r="HP301" s="54"/>
      <c r="HQ301" s="54"/>
      <c r="HR301" s="54"/>
      <c r="HS301" s="54"/>
      <c r="HT301" s="54"/>
      <c r="HU301" s="54"/>
      <c r="HV301" s="54"/>
      <c r="HW301" s="54"/>
      <c r="HX301" s="54"/>
      <c r="HY301" s="54"/>
      <c r="HZ301" s="54"/>
      <c r="IA301" s="54"/>
      <c r="IB301" s="54"/>
      <c r="IC301" s="54"/>
      <c r="ID301" s="54"/>
      <c r="IE301" s="54"/>
      <c r="IF301" s="54"/>
      <c r="IG301" s="54"/>
      <c r="IH301" s="54"/>
      <c r="IU301" s="54"/>
      <c r="JI301" s="54"/>
      <c r="KM301" s="54"/>
      <c r="KN301" s="54"/>
      <c r="KO301" s="54"/>
      <c r="KP301" s="54"/>
      <c r="KQ301" s="54"/>
      <c r="KR301" s="54"/>
      <c r="KS301" s="54"/>
      <c r="KT301" s="54"/>
      <c r="KU301" s="54"/>
      <c r="KV301" s="54"/>
      <c r="KW301" s="54"/>
      <c r="KX301" s="54"/>
    </row>
    <row r="302" ht="5.2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c r="AB302" s="54"/>
      <c r="AC302" s="54"/>
      <c r="AD302" s="54"/>
      <c r="AE302" s="54"/>
      <c r="AF302" s="54"/>
      <c r="AG302" s="54"/>
      <c r="AH302" s="54"/>
      <c r="AI302" s="54"/>
      <c r="AJ302" s="54"/>
      <c r="AK302" s="54"/>
      <c r="AL302" s="54"/>
      <c r="AM302" s="54"/>
      <c r="AN302" s="54"/>
      <c r="AO302" s="54"/>
      <c r="AP302" s="54"/>
      <c r="AQ302" s="54"/>
      <c r="AR302" s="54"/>
      <c r="AS302" s="54"/>
      <c r="AT302" s="54"/>
      <c r="AU302" s="54"/>
      <c r="AV302" s="54"/>
      <c r="AW302" s="54"/>
      <c r="AX302" s="54"/>
      <c r="AY302" s="54"/>
      <c r="AZ302" s="54"/>
      <c r="BA302" s="54"/>
      <c r="BB302" s="54"/>
      <c r="BC302" s="54"/>
      <c r="BD302" s="54"/>
      <c r="BE302" s="54"/>
      <c r="BF302" s="54"/>
      <c r="BG302" s="54"/>
      <c r="BH302" s="54"/>
      <c r="BI302" s="54"/>
      <c r="BJ302" s="54"/>
      <c r="BK302" s="54"/>
      <c r="BL302" s="54"/>
      <c r="BM302" s="54"/>
      <c r="BN302" s="54"/>
      <c r="BO302" s="54"/>
      <c r="BP302" s="54"/>
      <c r="BQ302" s="54"/>
      <c r="BR302" s="54"/>
      <c r="BS302" s="54"/>
      <c r="BT302" s="54"/>
      <c r="BU302" s="54"/>
      <c r="BV302" s="54"/>
      <c r="BW302" s="54"/>
      <c r="BX302" s="54"/>
      <c r="BY302" s="54"/>
      <c r="BZ302" s="54"/>
      <c r="CA302" s="54"/>
      <c r="CB302" s="54"/>
      <c r="CC302" s="54"/>
      <c r="CD302" s="54"/>
      <c r="CE302" s="54"/>
      <c r="CF302" s="54"/>
      <c r="CG302" s="54"/>
      <c r="CH302" s="54"/>
      <c r="CI302" s="54"/>
      <c r="CJ302" s="54"/>
      <c r="CK302" s="54"/>
      <c r="CL302" s="54"/>
      <c r="CM302" s="54"/>
      <c r="CN302" s="54"/>
      <c r="CO302" s="54"/>
      <c r="CP302" s="54"/>
      <c r="CQ302" s="54"/>
      <c r="CR302" s="54"/>
      <c r="CS302" s="54"/>
      <c r="CT302" s="54"/>
      <c r="CU302" s="54"/>
      <c r="CV302" s="54"/>
      <c r="CW302" s="54"/>
      <c r="CX302" s="54"/>
      <c r="CY302" s="54"/>
      <c r="CZ302" s="54"/>
      <c r="DA302" s="54"/>
      <c r="DB302" s="54"/>
      <c r="DC302" s="54"/>
      <c r="DD302" s="54"/>
      <c r="DE302" s="54"/>
      <c r="DF302" s="54"/>
      <c r="DG302" s="54"/>
      <c r="DH302" s="54"/>
      <c r="DI302" s="54"/>
      <c r="DJ302" s="54"/>
      <c r="DK302" s="54"/>
      <c r="DL302" s="54"/>
      <c r="DM302" s="54"/>
      <c r="DN302" s="54"/>
      <c r="DO302" s="54"/>
      <c r="DP302" s="54"/>
      <c r="DQ302" s="54"/>
      <c r="DR302" s="54"/>
      <c r="DS302" s="54"/>
      <c r="DT302" s="54"/>
      <c r="DU302" s="54"/>
      <c r="DV302" s="54"/>
      <c r="DW302" s="54"/>
      <c r="DX302" s="54"/>
      <c r="DY302" s="54"/>
      <c r="DZ302" s="54"/>
      <c r="EA302" s="54"/>
      <c r="EB302" s="54"/>
      <c r="EC302" s="54"/>
      <c r="ED302" s="54"/>
      <c r="EE302" s="54"/>
      <c r="EF302" s="54"/>
      <c r="EG302" s="54"/>
      <c r="EH302" s="54"/>
      <c r="EI302" s="54"/>
      <c r="EJ302" s="54"/>
      <c r="EK302" s="54"/>
      <c r="EL302" s="54"/>
      <c r="EM302" s="54"/>
      <c r="EN302" s="54"/>
      <c r="EO302" s="54"/>
      <c r="EP302" s="54"/>
      <c r="EQ302" s="54"/>
      <c r="ER302" s="54"/>
      <c r="ES302" s="54"/>
      <c r="ET302" s="54"/>
      <c r="EU302" s="54"/>
      <c r="EV302" s="54"/>
      <c r="EW302" s="54"/>
      <c r="EX302" s="54"/>
      <c r="EY302" s="54"/>
      <c r="EZ302" s="54"/>
      <c r="FA302" s="54"/>
      <c r="FB302" s="54"/>
      <c r="FC302" s="54"/>
      <c r="FD302" s="54"/>
      <c r="FE302" s="54"/>
      <c r="FF302" s="54"/>
      <c r="FG302" s="54"/>
      <c r="FH302" s="54"/>
      <c r="FI302" s="54"/>
      <c r="FJ302" s="54"/>
      <c r="FK302" s="54"/>
      <c r="FL302" s="54"/>
      <c r="FM302" s="54"/>
      <c r="FN302" s="54"/>
      <c r="FO302" s="54"/>
      <c r="FP302" s="54"/>
      <c r="FQ302" s="54"/>
      <c r="FR302" s="54"/>
      <c r="FS302" s="54"/>
      <c r="FT302" s="54"/>
      <c r="FU302" s="54"/>
      <c r="FV302" s="54"/>
      <c r="FW302" s="54"/>
      <c r="FX302" s="54"/>
      <c r="FY302" s="54"/>
      <c r="FZ302" s="54"/>
      <c r="GA302" s="54"/>
      <c r="GB302" s="54"/>
      <c r="GC302" s="54"/>
      <c r="GD302" s="54"/>
      <c r="GE302" s="54"/>
      <c r="GF302" s="54"/>
      <c r="GG302" s="54"/>
      <c r="GH302" s="54"/>
      <c r="GI302" s="54"/>
      <c r="GJ302" s="54"/>
      <c r="GK302" s="54"/>
      <c r="GL302" s="54"/>
      <c r="GM302" s="54"/>
      <c r="GN302" s="54"/>
      <c r="GO302" s="54"/>
      <c r="GP302" s="54"/>
      <c r="GQ302" s="54"/>
      <c r="GR302" s="54"/>
      <c r="GS302" s="54"/>
      <c r="GT302" s="54"/>
      <c r="GU302" s="54"/>
      <c r="GV302" s="54"/>
      <c r="GW302" s="54"/>
      <c r="GX302" s="54"/>
      <c r="GY302" s="54"/>
      <c r="GZ302" s="54"/>
      <c r="HA302" s="54"/>
      <c r="HB302" s="54"/>
      <c r="HC302" s="54"/>
      <c r="HD302" s="54"/>
      <c r="HE302" s="54"/>
      <c r="HF302" s="54"/>
      <c r="HG302" s="54"/>
      <c r="HH302" s="54"/>
      <c r="HI302" s="54"/>
      <c r="HJ302" s="54"/>
      <c r="HK302" s="54"/>
      <c r="HL302" s="54"/>
      <c r="HM302" s="54"/>
      <c r="HN302" s="54"/>
      <c r="HO302" s="54"/>
      <c r="HP302" s="54"/>
      <c r="HQ302" s="54"/>
      <c r="HR302" s="54"/>
      <c r="HS302" s="54"/>
      <c r="HT302" s="54"/>
      <c r="HU302" s="54"/>
      <c r="HV302" s="54"/>
      <c r="HW302" s="54"/>
      <c r="HX302" s="54"/>
      <c r="HY302" s="54"/>
      <c r="HZ302" s="54"/>
      <c r="IA302" s="54"/>
      <c r="IB302" s="54"/>
      <c r="IC302" s="54"/>
      <c r="ID302" s="54"/>
      <c r="IE302" s="54"/>
      <c r="IF302" s="54"/>
      <c r="IG302" s="54"/>
      <c r="IH302" s="54"/>
      <c r="IU302" s="54"/>
      <c r="JI302" s="54"/>
      <c r="KM302" s="54"/>
      <c r="KN302" s="54"/>
      <c r="KO302" s="54"/>
      <c r="KP302" s="54"/>
      <c r="KQ302" s="54"/>
      <c r="KR302" s="54"/>
      <c r="KS302" s="54"/>
      <c r="KT302" s="54"/>
      <c r="KU302" s="54"/>
      <c r="KV302" s="54"/>
      <c r="KW302" s="54"/>
      <c r="KX302" s="54"/>
    </row>
    <row r="303" ht="5.2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c r="AC303" s="54"/>
      <c r="AD303" s="54"/>
      <c r="AE303" s="54"/>
      <c r="AF303" s="54"/>
      <c r="AG303" s="54"/>
      <c r="AH303" s="54"/>
      <c r="AI303" s="54"/>
      <c r="AJ303" s="54"/>
      <c r="AK303" s="54"/>
      <c r="AL303" s="54"/>
      <c r="AM303" s="54"/>
      <c r="AN303" s="54"/>
      <c r="AO303" s="54"/>
      <c r="AP303" s="54"/>
      <c r="AQ303" s="54"/>
      <c r="AR303" s="54"/>
      <c r="AS303" s="54"/>
      <c r="AT303" s="54"/>
      <c r="AU303" s="54"/>
      <c r="AV303" s="54"/>
      <c r="AW303" s="54"/>
      <c r="AX303" s="54"/>
      <c r="AY303" s="54"/>
      <c r="AZ303" s="54"/>
      <c r="BA303" s="54"/>
      <c r="BB303" s="54"/>
      <c r="BC303" s="54"/>
      <c r="BD303" s="54"/>
      <c r="BE303" s="54"/>
      <c r="BF303" s="54"/>
      <c r="BG303" s="54"/>
      <c r="BH303" s="54"/>
      <c r="BI303" s="54"/>
      <c r="BJ303" s="54"/>
      <c r="BK303" s="54"/>
      <c r="BL303" s="54"/>
      <c r="BM303" s="54"/>
      <c r="BN303" s="54"/>
      <c r="BO303" s="54"/>
      <c r="BP303" s="54"/>
      <c r="BQ303" s="54"/>
      <c r="BR303" s="54"/>
      <c r="BS303" s="54"/>
      <c r="BT303" s="54"/>
      <c r="BU303" s="54"/>
      <c r="BV303" s="54"/>
      <c r="BW303" s="54"/>
      <c r="BX303" s="54"/>
      <c r="BY303" s="54"/>
      <c r="BZ303" s="54"/>
      <c r="CA303" s="54"/>
      <c r="CB303" s="54"/>
      <c r="CC303" s="54"/>
      <c r="CD303" s="54"/>
      <c r="CE303" s="54"/>
      <c r="CF303" s="54"/>
      <c r="CG303" s="54"/>
      <c r="CH303" s="54"/>
      <c r="CI303" s="54"/>
      <c r="CJ303" s="54"/>
      <c r="CK303" s="54"/>
      <c r="CL303" s="54"/>
      <c r="CM303" s="54"/>
      <c r="CN303" s="54"/>
      <c r="CO303" s="54"/>
      <c r="CP303" s="54"/>
      <c r="CQ303" s="54"/>
      <c r="CR303" s="54"/>
      <c r="CS303" s="54"/>
      <c r="CT303" s="54"/>
      <c r="CU303" s="54"/>
      <c r="CV303" s="54"/>
      <c r="CW303" s="54"/>
      <c r="CX303" s="54"/>
      <c r="CY303" s="54"/>
      <c r="CZ303" s="54"/>
      <c r="DA303" s="54"/>
      <c r="DB303" s="54"/>
      <c r="DC303" s="54"/>
      <c r="DD303" s="54"/>
      <c r="DE303" s="54"/>
      <c r="DF303" s="54"/>
      <c r="DG303" s="54"/>
      <c r="DH303" s="54"/>
      <c r="DI303" s="54"/>
      <c r="DJ303" s="54"/>
      <c r="DK303" s="54"/>
      <c r="DL303" s="54"/>
      <c r="DM303" s="54"/>
      <c r="DN303" s="54"/>
      <c r="DO303" s="54"/>
      <c r="DP303" s="54"/>
      <c r="DQ303" s="54"/>
      <c r="DR303" s="54"/>
      <c r="DS303" s="54"/>
      <c r="DT303" s="54"/>
      <c r="DU303" s="54"/>
      <c r="DV303" s="54"/>
      <c r="DW303" s="54"/>
      <c r="DX303" s="54"/>
      <c r="DY303" s="54"/>
      <c r="DZ303" s="54"/>
      <c r="EA303" s="54"/>
      <c r="EB303" s="54"/>
      <c r="EC303" s="54"/>
      <c r="ED303" s="54"/>
      <c r="EE303" s="54"/>
      <c r="EF303" s="54"/>
      <c r="EG303" s="54"/>
      <c r="EH303" s="54"/>
      <c r="EI303" s="54"/>
      <c r="EJ303" s="54"/>
      <c r="EK303" s="54"/>
      <c r="EL303" s="54"/>
      <c r="EM303" s="54"/>
      <c r="EN303" s="54"/>
      <c r="EO303" s="54"/>
      <c r="EP303" s="54"/>
      <c r="EQ303" s="54"/>
      <c r="ER303" s="54"/>
      <c r="ES303" s="54"/>
      <c r="ET303" s="54"/>
      <c r="EU303" s="54"/>
      <c r="EV303" s="54"/>
      <c r="EW303" s="54"/>
      <c r="EX303" s="54"/>
      <c r="EY303" s="54"/>
      <c r="EZ303" s="54"/>
      <c r="FA303" s="54"/>
      <c r="FB303" s="54"/>
      <c r="FC303" s="54"/>
      <c r="FD303" s="54"/>
      <c r="FE303" s="54"/>
      <c r="FF303" s="54"/>
      <c r="FG303" s="54"/>
      <c r="FH303" s="54"/>
      <c r="FI303" s="54"/>
      <c r="FJ303" s="54"/>
      <c r="FK303" s="54"/>
      <c r="FL303" s="54"/>
      <c r="FM303" s="54"/>
      <c r="FN303" s="54"/>
      <c r="FO303" s="54"/>
      <c r="FP303" s="54"/>
      <c r="FQ303" s="54"/>
      <c r="FR303" s="54"/>
      <c r="FS303" s="54"/>
      <c r="FT303" s="54"/>
      <c r="FU303" s="54"/>
      <c r="FV303" s="54"/>
      <c r="FW303" s="54"/>
      <c r="FX303" s="54"/>
      <c r="FY303" s="54"/>
      <c r="FZ303" s="54"/>
      <c r="GA303" s="54"/>
      <c r="GB303" s="54"/>
      <c r="GC303" s="54"/>
      <c r="GD303" s="54"/>
      <c r="GE303" s="54"/>
      <c r="GF303" s="54"/>
      <c r="GG303" s="54"/>
      <c r="GH303" s="54"/>
      <c r="GI303" s="54"/>
      <c r="GJ303" s="54"/>
      <c r="GK303" s="54"/>
      <c r="GL303" s="54"/>
      <c r="GM303" s="54"/>
      <c r="GN303" s="54"/>
      <c r="GO303" s="54"/>
      <c r="GP303" s="54"/>
      <c r="GQ303" s="54"/>
      <c r="GR303" s="54"/>
      <c r="GS303" s="54"/>
      <c r="GT303" s="54"/>
      <c r="GU303" s="54"/>
      <c r="GV303" s="54"/>
      <c r="GW303" s="54"/>
      <c r="GX303" s="54"/>
      <c r="GY303" s="54"/>
      <c r="GZ303" s="54"/>
      <c r="HA303" s="54"/>
      <c r="HB303" s="54"/>
      <c r="HC303" s="54"/>
      <c r="HD303" s="54"/>
      <c r="HE303" s="54"/>
      <c r="HF303" s="54"/>
      <c r="HG303" s="54"/>
      <c r="HH303" s="54"/>
      <c r="HI303" s="54"/>
      <c r="HJ303" s="54"/>
      <c r="HK303" s="54"/>
      <c r="HL303" s="54"/>
      <c r="HM303" s="54"/>
      <c r="HN303" s="54"/>
      <c r="HO303" s="54"/>
      <c r="HP303" s="54"/>
      <c r="HQ303" s="54"/>
      <c r="HR303" s="54"/>
      <c r="HS303" s="54"/>
      <c r="HT303" s="54"/>
      <c r="HU303" s="54"/>
      <c r="HV303" s="54"/>
      <c r="HW303" s="54"/>
      <c r="HX303" s="54"/>
      <c r="HY303" s="54"/>
      <c r="HZ303" s="54"/>
      <c r="IA303" s="54"/>
      <c r="IB303" s="54"/>
      <c r="IC303" s="54"/>
      <c r="ID303" s="54"/>
      <c r="IE303" s="54"/>
      <c r="IF303" s="54"/>
      <c r="IG303" s="54"/>
      <c r="IH303" s="54"/>
      <c r="IU303" s="54"/>
      <c r="JI303" s="54"/>
      <c r="JJ303" s="158"/>
      <c r="JK303" s="158"/>
      <c r="JL303" s="158"/>
      <c r="JM303" s="158"/>
      <c r="JN303" s="158"/>
      <c r="JO303" s="158"/>
      <c r="JP303" s="158"/>
      <c r="JQ303" s="158"/>
      <c r="JR303" s="158"/>
      <c r="JS303" s="158"/>
      <c r="JT303" s="158"/>
      <c r="JU303" s="158"/>
      <c r="JV303" s="158"/>
      <c r="JW303" s="158"/>
      <c r="JX303" s="158"/>
      <c r="JY303" s="158"/>
      <c r="JZ303" s="158"/>
      <c r="KA303" s="158"/>
      <c r="KB303" s="158"/>
      <c r="KC303" s="158"/>
      <c r="KD303" s="158"/>
      <c r="KE303" s="158"/>
      <c r="KF303" s="158"/>
      <c r="KG303" s="158"/>
      <c r="KH303" s="158"/>
      <c r="KI303" s="158"/>
      <c r="KJ303" s="158"/>
      <c r="KK303" s="158"/>
      <c r="KL303" s="158"/>
      <c r="KM303" s="54"/>
      <c r="KN303" s="54"/>
      <c r="KO303" s="54"/>
      <c r="KP303" s="54"/>
      <c r="KQ303" s="54"/>
      <c r="KR303" s="54"/>
      <c r="KS303" s="54"/>
      <c r="KT303" s="54"/>
      <c r="KU303" s="54"/>
      <c r="KV303" s="54"/>
      <c r="KW303" s="54"/>
      <c r="KX303" s="54"/>
    </row>
    <row r="304" ht="5.2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c r="AB304" s="54"/>
      <c r="AC304" s="54"/>
      <c r="AD304" s="54"/>
      <c r="AE304" s="54"/>
      <c r="AF304" s="54"/>
      <c r="AG304" s="54"/>
      <c r="AH304" s="54"/>
      <c r="AI304" s="54"/>
      <c r="AJ304" s="54"/>
      <c r="AK304" s="54"/>
      <c r="AL304" s="54"/>
      <c r="AM304" s="54"/>
      <c r="AN304" s="54"/>
      <c r="AO304" s="54"/>
      <c r="AP304" s="54"/>
      <c r="AQ304" s="54"/>
      <c r="AR304" s="54"/>
      <c r="AS304" s="54"/>
      <c r="AT304" s="54"/>
      <c r="AU304" s="54"/>
      <c r="AV304" s="54"/>
      <c r="AW304" s="54"/>
      <c r="AX304" s="54"/>
      <c r="AY304" s="54"/>
      <c r="AZ304" s="54"/>
      <c r="BA304" s="54"/>
      <c r="BB304" s="54"/>
      <c r="BC304" s="54"/>
      <c r="BD304" s="54"/>
      <c r="BE304" s="54"/>
      <c r="BF304" s="54"/>
      <c r="BG304" s="54"/>
      <c r="BH304" s="54"/>
      <c r="BI304" s="54"/>
      <c r="BJ304" s="54"/>
      <c r="BK304" s="54"/>
      <c r="BL304" s="54"/>
      <c r="BM304" s="54"/>
      <c r="BN304" s="54"/>
      <c r="BO304" s="54"/>
      <c r="BP304" s="54"/>
      <c r="BQ304" s="54"/>
      <c r="BR304" s="54"/>
      <c r="BS304" s="54"/>
      <c r="BT304" s="54"/>
      <c r="BU304" s="54"/>
      <c r="BV304" s="54"/>
      <c r="BW304" s="54"/>
      <c r="BX304" s="54"/>
      <c r="BY304" s="54"/>
      <c r="BZ304" s="54"/>
      <c r="CA304" s="54"/>
      <c r="CB304" s="54"/>
      <c r="CC304" s="54"/>
      <c r="CD304" s="54"/>
      <c r="CE304" s="54"/>
      <c r="CF304" s="54"/>
      <c r="CG304" s="54"/>
      <c r="CH304" s="54"/>
      <c r="CI304" s="54"/>
      <c r="CJ304" s="54"/>
      <c r="CK304" s="54"/>
      <c r="CL304" s="54"/>
      <c r="CM304" s="54"/>
      <c r="CN304" s="54"/>
      <c r="CO304" s="54"/>
      <c r="CP304" s="54"/>
      <c r="CQ304" s="54"/>
      <c r="CR304" s="54"/>
      <c r="CS304" s="54"/>
      <c r="CT304" s="54"/>
      <c r="CU304" s="54"/>
      <c r="CV304" s="54"/>
      <c r="CW304" s="54"/>
      <c r="CX304" s="54"/>
      <c r="CY304" s="54"/>
      <c r="CZ304" s="54"/>
      <c r="DA304" s="54"/>
      <c r="DB304" s="54"/>
      <c r="DC304" s="54"/>
      <c r="DD304" s="54"/>
      <c r="DE304" s="54"/>
      <c r="DF304" s="54"/>
      <c r="DG304" s="54"/>
      <c r="DH304" s="54"/>
      <c r="DI304" s="54"/>
      <c r="DJ304" s="54"/>
      <c r="DK304" s="54"/>
      <c r="DL304" s="54"/>
      <c r="DM304" s="54"/>
      <c r="DN304" s="54"/>
      <c r="DO304" s="54"/>
      <c r="DP304" s="54"/>
      <c r="DQ304" s="54"/>
      <c r="DR304" s="54"/>
      <c r="DS304" s="54"/>
      <c r="DT304" s="54"/>
      <c r="DU304" s="54"/>
      <c r="DV304" s="54"/>
      <c r="DW304" s="54"/>
      <c r="DX304" s="54"/>
      <c r="DY304" s="54"/>
      <c r="DZ304" s="54"/>
      <c r="EA304" s="54"/>
      <c r="EB304" s="54"/>
      <c r="EC304" s="54"/>
      <c r="ED304" s="54"/>
      <c r="EE304" s="54"/>
      <c r="EF304" s="54"/>
      <c r="EG304" s="54"/>
      <c r="EH304" s="54"/>
      <c r="EI304" s="54"/>
      <c r="EJ304" s="54"/>
      <c r="EK304" s="54"/>
      <c r="EL304" s="54"/>
      <c r="EM304" s="54"/>
      <c r="EN304" s="54"/>
      <c r="EO304" s="54"/>
      <c r="EP304" s="54"/>
      <c r="EQ304" s="54"/>
      <c r="ER304" s="54"/>
      <c r="ES304" s="54"/>
      <c r="ET304" s="54"/>
      <c r="EU304" s="54"/>
      <c r="EV304" s="54"/>
      <c r="EW304" s="54"/>
      <c r="EX304" s="54"/>
      <c r="EY304" s="54"/>
      <c r="EZ304" s="54"/>
      <c r="FA304" s="54"/>
      <c r="FB304" s="54"/>
      <c r="FC304" s="54"/>
      <c r="FD304" s="54"/>
      <c r="FE304" s="54"/>
      <c r="FF304" s="54"/>
      <c r="FG304" s="54"/>
      <c r="FH304" s="54"/>
      <c r="FI304" s="54"/>
      <c r="FJ304" s="54"/>
      <c r="FK304" s="54"/>
      <c r="FL304" s="54"/>
      <c r="FM304" s="54"/>
      <c r="FN304" s="54"/>
      <c r="FO304" s="54"/>
      <c r="FP304" s="54"/>
      <c r="FQ304" s="54"/>
      <c r="FR304" s="54"/>
      <c r="FS304" s="54"/>
      <c r="FT304" s="54"/>
      <c r="FU304" s="54"/>
      <c r="FV304" s="54"/>
      <c r="FW304" s="54"/>
      <c r="FX304" s="54"/>
      <c r="FY304" s="54"/>
      <c r="FZ304" s="54"/>
      <c r="GA304" s="54"/>
      <c r="GB304" s="54"/>
      <c r="GC304" s="54"/>
      <c r="GD304" s="54"/>
      <c r="GE304" s="54"/>
      <c r="GF304" s="54"/>
      <c r="GG304" s="54"/>
      <c r="GH304" s="54"/>
      <c r="GI304" s="54"/>
      <c r="GJ304" s="54"/>
      <c r="GK304" s="54"/>
      <c r="GL304" s="54"/>
      <c r="GM304" s="54"/>
      <c r="GN304" s="54"/>
      <c r="GO304" s="54"/>
      <c r="GP304" s="54"/>
      <c r="GQ304" s="54"/>
      <c r="GR304" s="54"/>
      <c r="GS304" s="54"/>
      <c r="GT304" s="54"/>
      <c r="GU304" s="54"/>
      <c r="GV304" s="54"/>
      <c r="GW304" s="54"/>
      <c r="GX304" s="54"/>
      <c r="GY304" s="54"/>
      <c r="GZ304" s="54"/>
      <c r="HA304" s="54"/>
      <c r="HB304" s="54"/>
      <c r="HC304" s="54"/>
      <c r="HD304" s="54"/>
      <c r="HE304" s="54"/>
      <c r="HF304" s="54"/>
      <c r="HG304" s="54"/>
      <c r="HH304" s="54"/>
      <c r="HI304" s="54"/>
      <c r="HJ304" s="54"/>
      <c r="HK304" s="54"/>
      <c r="HL304" s="54"/>
      <c r="HM304" s="54"/>
      <c r="HN304" s="54"/>
      <c r="HO304" s="54"/>
      <c r="HP304" s="54"/>
      <c r="HQ304" s="54"/>
      <c r="HR304" s="54"/>
      <c r="HS304" s="54"/>
      <c r="HT304" s="54"/>
      <c r="HU304" s="54"/>
      <c r="HV304" s="54"/>
      <c r="HW304" s="54"/>
      <c r="HX304" s="54"/>
      <c r="HY304" s="54"/>
      <c r="HZ304" s="54"/>
      <c r="IA304" s="54"/>
      <c r="IB304" s="54"/>
      <c r="IC304" s="54"/>
      <c r="ID304" s="54"/>
      <c r="IE304" s="54"/>
      <c r="IF304" s="54"/>
      <c r="IG304" s="54"/>
      <c r="IH304" s="54"/>
      <c r="IU304" s="152"/>
      <c r="JI304" s="152"/>
      <c r="JJ304" s="82" t="str">
        <f t="array" ref="JJ304">xlookup(JN304,'Team Entry'!$A:$A,'Team Entry'!$B:$B,"")</f>
        <v/>
      </c>
      <c r="JN304" s="156" t="str">
        <f>if(EJ163=0,"TBD",'Swiss Results'!Y114)</f>
        <v>TBD</v>
      </c>
      <c r="KM304" s="54"/>
      <c r="KN304" s="54"/>
      <c r="KO304" s="54"/>
      <c r="KP304" s="54"/>
      <c r="KQ304" s="54"/>
      <c r="KR304" s="54"/>
      <c r="KS304" s="54"/>
      <c r="KT304" s="54"/>
      <c r="KU304" s="54"/>
      <c r="KV304" s="54"/>
      <c r="KW304" s="54"/>
      <c r="KX304" s="54"/>
    </row>
    <row r="305" ht="5.2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c r="AB305" s="54"/>
      <c r="AC305" s="54"/>
      <c r="AD305" s="54"/>
      <c r="AE305" s="54"/>
      <c r="AF305" s="54"/>
      <c r="AG305" s="54"/>
      <c r="AH305" s="54"/>
      <c r="AI305" s="54"/>
      <c r="AJ305" s="54"/>
      <c r="AK305" s="54"/>
      <c r="AL305" s="54"/>
      <c r="AM305" s="54"/>
      <c r="AN305" s="54"/>
      <c r="AO305" s="54"/>
      <c r="AP305" s="54"/>
      <c r="AQ305" s="54"/>
      <c r="AR305" s="54"/>
      <c r="AS305" s="54"/>
      <c r="AT305" s="54"/>
      <c r="AU305" s="54"/>
      <c r="AV305" s="54"/>
      <c r="AW305" s="54"/>
      <c r="AX305" s="54"/>
      <c r="AY305" s="54"/>
      <c r="AZ305" s="54"/>
      <c r="BA305" s="54"/>
      <c r="BB305" s="54"/>
      <c r="BC305" s="54"/>
      <c r="BD305" s="54"/>
      <c r="BE305" s="54"/>
      <c r="BF305" s="54"/>
      <c r="BG305" s="54"/>
      <c r="BH305" s="54"/>
      <c r="BI305" s="54"/>
      <c r="BJ305" s="54"/>
      <c r="BK305" s="54"/>
      <c r="BL305" s="54"/>
      <c r="BM305" s="54"/>
      <c r="BN305" s="54"/>
      <c r="BO305" s="54"/>
      <c r="BP305" s="54"/>
      <c r="BQ305" s="54"/>
      <c r="BR305" s="54"/>
      <c r="BS305" s="54"/>
      <c r="BT305" s="54"/>
      <c r="BU305" s="54"/>
      <c r="BV305" s="54"/>
      <c r="BW305" s="54"/>
      <c r="BX305" s="54"/>
      <c r="BY305" s="54"/>
      <c r="BZ305" s="54"/>
      <c r="CA305" s="54"/>
      <c r="CB305" s="54"/>
      <c r="CC305" s="54"/>
      <c r="CD305" s="54"/>
      <c r="CE305" s="54"/>
      <c r="CF305" s="54"/>
      <c r="CG305" s="54"/>
      <c r="CH305" s="54"/>
      <c r="CI305" s="54"/>
      <c r="CJ305" s="54"/>
      <c r="CK305" s="54"/>
      <c r="CL305" s="54"/>
      <c r="CM305" s="54"/>
      <c r="CN305" s="54"/>
      <c r="CO305" s="54"/>
      <c r="CP305" s="54"/>
      <c r="CQ305" s="54"/>
      <c r="CR305" s="54"/>
      <c r="CS305" s="54"/>
      <c r="CT305" s="54"/>
      <c r="CU305" s="54"/>
      <c r="CV305" s="54"/>
      <c r="CW305" s="54"/>
      <c r="CX305" s="54"/>
      <c r="CY305" s="54"/>
      <c r="CZ305" s="54"/>
      <c r="DA305" s="54"/>
      <c r="DB305" s="54"/>
      <c r="DC305" s="54"/>
      <c r="DD305" s="54"/>
      <c r="DE305" s="54"/>
      <c r="DF305" s="54"/>
      <c r="DG305" s="54"/>
      <c r="DH305" s="54"/>
      <c r="DI305" s="54"/>
      <c r="DJ305" s="54"/>
      <c r="DK305" s="54"/>
      <c r="DL305" s="54"/>
      <c r="DM305" s="54"/>
      <c r="DN305" s="54"/>
      <c r="DO305" s="54"/>
      <c r="DP305" s="54"/>
      <c r="DQ305" s="54"/>
      <c r="DR305" s="54"/>
      <c r="DS305" s="54"/>
      <c r="DT305" s="54"/>
      <c r="DU305" s="54"/>
      <c r="DV305" s="54"/>
      <c r="DW305" s="54"/>
      <c r="DX305" s="54"/>
      <c r="DY305" s="54"/>
      <c r="DZ305" s="54"/>
      <c r="EA305" s="54"/>
      <c r="EB305" s="54"/>
      <c r="EC305" s="54"/>
      <c r="ED305" s="54"/>
      <c r="EE305" s="54"/>
      <c r="EF305" s="54"/>
      <c r="EG305" s="54"/>
      <c r="EH305" s="54"/>
      <c r="EI305" s="54"/>
      <c r="EJ305" s="54"/>
      <c r="EK305" s="54"/>
      <c r="EL305" s="54"/>
      <c r="EM305" s="54"/>
      <c r="EN305" s="54"/>
      <c r="EO305" s="54"/>
      <c r="EP305" s="54"/>
      <c r="EQ305" s="54"/>
      <c r="ER305" s="54"/>
      <c r="ES305" s="54"/>
      <c r="ET305" s="54"/>
      <c r="EU305" s="54"/>
      <c r="EV305" s="54"/>
      <c r="EW305" s="54"/>
      <c r="EX305" s="54"/>
      <c r="EY305" s="54"/>
      <c r="EZ305" s="54"/>
      <c r="FA305" s="54"/>
      <c r="FB305" s="54"/>
      <c r="FC305" s="54"/>
      <c r="FD305" s="54"/>
      <c r="FE305" s="54"/>
      <c r="FF305" s="54"/>
      <c r="FG305" s="54"/>
      <c r="FH305" s="54"/>
      <c r="FI305" s="54"/>
      <c r="FJ305" s="54"/>
      <c r="FK305" s="54"/>
      <c r="FL305" s="54"/>
      <c r="FM305" s="54"/>
      <c r="FN305" s="54"/>
      <c r="FO305" s="54"/>
      <c r="FP305" s="54"/>
      <c r="FQ305" s="54"/>
      <c r="FR305" s="54"/>
      <c r="FS305" s="54"/>
      <c r="FT305" s="54"/>
      <c r="FU305" s="54"/>
      <c r="FV305" s="54"/>
      <c r="FW305" s="54"/>
      <c r="FX305" s="54"/>
      <c r="FY305" s="54"/>
      <c r="FZ305" s="54"/>
      <c r="GA305" s="54"/>
      <c r="GB305" s="54"/>
      <c r="GC305" s="54"/>
      <c r="GD305" s="54"/>
      <c r="GE305" s="54"/>
      <c r="GF305" s="54"/>
      <c r="GG305" s="54"/>
      <c r="GH305" s="54"/>
      <c r="GI305" s="54"/>
      <c r="GJ305" s="54"/>
      <c r="GK305" s="54"/>
      <c r="GL305" s="54"/>
      <c r="GM305" s="54"/>
      <c r="GN305" s="54"/>
      <c r="GO305" s="54"/>
      <c r="GP305" s="54"/>
      <c r="GQ305" s="54"/>
      <c r="GR305" s="54"/>
      <c r="GS305" s="54"/>
      <c r="GT305" s="54"/>
      <c r="GU305" s="54"/>
      <c r="GV305" s="54"/>
      <c r="GW305" s="54"/>
      <c r="GX305" s="54"/>
      <c r="GY305" s="54"/>
      <c r="GZ305" s="54"/>
      <c r="HA305" s="54"/>
      <c r="HB305" s="54"/>
      <c r="HC305" s="54"/>
      <c r="HD305" s="54"/>
      <c r="HE305" s="54"/>
      <c r="HF305" s="54"/>
      <c r="HG305" s="54"/>
      <c r="HH305" s="54"/>
      <c r="HI305" s="54"/>
      <c r="HJ305" s="54"/>
      <c r="HK305" s="54"/>
      <c r="HL305" s="54"/>
      <c r="HM305" s="54"/>
      <c r="HN305" s="54"/>
      <c r="HO305" s="54"/>
      <c r="HP305" s="54"/>
      <c r="HQ305" s="54"/>
      <c r="HR305" s="54"/>
      <c r="HS305" s="54"/>
      <c r="HT305" s="54"/>
      <c r="HU305" s="54"/>
      <c r="HV305" s="54"/>
      <c r="HW305" s="54"/>
      <c r="HX305" s="54"/>
      <c r="HY305" s="54"/>
      <c r="HZ305" s="54"/>
      <c r="IA305" s="54"/>
      <c r="IB305" s="54"/>
      <c r="IC305" s="54"/>
      <c r="ID305" s="54"/>
      <c r="IE305" s="54"/>
      <c r="IF305" s="54"/>
      <c r="IG305" s="54"/>
      <c r="IH305" s="54"/>
      <c r="IU305" s="152"/>
      <c r="JI305" s="152"/>
      <c r="KM305" s="54"/>
      <c r="KN305" s="54"/>
      <c r="KO305" s="54"/>
      <c r="KP305" s="54"/>
      <c r="KQ305" s="54"/>
      <c r="KR305" s="54"/>
      <c r="KS305" s="54"/>
      <c r="KT305" s="54"/>
      <c r="KU305" s="54"/>
      <c r="KV305" s="54"/>
      <c r="KW305" s="54"/>
      <c r="KX305" s="54"/>
    </row>
    <row r="306" ht="5.2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c r="AB306" s="54"/>
      <c r="AC306" s="54"/>
      <c r="AD306" s="54"/>
      <c r="AE306" s="54"/>
      <c r="AF306" s="54"/>
      <c r="AG306" s="54"/>
      <c r="AH306" s="54"/>
      <c r="AI306" s="54"/>
      <c r="AJ306" s="54"/>
      <c r="AK306" s="54"/>
      <c r="AL306" s="54"/>
      <c r="AM306" s="54"/>
      <c r="AN306" s="54"/>
      <c r="AO306" s="54"/>
      <c r="AP306" s="54"/>
      <c r="AQ306" s="54"/>
      <c r="AR306" s="54"/>
      <c r="AS306" s="54"/>
      <c r="AT306" s="54"/>
      <c r="AU306" s="54"/>
      <c r="AV306" s="54"/>
      <c r="AW306" s="54"/>
      <c r="AX306" s="54"/>
      <c r="AY306" s="54"/>
      <c r="AZ306" s="54"/>
      <c r="BA306" s="54"/>
      <c r="BB306" s="54"/>
      <c r="BC306" s="54"/>
      <c r="BD306" s="54"/>
      <c r="BE306" s="54"/>
      <c r="BF306" s="54"/>
      <c r="BG306" s="54"/>
      <c r="BH306" s="54"/>
      <c r="BI306" s="54"/>
      <c r="BJ306" s="54"/>
      <c r="BK306" s="54"/>
      <c r="BL306" s="54"/>
      <c r="BM306" s="54"/>
      <c r="BN306" s="54"/>
      <c r="BO306" s="54"/>
      <c r="BP306" s="54"/>
      <c r="BQ306" s="54"/>
      <c r="BR306" s="54"/>
      <c r="BS306" s="54"/>
      <c r="BT306" s="54"/>
      <c r="BU306" s="54"/>
      <c r="BV306" s="54"/>
      <c r="BW306" s="54"/>
      <c r="BX306" s="54"/>
      <c r="BY306" s="54"/>
      <c r="BZ306" s="54"/>
      <c r="CA306" s="54"/>
      <c r="CB306" s="54"/>
      <c r="CC306" s="54"/>
      <c r="CD306" s="54"/>
      <c r="CE306" s="54"/>
      <c r="CF306" s="54"/>
      <c r="CG306" s="54"/>
      <c r="CH306" s="54"/>
      <c r="CI306" s="54"/>
      <c r="CJ306" s="54"/>
      <c r="CK306" s="54"/>
      <c r="CL306" s="54"/>
      <c r="CM306" s="54"/>
      <c r="CN306" s="54"/>
      <c r="CO306" s="54"/>
      <c r="CP306" s="54"/>
      <c r="CQ306" s="54"/>
      <c r="CR306" s="54"/>
      <c r="CS306" s="54"/>
      <c r="CT306" s="54"/>
      <c r="CU306" s="54"/>
      <c r="CV306" s="54"/>
      <c r="CW306" s="54"/>
      <c r="CX306" s="54"/>
      <c r="CY306" s="54"/>
      <c r="CZ306" s="54"/>
      <c r="DA306" s="54"/>
      <c r="DB306" s="54"/>
      <c r="DC306" s="54"/>
      <c r="DD306" s="54"/>
      <c r="DE306" s="54"/>
      <c r="DF306" s="54"/>
      <c r="DG306" s="54"/>
      <c r="DH306" s="54"/>
      <c r="DI306" s="54"/>
      <c r="DJ306" s="54"/>
      <c r="DK306" s="54"/>
      <c r="DL306" s="54"/>
      <c r="DM306" s="54"/>
      <c r="DN306" s="54"/>
      <c r="DO306" s="54"/>
      <c r="DP306" s="54"/>
      <c r="DQ306" s="54"/>
      <c r="DR306" s="54"/>
      <c r="DS306" s="54"/>
      <c r="DT306" s="54"/>
      <c r="DU306" s="54"/>
      <c r="DV306" s="54"/>
      <c r="DW306" s="54"/>
      <c r="DX306" s="54"/>
      <c r="DY306" s="54"/>
      <c r="DZ306" s="54"/>
      <c r="EA306" s="54"/>
      <c r="EB306" s="54"/>
      <c r="EC306" s="54"/>
      <c r="ED306" s="54"/>
      <c r="EE306" s="54"/>
      <c r="EF306" s="54"/>
      <c r="EG306" s="54"/>
      <c r="EH306" s="54"/>
      <c r="EI306" s="54"/>
      <c r="EJ306" s="54"/>
      <c r="EK306" s="54"/>
      <c r="EL306" s="54"/>
      <c r="EM306" s="54"/>
      <c r="EN306" s="54"/>
      <c r="EO306" s="54"/>
      <c r="EP306" s="54"/>
      <c r="EQ306" s="54"/>
      <c r="ER306" s="54"/>
      <c r="ES306" s="54"/>
      <c r="ET306" s="54"/>
      <c r="EU306" s="54"/>
      <c r="EV306" s="54"/>
      <c r="EW306" s="54"/>
      <c r="EX306" s="54"/>
      <c r="EY306" s="54"/>
      <c r="EZ306" s="54"/>
      <c r="FA306" s="54"/>
      <c r="FB306" s="54"/>
      <c r="FC306" s="54"/>
      <c r="FD306" s="54"/>
      <c r="FE306" s="54"/>
      <c r="FF306" s="54"/>
      <c r="FG306" s="54"/>
      <c r="FH306" s="54"/>
      <c r="FI306" s="54"/>
      <c r="FJ306" s="54"/>
      <c r="FK306" s="54"/>
      <c r="FL306" s="54"/>
      <c r="FM306" s="54"/>
      <c r="FN306" s="54"/>
      <c r="FO306" s="54"/>
      <c r="FP306" s="54"/>
      <c r="FQ306" s="54"/>
      <c r="FR306" s="54"/>
      <c r="FS306" s="54"/>
      <c r="FT306" s="54"/>
      <c r="FU306" s="54"/>
      <c r="FV306" s="54"/>
      <c r="FW306" s="54"/>
      <c r="FX306" s="54"/>
      <c r="FY306" s="54"/>
      <c r="FZ306" s="54"/>
      <c r="GA306" s="54"/>
      <c r="GB306" s="54"/>
      <c r="GC306" s="54"/>
      <c r="GD306" s="54"/>
      <c r="GE306" s="54"/>
      <c r="GF306" s="54"/>
      <c r="GG306" s="54"/>
      <c r="GH306" s="54"/>
      <c r="GI306" s="54"/>
      <c r="GJ306" s="54"/>
      <c r="GK306" s="54"/>
      <c r="GL306" s="54"/>
      <c r="GM306" s="54"/>
      <c r="GN306" s="54"/>
      <c r="GO306" s="54"/>
      <c r="GP306" s="54"/>
      <c r="GQ306" s="54"/>
      <c r="GR306" s="54"/>
      <c r="GS306" s="54"/>
      <c r="GT306" s="54"/>
      <c r="GU306" s="54"/>
      <c r="GV306" s="54"/>
      <c r="GW306" s="54"/>
      <c r="GX306" s="54"/>
      <c r="GY306" s="54"/>
      <c r="GZ306" s="54"/>
      <c r="HA306" s="54"/>
      <c r="HB306" s="54"/>
      <c r="HC306" s="54"/>
      <c r="HD306" s="54"/>
      <c r="HE306" s="54"/>
      <c r="HF306" s="54"/>
      <c r="HG306" s="54"/>
      <c r="HH306" s="54"/>
      <c r="HI306" s="54"/>
      <c r="HJ306" s="54"/>
      <c r="HK306" s="54"/>
      <c r="HL306" s="54"/>
      <c r="HM306" s="54"/>
      <c r="HN306" s="54"/>
      <c r="HO306" s="54"/>
      <c r="HP306" s="54"/>
      <c r="HQ306" s="54"/>
      <c r="HR306" s="54"/>
      <c r="HS306" s="54"/>
      <c r="HT306" s="54"/>
      <c r="HU306" s="54"/>
      <c r="HV306" s="54"/>
      <c r="HW306" s="54"/>
      <c r="HX306" s="54"/>
      <c r="HY306" s="54"/>
      <c r="HZ306" s="54"/>
      <c r="IA306" s="54"/>
      <c r="IB306" s="54"/>
      <c r="IC306" s="54"/>
      <c r="ID306" s="54"/>
      <c r="IE306" s="54"/>
      <c r="IF306" s="54"/>
      <c r="IG306" s="54"/>
      <c r="IH306" s="54"/>
      <c r="IU306" s="152"/>
      <c r="JI306" s="152"/>
      <c r="KM306" s="54"/>
      <c r="KN306" s="54"/>
      <c r="KO306" s="54"/>
      <c r="KP306" s="54"/>
      <c r="KQ306" s="54"/>
      <c r="KR306" s="54"/>
      <c r="KS306" s="54"/>
      <c r="KT306" s="54"/>
      <c r="KU306" s="54"/>
      <c r="KV306" s="54"/>
      <c r="KW306" s="54"/>
      <c r="KX306" s="54"/>
    </row>
    <row r="307" ht="5.2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c r="AB307" s="54"/>
      <c r="AC307" s="54"/>
      <c r="AD307" s="54"/>
      <c r="AE307" s="54"/>
      <c r="AF307" s="54"/>
      <c r="AG307" s="54"/>
      <c r="AH307" s="54"/>
      <c r="AI307" s="54"/>
      <c r="AJ307" s="54"/>
      <c r="AK307" s="54"/>
      <c r="AL307" s="54"/>
      <c r="AM307" s="54"/>
      <c r="AN307" s="54"/>
      <c r="AO307" s="54"/>
      <c r="AP307" s="54"/>
      <c r="AQ307" s="54"/>
      <c r="AR307" s="54"/>
      <c r="AS307" s="54"/>
      <c r="AT307" s="54"/>
      <c r="AU307" s="54"/>
      <c r="AV307" s="54"/>
      <c r="AW307" s="54"/>
      <c r="AX307" s="54"/>
      <c r="AY307" s="54"/>
      <c r="AZ307" s="54"/>
      <c r="BA307" s="54"/>
      <c r="BB307" s="54"/>
      <c r="BC307" s="54"/>
      <c r="BD307" s="54"/>
      <c r="BE307" s="54"/>
      <c r="BF307" s="54"/>
      <c r="BG307" s="54"/>
      <c r="BH307" s="54"/>
      <c r="BI307" s="54"/>
      <c r="BJ307" s="54"/>
      <c r="BK307" s="54"/>
      <c r="BL307" s="54"/>
      <c r="BM307" s="54"/>
      <c r="BN307" s="54"/>
      <c r="BO307" s="54"/>
      <c r="BP307" s="54"/>
      <c r="BQ307" s="54"/>
      <c r="BR307" s="54"/>
      <c r="BS307" s="54"/>
      <c r="BT307" s="54"/>
      <c r="BU307" s="54"/>
      <c r="BV307" s="54"/>
      <c r="BW307" s="54"/>
      <c r="BX307" s="54"/>
      <c r="BY307" s="54"/>
      <c r="BZ307" s="54"/>
      <c r="CA307" s="54"/>
      <c r="CB307" s="54"/>
      <c r="CC307" s="54"/>
      <c r="CD307" s="54"/>
      <c r="CE307" s="54"/>
      <c r="CF307" s="54"/>
      <c r="CG307" s="54"/>
      <c r="CH307" s="54"/>
      <c r="CI307" s="54"/>
      <c r="CJ307" s="54"/>
      <c r="CK307" s="54"/>
      <c r="CL307" s="54"/>
      <c r="CM307" s="54"/>
      <c r="CN307" s="54"/>
      <c r="CO307" s="54"/>
      <c r="CP307" s="54"/>
      <c r="CQ307" s="54"/>
      <c r="CR307" s="54"/>
      <c r="CS307" s="54"/>
      <c r="CT307" s="54"/>
      <c r="CU307" s="54"/>
      <c r="CV307" s="54"/>
      <c r="CW307" s="54"/>
      <c r="CX307" s="54"/>
      <c r="CY307" s="54"/>
      <c r="CZ307" s="54"/>
      <c r="DA307" s="54"/>
      <c r="DB307" s="54"/>
      <c r="DC307" s="54"/>
      <c r="DD307" s="54"/>
      <c r="DE307" s="54"/>
      <c r="DF307" s="54"/>
      <c r="DG307" s="54"/>
      <c r="DH307" s="54"/>
      <c r="DI307" s="54"/>
      <c r="DJ307" s="54"/>
      <c r="DK307" s="54"/>
      <c r="DL307" s="54"/>
      <c r="DM307" s="54"/>
      <c r="DN307" s="54"/>
      <c r="DO307" s="54"/>
      <c r="DP307" s="54"/>
      <c r="DQ307" s="54"/>
      <c r="DR307" s="54"/>
      <c r="DS307" s="54"/>
      <c r="DT307" s="54"/>
      <c r="DU307" s="54"/>
      <c r="DV307" s="54"/>
      <c r="DW307" s="54"/>
      <c r="DX307" s="54"/>
      <c r="DY307" s="54"/>
      <c r="DZ307" s="54"/>
      <c r="EA307" s="54"/>
      <c r="EB307" s="54"/>
      <c r="EC307" s="54"/>
      <c r="ED307" s="54"/>
      <c r="EE307" s="54"/>
      <c r="EF307" s="54"/>
      <c r="EG307" s="54"/>
      <c r="EH307" s="54"/>
      <c r="EI307" s="54"/>
      <c r="EJ307" s="54"/>
      <c r="EK307" s="54"/>
      <c r="EL307" s="54"/>
      <c r="EM307" s="54"/>
      <c r="EN307" s="54"/>
      <c r="EO307" s="54"/>
      <c r="EP307" s="54"/>
      <c r="EQ307" s="54"/>
      <c r="ER307" s="54"/>
      <c r="ES307" s="54"/>
      <c r="ET307" s="54"/>
      <c r="EU307" s="54"/>
      <c r="EV307" s="54"/>
      <c r="EW307" s="54"/>
      <c r="EX307" s="54"/>
      <c r="EY307" s="54"/>
      <c r="EZ307" s="54"/>
      <c r="FA307" s="54"/>
      <c r="FB307" s="54"/>
      <c r="FC307" s="54"/>
      <c r="FD307" s="54"/>
      <c r="FE307" s="54"/>
      <c r="FF307" s="54"/>
      <c r="FG307" s="54"/>
      <c r="FH307" s="54"/>
      <c r="FI307" s="54"/>
      <c r="FJ307" s="54"/>
      <c r="FK307" s="54"/>
      <c r="FL307" s="54"/>
      <c r="FM307" s="54"/>
      <c r="FN307" s="54"/>
      <c r="FO307" s="54"/>
      <c r="FP307" s="54"/>
      <c r="FQ307" s="54"/>
      <c r="FR307" s="54"/>
      <c r="FS307" s="54"/>
      <c r="FT307" s="54"/>
      <c r="FU307" s="54"/>
      <c r="FV307" s="54"/>
      <c r="FW307" s="54"/>
      <c r="FX307" s="54"/>
      <c r="FY307" s="54"/>
      <c r="FZ307" s="54"/>
      <c r="GA307" s="54"/>
      <c r="GB307" s="54"/>
      <c r="GC307" s="54"/>
      <c r="GD307" s="54"/>
      <c r="GE307" s="54"/>
      <c r="GF307" s="54"/>
      <c r="GG307" s="54"/>
      <c r="GH307" s="54"/>
      <c r="GI307" s="54"/>
      <c r="GJ307" s="54"/>
      <c r="GK307" s="54"/>
      <c r="GL307" s="54"/>
      <c r="GM307" s="54"/>
      <c r="GN307" s="54"/>
      <c r="GO307" s="54"/>
      <c r="GP307" s="54"/>
      <c r="GQ307" s="54"/>
      <c r="GR307" s="54"/>
      <c r="GS307" s="54"/>
      <c r="GT307" s="54"/>
      <c r="GU307" s="54"/>
      <c r="GV307" s="54"/>
      <c r="GW307" s="54"/>
      <c r="GX307" s="54"/>
      <c r="GY307" s="54"/>
      <c r="GZ307" s="54"/>
      <c r="HA307" s="54"/>
      <c r="HB307" s="54"/>
      <c r="HC307" s="54"/>
      <c r="HD307" s="54"/>
      <c r="HE307" s="54"/>
      <c r="HF307" s="54"/>
      <c r="HG307" s="54"/>
      <c r="HH307" s="54"/>
      <c r="HI307" s="54"/>
      <c r="HJ307" s="54"/>
      <c r="HK307" s="54"/>
      <c r="HL307" s="54"/>
      <c r="HM307" s="54"/>
      <c r="HN307" s="54"/>
      <c r="HO307" s="54"/>
      <c r="HP307" s="54"/>
      <c r="HQ307" s="54"/>
      <c r="HR307" s="54"/>
      <c r="HS307" s="54"/>
      <c r="HT307" s="54"/>
      <c r="HU307" s="54"/>
      <c r="HV307" s="54"/>
      <c r="HW307" s="54"/>
      <c r="HX307" s="54"/>
      <c r="HY307" s="54"/>
      <c r="HZ307" s="54"/>
      <c r="IA307" s="54"/>
      <c r="IB307" s="54"/>
      <c r="IC307" s="54"/>
      <c r="ID307" s="54"/>
      <c r="IE307" s="54"/>
      <c r="IF307" s="54"/>
      <c r="IG307" s="54"/>
      <c r="IH307" s="54"/>
      <c r="II307" s="13"/>
      <c r="IJ307" s="13"/>
      <c r="IK307" s="13"/>
      <c r="IL307" s="13"/>
      <c r="IM307" s="13"/>
      <c r="IN307" s="13"/>
      <c r="IO307" s="13"/>
      <c r="IP307" s="13"/>
      <c r="IQ307" s="13"/>
      <c r="IR307" s="13"/>
      <c r="IS307" s="13"/>
      <c r="IT307" s="13"/>
      <c r="IU307" s="152"/>
      <c r="IV307" s="13"/>
      <c r="IW307" s="13"/>
      <c r="IX307" s="13"/>
      <c r="IY307" s="13"/>
      <c r="IZ307" s="13"/>
      <c r="JA307" s="13"/>
      <c r="JB307" s="13"/>
      <c r="JC307" s="13"/>
      <c r="JD307" s="13"/>
      <c r="JE307" s="13"/>
      <c r="JF307" s="13"/>
      <c r="JG307" s="13"/>
      <c r="JH307" s="13"/>
      <c r="JI307" s="152"/>
      <c r="JJ307" s="158"/>
      <c r="JK307" s="158"/>
      <c r="JL307" s="158"/>
      <c r="JM307" s="158"/>
      <c r="JN307" s="158"/>
      <c r="JO307" s="158"/>
      <c r="JP307" s="158"/>
      <c r="JQ307" s="158"/>
      <c r="JR307" s="158"/>
      <c r="JS307" s="158"/>
      <c r="JT307" s="158"/>
      <c r="JU307" s="158"/>
      <c r="JV307" s="158"/>
      <c r="JW307" s="158"/>
      <c r="JX307" s="158"/>
      <c r="JY307" s="158"/>
      <c r="JZ307" s="158"/>
      <c r="KA307" s="158"/>
      <c r="KB307" s="158"/>
      <c r="KC307" s="158"/>
      <c r="KD307" s="158"/>
      <c r="KE307" s="158"/>
      <c r="KF307" s="158"/>
      <c r="KG307" s="158"/>
      <c r="KH307" s="158"/>
      <c r="KI307" s="158"/>
      <c r="KJ307" s="158"/>
      <c r="KK307" s="158"/>
      <c r="KL307" s="158"/>
      <c r="KM307" s="54"/>
      <c r="KN307" s="54"/>
      <c r="KO307" s="54"/>
      <c r="KP307" s="54"/>
      <c r="KQ307" s="54"/>
      <c r="KR307" s="54"/>
      <c r="KS307" s="54"/>
      <c r="KT307" s="54"/>
      <c r="KU307" s="54"/>
      <c r="KV307" s="54"/>
      <c r="KW307" s="54"/>
      <c r="KX307" s="54"/>
    </row>
    <row r="308" ht="5.2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c r="AB308" s="54"/>
      <c r="AC308" s="54"/>
      <c r="AD308" s="54"/>
      <c r="AE308" s="54"/>
      <c r="AF308" s="54"/>
      <c r="AG308" s="54"/>
      <c r="AH308" s="54"/>
      <c r="AI308" s="54"/>
      <c r="AJ308" s="54"/>
      <c r="AK308" s="54"/>
      <c r="AL308" s="54"/>
      <c r="AM308" s="54"/>
      <c r="AN308" s="54"/>
      <c r="AO308" s="54"/>
      <c r="AP308" s="54"/>
      <c r="AQ308" s="54"/>
      <c r="AR308" s="54"/>
      <c r="AS308" s="54"/>
      <c r="AT308" s="54"/>
      <c r="AU308" s="54"/>
      <c r="AV308" s="54"/>
      <c r="AW308" s="54"/>
      <c r="AX308" s="54"/>
      <c r="AY308" s="54"/>
      <c r="AZ308" s="54"/>
      <c r="BA308" s="54"/>
      <c r="BB308" s="54"/>
      <c r="BC308" s="54"/>
      <c r="BD308" s="54"/>
      <c r="BE308" s="54"/>
      <c r="BF308" s="54"/>
      <c r="BG308" s="54"/>
      <c r="BH308" s="54"/>
      <c r="BI308" s="54"/>
      <c r="BJ308" s="54"/>
      <c r="BK308" s="54"/>
      <c r="BL308" s="54"/>
      <c r="BM308" s="54"/>
      <c r="BN308" s="54"/>
      <c r="BO308" s="54"/>
      <c r="BP308" s="54"/>
      <c r="BQ308" s="54"/>
      <c r="BR308" s="54"/>
      <c r="BS308" s="54"/>
      <c r="BT308" s="54"/>
      <c r="BU308" s="54"/>
      <c r="BV308" s="54"/>
      <c r="BW308" s="54"/>
      <c r="BX308" s="54"/>
      <c r="BY308" s="54"/>
      <c r="BZ308" s="54"/>
      <c r="CA308" s="54"/>
      <c r="CB308" s="54"/>
      <c r="CC308" s="54"/>
      <c r="CD308" s="54"/>
      <c r="CE308" s="54"/>
      <c r="CF308" s="54"/>
      <c r="CG308" s="54"/>
      <c r="CH308" s="54"/>
      <c r="CI308" s="54"/>
      <c r="CJ308" s="54"/>
      <c r="CK308" s="54"/>
      <c r="CL308" s="54"/>
      <c r="CM308" s="54"/>
      <c r="CN308" s="54"/>
      <c r="CO308" s="54"/>
      <c r="CP308" s="54"/>
      <c r="CQ308" s="54"/>
      <c r="CR308" s="54"/>
      <c r="CS308" s="54"/>
      <c r="CT308" s="54"/>
      <c r="CU308" s="54"/>
      <c r="CV308" s="54"/>
      <c r="CW308" s="54"/>
      <c r="CX308" s="54"/>
      <c r="CY308" s="54"/>
      <c r="CZ308" s="54"/>
      <c r="DA308" s="54"/>
      <c r="DB308" s="54"/>
      <c r="DC308" s="54"/>
      <c r="DD308" s="54"/>
      <c r="DE308" s="54"/>
      <c r="DF308" s="54"/>
      <c r="DG308" s="54"/>
      <c r="DH308" s="54"/>
      <c r="DI308" s="54"/>
      <c r="DJ308" s="54"/>
      <c r="DK308" s="54"/>
      <c r="DL308" s="54"/>
      <c r="DM308" s="54"/>
      <c r="DN308" s="54"/>
      <c r="DO308" s="54"/>
      <c r="DP308" s="54"/>
      <c r="DQ308" s="54"/>
      <c r="DR308" s="54"/>
      <c r="DS308" s="54"/>
      <c r="DT308" s="54"/>
      <c r="DU308" s="54"/>
      <c r="DV308" s="54"/>
      <c r="DW308" s="54"/>
      <c r="DX308" s="54"/>
      <c r="DY308" s="54"/>
      <c r="DZ308" s="54"/>
      <c r="EA308" s="54"/>
      <c r="EB308" s="54"/>
      <c r="EC308" s="54"/>
      <c r="ED308" s="54"/>
      <c r="EE308" s="54"/>
      <c r="EF308" s="54"/>
      <c r="EG308" s="54"/>
      <c r="EH308" s="54"/>
      <c r="EI308" s="54"/>
      <c r="EJ308" s="54"/>
      <c r="EK308" s="54"/>
      <c r="EL308" s="54"/>
      <c r="EM308" s="54"/>
      <c r="EN308" s="54"/>
      <c r="EO308" s="54"/>
      <c r="EP308" s="54"/>
      <c r="EQ308" s="54"/>
      <c r="ER308" s="54"/>
      <c r="ES308" s="54"/>
      <c r="ET308" s="54"/>
      <c r="EU308" s="54"/>
      <c r="EV308" s="54"/>
      <c r="EW308" s="54"/>
      <c r="EX308" s="54"/>
      <c r="EY308" s="54"/>
      <c r="EZ308" s="54"/>
      <c r="FA308" s="54"/>
      <c r="FB308" s="54"/>
      <c r="FC308" s="54"/>
      <c r="FD308" s="54"/>
      <c r="FE308" s="54"/>
      <c r="FF308" s="54"/>
      <c r="FG308" s="54"/>
      <c r="FH308" s="54"/>
      <c r="FI308" s="54"/>
      <c r="FJ308" s="54"/>
      <c r="FK308" s="54"/>
      <c r="FL308" s="54"/>
      <c r="FM308" s="54"/>
      <c r="FN308" s="54"/>
      <c r="FO308" s="54"/>
      <c r="FP308" s="54"/>
      <c r="FQ308" s="54"/>
      <c r="FR308" s="54"/>
      <c r="FS308" s="54"/>
      <c r="FT308" s="54"/>
      <c r="FU308" s="54"/>
      <c r="FV308" s="54"/>
      <c r="FW308" s="54"/>
      <c r="FX308" s="54"/>
      <c r="FY308" s="54"/>
      <c r="FZ308" s="54"/>
      <c r="GA308" s="54"/>
      <c r="GB308" s="54"/>
      <c r="GC308" s="54"/>
      <c r="GD308" s="54"/>
      <c r="GE308" s="54"/>
      <c r="GF308" s="54"/>
      <c r="GG308" s="54"/>
      <c r="GH308" s="54"/>
      <c r="GI308" s="54"/>
      <c r="GJ308" s="54"/>
      <c r="GK308" s="54"/>
      <c r="GL308" s="54"/>
      <c r="GM308" s="54"/>
      <c r="GN308" s="54"/>
      <c r="GO308" s="54"/>
      <c r="GP308" s="54"/>
      <c r="GQ308" s="54"/>
      <c r="GR308" s="54"/>
      <c r="GS308" s="54"/>
      <c r="GT308" s="54"/>
      <c r="GU308" s="54"/>
      <c r="GV308" s="54"/>
      <c r="GW308" s="54"/>
      <c r="GX308" s="54"/>
      <c r="GY308" s="54"/>
      <c r="GZ308" s="54"/>
      <c r="HA308" s="54"/>
      <c r="HB308" s="54"/>
      <c r="HC308" s="54"/>
      <c r="HD308" s="54"/>
      <c r="HE308" s="54"/>
      <c r="HF308" s="54"/>
      <c r="HG308" s="54"/>
      <c r="HH308" s="54"/>
      <c r="HI308" s="54"/>
      <c r="HJ308" s="54"/>
      <c r="HK308" s="54"/>
      <c r="HL308" s="54"/>
      <c r="HM308" s="54"/>
      <c r="HN308" s="54"/>
      <c r="HO308" s="54"/>
      <c r="HP308" s="54"/>
      <c r="HQ308" s="54"/>
      <c r="HR308" s="54"/>
      <c r="HS308" s="54"/>
      <c r="HT308" s="54"/>
      <c r="HU308" s="54"/>
      <c r="HV308" s="54"/>
      <c r="HW308" s="54"/>
      <c r="HX308" s="54"/>
      <c r="HY308" s="54"/>
      <c r="HZ308" s="54"/>
      <c r="IA308" s="54"/>
      <c r="IB308" s="54"/>
      <c r="IC308" s="54"/>
      <c r="ID308" s="54"/>
      <c r="IE308" s="54"/>
      <c r="IF308" s="54"/>
      <c r="IG308" s="54"/>
      <c r="IH308" s="54"/>
      <c r="II308" s="166" t="s">
        <v>84</v>
      </c>
      <c r="IU308" s="54"/>
      <c r="IV308" s="167" t="s">
        <v>80</v>
      </c>
      <c r="JI308" s="54"/>
      <c r="JJ308" s="82" t="str">
        <f t="array" ref="JJ308">xlookup(JN308,'Team Entry'!$A:$A,'Team Entry'!$B:$B,"")</f>
        <v/>
      </c>
      <c r="JN308" s="156" t="str">
        <f>if(FP120=0,"TBD",'Swiss Results'!Y122)</f>
        <v>TBD</v>
      </c>
      <c r="KM308" s="54"/>
      <c r="KN308" s="54"/>
      <c r="KO308" s="54"/>
      <c r="KP308" s="54"/>
      <c r="KQ308" s="54"/>
      <c r="KR308" s="54"/>
      <c r="KS308" s="54"/>
      <c r="KT308" s="54"/>
      <c r="KU308" s="54"/>
      <c r="KV308" s="54"/>
      <c r="KW308" s="54"/>
      <c r="KX308" s="54"/>
    </row>
    <row r="309" ht="5.2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c r="AB309" s="54"/>
      <c r="AC309" s="54"/>
      <c r="AD309" s="54"/>
      <c r="AE309" s="54"/>
      <c r="AF309" s="54"/>
      <c r="AG309" s="54"/>
      <c r="AH309" s="54"/>
      <c r="AI309" s="54"/>
      <c r="AJ309" s="54"/>
      <c r="AK309" s="54"/>
      <c r="AL309" s="54"/>
      <c r="AM309" s="54"/>
      <c r="AN309" s="54"/>
      <c r="AO309" s="54"/>
      <c r="AP309" s="54"/>
      <c r="AQ309" s="54"/>
      <c r="AR309" s="54"/>
      <c r="AS309" s="54"/>
      <c r="AT309" s="54"/>
      <c r="AU309" s="54"/>
      <c r="AV309" s="54"/>
      <c r="AW309" s="54"/>
      <c r="AX309" s="54"/>
      <c r="AY309" s="54"/>
      <c r="AZ309" s="54"/>
      <c r="BA309" s="54"/>
      <c r="BB309" s="54"/>
      <c r="BC309" s="54"/>
      <c r="BD309" s="54"/>
      <c r="BE309" s="54"/>
      <c r="BF309" s="54"/>
      <c r="BG309" s="54"/>
      <c r="BH309" s="54"/>
      <c r="BI309" s="54"/>
      <c r="BJ309" s="54"/>
      <c r="BK309" s="54"/>
      <c r="BL309" s="54"/>
      <c r="BM309" s="54"/>
      <c r="BN309" s="54"/>
      <c r="BO309" s="54"/>
      <c r="BP309" s="54"/>
      <c r="BQ309" s="54"/>
      <c r="BR309" s="54"/>
      <c r="BS309" s="54"/>
      <c r="BT309" s="54"/>
      <c r="BU309" s="54"/>
      <c r="BV309" s="54"/>
      <c r="BW309" s="54"/>
      <c r="BX309" s="54"/>
      <c r="BY309" s="54"/>
      <c r="BZ309" s="54"/>
      <c r="CA309" s="54"/>
      <c r="CB309" s="54"/>
      <c r="CC309" s="54"/>
      <c r="CD309" s="54"/>
      <c r="CE309" s="54"/>
      <c r="CF309" s="54"/>
      <c r="CG309" s="54"/>
      <c r="CH309" s="54"/>
      <c r="CI309" s="54"/>
      <c r="CJ309" s="54"/>
      <c r="CK309" s="54"/>
      <c r="CL309" s="54"/>
      <c r="CM309" s="54"/>
      <c r="CN309" s="54"/>
      <c r="CO309" s="54"/>
      <c r="CP309" s="54"/>
      <c r="CQ309" s="54"/>
      <c r="CR309" s="54"/>
      <c r="CS309" s="54"/>
      <c r="CT309" s="54"/>
      <c r="CU309" s="54"/>
      <c r="CV309" s="54"/>
      <c r="CW309" s="54"/>
      <c r="CX309" s="54"/>
      <c r="CY309" s="54"/>
      <c r="CZ309" s="54"/>
      <c r="DA309" s="54"/>
      <c r="DB309" s="54"/>
      <c r="DC309" s="54"/>
      <c r="DD309" s="54"/>
      <c r="DE309" s="54"/>
      <c r="DF309" s="54"/>
      <c r="DG309" s="54"/>
      <c r="DH309" s="54"/>
      <c r="DI309" s="54"/>
      <c r="DJ309" s="54"/>
      <c r="DK309" s="54"/>
      <c r="DL309" s="54"/>
      <c r="DM309" s="54"/>
      <c r="DN309" s="54"/>
      <c r="DO309" s="54"/>
      <c r="DP309" s="54"/>
      <c r="DQ309" s="54"/>
      <c r="DR309" s="54"/>
      <c r="DS309" s="54"/>
      <c r="DT309" s="54"/>
      <c r="DU309" s="54"/>
      <c r="DV309" s="54"/>
      <c r="DW309" s="54"/>
      <c r="DX309" s="54"/>
      <c r="DY309" s="54"/>
      <c r="DZ309" s="54"/>
      <c r="EA309" s="54"/>
      <c r="EB309" s="54"/>
      <c r="EC309" s="54"/>
      <c r="ED309" s="54"/>
      <c r="EE309" s="54"/>
      <c r="EF309" s="54"/>
      <c r="EG309" s="54"/>
      <c r="EH309" s="54"/>
      <c r="EI309" s="54"/>
      <c r="EJ309" s="54"/>
      <c r="EK309" s="54"/>
      <c r="EL309" s="54"/>
      <c r="EM309" s="54"/>
      <c r="EN309" s="54"/>
      <c r="EO309" s="54"/>
      <c r="EP309" s="54"/>
      <c r="EQ309" s="54"/>
      <c r="ER309" s="54"/>
      <c r="ES309" s="54"/>
      <c r="ET309" s="54"/>
      <c r="EU309" s="54"/>
      <c r="EV309" s="54"/>
      <c r="EW309" s="54"/>
      <c r="EX309" s="54"/>
      <c r="EY309" s="54"/>
      <c r="EZ309" s="54"/>
      <c r="FA309" s="54"/>
      <c r="FB309" s="54"/>
      <c r="FC309" s="54"/>
      <c r="FD309" s="54"/>
      <c r="FE309" s="54"/>
      <c r="FF309" s="54"/>
      <c r="FG309" s="54"/>
      <c r="FH309" s="54"/>
      <c r="FI309" s="54"/>
      <c r="FJ309" s="54"/>
      <c r="FK309" s="54"/>
      <c r="FL309" s="54"/>
      <c r="FM309" s="54"/>
      <c r="FN309" s="54"/>
      <c r="FO309" s="54"/>
      <c r="FP309" s="54"/>
      <c r="FQ309" s="54"/>
      <c r="FR309" s="54"/>
      <c r="FS309" s="54"/>
      <c r="FT309" s="54"/>
      <c r="FU309" s="54"/>
      <c r="FV309" s="54"/>
      <c r="FW309" s="54"/>
      <c r="FX309" s="54"/>
      <c r="FY309" s="54"/>
      <c r="FZ309" s="54"/>
      <c r="GA309" s="54"/>
      <c r="GB309" s="54"/>
      <c r="GC309" s="54"/>
      <c r="GD309" s="54"/>
      <c r="GE309" s="54"/>
      <c r="GF309" s="54"/>
      <c r="GG309" s="54"/>
      <c r="GH309" s="54"/>
      <c r="GI309" s="54"/>
      <c r="GJ309" s="54"/>
      <c r="GK309" s="54"/>
      <c r="GL309" s="54"/>
      <c r="GM309" s="54"/>
      <c r="GN309" s="54"/>
      <c r="GO309" s="54"/>
      <c r="GP309" s="54"/>
      <c r="GQ309" s="54"/>
      <c r="GR309" s="54"/>
      <c r="GS309" s="54"/>
      <c r="GT309" s="54"/>
      <c r="GU309" s="54"/>
      <c r="GV309" s="54"/>
      <c r="GW309" s="54"/>
      <c r="GX309" s="54"/>
      <c r="GY309" s="54"/>
      <c r="GZ309" s="54"/>
      <c r="HA309" s="54"/>
      <c r="HB309" s="54"/>
      <c r="HC309" s="54"/>
      <c r="HD309" s="54"/>
      <c r="HE309" s="54"/>
      <c r="HF309" s="54"/>
      <c r="HG309" s="54"/>
      <c r="HH309" s="54"/>
      <c r="HI309" s="54"/>
      <c r="HJ309" s="54"/>
      <c r="HK309" s="54"/>
      <c r="HL309" s="54"/>
      <c r="HM309" s="54"/>
      <c r="HN309" s="54"/>
      <c r="HO309" s="54"/>
      <c r="HP309" s="54"/>
      <c r="HQ309" s="54"/>
      <c r="HR309" s="54"/>
      <c r="HS309" s="54"/>
      <c r="HT309" s="54"/>
      <c r="HU309" s="54"/>
      <c r="HV309" s="54"/>
      <c r="HW309" s="54"/>
      <c r="HX309" s="54"/>
      <c r="HY309" s="54"/>
      <c r="HZ309" s="54"/>
      <c r="IA309" s="54"/>
      <c r="IB309" s="54"/>
      <c r="IC309" s="54"/>
      <c r="ID309" s="54"/>
      <c r="IE309" s="54"/>
      <c r="IF309" s="54"/>
      <c r="IG309" s="54"/>
      <c r="IH309" s="54"/>
      <c r="IU309" s="54"/>
      <c r="JI309" s="54"/>
      <c r="KM309" s="54"/>
      <c r="KN309" s="54"/>
      <c r="KO309" s="54"/>
      <c r="KP309" s="54"/>
      <c r="KQ309" s="54"/>
      <c r="KR309" s="54"/>
      <c r="KS309" s="54"/>
      <c r="KT309" s="54"/>
      <c r="KU309" s="54"/>
      <c r="KV309" s="54"/>
      <c r="KW309" s="54"/>
      <c r="KX309" s="54"/>
    </row>
    <row r="310" ht="5.2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c r="AB310" s="54"/>
      <c r="AC310" s="54"/>
      <c r="AD310" s="54"/>
      <c r="AE310" s="54"/>
      <c r="AF310" s="54"/>
      <c r="AG310" s="54"/>
      <c r="AH310" s="54"/>
      <c r="AI310" s="54"/>
      <c r="AJ310" s="54"/>
      <c r="AK310" s="54"/>
      <c r="AL310" s="54"/>
      <c r="AM310" s="54"/>
      <c r="AN310" s="54"/>
      <c r="AO310" s="54"/>
      <c r="AP310" s="54"/>
      <c r="AQ310" s="54"/>
      <c r="AR310" s="54"/>
      <c r="AS310" s="54"/>
      <c r="AT310" s="54"/>
      <c r="AU310" s="54"/>
      <c r="AV310" s="54"/>
      <c r="AW310" s="54"/>
      <c r="AX310" s="54"/>
      <c r="AY310" s="54"/>
      <c r="AZ310" s="54"/>
      <c r="BA310" s="54"/>
      <c r="BB310" s="54"/>
      <c r="BC310" s="54"/>
      <c r="BD310" s="54"/>
      <c r="BE310" s="54"/>
      <c r="BF310" s="54"/>
      <c r="BG310" s="54"/>
      <c r="BH310" s="54"/>
      <c r="BI310" s="54"/>
      <c r="BJ310" s="54"/>
      <c r="BK310" s="54"/>
      <c r="BL310" s="54"/>
      <c r="BM310" s="54"/>
      <c r="BN310" s="54"/>
      <c r="BO310" s="54"/>
      <c r="BP310" s="54"/>
      <c r="BQ310" s="54"/>
      <c r="BR310" s="54"/>
      <c r="BS310" s="54"/>
      <c r="BT310" s="54"/>
      <c r="BU310" s="54"/>
      <c r="BV310" s="54"/>
      <c r="BW310" s="54"/>
      <c r="BX310" s="54"/>
      <c r="BY310" s="54"/>
      <c r="BZ310" s="54"/>
      <c r="CA310" s="54"/>
      <c r="CB310" s="54"/>
      <c r="CC310" s="54"/>
      <c r="CD310" s="54"/>
      <c r="CE310" s="54"/>
      <c r="CF310" s="54"/>
      <c r="CG310" s="54"/>
      <c r="CH310" s="54"/>
      <c r="CI310" s="54"/>
      <c r="CJ310" s="54"/>
      <c r="CK310" s="54"/>
      <c r="CL310" s="54"/>
      <c r="CM310" s="54"/>
      <c r="CN310" s="54"/>
      <c r="CO310" s="54"/>
      <c r="CP310" s="54"/>
      <c r="CQ310" s="54"/>
      <c r="CR310" s="54"/>
      <c r="CS310" s="54"/>
      <c r="CT310" s="54"/>
      <c r="CU310" s="54"/>
      <c r="CV310" s="54"/>
      <c r="CW310" s="54"/>
      <c r="CX310" s="54"/>
      <c r="CY310" s="54"/>
      <c r="CZ310" s="54"/>
      <c r="DA310" s="54"/>
      <c r="DB310" s="54"/>
      <c r="DC310" s="54"/>
      <c r="DD310" s="54"/>
      <c r="DE310" s="54"/>
      <c r="DF310" s="54"/>
      <c r="DG310" s="54"/>
      <c r="DH310" s="54"/>
      <c r="DI310" s="54"/>
      <c r="DJ310" s="54"/>
      <c r="DK310" s="54"/>
      <c r="DL310" s="54"/>
      <c r="DM310" s="54"/>
      <c r="DN310" s="54"/>
      <c r="DO310" s="54"/>
      <c r="DP310" s="54"/>
      <c r="DQ310" s="54"/>
      <c r="DR310" s="54"/>
      <c r="DS310" s="54"/>
      <c r="DT310" s="54"/>
      <c r="DU310" s="54"/>
      <c r="DV310" s="54"/>
      <c r="DW310" s="54"/>
      <c r="DX310" s="54"/>
      <c r="DY310" s="54"/>
      <c r="DZ310" s="54"/>
      <c r="EA310" s="54"/>
      <c r="EB310" s="54"/>
      <c r="EC310" s="54"/>
      <c r="ED310" s="54"/>
      <c r="EE310" s="54"/>
      <c r="EF310" s="54"/>
      <c r="EG310" s="54"/>
      <c r="EH310" s="54"/>
      <c r="EI310" s="54"/>
      <c r="EJ310" s="54"/>
      <c r="EK310" s="54"/>
      <c r="EL310" s="54"/>
      <c r="EM310" s="54"/>
      <c r="EN310" s="54"/>
      <c r="EO310" s="54"/>
      <c r="EP310" s="54"/>
      <c r="EQ310" s="54"/>
      <c r="ER310" s="54"/>
      <c r="ES310" s="54"/>
      <c r="ET310" s="54"/>
      <c r="EU310" s="54"/>
      <c r="EV310" s="54"/>
      <c r="EW310" s="54"/>
      <c r="EX310" s="54"/>
      <c r="EY310" s="54"/>
      <c r="EZ310" s="54"/>
      <c r="FA310" s="54"/>
      <c r="FB310" s="54"/>
      <c r="FC310" s="54"/>
      <c r="FD310" s="54"/>
      <c r="FE310" s="54"/>
      <c r="FF310" s="54"/>
      <c r="FG310" s="54"/>
      <c r="FH310" s="54"/>
      <c r="FI310" s="54"/>
      <c r="FJ310" s="54"/>
      <c r="FK310" s="54"/>
      <c r="FL310" s="54"/>
      <c r="FM310" s="54"/>
      <c r="FN310" s="54"/>
      <c r="FO310" s="54"/>
      <c r="FP310" s="54"/>
      <c r="FQ310" s="54"/>
      <c r="FR310" s="54"/>
      <c r="FS310" s="54"/>
      <c r="FT310" s="54"/>
      <c r="FU310" s="54"/>
      <c r="FV310" s="54"/>
      <c r="FW310" s="54"/>
      <c r="FX310" s="54"/>
      <c r="FY310" s="54"/>
      <c r="FZ310" s="54"/>
      <c r="GA310" s="54"/>
      <c r="GB310" s="54"/>
      <c r="GC310" s="54"/>
      <c r="GD310" s="54"/>
      <c r="GE310" s="54"/>
      <c r="GF310" s="54"/>
      <c r="GG310" s="54"/>
      <c r="GH310" s="54"/>
      <c r="GI310" s="54"/>
      <c r="GJ310" s="54"/>
      <c r="GK310" s="54"/>
      <c r="GL310" s="54"/>
      <c r="GM310" s="54"/>
      <c r="GN310" s="54"/>
      <c r="GO310" s="54"/>
      <c r="GP310" s="54"/>
      <c r="GQ310" s="54"/>
      <c r="GR310" s="54"/>
      <c r="GS310" s="54"/>
      <c r="GT310" s="54"/>
      <c r="GU310" s="54"/>
      <c r="GV310" s="54"/>
      <c r="GW310" s="54"/>
      <c r="GX310" s="54"/>
      <c r="GY310" s="54"/>
      <c r="GZ310" s="54"/>
      <c r="HA310" s="54"/>
      <c r="HB310" s="54"/>
      <c r="HC310" s="54"/>
      <c r="HD310" s="54"/>
      <c r="HE310" s="54"/>
      <c r="HF310" s="54"/>
      <c r="HG310" s="54"/>
      <c r="HH310" s="54"/>
      <c r="HI310" s="54"/>
      <c r="HJ310" s="54"/>
      <c r="HK310" s="54"/>
      <c r="HL310" s="54"/>
      <c r="HM310" s="54"/>
      <c r="HN310" s="54"/>
      <c r="HO310" s="54"/>
      <c r="HP310" s="54"/>
      <c r="HQ310" s="54"/>
      <c r="HR310" s="54"/>
      <c r="HS310" s="54"/>
      <c r="HT310" s="54"/>
      <c r="HU310" s="54"/>
      <c r="HV310" s="54"/>
      <c r="HW310" s="54"/>
      <c r="HX310" s="54"/>
      <c r="HY310" s="54"/>
      <c r="HZ310" s="54"/>
      <c r="IA310" s="54"/>
      <c r="IB310" s="54"/>
      <c r="IC310" s="54"/>
      <c r="ID310" s="54"/>
      <c r="IE310" s="54"/>
      <c r="IF310" s="54"/>
      <c r="IG310" s="54"/>
      <c r="IH310" s="54"/>
      <c r="IU310" s="54"/>
      <c r="JI310" s="54"/>
      <c r="KM310" s="54"/>
      <c r="KN310" s="54"/>
      <c r="KO310" s="54"/>
      <c r="KP310" s="54"/>
      <c r="KQ310" s="54"/>
      <c r="KR310" s="54"/>
      <c r="KS310" s="54"/>
      <c r="KT310" s="54"/>
      <c r="KU310" s="54"/>
      <c r="KV310" s="54"/>
      <c r="KW310" s="54"/>
      <c r="KX310" s="54"/>
    </row>
    <row r="311" ht="5.2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c r="AB311" s="54"/>
      <c r="AC311" s="54"/>
      <c r="AD311" s="54"/>
      <c r="AE311" s="54"/>
      <c r="AF311" s="54"/>
      <c r="AG311" s="54"/>
      <c r="AH311" s="54"/>
      <c r="AI311" s="54"/>
      <c r="AJ311" s="54"/>
      <c r="AK311" s="54"/>
      <c r="AL311" s="54"/>
      <c r="AM311" s="54"/>
      <c r="AN311" s="54"/>
      <c r="AO311" s="54"/>
      <c r="AP311" s="54"/>
      <c r="AQ311" s="54"/>
      <c r="AR311" s="54"/>
      <c r="AS311" s="54"/>
      <c r="AT311" s="54"/>
      <c r="AU311" s="54"/>
      <c r="AV311" s="54"/>
      <c r="AW311" s="54"/>
      <c r="AX311" s="54"/>
      <c r="AY311" s="54"/>
      <c r="AZ311" s="54"/>
      <c r="BA311" s="54"/>
      <c r="BB311" s="54"/>
      <c r="BC311" s="54"/>
      <c r="BD311" s="54"/>
      <c r="BE311" s="54"/>
      <c r="BF311" s="54"/>
      <c r="BG311" s="54"/>
      <c r="BH311" s="54"/>
      <c r="BI311" s="54"/>
      <c r="BJ311" s="54"/>
      <c r="BK311" s="54"/>
      <c r="BL311" s="54"/>
      <c r="BM311" s="54"/>
      <c r="BN311" s="54"/>
      <c r="BO311" s="54"/>
      <c r="BP311" s="54"/>
      <c r="BQ311" s="54"/>
      <c r="BR311" s="54"/>
      <c r="BS311" s="54"/>
      <c r="BT311" s="54"/>
      <c r="BU311" s="54"/>
      <c r="BV311" s="54"/>
      <c r="BW311" s="54"/>
      <c r="BX311" s="54"/>
      <c r="BY311" s="54"/>
      <c r="BZ311" s="54"/>
      <c r="CA311" s="54"/>
      <c r="CB311" s="54"/>
      <c r="CC311" s="54"/>
      <c r="CD311" s="54"/>
      <c r="CE311" s="54"/>
      <c r="CF311" s="54"/>
      <c r="CG311" s="54"/>
      <c r="CH311" s="54"/>
      <c r="CI311" s="54"/>
      <c r="CJ311" s="54"/>
      <c r="CK311" s="54"/>
      <c r="CL311" s="54"/>
      <c r="CM311" s="54"/>
      <c r="CN311" s="54"/>
      <c r="CO311" s="54"/>
      <c r="CP311" s="54"/>
      <c r="CQ311" s="54"/>
      <c r="CR311" s="54"/>
      <c r="CS311" s="54"/>
      <c r="CT311" s="54"/>
      <c r="CU311" s="54"/>
      <c r="CV311" s="54"/>
      <c r="CW311" s="54"/>
      <c r="CX311" s="54"/>
      <c r="CY311" s="54"/>
      <c r="CZ311" s="54"/>
      <c r="DA311" s="54"/>
      <c r="DB311" s="54"/>
      <c r="DC311" s="54"/>
      <c r="DD311" s="54"/>
      <c r="DE311" s="54"/>
      <c r="DF311" s="54"/>
      <c r="DG311" s="54"/>
      <c r="DH311" s="54"/>
      <c r="DI311" s="54"/>
      <c r="DJ311" s="54"/>
      <c r="DK311" s="54"/>
      <c r="DL311" s="54"/>
      <c r="DM311" s="54"/>
      <c r="DN311" s="54"/>
      <c r="DO311" s="54"/>
      <c r="DP311" s="54"/>
      <c r="DQ311" s="54"/>
      <c r="DR311" s="54"/>
      <c r="DS311" s="54"/>
      <c r="DT311" s="54"/>
      <c r="DU311" s="54"/>
      <c r="DV311" s="54"/>
      <c r="DW311" s="54"/>
      <c r="DX311" s="54"/>
      <c r="DY311" s="54"/>
      <c r="DZ311" s="54"/>
      <c r="EA311" s="54"/>
      <c r="EB311" s="54"/>
      <c r="EC311" s="54"/>
      <c r="ED311" s="54"/>
      <c r="EE311" s="54"/>
      <c r="EF311" s="54"/>
      <c r="EG311" s="54"/>
      <c r="EH311" s="54"/>
      <c r="EI311" s="54"/>
      <c r="EJ311" s="54"/>
      <c r="EK311" s="54"/>
      <c r="EL311" s="54"/>
      <c r="EM311" s="54"/>
      <c r="EN311" s="54"/>
      <c r="EO311" s="54"/>
      <c r="EP311" s="54"/>
      <c r="EQ311" s="54"/>
      <c r="ER311" s="54"/>
      <c r="ES311" s="54"/>
      <c r="ET311" s="54"/>
      <c r="EU311" s="54"/>
      <c r="EV311" s="54"/>
      <c r="EW311" s="54"/>
      <c r="EX311" s="54"/>
      <c r="EY311" s="54"/>
      <c r="EZ311" s="54"/>
      <c r="FA311" s="54"/>
      <c r="FB311" s="54"/>
      <c r="FC311" s="54"/>
      <c r="FD311" s="54"/>
      <c r="FE311" s="54"/>
      <c r="FF311" s="54"/>
      <c r="FG311" s="54"/>
      <c r="FH311" s="54"/>
      <c r="FI311" s="54"/>
      <c r="FJ311" s="54"/>
      <c r="FK311" s="54"/>
      <c r="FL311" s="54"/>
      <c r="FM311" s="54"/>
      <c r="FN311" s="54"/>
      <c r="FO311" s="54"/>
      <c r="FP311" s="54"/>
      <c r="FQ311" s="54"/>
      <c r="FR311" s="54"/>
      <c r="FS311" s="54"/>
      <c r="FT311" s="54"/>
      <c r="FU311" s="54"/>
      <c r="FV311" s="54"/>
      <c r="FW311" s="54"/>
      <c r="FX311" s="54"/>
      <c r="FY311" s="54"/>
      <c r="FZ311" s="54"/>
      <c r="GA311" s="54"/>
      <c r="GB311" s="54"/>
      <c r="GC311" s="54"/>
      <c r="GD311" s="54"/>
      <c r="GE311" s="54"/>
      <c r="GF311" s="54"/>
      <c r="GG311" s="54"/>
      <c r="GH311" s="54"/>
      <c r="GI311" s="54"/>
      <c r="GJ311" s="54"/>
      <c r="GK311" s="54"/>
      <c r="GL311" s="54"/>
      <c r="GM311" s="54"/>
      <c r="GN311" s="54"/>
      <c r="GO311" s="54"/>
      <c r="GP311" s="54"/>
      <c r="GQ311" s="54"/>
      <c r="GR311" s="54"/>
      <c r="GS311" s="54"/>
      <c r="GT311" s="54"/>
      <c r="GU311" s="54"/>
      <c r="GV311" s="54"/>
      <c r="GW311" s="54"/>
      <c r="GX311" s="54"/>
      <c r="GY311" s="54"/>
      <c r="GZ311" s="54"/>
      <c r="HA311" s="54"/>
      <c r="HB311" s="54"/>
      <c r="HC311" s="54"/>
      <c r="HD311" s="54"/>
      <c r="HE311" s="54"/>
      <c r="HF311" s="54"/>
      <c r="HG311" s="54"/>
      <c r="HH311" s="54"/>
      <c r="HI311" s="54"/>
      <c r="HJ311" s="54"/>
      <c r="HK311" s="54"/>
      <c r="HL311" s="54"/>
      <c r="HM311" s="54"/>
      <c r="HN311" s="54"/>
      <c r="HO311" s="54"/>
      <c r="HP311" s="54"/>
      <c r="HQ311" s="54"/>
      <c r="HR311" s="54"/>
      <c r="HS311" s="54"/>
      <c r="HT311" s="54"/>
      <c r="HU311" s="54"/>
      <c r="HV311" s="54"/>
      <c r="HW311" s="54"/>
      <c r="HX311" s="54"/>
      <c r="HY311" s="54"/>
      <c r="HZ311" s="54"/>
      <c r="IA311" s="54"/>
      <c r="IB311" s="54"/>
      <c r="IC311" s="54"/>
      <c r="ID311" s="54"/>
      <c r="IE311" s="54"/>
      <c r="IF311" s="54"/>
      <c r="IG311" s="54"/>
      <c r="IH311" s="54"/>
      <c r="IU311" s="54"/>
      <c r="JI311" s="54"/>
      <c r="JJ311" s="158"/>
      <c r="JK311" s="158"/>
      <c r="JL311" s="158"/>
      <c r="JM311" s="158"/>
      <c r="JN311" s="158"/>
      <c r="JO311" s="158"/>
      <c r="JP311" s="158"/>
      <c r="JQ311" s="158"/>
      <c r="JR311" s="158"/>
      <c r="JS311" s="158"/>
      <c r="JT311" s="158"/>
      <c r="JU311" s="158"/>
      <c r="JV311" s="158"/>
      <c r="JW311" s="158"/>
      <c r="JX311" s="158"/>
      <c r="JY311" s="158"/>
      <c r="JZ311" s="158"/>
      <c r="KA311" s="158"/>
      <c r="KB311" s="158"/>
      <c r="KC311" s="158"/>
      <c r="KD311" s="158"/>
      <c r="KE311" s="158"/>
      <c r="KF311" s="158"/>
      <c r="KG311" s="158"/>
      <c r="KH311" s="158"/>
      <c r="KI311" s="158"/>
      <c r="KJ311" s="158"/>
      <c r="KK311" s="158"/>
      <c r="KL311" s="158"/>
      <c r="KM311" s="54"/>
      <c r="KN311" s="54"/>
      <c r="KO311" s="54"/>
      <c r="KP311" s="54"/>
      <c r="KQ311" s="54"/>
      <c r="KR311" s="54"/>
      <c r="KS311" s="54"/>
      <c r="KT311" s="54"/>
      <c r="KU311" s="54"/>
      <c r="KV311" s="54"/>
      <c r="KW311" s="54"/>
      <c r="KX311" s="54"/>
    </row>
    <row r="312" ht="5.2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c r="AB312" s="54"/>
      <c r="AC312" s="54"/>
      <c r="AD312" s="54"/>
      <c r="AE312" s="54"/>
      <c r="AF312" s="54"/>
      <c r="AG312" s="54"/>
      <c r="AH312" s="54"/>
      <c r="AI312" s="54"/>
      <c r="AJ312" s="54"/>
      <c r="AK312" s="54"/>
      <c r="AL312" s="54"/>
      <c r="AM312" s="54"/>
      <c r="AN312" s="54"/>
      <c r="AO312" s="54"/>
      <c r="AP312" s="54"/>
      <c r="AQ312" s="54"/>
      <c r="AR312" s="54"/>
      <c r="AS312" s="54"/>
      <c r="AT312" s="54"/>
      <c r="AU312" s="54"/>
      <c r="AV312" s="54"/>
      <c r="AW312" s="54"/>
      <c r="AX312" s="54"/>
      <c r="AY312" s="54"/>
      <c r="AZ312" s="54"/>
      <c r="BA312" s="54"/>
      <c r="BB312" s="54"/>
      <c r="BC312" s="54"/>
      <c r="BD312" s="54"/>
      <c r="BE312" s="54"/>
      <c r="BF312" s="54"/>
      <c r="BG312" s="54"/>
      <c r="BH312" s="54"/>
      <c r="BI312" s="54"/>
      <c r="BJ312" s="54"/>
      <c r="BK312" s="54"/>
      <c r="BL312" s="54"/>
      <c r="BM312" s="54"/>
      <c r="BN312" s="54"/>
      <c r="BO312" s="54"/>
      <c r="BP312" s="54"/>
      <c r="BQ312" s="54"/>
      <c r="BR312" s="54"/>
      <c r="BS312" s="54"/>
      <c r="BT312" s="54"/>
      <c r="BU312" s="54"/>
      <c r="BV312" s="54"/>
      <c r="BW312" s="54"/>
      <c r="BX312" s="54"/>
      <c r="BY312" s="54"/>
      <c r="BZ312" s="54"/>
      <c r="CA312" s="54"/>
      <c r="CB312" s="54"/>
      <c r="CC312" s="54"/>
      <c r="CD312" s="54"/>
      <c r="CE312" s="54"/>
      <c r="CF312" s="54"/>
      <c r="CG312" s="54"/>
      <c r="CH312" s="54"/>
      <c r="CI312" s="54"/>
      <c r="CJ312" s="54"/>
      <c r="CK312" s="54"/>
      <c r="CL312" s="54"/>
      <c r="CM312" s="54"/>
      <c r="CN312" s="54"/>
      <c r="CO312" s="54"/>
      <c r="CP312" s="54"/>
      <c r="CQ312" s="54"/>
      <c r="CR312" s="54"/>
      <c r="CS312" s="54"/>
      <c r="CT312" s="54"/>
      <c r="CU312" s="54"/>
      <c r="CV312" s="54"/>
      <c r="CW312" s="54"/>
      <c r="CX312" s="54"/>
      <c r="CY312" s="54"/>
      <c r="CZ312" s="54"/>
      <c r="DA312" s="54"/>
      <c r="DB312" s="54"/>
      <c r="DC312" s="54"/>
      <c r="DD312" s="54"/>
      <c r="DE312" s="54"/>
      <c r="DF312" s="54"/>
      <c r="DG312" s="54"/>
      <c r="DH312" s="54"/>
      <c r="DI312" s="54"/>
      <c r="DJ312" s="54"/>
      <c r="DK312" s="54"/>
      <c r="DL312" s="54"/>
      <c r="DM312" s="54"/>
      <c r="DN312" s="54"/>
      <c r="DO312" s="54"/>
      <c r="DP312" s="54"/>
      <c r="DQ312" s="54"/>
      <c r="DR312" s="54"/>
      <c r="DS312" s="54"/>
      <c r="DT312" s="54"/>
      <c r="DU312" s="54"/>
      <c r="DV312" s="54"/>
      <c r="DW312" s="54"/>
      <c r="DX312" s="54"/>
      <c r="DY312" s="54"/>
      <c r="DZ312" s="54"/>
      <c r="EA312" s="54"/>
      <c r="EB312" s="54"/>
      <c r="EC312" s="54"/>
      <c r="ED312" s="54"/>
      <c r="EE312" s="54"/>
      <c r="EF312" s="54"/>
      <c r="EG312" s="54"/>
      <c r="EH312" s="54"/>
      <c r="EI312" s="54"/>
      <c r="EJ312" s="54"/>
      <c r="EK312" s="54"/>
      <c r="EL312" s="54"/>
      <c r="EM312" s="54"/>
      <c r="EN312" s="54"/>
      <c r="EO312" s="54"/>
      <c r="EP312" s="54"/>
      <c r="EQ312" s="54"/>
      <c r="ER312" s="54"/>
      <c r="ES312" s="54"/>
      <c r="ET312" s="54"/>
      <c r="EU312" s="54"/>
      <c r="EV312" s="54"/>
      <c r="EW312" s="54"/>
      <c r="EX312" s="54"/>
      <c r="EY312" s="54"/>
      <c r="EZ312" s="54"/>
      <c r="FA312" s="54"/>
      <c r="FB312" s="54"/>
      <c r="FC312" s="54"/>
      <c r="FD312" s="54"/>
      <c r="FE312" s="54"/>
      <c r="FF312" s="54"/>
      <c r="FG312" s="54"/>
      <c r="FH312" s="54"/>
      <c r="FI312" s="54"/>
      <c r="FJ312" s="54"/>
      <c r="FK312" s="54"/>
      <c r="FL312" s="54"/>
      <c r="FM312" s="54"/>
      <c r="FN312" s="54"/>
      <c r="FO312" s="54"/>
      <c r="FP312" s="54"/>
      <c r="FQ312" s="54"/>
      <c r="FR312" s="54"/>
      <c r="FS312" s="54"/>
      <c r="FT312" s="54"/>
      <c r="FU312" s="54"/>
      <c r="FV312" s="54"/>
      <c r="FW312" s="54"/>
      <c r="FX312" s="54"/>
      <c r="FY312" s="54"/>
      <c r="FZ312" s="54"/>
      <c r="GA312" s="54"/>
      <c r="GB312" s="54"/>
      <c r="GC312" s="54"/>
      <c r="GD312" s="54"/>
      <c r="GE312" s="54"/>
      <c r="GF312" s="54"/>
      <c r="GG312" s="54"/>
      <c r="GH312" s="54"/>
      <c r="GI312" s="54"/>
      <c r="GJ312" s="54"/>
      <c r="GK312" s="54"/>
      <c r="GL312" s="54"/>
      <c r="GM312" s="54"/>
      <c r="GN312" s="54"/>
      <c r="GO312" s="54"/>
      <c r="GP312" s="54"/>
      <c r="GQ312" s="54"/>
      <c r="GR312" s="54"/>
      <c r="GS312" s="54"/>
      <c r="GT312" s="54"/>
      <c r="GU312" s="54"/>
      <c r="GV312" s="54"/>
      <c r="GW312" s="54"/>
      <c r="GX312" s="54"/>
      <c r="GY312" s="54"/>
      <c r="GZ312" s="54"/>
      <c r="HA312" s="54"/>
      <c r="HB312" s="54"/>
      <c r="HC312" s="54"/>
      <c r="HD312" s="54"/>
      <c r="HE312" s="54"/>
      <c r="HF312" s="54"/>
      <c r="HG312" s="54"/>
      <c r="HH312" s="54"/>
      <c r="HI312" s="54"/>
      <c r="HJ312" s="54"/>
      <c r="HK312" s="54"/>
      <c r="HL312" s="54"/>
      <c r="HM312" s="54"/>
      <c r="HN312" s="54"/>
      <c r="HO312" s="54"/>
      <c r="HP312" s="54"/>
      <c r="HQ312" s="54"/>
      <c r="HR312" s="54"/>
      <c r="HS312" s="54"/>
      <c r="HT312" s="54"/>
      <c r="HU312" s="54"/>
      <c r="HV312" s="54"/>
      <c r="HW312" s="54"/>
      <c r="HX312" s="54"/>
      <c r="HY312" s="54"/>
      <c r="HZ312" s="54"/>
      <c r="IA312" s="54"/>
      <c r="IB312" s="54"/>
      <c r="IC312" s="54"/>
      <c r="ID312" s="54"/>
      <c r="IE312" s="54"/>
      <c r="IF312" s="54"/>
      <c r="IG312" s="54"/>
      <c r="IH312" s="54"/>
      <c r="IU312" s="54"/>
      <c r="JI312" s="54"/>
      <c r="JJ312" s="82" t="str">
        <f t="array" ref="JJ312">xlookup(JN312,'Team Entry'!$A:$A,'Team Entry'!$B:$B,"")</f>
        <v/>
      </c>
      <c r="JN312" s="156" t="str">
        <f>if(FP120=0,"TBD",'Swiss Results'!Y130)</f>
        <v>TBD</v>
      </c>
      <c r="KM312" s="54"/>
      <c r="KN312" s="54"/>
      <c r="KO312" s="54"/>
      <c r="KP312" s="54"/>
      <c r="KQ312" s="54"/>
      <c r="KR312" s="54"/>
      <c r="KS312" s="54"/>
      <c r="KT312" s="54"/>
      <c r="KU312" s="54"/>
      <c r="KV312" s="54"/>
      <c r="KW312" s="54"/>
      <c r="KX312" s="54"/>
    </row>
    <row r="313" ht="5.2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c r="AB313" s="54"/>
      <c r="AC313" s="54"/>
      <c r="AD313" s="54"/>
      <c r="AE313" s="54"/>
      <c r="AF313" s="54"/>
      <c r="AG313" s="54"/>
      <c r="AH313" s="54"/>
      <c r="AI313" s="54"/>
      <c r="AJ313" s="54"/>
      <c r="AK313" s="54"/>
      <c r="AL313" s="54"/>
      <c r="AM313" s="54"/>
      <c r="AN313" s="54"/>
      <c r="AO313" s="54"/>
      <c r="AP313" s="54"/>
      <c r="AQ313" s="54"/>
      <c r="AR313" s="54"/>
      <c r="AS313" s="54"/>
      <c r="AT313" s="54"/>
      <c r="AU313" s="54"/>
      <c r="AV313" s="54"/>
      <c r="AW313" s="54"/>
      <c r="AX313" s="54"/>
      <c r="AY313" s="54"/>
      <c r="AZ313" s="54"/>
      <c r="BA313" s="54"/>
      <c r="BB313" s="54"/>
      <c r="BC313" s="54"/>
      <c r="BD313" s="54"/>
      <c r="BE313" s="54"/>
      <c r="BF313" s="54"/>
      <c r="BG313" s="54"/>
      <c r="BH313" s="54"/>
      <c r="BI313" s="54"/>
      <c r="BJ313" s="54"/>
      <c r="BK313" s="54"/>
      <c r="BL313" s="54"/>
      <c r="BM313" s="54"/>
      <c r="BN313" s="54"/>
      <c r="BO313" s="54"/>
      <c r="BP313" s="54"/>
      <c r="BQ313" s="54"/>
      <c r="BR313" s="54"/>
      <c r="BS313" s="54"/>
      <c r="BT313" s="54"/>
      <c r="BU313" s="54"/>
      <c r="BV313" s="54"/>
      <c r="BW313" s="54"/>
      <c r="BX313" s="54"/>
      <c r="BY313" s="54"/>
      <c r="BZ313" s="54"/>
      <c r="CA313" s="54"/>
      <c r="CB313" s="54"/>
      <c r="CC313" s="54"/>
      <c r="CD313" s="54"/>
      <c r="CE313" s="54"/>
      <c r="CF313" s="54"/>
      <c r="CG313" s="54"/>
      <c r="CH313" s="54"/>
      <c r="CI313" s="54"/>
      <c r="CJ313" s="54"/>
      <c r="CK313" s="54"/>
      <c r="CL313" s="54"/>
      <c r="CM313" s="54"/>
      <c r="CN313" s="54"/>
      <c r="CO313" s="54"/>
      <c r="CP313" s="54"/>
      <c r="CQ313" s="54"/>
      <c r="CR313" s="54"/>
      <c r="CS313" s="54"/>
      <c r="CT313" s="54"/>
      <c r="CU313" s="54"/>
      <c r="CV313" s="54"/>
      <c r="CW313" s="54"/>
      <c r="CX313" s="54"/>
      <c r="CY313" s="54"/>
      <c r="CZ313" s="54"/>
      <c r="DA313" s="54"/>
      <c r="DB313" s="54"/>
      <c r="DC313" s="54"/>
      <c r="DD313" s="54"/>
      <c r="DE313" s="54"/>
      <c r="DF313" s="54"/>
      <c r="DG313" s="54"/>
      <c r="DH313" s="54"/>
      <c r="DI313" s="54"/>
      <c r="DJ313" s="54"/>
      <c r="DK313" s="54"/>
      <c r="DL313" s="54"/>
      <c r="DM313" s="54"/>
      <c r="DN313" s="54"/>
      <c r="DO313" s="54"/>
      <c r="DP313" s="54"/>
      <c r="DQ313" s="54"/>
      <c r="DR313" s="54"/>
      <c r="DS313" s="54"/>
      <c r="DT313" s="54"/>
      <c r="DU313" s="54"/>
      <c r="DV313" s="54"/>
      <c r="DW313" s="54"/>
      <c r="DX313" s="54"/>
      <c r="DY313" s="54"/>
      <c r="DZ313" s="54"/>
      <c r="EA313" s="54"/>
      <c r="EB313" s="54"/>
      <c r="EC313" s="54"/>
      <c r="ED313" s="54"/>
      <c r="EE313" s="54"/>
      <c r="EF313" s="54"/>
      <c r="EG313" s="54"/>
      <c r="EH313" s="54"/>
      <c r="EI313" s="54"/>
      <c r="EJ313" s="54"/>
      <c r="EK313" s="54"/>
      <c r="EL313" s="54"/>
      <c r="EM313" s="54"/>
      <c r="EN313" s="54"/>
      <c r="EO313" s="54"/>
      <c r="EP313" s="54"/>
      <c r="EQ313" s="54"/>
      <c r="ER313" s="54"/>
      <c r="ES313" s="54"/>
      <c r="ET313" s="54"/>
      <c r="EU313" s="54"/>
      <c r="EV313" s="54"/>
      <c r="EW313" s="54"/>
      <c r="EX313" s="54"/>
      <c r="EY313" s="54"/>
      <c r="EZ313" s="54"/>
      <c r="FA313" s="54"/>
      <c r="FB313" s="54"/>
      <c r="FC313" s="54"/>
      <c r="FD313" s="54"/>
      <c r="FE313" s="54"/>
      <c r="FF313" s="54"/>
      <c r="FG313" s="54"/>
      <c r="FH313" s="54"/>
      <c r="FI313" s="54"/>
      <c r="FJ313" s="54"/>
      <c r="FK313" s="54"/>
      <c r="FL313" s="54"/>
      <c r="FM313" s="54"/>
      <c r="FN313" s="54"/>
      <c r="FO313" s="54"/>
      <c r="FP313" s="54"/>
      <c r="FQ313" s="54"/>
      <c r="FR313" s="54"/>
      <c r="FS313" s="54"/>
      <c r="FT313" s="54"/>
      <c r="FU313" s="54"/>
      <c r="FV313" s="54"/>
      <c r="FW313" s="54"/>
      <c r="FX313" s="54"/>
      <c r="FY313" s="54"/>
      <c r="FZ313" s="54"/>
      <c r="GA313" s="54"/>
      <c r="GB313" s="54"/>
      <c r="GC313" s="54"/>
      <c r="GD313" s="54"/>
      <c r="GE313" s="54"/>
      <c r="GF313" s="54"/>
      <c r="GG313" s="54"/>
      <c r="GH313" s="54"/>
      <c r="GI313" s="54"/>
      <c r="GJ313" s="54"/>
      <c r="GK313" s="54"/>
      <c r="GL313" s="54"/>
      <c r="GM313" s="54"/>
      <c r="GN313" s="54"/>
      <c r="GO313" s="54"/>
      <c r="GP313" s="54"/>
      <c r="GQ313" s="54"/>
      <c r="GR313" s="54"/>
      <c r="GS313" s="54"/>
      <c r="GT313" s="54"/>
      <c r="GU313" s="54"/>
      <c r="GV313" s="54"/>
      <c r="GW313" s="54"/>
      <c r="GX313" s="54"/>
      <c r="GY313" s="54"/>
      <c r="GZ313" s="54"/>
      <c r="HA313" s="54"/>
      <c r="HB313" s="54"/>
      <c r="HC313" s="54"/>
      <c r="HD313" s="54"/>
      <c r="HE313" s="54"/>
      <c r="HF313" s="54"/>
      <c r="HG313" s="54"/>
      <c r="HH313" s="54"/>
      <c r="HI313" s="54"/>
      <c r="HJ313" s="54"/>
      <c r="HK313" s="54"/>
      <c r="HL313" s="54"/>
      <c r="HM313" s="54"/>
      <c r="HN313" s="54"/>
      <c r="HO313" s="54"/>
      <c r="HP313" s="54"/>
      <c r="HQ313" s="54"/>
      <c r="HR313" s="54"/>
      <c r="HS313" s="54"/>
      <c r="HT313" s="54"/>
      <c r="HU313" s="54"/>
      <c r="HV313" s="54"/>
      <c r="HW313" s="54"/>
      <c r="HX313" s="54"/>
      <c r="HY313" s="54"/>
      <c r="HZ313" s="54"/>
      <c r="IA313" s="54"/>
      <c r="IB313" s="54"/>
      <c r="IC313" s="54"/>
      <c r="ID313" s="54"/>
      <c r="IE313" s="54"/>
      <c r="IF313" s="54"/>
      <c r="IG313" s="54"/>
      <c r="IH313" s="54"/>
      <c r="IU313" s="54"/>
      <c r="JI313" s="54"/>
      <c r="KM313" s="54"/>
      <c r="KN313" s="54"/>
      <c r="KO313" s="54"/>
      <c r="KP313" s="54"/>
      <c r="KQ313" s="54"/>
      <c r="KR313" s="54"/>
      <c r="KS313" s="54"/>
      <c r="KT313" s="54"/>
      <c r="KU313" s="54"/>
      <c r="KV313" s="54"/>
      <c r="KW313" s="54"/>
      <c r="KX313" s="54"/>
    </row>
    <row r="314" ht="5.2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c r="AB314" s="54"/>
      <c r="AC314" s="54"/>
      <c r="AD314" s="54"/>
      <c r="AE314" s="54"/>
      <c r="AF314" s="54"/>
      <c r="AG314" s="54"/>
      <c r="AH314" s="54"/>
      <c r="AI314" s="54"/>
      <c r="AJ314" s="54"/>
      <c r="AK314" s="54"/>
      <c r="AL314" s="54"/>
      <c r="AM314" s="54"/>
      <c r="AN314" s="54"/>
      <c r="AO314" s="54"/>
      <c r="AP314" s="54"/>
      <c r="AQ314" s="54"/>
      <c r="AR314" s="54"/>
      <c r="AS314" s="54"/>
      <c r="AT314" s="54"/>
      <c r="AU314" s="54"/>
      <c r="AV314" s="54"/>
      <c r="AW314" s="54"/>
      <c r="AX314" s="54"/>
      <c r="AY314" s="54"/>
      <c r="AZ314" s="54"/>
      <c r="BA314" s="54"/>
      <c r="BB314" s="54"/>
      <c r="BC314" s="54"/>
      <c r="BD314" s="54"/>
      <c r="BE314" s="54"/>
      <c r="BF314" s="54"/>
      <c r="BG314" s="54"/>
      <c r="BH314" s="54"/>
      <c r="BI314" s="54"/>
      <c r="BJ314" s="54"/>
      <c r="BK314" s="54"/>
      <c r="BL314" s="54"/>
      <c r="BM314" s="54"/>
      <c r="BN314" s="54"/>
      <c r="BO314" s="54"/>
      <c r="BP314" s="54"/>
      <c r="BQ314" s="54"/>
      <c r="BR314" s="54"/>
      <c r="BS314" s="54"/>
      <c r="BT314" s="54"/>
      <c r="BU314" s="54"/>
      <c r="BV314" s="54"/>
      <c r="BW314" s="54"/>
      <c r="BX314" s="54"/>
      <c r="BY314" s="54"/>
      <c r="BZ314" s="54"/>
      <c r="CA314" s="54"/>
      <c r="CB314" s="54"/>
      <c r="CC314" s="54"/>
      <c r="CD314" s="54"/>
      <c r="CE314" s="54"/>
      <c r="CF314" s="54"/>
      <c r="CG314" s="54"/>
      <c r="CH314" s="54"/>
      <c r="CI314" s="54"/>
      <c r="CJ314" s="54"/>
      <c r="CK314" s="54"/>
      <c r="CL314" s="54"/>
      <c r="CM314" s="54"/>
      <c r="CN314" s="54"/>
      <c r="CO314" s="54"/>
      <c r="CP314" s="54"/>
      <c r="CQ314" s="54"/>
      <c r="CR314" s="54"/>
      <c r="CS314" s="54"/>
      <c r="CT314" s="54"/>
      <c r="CU314" s="54"/>
      <c r="CV314" s="54"/>
      <c r="CW314" s="54"/>
      <c r="CX314" s="54"/>
      <c r="CY314" s="54"/>
      <c r="CZ314" s="54"/>
      <c r="DA314" s="54"/>
      <c r="DB314" s="54"/>
      <c r="DC314" s="54"/>
      <c r="DD314" s="54"/>
      <c r="DE314" s="54"/>
      <c r="DF314" s="54"/>
      <c r="DG314" s="54"/>
      <c r="DH314" s="54"/>
      <c r="DI314" s="54"/>
      <c r="DJ314" s="54"/>
      <c r="DK314" s="54"/>
      <c r="DL314" s="54"/>
      <c r="DM314" s="54"/>
      <c r="DN314" s="54"/>
      <c r="DO314" s="54"/>
      <c r="DP314" s="54"/>
      <c r="DQ314" s="54"/>
      <c r="DR314" s="54"/>
      <c r="DS314" s="54"/>
      <c r="DT314" s="54"/>
      <c r="DU314" s="54"/>
      <c r="DV314" s="54"/>
      <c r="DW314" s="54"/>
      <c r="DX314" s="54"/>
      <c r="DY314" s="54"/>
      <c r="DZ314" s="54"/>
      <c r="EA314" s="54"/>
      <c r="EB314" s="54"/>
      <c r="EC314" s="54"/>
      <c r="ED314" s="54"/>
      <c r="EE314" s="54"/>
      <c r="EF314" s="54"/>
      <c r="EG314" s="54"/>
      <c r="EH314" s="54"/>
      <c r="EI314" s="54"/>
      <c r="EJ314" s="54"/>
      <c r="EK314" s="54"/>
      <c r="EL314" s="54"/>
      <c r="EM314" s="54"/>
      <c r="EN314" s="54"/>
      <c r="EO314" s="54"/>
      <c r="EP314" s="54"/>
      <c r="EQ314" s="54"/>
      <c r="ER314" s="54"/>
      <c r="ES314" s="54"/>
      <c r="ET314" s="54"/>
      <c r="EU314" s="54"/>
      <c r="EV314" s="54"/>
      <c r="EW314" s="54"/>
      <c r="EX314" s="54"/>
      <c r="EY314" s="54"/>
      <c r="EZ314" s="54"/>
      <c r="FA314" s="54"/>
      <c r="FB314" s="54"/>
      <c r="FC314" s="54"/>
      <c r="FD314" s="54"/>
      <c r="FE314" s="54"/>
      <c r="FF314" s="54"/>
      <c r="FG314" s="54"/>
      <c r="FH314" s="54"/>
      <c r="FI314" s="54"/>
      <c r="FJ314" s="54"/>
      <c r="FK314" s="54"/>
      <c r="FL314" s="54"/>
      <c r="FM314" s="54"/>
      <c r="FN314" s="54"/>
      <c r="FO314" s="54"/>
      <c r="FP314" s="54"/>
      <c r="FQ314" s="54"/>
      <c r="FR314" s="54"/>
      <c r="FS314" s="54"/>
      <c r="FT314" s="54"/>
      <c r="FU314" s="54"/>
      <c r="FV314" s="54"/>
      <c r="FW314" s="54"/>
      <c r="FX314" s="54"/>
      <c r="FY314" s="54"/>
      <c r="FZ314" s="54"/>
      <c r="GA314" s="54"/>
      <c r="GB314" s="54"/>
      <c r="GC314" s="54"/>
      <c r="GD314" s="54"/>
      <c r="GE314" s="54"/>
      <c r="GF314" s="54"/>
      <c r="GG314" s="54"/>
      <c r="GH314" s="54"/>
      <c r="GI314" s="54"/>
      <c r="GJ314" s="54"/>
      <c r="GK314" s="54"/>
      <c r="GL314" s="54"/>
      <c r="GM314" s="54"/>
      <c r="GN314" s="54"/>
      <c r="GO314" s="54"/>
      <c r="GP314" s="54"/>
      <c r="GQ314" s="54"/>
      <c r="GR314" s="54"/>
      <c r="GS314" s="54"/>
      <c r="GT314" s="54"/>
      <c r="GU314" s="54"/>
      <c r="GV314" s="54"/>
      <c r="GW314" s="54"/>
      <c r="GX314" s="54"/>
      <c r="GY314" s="54"/>
      <c r="GZ314" s="54"/>
      <c r="HA314" s="54"/>
      <c r="HB314" s="54"/>
      <c r="HC314" s="54"/>
      <c r="HD314" s="54"/>
      <c r="HE314" s="54"/>
      <c r="HF314" s="54"/>
      <c r="HG314" s="54"/>
      <c r="HH314" s="54"/>
      <c r="HI314" s="54"/>
      <c r="HJ314" s="54"/>
      <c r="HK314" s="54"/>
      <c r="HL314" s="54"/>
      <c r="HM314" s="54"/>
      <c r="HN314" s="54"/>
      <c r="HO314" s="54"/>
      <c r="HP314" s="54"/>
      <c r="HQ314" s="54"/>
      <c r="HR314" s="54"/>
      <c r="HS314" s="54"/>
      <c r="HT314" s="54"/>
      <c r="HU314" s="54"/>
      <c r="HV314" s="54"/>
      <c r="HW314" s="54"/>
      <c r="HX314" s="54"/>
      <c r="HY314" s="54"/>
      <c r="HZ314" s="54"/>
      <c r="IA314" s="54"/>
      <c r="IB314" s="54"/>
      <c r="IC314" s="54"/>
      <c r="ID314" s="54"/>
      <c r="IE314" s="54"/>
      <c r="IF314" s="54"/>
      <c r="IG314" s="54"/>
      <c r="IH314" s="54"/>
      <c r="IU314" s="54"/>
      <c r="JI314" s="54"/>
      <c r="KM314" s="54"/>
      <c r="KN314" s="54"/>
      <c r="KO314" s="54"/>
      <c r="KP314" s="54"/>
      <c r="KQ314" s="54"/>
      <c r="KR314" s="54"/>
      <c r="KS314" s="54"/>
      <c r="KT314" s="54"/>
      <c r="KU314" s="54"/>
      <c r="KV314" s="54"/>
      <c r="KW314" s="54"/>
      <c r="KX314" s="54"/>
    </row>
    <row r="315" ht="5.2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c r="AC315" s="54"/>
      <c r="AD315" s="54"/>
      <c r="AE315" s="54"/>
      <c r="AF315" s="54"/>
      <c r="AG315" s="54"/>
      <c r="AH315" s="54"/>
      <c r="AI315" s="54"/>
      <c r="AJ315" s="54"/>
      <c r="AK315" s="54"/>
      <c r="AL315" s="54"/>
      <c r="AM315" s="54"/>
      <c r="AN315" s="54"/>
      <c r="AO315" s="54"/>
      <c r="AP315" s="54"/>
      <c r="AQ315" s="54"/>
      <c r="AR315" s="54"/>
      <c r="AS315" s="54"/>
      <c r="AT315" s="54"/>
      <c r="AU315" s="54"/>
      <c r="AV315" s="54"/>
      <c r="AW315" s="54"/>
      <c r="AX315" s="54"/>
      <c r="AY315" s="54"/>
      <c r="AZ315" s="54"/>
      <c r="BA315" s="54"/>
      <c r="BB315" s="54"/>
      <c r="BC315" s="54"/>
      <c r="BD315" s="54"/>
      <c r="BE315" s="54"/>
      <c r="BF315" s="54"/>
      <c r="BG315" s="54"/>
      <c r="BH315" s="54"/>
      <c r="BI315" s="54"/>
      <c r="BJ315" s="54"/>
      <c r="BK315" s="54"/>
      <c r="BL315" s="54"/>
      <c r="BM315" s="54"/>
      <c r="BN315" s="54"/>
      <c r="BO315" s="54"/>
      <c r="BP315" s="54"/>
      <c r="BQ315" s="54"/>
      <c r="BR315" s="54"/>
      <c r="BS315" s="54"/>
      <c r="BT315" s="54"/>
      <c r="BU315" s="54"/>
      <c r="BV315" s="54"/>
      <c r="BW315" s="54"/>
      <c r="BX315" s="54"/>
      <c r="BY315" s="54"/>
      <c r="BZ315" s="54"/>
      <c r="CA315" s="54"/>
      <c r="CB315" s="54"/>
      <c r="CC315" s="54"/>
      <c r="CD315" s="54"/>
      <c r="CE315" s="54"/>
      <c r="CF315" s="54"/>
      <c r="CG315" s="54"/>
      <c r="CH315" s="54"/>
      <c r="CI315" s="54"/>
      <c r="CJ315" s="54"/>
      <c r="CK315" s="54"/>
      <c r="CL315" s="54"/>
      <c r="CM315" s="54"/>
      <c r="CN315" s="54"/>
      <c r="CO315" s="54"/>
      <c r="CP315" s="54"/>
      <c r="CQ315" s="54"/>
      <c r="CR315" s="54"/>
      <c r="CS315" s="54"/>
      <c r="CT315" s="54"/>
      <c r="CU315" s="54"/>
      <c r="CV315" s="54"/>
      <c r="CW315" s="54"/>
      <c r="CX315" s="54"/>
      <c r="CY315" s="54"/>
      <c r="CZ315" s="54"/>
      <c r="DA315" s="54"/>
      <c r="DB315" s="54"/>
      <c r="DC315" s="54"/>
      <c r="DD315" s="54"/>
      <c r="DE315" s="54"/>
      <c r="DF315" s="54"/>
      <c r="DG315" s="54"/>
      <c r="DH315" s="54"/>
      <c r="DI315" s="54"/>
      <c r="DJ315" s="54"/>
      <c r="DK315" s="54"/>
      <c r="DL315" s="54"/>
      <c r="DM315" s="54"/>
      <c r="DN315" s="54"/>
      <c r="DO315" s="54"/>
      <c r="DP315" s="54"/>
      <c r="DQ315" s="54"/>
      <c r="DR315" s="54"/>
      <c r="DS315" s="54"/>
      <c r="DT315" s="54"/>
      <c r="DU315" s="54"/>
      <c r="DV315" s="54"/>
      <c r="DW315" s="54"/>
      <c r="DX315" s="54"/>
      <c r="DY315" s="54"/>
      <c r="DZ315" s="54"/>
      <c r="EA315" s="54"/>
      <c r="EB315" s="54"/>
      <c r="EC315" s="54"/>
      <c r="ED315" s="54"/>
      <c r="EE315" s="54"/>
      <c r="EF315" s="54"/>
      <c r="EG315" s="54"/>
      <c r="EH315" s="54"/>
      <c r="EI315" s="54"/>
      <c r="EJ315" s="54"/>
      <c r="EK315" s="54"/>
      <c r="EL315" s="54"/>
      <c r="EM315" s="54"/>
      <c r="EN315" s="54"/>
      <c r="EO315" s="54"/>
      <c r="EP315" s="54"/>
      <c r="EQ315" s="54"/>
      <c r="ER315" s="54"/>
      <c r="ES315" s="54"/>
      <c r="ET315" s="54"/>
      <c r="EU315" s="54"/>
      <c r="EV315" s="54"/>
      <c r="EW315" s="54"/>
      <c r="EX315" s="54"/>
      <c r="EY315" s="54"/>
      <c r="EZ315" s="54"/>
      <c r="FA315" s="54"/>
      <c r="FB315" s="54"/>
      <c r="FC315" s="54"/>
      <c r="FD315" s="54"/>
      <c r="FE315" s="54"/>
      <c r="FF315" s="54"/>
      <c r="FG315" s="54"/>
      <c r="FH315" s="54"/>
      <c r="FI315" s="54"/>
      <c r="FJ315" s="54"/>
      <c r="FK315" s="54"/>
      <c r="FL315" s="54"/>
      <c r="FM315" s="54"/>
      <c r="FN315" s="54"/>
      <c r="FO315" s="54"/>
      <c r="FP315" s="54"/>
      <c r="FQ315" s="54"/>
      <c r="FR315" s="54"/>
      <c r="FS315" s="54"/>
      <c r="FT315" s="54"/>
      <c r="FU315" s="54"/>
      <c r="FV315" s="54"/>
      <c r="FW315" s="54"/>
      <c r="FX315" s="54"/>
      <c r="FY315" s="54"/>
      <c r="FZ315" s="54"/>
      <c r="GA315" s="54"/>
      <c r="GB315" s="54"/>
      <c r="GC315" s="54"/>
      <c r="GD315" s="54"/>
      <c r="GE315" s="54"/>
      <c r="GF315" s="54"/>
      <c r="GG315" s="54"/>
      <c r="GH315" s="54"/>
      <c r="GI315" s="54"/>
      <c r="GJ315" s="54"/>
      <c r="GK315" s="54"/>
      <c r="GL315" s="54"/>
      <c r="GM315" s="54"/>
      <c r="GN315" s="54"/>
      <c r="GO315" s="54"/>
      <c r="GP315" s="54"/>
      <c r="GQ315" s="54"/>
      <c r="GR315" s="54"/>
      <c r="GS315" s="54"/>
      <c r="GT315" s="54"/>
      <c r="GU315" s="54"/>
      <c r="GV315" s="54"/>
      <c r="GW315" s="54"/>
      <c r="GX315" s="54"/>
      <c r="GY315" s="54"/>
      <c r="GZ315" s="54"/>
      <c r="HA315" s="54"/>
      <c r="HB315" s="54"/>
      <c r="HC315" s="54"/>
      <c r="HD315" s="54"/>
      <c r="HE315" s="54"/>
      <c r="HF315" s="54"/>
      <c r="HG315" s="54"/>
      <c r="HH315" s="54"/>
      <c r="HI315" s="54"/>
      <c r="HJ315" s="54"/>
      <c r="HK315" s="54"/>
      <c r="HL315" s="54"/>
      <c r="HM315" s="54"/>
      <c r="HN315" s="54"/>
      <c r="HO315" s="54"/>
      <c r="HP315" s="54"/>
      <c r="HQ315" s="54"/>
      <c r="HR315" s="54"/>
      <c r="HS315" s="54"/>
      <c r="HT315" s="54"/>
      <c r="HU315" s="54"/>
      <c r="HV315" s="54"/>
      <c r="HW315" s="54"/>
      <c r="HX315" s="54"/>
      <c r="HY315" s="54"/>
      <c r="HZ315" s="54"/>
      <c r="IA315" s="54"/>
      <c r="IB315" s="54"/>
      <c r="IC315" s="54"/>
      <c r="ID315" s="54"/>
      <c r="IE315" s="54"/>
      <c r="IF315" s="54"/>
      <c r="IG315" s="54"/>
      <c r="IH315" s="54"/>
      <c r="II315" s="13"/>
      <c r="IJ315" s="13"/>
      <c r="IK315" s="13"/>
      <c r="IL315" s="13"/>
      <c r="IM315" s="13"/>
      <c r="IN315" s="13"/>
      <c r="IO315" s="13"/>
      <c r="IP315" s="13"/>
      <c r="IQ315" s="13"/>
      <c r="IR315" s="13"/>
      <c r="IS315" s="13"/>
      <c r="IT315" s="13"/>
      <c r="IU315" s="54"/>
      <c r="IV315" s="13"/>
      <c r="IW315" s="13"/>
      <c r="IX315" s="13"/>
      <c r="IY315" s="13"/>
      <c r="IZ315" s="13"/>
      <c r="JA315" s="13"/>
      <c r="JB315" s="13"/>
      <c r="JC315" s="13"/>
      <c r="JD315" s="13"/>
      <c r="JE315" s="13"/>
      <c r="JF315" s="13"/>
      <c r="JG315" s="13"/>
      <c r="JH315" s="13"/>
      <c r="JI315" s="54"/>
      <c r="JJ315" s="158"/>
      <c r="JK315" s="158"/>
      <c r="JL315" s="158"/>
      <c r="JM315" s="158"/>
      <c r="JN315" s="158"/>
      <c r="JO315" s="158"/>
      <c r="JP315" s="158"/>
      <c r="JQ315" s="158"/>
      <c r="JR315" s="158"/>
      <c r="JS315" s="158"/>
      <c r="JT315" s="158"/>
      <c r="JU315" s="158"/>
      <c r="JV315" s="158"/>
      <c r="JW315" s="158"/>
      <c r="JX315" s="158"/>
      <c r="JY315" s="158"/>
      <c r="JZ315" s="158"/>
      <c r="KA315" s="158"/>
      <c r="KB315" s="158"/>
      <c r="KC315" s="158"/>
      <c r="KD315" s="158"/>
      <c r="KE315" s="158"/>
      <c r="KF315" s="158"/>
      <c r="KG315" s="158"/>
      <c r="KH315" s="158"/>
      <c r="KI315" s="158"/>
      <c r="KJ315" s="158"/>
      <c r="KK315" s="158"/>
      <c r="KL315" s="158"/>
      <c r="KM315" s="54"/>
      <c r="KN315" s="54"/>
      <c r="KO315" s="54"/>
      <c r="KP315" s="54"/>
      <c r="KQ315" s="54"/>
      <c r="KR315" s="54"/>
      <c r="KS315" s="54"/>
      <c r="KT315" s="54"/>
      <c r="KU315" s="54"/>
      <c r="KV315" s="54"/>
      <c r="KW315" s="54"/>
      <c r="KX315" s="54"/>
    </row>
    <row r="316" ht="5.2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c r="AB316" s="54"/>
      <c r="AC316" s="54"/>
      <c r="AD316" s="54"/>
      <c r="AE316" s="54"/>
      <c r="AF316" s="54"/>
      <c r="AG316" s="54"/>
      <c r="AH316" s="54"/>
      <c r="AI316" s="54"/>
      <c r="AJ316" s="54"/>
      <c r="AK316" s="54"/>
      <c r="AL316" s="54"/>
      <c r="AM316" s="54"/>
      <c r="AN316" s="54"/>
      <c r="AO316" s="54"/>
      <c r="AP316" s="54"/>
      <c r="AQ316" s="54"/>
      <c r="AR316" s="54"/>
      <c r="AS316" s="54"/>
      <c r="AT316" s="54"/>
      <c r="AU316" s="54"/>
      <c r="AV316" s="54"/>
      <c r="AW316" s="54"/>
      <c r="AX316" s="54"/>
      <c r="AY316" s="54"/>
      <c r="AZ316" s="54"/>
      <c r="BA316" s="54"/>
      <c r="BB316" s="54"/>
      <c r="BC316" s="54"/>
      <c r="BD316" s="54"/>
      <c r="BE316" s="54"/>
      <c r="BF316" s="54"/>
      <c r="BG316" s="54"/>
      <c r="BH316" s="54"/>
      <c r="BI316" s="54"/>
      <c r="BJ316" s="54"/>
      <c r="BK316" s="54"/>
      <c r="BL316" s="54"/>
      <c r="BM316" s="54"/>
      <c r="BN316" s="54"/>
      <c r="BO316" s="54"/>
      <c r="BP316" s="54"/>
      <c r="BQ316" s="54"/>
      <c r="BR316" s="54"/>
      <c r="BS316" s="54"/>
      <c r="BT316" s="54"/>
      <c r="BU316" s="54"/>
      <c r="BV316" s="54"/>
      <c r="BW316" s="54"/>
      <c r="BX316" s="54"/>
      <c r="BY316" s="54"/>
      <c r="BZ316" s="54"/>
      <c r="CA316" s="54"/>
      <c r="CB316" s="54"/>
      <c r="CC316" s="54"/>
      <c r="CD316" s="54"/>
      <c r="CE316" s="54"/>
      <c r="CF316" s="54"/>
      <c r="CG316" s="54"/>
      <c r="CH316" s="54"/>
      <c r="CI316" s="54"/>
      <c r="CJ316" s="54"/>
      <c r="CK316" s="54"/>
      <c r="CL316" s="54"/>
      <c r="CM316" s="54"/>
      <c r="CN316" s="54"/>
      <c r="CO316" s="54"/>
      <c r="CP316" s="54"/>
      <c r="CQ316" s="54"/>
      <c r="CR316" s="54"/>
      <c r="CS316" s="54"/>
      <c r="CT316" s="54"/>
      <c r="CU316" s="54"/>
      <c r="CV316" s="54"/>
      <c r="CW316" s="54"/>
      <c r="CX316" s="54"/>
      <c r="CY316" s="54"/>
      <c r="CZ316" s="54"/>
      <c r="DA316" s="54"/>
      <c r="DB316" s="54"/>
      <c r="DC316" s="54"/>
      <c r="DD316" s="54"/>
      <c r="DE316" s="54"/>
      <c r="DF316" s="54"/>
      <c r="DG316" s="54"/>
      <c r="DH316" s="54"/>
      <c r="DI316" s="54"/>
      <c r="DJ316" s="54"/>
      <c r="DK316" s="54"/>
      <c r="DL316" s="54"/>
      <c r="DM316" s="54"/>
      <c r="DN316" s="54"/>
      <c r="DO316" s="54"/>
      <c r="DP316" s="54"/>
      <c r="DQ316" s="54"/>
      <c r="DR316" s="54"/>
      <c r="DS316" s="54"/>
      <c r="DT316" s="54"/>
      <c r="DU316" s="54"/>
      <c r="DV316" s="54"/>
      <c r="DW316" s="54"/>
      <c r="DX316" s="54"/>
      <c r="DY316" s="54"/>
      <c r="DZ316" s="54"/>
      <c r="EA316" s="54"/>
      <c r="EB316" s="54"/>
      <c r="EC316" s="54"/>
      <c r="ED316" s="54"/>
      <c r="EE316" s="54"/>
      <c r="EF316" s="54"/>
      <c r="EG316" s="54"/>
      <c r="EH316" s="54"/>
      <c r="EI316" s="54"/>
      <c r="EJ316" s="54"/>
      <c r="EK316" s="54"/>
      <c r="EL316" s="54"/>
      <c r="EM316" s="54"/>
      <c r="EN316" s="54"/>
      <c r="EO316" s="54"/>
      <c r="EP316" s="54"/>
      <c r="EQ316" s="54"/>
      <c r="ER316" s="54"/>
      <c r="ES316" s="54"/>
      <c r="ET316" s="54"/>
      <c r="EU316" s="54"/>
      <c r="EV316" s="54"/>
      <c r="EW316" s="54"/>
      <c r="EX316" s="54"/>
      <c r="EY316" s="54"/>
      <c r="EZ316" s="54"/>
      <c r="FA316" s="54"/>
      <c r="FB316" s="54"/>
      <c r="FC316" s="54"/>
      <c r="FD316" s="54"/>
      <c r="FE316" s="54"/>
      <c r="FF316" s="54"/>
      <c r="FG316" s="54"/>
      <c r="FH316" s="54"/>
      <c r="FI316" s="54"/>
      <c r="FJ316" s="54"/>
      <c r="FK316" s="54"/>
      <c r="FL316" s="54"/>
      <c r="FM316" s="54"/>
      <c r="FN316" s="54"/>
      <c r="FO316" s="54"/>
      <c r="FP316" s="54"/>
      <c r="FQ316" s="54"/>
      <c r="FR316" s="54"/>
      <c r="FS316" s="54"/>
      <c r="FT316" s="54"/>
      <c r="FU316" s="54"/>
      <c r="FV316" s="54"/>
      <c r="FW316" s="54"/>
      <c r="FX316" s="54"/>
      <c r="FY316" s="54"/>
      <c r="FZ316" s="54"/>
      <c r="GA316" s="54"/>
      <c r="GB316" s="54"/>
      <c r="GC316" s="54"/>
      <c r="GD316" s="54"/>
      <c r="GE316" s="54"/>
      <c r="GF316" s="54"/>
      <c r="GG316" s="54"/>
      <c r="GH316" s="54"/>
      <c r="GI316" s="54"/>
      <c r="GJ316" s="54"/>
      <c r="GK316" s="54"/>
      <c r="GL316" s="54"/>
      <c r="GM316" s="54"/>
      <c r="GN316" s="54"/>
      <c r="GO316" s="54"/>
      <c r="GP316" s="54"/>
      <c r="GQ316" s="54"/>
      <c r="GR316" s="54"/>
      <c r="GS316" s="54"/>
      <c r="GT316" s="54"/>
      <c r="GU316" s="54"/>
      <c r="GV316" s="54"/>
      <c r="GW316" s="54"/>
      <c r="GX316" s="54"/>
      <c r="GY316" s="54"/>
      <c r="GZ316" s="54"/>
      <c r="HA316" s="54"/>
      <c r="HB316" s="54"/>
      <c r="HC316" s="54"/>
      <c r="HD316" s="54"/>
      <c r="HE316" s="54"/>
      <c r="HF316" s="54"/>
      <c r="HG316" s="54"/>
      <c r="HH316" s="54"/>
      <c r="HI316" s="54"/>
      <c r="HJ316" s="54"/>
      <c r="HK316" s="54"/>
      <c r="HL316" s="54"/>
      <c r="HM316" s="54"/>
      <c r="HN316" s="54"/>
      <c r="HO316" s="54"/>
      <c r="HP316" s="54"/>
      <c r="HQ316" s="54"/>
      <c r="HR316" s="54"/>
      <c r="HS316" s="54"/>
      <c r="HT316" s="54"/>
      <c r="HU316" s="54"/>
      <c r="HV316" s="54"/>
      <c r="HW316" s="54"/>
      <c r="HX316" s="54"/>
      <c r="HY316" s="54"/>
      <c r="HZ316" s="54"/>
      <c r="IA316" s="54"/>
      <c r="IB316" s="54"/>
      <c r="IC316" s="54"/>
      <c r="ID316" s="54"/>
      <c r="IE316" s="54"/>
      <c r="IF316" s="54"/>
      <c r="IG316" s="54"/>
      <c r="IH316" s="54"/>
      <c r="II316" s="176" t="s">
        <v>85</v>
      </c>
      <c r="IU316" s="54"/>
      <c r="IV316" s="155" t="s">
        <v>80</v>
      </c>
      <c r="JI316" s="54"/>
      <c r="JJ316" s="82" t="str">
        <f t="array" ref="JJ316">xlookup(JN316,'Team Entry'!$A:$A,'Team Entry'!$B:$B,"")</f>
        <v/>
      </c>
      <c r="JN316" s="156" t="str">
        <f>if(or('Contender Stage'!ED211="",'Contender Stage'!EH211="",'Contender Stage'!ED218="",'Contender Stage'!EH218="",'Contender Stage'!ED225="",'Contender Stage'!EH225=""),"TBD",'Contender Results'!Y74)</f>
        <v>TBD</v>
      </c>
      <c r="KM316" s="54"/>
      <c r="KN316" s="54"/>
      <c r="KO316" s="54"/>
      <c r="KP316" s="54"/>
      <c r="KQ316" s="54"/>
      <c r="KR316" s="54"/>
      <c r="KS316" s="54"/>
      <c r="KT316" s="54"/>
      <c r="KU316" s="54"/>
      <c r="KV316" s="54"/>
      <c r="KW316" s="54"/>
      <c r="KX316" s="54"/>
    </row>
    <row r="317" ht="5.2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c r="AB317" s="54"/>
      <c r="AC317" s="54"/>
      <c r="AD317" s="54"/>
      <c r="AE317" s="54"/>
      <c r="AF317" s="54"/>
      <c r="AG317" s="54"/>
      <c r="AH317" s="54"/>
      <c r="AI317" s="54"/>
      <c r="AJ317" s="54"/>
      <c r="AK317" s="54"/>
      <c r="AL317" s="54"/>
      <c r="AM317" s="54"/>
      <c r="AN317" s="54"/>
      <c r="AO317" s="54"/>
      <c r="AP317" s="54"/>
      <c r="AQ317" s="54"/>
      <c r="AR317" s="54"/>
      <c r="AS317" s="54"/>
      <c r="AT317" s="54"/>
      <c r="AU317" s="54"/>
      <c r="AV317" s="54"/>
      <c r="AW317" s="54"/>
      <c r="AX317" s="54"/>
      <c r="AY317" s="54"/>
      <c r="AZ317" s="54"/>
      <c r="BA317" s="54"/>
      <c r="BB317" s="54"/>
      <c r="BC317" s="54"/>
      <c r="BD317" s="54"/>
      <c r="BE317" s="54"/>
      <c r="BF317" s="54"/>
      <c r="BG317" s="54"/>
      <c r="BH317" s="54"/>
      <c r="BI317" s="54"/>
      <c r="BJ317" s="54"/>
      <c r="BK317" s="54"/>
      <c r="BL317" s="54"/>
      <c r="BM317" s="54"/>
      <c r="BN317" s="54"/>
      <c r="BO317" s="54"/>
      <c r="BP317" s="54"/>
      <c r="BQ317" s="54"/>
      <c r="BR317" s="54"/>
      <c r="BS317" s="54"/>
      <c r="BT317" s="54"/>
      <c r="BU317" s="54"/>
      <c r="BV317" s="54"/>
      <c r="BW317" s="54"/>
      <c r="BX317" s="54"/>
      <c r="BY317" s="54"/>
      <c r="BZ317" s="54"/>
      <c r="CA317" s="54"/>
      <c r="CB317" s="54"/>
      <c r="CC317" s="54"/>
      <c r="CD317" s="54"/>
      <c r="CE317" s="54"/>
      <c r="CF317" s="54"/>
      <c r="CG317" s="54"/>
      <c r="CH317" s="54"/>
      <c r="CI317" s="54"/>
      <c r="CJ317" s="54"/>
      <c r="CK317" s="54"/>
      <c r="CL317" s="54"/>
      <c r="CM317" s="54"/>
      <c r="CN317" s="54"/>
      <c r="CO317" s="54"/>
      <c r="CP317" s="54"/>
      <c r="CQ317" s="54"/>
      <c r="CR317" s="54"/>
      <c r="CS317" s="54"/>
      <c r="CT317" s="54"/>
      <c r="CU317" s="54"/>
      <c r="CV317" s="54"/>
      <c r="CW317" s="54"/>
      <c r="CX317" s="54"/>
      <c r="CY317" s="54"/>
      <c r="CZ317" s="54"/>
      <c r="DA317" s="54"/>
      <c r="DB317" s="54"/>
      <c r="DC317" s="54"/>
      <c r="DD317" s="54"/>
      <c r="DE317" s="54"/>
      <c r="DF317" s="54"/>
      <c r="DG317" s="54"/>
      <c r="DH317" s="54"/>
      <c r="DI317" s="54"/>
      <c r="DJ317" s="54"/>
      <c r="DK317" s="54"/>
      <c r="DL317" s="54"/>
      <c r="DM317" s="54"/>
      <c r="DN317" s="54"/>
      <c r="DO317" s="54"/>
      <c r="DP317" s="54"/>
      <c r="DQ317" s="54"/>
      <c r="DR317" s="54"/>
      <c r="DS317" s="54"/>
      <c r="DT317" s="54"/>
      <c r="DU317" s="54"/>
      <c r="DV317" s="54"/>
      <c r="DW317" s="54"/>
      <c r="DX317" s="54"/>
      <c r="DY317" s="54"/>
      <c r="DZ317" s="54"/>
      <c r="EA317" s="54"/>
      <c r="EB317" s="54"/>
      <c r="EC317" s="54"/>
      <c r="ED317" s="54"/>
      <c r="EE317" s="54"/>
      <c r="EF317" s="54"/>
      <c r="EG317" s="54"/>
      <c r="EH317" s="54"/>
      <c r="EI317" s="54"/>
      <c r="EJ317" s="54"/>
      <c r="EK317" s="54"/>
      <c r="EL317" s="54"/>
      <c r="EM317" s="54"/>
      <c r="EN317" s="54"/>
      <c r="EO317" s="54"/>
      <c r="EP317" s="54"/>
      <c r="EQ317" s="54"/>
      <c r="ER317" s="54"/>
      <c r="ES317" s="54"/>
      <c r="ET317" s="54"/>
      <c r="EU317" s="54"/>
      <c r="EV317" s="54"/>
      <c r="EW317" s="54"/>
      <c r="EX317" s="54"/>
      <c r="EY317" s="54"/>
      <c r="EZ317" s="54"/>
      <c r="FA317" s="54"/>
      <c r="FB317" s="54"/>
      <c r="FC317" s="54"/>
      <c r="FD317" s="54"/>
      <c r="FE317" s="54"/>
      <c r="FF317" s="54"/>
      <c r="FG317" s="54"/>
      <c r="FH317" s="54"/>
      <c r="FI317" s="54"/>
      <c r="FJ317" s="54"/>
      <c r="FK317" s="54"/>
      <c r="FL317" s="54"/>
      <c r="FM317" s="54"/>
      <c r="FN317" s="54"/>
      <c r="FO317" s="54"/>
      <c r="FP317" s="54"/>
      <c r="FQ317" s="54"/>
      <c r="FR317" s="54"/>
      <c r="FS317" s="54"/>
      <c r="FT317" s="54"/>
      <c r="FU317" s="54"/>
      <c r="FV317" s="54"/>
      <c r="FW317" s="54"/>
      <c r="FX317" s="54"/>
      <c r="FY317" s="54"/>
      <c r="FZ317" s="54"/>
      <c r="GA317" s="54"/>
      <c r="GB317" s="54"/>
      <c r="GC317" s="54"/>
      <c r="GD317" s="54"/>
      <c r="GE317" s="54"/>
      <c r="GF317" s="54"/>
      <c r="GG317" s="54"/>
      <c r="GH317" s="54"/>
      <c r="GI317" s="54"/>
      <c r="GJ317" s="54"/>
      <c r="GK317" s="54"/>
      <c r="GL317" s="54"/>
      <c r="GM317" s="54"/>
      <c r="GN317" s="54"/>
      <c r="GO317" s="54"/>
      <c r="GP317" s="54"/>
      <c r="GQ317" s="54"/>
      <c r="GR317" s="54"/>
      <c r="GS317" s="54"/>
      <c r="GT317" s="54"/>
      <c r="GU317" s="54"/>
      <c r="GV317" s="54"/>
      <c r="GW317" s="54"/>
      <c r="GX317" s="54"/>
      <c r="GY317" s="54"/>
      <c r="GZ317" s="54"/>
      <c r="HA317" s="54"/>
      <c r="HB317" s="54"/>
      <c r="HC317" s="54"/>
      <c r="HD317" s="54"/>
      <c r="HE317" s="54"/>
      <c r="HF317" s="54"/>
      <c r="HG317" s="54"/>
      <c r="HH317" s="54"/>
      <c r="HI317" s="54"/>
      <c r="HJ317" s="54"/>
      <c r="HK317" s="54"/>
      <c r="HL317" s="54"/>
      <c r="HM317" s="54"/>
      <c r="HN317" s="54"/>
      <c r="HO317" s="54"/>
      <c r="HP317" s="54"/>
      <c r="HQ317" s="54"/>
      <c r="HR317" s="54"/>
      <c r="HS317" s="54"/>
      <c r="HT317" s="54"/>
      <c r="HU317" s="54"/>
      <c r="HV317" s="54"/>
      <c r="HW317" s="54"/>
      <c r="HX317" s="54"/>
      <c r="HY317" s="54"/>
      <c r="HZ317" s="54"/>
      <c r="IA317" s="54"/>
      <c r="IB317" s="54"/>
      <c r="IC317" s="54"/>
      <c r="ID317" s="54"/>
      <c r="IE317" s="54"/>
      <c r="IF317" s="54"/>
      <c r="IG317" s="54"/>
      <c r="IH317" s="54"/>
      <c r="IU317" s="54"/>
      <c r="JI317" s="54"/>
      <c r="KM317" s="54"/>
      <c r="KN317" s="54"/>
      <c r="KO317" s="54"/>
      <c r="KP317" s="54"/>
      <c r="KQ317" s="54"/>
      <c r="KR317" s="54"/>
      <c r="KS317" s="54"/>
      <c r="KT317" s="54"/>
      <c r="KU317" s="54"/>
      <c r="KV317" s="54"/>
      <c r="KW317" s="54"/>
      <c r="KX317" s="54"/>
    </row>
    <row r="318" ht="5.2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c r="AB318" s="54"/>
      <c r="AC318" s="54"/>
      <c r="AD318" s="54"/>
      <c r="AE318" s="54"/>
      <c r="AF318" s="54"/>
      <c r="AG318" s="54"/>
      <c r="AH318" s="54"/>
      <c r="AI318" s="54"/>
      <c r="AJ318" s="54"/>
      <c r="AK318" s="54"/>
      <c r="AL318" s="54"/>
      <c r="AM318" s="54"/>
      <c r="AN318" s="54"/>
      <c r="AO318" s="54"/>
      <c r="AP318" s="54"/>
      <c r="AQ318" s="54"/>
      <c r="AR318" s="54"/>
      <c r="AS318" s="54"/>
      <c r="AT318" s="54"/>
      <c r="AU318" s="54"/>
      <c r="AV318" s="54"/>
      <c r="AW318" s="54"/>
      <c r="AX318" s="54"/>
      <c r="AY318" s="54"/>
      <c r="AZ318" s="54"/>
      <c r="BA318" s="54"/>
      <c r="BB318" s="54"/>
      <c r="BC318" s="54"/>
      <c r="BD318" s="54"/>
      <c r="BE318" s="54"/>
      <c r="BF318" s="54"/>
      <c r="BG318" s="54"/>
      <c r="BH318" s="54"/>
      <c r="BI318" s="54"/>
      <c r="BJ318" s="54"/>
      <c r="BK318" s="54"/>
      <c r="BL318" s="54"/>
      <c r="BM318" s="54"/>
      <c r="BN318" s="54"/>
      <c r="BO318" s="54"/>
      <c r="BP318" s="54"/>
      <c r="BQ318" s="54"/>
      <c r="BR318" s="54"/>
      <c r="BS318" s="54"/>
      <c r="BT318" s="54"/>
      <c r="BU318" s="54"/>
      <c r="BV318" s="54"/>
      <c r="BW318" s="54"/>
      <c r="BX318" s="54"/>
      <c r="BY318" s="54"/>
      <c r="BZ318" s="54"/>
      <c r="CA318" s="54"/>
      <c r="CB318" s="54"/>
      <c r="CC318" s="54"/>
      <c r="CD318" s="54"/>
      <c r="CE318" s="54"/>
      <c r="CF318" s="54"/>
      <c r="CG318" s="54"/>
      <c r="CH318" s="54"/>
      <c r="CI318" s="54"/>
      <c r="CJ318" s="54"/>
      <c r="CK318" s="54"/>
      <c r="CL318" s="54"/>
      <c r="CM318" s="54"/>
      <c r="CN318" s="54"/>
      <c r="CO318" s="54"/>
      <c r="CP318" s="54"/>
      <c r="CQ318" s="54"/>
      <c r="CR318" s="54"/>
      <c r="CS318" s="54"/>
      <c r="CT318" s="54"/>
      <c r="CU318" s="54"/>
      <c r="CV318" s="54"/>
      <c r="CW318" s="54"/>
      <c r="CX318" s="54"/>
      <c r="CY318" s="54"/>
      <c r="CZ318" s="54"/>
      <c r="DA318" s="54"/>
      <c r="DB318" s="54"/>
      <c r="DC318" s="54"/>
      <c r="DD318" s="54"/>
      <c r="DE318" s="54"/>
      <c r="DF318" s="54"/>
      <c r="DG318" s="54"/>
      <c r="DH318" s="54"/>
      <c r="DI318" s="54"/>
      <c r="DJ318" s="54"/>
      <c r="DK318" s="54"/>
      <c r="DL318" s="54"/>
      <c r="DM318" s="54"/>
      <c r="DN318" s="54"/>
      <c r="DO318" s="54"/>
      <c r="DP318" s="54"/>
      <c r="DQ318" s="54"/>
      <c r="DR318" s="54"/>
      <c r="DS318" s="54"/>
      <c r="DT318" s="54"/>
      <c r="DU318" s="54"/>
      <c r="DV318" s="54"/>
      <c r="DW318" s="54"/>
      <c r="DX318" s="54"/>
      <c r="DY318" s="54"/>
      <c r="DZ318" s="54"/>
      <c r="EA318" s="54"/>
      <c r="EB318" s="54"/>
      <c r="EC318" s="54"/>
      <c r="ED318" s="54"/>
      <c r="EE318" s="54"/>
      <c r="EF318" s="54"/>
      <c r="EG318" s="54"/>
      <c r="EH318" s="54"/>
      <c r="EI318" s="54"/>
      <c r="EJ318" s="54"/>
      <c r="EK318" s="54"/>
      <c r="EL318" s="54"/>
      <c r="EM318" s="54"/>
      <c r="EN318" s="54"/>
      <c r="EO318" s="54"/>
      <c r="EP318" s="54"/>
      <c r="EQ318" s="54"/>
      <c r="ER318" s="54"/>
      <c r="ES318" s="54"/>
      <c r="ET318" s="54"/>
      <c r="EU318" s="54"/>
      <c r="EV318" s="54"/>
      <c r="EW318" s="54"/>
      <c r="EX318" s="54"/>
      <c r="EY318" s="54"/>
      <c r="EZ318" s="54"/>
      <c r="FA318" s="54"/>
      <c r="FB318" s="54"/>
      <c r="FC318" s="54"/>
      <c r="FD318" s="54"/>
      <c r="FE318" s="54"/>
      <c r="FF318" s="54"/>
      <c r="FG318" s="54"/>
      <c r="FH318" s="54"/>
      <c r="FI318" s="54"/>
      <c r="FJ318" s="54"/>
      <c r="FK318" s="54"/>
      <c r="FL318" s="54"/>
      <c r="FM318" s="54"/>
      <c r="FN318" s="54"/>
      <c r="FO318" s="54"/>
      <c r="FP318" s="54"/>
      <c r="FQ318" s="54"/>
      <c r="FR318" s="54"/>
      <c r="FS318" s="54"/>
      <c r="FT318" s="54"/>
      <c r="FU318" s="54"/>
      <c r="FV318" s="54"/>
      <c r="FW318" s="54"/>
      <c r="FX318" s="54"/>
      <c r="FY318" s="54"/>
      <c r="FZ318" s="54"/>
      <c r="GA318" s="54"/>
      <c r="GB318" s="54"/>
      <c r="GC318" s="54"/>
      <c r="GD318" s="54"/>
      <c r="GE318" s="54"/>
      <c r="GF318" s="54"/>
      <c r="GG318" s="54"/>
      <c r="GH318" s="54"/>
      <c r="GI318" s="54"/>
      <c r="GJ318" s="54"/>
      <c r="GK318" s="54"/>
      <c r="GL318" s="54"/>
      <c r="GM318" s="54"/>
      <c r="GN318" s="54"/>
      <c r="GO318" s="54"/>
      <c r="GP318" s="54"/>
      <c r="GQ318" s="54"/>
      <c r="GR318" s="54"/>
      <c r="GS318" s="54"/>
      <c r="GT318" s="54"/>
      <c r="GU318" s="54"/>
      <c r="GV318" s="54"/>
      <c r="GW318" s="54"/>
      <c r="GX318" s="54"/>
      <c r="GY318" s="54"/>
      <c r="GZ318" s="54"/>
      <c r="HA318" s="54"/>
      <c r="HB318" s="54"/>
      <c r="HC318" s="54"/>
      <c r="HD318" s="54"/>
      <c r="HE318" s="54"/>
      <c r="HF318" s="54"/>
      <c r="HG318" s="54"/>
      <c r="HH318" s="54"/>
      <c r="HI318" s="54"/>
      <c r="HJ318" s="54"/>
      <c r="HK318" s="54"/>
      <c r="HL318" s="54"/>
      <c r="HM318" s="54"/>
      <c r="HN318" s="54"/>
      <c r="HO318" s="54"/>
      <c r="HP318" s="54"/>
      <c r="HQ318" s="54"/>
      <c r="HR318" s="54"/>
      <c r="HS318" s="54"/>
      <c r="HT318" s="54"/>
      <c r="HU318" s="54"/>
      <c r="HV318" s="54"/>
      <c r="HW318" s="54"/>
      <c r="HX318" s="54"/>
      <c r="HY318" s="54"/>
      <c r="HZ318" s="54"/>
      <c r="IA318" s="54"/>
      <c r="IB318" s="54"/>
      <c r="IC318" s="54"/>
      <c r="ID318" s="54"/>
      <c r="IE318" s="54"/>
      <c r="IF318" s="54"/>
      <c r="IG318" s="54"/>
      <c r="IH318" s="54"/>
      <c r="IU318" s="54"/>
      <c r="JI318" s="54"/>
      <c r="KM318" s="54"/>
      <c r="KN318" s="54"/>
      <c r="KO318" s="54"/>
      <c r="KP318" s="54"/>
      <c r="KQ318" s="54"/>
      <c r="KR318" s="54"/>
      <c r="KS318" s="54"/>
      <c r="KT318" s="54"/>
      <c r="KU318" s="54"/>
      <c r="KV318" s="54"/>
      <c r="KW318" s="54"/>
      <c r="KX318" s="54"/>
    </row>
    <row r="319" ht="5.2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c r="AB319" s="54"/>
      <c r="AC319" s="54"/>
      <c r="AD319" s="54"/>
      <c r="AE319" s="54"/>
      <c r="AF319" s="54"/>
      <c r="AG319" s="54"/>
      <c r="AH319" s="54"/>
      <c r="AI319" s="54"/>
      <c r="AJ319" s="54"/>
      <c r="AK319" s="54"/>
      <c r="AL319" s="54"/>
      <c r="AM319" s="54"/>
      <c r="AN319" s="54"/>
      <c r="AO319" s="54"/>
      <c r="AP319" s="54"/>
      <c r="AQ319" s="54"/>
      <c r="AR319" s="54"/>
      <c r="AS319" s="54"/>
      <c r="AT319" s="54"/>
      <c r="AU319" s="54"/>
      <c r="AV319" s="54"/>
      <c r="AW319" s="54"/>
      <c r="AX319" s="54"/>
      <c r="AY319" s="54"/>
      <c r="AZ319" s="54"/>
      <c r="BA319" s="54"/>
      <c r="BB319" s="54"/>
      <c r="BC319" s="54"/>
      <c r="BD319" s="54"/>
      <c r="BE319" s="54"/>
      <c r="BF319" s="54"/>
      <c r="BG319" s="54"/>
      <c r="BH319" s="54"/>
      <c r="BI319" s="54"/>
      <c r="BJ319" s="54"/>
      <c r="BK319" s="54"/>
      <c r="BL319" s="54"/>
      <c r="BM319" s="54"/>
      <c r="BN319" s="54"/>
      <c r="BO319" s="54"/>
      <c r="BP319" s="54"/>
      <c r="BQ319" s="54"/>
      <c r="BR319" s="54"/>
      <c r="BS319" s="54"/>
      <c r="BT319" s="54"/>
      <c r="BU319" s="54"/>
      <c r="BV319" s="54"/>
      <c r="BW319" s="54"/>
      <c r="BX319" s="54"/>
      <c r="BY319" s="54"/>
      <c r="BZ319" s="54"/>
      <c r="CA319" s="54"/>
      <c r="CB319" s="54"/>
      <c r="CC319" s="54"/>
      <c r="CD319" s="54"/>
      <c r="CE319" s="54"/>
      <c r="CF319" s="54"/>
      <c r="CG319" s="54"/>
      <c r="CH319" s="54"/>
      <c r="CI319" s="54"/>
      <c r="CJ319" s="54"/>
      <c r="CK319" s="54"/>
      <c r="CL319" s="54"/>
      <c r="CM319" s="54"/>
      <c r="CN319" s="54"/>
      <c r="CO319" s="54"/>
      <c r="CP319" s="54"/>
      <c r="CQ319" s="54"/>
      <c r="CR319" s="54"/>
      <c r="CS319" s="54"/>
      <c r="CT319" s="54"/>
      <c r="CU319" s="54"/>
      <c r="CV319" s="54"/>
      <c r="CW319" s="54"/>
      <c r="CX319" s="54"/>
      <c r="CY319" s="54"/>
      <c r="CZ319" s="54"/>
      <c r="DA319" s="54"/>
      <c r="DB319" s="54"/>
      <c r="DC319" s="54"/>
      <c r="DD319" s="54"/>
      <c r="DE319" s="54"/>
      <c r="DF319" s="54"/>
      <c r="DG319" s="54"/>
      <c r="DH319" s="54"/>
      <c r="DI319" s="54"/>
      <c r="DJ319" s="54"/>
      <c r="DK319" s="54"/>
      <c r="DL319" s="54"/>
      <c r="DM319" s="54"/>
      <c r="DN319" s="54"/>
      <c r="DO319" s="54"/>
      <c r="DP319" s="54"/>
      <c r="DQ319" s="54"/>
      <c r="DR319" s="54"/>
      <c r="DS319" s="54"/>
      <c r="DT319" s="54"/>
      <c r="DU319" s="54"/>
      <c r="DV319" s="54"/>
      <c r="DW319" s="54"/>
      <c r="DX319" s="54"/>
      <c r="DY319" s="54"/>
      <c r="DZ319" s="54"/>
      <c r="EA319" s="54"/>
      <c r="EB319" s="54"/>
      <c r="EC319" s="54"/>
      <c r="ED319" s="54"/>
      <c r="EE319" s="54"/>
      <c r="EF319" s="54"/>
      <c r="EG319" s="54"/>
      <c r="EH319" s="54"/>
      <c r="EI319" s="54"/>
      <c r="EJ319" s="54"/>
      <c r="EK319" s="54"/>
      <c r="EL319" s="54"/>
      <c r="EM319" s="54"/>
      <c r="EN319" s="54"/>
      <c r="EO319" s="54"/>
      <c r="EP319" s="54"/>
      <c r="EQ319" s="54"/>
      <c r="ER319" s="54"/>
      <c r="ES319" s="54"/>
      <c r="ET319" s="54"/>
      <c r="EU319" s="54"/>
      <c r="EV319" s="54"/>
      <c r="EW319" s="54"/>
      <c r="EX319" s="54"/>
      <c r="EY319" s="54"/>
      <c r="EZ319" s="54"/>
      <c r="FA319" s="54"/>
      <c r="FB319" s="54"/>
      <c r="FC319" s="54"/>
      <c r="FD319" s="54"/>
      <c r="FE319" s="54"/>
      <c r="FF319" s="54"/>
      <c r="FG319" s="54"/>
      <c r="FH319" s="54"/>
      <c r="FI319" s="54"/>
      <c r="FJ319" s="54"/>
      <c r="FK319" s="54"/>
      <c r="FL319" s="54"/>
      <c r="FM319" s="54"/>
      <c r="FN319" s="54"/>
      <c r="FO319" s="54"/>
      <c r="FP319" s="54"/>
      <c r="FQ319" s="54"/>
      <c r="FR319" s="54"/>
      <c r="FS319" s="54"/>
      <c r="FT319" s="54"/>
      <c r="FU319" s="54"/>
      <c r="FV319" s="54"/>
      <c r="FW319" s="54"/>
      <c r="FX319" s="54"/>
      <c r="FY319" s="54"/>
      <c r="FZ319" s="54"/>
      <c r="GA319" s="54"/>
      <c r="GB319" s="54"/>
      <c r="GC319" s="54"/>
      <c r="GD319" s="54"/>
      <c r="GE319" s="54"/>
      <c r="GF319" s="54"/>
      <c r="GG319" s="54"/>
      <c r="GH319" s="54"/>
      <c r="GI319" s="54"/>
      <c r="GJ319" s="54"/>
      <c r="GK319" s="54"/>
      <c r="GL319" s="54"/>
      <c r="GM319" s="54"/>
      <c r="GN319" s="54"/>
      <c r="GO319" s="54"/>
      <c r="GP319" s="54"/>
      <c r="GQ319" s="54"/>
      <c r="GR319" s="54"/>
      <c r="GS319" s="54"/>
      <c r="GT319" s="54"/>
      <c r="GU319" s="54"/>
      <c r="GV319" s="54"/>
      <c r="GW319" s="54"/>
      <c r="GX319" s="54"/>
      <c r="GY319" s="54"/>
      <c r="GZ319" s="54"/>
      <c r="HA319" s="54"/>
      <c r="HB319" s="54"/>
      <c r="HC319" s="54"/>
      <c r="HD319" s="54"/>
      <c r="HE319" s="54"/>
      <c r="HF319" s="54"/>
      <c r="HG319" s="54"/>
      <c r="HH319" s="54"/>
      <c r="HI319" s="54"/>
      <c r="HJ319" s="54"/>
      <c r="HK319" s="54"/>
      <c r="HL319" s="54"/>
      <c r="HM319" s="54"/>
      <c r="HN319" s="54"/>
      <c r="HO319" s="54"/>
      <c r="HP319" s="54"/>
      <c r="HQ319" s="54"/>
      <c r="HR319" s="54"/>
      <c r="HS319" s="54"/>
      <c r="HT319" s="54"/>
      <c r="HU319" s="54"/>
      <c r="HV319" s="54"/>
      <c r="HW319" s="54"/>
      <c r="HX319" s="54"/>
      <c r="HY319" s="54"/>
      <c r="HZ319" s="54"/>
      <c r="IA319" s="54"/>
      <c r="IB319" s="54"/>
      <c r="IC319" s="54"/>
      <c r="ID319" s="54"/>
      <c r="IE319" s="54"/>
      <c r="IF319" s="54"/>
      <c r="IG319" s="54"/>
      <c r="IH319" s="54"/>
      <c r="IU319" s="54"/>
      <c r="JI319" s="54"/>
      <c r="JJ319" s="158"/>
      <c r="JK319" s="158"/>
      <c r="JL319" s="158"/>
      <c r="JM319" s="158"/>
      <c r="JN319" s="158"/>
      <c r="JO319" s="158"/>
      <c r="JP319" s="158"/>
      <c r="JQ319" s="158"/>
      <c r="JR319" s="158"/>
      <c r="JS319" s="158"/>
      <c r="JT319" s="158"/>
      <c r="JU319" s="158"/>
      <c r="JV319" s="158"/>
      <c r="JW319" s="158"/>
      <c r="JX319" s="158"/>
      <c r="JY319" s="158"/>
      <c r="JZ319" s="158"/>
      <c r="KA319" s="158"/>
      <c r="KB319" s="158"/>
      <c r="KC319" s="158"/>
      <c r="KD319" s="158"/>
      <c r="KE319" s="158"/>
      <c r="KF319" s="158"/>
      <c r="KG319" s="158"/>
      <c r="KH319" s="158"/>
      <c r="KI319" s="158"/>
      <c r="KJ319" s="158"/>
      <c r="KK319" s="158"/>
      <c r="KL319" s="158"/>
      <c r="KM319" s="54"/>
      <c r="KN319" s="54"/>
      <c r="KO319" s="54"/>
      <c r="KP319" s="54"/>
      <c r="KQ319" s="54"/>
      <c r="KR319" s="54"/>
      <c r="KS319" s="54"/>
      <c r="KT319" s="54"/>
      <c r="KU319" s="54"/>
      <c r="KV319" s="54"/>
      <c r="KW319" s="54"/>
      <c r="KX319" s="54"/>
    </row>
    <row r="320" ht="5.2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c r="AC320" s="54"/>
      <c r="AD320" s="54"/>
      <c r="AE320" s="54"/>
      <c r="AF320" s="54"/>
      <c r="AG320" s="54"/>
      <c r="AH320" s="54"/>
      <c r="AI320" s="54"/>
      <c r="AJ320" s="54"/>
      <c r="AK320" s="54"/>
      <c r="AL320" s="54"/>
      <c r="AM320" s="54"/>
      <c r="AN320" s="54"/>
      <c r="AO320" s="54"/>
      <c r="AP320" s="54"/>
      <c r="AQ320" s="54"/>
      <c r="AR320" s="54"/>
      <c r="AS320" s="54"/>
      <c r="AT320" s="54"/>
      <c r="AU320" s="54"/>
      <c r="AV320" s="54"/>
      <c r="AW320" s="54"/>
      <c r="AX320" s="54"/>
      <c r="AY320" s="54"/>
      <c r="AZ320" s="54"/>
      <c r="BA320" s="54"/>
      <c r="BB320" s="54"/>
      <c r="BC320" s="54"/>
      <c r="BD320" s="54"/>
      <c r="BE320" s="54"/>
      <c r="BF320" s="54"/>
      <c r="BG320" s="54"/>
      <c r="BH320" s="54"/>
      <c r="BI320" s="54"/>
      <c r="BJ320" s="54"/>
      <c r="BK320" s="54"/>
      <c r="BL320" s="54"/>
      <c r="BM320" s="54"/>
      <c r="BN320" s="54"/>
      <c r="BO320" s="54"/>
      <c r="BP320" s="54"/>
      <c r="BQ320" s="54"/>
      <c r="BR320" s="54"/>
      <c r="BS320" s="54"/>
      <c r="BT320" s="54"/>
      <c r="BU320" s="54"/>
      <c r="BV320" s="54"/>
      <c r="BW320" s="54"/>
      <c r="BX320" s="54"/>
      <c r="BY320" s="54"/>
      <c r="BZ320" s="54"/>
      <c r="CA320" s="54"/>
      <c r="CB320" s="54"/>
      <c r="CC320" s="54"/>
      <c r="CD320" s="54"/>
      <c r="CE320" s="54"/>
      <c r="CF320" s="54"/>
      <c r="CG320" s="54"/>
      <c r="CH320" s="54"/>
      <c r="CI320" s="54"/>
      <c r="CJ320" s="54"/>
      <c r="CK320" s="54"/>
      <c r="CL320" s="54"/>
      <c r="CM320" s="54"/>
      <c r="CN320" s="54"/>
      <c r="CO320" s="54"/>
      <c r="CP320" s="54"/>
      <c r="CQ320" s="54"/>
      <c r="CR320" s="54"/>
      <c r="CS320" s="54"/>
      <c r="CT320" s="54"/>
      <c r="CU320" s="54"/>
      <c r="CV320" s="54"/>
      <c r="CW320" s="54"/>
      <c r="CX320" s="54"/>
      <c r="CY320" s="54"/>
      <c r="CZ320" s="54"/>
      <c r="DA320" s="54"/>
      <c r="DB320" s="54"/>
      <c r="DC320" s="54"/>
      <c r="DD320" s="54"/>
      <c r="DE320" s="54"/>
      <c r="DF320" s="54"/>
      <c r="DG320" s="54"/>
      <c r="DH320" s="54"/>
      <c r="DI320" s="54"/>
      <c r="DJ320" s="54"/>
      <c r="DK320" s="54"/>
      <c r="DL320" s="54"/>
      <c r="DM320" s="54"/>
      <c r="DN320" s="54"/>
      <c r="DO320" s="54"/>
      <c r="DP320" s="54"/>
      <c r="DQ320" s="54"/>
      <c r="DR320" s="54"/>
      <c r="DS320" s="54"/>
      <c r="DT320" s="54"/>
      <c r="DU320" s="54"/>
      <c r="DV320" s="54"/>
      <c r="DW320" s="54"/>
      <c r="DX320" s="54"/>
      <c r="DY320" s="54"/>
      <c r="DZ320" s="54"/>
      <c r="EA320" s="54"/>
      <c r="EB320" s="54"/>
      <c r="EC320" s="54"/>
      <c r="ED320" s="54"/>
      <c r="EE320" s="54"/>
      <c r="EF320" s="54"/>
      <c r="EG320" s="54"/>
      <c r="EH320" s="54"/>
      <c r="EI320" s="54"/>
      <c r="EJ320" s="54"/>
      <c r="EK320" s="54"/>
      <c r="EL320" s="54"/>
      <c r="EM320" s="54"/>
      <c r="EN320" s="54"/>
      <c r="EO320" s="54"/>
      <c r="EP320" s="54"/>
      <c r="EQ320" s="54"/>
      <c r="ER320" s="54"/>
      <c r="ES320" s="54"/>
      <c r="ET320" s="54"/>
      <c r="EU320" s="54"/>
      <c r="EV320" s="54"/>
      <c r="EW320" s="54"/>
      <c r="EX320" s="54"/>
      <c r="EY320" s="54"/>
      <c r="EZ320" s="54"/>
      <c r="FA320" s="54"/>
      <c r="FB320" s="54"/>
      <c r="FC320" s="54"/>
      <c r="FD320" s="54"/>
      <c r="FE320" s="54"/>
      <c r="FF320" s="54"/>
      <c r="FG320" s="54"/>
      <c r="FH320" s="54"/>
      <c r="FI320" s="54"/>
      <c r="FJ320" s="54"/>
      <c r="FK320" s="54"/>
      <c r="FL320" s="54"/>
      <c r="FM320" s="54"/>
      <c r="FN320" s="54"/>
      <c r="FO320" s="54"/>
      <c r="FP320" s="54"/>
      <c r="FQ320" s="54"/>
      <c r="FR320" s="54"/>
      <c r="FS320" s="54"/>
      <c r="FT320" s="54"/>
      <c r="FU320" s="54"/>
      <c r="FV320" s="54"/>
      <c r="FW320" s="54"/>
      <c r="FX320" s="54"/>
      <c r="FY320" s="54"/>
      <c r="FZ320" s="54"/>
      <c r="GA320" s="54"/>
      <c r="GB320" s="54"/>
      <c r="GC320" s="54"/>
      <c r="GD320" s="54"/>
      <c r="GE320" s="54"/>
      <c r="GF320" s="54"/>
      <c r="GG320" s="54"/>
      <c r="GH320" s="54"/>
      <c r="GI320" s="54"/>
      <c r="GJ320" s="54"/>
      <c r="GK320" s="54"/>
      <c r="GL320" s="54"/>
      <c r="GM320" s="54"/>
      <c r="GN320" s="54"/>
      <c r="GO320" s="54"/>
      <c r="GP320" s="54"/>
      <c r="GQ320" s="54"/>
      <c r="GR320" s="54"/>
      <c r="GS320" s="54"/>
      <c r="GT320" s="54"/>
      <c r="GU320" s="54"/>
      <c r="GV320" s="54"/>
      <c r="GW320" s="54"/>
      <c r="GX320" s="54"/>
      <c r="GY320" s="54"/>
      <c r="GZ320" s="54"/>
      <c r="HA320" s="54"/>
      <c r="HB320" s="54"/>
      <c r="HC320" s="54"/>
      <c r="HD320" s="54"/>
      <c r="HE320" s="54"/>
      <c r="HF320" s="54"/>
      <c r="HG320" s="54"/>
      <c r="HH320" s="54"/>
      <c r="HI320" s="54"/>
      <c r="HJ320" s="54"/>
      <c r="HK320" s="54"/>
      <c r="HL320" s="54"/>
      <c r="HM320" s="54"/>
      <c r="HN320" s="54"/>
      <c r="HO320" s="54"/>
      <c r="HP320" s="54"/>
      <c r="HQ320" s="54"/>
      <c r="HR320" s="54"/>
      <c r="HS320" s="54"/>
      <c r="HT320" s="54"/>
      <c r="HU320" s="54"/>
      <c r="HV320" s="54"/>
      <c r="HW320" s="54"/>
      <c r="HX320" s="54"/>
      <c r="HY320" s="54"/>
      <c r="HZ320" s="54"/>
      <c r="IA320" s="54"/>
      <c r="IB320" s="54"/>
      <c r="IC320" s="54"/>
      <c r="ID320" s="54"/>
      <c r="IE320" s="54"/>
      <c r="IF320" s="54"/>
      <c r="IG320" s="54"/>
      <c r="IH320" s="54"/>
      <c r="IU320" s="54"/>
      <c r="JI320" s="54"/>
      <c r="JJ320" s="82" t="str">
        <f t="array" ref="JJ320">xlookup(JN320,'Team Entry'!$A:$A,'Team Entry'!$B:$B,"")</f>
        <v/>
      </c>
      <c r="JN320" s="156" t="str">
        <f>if(or('Contender Stage'!ED211="",'Contender Stage'!EH211="",'Contender Stage'!ED218="",'Contender Stage'!EH218="",'Contender Stage'!ED225="",'Contender Stage'!EH225=""),"TBD",'Contender Results'!Y82)</f>
        <v>TBD</v>
      </c>
      <c r="KM320" s="54"/>
      <c r="KN320" s="54"/>
      <c r="KO320" s="54"/>
      <c r="KP320" s="54"/>
      <c r="KQ320" s="54"/>
      <c r="KR320" s="54"/>
      <c r="KS320" s="54"/>
      <c r="KT320" s="54"/>
      <c r="KU320" s="54"/>
      <c r="KV320" s="54"/>
      <c r="KW320" s="54"/>
      <c r="KX320" s="54"/>
    </row>
    <row r="321" ht="5.2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c r="AB321" s="54"/>
      <c r="AC321" s="54"/>
      <c r="AD321" s="54"/>
      <c r="AE321" s="54"/>
      <c r="AF321" s="54"/>
      <c r="AG321" s="54"/>
      <c r="AH321" s="54"/>
      <c r="AI321" s="54"/>
      <c r="AJ321" s="54"/>
      <c r="AK321" s="54"/>
      <c r="AL321" s="54"/>
      <c r="AM321" s="54"/>
      <c r="AN321" s="54"/>
      <c r="AO321" s="54"/>
      <c r="AP321" s="54"/>
      <c r="AQ321" s="54"/>
      <c r="AR321" s="54"/>
      <c r="AS321" s="54"/>
      <c r="AT321" s="54"/>
      <c r="AU321" s="54"/>
      <c r="AV321" s="54"/>
      <c r="AW321" s="54"/>
      <c r="AX321" s="54"/>
      <c r="AY321" s="54"/>
      <c r="AZ321" s="54"/>
      <c r="BA321" s="54"/>
      <c r="BB321" s="54"/>
      <c r="BC321" s="54"/>
      <c r="BD321" s="54"/>
      <c r="BE321" s="54"/>
      <c r="BF321" s="54"/>
      <c r="BG321" s="54"/>
      <c r="BH321" s="54"/>
      <c r="BI321" s="54"/>
      <c r="BJ321" s="54"/>
      <c r="BK321" s="54"/>
      <c r="BL321" s="54"/>
      <c r="BM321" s="54"/>
      <c r="BN321" s="54"/>
      <c r="BO321" s="54"/>
      <c r="BP321" s="54"/>
      <c r="BQ321" s="54"/>
      <c r="BR321" s="54"/>
      <c r="BS321" s="54"/>
      <c r="BT321" s="54"/>
      <c r="BU321" s="54"/>
      <c r="BV321" s="54"/>
      <c r="BW321" s="54"/>
      <c r="BX321" s="54"/>
      <c r="BY321" s="54"/>
      <c r="BZ321" s="54"/>
      <c r="CA321" s="54"/>
      <c r="CB321" s="54"/>
      <c r="CC321" s="54"/>
      <c r="CD321" s="54"/>
      <c r="CE321" s="54"/>
      <c r="CF321" s="54"/>
      <c r="CG321" s="54"/>
      <c r="CH321" s="54"/>
      <c r="CI321" s="54"/>
      <c r="CJ321" s="54"/>
      <c r="CK321" s="54"/>
      <c r="CL321" s="54"/>
      <c r="CM321" s="54"/>
      <c r="CN321" s="54"/>
      <c r="CO321" s="54"/>
      <c r="CP321" s="54"/>
      <c r="CQ321" s="54"/>
      <c r="CR321" s="54"/>
      <c r="CS321" s="54"/>
      <c r="CT321" s="54"/>
      <c r="CU321" s="54"/>
      <c r="CV321" s="54"/>
      <c r="CW321" s="54"/>
      <c r="CX321" s="54"/>
      <c r="CY321" s="54"/>
      <c r="CZ321" s="54"/>
      <c r="DA321" s="54"/>
      <c r="DB321" s="54"/>
      <c r="DC321" s="54"/>
      <c r="DD321" s="54"/>
      <c r="DE321" s="54"/>
      <c r="DF321" s="54"/>
      <c r="DG321" s="54"/>
      <c r="DH321" s="54"/>
      <c r="DI321" s="54"/>
      <c r="DJ321" s="54"/>
      <c r="DK321" s="54"/>
      <c r="DL321" s="54"/>
      <c r="DM321" s="54"/>
      <c r="DN321" s="54"/>
      <c r="DO321" s="54"/>
      <c r="DP321" s="54"/>
      <c r="DQ321" s="54"/>
      <c r="DR321" s="54"/>
      <c r="DS321" s="54"/>
      <c r="DT321" s="54"/>
      <c r="DU321" s="54"/>
      <c r="DV321" s="54"/>
      <c r="DW321" s="54"/>
      <c r="DX321" s="54"/>
      <c r="DY321" s="54"/>
      <c r="DZ321" s="54"/>
      <c r="EA321" s="54"/>
      <c r="EB321" s="54"/>
      <c r="EC321" s="54"/>
      <c r="ED321" s="54"/>
      <c r="EE321" s="54"/>
      <c r="EF321" s="54"/>
      <c r="EG321" s="54"/>
      <c r="EH321" s="54"/>
      <c r="EI321" s="54"/>
      <c r="EJ321" s="54"/>
      <c r="EK321" s="54"/>
      <c r="EL321" s="54"/>
      <c r="EM321" s="54"/>
      <c r="EN321" s="54"/>
      <c r="EO321" s="54"/>
      <c r="EP321" s="54"/>
      <c r="EQ321" s="54"/>
      <c r="ER321" s="54"/>
      <c r="ES321" s="54"/>
      <c r="ET321" s="54"/>
      <c r="EU321" s="54"/>
      <c r="EV321" s="54"/>
      <c r="EW321" s="54"/>
      <c r="EX321" s="54"/>
      <c r="EY321" s="54"/>
      <c r="EZ321" s="54"/>
      <c r="FA321" s="54"/>
      <c r="FB321" s="54"/>
      <c r="FC321" s="54"/>
      <c r="FD321" s="54"/>
      <c r="FE321" s="54"/>
      <c r="FF321" s="54"/>
      <c r="FG321" s="54"/>
      <c r="FH321" s="54"/>
      <c r="FI321" s="54"/>
      <c r="FJ321" s="54"/>
      <c r="FK321" s="54"/>
      <c r="FL321" s="54"/>
      <c r="FM321" s="54"/>
      <c r="FN321" s="54"/>
      <c r="FO321" s="54"/>
      <c r="FP321" s="54"/>
      <c r="FQ321" s="54"/>
      <c r="FR321" s="54"/>
      <c r="FS321" s="54"/>
      <c r="FT321" s="54"/>
      <c r="FU321" s="54"/>
      <c r="FV321" s="54"/>
      <c r="FW321" s="54"/>
      <c r="FX321" s="54"/>
      <c r="FY321" s="54"/>
      <c r="FZ321" s="54"/>
      <c r="GA321" s="54"/>
      <c r="GB321" s="54"/>
      <c r="GC321" s="54"/>
      <c r="GD321" s="54"/>
      <c r="GE321" s="54"/>
      <c r="GF321" s="54"/>
      <c r="GG321" s="54"/>
      <c r="GH321" s="54"/>
      <c r="GI321" s="54"/>
      <c r="GJ321" s="54"/>
      <c r="GK321" s="54"/>
      <c r="GL321" s="54"/>
      <c r="GM321" s="54"/>
      <c r="GN321" s="54"/>
      <c r="GO321" s="54"/>
      <c r="GP321" s="54"/>
      <c r="GQ321" s="54"/>
      <c r="GR321" s="54"/>
      <c r="GS321" s="54"/>
      <c r="GT321" s="54"/>
      <c r="GU321" s="54"/>
      <c r="GV321" s="54"/>
      <c r="GW321" s="54"/>
      <c r="GX321" s="54"/>
      <c r="GY321" s="54"/>
      <c r="GZ321" s="54"/>
      <c r="HA321" s="54"/>
      <c r="HB321" s="54"/>
      <c r="HC321" s="54"/>
      <c r="HD321" s="54"/>
      <c r="HE321" s="54"/>
      <c r="HF321" s="54"/>
      <c r="HG321" s="54"/>
      <c r="HH321" s="54"/>
      <c r="HI321" s="54"/>
      <c r="HJ321" s="54"/>
      <c r="HK321" s="54"/>
      <c r="HL321" s="54"/>
      <c r="HM321" s="54"/>
      <c r="HN321" s="54"/>
      <c r="HO321" s="54"/>
      <c r="HP321" s="54"/>
      <c r="HQ321" s="54"/>
      <c r="HR321" s="54"/>
      <c r="HS321" s="54"/>
      <c r="HT321" s="54"/>
      <c r="HU321" s="54"/>
      <c r="HV321" s="54"/>
      <c r="HW321" s="54"/>
      <c r="HX321" s="54"/>
      <c r="HY321" s="54"/>
      <c r="HZ321" s="54"/>
      <c r="IA321" s="54"/>
      <c r="IB321" s="54"/>
      <c r="IC321" s="54"/>
      <c r="ID321" s="54"/>
      <c r="IE321" s="54"/>
      <c r="IF321" s="54"/>
      <c r="IG321" s="54"/>
      <c r="IH321" s="54"/>
      <c r="IU321" s="54"/>
      <c r="JI321" s="54"/>
      <c r="KM321" s="54"/>
      <c r="KN321" s="54"/>
      <c r="KO321" s="54"/>
      <c r="KP321" s="54"/>
      <c r="KQ321" s="54"/>
      <c r="KR321" s="54"/>
      <c r="KS321" s="54"/>
      <c r="KT321" s="54"/>
      <c r="KU321" s="54"/>
      <c r="KV321" s="54"/>
      <c r="KW321" s="54"/>
      <c r="KX321" s="54"/>
    </row>
    <row r="322" ht="5.2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c r="AB322" s="54"/>
      <c r="AC322" s="54"/>
      <c r="AD322" s="54"/>
      <c r="AE322" s="54"/>
      <c r="AF322" s="54"/>
      <c r="AG322" s="54"/>
      <c r="AH322" s="54"/>
      <c r="AI322" s="54"/>
      <c r="AJ322" s="54"/>
      <c r="AK322" s="54"/>
      <c r="AL322" s="54"/>
      <c r="AM322" s="54"/>
      <c r="AN322" s="54"/>
      <c r="AO322" s="54"/>
      <c r="AP322" s="54"/>
      <c r="AQ322" s="54"/>
      <c r="AR322" s="54"/>
      <c r="AS322" s="54"/>
      <c r="AT322" s="54"/>
      <c r="AU322" s="54"/>
      <c r="AV322" s="54"/>
      <c r="AW322" s="54"/>
      <c r="AX322" s="54"/>
      <c r="AY322" s="54"/>
      <c r="AZ322" s="54"/>
      <c r="BA322" s="54"/>
      <c r="BB322" s="54"/>
      <c r="BC322" s="54"/>
      <c r="BD322" s="54"/>
      <c r="BE322" s="54"/>
      <c r="BF322" s="54"/>
      <c r="BG322" s="54"/>
      <c r="BH322" s="54"/>
      <c r="BI322" s="54"/>
      <c r="BJ322" s="54"/>
      <c r="BK322" s="54"/>
      <c r="BL322" s="54"/>
      <c r="BM322" s="54"/>
      <c r="BN322" s="54"/>
      <c r="BO322" s="54"/>
      <c r="BP322" s="54"/>
      <c r="BQ322" s="54"/>
      <c r="BR322" s="54"/>
      <c r="BS322" s="54"/>
      <c r="BT322" s="54"/>
      <c r="BU322" s="54"/>
      <c r="BV322" s="54"/>
      <c r="BW322" s="54"/>
      <c r="BX322" s="54"/>
      <c r="BY322" s="54"/>
      <c r="BZ322" s="54"/>
      <c r="CA322" s="54"/>
      <c r="CB322" s="54"/>
      <c r="CC322" s="54"/>
      <c r="CD322" s="54"/>
      <c r="CE322" s="54"/>
      <c r="CF322" s="54"/>
      <c r="CG322" s="54"/>
      <c r="CH322" s="54"/>
      <c r="CI322" s="54"/>
      <c r="CJ322" s="54"/>
      <c r="CK322" s="54"/>
      <c r="CL322" s="54"/>
      <c r="CM322" s="54"/>
      <c r="CN322" s="54"/>
      <c r="CO322" s="54"/>
      <c r="CP322" s="54"/>
      <c r="CQ322" s="54"/>
      <c r="CR322" s="54"/>
      <c r="CS322" s="54"/>
      <c r="CT322" s="54"/>
      <c r="CU322" s="54"/>
      <c r="CV322" s="54"/>
      <c r="CW322" s="54"/>
      <c r="CX322" s="54"/>
      <c r="CY322" s="54"/>
      <c r="CZ322" s="54"/>
      <c r="DA322" s="54"/>
      <c r="DB322" s="54"/>
      <c r="DC322" s="54"/>
      <c r="DD322" s="54"/>
      <c r="DE322" s="54"/>
      <c r="DF322" s="54"/>
      <c r="DG322" s="54"/>
      <c r="DH322" s="54"/>
      <c r="DI322" s="54"/>
      <c r="DJ322" s="54"/>
      <c r="DK322" s="54"/>
      <c r="DL322" s="54"/>
      <c r="DM322" s="54"/>
      <c r="DN322" s="54"/>
      <c r="DO322" s="54"/>
      <c r="DP322" s="54"/>
      <c r="DQ322" s="54"/>
      <c r="DR322" s="54"/>
      <c r="DS322" s="54"/>
      <c r="DT322" s="54"/>
      <c r="DU322" s="54"/>
      <c r="DV322" s="54"/>
      <c r="DW322" s="54"/>
      <c r="DX322" s="54"/>
      <c r="DY322" s="54"/>
      <c r="DZ322" s="54"/>
      <c r="EA322" s="54"/>
      <c r="EB322" s="54"/>
      <c r="EC322" s="54"/>
      <c r="ED322" s="54"/>
      <c r="EE322" s="54"/>
      <c r="EF322" s="54"/>
      <c r="EG322" s="54"/>
      <c r="EH322" s="54"/>
      <c r="EI322" s="54"/>
      <c r="EJ322" s="54"/>
      <c r="EK322" s="54"/>
      <c r="EL322" s="54"/>
      <c r="EM322" s="54"/>
      <c r="EN322" s="54"/>
      <c r="EO322" s="54"/>
      <c r="EP322" s="54"/>
      <c r="EQ322" s="54"/>
      <c r="ER322" s="54"/>
      <c r="ES322" s="54"/>
      <c r="ET322" s="54"/>
      <c r="EU322" s="54"/>
      <c r="EV322" s="54"/>
      <c r="EW322" s="54"/>
      <c r="EX322" s="54"/>
      <c r="EY322" s="54"/>
      <c r="EZ322" s="54"/>
      <c r="FA322" s="54"/>
      <c r="FB322" s="54"/>
      <c r="FC322" s="54"/>
      <c r="FD322" s="54"/>
      <c r="FE322" s="54"/>
      <c r="FF322" s="54"/>
      <c r="FG322" s="54"/>
      <c r="FH322" s="54"/>
      <c r="FI322" s="54"/>
      <c r="FJ322" s="54"/>
      <c r="FK322" s="54"/>
      <c r="FL322" s="54"/>
      <c r="FM322" s="54"/>
      <c r="FN322" s="54"/>
      <c r="FO322" s="54"/>
      <c r="FP322" s="54"/>
      <c r="FQ322" s="54"/>
      <c r="FR322" s="54"/>
      <c r="FS322" s="54"/>
      <c r="FT322" s="54"/>
      <c r="FU322" s="54"/>
      <c r="FV322" s="54"/>
      <c r="FW322" s="54"/>
      <c r="FX322" s="54"/>
      <c r="FY322" s="54"/>
      <c r="FZ322" s="54"/>
      <c r="GA322" s="54"/>
      <c r="GB322" s="54"/>
      <c r="GC322" s="54"/>
      <c r="GD322" s="54"/>
      <c r="GE322" s="54"/>
      <c r="GF322" s="54"/>
      <c r="GG322" s="54"/>
      <c r="GH322" s="54"/>
      <c r="GI322" s="54"/>
      <c r="GJ322" s="54"/>
      <c r="GK322" s="54"/>
      <c r="GL322" s="54"/>
      <c r="GM322" s="54"/>
      <c r="GN322" s="54"/>
      <c r="GO322" s="54"/>
      <c r="GP322" s="54"/>
      <c r="GQ322" s="54"/>
      <c r="GR322" s="54"/>
      <c r="GS322" s="54"/>
      <c r="GT322" s="54"/>
      <c r="GU322" s="54"/>
      <c r="GV322" s="54"/>
      <c r="GW322" s="54"/>
      <c r="GX322" s="54"/>
      <c r="GY322" s="54"/>
      <c r="GZ322" s="54"/>
      <c r="HA322" s="54"/>
      <c r="HB322" s="54"/>
      <c r="HC322" s="54"/>
      <c r="HD322" s="54"/>
      <c r="HE322" s="54"/>
      <c r="HF322" s="54"/>
      <c r="HG322" s="54"/>
      <c r="HH322" s="54"/>
      <c r="HI322" s="54"/>
      <c r="HJ322" s="54"/>
      <c r="HK322" s="54"/>
      <c r="HL322" s="54"/>
      <c r="HM322" s="54"/>
      <c r="HN322" s="54"/>
      <c r="HO322" s="54"/>
      <c r="HP322" s="54"/>
      <c r="HQ322" s="54"/>
      <c r="HR322" s="54"/>
      <c r="HS322" s="54"/>
      <c r="HT322" s="54"/>
      <c r="HU322" s="54"/>
      <c r="HV322" s="54"/>
      <c r="HW322" s="54"/>
      <c r="HX322" s="54"/>
      <c r="HY322" s="54"/>
      <c r="HZ322" s="54"/>
      <c r="IA322" s="54"/>
      <c r="IB322" s="54"/>
      <c r="IC322" s="54"/>
      <c r="ID322" s="54"/>
      <c r="IE322" s="54"/>
      <c r="IF322" s="54"/>
      <c r="IG322" s="54"/>
      <c r="IH322" s="54"/>
      <c r="IU322" s="54"/>
      <c r="JI322" s="54"/>
      <c r="KM322" s="54"/>
      <c r="KN322" s="54"/>
      <c r="KO322" s="54"/>
      <c r="KP322" s="54"/>
      <c r="KQ322" s="54"/>
      <c r="KR322" s="54"/>
      <c r="KS322" s="54"/>
      <c r="KT322" s="54"/>
      <c r="KU322" s="54"/>
      <c r="KV322" s="54"/>
      <c r="KW322" s="54"/>
      <c r="KX322" s="54"/>
    </row>
    <row r="323" ht="5.2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c r="AB323" s="54"/>
      <c r="AC323" s="54"/>
      <c r="AD323" s="54"/>
      <c r="AE323" s="54"/>
      <c r="AF323" s="54"/>
      <c r="AG323" s="54"/>
      <c r="AH323" s="54"/>
      <c r="AI323" s="54"/>
      <c r="AJ323" s="54"/>
      <c r="AK323" s="54"/>
      <c r="AL323" s="54"/>
      <c r="AM323" s="54"/>
      <c r="AN323" s="54"/>
      <c r="AO323" s="54"/>
      <c r="AP323" s="54"/>
      <c r="AQ323" s="54"/>
      <c r="AR323" s="54"/>
      <c r="AS323" s="54"/>
      <c r="AT323" s="54"/>
      <c r="AU323" s="54"/>
      <c r="AV323" s="54"/>
      <c r="AW323" s="54"/>
      <c r="AX323" s="54"/>
      <c r="AY323" s="54"/>
      <c r="AZ323" s="54"/>
      <c r="BA323" s="54"/>
      <c r="BB323" s="54"/>
      <c r="BC323" s="54"/>
      <c r="BD323" s="54"/>
      <c r="BE323" s="54"/>
      <c r="BF323" s="54"/>
      <c r="BG323" s="54"/>
      <c r="BH323" s="54"/>
      <c r="BI323" s="54"/>
      <c r="BJ323" s="54"/>
      <c r="BK323" s="54"/>
      <c r="BL323" s="54"/>
      <c r="BM323" s="54"/>
      <c r="BN323" s="54"/>
      <c r="BO323" s="54"/>
      <c r="BP323" s="54"/>
      <c r="BQ323" s="54"/>
      <c r="BR323" s="54"/>
      <c r="BS323" s="54"/>
      <c r="BT323" s="54"/>
      <c r="BU323" s="54"/>
      <c r="BV323" s="54"/>
      <c r="BW323" s="54"/>
      <c r="BX323" s="54"/>
      <c r="BY323" s="54"/>
      <c r="BZ323" s="54"/>
      <c r="CA323" s="54"/>
      <c r="CB323" s="54"/>
      <c r="CC323" s="54"/>
      <c r="CD323" s="54"/>
      <c r="CE323" s="54"/>
      <c r="CF323" s="54"/>
      <c r="CG323" s="54"/>
      <c r="CH323" s="54"/>
      <c r="CI323" s="54"/>
      <c r="CJ323" s="54"/>
      <c r="CK323" s="54"/>
      <c r="CL323" s="54"/>
      <c r="CM323" s="54"/>
      <c r="CN323" s="54"/>
      <c r="CO323" s="54"/>
      <c r="CP323" s="54"/>
      <c r="CQ323" s="54"/>
      <c r="CR323" s="54"/>
      <c r="CS323" s="54"/>
      <c r="CT323" s="54"/>
      <c r="CU323" s="54"/>
      <c r="CV323" s="54"/>
      <c r="CW323" s="54"/>
      <c r="CX323" s="54"/>
      <c r="CY323" s="54"/>
      <c r="CZ323" s="54"/>
      <c r="DA323" s="54"/>
      <c r="DB323" s="54"/>
      <c r="DC323" s="54"/>
      <c r="DD323" s="54"/>
      <c r="DE323" s="54"/>
      <c r="DF323" s="54"/>
      <c r="DG323" s="54"/>
      <c r="DH323" s="54"/>
      <c r="DI323" s="54"/>
      <c r="DJ323" s="54"/>
      <c r="DK323" s="54"/>
      <c r="DL323" s="54"/>
      <c r="DM323" s="54"/>
      <c r="DN323" s="54"/>
      <c r="DO323" s="54"/>
      <c r="DP323" s="54"/>
      <c r="DQ323" s="54"/>
      <c r="DR323" s="54"/>
      <c r="DS323" s="54"/>
      <c r="DT323" s="54"/>
      <c r="DU323" s="54"/>
      <c r="DV323" s="54"/>
      <c r="DW323" s="54"/>
      <c r="DX323" s="54"/>
      <c r="DY323" s="54"/>
      <c r="DZ323" s="54"/>
      <c r="EA323" s="54"/>
      <c r="EB323" s="54"/>
      <c r="EC323" s="54"/>
      <c r="ED323" s="54"/>
      <c r="EE323" s="54"/>
      <c r="EF323" s="54"/>
      <c r="EG323" s="54"/>
      <c r="EH323" s="54"/>
      <c r="EI323" s="54"/>
      <c r="EJ323" s="54"/>
      <c r="EK323" s="54"/>
      <c r="EL323" s="54"/>
      <c r="EM323" s="54"/>
      <c r="EN323" s="54"/>
      <c r="EO323" s="54"/>
      <c r="EP323" s="54"/>
      <c r="EQ323" s="54"/>
      <c r="ER323" s="54"/>
      <c r="ES323" s="54"/>
      <c r="ET323" s="54"/>
      <c r="EU323" s="54"/>
      <c r="EV323" s="54"/>
      <c r="EW323" s="54"/>
      <c r="EX323" s="54"/>
      <c r="EY323" s="54"/>
      <c r="EZ323" s="54"/>
      <c r="FA323" s="54"/>
      <c r="FB323" s="54"/>
      <c r="FC323" s="54"/>
      <c r="FD323" s="54"/>
      <c r="FE323" s="54"/>
      <c r="FF323" s="54"/>
      <c r="FG323" s="54"/>
      <c r="FH323" s="54"/>
      <c r="FI323" s="54"/>
      <c r="FJ323" s="54"/>
      <c r="FK323" s="54"/>
      <c r="FL323" s="54"/>
      <c r="FM323" s="54"/>
      <c r="FN323" s="54"/>
      <c r="FO323" s="54"/>
      <c r="FP323" s="54"/>
      <c r="FQ323" s="54"/>
      <c r="FR323" s="54"/>
      <c r="FS323" s="54"/>
      <c r="FT323" s="54"/>
      <c r="FU323" s="54"/>
      <c r="FV323" s="54"/>
      <c r="FW323" s="54"/>
      <c r="FX323" s="54"/>
      <c r="FY323" s="54"/>
      <c r="FZ323" s="54"/>
      <c r="GA323" s="54"/>
      <c r="GB323" s="54"/>
      <c r="GC323" s="54"/>
      <c r="GD323" s="54"/>
      <c r="GE323" s="54"/>
      <c r="GF323" s="54"/>
      <c r="GG323" s="54"/>
      <c r="GH323" s="54"/>
      <c r="GI323" s="54"/>
      <c r="GJ323" s="54"/>
      <c r="GK323" s="54"/>
      <c r="GL323" s="54"/>
      <c r="GM323" s="54"/>
      <c r="GN323" s="54"/>
      <c r="GO323" s="54"/>
      <c r="GP323" s="54"/>
      <c r="GQ323" s="54"/>
      <c r="GR323" s="54"/>
      <c r="GS323" s="54"/>
      <c r="GT323" s="54"/>
      <c r="GU323" s="54"/>
      <c r="GV323" s="54"/>
      <c r="GW323" s="54"/>
      <c r="GX323" s="54"/>
      <c r="GY323" s="54"/>
      <c r="GZ323" s="54"/>
      <c r="HA323" s="54"/>
      <c r="HB323" s="54"/>
      <c r="HC323" s="54"/>
      <c r="HD323" s="54"/>
      <c r="HE323" s="54"/>
      <c r="HF323" s="54"/>
      <c r="HG323" s="54"/>
      <c r="HH323" s="54"/>
      <c r="HI323" s="54"/>
      <c r="HJ323" s="54"/>
      <c r="HK323" s="54"/>
      <c r="HL323" s="54"/>
      <c r="HM323" s="54"/>
      <c r="HN323" s="54"/>
      <c r="HO323" s="54"/>
      <c r="HP323" s="54"/>
      <c r="HQ323" s="54"/>
      <c r="HR323" s="54"/>
      <c r="HS323" s="54"/>
      <c r="HT323" s="54"/>
      <c r="HU323" s="54"/>
      <c r="HV323" s="54"/>
      <c r="HW323" s="54"/>
      <c r="HX323" s="54"/>
      <c r="HY323" s="54"/>
      <c r="HZ323" s="54"/>
      <c r="IA323" s="54"/>
      <c r="IB323" s="54"/>
      <c r="IC323" s="54"/>
      <c r="ID323" s="54"/>
      <c r="IE323" s="54"/>
      <c r="IF323" s="54"/>
      <c r="IG323" s="54"/>
      <c r="IH323" s="54"/>
      <c r="IU323" s="54"/>
      <c r="JI323" s="54"/>
      <c r="JJ323" s="158"/>
      <c r="JK323" s="158"/>
      <c r="JL323" s="158"/>
      <c r="JM323" s="158"/>
      <c r="JN323" s="158"/>
      <c r="JO323" s="158"/>
      <c r="JP323" s="158"/>
      <c r="JQ323" s="158"/>
      <c r="JR323" s="158"/>
      <c r="JS323" s="158"/>
      <c r="JT323" s="158"/>
      <c r="JU323" s="158"/>
      <c r="JV323" s="158"/>
      <c r="JW323" s="158"/>
      <c r="JX323" s="158"/>
      <c r="JY323" s="158"/>
      <c r="JZ323" s="158"/>
      <c r="KA323" s="158"/>
      <c r="KB323" s="158"/>
      <c r="KC323" s="158"/>
      <c r="KD323" s="158"/>
      <c r="KE323" s="158"/>
      <c r="KF323" s="158"/>
      <c r="KG323" s="158"/>
      <c r="KH323" s="158"/>
      <c r="KI323" s="158"/>
      <c r="KJ323" s="158"/>
      <c r="KK323" s="158"/>
      <c r="KL323" s="158"/>
      <c r="KM323" s="54"/>
      <c r="KN323" s="54"/>
      <c r="KO323" s="54"/>
      <c r="KP323" s="54"/>
      <c r="KQ323" s="54"/>
      <c r="KR323" s="54"/>
      <c r="KS323" s="54"/>
      <c r="KT323" s="54"/>
      <c r="KU323" s="54"/>
      <c r="KV323" s="54"/>
      <c r="KW323" s="54"/>
      <c r="KX323" s="54"/>
    </row>
    <row r="324" ht="5.2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c r="AB324" s="54"/>
      <c r="AC324" s="54"/>
      <c r="AD324" s="54"/>
      <c r="AE324" s="54"/>
      <c r="AF324" s="54"/>
      <c r="AG324" s="54"/>
      <c r="AH324" s="54"/>
      <c r="AI324" s="54"/>
      <c r="AJ324" s="54"/>
      <c r="AK324" s="54"/>
      <c r="AL324" s="54"/>
      <c r="AM324" s="54"/>
      <c r="AN324" s="54"/>
      <c r="AO324" s="54"/>
      <c r="AP324" s="54"/>
      <c r="AQ324" s="54"/>
      <c r="AR324" s="54"/>
      <c r="AS324" s="54"/>
      <c r="AT324" s="54"/>
      <c r="AU324" s="54"/>
      <c r="AV324" s="54"/>
      <c r="AW324" s="54"/>
      <c r="AX324" s="54"/>
      <c r="AY324" s="54"/>
      <c r="AZ324" s="54"/>
      <c r="BA324" s="54"/>
      <c r="BB324" s="54"/>
      <c r="BC324" s="54"/>
      <c r="BD324" s="54"/>
      <c r="BE324" s="54"/>
      <c r="BF324" s="54"/>
      <c r="BG324" s="54"/>
      <c r="BH324" s="54"/>
      <c r="BI324" s="54"/>
      <c r="BJ324" s="54"/>
      <c r="BK324" s="54"/>
      <c r="BL324" s="54"/>
      <c r="BM324" s="54"/>
      <c r="BN324" s="54"/>
      <c r="BO324" s="54"/>
      <c r="BP324" s="54"/>
      <c r="BQ324" s="54"/>
      <c r="BR324" s="54"/>
      <c r="BS324" s="54"/>
      <c r="BT324" s="54"/>
      <c r="BU324" s="54"/>
      <c r="BV324" s="54"/>
      <c r="BW324" s="54"/>
      <c r="BX324" s="54"/>
      <c r="BY324" s="54"/>
      <c r="BZ324" s="54"/>
      <c r="CA324" s="54"/>
      <c r="CB324" s="54"/>
      <c r="CC324" s="54"/>
      <c r="CD324" s="54"/>
      <c r="CE324" s="54"/>
      <c r="CF324" s="54"/>
      <c r="CG324" s="54"/>
      <c r="CH324" s="54"/>
      <c r="CI324" s="54"/>
      <c r="CJ324" s="54"/>
      <c r="CK324" s="54"/>
      <c r="CL324" s="54"/>
      <c r="CM324" s="54"/>
      <c r="CN324" s="54"/>
      <c r="CO324" s="54"/>
      <c r="CP324" s="54"/>
      <c r="CQ324" s="54"/>
      <c r="CR324" s="54"/>
      <c r="CS324" s="54"/>
      <c r="CT324" s="54"/>
      <c r="CU324" s="54"/>
      <c r="CV324" s="54"/>
      <c r="CW324" s="54"/>
      <c r="CX324" s="54"/>
      <c r="CY324" s="54"/>
      <c r="CZ324" s="54"/>
      <c r="DA324" s="54"/>
      <c r="DB324" s="54"/>
      <c r="DC324" s="54"/>
      <c r="DD324" s="54"/>
      <c r="DE324" s="54"/>
      <c r="DF324" s="54"/>
      <c r="DG324" s="54"/>
      <c r="DH324" s="54"/>
      <c r="DI324" s="54"/>
      <c r="DJ324" s="54"/>
      <c r="DK324" s="54"/>
      <c r="DL324" s="54"/>
      <c r="DM324" s="54"/>
      <c r="DN324" s="54"/>
      <c r="DO324" s="54"/>
      <c r="DP324" s="54"/>
      <c r="DQ324" s="54"/>
      <c r="DR324" s="54"/>
      <c r="DS324" s="54"/>
      <c r="DT324" s="54"/>
      <c r="DU324" s="54"/>
      <c r="DV324" s="54"/>
      <c r="DW324" s="54"/>
      <c r="DX324" s="54"/>
      <c r="DY324" s="54"/>
      <c r="DZ324" s="54"/>
      <c r="EA324" s="54"/>
      <c r="EB324" s="54"/>
      <c r="EC324" s="54"/>
      <c r="ED324" s="54"/>
      <c r="EE324" s="54"/>
      <c r="EF324" s="54"/>
      <c r="EG324" s="54"/>
      <c r="EH324" s="54"/>
      <c r="EI324" s="54"/>
      <c r="EJ324" s="54"/>
      <c r="EK324" s="54"/>
      <c r="EL324" s="54"/>
      <c r="EM324" s="54"/>
      <c r="EN324" s="54"/>
      <c r="EO324" s="54"/>
      <c r="EP324" s="54"/>
      <c r="EQ324" s="54"/>
      <c r="ER324" s="54"/>
      <c r="ES324" s="54"/>
      <c r="ET324" s="54"/>
      <c r="EU324" s="54"/>
      <c r="EV324" s="54"/>
      <c r="EW324" s="54"/>
      <c r="EX324" s="54"/>
      <c r="EY324" s="54"/>
      <c r="EZ324" s="54"/>
      <c r="FA324" s="54"/>
      <c r="FB324" s="54"/>
      <c r="FC324" s="54"/>
      <c r="FD324" s="54"/>
      <c r="FE324" s="54"/>
      <c r="FF324" s="54"/>
      <c r="FG324" s="54"/>
      <c r="FH324" s="54"/>
      <c r="FI324" s="54"/>
      <c r="FJ324" s="54"/>
      <c r="FK324" s="54"/>
      <c r="FL324" s="54"/>
      <c r="FM324" s="54"/>
      <c r="FN324" s="54"/>
      <c r="FO324" s="54"/>
      <c r="FP324" s="54"/>
      <c r="FQ324" s="54"/>
      <c r="FR324" s="54"/>
      <c r="FS324" s="54"/>
      <c r="FT324" s="54"/>
      <c r="FU324" s="54"/>
      <c r="FV324" s="54"/>
      <c r="FW324" s="54"/>
      <c r="FX324" s="54"/>
      <c r="FY324" s="54"/>
      <c r="FZ324" s="54"/>
      <c r="GA324" s="54"/>
      <c r="GB324" s="54"/>
      <c r="GC324" s="54"/>
      <c r="GD324" s="54"/>
      <c r="GE324" s="54"/>
      <c r="GF324" s="54"/>
      <c r="GG324" s="54"/>
      <c r="GH324" s="54"/>
      <c r="GI324" s="54"/>
      <c r="GJ324" s="54"/>
      <c r="GK324" s="54"/>
      <c r="GL324" s="54"/>
      <c r="GM324" s="54"/>
      <c r="GN324" s="54"/>
      <c r="GO324" s="54"/>
      <c r="GP324" s="54"/>
      <c r="GQ324" s="54"/>
      <c r="GR324" s="54"/>
      <c r="GS324" s="54"/>
      <c r="GT324" s="54"/>
      <c r="GU324" s="54"/>
      <c r="GV324" s="54"/>
      <c r="GW324" s="54"/>
      <c r="GX324" s="54"/>
      <c r="GY324" s="54"/>
      <c r="GZ324" s="54"/>
      <c r="HA324" s="54"/>
      <c r="HB324" s="54"/>
      <c r="HC324" s="54"/>
      <c r="HD324" s="54"/>
      <c r="HE324" s="54"/>
      <c r="HF324" s="54"/>
      <c r="HG324" s="54"/>
      <c r="HH324" s="54"/>
      <c r="HI324" s="54"/>
      <c r="HJ324" s="54"/>
      <c r="HK324" s="54"/>
      <c r="HL324" s="54"/>
      <c r="HM324" s="54"/>
      <c r="HN324" s="54"/>
      <c r="HO324" s="54"/>
      <c r="HP324" s="54"/>
      <c r="HQ324" s="54"/>
      <c r="HR324" s="54"/>
      <c r="HS324" s="54"/>
      <c r="HT324" s="54"/>
      <c r="HU324" s="54"/>
      <c r="HV324" s="54"/>
      <c r="HW324" s="54"/>
      <c r="HX324" s="54"/>
      <c r="HY324" s="54"/>
      <c r="HZ324" s="54"/>
      <c r="IA324" s="54"/>
      <c r="IB324" s="54"/>
      <c r="IC324" s="54"/>
      <c r="ID324" s="54"/>
      <c r="IE324" s="54"/>
      <c r="IF324" s="54"/>
      <c r="IG324" s="54"/>
      <c r="IH324" s="54"/>
      <c r="IU324" s="152"/>
      <c r="JI324" s="152"/>
      <c r="JJ324" s="82" t="str">
        <f t="array" ref="JJ324">xlookup(JN324,'Team Entry'!$A:$A,'Team Entry'!$B:$B,"")</f>
        <v/>
      </c>
      <c r="JN324" s="156" t="str">
        <f>if(or('Contender Stage'!ED211="",'Contender Stage'!EH211="",'Contender Stage'!ED218="",'Contender Stage'!EH218="",'Contender Stage'!ED225="",'Contender Stage'!EH225=""),"TBD",'Contender Results'!Y90)</f>
        <v>TBD</v>
      </c>
      <c r="KM324" s="54"/>
      <c r="KN324" s="54"/>
      <c r="KO324" s="54"/>
      <c r="KP324" s="54"/>
      <c r="KQ324" s="54"/>
      <c r="KR324" s="54"/>
      <c r="KS324" s="54"/>
      <c r="KT324" s="54"/>
      <c r="KU324" s="54"/>
      <c r="KV324" s="54"/>
      <c r="KW324" s="54"/>
      <c r="KX324" s="54"/>
    </row>
    <row r="325" ht="5.2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c r="AB325" s="54"/>
      <c r="AC325" s="54"/>
      <c r="AD325" s="54"/>
      <c r="AE325" s="54"/>
      <c r="AF325" s="54"/>
      <c r="AG325" s="54"/>
      <c r="AH325" s="54"/>
      <c r="AI325" s="54"/>
      <c r="AJ325" s="54"/>
      <c r="AK325" s="54"/>
      <c r="AL325" s="54"/>
      <c r="AM325" s="54"/>
      <c r="AN325" s="54"/>
      <c r="AO325" s="54"/>
      <c r="AP325" s="54"/>
      <c r="AQ325" s="54"/>
      <c r="AR325" s="54"/>
      <c r="AS325" s="54"/>
      <c r="AT325" s="54"/>
      <c r="AU325" s="54"/>
      <c r="AV325" s="54"/>
      <c r="AW325" s="54"/>
      <c r="AX325" s="54"/>
      <c r="AY325" s="54"/>
      <c r="AZ325" s="54"/>
      <c r="BA325" s="54"/>
      <c r="BB325" s="54"/>
      <c r="BC325" s="54"/>
      <c r="BD325" s="54"/>
      <c r="BE325" s="54"/>
      <c r="BF325" s="54"/>
      <c r="BG325" s="54"/>
      <c r="BH325" s="54"/>
      <c r="BI325" s="54"/>
      <c r="BJ325" s="54"/>
      <c r="BK325" s="54"/>
      <c r="BL325" s="54"/>
      <c r="BM325" s="54"/>
      <c r="BN325" s="54"/>
      <c r="BO325" s="54"/>
      <c r="BP325" s="54"/>
      <c r="BQ325" s="54"/>
      <c r="BR325" s="54"/>
      <c r="BS325" s="54"/>
      <c r="BT325" s="54"/>
      <c r="BU325" s="54"/>
      <c r="BV325" s="54"/>
      <c r="BW325" s="54"/>
      <c r="BX325" s="54"/>
      <c r="BY325" s="54"/>
      <c r="BZ325" s="54"/>
      <c r="CA325" s="54"/>
      <c r="CB325" s="54"/>
      <c r="CC325" s="54"/>
      <c r="CD325" s="54"/>
      <c r="CE325" s="54"/>
      <c r="CF325" s="54"/>
      <c r="CG325" s="54"/>
      <c r="CH325" s="54"/>
      <c r="CI325" s="54"/>
      <c r="CJ325" s="54"/>
      <c r="CK325" s="54"/>
      <c r="CL325" s="54"/>
      <c r="CM325" s="54"/>
      <c r="CN325" s="54"/>
      <c r="CO325" s="54"/>
      <c r="CP325" s="54"/>
      <c r="CQ325" s="54"/>
      <c r="CR325" s="54"/>
      <c r="CS325" s="54"/>
      <c r="CT325" s="54"/>
      <c r="CU325" s="54"/>
      <c r="CV325" s="54"/>
      <c r="CW325" s="54"/>
      <c r="CX325" s="54"/>
      <c r="CY325" s="54"/>
      <c r="CZ325" s="54"/>
      <c r="DA325" s="54"/>
      <c r="DB325" s="54"/>
      <c r="DC325" s="54"/>
      <c r="DD325" s="54"/>
      <c r="DE325" s="54"/>
      <c r="DF325" s="54"/>
      <c r="DG325" s="54"/>
      <c r="DH325" s="54"/>
      <c r="DI325" s="54"/>
      <c r="DJ325" s="54"/>
      <c r="DK325" s="54"/>
      <c r="DL325" s="54"/>
      <c r="DM325" s="54"/>
      <c r="DN325" s="54"/>
      <c r="DO325" s="54"/>
      <c r="DP325" s="54"/>
      <c r="DQ325" s="54"/>
      <c r="DR325" s="54"/>
      <c r="DS325" s="54"/>
      <c r="DT325" s="54"/>
      <c r="DU325" s="54"/>
      <c r="DV325" s="54"/>
      <c r="DW325" s="54"/>
      <c r="DX325" s="54"/>
      <c r="DY325" s="54"/>
      <c r="DZ325" s="54"/>
      <c r="EA325" s="54"/>
      <c r="EB325" s="54"/>
      <c r="EC325" s="54"/>
      <c r="ED325" s="54"/>
      <c r="EE325" s="54"/>
      <c r="EF325" s="54"/>
      <c r="EG325" s="54"/>
      <c r="EH325" s="54"/>
      <c r="EI325" s="54"/>
      <c r="EJ325" s="54"/>
      <c r="EK325" s="54"/>
      <c r="EL325" s="54"/>
      <c r="EM325" s="54"/>
      <c r="EN325" s="54"/>
      <c r="EO325" s="54"/>
      <c r="EP325" s="54"/>
      <c r="EQ325" s="54"/>
      <c r="ER325" s="54"/>
      <c r="ES325" s="54"/>
      <c r="ET325" s="54"/>
      <c r="EU325" s="54"/>
      <c r="EV325" s="54"/>
      <c r="EW325" s="54"/>
      <c r="EX325" s="54"/>
      <c r="EY325" s="54"/>
      <c r="EZ325" s="54"/>
      <c r="FA325" s="54"/>
      <c r="FB325" s="54"/>
      <c r="FC325" s="54"/>
      <c r="FD325" s="54"/>
      <c r="FE325" s="54"/>
      <c r="FF325" s="54"/>
      <c r="FG325" s="54"/>
      <c r="FH325" s="54"/>
      <c r="FI325" s="54"/>
      <c r="FJ325" s="54"/>
      <c r="FK325" s="54"/>
      <c r="FL325" s="54"/>
      <c r="FM325" s="54"/>
      <c r="FN325" s="54"/>
      <c r="FO325" s="54"/>
      <c r="FP325" s="54"/>
      <c r="FQ325" s="54"/>
      <c r="FR325" s="54"/>
      <c r="FS325" s="54"/>
      <c r="FT325" s="54"/>
      <c r="FU325" s="54"/>
      <c r="FV325" s="54"/>
      <c r="FW325" s="54"/>
      <c r="FX325" s="54"/>
      <c r="FY325" s="54"/>
      <c r="FZ325" s="54"/>
      <c r="GA325" s="54"/>
      <c r="GB325" s="54"/>
      <c r="GC325" s="54"/>
      <c r="GD325" s="54"/>
      <c r="GE325" s="54"/>
      <c r="GF325" s="54"/>
      <c r="GG325" s="54"/>
      <c r="GH325" s="54"/>
      <c r="GI325" s="54"/>
      <c r="GJ325" s="54"/>
      <c r="GK325" s="54"/>
      <c r="GL325" s="54"/>
      <c r="GM325" s="54"/>
      <c r="GN325" s="54"/>
      <c r="GO325" s="54"/>
      <c r="GP325" s="54"/>
      <c r="GQ325" s="54"/>
      <c r="GR325" s="54"/>
      <c r="GS325" s="54"/>
      <c r="GT325" s="54"/>
      <c r="GU325" s="54"/>
      <c r="GV325" s="54"/>
      <c r="GW325" s="54"/>
      <c r="GX325" s="54"/>
      <c r="GY325" s="54"/>
      <c r="GZ325" s="54"/>
      <c r="HA325" s="54"/>
      <c r="HB325" s="54"/>
      <c r="HC325" s="54"/>
      <c r="HD325" s="54"/>
      <c r="HE325" s="54"/>
      <c r="HF325" s="54"/>
      <c r="HG325" s="54"/>
      <c r="HH325" s="54"/>
      <c r="HI325" s="54"/>
      <c r="HJ325" s="54"/>
      <c r="HK325" s="54"/>
      <c r="HL325" s="54"/>
      <c r="HM325" s="54"/>
      <c r="HN325" s="54"/>
      <c r="HO325" s="54"/>
      <c r="HP325" s="54"/>
      <c r="HQ325" s="54"/>
      <c r="HR325" s="54"/>
      <c r="HS325" s="54"/>
      <c r="HT325" s="54"/>
      <c r="HU325" s="54"/>
      <c r="HV325" s="54"/>
      <c r="HW325" s="54"/>
      <c r="HX325" s="54"/>
      <c r="HY325" s="54"/>
      <c r="HZ325" s="54"/>
      <c r="IA325" s="54"/>
      <c r="IB325" s="54"/>
      <c r="IC325" s="54"/>
      <c r="ID325" s="54"/>
      <c r="IE325" s="54"/>
      <c r="IF325" s="54"/>
      <c r="IG325" s="54"/>
      <c r="IH325" s="54"/>
      <c r="IU325" s="152"/>
      <c r="JI325" s="152"/>
      <c r="KM325" s="54"/>
      <c r="KN325" s="54"/>
      <c r="KO325" s="54"/>
      <c r="KP325" s="54"/>
      <c r="KQ325" s="54"/>
      <c r="KR325" s="54"/>
      <c r="KS325" s="54"/>
      <c r="KT325" s="54"/>
      <c r="KU325" s="54"/>
      <c r="KV325" s="54"/>
      <c r="KW325" s="54"/>
      <c r="KX325" s="54"/>
    </row>
    <row r="326" ht="5.2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c r="AB326" s="54"/>
      <c r="AC326" s="54"/>
      <c r="AD326" s="54"/>
      <c r="AE326" s="54"/>
      <c r="AF326" s="54"/>
      <c r="AG326" s="54"/>
      <c r="AH326" s="54"/>
      <c r="AI326" s="54"/>
      <c r="AJ326" s="54"/>
      <c r="AK326" s="54"/>
      <c r="AL326" s="54"/>
      <c r="AM326" s="54"/>
      <c r="AN326" s="54"/>
      <c r="AO326" s="54"/>
      <c r="AP326" s="54"/>
      <c r="AQ326" s="54"/>
      <c r="AR326" s="54"/>
      <c r="AS326" s="54"/>
      <c r="AT326" s="54"/>
      <c r="AU326" s="54"/>
      <c r="AV326" s="54"/>
      <c r="AW326" s="54"/>
      <c r="AX326" s="54"/>
      <c r="AY326" s="54"/>
      <c r="AZ326" s="54"/>
      <c r="BA326" s="54"/>
      <c r="BB326" s="54"/>
      <c r="BC326" s="54"/>
      <c r="BD326" s="54"/>
      <c r="BE326" s="54"/>
      <c r="BF326" s="54"/>
      <c r="BG326" s="54"/>
      <c r="BH326" s="54"/>
      <c r="BI326" s="54"/>
      <c r="BJ326" s="54"/>
      <c r="BK326" s="54"/>
      <c r="BL326" s="54"/>
      <c r="BM326" s="54"/>
      <c r="BN326" s="54"/>
      <c r="BO326" s="54"/>
      <c r="BP326" s="54"/>
      <c r="BQ326" s="54"/>
      <c r="BR326" s="54"/>
      <c r="BS326" s="54"/>
      <c r="BT326" s="54"/>
      <c r="BU326" s="54"/>
      <c r="BV326" s="54"/>
      <c r="BW326" s="54"/>
      <c r="BX326" s="54"/>
      <c r="BY326" s="54"/>
      <c r="BZ326" s="54"/>
      <c r="CA326" s="54"/>
      <c r="CB326" s="54"/>
      <c r="CC326" s="54"/>
      <c r="CD326" s="54"/>
      <c r="CE326" s="54"/>
      <c r="CF326" s="54"/>
      <c r="CG326" s="54"/>
      <c r="CH326" s="54"/>
      <c r="CI326" s="54"/>
      <c r="CJ326" s="54"/>
      <c r="CK326" s="54"/>
      <c r="CL326" s="54"/>
      <c r="CM326" s="54"/>
      <c r="CN326" s="54"/>
      <c r="CO326" s="54"/>
      <c r="CP326" s="54"/>
      <c r="CQ326" s="54"/>
      <c r="CR326" s="54"/>
      <c r="CS326" s="54"/>
      <c r="CT326" s="54"/>
      <c r="CU326" s="54"/>
      <c r="CV326" s="54"/>
      <c r="CW326" s="54"/>
      <c r="CX326" s="54"/>
      <c r="CY326" s="54"/>
      <c r="CZ326" s="54"/>
      <c r="DA326" s="54"/>
      <c r="DB326" s="54"/>
      <c r="DC326" s="54"/>
      <c r="DD326" s="54"/>
      <c r="DE326" s="54"/>
      <c r="DF326" s="54"/>
      <c r="DG326" s="54"/>
      <c r="DH326" s="54"/>
      <c r="DI326" s="54"/>
      <c r="DJ326" s="54"/>
      <c r="DK326" s="54"/>
      <c r="DL326" s="54"/>
      <c r="DM326" s="54"/>
      <c r="DN326" s="54"/>
      <c r="DO326" s="54"/>
      <c r="DP326" s="54"/>
      <c r="DQ326" s="54"/>
      <c r="DR326" s="54"/>
      <c r="DS326" s="54"/>
      <c r="DT326" s="54"/>
      <c r="DU326" s="54"/>
      <c r="DV326" s="54"/>
      <c r="DW326" s="54"/>
      <c r="DX326" s="54"/>
      <c r="DY326" s="54"/>
      <c r="DZ326" s="54"/>
      <c r="EA326" s="54"/>
      <c r="EB326" s="54"/>
      <c r="EC326" s="54"/>
      <c r="ED326" s="54"/>
      <c r="EE326" s="54"/>
      <c r="EF326" s="54"/>
      <c r="EG326" s="54"/>
      <c r="EH326" s="54"/>
      <c r="EI326" s="54"/>
      <c r="EJ326" s="54"/>
      <c r="EK326" s="54"/>
      <c r="EL326" s="54"/>
      <c r="EM326" s="54"/>
      <c r="EN326" s="54"/>
      <c r="EO326" s="54"/>
      <c r="EP326" s="54"/>
      <c r="EQ326" s="54"/>
      <c r="ER326" s="54"/>
      <c r="ES326" s="54"/>
      <c r="ET326" s="54"/>
      <c r="EU326" s="54"/>
      <c r="EV326" s="54"/>
      <c r="EW326" s="54"/>
      <c r="EX326" s="54"/>
      <c r="EY326" s="54"/>
      <c r="EZ326" s="54"/>
      <c r="FA326" s="54"/>
      <c r="FB326" s="54"/>
      <c r="FC326" s="54"/>
      <c r="FD326" s="54"/>
      <c r="FE326" s="54"/>
      <c r="FF326" s="54"/>
      <c r="FG326" s="54"/>
      <c r="FH326" s="54"/>
      <c r="FI326" s="54"/>
      <c r="FJ326" s="54"/>
      <c r="FK326" s="54"/>
      <c r="FL326" s="54"/>
      <c r="FM326" s="54"/>
      <c r="FN326" s="54"/>
      <c r="FO326" s="54"/>
      <c r="FP326" s="54"/>
      <c r="FQ326" s="54"/>
      <c r="FR326" s="54"/>
      <c r="FS326" s="54"/>
      <c r="FT326" s="54"/>
      <c r="FU326" s="54"/>
      <c r="FV326" s="54"/>
      <c r="FW326" s="54"/>
      <c r="FX326" s="54"/>
      <c r="FY326" s="54"/>
      <c r="FZ326" s="54"/>
      <c r="GA326" s="54"/>
      <c r="GB326" s="54"/>
      <c r="GC326" s="54"/>
      <c r="GD326" s="54"/>
      <c r="GE326" s="54"/>
      <c r="GF326" s="54"/>
      <c r="GG326" s="54"/>
      <c r="GH326" s="54"/>
      <c r="GI326" s="54"/>
      <c r="GJ326" s="54"/>
      <c r="GK326" s="54"/>
      <c r="GL326" s="54"/>
      <c r="GM326" s="54"/>
      <c r="GN326" s="54"/>
      <c r="GO326" s="54"/>
      <c r="GP326" s="54"/>
      <c r="GQ326" s="54"/>
      <c r="GR326" s="54"/>
      <c r="GS326" s="54"/>
      <c r="GT326" s="54"/>
      <c r="GU326" s="54"/>
      <c r="GV326" s="54"/>
      <c r="GW326" s="54"/>
      <c r="GX326" s="54"/>
      <c r="GY326" s="54"/>
      <c r="GZ326" s="54"/>
      <c r="HA326" s="54"/>
      <c r="HB326" s="54"/>
      <c r="HC326" s="54"/>
      <c r="HD326" s="54"/>
      <c r="HE326" s="54"/>
      <c r="HF326" s="54"/>
      <c r="HG326" s="54"/>
      <c r="HH326" s="54"/>
      <c r="HI326" s="54"/>
      <c r="HJ326" s="54"/>
      <c r="HK326" s="54"/>
      <c r="HL326" s="54"/>
      <c r="HM326" s="54"/>
      <c r="HN326" s="54"/>
      <c r="HO326" s="54"/>
      <c r="HP326" s="54"/>
      <c r="HQ326" s="54"/>
      <c r="HR326" s="54"/>
      <c r="HS326" s="54"/>
      <c r="HT326" s="54"/>
      <c r="HU326" s="54"/>
      <c r="HV326" s="54"/>
      <c r="HW326" s="54"/>
      <c r="HX326" s="54"/>
      <c r="HY326" s="54"/>
      <c r="HZ326" s="54"/>
      <c r="IA326" s="54"/>
      <c r="IB326" s="54"/>
      <c r="IC326" s="54"/>
      <c r="ID326" s="54"/>
      <c r="IE326" s="54"/>
      <c r="IF326" s="54"/>
      <c r="IG326" s="54"/>
      <c r="IH326" s="54"/>
      <c r="IU326" s="152"/>
      <c r="JI326" s="152"/>
      <c r="KM326" s="54"/>
      <c r="KN326" s="54"/>
      <c r="KO326" s="54"/>
      <c r="KP326" s="54"/>
      <c r="KQ326" s="54"/>
      <c r="KR326" s="54"/>
      <c r="KS326" s="54"/>
      <c r="KT326" s="54"/>
      <c r="KU326" s="54"/>
      <c r="KV326" s="54"/>
      <c r="KW326" s="54"/>
      <c r="KX326" s="54"/>
    </row>
    <row r="327" ht="5.2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c r="AB327" s="54"/>
      <c r="AC327" s="54"/>
      <c r="AD327" s="54"/>
      <c r="AE327" s="54"/>
      <c r="AF327" s="54"/>
      <c r="AG327" s="54"/>
      <c r="AH327" s="54"/>
      <c r="AI327" s="54"/>
      <c r="AJ327" s="54"/>
      <c r="AK327" s="54"/>
      <c r="AL327" s="54"/>
      <c r="AM327" s="54"/>
      <c r="AN327" s="54"/>
      <c r="AO327" s="54"/>
      <c r="AP327" s="54"/>
      <c r="AQ327" s="54"/>
      <c r="AR327" s="54"/>
      <c r="AS327" s="54"/>
      <c r="AT327" s="54"/>
      <c r="AU327" s="54"/>
      <c r="AV327" s="54"/>
      <c r="AW327" s="54"/>
      <c r="AX327" s="54"/>
      <c r="AY327" s="54"/>
      <c r="AZ327" s="54"/>
      <c r="BA327" s="54"/>
      <c r="BB327" s="54"/>
      <c r="BC327" s="54"/>
      <c r="BD327" s="54"/>
      <c r="BE327" s="54"/>
      <c r="BF327" s="54"/>
      <c r="BG327" s="54"/>
      <c r="BH327" s="54"/>
      <c r="BI327" s="54"/>
      <c r="BJ327" s="54"/>
      <c r="BK327" s="54"/>
      <c r="BL327" s="54"/>
      <c r="BM327" s="54"/>
      <c r="BN327" s="54"/>
      <c r="BO327" s="54"/>
      <c r="BP327" s="54"/>
      <c r="BQ327" s="54"/>
      <c r="BR327" s="54"/>
      <c r="BS327" s="54"/>
      <c r="BT327" s="54"/>
      <c r="BU327" s="54"/>
      <c r="BV327" s="54"/>
      <c r="BW327" s="54"/>
      <c r="BX327" s="54"/>
      <c r="BY327" s="54"/>
      <c r="BZ327" s="54"/>
      <c r="CA327" s="54"/>
      <c r="CB327" s="54"/>
      <c r="CC327" s="54"/>
      <c r="CD327" s="54"/>
      <c r="CE327" s="54"/>
      <c r="CF327" s="54"/>
      <c r="CG327" s="54"/>
      <c r="CH327" s="54"/>
      <c r="CI327" s="54"/>
      <c r="CJ327" s="54"/>
      <c r="CK327" s="54"/>
      <c r="CL327" s="54"/>
      <c r="CM327" s="54"/>
      <c r="CN327" s="54"/>
      <c r="CO327" s="54"/>
      <c r="CP327" s="54"/>
      <c r="CQ327" s="54"/>
      <c r="CR327" s="54"/>
      <c r="CS327" s="54"/>
      <c r="CT327" s="54"/>
      <c r="CU327" s="54"/>
      <c r="CV327" s="54"/>
      <c r="CW327" s="54"/>
      <c r="CX327" s="54"/>
      <c r="CY327" s="54"/>
      <c r="CZ327" s="54"/>
      <c r="DA327" s="54"/>
      <c r="DB327" s="54"/>
      <c r="DC327" s="54"/>
      <c r="DD327" s="54"/>
      <c r="DE327" s="54"/>
      <c r="DF327" s="54"/>
      <c r="DG327" s="54"/>
      <c r="DH327" s="54"/>
      <c r="DI327" s="54"/>
      <c r="DJ327" s="54"/>
      <c r="DK327" s="54"/>
      <c r="DL327" s="54"/>
      <c r="DM327" s="54"/>
      <c r="DN327" s="54"/>
      <c r="DO327" s="54"/>
      <c r="DP327" s="54"/>
      <c r="DQ327" s="54"/>
      <c r="DR327" s="54"/>
      <c r="DS327" s="54"/>
      <c r="DT327" s="54"/>
      <c r="DU327" s="54"/>
      <c r="DV327" s="54"/>
      <c r="DW327" s="54"/>
      <c r="DX327" s="54"/>
      <c r="DY327" s="54"/>
      <c r="DZ327" s="54"/>
      <c r="EA327" s="54"/>
      <c r="EB327" s="54"/>
      <c r="EC327" s="54"/>
      <c r="ED327" s="54"/>
      <c r="EE327" s="54"/>
      <c r="EF327" s="54"/>
      <c r="EG327" s="54"/>
      <c r="EH327" s="54"/>
      <c r="EI327" s="54"/>
      <c r="EJ327" s="54"/>
      <c r="EK327" s="54"/>
      <c r="EL327" s="54"/>
      <c r="EM327" s="54"/>
      <c r="EN327" s="54"/>
      <c r="EO327" s="54"/>
      <c r="EP327" s="54"/>
      <c r="EQ327" s="54"/>
      <c r="ER327" s="54"/>
      <c r="ES327" s="54"/>
      <c r="ET327" s="54"/>
      <c r="EU327" s="54"/>
      <c r="EV327" s="54"/>
      <c r="EW327" s="54"/>
      <c r="EX327" s="54"/>
      <c r="EY327" s="54"/>
      <c r="EZ327" s="54"/>
      <c r="FA327" s="54"/>
      <c r="FB327" s="54"/>
      <c r="FC327" s="54"/>
      <c r="FD327" s="54"/>
      <c r="FE327" s="54"/>
      <c r="FF327" s="54"/>
      <c r="FG327" s="54"/>
      <c r="FH327" s="54"/>
      <c r="FI327" s="54"/>
      <c r="FJ327" s="54"/>
      <c r="FK327" s="54"/>
      <c r="FL327" s="54"/>
      <c r="FM327" s="54"/>
      <c r="FN327" s="54"/>
      <c r="FO327" s="54"/>
      <c r="FP327" s="54"/>
      <c r="FQ327" s="54"/>
      <c r="FR327" s="54"/>
      <c r="FS327" s="54"/>
      <c r="FT327" s="54"/>
      <c r="FU327" s="54"/>
      <c r="FV327" s="54"/>
      <c r="FW327" s="54"/>
      <c r="FX327" s="54"/>
      <c r="FY327" s="54"/>
      <c r="FZ327" s="54"/>
      <c r="GA327" s="54"/>
      <c r="GB327" s="54"/>
      <c r="GC327" s="54"/>
      <c r="GD327" s="54"/>
      <c r="GE327" s="54"/>
      <c r="GF327" s="54"/>
      <c r="GG327" s="54"/>
      <c r="GH327" s="54"/>
      <c r="GI327" s="54"/>
      <c r="GJ327" s="54"/>
      <c r="GK327" s="54"/>
      <c r="GL327" s="54"/>
      <c r="GM327" s="54"/>
      <c r="GN327" s="54"/>
      <c r="GO327" s="54"/>
      <c r="GP327" s="54"/>
      <c r="GQ327" s="54"/>
      <c r="GR327" s="54"/>
      <c r="GS327" s="54"/>
      <c r="GT327" s="54"/>
      <c r="GU327" s="54"/>
      <c r="GV327" s="54"/>
      <c r="GW327" s="54"/>
      <c r="GX327" s="54"/>
      <c r="GY327" s="54"/>
      <c r="GZ327" s="54"/>
      <c r="HA327" s="54"/>
      <c r="HB327" s="54"/>
      <c r="HC327" s="54"/>
      <c r="HD327" s="54"/>
      <c r="HE327" s="54"/>
      <c r="HF327" s="54"/>
      <c r="HG327" s="54"/>
      <c r="HH327" s="54"/>
      <c r="HI327" s="54"/>
      <c r="HJ327" s="54"/>
      <c r="HK327" s="54"/>
      <c r="HL327" s="54"/>
      <c r="HM327" s="54"/>
      <c r="HN327" s="54"/>
      <c r="HO327" s="54"/>
      <c r="HP327" s="54"/>
      <c r="HQ327" s="54"/>
      <c r="HR327" s="54"/>
      <c r="HS327" s="54"/>
      <c r="HT327" s="54"/>
      <c r="HU327" s="54"/>
      <c r="HV327" s="54"/>
      <c r="HW327" s="54"/>
      <c r="HX327" s="54"/>
      <c r="HY327" s="54"/>
      <c r="HZ327" s="54"/>
      <c r="IA327" s="54"/>
      <c r="IB327" s="54"/>
      <c r="IC327" s="54"/>
      <c r="ID327" s="54"/>
      <c r="IE327" s="54"/>
      <c r="IF327" s="54"/>
      <c r="IG327" s="54"/>
      <c r="IH327" s="54"/>
      <c r="II327" s="13"/>
      <c r="IJ327" s="13"/>
      <c r="IK327" s="13"/>
      <c r="IL327" s="13"/>
      <c r="IM327" s="13"/>
      <c r="IN327" s="13"/>
      <c r="IO327" s="13"/>
      <c r="IP327" s="13"/>
      <c r="IQ327" s="13"/>
      <c r="IR327" s="13"/>
      <c r="IS327" s="13"/>
      <c r="IT327" s="13"/>
      <c r="IU327" s="152"/>
      <c r="IV327" s="13"/>
      <c r="IW327" s="13"/>
      <c r="IX327" s="13"/>
      <c r="IY327" s="13"/>
      <c r="IZ327" s="13"/>
      <c r="JA327" s="13"/>
      <c r="JB327" s="13"/>
      <c r="JC327" s="13"/>
      <c r="JD327" s="13"/>
      <c r="JE327" s="13"/>
      <c r="JF327" s="13"/>
      <c r="JG327" s="13"/>
      <c r="JH327" s="13"/>
      <c r="JI327" s="152"/>
      <c r="JJ327" s="158"/>
      <c r="JK327" s="158"/>
      <c r="JL327" s="158"/>
      <c r="JM327" s="158"/>
      <c r="JN327" s="158"/>
      <c r="JO327" s="158"/>
      <c r="JP327" s="158"/>
      <c r="JQ327" s="158"/>
      <c r="JR327" s="158"/>
      <c r="JS327" s="158"/>
      <c r="JT327" s="158"/>
      <c r="JU327" s="158"/>
      <c r="JV327" s="158"/>
      <c r="JW327" s="158"/>
      <c r="JX327" s="158"/>
      <c r="JY327" s="158"/>
      <c r="JZ327" s="158"/>
      <c r="KA327" s="158"/>
      <c r="KB327" s="158"/>
      <c r="KC327" s="158"/>
      <c r="KD327" s="158"/>
      <c r="KE327" s="158"/>
      <c r="KF327" s="158"/>
      <c r="KG327" s="158"/>
      <c r="KH327" s="158"/>
      <c r="KI327" s="158"/>
      <c r="KJ327" s="158"/>
      <c r="KK327" s="158"/>
      <c r="KL327" s="158"/>
      <c r="KM327" s="54"/>
      <c r="KN327" s="54"/>
      <c r="KO327" s="54"/>
      <c r="KP327" s="54"/>
      <c r="KQ327" s="54"/>
      <c r="KR327" s="54"/>
      <c r="KS327" s="54"/>
      <c r="KT327" s="54"/>
      <c r="KU327" s="54"/>
      <c r="KV327" s="54"/>
      <c r="KW327" s="54"/>
      <c r="KX327" s="54"/>
    </row>
    <row r="328" ht="5.2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c r="AC328" s="54"/>
      <c r="AD328" s="54"/>
      <c r="AE328" s="54"/>
      <c r="AF328" s="54"/>
      <c r="AG328" s="54"/>
      <c r="AH328" s="54"/>
      <c r="AI328" s="54"/>
      <c r="AJ328" s="54"/>
      <c r="AK328" s="54"/>
      <c r="AL328" s="54"/>
      <c r="AM328" s="54"/>
      <c r="AN328" s="54"/>
      <c r="AO328" s="54"/>
      <c r="AP328" s="54"/>
      <c r="AQ328" s="54"/>
      <c r="AR328" s="54"/>
      <c r="AS328" s="54"/>
      <c r="AT328" s="54"/>
      <c r="AU328" s="54"/>
      <c r="AV328" s="54"/>
      <c r="AW328" s="54"/>
      <c r="AX328" s="54"/>
      <c r="AY328" s="54"/>
      <c r="AZ328" s="54"/>
      <c r="BA328" s="54"/>
      <c r="BB328" s="54"/>
      <c r="BC328" s="54"/>
      <c r="BD328" s="54"/>
      <c r="BE328" s="54"/>
      <c r="BF328" s="54"/>
      <c r="BG328" s="54"/>
      <c r="BH328" s="54"/>
      <c r="BI328" s="54"/>
      <c r="BJ328" s="54"/>
      <c r="BK328" s="54"/>
      <c r="BL328" s="54"/>
      <c r="BM328" s="54"/>
      <c r="BN328" s="54"/>
      <c r="BO328" s="54"/>
      <c r="BP328" s="54"/>
      <c r="BQ328" s="54"/>
      <c r="BR328" s="54"/>
      <c r="BS328" s="54"/>
      <c r="BT328" s="54"/>
      <c r="BU328" s="54"/>
      <c r="BV328" s="54"/>
      <c r="BW328" s="54"/>
      <c r="BX328" s="54"/>
      <c r="BY328" s="54"/>
      <c r="BZ328" s="54"/>
      <c r="CA328" s="54"/>
      <c r="CB328" s="54"/>
      <c r="CC328" s="54"/>
      <c r="CD328" s="54"/>
      <c r="CE328" s="54"/>
      <c r="CF328" s="54"/>
      <c r="CG328" s="54"/>
      <c r="CH328" s="54"/>
      <c r="CI328" s="54"/>
      <c r="CJ328" s="54"/>
      <c r="CK328" s="54"/>
      <c r="CL328" s="54"/>
      <c r="CM328" s="54"/>
      <c r="CN328" s="54"/>
      <c r="CO328" s="54"/>
      <c r="CP328" s="54"/>
      <c r="CQ328" s="54"/>
      <c r="CR328" s="54"/>
      <c r="CS328" s="54"/>
      <c r="CT328" s="54"/>
      <c r="CU328" s="54"/>
      <c r="CV328" s="54"/>
      <c r="CW328" s="54"/>
      <c r="CX328" s="54"/>
      <c r="CY328" s="54"/>
      <c r="CZ328" s="54"/>
      <c r="DA328" s="54"/>
      <c r="DB328" s="54"/>
      <c r="DC328" s="54"/>
      <c r="DD328" s="54"/>
      <c r="DE328" s="54"/>
      <c r="DF328" s="54"/>
      <c r="DG328" s="54"/>
      <c r="DH328" s="54"/>
      <c r="DI328" s="54"/>
      <c r="DJ328" s="54"/>
      <c r="DK328" s="54"/>
      <c r="DL328" s="54"/>
      <c r="DM328" s="54"/>
      <c r="DN328" s="54"/>
      <c r="DO328" s="54"/>
      <c r="DP328" s="54"/>
      <c r="DQ328" s="54"/>
      <c r="DR328" s="54"/>
      <c r="DS328" s="54"/>
      <c r="DT328" s="54"/>
      <c r="DU328" s="54"/>
      <c r="DV328" s="54"/>
      <c r="DW328" s="54"/>
      <c r="DX328" s="54"/>
      <c r="DY328" s="54"/>
      <c r="DZ328" s="54"/>
      <c r="EA328" s="54"/>
      <c r="EB328" s="54"/>
      <c r="EC328" s="54"/>
      <c r="ED328" s="54"/>
      <c r="EE328" s="54"/>
      <c r="EF328" s="54"/>
      <c r="EG328" s="54"/>
      <c r="EH328" s="54"/>
      <c r="EI328" s="54"/>
      <c r="EJ328" s="54"/>
      <c r="EK328" s="54"/>
      <c r="EL328" s="54"/>
      <c r="EM328" s="54"/>
      <c r="EN328" s="54"/>
      <c r="EO328" s="54"/>
      <c r="EP328" s="54"/>
      <c r="EQ328" s="54"/>
      <c r="ER328" s="54"/>
      <c r="ES328" s="54"/>
      <c r="ET328" s="54"/>
      <c r="EU328" s="54"/>
      <c r="EV328" s="54"/>
      <c r="EW328" s="54"/>
      <c r="EX328" s="54"/>
      <c r="EY328" s="54"/>
      <c r="EZ328" s="54"/>
      <c r="FA328" s="54"/>
      <c r="FB328" s="54"/>
      <c r="FC328" s="54"/>
      <c r="FD328" s="54"/>
      <c r="FE328" s="54"/>
      <c r="FF328" s="54"/>
      <c r="FG328" s="54"/>
      <c r="FH328" s="54"/>
      <c r="FI328" s="54"/>
      <c r="FJ328" s="54"/>
      <c r="FK328" s="54"/>
      <c r="FL328" s="54"/>
      <c r="FM328" s="54"/>
      <c r="FN328" s="54"/>
      <c r="FO328" s="54"/>
      <c r="FP328" s="54"/>
      <c r="FQ328" s="54"/>
      <c r="FR328" s="54"/>
      <c r="FS328" s="54"/>
      <c r="FT328" s="54"/>
      <c r="FU328" s="54"/>
      <c r="FV328" s="54"/>
      <c r="FW328" s="54"/>
      <c r="FX328" s="54"/>
      <c r="FY328" s="54"/>
      <c r="FZ328" s="54"/>
      <c r="GA328" s="54"/>
      <c r="GB328" s="54"/>
      <c r="GC328" s="54"/>
      <c r="GD328" s="54"/>
      <c r="GE328" s="54"/>
      <c r="GF328" s="54"/>
      <c r="GG328" s="54"/>
      <c r="GH328" s="54"/>
      <c r="GI328" s="54"/>
      <c r="GJ328" s="54"/>
      <c r="GK328" s="54"/>
      <c r="GL328" s="54"/>
      <c r="GM328" s="54"/>
      <c r="GN328" s="54"/>
      <c r="GO328" s="54"/>
      <c r="GP328" s="54"/>
      <c r="GQ328" s="54"/>
      <c r="GR328" s="54"/>
      <c r="GS328" s="54"/>
      <c r="GT328" s="54"/>
      <c r="GU328" s="54"/>
      <c r="GV328" s="54"/>
      <c r="GW328" s="54"/>
      <c r="GX328" s="54"/>
      <c r="GY328" s="54"/>
      <c r="GZ328" s="54"/>
      <c r="HA328" s="54"/>
      <c r="HB328" s="54"/>
      <c r="HC328" s="54"/>
      <c r="HD328" s="54"/>
      <c r="HE328" s="54"/>
      <c r="HF328" s="54"/>
      <c r="HG328" s="54"/>
      <c r="HH328" s="54"/>
      <c r="HI328" s="54"/>
      <c r="HJ328" s="54"/>
      <c r="HK328" s="54"/>
      <c r="HL328" s="54"/>
      <c r="HM328" s="54"/>
      <c r="HN328" s="54"/>
      <c r="HO328" s="54"/>
      <c r="HP328" s="54"/>
      <c r="HQ328" s="54"/>
      <c r="HR328" s="54"/>
      <c r="HS328" s="54"/>
      <c r="HT328" s="54"/>
      <c r="HU328" s="54"/>
      <c r="HV328" s="54"/>
      <c r="HW328" s="54"/>
      <c r="HX328" s="54"/>
      <c r="HY328" s="54"/>
      <c r="HZ328" s="54"/>
      <c r="IA328" s="54"/>
      <c r="IB328" s="54"/>
      <c r="IC328" s="54"/>
      <c r="ID328" s="54"/>
      <c r="IE328" s="54"/>
      <c r="IF328" s="54"/>
      <c r="IG328" s="54"/>
      <c r="IH328" s="54"/>
      <c r="II328" s="166" t="s">
        <v>86</v>
      </c>
      <c r="IU328" s="54"/>
      <c r="IV328" s="167" t="s">
        <v>80</v>
      </c>
      <c r="JI328" s="54"/>
      <c r="JJ328" s="82" t="str">
        <f t="array" ref="JJ328">xlookup(JN328,'Team Entry'!$A:$A,'Team Entry'!$B:$B,"")</f>
        <v/>
      </c>
      <c r="JN328" s="156" t="str">
        <f>if(or('Contender Stage'!FJ175="",'Contender Stage'!FN175="",'Contender Stage'!FJ182="",'Contender Stage'!FJ189="",'Contender Stage'!FN182="",'Contender Stage'!FN189=""),"TBD",'Contender Results'!Y98)</f>
        <v>TBD</v>
      </c>
      <c r="KM328" s="54"/>
      <c r="KN328" s="54"/>
      <c r="KO328" s="54"/>
      <c r="KP328" s="54"/>
      <c r="KQ328" s="54"/>
      <c r="KR328" s="54"/>
      <c r="KS328" s="54"/>
      <c r="KT328" s="54"/>
      <c r="KU328" s="54"/>
      <c r="KV328" s="54"/>
      <c r="KW328" s="54"/>
      <c r="KX328" s="54"/>
    </row>
    <row r="329" ht="5.2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c r="AC329" s="54"/>
      <c r="AD329" s="54"/>
      <c r="AE329" s="54"/>
      <c r="AF329" s="54"/>
      <c r="AG329" s="54"/>
      <c r="AH329" s="54"/>
      <c r="AI329" s="54"/>
      <c r="AJ329" s="54"/>
      <c r="AK329" s="54"/>
      <c r="AL329" s="54"/>
      <c r="AM329" s="54"/>
      <c r="AN329" s="54"/>
      <c r="AO329" s="54"/>
      <c r="AP329" s="54"/>
      <c r="AQ329" s="54"/>
      <c r="AR329" s="54"/>
      <c r="AS329" s="54"/>
      <c r="AT329" s="54"/>
      <c r="AU329" s="54"/>
      <c r="AV329" s="54"/>
      <c r="AW329" s="54"/>
      <c r="AX329" s="54"/>
      <c r="AY329" s="54"/>
      <c r="AZ329" s="54"/>
      <c r="BA329" s="54"/>
      <c r="BB329" s="54"/>
      <c r="BC329" s="54"/>
      <c r="BD329" s="54"/>
      <c r="BE329" s="54"/>
      <c r="BF329" s="54"/>
      <c r="BG329" s="54"/>
      <c r="BH329" s="54"/>
      <c r="BI329" s="54"/>
      <c r="BJ329" s="54"/>
      <c r="BK329" s="54"/>
      <c r="BL329" s="54"/>
      <c r="BM329" s="54"/>
      <c r="BN329" s="54"/>
      <c r="BO329" s="54"/>
      <c r="BP329" s="54"/>
      <c r="BQ329" s="54"/>
      <c r="BR329" s="54"/>
      <c r="BS329" s="54"/>
      <c r="BT329" s="54"/>
      <c r="BU329" s="54"/>
      <c r="BV329" s="54"/>
      <c r="BW329" s="54"/>
      <c r="BX329" s="54"/>
      <c r="BY329" s="54"/>
      <c r="BZ329" s="54"/>
      <c r="CA329" s="54"/>
      <c r="CB329" s="54"/>
      <c r="CC329" s="54"/>
      <c r="CD329" s="54"/>
      <c r="CE329" s="54"/>
      <c r="CF329" s="54"/>
      <c r="CG329" s="54"/>
      <c r="CH329" s="54"/>
      <c r="CI329" s="54"/>
      <c r="CJ329" s="54"/>
      <c r="CK329" s="54"/>
      <c r="CL329" s="54"/>
      <c r="CM329" s="54"/>
      <c r="CN329" s="54"/>
      <c r="CO329" s="54"/>
      <c r="CP329" s="54"/>
      <c r="CQ329" s="54"/>
      <c r="CR329" s="54"/>
      <c r="CS329" s="54"/>
      <c r="CT329" s="54"/>
      <c r="CU329" s="54"/>
      <c r="CV329" s="54"/>
      <c r="CW329" s="54"/>
      <c r="CX329" s="54"/>
      <c r="CY329" s="54"/>
      <c r="CZ329" s="54"/>
      <c r="DA329" s="54"/>
      <c r="DB329" s="54"/>
      <c r="DC329" s="54"/>
      <c r="DD329" s="54"/>
      <c r="DE329" s="54"/>
      <c r="DF329" s="54"/>
      <c r="DG329" s="54"/>
      <c r="DH329" s="54"/>
      <c r="DI329" s="54"/>
      <c r="DJ329" s="54"/>
      <c r="DK329" s="54"/>
      <c r="DL329" s="54"/>
      <c r="DM329" s="54"/>
      <c r="DN329" s="54"/>
      <c r="DO329" s="54"/>
      <c r="DP329" s="54"/>
      <c r="DQ329" s="54"/>
      <c r="DR329" s="54"/>
      <c r="DS329" s="54"/>
      <c r="DT329" s="54"/>
      <c r="DU329" s="54"/>
      <c r="DV329" s="54"/>
      <c r="DW329" s="54"/>
      <c r="DX329" s="54"/>
      <c r="DY329" s="54"/>
      <c r="DZ329" s="54"/>
      <c r="EA329" s="54"/>
      <c r="EB329" s="54"/>
      <c r="EC329" s="54"/>
      <c r="ED329" s="54"/>
      <c r="EE329" s="54"/>
      <c r="EF329" s="54"/>
      <c r="EG329" s="54"/>
      <c r="EH329" s="54"/>
      <c r="EI329" s="54"/>
      <c r="EJ329" s="54"/>
      <c r="EK329" s="54"/>
      <c r="EL329" s="54"/>
      <c r="EM329" s="54"/>
      <c r="EN329" s="54"/>
      <c r="EO329" s="54"/>
      <c r="EP329" s="54"/>
      <c r="EQ329" s="54"/>
      <c r="ER329" s="54"/>
      <c r="ES329" s="54"/>
      <c r="ET329" s="54"/>
      <c r="EU329" s="54"/>
      <c r="EV329" s="54"/>
      <c r="EW329" s="54"/>
      <c r="EX329" s="54"/>
      <c r="EY329" s="54"/>
      <c r="EZ329" s="54"/>
      <c r="FA329" s="54"/>
      <c r="FB329" s="54"/>
      <c r="FC329" s="54"/>
      <c r="FD329" s="54"/>
      <c r="FE329" s="54"/>
      <c r="FF329" s="54"/>
      <c r="FG329" s="54"/>
      <c r="FH329" s="54"/>
      <c r="FI329" s="54"/>
      <c r="FJ329" s="54"/>
      <c r="FK329" s="54"/>
      <c r="FL329" s="54"/>
      <c r="FM329" s="54"/>
      <c r="FN329" s="54"/>
      <c r="FO329" s="54"/>
      <c r="FP329" s="54"/>
      <c r="FQ329" s="54"/>
      <c r="FR329" s="54"/>
      <c r="FS329" s="54"/>
      <c r="FT329" s="54"/>
      <c r="FU329" s="54"/>
      <c r="FV329" s="54"/>
      <c r="FW329" s="54"/>
      <c r="FX329" s="54"/>
      <c r="FY329" s="54"/>
      <c r="FZ329" s="54"/>
      <c r="GA329" s="54"/>
      <c r="GB329" s="54"/>
      <c r="GC329" s="54"/>
      <c r="GD329" s="54"/>
      <c r="GE329" s="54"/>
      <c r="GF329" s="54"/>
      <c r="GG329" s="54"/>
      <c r="GH329" s="54"/>
      <c r="GI329" s="54"/>
      <c r="GJ329" s="54"/>
      <c r="GK329" s="54"/>
      <c r="GL329" s="54"/>
      <c r="GM329" s="54"/>
      <c r="GN329" s="54"/>
      <c r="GO329" s="54"/>
      <c r="GP329" s="54"/>
      <c r="GQ329" s="54"/>
      <c r="GR329" s="54"/>
      <c r="GS329" s="54"/>
      <c r="GT329" s="54"/>
      <c r="GU329" s="54"/>
      <c r="GV329" s="54"/>
      <c r="GW329" s="54"/>
      <c r="GX329" s="54"/>
      <c r="GY329" s="54"/>
      <c r="GZ329" s="54"/>
      <c r="HA329" s="54"/>
      <c r="HB329" s="54"/>
      <c r="HC329" s="54"/>
      <c r="HD329" s="54"/>
      <c r="HE329" s="54"/>
      <c r="HF329" s="54"/>
      <c r="HG329" s="54"/>
      <c r="HH329" s="54"/>
      <c r="HI329" s="54"/>
      <c r="HJ329" s="54"/>
      <c r="HK329" s="54"/>
      <c r="HL329" s="54"/>
      <c r="HM329" s="54"/>
      <c r="HN329" s="54"/>
      <c r="HO329" s="54"/>
      <c r="HP329" s="54"/>
      <c r="HQ329" s="54"/>
      <c r="HR329" s="54"/>
      <c r="HS329" s="54"/>
      <c r="HT329" s="54"/>
      <c r="HU329" s="54"/>
      <c r="HV329" s="54"/>
      <c r="HW329" s="54"/>
      <c r="HX329" s="54"/>
      <c r="HY329" s="54"/>
      <c r="HZ329" s="54"/>
      <c r="IA329" s="54"/>
      <c r="IB329" s="54"/>
      <c r="IC329" s="54"/>
      <c r="ID329" s="54"/>
      <c r="IE329" s="54"/>
      <c r="IF329" s="54"/>
      <c r="IG329" s="54"/>
      <c r="IH329" s="54"/>
      <c r="IU329" s="54"/>
      <c r="JI329" s="54"/>
      <c r="KM329" s="54"/>
      <c r="KN329" s="54"/>
      <c r="KO329" s="54"/>
      <c r="KP329" s="54"/>
      <c r="KQ329" s="54"/>
      <c r="KR329" s="54"/>
      <c r="KS329" s="54"/>
      <c r="KT329" s="54"/>
      <c r="KU329" s="54"/>
      <c r="KV329" s="54"/>
      <c r="KW329" s="54"/>
      <c r="KX329" s="54"/>
    </row>
    <row r="330" ht="5.2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4"/>
      <c r="AC330" s="54"/>
      <c r="AD330" s="54"/>
      <c r="AE330" s="54"/>
      <c r="AF330" s="54"/>
      <c r="AG330" s="54"/>
      <c r="AH330" s="54"/>
      <c r="AI330" s="54"/>
      <c r="AJ330" s="54"/>
      <c r="AK330" s="54"/>
      <c r="AL330" s="54"/>
      <c r="AM330" s="54"/>
      <c r="AN330" s="54"/>
      <c r="AO330" s="54"/>
      <c r="AP330" s="54"/>
      <c r="AQ330" s="54"/>
      <c r="AR330" s="54"/>
      <c r="AS330" s="54"/>
      <c r="AT330" s="54"/>
      <c r="AU330" s="54"/>
      <c r="AV330" s="54"/>
      <c r="AW330" s="54"/>
      <c r="AX330" s="54"/>
      <c r="AY330" s="54"/>
      <c r="AZ330" s="54"/>
      <c r="BA330" s="54"/>
      <c r="BB330" s="54"/>
      <c r="BC330" s="54"/>
      <c r="BD330" s="54"/>
      <c r="BE330" s="54"/>
      <c r="BF330" s="54"/>
      <c r="BG330" s="54"/>
      <c r="BH330" s="54"/>
      <c r="BI330" s="54"/>
      <c r="BJ330" s="54"/>
      <c r="BK330" s="54"/>
      <c r="BL330" s="54"/>
      <c r="BM330" s="54"/>
      <c r="BN330" s="54"/>
      <c r="BO330" s="54"/>
      <c r="BP330" s="54"/>
      <c r="BQ330" s="54"/>
      <c r="BR330" s="54"/>
      <c r="BS330" s="54"/>
      <c r="BT330" s="54"/>
      <c r="BU330" s="54"/>
      <c r="BV330" s="54"/>
      <c r="BW330" s="54"/>
      <c r="BX330" s="54"/>
      <c r="BY330" s="54"/>
      <c r="BZ330" s="54"/>
      <c r="CA330" s="54"/>
      <c r="CB330" s="54"/>
      <c r="CC330" s="54"/>
      <c r="CD330" s="54"/>
      <c r="CE330" s="54"/>
      <c r="CF330" s="54"/>
      <c r="CG330" s="54"/>
      <c r="CH330" s="54"/>
      <c r="CI330" s="54"/>
      <c r="CJ330" s="54"/>
      <c r="CK330" s="54"/>
      <c r="CL330" s="54"/>
      <c r="CM330" s="54"/>
      <c r="CN330" s="54"/>
      <c r="CO330" s="54"/>
      <c r="CP330" s="54"/>
      <c r="CQ330" s="54"/>
      <c r="CR330" s="54"/>
      <c r="CS330" s="54"/>
      <c r="CT330" s="54"/>
      <c r="CU330" s="54"/>
      <c r="CV330" s="54"/>
      <c r="CW330" s="54"/>
      <c r="CX330" s="54"/>
      <c r="CY330" s="54"/>
      <c r="CZ330" s="54"/>
      <c r="DA330" s="54"/>
      <c r="DB330" s="54"/>
      <c r="DC330" s="54"/>
      <c r="DD330" s="54"/>
      <c r="DE330" s="54"/>
      <c r="DF330" s="54"/>
      <c r="DG330" s="54"/>
      <c r="DH330" s="54"/>
      <c r="DI330" s="54"/>
      <c r="DJ330" s="54"/>
      <c r="DK330" s="54"/>
      <c r="DL330" s="54"/>
      <c r="DM330" s="54"/>
      <c r="DN330" s="54"/>
      <c r="DO330" s="54"/>
      <c r="DP330" s="54"/>
      <c r="DQ330" s="54"/>
      <c r="DR330" s="54"/>
      <c r="DS330" s="54"/>
      <c r="DT330" s="54"/>
      <c r="DU330" s="54"/>
      <c r="DV330" s="54"/>
      <c r="DW330" s="54"/>
      <c r="DX330" s="54"/>
      <c r="DY330" s="54"/>
      <c r="DZ330" s="54"/>
      <c r="EA330" s="54"/>
      <c r="EB330" s="54"/>
      <c r="EC330" s="54"/>
      <c r="ED330" s="54"/>
      <c r="EE330" s="54"/>
      <c r="EF330" s="54"/>
      <c r="EG330" s="54"/>
      <c r="EH330" s="54"/>
      <c r="EI330" s="54"/>
      <c r="EJ330" s="54"/>
      <c r="EK330" s="54"/>
      <c r="EL330" s="54"/>
      <c r="EM330" s="54"/>
      <c r="EN330" s="54"/>
      <c r="EO330" s="54"/>
      <c r="EP330" s="54"/>
      <c r="EQ330" s="54"/>
      <c r="ER330" s="54"/>
      <c r="ES330" s="54"/>
      <c r="ET330" s="54"/>
      <c r="EU330" s="54"/>
      <c r="EV330" s="54"/>
      <c r="EW330" s="54"/>
      <c r="EX330" s="54"/>
      <c r="EY330" s="54"/>
      <c r="EZ330" s="54"/>
      <c r="FA330" s="54"/>
      <c r="FB330" s="54"/>
      <c r="FC330" s="54"/>
      <c r="FD330" s="54"/>
      <c r="FE330" s="54"/>
      <c r="FF330" s="54"/>
      <c r="FG330" s="54"/>
      <c r="FH330" s="54"/>
      <c r="FI330" s="54"/>
      <c r="FJ330" s="54"/>
      <c r="FK330" s="54"/>
      <c r="FL330" s="54"/>
      <c r="FM330" s="54"/>
      <c r="FN330" s="54"/>
      <c r="FO330" s="54"/>
      <c r="FP330" s="54"/>
      <c r="FQ330" s="54"/>
      <c r="FR330" s="54"/>
      <c r="FS330" s="54"/>
      <c r="FT330" s="54"/>
      <c r="FU330" s="54"/>
      <c r="FV330" s="54"/>
      <c r="FW330" s="54"/>
      <c r="FX330" s="54"/>
      <c r="FY330" s="54"/>
      <c r="FZ330" s="54"/>
      <c r="GA330" s="54"/>
      <c r="GB330" s="54"/>
      <c r="GC330" s="54"/>
      <c r="GD330" s="54"/>
      <c r="GE330" s="54"/>
      <c r="GF330" s="54"/>
      <c r="GG330" s="54"/>
      <c r="GH330" s="54"/>
      <c r="GI330" s="54"/>
      <c r="GJ330" s="54"/>
      <c r="GK330" s="54"/>
      <c r="GL330" s="54"/>
      <c r="GM330" s="54"/>
      <c r="GN330" s="54"/>
      <c r="GO330" s="54"/>
      <c r="GP330" s="54"/>
      <c r="GQ330" s="54"/>
      <c r="GR330" s="54"/>
      <c r="GS330" s="54"/>
      <c r="GT330" s="54"/>
      <c r="GU330" s="54"/>
      <c r="GV330" s="54"/>
      <c r="GW330" s="54"/>
      <c r="GX330" s="54"/>
      <c r="GY330" s="54"/>
      <c r="GZ330" s="54"/>
      <c r="HA330" s="54"/>
      <c r="HB330" s="54"/>
      <c r="HC330" s="54"/>
      <c r="HD330" s="54"/>
      <c r="HE330" s="54"/>
      <c r="HF330" s="54"/>
      <c r="HG330" s="54"/>
      <c r="HH330" s="54"/>
      <c r="HI330" s="54"/>
      <c r="HJ330" s="54"/>
      <c r="HK330" s="54"/>
      <c r="HL330" s="54"/>
      <c r="HM330" s="54"/>
      <c r="HN330" s="54"/>
      <c r="HO330" s="54"/>
      <c r="HP330" s="54"/>
      <c r="HQ330" s="54"/>
      <c r="HR330" s="54"/>
      <c r="HS330" s="54"/>
      <c r="HT330" s="54"/>
      <c r="HU330" s="54"/>
      <c r="HV330" s="54"/>
      <c r="HW330" s="54"/>
      <c r="HX330" s="54"/>
      <c r="HY330" s="54"/>
      <c r="HZ330" s="54"/>
      <c r="IA330" s="54"/>
      <c r="IB330" s="54"/>
      <c r="IC330" s="54"/>
      <c r="ID330" s="54"/>
      <c r="IE330" s="54"/>
      <c r="IF330" s="54"/>
      <c r="IG330" s="54"/>
      <c r="IH330" s="54"/>
      <c r="IU330" s="54"/>
      <c r="JI330" s="54"/>
      <c r="KM330" s="54"/>
      <c r="KN330" s="54"/>
      <c r="KO330" s="54"/>
      <c r="KP330" s="54"/>
      <c r="KQ330" s="54"/>
      <c r="KR330" s="54"/>
      <c r="KS330" s="54"/>
      <c r="KT330" s="54"/>
      <c r="KU330" s="54"/>
      <c r="KV330" s="54"/>
      <c r="KW330" s="54"/>
      <c r="KX330" s="54"/>
    </row>
    <row r="331" ht="5.2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c r="AL331" s="54"/>
      <c r="AM331" s="54"/>
      <c r="AN331" s="54"/>
      <c r="AO331" s="54"/>
      <c r="AP331" s="54"/>
      <c r="AQ331" s="54"/>
      <c r="AR331" s="54"/>
      <c r="AS331" s="54"/>
      <c r="AT331" s="54"/>
      <c r="AU331" s="54"/>
      <c r="AV331" s="54"/>
      <c r="AW331" s="54"/>
      <c r="AX331" s="54"/>
      <c r="AY331" s="54"/>
      <c r="AZ331" s="54"/>
      <c r="BA331" s="54"/>
      <c r="BB331" s="54"/>
      <c r="BC331" s="54"/>
      <c r="BD331" s="54"/>
      <c r="BE331" s="54"/>
      <c r="BF331" s="54"/>
      <c r="BG331" s="54"/>
      <c r="BH331" s="54"/>
      <c r="BI331" s="54"/>
      <c r="BJ331" s="54"/>
      <c r="BK331" s="54"/>
      <c r="BL331" s="54"/>
      <c r="BM331" s="54"/>
      <c r="BN331" s="54"/>
      <c r="BO331" s="54"/>
      <c r="BP331" s="54"/>
      <c r="BQ331" s="54"/>
      <c r="BR331" s="54"/>
      <c r="BS331" s="54"/>
      <c r="BT331" s="54"/>
      <c r="BU331" s="54"/>
      <c r="BV331" s="54"/>
      <c r="BW331" s="54"/>
      <c r="BX331" s="54"/>
      <c r="BY331" s="54"/>
      <c r="BZ331" s="54"/>
      <c r="CA331" s="54"/>
      <c r="CB331" s="54"/>
      <c r="CC331" s="54"/>
      <c r="CD331" s="54"/>
      <c r="CE331" s="54"/>
      <c r="CF331" s="54"/>
      <c r="CG331" s="54"/>
      <c r="CH331" s="54"/>
      <c r="CI331" s="54"/>
      <c r="CJ331" s="54"/>
      <c r="CK331" s="54"/>
      <c r="CL331" s="54"/>
      <c r="CM331" s="54"/>
      <c r="CN331" s="54"/>
      <c r="CO331" s="54"/>
      <c r="CP331" s="54"/>
      <c r="CQ331" s="54"/>
      <c r="CR331" s="54"/>
      <c r="CS331" s="54"/>
      <c r="CT331" s="54"/>
      <c r="CU331" s="54"/>
      <c r="CV331" s="54"/>
      <c r="CW331" s="54"/>
      <c r="CX331" s="54"/>
      <c r="CY331" s="54"/>
      <c r="CZ331" s="54"/>
      <c r="DA331" s="54"/>
      <c r="DB331" s="54"/>
      <c r="DC331" s="54"/>
      <c r="DD331" s="54"/>
      <c r="DE331" s="54"/>
      <c r="DF331" s="54"/>
      <c r="DG331" s="54"/>
      <c r="DH331" s="54"/>
      <c r="DI331" s="54"/>
      <c r="DJ331" s="54"/>
      <c r="DK331" s="54"/>
      <c r="DL331" s="54"/>
      <c r="DM331" s="54"/>
      <c r="DN331" s="54"/>
      <c r="DO331" s="54"/>
      <c r="DP331" s="54"/>
      <c r="DQ331" s="54"/>
      <c r="DR331" s="54"/>
      <c r="DS331" s="54"/>
      <c r="DT331" s="54"/>
      <c r="DU331" s="54"/>
      <c r="DV331" s="54"/>
      <c r="DW331" s="54"/>
      <c r="DX331" s="54"/>
      <c r="DY331" s="54"/>
      <c r="DZ331" s="54"/>
      <c r="EA331" s="54"/>
      <c r="EB331" s="54"/>
      <c r="EC331" s="54"/>
      <c r="ED331" s="54"/>
      <c r="EE331" s="54"/>
      <c r="EF331" s="54"/>
      <c r="EG331" s="54"/>
      <c r="EH331" s="54"/>
      <c r="EI331" s="54"/>
      <c r="EJ331" s="54"/>
      <c r="EK331" s="54"/>
      <c r="EL331" s="54"/>
      <c r="EM331" s="54"/>
      <c r="EN331" s="54"/>
      <c r="EO331" s="54"/>
      <c r="EP331" s="54"/>
      <c r="EQ331" s="54"/>
      <c r="ER331" s="54"/>
      <c r="ES331" s="54"/>
      <c r="ET331" s="54"/>
      <c r="EU331" s="54"/>
      <c r="EV331" s="54"/>
      <c r="EW331" s="54"/>
      <c r="EX331" s="54"/>
      <c r="EY331" s="54"/>
      <c r="EZ331" s="54"/>
      <c r="FA331" s="54"/>
      <c r="FB331" s="54"/>
      <c r="FC331" s="54"/>
      <c r="FD331" s="54"/>
      <c r="FE331" s="54"/>
      <c r="FF331" s="54"/>
      <c r="FG331" s="54"/>
      <c r="FH331" s="54"/>
      <c r="FI331" s="54"/>
      <c r="FJ331" s="54"/>
      <c r="FK331" s="54"/>
      <c r="FL331" s="54"/>
      <c r="FM331" s="54"/>
      <c r="FN331" s="54"/>
      <c r="FO331" s="54"/>
      <c r="FP331" s="54"/>
      <c r="FQ331" s="54"/>
      <c r="FR331" s="54"/>
      <c r="FS331" s="54"/>
      <c r="FT331" s="54"/>
      <c r="FU331" s="54"/>
      <c r="FV331" s="54"/>
      <c r="FW331" s="54"/>
      <c r="FX331" s="54"/>
      <c r="FY331" s="54"/>
      <c r="FZ331" s="54"/>
      <c r="GA331" s="54"/>
      <c r="GB331" s="54"/>
      <c r="GC331" s="54"/>
      <c r="GD331" s="54"/>
      <c r="GE331" s="54"/>
      <c r="GF331" s="54"/>
      <c r="GG331" s="54"/>
      <c r="GH331" s="54"/>
      <c r="GI331" s="54"/>
      <c r="GJ331" s="54"/>
      <c r="GK331" s="54"/>
      <c r="GL331" s="54"/>
      <c r="GM331" s="54"/>
      <c r="GN331" s="54"/>
      <c r="GO331" s="54"/>
      <c r="GP331" s="54"/>
      <c r="GQ331" s="54"/>
      <c r="GR331" s="54"/>
      <c r="GS331" s="54"/>
      <c r="GT331" s="54"/>
      <c r="GU331" s="54"/>
      <c r="GV331" s="54"/>
      <c r="GW331" s="54"/>
      <c r="GX331" s="54"/>
      <c r="GY331" s="54"/>
      <c r="GZ331" s="54"/>
      <c r="HA331" s="54"/>
      <c r="HB331" s="54"/>
      <c r="HC331" s="54"/>
      <c r="HD331" s="54"/>
      <c r="HE331" s="54"/>
      <c r="HF331" s="54"/>
      <c r="HG331" s="54"/>
      <c r="HH331" s="54"/>
      <c r="HI331" s="54"/>
      <c r="HJ331" s="54"/>
      <c r="HK331" s="54"/>
      <c r="HL331" s="54"/>
      <c r="HM331" s="54"/>
      <c r="HN331" s="54"/>
      <c r="HO331" s="54"/>
      <c r="HP331" s="54"/>
      <c r="HQ331" s="54"/>
      <c r="HR331" s="54"/>
      <c r="HS331" s="54"/>
      <c r="HT331" s="54"/>
      <c r="HU331" s="54"/>
      <c r="HV331" s="54"/>
      <c r="HW331" s="54"/>
      <c r="HX331" s="54"/>
      <c r="HY331" s="54"/>
      <c r="HZ331" s="54"/>
      <c r="IA331" s="54"/>
      <c r="IB331" s="54"/>
      <c r="IC331" s="54"/>
      <c r="ID331" s="54"/>
      <c r="IE331" s="54"/>
      <c r="IF331" s="54"/>
      <c r="IG331" s="54"/>
      <c r="IH331" s="54"/>
      <c r="IU331" s="54"/>
      <c r="JI331" s="54"/>
      <c r="JJ331" s="158"/>
      <c r="JK331" s="158"/>
      <c r="JL331" s="158"/>
      <c r="JM331" s="158"/>
      <c r="JN331" s="158"/>
      <c r="JO331" s="158"/>
      <c r="JP331" s="158"/>
      <c r="JQ331" s="158"/>
      <c r="JR331" s="158"/>
      <c r="JS331" s="158"/>
      <c r="JT331" s="158"/>
      <c r="JU331" s="158"/>
      <c r="JV331" s="158"/>
      <c r="JW331" s="158"/>
      <c r="JX331" s="158"/>
      <c r="JY331" s="158"/>
      <c r="JZ331" s="158"/>
      <c r="KA331" s="158"/>
      <c r="KB331" s="158"/>
      <c r="KC331" s="158"/>
      <c r="KD331" s="158"/>
      <c r="KE331" s="158"/>
      <c r="KF331" s="158"/>
      <c r="KG331" s="158"/>
      <c r="KH331" s="158"/>
      <c r="KI331" s="158"/>
      <c r="KJ331" s="158"/>
      <c r="KK331" s="158"/>
      <c r="KL331" s="158"/>
      <c r="KM331" s="54"/>
      <c r="KN331" s="54"/>
      <c r="KO331" s="54"/>
      <c r="KP331" s="54"/>
      <c r="KQ331" s="54"/>
      <c r="KR331" s="54"/>
      <c r="KS331" s="54"/>
      <c r="KT331" s="54"/>
      <c r="KU331" s="54"/>
      <c r="KV331" s="54"/>
      <c r="KW331" s="54"/>
      <c r="KX331" s="54"/>
    </row>
    <row r="332" ht="5.2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c r="AB332" s="54"/>
      <c r="AC332" s="54"/>
      <c r="AD332" s="54"/>
      <c r="AE332" s="54"/>
      <c r="AF332" s="54"/>
      <c r="AG332" s="54"/>
      <c r="AH332" s="54"/>
      <c r="AI332" s="54"/>
      <c r="AJ332" s="54"/>
      <c r="AK332" s="54"/>
      <c r="AL332" s="54"/>
      <c r="AM332" s="54"/>
      <c r="AN332" s="54"/>
      <c r="AO332" s="54"/>
      <c r="AP332" s="54"/>
      <c r="AQ332" s="54"/>
      <c r="AR332" s="54"/>
      <c r="AS332" s="54"/>
      <c r="AT332" s="54"/>
      <c r="AU332" s="54"/>
      <c r="AV332" s="54"/>
      <c r="AW332" s="54"/>
      <c r="AX332" s="54"/>
      <c r="AY332" s="54"/>
      <c r="AZ332" s="54"/>
      <c r="BA332" s="54"/>
      <c r="BB332" s="54"/>
      <c r="BC332" s="54"/>
      <c r="BD332" s="54"/>
      <c r="BE332" s="54"/>
      <c r="BF332" s="54"/>
      <c r="BG332" s="54"/>
      <c r="BH332" s="54"/>
      <c r="BI332" s="54"/>
      <c r="BJ332" s="54"/>
      <c r="BK332" s="54"/>
      <c r="BL332" s="54"/>
      <c r="BM332" s="54"/>
      <c r="BN332" s="54"/>
      <c r="BO332" s="54"/>
      <c r="BP332" s="54"/>
      <c r="BQ332" s="54"/>
      <c r="BR332" s="54"/>
      <c r="BS332" s="54"/>
      <c r="BT332" s="54"/>
      <c r="BU332" s="54"/>
      <c r="BV332" s="54"/>
      <c r="BW332" s="54"/>
      <c r="BX332" s="54"/>
      <c r="BY332" s="54"/>
      <c r="BZ332" s="54"/>
      <c r="CA332" s="54"/>
      <c r="CB332" s="54"/>
      <c r="CC332" s="54"/>
      <c r="CD332" s="54"/>
      <c r="CE332" s="54"/>
      <c r="CF332" s="54"/>
      <c r="CG332" s="54"/>
      <c r="CH332" s="54"/>
      <c r="CI332" s="54"/>
      <c r="CJ332" s="54"/>
      <c r="CK332" s="54"/>
      <c r="CL332" s="54"/>
      <c r="CM332" s="54"/>
      <c r="CN332" s="54"/>
      <c r="CO332" s="54"/>
      <c r="CP332" s="54"/>
      <c r="CQ332" s="54"/>
      <c r="CR332" s="54"/>
      <c r="CS332" s="54"/>
      <c r="CT332" s="54"/>
      <c r="CU332" s="54"/>
      <c r="CV332" s="54"/>
      <c r="CW332" s="54"/>
      <c r="CX332" s="54"/>
      <c r="CY332" s="54"/>
      <c r="CZ332" s="54"/>
      <c r="DA332" s="54"/>
      <c r="DB332" s="54"/>
      <c r="DC332" s="54"/>
      <c r="DD332" s="54"/>
      <c r="DE332" s="54"/>
      <c r="DF332" s="54"/>
      <c r="DG332" s="54"/>
      <c r="DH332" s="54"/>
      <c r="DI332" s="54"/>
      <c r="DJ332" s="54"/>
      <c r="DK332" s="54"/>
      <c r="DL332" s="54"/>
      <c r="DM332" s="54"/>
      <c r="DN332" s="54"/>
      <c r="DO332" s="54"/>
      <c r="DP332" s="54"/>
      <c r="DQ332" s="54"/>
      <c r="DR332" s="54"/>
      <c r="DS332" s="54"/>
      <c r="DT332" s="54"/>
      <c r="DU332" s="54"/>
      <c r="DV332" s="54"/>
      <c r="DW332" s="54"/>
      <c r="DX332" s="54"/>
      <c r="DY332" s="54"/>
      <c r="DZ332" s="54"/>
      <c r="EA332" s="54"/>
      <c r="EB332" s="54"/>
      <c r="EC332" s="54"/>
      <c r="ED332" s="54"/>
      <c r="EE332" s="54"/>
      <c r="EF332" s="54"/>
      <c r="EG332" s="54"/>
      <c r="EH332" s="54"/>
      <c r="EI332" s="54"/>
      <c r="EJ332" s="54"/>
      <c r="EK332" s="54"/>
      <c r="EL332" s="54"/>
      <c r="EM332" s="54"/>
      <c r="EN332" s="54"/>
      <c r="EO332" s="54"/>
      <c r="EP332" s="54"/>
      <c r="EQ332" s="54"/>
      <c r="ER332" s="54"/>
      <c r="ES332" s="54"/>
      <c r="ET332" s="54"/>
      <c r="EU332" s="54"/>
      <c r="EV332" s="54"/>
      <c r="EW332" s="54"/>
      <c r="EX332" s="54"/>
      <c r="EY332" s="54"/>
      <c r="EZ332" s="54"/>
      <c r="FA332" s="54"/>
      <c r="FB332" s="54"/>
      <c r="FC332" s="54"/>
      <c r="FD332" s="54"/>
      <c r="FE332" s="54"/>
      <c r="FF332" s="54"/>
      <c r="FG332" s="54"/>
      <c r="FH332" s="54"/>
      <c r="FI332" s="54"/>
      <c r="FJ332" s="54"/>
      <c r="FK332" s="54"/>
      <c r="FL332" s="54"/>
      <c r="FM332" s="54"/>
      <c r="FN332" s="54"/>
      <c r="FO332" s="54"/>
      <c r="FP332" s="54"/>
      <c r="FQ332" s="54"/>
      <c r="FR332" s="54"/>
      <c r="FS332" s="54"/>
      <c r="FT332" s="54"/>
      <c r="FU332" s="54"/>
      <c r="FV332" s="54"/>
      <c r="FW332" s="54"/>
      <c r="FX332" s="54"/>
      <c r="FY332" s="54"/>
      <c r="FZ332" s="54"/>
      <c r="GA332" s="54"/>
      <c r="GB332" s="54"/>
      <c r="GC332" s="54"/>
      <c r="GD332" s="54"/>
      <c r="GE332" s="54"/>
      <c r="GF332" s="54"/>
      <c r="GG332" s="54"/>
      <c r="GH332" s="54"/>
      <c r="GI332" s="54"/>
      <c r="GJ332" s="54"/>
      <c r="GK332" s="54"/>
      <c r="GL332" s="54"/>
      <c r="GM332" s="54"/>
      <c r="GN332" s="54"/>
      <c r="GO332" s="54"/>
      <c r="GP332" s="54"/>
      <c r="GQ332" s="54"/>
      <c r="GR332" s="54"/>
      <c r="GS332" s="54"/>
      <c r="GT332" s="54"/>
      <c r="GU332" s="54"/>
      <c r="GV332" s="54"/>
      <c r="GW332" s="54"/>
      <c r="GX332" s="54"/>
      <c r="GY332" s="54"/>
      <c r="GZ332" s="54"/>
      <c r="HA332" s="54"/>
      <c r="HB332" s="54"/>
      <c r="HC332" s="54"/>
      <c r="HD332" s="54"/>
      <c r="HE332" s="54"/>
      <c r="HF332" s="54"/>
      <c r="HG332" s="54"/>
      <c r="HH332" s="54"/>
      <c r="HI332" s="54"/>
      <c r="HJ332" s="54"/>
      <c r="HK332" s="54"/>
      <c r="HL332" s="54"/>
      <c r="HM332" s="54"/>
      <c r="HN332" s="54"/>
      <c r="HO332" s="54"/>
      <c r="HP332" s="54"/>
      <c r="HQ332" s="54"/>
      <c r="HR332" s="54"/>
      <c r="HS332" s="54"/>
      <c r="HT332" s="54"/>
      <c r="HU332" s="54"/>
      <c r="HV332" s="54"/>
      <c r="HW332" s="54"/>
      <c r="HX332" s="54"/>
      <c r="HY332" s="54"/>
      <c r="HZ332" s="54"/>
      <c r="IA332" s="54"/>
      <c r="IB332" s="54"/>
      <c r="IC332" s="54"/>
      <c r="ID332" s="54"/>
      <c r="IE332" s="54"/>
      <c r="IF332" s="54"/>
      <c r="IG332" s="54"/>
      <c r="IH332" s="54"/>
      <c r="IU332" s="54"/>
      <c r="JI332" s="54"/>
      <c r="JJ332" s="82" t="str">
        <f t="array" ref="JJ332">xlookup(JN332,'Team Entry'!$A:$A,'Team Entry'!$B:$B,"")</f>
        <v/>
      </c>
      <c r="JN332" s="156" t="str">
        <f>if(or('Contender Stage'!FJ175="",'Contender Stage'!FN175="",'Contender Stage'!FJ182="",'Contender Stage'!FJ189="",'Contender Stage'!FN182="",'Contender Stage'!FN189=""),"TBD",'Contender Results'!Y106)</f>
        <v>TBD</v>
      </c>
      <c r="KM332" s="54"/>
      <c r="KN332" s="54"/>
      <c r="KO332" s="54"/>
      <c r="KP332" s="54"/>
      <c r="KQ332" s="54"/>
      <c r="KR332" s="54"/>
      <c r="KS332" s="54"/>
      <c r="KT332" s="54"/>
      <c r="KU332" s="54"/>
      <c r="KV332" s="54"/>
      <c r="KW332" s="54"/>
      <c r="KX332" s="54"/>
    </row>
    <row r="333" ht="5.2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4"/>
      <c r="AC333" s="54"/>
      <c r="AD333" s="54"/>
      <c r="AE333" s="54"/>
      <c r="AF333" s="54"/>
      <c r="AG333" s="54"/>
      <c r="AH333" s="54"/>
      <c r="AI333" s="54"/>
      <c r="AJ333" s="54"/>
      <c r="AK333" s="54"/>
      <c r="AL333" s="54"/>
      <c r="AM333" s="54"/>
      <c r="AN333" s="54"/>
      <c r="AO333" s="54"/>
      <c r="AP333" s="54"/>
      <c r="AQ333" s="54"/>
      <c r="AR333" s="54"/>
      <c r="AS333" s="54"/>
      <c r="AT333" s="54"/>
      <c r="AU333" s="54"/>
      <c r="AV333" s="54"/>
      <c r="AW333" s="54"/>
      <c r="AX333" s="54"/>
      <c r="AY333" s="54"/>
      <c r="AZ333" s="54"/>
      <c r="BA333" s="54"/>
      <c r="BB333" s="54"/>
      <c r="BC333" s="54"/>
      <c r="BD333" s="54"/>
      <c r="BE333" s="54"/>
      <c r="BF333" s="54"/>
      <c r="BG333" s="54"/>
      <c r="BH333" s="54"/>
      <c r="BI333" s="54"/>
      <c r="BJ333" s="54"/>
      <c r="BK333" s="54"/>
      <c r="BL333" s="54"/>
      <c r="BM333" s="54"/>
      <c r="BN333" s="54"/>
      <c r="BO333" s="54"/>
      <c r="BP333" s="54"/>
      <c r="BQ333" s="54"/>
      <c r="BR333" s="54"/>
      <c r="BS333" s="54"/>
      <c r="BT333" s="54"/>
      <c r="BU333" s="54"/>
      <c r="BV333" s="54"/>
      <c r="BW333" s="54"/>
      <c r="BX333" s="54"/>
      <c r="BY333" s="54"/>
      <c r="BZ333" s="54"/>
      <c r="CA333" s="54"/>
      <c r="CB333" s="54"/>
      <c r="CC333" s="54"/>
      <c r="CD333" s="54"/>
      <c r="CE333" s="54"/>
      <c r="CF333" s="54"/>
      <c r="CG333" s="54"/>
      <c r="CH333" s="54"/>
      <c r="CI333" s="54"/>
      <c r="CJ333" s="54"/>
      <c r="CK333" s="54"/>
      <c r="CL333" s="54"/>
      <c r="CM333" s="54"/>
      <c r="CN333" s="54"/>
      <c r="CO333" s="54"/>
      <c r="CP333" s="54"/>
      <c r="CQ333" s="54"/>
      <c r="CR333" s="54"/>
      <c r="CS333" s="54"/>
      <c r="CT333" s="54"/>
      <c r="CU333" s="54"/>
      <c r="CV333" s="54"/>
      <c r="CW333" s="54"/>
      <c r="CX333" s="54"/>
      <c r="CY333" s="54"/>
      <c r="CZ333" s="54"/>
      <c r="DA333" s="54"/>
      <c r="DB333" s="54"/>
      <c r="DC333" s="54"/>
      <c r="DD333" s="54"/>
      <c r="DE333" s="54"/>
      <c r="DF333" s="54"/>
      <c r="DG333" s="54"/>
      <c r="DH333" s="54"/>
      <c r="DI333" s="54"/>
      <c r="DJ333" s="54"/>
      <c r="DK333" s="54"/>
      <c r="DL333" s="54"/>
      <c r="DM333" s="54"/>
      <c r="DN333" s="54"/>
      <c r="DO333" s="54"/>
      <c r="DP333" s="54"/>
      <c r="DQ333" s="54"/>
      <c r="DR333" s="54"/>
      <c r="DS333" s="54"/>
      <c r="DT333" s="54"/>
      <c r="DU333" s="54"/>
      <c r="DV333" s="54"/>
      <c r="DW333" s="54"/>
      <c r="DX333" s="54"/>
      <c r="DY333" s="54"/>
      <c r="DZ333" s="54"/>
      <c r="EA333" s="54"/>
      <c r="EB333" s="54"/>
      <c r="EC333" s="54"/>
      <c r="ED333" s="54"/>
      <c r="EE333" s="54"/>
      <c r="EF333" s="54"/>
      <c r="EG333" s="54"/>
      <c r="EH333" s="54"/>
      <c r="EI333" s="54"/>
      <c r="EJ333" s="54"/>
      <c r="EK333" s="54"/>
      <c r="EL333" s="54"/>
      <c r="EM333" s="54"/>
      <c r="EN333" s="54"/>
      <c r="EO333" s="54"/>
      <c r="EP333" s="54"/>
      <c r="EQ333" s="54"/>
      <c r="ER333" s="54"/>
      <c r="ES333" s="54"/>
      <c r="ET333" s="54"/>
      <c r="EU333" s="54"/>
      <c r="EV333" s="54"/>
      <c r="EW333" s="54"/>
      <c r="EX333" s="54"/>
      <c r="EY333" s="54"/>
      <c r="EZ333" s="54"/>
      <c r="FA333" s="54"/>
      <c r="FB333" s="54"/>
      <c r="FC333" s="54"/>
      <c r="FD333" s="54"/>
      <c r="FE333" s="54"/>
      <c r="FF333" s="54"/>
      <c r="FG333" s="54"/>
      <c r="FH333" s="54"/>
      <c r="FI333" s="54"/>
      <c r="FJ333" s="54"/>
      <c r="FK333" s="54"/>
      <c r="FL333" s="54"/>
      <c r="FM333" s="54"/>
      <c r="FN333" s="54"/>
      <c r="FO333" s="54"/>
      <c r="FP333" s="54"/>
      <c r="FQ333" s="54"/>
      <c r="FR333" s="54"/>
      <c r="FS333" s="54"/>
      <c r="FT333" s="54"/>
      <c r="FU333" s="54"/>
      <c r="FV333" s="54"/>
      <c r="FW333" s="54"/>
      <c r="FX333" s="54"/>
      <c r="FY333" s="54"/>
      <c r="FZ333" s="54"/>
      <c r="GA333" s="54"/>
      <c r="GB333" s="54"/>
      <c r="GC333" s="54"/>
      <c r="GD333" s="54"/>
      <c r="GE333" s="54"/>
      <c r="GF333" s="54"/>
      <c r="GG333" s="54"/>
      <c r="GH333" s="54"/>
      <c r="GI333" s="54"/>
      <c r="GJ333" s="54"/>
      <c r="GK333" s="54"/>
      <c r="GL333" s="54"/>
      <c r="GM333" s="54"/>
      <c r="GN333" s="54"/>
      <c r="GO333" s="54"/>
      <c r="GP333" s="54"/>
      <c r="GQ333" s="54"/>
      <c r="GR333" s="54"/>
      <c r="GS333" s="54"/>
      <c r="GT333" s="54"/>
      <c r="GU333" s="54"/>
      <c r="GV333" s="54"/>
      <c r="GW333" s="54"/>
      <c r="GX333" s="54"/>
      <c r="GY333" s="54"/>
      <c r="GZ333" s="54"/>
      <c r="HA333" s="54"/>
      <c r="HB333" s="54"/>
      <c r="HC333" s="54"/>
      <c r="HD333" s="54"/>
      <c r="HE333" s="54"/>
      <c r="HF333" s="54"/>
      <c r="HG333" s="54"/>
      <c r="HH333" s="54"/>
      <c r="HI333" s="54"/>
      <c r="HJ333" s="54"/>
      <c r="HK333" s="54"/>
      <c r="HL333" s="54"/>
      <c r="HM333" s="54"/>
      <c r="HN333" s="54"/>
      <c r="HO333" s="54"/>
      <c r="HP333" s="54"/>
      <c r="HQ333" s="54"/>
      <c r="HR333" s="54"/>
      <c r="HS333" s="54"/>
      <c r="HT333" s="54"/>
      <c r="HU333" s="54"/>
      <c r="HV333" s="54"/>
      <c r="HW333" s="54"/>
      <c r="HX333" s="54"/>
      <c r="HY333" s="54"/>
      <c r="HZ333" s="54"/>
      <c r="IA333" s="54"/>
      <c r="IB333" s="54"/>
      <c r="IC333" s="54"/>
      <c r="ID333" s="54"/>
      <c r="IE333" s="54"/>
      <c r="IF333" s="54"/>
      <c r="IG333" s="54"/>
      <c r="IH333" s="54"/>
      <c r="IU333" s="54"/>
      <c r="JI333" s="54"/>
      <c r="KM333" s="54"/>
      <c r="KN333" s="54"/>
      <c r="KO333" s="54"/>
      <c r="KP333" s="54"/>
      <c r="KQ333" s="54"/>
      <c r="KR333" s="54"/>
      <c r="KS333" s="54"/>
      <c r="KT333" s="54"/>
      <c r="KU333" s="54"/>
      <c r="KV333" s="54"/>
      <c r="KW333" s="54"/>
      <c r="KX333" s="54"/>
    </row>
    <row r="334" ht="5.2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4"/>
      <c r="AH334" s="54"/>
      <c r="AI334" s="54"/>
      <c r="AJ334" s="54"/>
      <c r="AK334" s="54"/>
      <c r="AL334" s="54"/>
      <c r="AM334" s="54"/>
      <c r="AN334" s="54"/>
      <c r="AO334" s="54"/>
      <c r="AP334" s="54"/>
      <c r="AQ334" s="54"/>
      <c r="AR334" s="54"/>
      <c r="AS334" s="54"/>
      <c r="AT334" s="54"/>
      <c r="AU334" s="54"/>
      <c r="AV334" s="54"/>
      <c r="AW334" s="54"/>
      <c r="AX334" s="54"/>
      <c r="AY334" s="54"/>
      <c r="AZ334" s="54"/>
      <c r="BA334" s="54"/>
      <c r="BB334" s="54"/>
      <c r="BC334" s="54"/>
      <c r="BD334" s="54"/>
      <c r="BE334" s="54"/>
      <c r="BF334" s="54"/>
      <c r="BG334" s="54"/>
      <c r="BH334" s="54"/>
      <c r="BI334" s="54"/>
      <c r="BJ334" s="54"/>
      <c r="BK334" s="54"/>
      <c r="BL334" s="54"/>
      <c r="BM334" s="54"/>
      <c r="BN334" s="54"/>
      <c r="BO334" s="54"/>
      <c r="BP334" s="54"/>
      <c r="BQ334" s="54"/>
      <c r="BR334" s="54"/>
      <c r="BS334" s="54"/>
      <c r="BT334" s="54"/>
      <c r="BU334" s="54"/>
      <c r="BV334" s="54"/>
      <c r="BW334" s="54"/>
      <c r="BX334" s="54"/>
      <c r="BY334" s="54"/>
      <c r="BZ334" s="54"/>
      <c r="CA334" s="54"/>
      <c r="CB334" s="54"/>
      <c r="CC334" s="54"/>
      <c r="CD334" s="54"/>
      <c r="CE334" s="54"/>
      <c r="CF334" s="54"/>
      <c r="CG334" s="54"/>
      <c r="CH334" s="54"/>
      <c r="CI334" s="54"/>
      <c r="CJ334" s="54"/>
      <c r="CK334" s="54"/>
      <c r="CL334" s="54"/>
      <c r="CM334" s="54"/>
      <c r="CN334" s="54"/>
      <c r="CO334" s="54"/>
      <c r="CP334" s="54"/>
      <c r="CQ334" s="54"/>
      <c r="CR334" s="54"/>
      <c r="CS334" s="54"/>
      <c r="CT334" s="54"/>
      <c r="CU334" s="54"/>
      <c r="CV334" s="54"/>
      <c r="CW334" s="54"/>
      <c r="CX334" s="54"/>
      <c r="CY334" s="54"/>
      <c r="CZ334" s="54"/>
      <c r="DA334" s="54"/>
      <c r="DB334" s="54"/>
      <c r="DC334" s="54"/>
      <c r="DD334" s="54"/>
      <c r="DE334" s="54"/>
      <c r="DF334" s="54"/>
      <c r="DG334" s="54"/>
      <c r="DH334" s="54"/>
      <c r="DI334" s="54"/>
      <c r="DJ334" s="54"/>
      <c r="DK334" s="54"/>
      <c r="DL334" s="54"/>
      <c r="DM334" s="54"/>
      <c r="DN334" s="54"/>
      <c r="DO334" s="54"/>
      <c r="DP334" s="54"/>
      <c r="DQ334" s="54"/>
      <c r="DR334" s="54"/>
      <c r="DS334" s="54"/>
      <c r="DT334" s="54"/>
      <c r="DU334" s="54"/>
      <c r="DV334" s="54"/>
      <c r="DW334" s="54"/>
      <c r="DX334" s="54"/>
      <c r="DY334" s="54"/>
      <c r="DZ334" s="54"/>
      <c r="EA334" s="54"/>
      <c r="EB334" s="54"/>
      <c r="EC334" s="54"/>
      <c r="ED334" s="54"/>
      <c r="EE334" s="54"/>
      <c r="EF334" s="54"/>
      <c r="EG334" s="54"/>
      <c r="EH334" s="54"/>
      <c r="EI334" s="54"/>
      <c r="EJ334" s="54"/>
      <c r="EK334" s="54"/>
      <c r="EL334" s="54"/>
      <c r="EM334" s="54"/>
      <c r="EN334" s="54"/>
      <c r="EO334" s="54"/>
      <c r="EP334" s="54"/>
      <c r="EQ334" s="54"/>
      <c r="ER334" s="54"/>
      <c r="ES334" s="54"/>
      <c r="ET334" s="54"/>
      <c r="EU334" s="54"/>
      <c r="EV334" s="54"/>
      <c r="EW334" s="54"/>
      <c r="EX334" s="54"/>
      <c r="EY334" s="54"/>
      <c r="EZ334" s="54"/>
      <c r="FA334" s="54"/>
      <c r="FB334" s="54"/>
      <c r="FC334" s="54"/>
      <c r="FD334" s="54"/>
      <c r="FE334" s="54"/>
      <c r="FF334" s="54"/>
      <c r="FG334" s="54"/>
      <c r="FH334" s="54"/>
      <c r="FI334" s="54"/>
      <c r="FJ334" s="54"/>
      <c r="FK334" s="54"/>
      <c r="FL334" s="54"/>
      <c r="FM334" s="54"/>
      <c r="FN334" s="54"/>
      <c r="FO334" s="54"/>
      <c r="FP334" s="54"/>
      <c r="FQ334" s="54"/>
      <c r="FR334" s="54"/>
      <c r="FS334" s="54"/>
      <c r="FT334" s="54"/>
      <c r="FU334" s="54"/>
      <c r="FV334" s="54"/>
      <c r="FW334" s="54"/>
      <c r="FX334" s="54"/>
      <c r="FY334" s="54"/>
      <c r="FZ334" s="54"/>
      <c r="GA334" s="54"/>
      <c r="GB334" s="54"/>
      <c r="GC334" s="54"/>
      <c r="GD334" s="54"/>
      <c r="GE334" s="54"/>
      <c r="GF334" s="54"/>
      <c r="GG334" s="54"/>
      <c r="GH334" s="54"/>
      <c r="GI334" s="54"/>
      <c r="GJ334" s="54"/>
      <c r="GK334" s="54"/>
      <c r="GL334" s="54"/>
      <c r="GM334" s="54"/>
      <c r="GN334" s="54"/>
      <c r="GO334" s="54"/>
      <c r="GP334" s="54"/>
      <c r="GQ334" s="54"/>
      <c r="GR334" s="54"/>
      <c r="GS334" s="54"/>
      <c r="GT334" s="54"/>
      <c r="GU334" s="54"/>
      <c r="GV334" s="54"/>
      <c r="GW334" s="54"/>
      <c r="GX334" s="54"/>
      <c r="GY334" s="54"/>
      <c r="GZ334" s="54"/>
      <c r="HA334" s="54"/>
      <c r="HB334" s="54"/>
      <c r="HC334" s="54"/>
      <c r="HD334" s="54"/>
      <c r="HE334" s="54"/>
      <c r="HF334" s="54"/>
      <c r="HG334" s="54"/>
      <c r="HH334" s="54"/>
      <c r="HI334" s="54"/>
      <c r="HJ334" s="54"/>
      <c r="HK334" s="54"/>
      <c r="HL334" s="54"/>
      <c r="HM334" s="54"/>
      <c r="HN334" s="54"/>
      <c r="HO334" s="54"/>
      <c r="HP334" s="54"/>
      <c r="HQ334" s="54"/>
      <c r="HR334" s="54"/>
      <c r="HS334" s="54"/>
      <c r="HT334" s="54"/>
      <c r="HU334" s="54"/>
      <c r="HV334" s="54"/>
      <c r="HW334" s="54"/>
      <c r="HX334" s="54"/>
      <c r="HY334" s="54"/>
      <c r="HZ334" s="54"/>
      <c r="IA334" s="54"/>
      <c r="IB334" s="54"/>
      <c r="IC334" s="54"/>
      <c r="ID334" s="54"/>
      <c r="IE334" s="54"/>
      <c r="IF334" s="54"/>
      <c r="IG334" s="54"/>
      <c r="IH334" s="54"/>
      <c r="IU334" s="54"/>
      <c r="JI334" s="54"/>
      <c r="KM334" s="54"/>
      <c r="KN334" s="54"/>
      <c r="KO334" s="54"/>
      <c r="KP334" s="54"/>
      <c r="KQ334" s="54"/>
      <c r="KR334" s="54"/>
      <c r="KS334" s="54"/>
      <c r="KT334" s="54"/>
      <c r="KU334" s="54"/>
      <c r="KV334" s="54"/>
      <c r="KW334" s="54"/>
      <c r="KX334" s="54"/>
    </row>
    <row r="335" ht="5.2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c r="AB335" s="54"/>
      <c r="AC335" s="54"/>
      <c r="AD335" s="54"/>
      <c r="AE335" s="54"/>
      <c r="AF335" s="54"/>
      <c r="AG335" s="54"/>
      <c r="AH335" s="54"/>
      <c r="AI335" s="54"/>
      <c r="AJ335" s="54"/>
      <c r="AK335" s="54"/>
      <c r="AL335" s="54"/>
      <c r="AM335" s="54"/>
      <c r="AN335" s="54"/>
      <c r="AO335" s="54"/>
      <c r="AP335" s="54"/>
      <c r="AQ335" s="54"/>
      <c r="AR335" s="54"/>
      <c r="AS335" s="54"/>
      <c r="AT335" s="54"/>
      <c r="AU335" s="54"/>
      <c r="AV335" s="54"/>
      <c r="AW335" s="54"/>
      <c r="AX335" s="54"/>
      <c r="AY335" s="54"/>
      <c r="AZ335" s="54"/>
      <c r="BA335" s="54"/>
      <c r="BB335" s="54"/>
      <c r="BC335" s="54"/>
      <c r="BD335" s="54"/>
      <c r="BE335" s="54"/>
      <c r="BF335" s="54"/>
      <c r="BG335" s="54"/>
      <c r="BH335" s="54"/>
      <c r="BI335" s="54"/>
      <c r="BJ335" s="54"/>
      <c r="BK335" s="54"/>
      <c r="BL335" s="54"/>
      <c r="BM335" s="54"/>
      <c r="BN335" s="54"/>
      <c r="BO335" s="54"/>
      <c r="BP335" s="54"/>
      <c r="BQ335" s="54"/>
      <c r="BR335" s="54"/>
      <c r="BS335" s="54"/>
      <c r="BT335" s="54"/>
      <c r="BU335" s="54"/>
      <c r="BV335" s="54"/>
      <c r="BW335" s="54"/>
      <c r="BX335" s="54"/>
      <c r="BY335" s="54"/>
      <c r="BZ335" s="54"/>
      <c r="CA335" s="54"/>
      <c r="CB335" s="54"/>
      <c r="CC335" s="54"/>
      <c r="CD335" s="54"/>
      <c r="CE335" s="54"/>
      <c r="CF335" s="54"/>
      <c r="CG335" s="54"/>
      <c r="CH335" s="54"/>
      <c r="CI335" s="54"/>
      <c r="CJ335" s="54"/>
      <c r="CK335" s="54"/>
      <c r="CL335" s="54"/>
      <c r="CM335" s="54"/>
      <c r="CN335" s="54"/>
      <c r="CO335" s="54"/>
      <c r="CP335" s="54"/>
      <c r="CQ335" s="54"/>
      <c r="CR335" s="54"/>
      <c r="CS335" s="54"/>
      <c r="CT335" s="54"/>
      <c r="CU335" s="54"/>
      <c r="CV335" s="54"/>
      <c r="CW335" s="54"/>
      <c r="CX335" s="54"/>
      <c r="CY335" s="54"/>
      <c r="CZ335" s="54"/>
      <c r="DA335" s="54"/>
      <c r="DB335" s="54"/>
      <c r="DC335" s="54"/>
      <c r="DD335" s="54"/>
      <c r="DE335" s="54"/>
      <c r="DF335" s="54"/>
      <c r="DG335" s="54"/>
      <c r="DH335" s="54"/>
      <c r="DI335" s="54"/>
      <c r="DJ335" s="54"/>
      <c r="DK335" s="54"/>
      <c r="DL335" s="54"/>
      <c r="DM335" s="54"/>
      <c r="DN335" s="54"/>
      <c r="DO335" s="54"/>
      <c r="DP335" s="54"/>
      <c r="DQ335" s="54"/>
      <c r="DR335" s="54"/>
      <c r="DS335" s="54"/>
      <c r="DT335" s="54"/>
      <c r="DU335" s="54"/>
      <c r="DV335" s="54"/>
      <c r="DW335" s="54"/>
      <c r="DX335" s="54"/>
      <c r="DY335" s="54"/>
      <c r="DZ335" s="54"/>
      <c r="EA335" s="54"/>
      <c r="EB335" s="54"/>
      <c r="EC335" s="54"/>
      <c r="ED335" s="54"/>
      <c r="EE335" s="54"/>
      <c r="EF335" s="54"/>
      <c r="EG335" s="54"/>
      <c r="EH335" s="54"/>
      <c r="EI335" s="54"/>
      <c r="EJ335" s="54"/>
      <c r="EK335" s="54"/>
      <c r="EL335" s="54"/>
      <c r="EM335" s="54"/>
      <c r="EN335" s="54"/>
      <c r="EO335" s="54"/>
      <c r="EP335" s="54"/>
      <c r="EQ335" s="54"/>
      <c r="ER335" s="54"/>
      <c r="ES335" s="54"/>
      <c r="ET335" s="54"/>
      <c r="EU335" s="54"/>
      <c r="EV335" s="54"/>
      <c r="EW335" s="54"/>
      <c r="EX335" s="54"/>
      <c r="EY335" s="54"/>
      <c r="EZ335" s="54"/>
      <c r="FA335" s="54"/>
      <c r="FB335" s="54"/>
      <c r="FC335" s="54"/>
      <c r="FD335" s="54"/>
      <c r="FE335" s="54"/>
      <c r="FF335" s="54"/>
      <c r="FG335" s="54"/>
      <c r="FH335" s="54"/>
      <c r="FI335" s="54"/>
      <c r="FJ335" s="54"/>
      <c r="FK335" s="54"/>
      <c r="FL335" s="54"/>
      <c r="FM335" s="54"/>
      <c r="FN335" s="54"/>
      <c r="FO335" s="54"/>
      <c r="FP335" s="54"/>
      <c r="FQ335" s="54"/>
      <c r="FR335" s="54"/>
      <c r="FS335" s="54"/>
      <c r="FT335" s="54"/>
      <c r="FU335" s="54"/>
      <c r="FV335" s="54"/>
      <c r="FW335" s="54"/>
      <c r="FX335" s="54"/>
      <c r="FY335" s="54"/>
      <c r="FZ335" s="54"/>
      <c r="GA335" s="54"/>
      <c r="GB335" s="54"/>
      <c r="GC335" s="54"/>
      <c r="GD335" s="54"/>
      <c r="GE335" s="54"/>
      <c r="GF335" s="54"/>
      <c r="GG335" s="54"/>
      <c r="GH335" s="54"/>
      <c r="GI335" s="54"/>
      <c r="GJ335" s="54"/>
      <c r="GK335" s="54"/>
      <c r="GL335" s="54"/>
      <c r="GM335" s="54"/>
      <c r="GN335" s="54"/>
      <c r="GO335" s="54"/>
      <c r="GP335" s="54"/>
      <c r="GQ335" s="54"/>
      <c r="GR335" s="54"/>
      <c r="GS335" s="54"/>
      <c r="GT335" s="54"/>
      <c r="GU335" s="54"/>
      <c r="GV335" s="54"/>
      <c r="GW335" s="54"/>
      <c r="GX335" s="54"/>
      <c r="GY335" s="54"/>
      <c r="GZ335" s="54"/>
      <c r="HA335" s="54"/>
      <c r="HB335" s="54"/>
      <c r="HC335" s="54"/>
      <c r="HD335" s="54"/>
      <c r="HE335" s="54"/>
      <c r="HF335" s="54"/>
      <c r="HG335" s="54"/>
      <c r="HH335" s="54"/>
      <c r="HI335" s="54"/>
      <c r="HJ335" s="54"/>
      <c r="HK335" s="54"/>
      <c r="HL335" s="54"/>
      <c r="HM335" s="54"/>
      <c r="HN335" s="54"/>
      <c r="HO335" s="54"/>
      <c r="HP335" s="54"/>
      <c r="HQ335" s="54"/>
      <c r="HR335" s="54"/>
      <c r="HS335" s="54"/>
      <c r="HT335" s="54"/>
      <c r="HU335" s="54"/>
      <c r="HV335" s="54"/>
      <c r="HW335" s="54"/>
      <c r="HX335" s="54"/>
      <c r="HY335" s="54"/>
      <c r="HZ335" s="54"/>
      <c r="IA335" s="54"/>
      <c r="IB335" s="54"/>
      <c r="IC335" s="54"/>
      <c r="ID335" s="54"/>
      <c r="IE335" s="54"/>
      <c r="IF335" s="54"/>
      <c r="IG335" s="54"/>
      <c r="IH335" s="54"/>
      <c r="IU335" s="54"/>
      <c r="JI335" s="54"/>
      <c r="JJ335" s="158"/>
      <c r="JK335" s="158"/>
      <c r="JL335" s="158"/>
      <c r="JM335" s="158"/>
      <c r="JN335" s="158"/>
      <c r="JO335" s="158"/>
      <c r="JP335" s="158"/>
      <c r="JQ335" s="158"/>
      <c r="JR335" s="158"/>
      <c r="JS335" s="158"/>
      <c r="JT335" s="158"/>
      <c r="JU335" s="158"/>
      <c r="JV335" s="158"/>
      <c r="JW335" s="158"/>
      <c r="JX335" s="158"/>
      <c r="JY335" s="158"/>
      <c r="JZ335" s="158"/>
      <c r="KA335" s="158"/>
      <c r="KB335" s="158"/>
      <c r="KC335" s="158"/>
      <c r="KD335" s="158"/>
      <c r="KE335" s="158"/>
      <c r="KF335" s="158"/>
      <c r="KG335" s="158"/>
      <c r="KH335" s="158"/>
      <c r="KI335" s="158"/>
      <c r="KJ335" s="158"/>
      <c r="KK335" s="158"/>
      <c r="KL335" s="158"/>
      <c r="KM335" s="54"/>
      <c r="KN335" s="54"/>
      <c r="KO335" s="54"/>
      <c r="KP335" s="54"/>
      <c r="KQ335" s="54"/>
      <c r="KR335" s="54"/>
      <c r="KS335" s="54"/>
      <c r="KT335" s="54"/>
      <c r="KU335" s="54"/>
      <c r="KV335" s="54"/>
      <c r="KW335" s="54"/>
      <c r="KX335" s="54"/>
    </row>
    <row r="336" ht="5.2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c r="AB336" s="54"/>
      <c r="AC336" s="54"/>
      <c r="AD336" s="54"/>
      <c r="AE336" s="54"/>
      <c r="AF336" s="54"/>
      <c r="AG336" s="54"/>
      <c r="AH336" s="54"/>
      <c r="AI336" s="54"/>
      <c r="AJ336" s="54"/>
      <c r="AK336" s="54"/>
      <c r="AL336" s="54"/>
      <c r="AM336" s="54"/>
      <c r="AN336" s="54"/>
      <c r="AO336" s="54"/>
      <c r="AP336" s="54"/>
      <c r="AQ336" s="54"/>
      <c r="AR336" s="54"/>
      <c r="AS336" s="54"/>
      <c r="AT336" s="54"/>
      <c r="AU336" s="54"/>
      <c r="AV336" s="54"/>
      <c r="AW336" s="54"/>
      <c r="AX336" s="54"/>
      <c r="AY336" s="54"/>
      <c r="AZ336" s="54"/>
      <c r="BA336" s="54"/>
      <c r="BB336" s="54"/>
      <c r="BC336" s="54"/>
      <c r="BD336" s="54"/>
      <c r="BE336" s="54"/>
      <c r="BF336" s="54"/>
      <c r="BG336" s="54"/>
      <c r="BH336" s="54"/>
      <c r="BI336" s="54"/>
      <c r="BJ336" s="54"/>
      <c r="BK336" s="54"/>
      <c r="BL336" s="54"/>
      <c r="BM336" s="54"/>
      <c r="BN336" s="54"/>
      <c r="BO336" s="54"/>
      <c r="BP336" s="54"/>
      <c r="BQ336" s="54"/>
      <c r="BR336" s="54"/>
      <c r="BS336" s="54"/>
      <c r="BT336" s="54"/>
      <c r="BU336" s="54"/>
      <c r="BV336" s="54"/>
      <c r="BW336" s="54"/>
      <c r="BX336" s="54"/>
      <c r="BY336" s="54"/>
      <c r="BZ336" s="54"/>
      <c r="CA336" s="54"/>
      <c r="CB336" s="54"/>
      <c r="CC336" s="54"/>
      <c r="CD336" s="54"/>
      <c r="CE336" s="54"/>
      <c r="CF336" s="54"/>
      <c r="CG336" s="54"/>
      <c r="CH336" s="54"/>
      <c r="CI336" s="54"/>
      <c r="CJ336" s="54"/>
      <c r="CK336" s="54"/>
      <c r="CL336" s="54"/>
      <c r="CM336" s="54"/>
      <c r="CN336" s="54"/>
      <c r="CO336" s="54"/>
      <c r="CP336" s="54"/>
      <c r="CQ336" s="54"/>
      <c r="CR336" s="54"/>
      <c r="CS336" s="54"/>
      <c r="CT336" s="54"/>
      <c r="CU336" s="54"/>
      <c r="CV336" s="54"/>
      <c r="CW336" s="54"/>
      <c r="CX336" s="54"/>
      <c r="CY336" s="54"/>
      <c r="CZ336" s="54"/>
      <c r="DA336" s="54"/>
      <c r="DB336" s="54"/>
      <c r="DC336" s="54"/>
      <c r="DD336" s="54"/>
      <c r="DE336" s="54"/>
      <c r="DF336" s="54"/>
      <c r="DG336" s="54"/>
      <c r="DH336" s="54"/>
      <c r="DI336" s="54"/>
      <c r="DJ336" s="54"/>
      <c r="DK336" s="54"/>
      <c r="DL336" s="54"/>
      <c r="DM336" s="54"/>
      <c r="DN336" s="54"/>
      <c r="DO336" s="54"/>
      <c r="DP336" s="54"/>
      <c r="DQ336" s="54"/>
      <c r="DR336" s="54"/>
      <c r="DS336" s="54"/>
      <c r="DT336" s="54"/>
      <c r="DU336" s="54"/>
      <c r="DV336" s="54"/>
      <c r="DW336" s="54"/>
      <c r="DX336" s="54"/>
      <c r="DY336" s="54"/>
      <c r="DZ336" s="54"/>
      <c r="EA336" s="54"/>
      <c r="EB336" s="54"/>
      <c r="EC336" s="54"/>
      <c r="ED336" s="54"/>
      <c r="EE336" s="54"/>
      <c r="EF336" s="54"/>
      <c r="EG336" s="54"/>
      <c r="EH336" s="54"/>
      <c r="EI336" s="54"/>
      <c r="EJ336" s="54"/>
      <c r="EK336" s="54"/>
      <c r="EL336" s="54"/>
      <c r="EM336" s="54"/>
      <c r="EN336" s="54"/>
      <c r="EO336" s="54"/>
      <c r="EP336" s="54"/>
      <c r="EQ336" s="54"/>
      <c r="ER336" s="54"/>
      <c r="ES336" s="54"/>
      <c r="ET336" s="54"/>
      <c r="EU336" s="54"/>
      <c r="EV336" s="54"/>
      <c r="EW336" s="54"/>
      <c r="EX336" s="54"/>
      <c r="EY336" s="54"/>
      <c r="EZ336" s="54"/>
      <c r="FA336" s="54"/>
      <c r="FB336" s="54"/>
      <c r="FC336" s="54"/>
      <c r="FD336" s="54"/>
      <c r="FE336" s="54"/>
      <c r="FF336" s="54"/>
      <c r="FG336" s="54"/>
      <c r="FH336" s="54"/>
      <c r="FI336" s="54"/>
      <c r="FJ336" s="54"/>
      <c r="FK336" s="54"/>
      <c r="FL336" s="54"/>
      <c r="FM336" s="54"/>
      <c r="FN336" s="54"/>
      <c r="FO336" s="54"/>
      <c r="FP336" s="54"/>
      <c r="FQ336" s="54"/>
      <c r="FR336" s="54"/>
      <c r="FS336" s="54"/>
      <c r="FT336" s="54"/>
      <c r="FU336" s="54"/>
      <c r="FV336" s="54"/>
      <c r="FW336" s="54"/>
      <c r="FX336" s="54"/>
      <c r="FY336" s="54"/>
      <c r="FZ336" s="54"/>
      <c r="GA336" s="54"/>
      <c r="GB336" s="54"/>
      <c r="GC336" s="54"/>
      <c r="GD336" s="54"/>
      <c r="GE336" s="54"/>
      <c r="GF336" s="54"/>
      <c r="GG336" s="54"/>
      <c r="GH336" s="54"/>
      <c r="GI336" s="54"/>
      <c r="GJ336" s="54"/>
      <c r="GK336" s="54"/>
      <c r="GL336" s="54"/>
      <c r="GM336" s="54"/>
      <c r="GN336" s="54"/>
      <c r="GO336" s="54"/>
      <c r="GP336" s="54"/>
      <c r="GQ336" s="54"/>
      <c r="GR336" s="54"/>
      <c r="GS336" s="54"/>
      <c r="GT336" s="54"/>
      <c r="GU336" s="54"/>
      <c r="GV336" s="54"/>
      <c r="GW336" s="54"/>
      <c r="GX336" s="54"/>
      <c r="GY336" s="54"/>
      <c r="GZ336" s="54"/>
      <c r="HA336" s="54"/>
      <c r="HB336" s="54"/>
      <c r="HC336" s="54"/>
      <c r="HD336" s="54"/>
      <c r="HE336" s="54"/>
      <c r="HF336" s="54"/>
      <c r="HG336" s="54"/>
      <c r="HH336" s="54"/>
      <c r="HI336" s="54"/>
      <c r="HJ336" s="54"/>
      <c r="HK336" s="54"/>
      <c r="HL336" s="54"/>
      <c r="HM336" s="54"/>
      <c r="HN336" s="54"/>
      <c r="HO336" s="54"/>
      <c r="HP336" s="54"/>
      <c r="HQ336" s="54"/>
      <c r="HR336" s="54"/>
      <c r="HS336" s="54"/>
      <c r="HT336" s="54"/>
      <c r="HU336" s="54"/>
      <c r="HV336" s="54"/>
      <c r="HW336" s="54"/>
      <c r="HX336" s="54"/>
      <c r="HY336" s="54"/>
      <c r="HZ336" s="54"/>
      <c r="IA336" s="54"/>
      <c r="IB336" s="54"/>
      <c r="IC336" s="54"/>
      <c r="ID336" s="54"/>
      <c r="IE336" s="54"/>
      <c r="IF336" s="54"/>
      <c r="IG336" s="54"/>
      <c r="IH336" s="54"/>
      <c r="IU336" s="54"/>
      <c r="JI336" s="54"/>
      <c r="JJ336" s="82" t="str">
        <f t="array" ref="JJ336">xlookup(JN336,'Team Entry'!$A:$A,'Team Entry'!$B:$B,"")</f>
        <v/>
      </c>
      <c r="JN336" s="156" t="str">
        <f>if(or('Contender Stage'!FJ175="",'Contender Stage'!FN175="",'Contender Stage'!FJ182="",'Contender Stage'!FJ189="",'Contender Stage'!FN182="",'Contender Stage'!FN189=""),"TBD",'Contender Results'!Y114)</f>
        <v>TBD</v>
      </c>
      <c r="KM336" s="54"/>
      <c r="KN336" s="54"/>
      <c r="KO336" s="54"/>
      <c r="KP336" s="54"/>
      <c r="KQ336" s="54"/>
      <c r="KR336" s="54"/>
      <c r="KS336" s="54"/>
      <c r="KT336" s="54"/>
      <c r="KU336" s="54"/>
      <c r="KV336" s="54"/>
      <c r="KW336" s="54"/>
      <c r="KX336" s="54"/>
    </row>
    <row r="337" ht="5.2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c r="AB337" s="54"/>
      <c r="AC337" s="54"/>
      <c r="AD337" s="54"/>
      <c r="AE337" s="54"/>
      <c r="AF337" s="54"/>
      <c r="AG337" s="54"/>
      <c r="AH337" s="54"/>
      <c r="AI337" s="54"/>
      <c r="AJ337" s="54"/>
      <c r="AK337" s="54"/>
      <c r="AL337" s="54"/>
      <c r="AM337" s="54"/>
      <c r="AN337" s="54"/>
      <c r="AO337" s="54"/>
      <c r="AP337" s="54"/>
      <c r="AQ337" s="54"/>
      <c r="AR337" s="54"/>
      <c r="AS337" s="54"/>
      <c r="AT337" s="54"/>
      <c r="AU337" s="54"/>
      <c r="AV337" s="54"/>
      <c r="AW337" s="54"/>
      <c r="AX337" s="54"/>
      <c r="AY337" s="54"/>
      <c r="AZ337" s="54"/>
      <c r="BA337" s="54"/>
      <c r="BB337" s="54"/>
      <c r="BC337" s="54"/>
      <c r="BD337" s="54"/>
      <c r="BE337" s="54"/>
      <c r="BF337" s="54"/>
      <c r="BG337" s="54"/>
      <c r="BH337" s="54"/>
      <c r="BI337" s="54"/>
      <c r="BJ337" s="54"/>
      <c r="BK337" s="54"/>
      <c r="BL337" s="54"/>
      <c r="BM337" s="54"/>
      <c r="BN337" s="54"/>
      <c r="BO337" s="54"/>
      <c r="BP337" s="54"/>
      <c r="BQ337" s="54"/>
      <c r="BR337" s="54"/>
      <c r="BS337" s="54"/>
      <c r="BT337" s="54"/>
      <c r="BU337" s="54"/>
      <c r="BV337" s="54"/>
      <c r="BW337" s="54"/>
      <c r="BX337" s="54"/>
      <c r="BY337" s="54"/>
      <c r="BZ337" s="54"/>
      <c r="CA337" s="54"/>
      <c r="CB337" s="54"/>
      <c r="CC337" s="54"/>
      <c r="CD337" s="54"/>
      <c r="CE337" s="54"/>
      <c r="CF337" s="54"/>
      <c r="CG337" s="54"/>
      <c r="CH337" s="54"/>
      <c r="CI337" s="54"/>
      <c r="CJ337" s="54"/>
      <c r="CK337" s="54"/>
      <c r="CL337" s="54"/>
      <c r="CM337" s="54"/>
      <c r="CN337" s="54"/>
      <c r="CO337" s="54"/>
      <c r="CP337" s="54"/>
      <c r="CQ337" s="54"/>
      <c r="CR337" s="54"/>
      <c r="CS337" s="54"/>
      <c r="CT337" s="54"/>
      <c r="CU337" s="54"/>
      <c r="CV337" s="54"/>
      <c r="CW337" s="54"/>
      <c r="CX337" s="54"/>
      <c r="CY337" s="54"/>
      <c r="CZ337" s="54"/>
      <c r="DA337" s="54"/>
      <c r="DB337" s="54"/>
      <c r="DC337" s="54"/>
      <c r="DD337" s="54"/>
      <c r="DE337" s="54"/>
      <c r="DF337" s="54"/>
      <c r="DG337" s="54"/>
      <c r="DH337" s="54"/>
      <c r="DI337" s="54"/>
      <c r="DJ337" s="54"/>
      <c r="DK337" s="54"/>
      <c r="DL337" s="54"/>
      <c r="DM337" s="54"/>
      <c r="DN337" s="54"/>
      <c r="DO337" s="54"/>
      <c r="DP337" s="54"/>
      <c r="DQ337" s="54"/>
      <c r="DR337" s="54"/>
      <c r="DS337" s="54"/>
      <c r="DT337" s="54"/>
      <c r="DU337" s="54"/>
      <c r="DV337" s="54"/>
      <c r="DW337" s="54"/>
      <c r="DX337" s="54"/>
      <c r="DY337" s="54"/>
      <c r="DZ337" s="54"/>
      <c r="EA337" s="54"/>
      <c r="EB337" s="54"/>
      <c r="EC337" s="54"/>
      <c r="ED337" s="54"/>
      <c r="EE337" s="54"/>
      <c r="EF337" s="54"/>
      <c r="EG337" s="54"/>
      <c r="EH337" s="54"/>
      <c r="EI337" s="54"/>
      <c r="EJ337" s="54"/>
      <c r="EK337" s="54"/>
      <c r="EL337" s="54"/>
      <c r="EM337" s="54"/>
      <c r="EN337" s="54"/>
      <c r="EO337" s="54"/>
      <c r="EP337" s="54"/>
      <c r="EQ337" s="54"/>
      <c r="ER337" s="54"/>
      <c r="ES337" s="54"/>
      <c r="ET337" s="54"/>
      <c r="EU337" s="54"/>
      <c r="EV337" s="54"/>
      <c r="EW337" s="54"/>
      <c r="EX337" s="54"/>
      <c r="EY337" s="54"/>
      <c r="EZ337" s="54"/>
      <c r="FA337" s="54"/>
      <c r="FB337" s="54"/>
      <c r="FC337" s="54"/>
      <c r="FD337" s="54"/>
      <c r="FE337" s="54"/>
      <c r="FF337" s="54"/>
      <c r="FG337" s="54"/>
      <c r="FH337" s="54"/>
      <c r="FI337" s="54"/>
      <c r="FJ337" s="54"/>
      <c r="FK337" s="54"/>
      <c r="FL337" s="54"/>
      <c r="FM337" s="54"/>
      <c r="FN337" s="54"/>
      <c r="FO337" s="54"/>
      <c r="FP337" s="54"/>
      <c r="FQ337" s="54"/>
      <c r="FR337" s="54"/>
      <c r="FS337" s="54"/>
      <c r="FT337" s="54"/>
      <c r="FU337" s="54"/>
      <c r="FV337" s="54"/>
      <c r="FW337" s="54"/>
      <c r="FX337" s="54"/>
      <c r="FY337" s="54"/>
      <c r="FZ337" s="54"/>
      <c r="GA337" s="54"/>
      <c r="GB337" s="54"/>
      <c r="GC337" s="54"/>
      <c r="GD337" s="54"/>
      <c r="GE337" s="54"/>
      <c r="GF337" s="54"/>
      <c r="GG337" s="54"/>
      <c r="GH337" s="54"/>
      <c r="GI337" s="54"/>
      <c r="GJ337" s="54"/>
      <c r="GK337" s="54"/>
      <c r="GL337" s="54"/>
      <c r="GM337" s="54"/>
      <c r="GN337" s="54"/>
      <c r="GO337" s="54"/>
      <c r="GP337" s="54"/>
      <c r="GQ337" s="54"/>
      <c r="GR337" s="54"/>
      <c r="GS337" s="54"/>
      <c r="GT337" s="54"/>
      <c r="GU337" s="54"/>
      <c r="GV337" s="54"/>
      <c r="GW337" s="54"/>
      <c r="GX337" s="54"/>
      <c r="GY337" s="54"/>
      <c r="GZ337" s="54"/>
      <c r="HA337" s="54"/>
      <c r="HB337" s="54"/>
      <c r="HC337" s="54"/>
      <c r="HD337" s="54"/>
      <c r="HE337" s="54"/>
      <c r="HF337" s="54"/>
      <c r="HG337" s="54"/>
      <c r="HH337" s="54"/>
      <c r="HI337" s="54"/>
      <c r="HJ337" s="54"/>
      <c r="HK337" s="54"/>
      <c r="HL337" s="54"/>
      <c r="HM337" s="54"/>
      <c r="HN337" s="54"/>
      <c r="HO337" s="54"/>
      <c r="HP337" s="54"/>
      <c r="HQ337" s="54"/>
      <c r="HR337" s="54"/>
      <c r="HS337" s="54"/>
      <c r="HT337" s="54"/>
      <c r="HU337" s="54"/>
      <c r="HV337" s="54"/>
      <c r="HW337" s="54"/>
      <c r="HX337" s="54"/>
      <c r="HY337" s="54"/>
      <c r="HZ337" s="54"/>
      <c r="IA337" s="54"/>
      <c r="IB337" s="54"/>
      <c r="IC337" s="54"/>
      <c r="ID337" s="54"/>
      <c r="IE337" s="54"/>
      <c r="IF337" s="54"/>
      <c r="IG337" s="54"/>
      <c r="IH337" s="54"/>
      <c r="IU337" s="54"/>
      <c r="JI337" s="54"/>
      <c r="KM337" s="54"/>
      <c r="KN337" s="54"/>
      <c r="KO337" s="54"/>
      <c r="KP337" s="54"/>
      <c r="KQ337" s="54"/>
      <c r="KR337" s="54"/>
      <c r="KS337" s="54"/>
      <c r="KT337" s="54"/>
      <c r="KU337" s="54"/>
      <c r="KV337" s="54"/>
      <c r="KW337" s="54"/>
      <c r="KX337" s="54"/>
    </row>
    <row r="338" ht="5.2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c r="AB338" s="54"/>
      <c r="AC338" s="54"/>
      <c r="AD338" s="54"/>
      <c r="AE338" s="54"/>
      <c r="AF338" s="54"/>
      <c r="AG338" s="54"/>
      <c r="AH338" s="54"/>
      <c r="AI338" s="54"/>
      <c r="AJ338" s="54"/>
      <c r="AK338" s="54"/>
      <c r="AL338" s="54"/>
      <c r="AM338" s="54"/>
      <c r="AN338" s="54"/>
      <c r="AO338" s="54"/>
      <c r="AP338" s="54"/>
      <c r="AQ338" s="54"/>
      <c r="AR338" s="54"/>
      <c r="AS338" s="54"/>
      <c r="AT338" s="54"/>
      <c r="AU338" s="54"/>
      <c r="AV338" s="54"/>
      <c r="AW338" s="54"/>
      <c r="AX338" s="54"/>
      <c r="AY338" s="54"/>
      <c r="AZ338" s="54"/>
      <c r="BA338" s="54"/>
      <c r="BB338" s="54"/>
      <c r="BC338" s="54"/>
      <c r="BD338" s="54"/>
      <c r="BE338" s="54"/>
      <c r="BF338" s="54"/>
      <c r="BG338" s="54"/>
      <c r="BH338" s="54"/>
      <c r="BI338" s="54"/>
      <c r="BJ338" s="54"/>
      <c r="BK338" s="54"/>
      <c r="BL338" s="54"/>
      <c r="BM338" s="54"/>
      <c r="BN338" s="54"/>
      <c r="BO338" s="54"/>
      <c r="BP338" s="54"/>
      <c r="BQ338" s="54"/>
      <c r="BR338" s="54"/>
      <c r="BS338" s="54"/>
      <c r="BT338" s="54"/>
      <c r="BU338" s="54"/>
      <c r="BV338" s="54"/>
      <c r="BW338" s="54"/>
      <c r="BX338" s="54"/>
      <c r="BY338" s="54"/>
      <c r="BZ338" s="54"/>
      <c r="CA338" s="54"/>
      <c r="CB338" s="54"/>
      <c r="CC338" s="54"/>
      <c r="CD338" s="54"/>
      <c r="CE338" s="54"/>
      <c r="CF338" s="54"/>
      <c r="CG338" s="54"/>
      <c r="CH338" s="54"/>
      <c r="CI338" s="54"/>
      <c r="CJ338" s="54"/>
      <c r="CK338" s="54"/>
      <c r="CL338" s="54"/>
      <c r="CM338" s="54"/>
      <c r="CN338" s="54"/>
      <c r="CO338" s="54"/>
      <c r="CP338" s="54"/>
      <c r="CQ338" s="54"/>
      <c r="CR338" s="54"/>
      <c r="CS338" s="54"/>
      <c r="CT338" s="54"/>
      <c r="CU338" s="54"/>
      <c r="CV338" s="54"/>
      <c r="CW338" s="54"/>
      <c r="CX338" s="54"/>
      <c r="CY338" s="54"/>
      <c r="CZ338" s="54"/>
      <c r="DA338" s="54"/>
      <c r="DB338" s="54"/>
      <c r="DC338" s="54"/>
      <c r="DD338" s="54"/>
      <c r="DE338" s="54"/>
      <c r="DF338" s="54"/>
      <c r="DG338" s="54"/>
      <c r="DH338" s="54"/>
      <c r="DI338" s="54"/>
      <c r="DJ338" s="54"/>
      <c r="DK338" s="54"/>
      <c r="DL338" s="54"/>
      <c r="DM338" s="54"/>
      <c r="DN338" s="54"/>
      <c r="DO338" s="54"/>
      <c r="DP338" s="54"/>
      <c r="DQ338" s="54"/>
      <c r="DR338" s="54"/>
      <c r="DS338" s="54"/>
      <c r="DT338" s="54"/>
      <c r="DU338" s="54"/>
      <c r="DV338" s="54"/>
      <c r="DW338" s="54"/>
      <c r="DX338" s="54"/>
      <c r="DY338" s="54"/>
      <c r="DZ338" s="54"/>
      <c r="EA338" s="54"/>
      <c r="EB338" s="54"/>
      <c r="EC338" s="54"/>
      <c r="ED338" s="54"/>
      <c r="EE338" s="54"/>
      <c r="EF338" s="54"/>
      <c r="EG338" s="54"/>
      <c r="EH338" s="54"/>
      <c r="EI338" s="54"/>
      <c r="EJ338" s="54"/>
      <c r="EK338" s="54"/>
      <c r="EL338" s="54"/>
      <c r="EM338" s="54"/>
      <c r="EN338" s="54"/>
      <c r="EO338" s="54"/>
      <c r="EP338" s="54"/>
      <c r="EQ338" s="54"/>
      <c r="ER338" s="54"/>
      <c r="ES338" s="54"/>
      <c r="ET338" s="54"/>
      <c r="EU338" s="54"/>
      <c r="EV338" s="54"/>
      <c r="EW338" s="54"/>
      <c r="EX338" s="54"/>
      <c r="EY338" s="54"/>
      <c r="EZ338" s="54"/>
      <c r="FA338" s="54"/>
      <c r="FB338" s="54"/>
      <c r="FC338" s="54"/>
      <c r="FD338" s="54"/>
      <c r="FE338" s="54"/>
      <c r="FF338" s="54"/>
      <c r="FG338" s="54"/>
      <c r="FH338" s="54"/>
      <c r="FI338" s="54"/>
      <c r="FJ338" s="54"/>
      <c r="FK338" s="54"/>
      <c r="FL338" s="54"/>
      <c r="FM338" s="54"/>
      <c r="FN338" s="54"/>
      <c r="FO338" s="54"/>
      <c r="FP338" s="54"/>
      <c r="FQ338" s="54"/>
      <c r="FR338" s="54"/>
      <c r="FS338" s="54"/>
      <c r="FT338" s="54"/>
      <c r="FU338" s="54"/>
      <c r="FV338" s="54"/>
      <c r="FW338" s="54"/>
      <c r="FX338" s="54"/>
      <c r="FY338" s="54"/>
      <c r="FZ338" s="54"/>
      <c r="GA338" s="54"/>
      <c r="GB338" s="54"/>
      <c r="GC338" s="54"/>
      <c r="GD338" s="54"/>
      <c r="GE338" s="54"/>
      <c r="GF338" s="54"/>
      <c r="GG338" s="54"/>
      <c r="GH338" s="54"/>
      <c r="GI338" s="54"/>
      <c r="GJ338" s="54"/>
      <c r="GK338" s="54"/>
      <c r="GL338" s="54"/>
      <c r="GM338" s="54"/>
      <c r="GN338" s="54"/>
      <c r="GO338" s="54"/>
      <c r="GP338" s="54"/>
      <c r="GQ338" s="54"/>
      <c r="GR338" s="54"/>
      <c r="GS338" s="54"/>
      <c r="GT338" s="54"/>
      <c r="GU338" s="54"/>
      <c r="GV338" s="54"/>
      <c r="GW338" s="54"/>
      <c r="GX338" s="54"/>
      <c r="GY338" s="54"/>
      <c r="GZ338" s="54"/>
      <c r="HA338" s="54"/>
      <c r="HB338" s="54"/>
      <c r="HC338" s="54"/>
      <c r="HD338" s="54"/>
      <c r="HE338" s="54"/>
      <c r="HF338" s="54"/>
      <c r="HG338" s="54"/>
      <c r="HH338" s="54"/>
      <c r="HI338" s="54"/>
      <c r="HJ338" s="54"/>
      <c r="HK338" s="54"/>
      <c r="HL338" s="54"/>
      <c r="HM338" s="54"/>
      <c r="HN338" s="54"/>
      <c r="HO338" s="54"/>
      <c r="HP338" s="54"/>
      <c r="HQ338" s="54"/>
      <c r="HR338" s="54"/>
      <c r="HS338" s="54"/>
      <c r="HT338" s="54"/>
      <c r="HU338" s="54"/>
      <c r="HV338" s="54"/>
      <c r="HW338" s="54"/>
      <c r="HX338" s="54"/>
      <c r="HY338" s="54"/>
      <c r="HZ338" s="54"/>
      <c r="IA338" s="54"/>
      <c r="IB338" s="54"/>
      <c r="IC338" s="54"/>
      <c r="ID338" s="54"/>
      <c r="IE338" s="54"/>
      <c r="IF338" s="54"/>
      <c r="IG338" s="54"/>
      <c r="IH338" s="54"/>
      <c r="IU338" s="54"/>
      <c r="JI338" s="54"/>
      <c r="KM338" s="54"/>
      <c r="KN338" s="54"/>
      <c r="KO338" s="54"/>
      <c r="KP338" s="54"/>
      <c r="KQ338" s="54"/>
      <c r="KR338" s="54"/>
      <c r="KS338" s="54"/>
      <c r="KT338" s="54"/>
      <c r="KU338" s="54"/>
      <c r="KV338" s="54"/>
      <c r="KW338" s="54"/>
      <c r="KX338" s="54"/>
    </row>
    <row r="339" ht="5.2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c r="AB339" s="54"/>
      <c r="AC339" s="54"/>
      <c r="AD339" s="54"/>
      <c r="AE339" s="54"/>
      <c r="AF339" s="54"/>
      <c r="AG339" s="54"/>
      <c r="AH339" s="54"/>
      <c r="AI339" s="54"/>
      <c r="AJ339" s="54"/>
      <c r="AK339" s="54"/>
      <c r="AL339" s="54"/>
      <c r="AM339" s="54"/>
      <c r="AN339" s="54"/>
      <c r="AO339" s="54"/>
      <c r="AP339" s="54"/>
      <c r="AQ339" s="54"/>
      <c r="AR339" s="54"/>
      <c r="AS339" s="54"/>
      <c r="AT339" s="54"/>
      <c r="AU339" s="54"/>
      <c r="AV339" s="54"/>
      <c r="AW339" s="54"/>
      <c r="AX339" s="54"/>
      <c r="AY339" s="54"/>
      <c r="AZ339" s="54"/>
      <c r="BA339" s="54"/>
      <c r="BB339" s="54"/>
      <c r="BC339" s="54"/>
      <c r="BD339" s="54"/>
      <c r="BE339" s="54"/>
      <c r="BF339" s="54"/>
      <c r="BG339" s="54"/>
      <c r="BH339" s="54"/>
      <c r="BI339" s="54"/>
      <c r="BJ339" s="54"/>
      <c r="BK339" s="54"/>
      <c r="BL339" s="54"/>
      <c r="BM339" s="54"/>
      <c r="BN339" s="54"/>
      <c r="BO339" s="54"/>
      <c r="BP339" s="54"/>
      <c r="BQ339" s="54"/>
      <c r="BR339" s="54"/>
      <c r="BS339" s="54"/>
      <c r="BT339" s="54"/>
      <c r="BU339" s="54"/>
      <c r="BV339" s="54"/>
      <c r="BW339" s="54"/>
      <c r="BX339" s="54"/>
      <c r="BY339" s="54"/>
      <c r="BZ339" s="54"/>
      <c r="CA339" s="54"/>
      <c r="CB339" s="54"/>
      <c r="CC339" s="54"/>
      <c r="CD339" s="54"/>
      <c r="CE339" s="54"/>
      <c r="CF339" s="54"/>
      <c r="CG339" s="54"/>
      <c r="CH339" s="54"/>
      <c r="CI339" s="54"/>
      <c r="CJ339" s="54"/>
      <c r="CK339" s="54"/>
      <c r="CL339" s="54"/>
      <c r="CM339" s="54"/>
      <c r="CN339" s="54"/>
      <c r="CO339" s="54"/>
      <c r="CP339" s="54"/>
      <c r="CQ339" s="54"/>
      <c r="CR339" s="54"/>
      <c r="CS339" s="54"/>
      <c r="CT339" s="54"/>
      <c r="CU339" s="54"/>
      <c r="CV339" s="54"/>
      <c r="CW339" s="54"/>
      <c r="CX339" s="54"/>
      <c r="CY339" s="54"/>
      <c r="CZ339" s="54"/>
      <c r="DA339" s="54"/>
      <c r="DB339" s="54"/>
      <c r="DC339" s="54"/>
      <c r="DD339" s="54"/>
      <c r="DE339" s="54"/>
      <c r="DF339" s="54"/>
      <c r="DG339" s="54"/>
      <c r="DH339" s="54"/>
      <c r="DI339" s="54"/>
      <c r="DJ339" s="54"/>
      <c r="DK339" s="54"/>
      <c r="DL339" s="54"/>
      <c r="DM339" s="54"/>
      <c r="DN339" s="54"/>
      <c r="DO339" s="54"/>
      <c r="DP339" s="54"/>
      <c r="DQ339" s="54"/>
      <c r="DR339" s="54"/>
      <c r="DS339" s="54"/>
      <c r="DT339" s="54"/>
      <c r="DU339" s="54"/>
      <c r="DV339" s="54"/>
      <c r="DW339" s="54"/>
      <c r="DX339" s="54"/>
      <c r="DY339" s="54"/>
      <c r="DZ339" s="54"/>
      <c r="EA339" s="54"/>
      <c r="EB339" s="54"/>
      <c r="EC339" s="54"/>
      <c r="ED339" s="54"/>
      <c r="EE339" s="54"/>
      <c r="EF339" s="54"/>
      <c r="EG339" s="54"/>
      <c r="EH339" s="54"/>
      <c r="EI339" s="54"/>
      <c r="EJ339" s="54"/>
      <c r="EK339" s="54"/>
      <c r="EL339" s="54"/>
      <c r="EM339" s="54"/>
      <c r="EN339" s="54"/>
      <c r="EO339" s="54"/>
      <c r="EP339" s="54"/>
      <c r="EQ339" s="54"/>
      <c r="ER339" s="54"/>
      <c r="ES339" s="54"/>
      <c r="ET339" s="54"/>
      <c r="EU339" s="54"/>
      <c r="EV339" s="54"/>
      <c r="EW339" s="54"/>
      <c r="EX339" s="54"/>
      <c r="EY339" s="54"/>
      <c r="EZ339" s="54"/>
      <c r="FA339" s="54"/>
      <c r="FB339" s="54"/>
      <c r="FC339" s="54"/>
      <c r="FD339" s="54"/>
      <c r="FE339" s="54"/>
      <c r="FF339" s="54"/>
      <c r="FG339" s="54"/>
      <c r="FH339" s="54"/>
      <c r="FI339" s="54"/>
      <c r="FJ339" s="54"/>
      <c r="FK339" s="54"/>
      <c r="FL339" s="54"/>
      <c r="FM339" s="54"/>
      <c r="FN339" s="54"/>
      <c r="FO339" s="54"/>
      <c r="FP339" s="54"/>
      <c r="FQ339" s="54"/>
      <c r="FR339" s="54"/>
      <c r="FS339" s="54"/>
      <c r="FT339" s="54"/>
      <c r="FU339" s="54"/>
      <c r="FV339" s="54"/>
      <c r="FW339" s="54"/>
      <c r="FX339" s="54"/>
      <c r="FY339" s="54"/>
      <c r="FZ339" s="54"/>
      <c r="GA339" s="54"/>
      <c r="GB339" s="54"/>
      <c r="GC339" s="54"/>
      <c r="GD339" s="54"/>
      <c r="GE339" s="54"/>
      <c r="GF339" s="54"/>
      <c r="GG339" s="54"/>
      <c r="GH339" s="54"/>
      <c r="GI339" s="54"/>
      <c r="GJ339" s="54"/>
      <c r="GK339" s="54"/>
      <c r="GL339" s="54"/>
      <c r="GM339" s="54"/>
      <c r="GN339" s="54"/>
      <c r="GO339" s="54"/>
      <c r="GP339" s="54"/>
      <c r="GQ339" s="54"/>
      <c r="GR339" s="54"/>
      <c r="GS339" s="54"/>
      <c r="GT339" s="54"/>
      <c r="GU339" s="54"/>
      <c r="GV339" s="54"/>
      <c r="GW339" s="54"/>
      <c r="GX339" s="54"/>
      <c r="GY339" s="54"/>
      <c r="GZ339" s="54"/>
      <c r="HA339" s="54"/>
      <c r="HB339" s="54"/>
      <c r="HC339" s="54"/>
      <c r="HD339" s="54"/>
      <c r="HE339" s="54"/>
      <c r="HF339" s="54"/>
      <c r="HG339" s="54"/>
      <c r="HH339" s="54"/>
      <c r="HI339" s="54"/>
      <c r="HJ339" s="54"/>
      <c r="HK339" s="54"/>
      <c r="HL339" s="54"/>
      <c r="HM339" s="54"/>
      <c r="HN339" s="54"/>
      <c r="HO339" s="54"/>
      <c r="HP339" s="54"/>
      <c r="HQ339" s="54"/>
      <c r="HR339" s="54"/>
      <c r="HS339" s="54"/>
      <c r="HT339" s="54"/>
      <c r="HU339" s="54"/>
      <c r="HV339" s="54"/>
      <c r="HW339" s="54"/>
      <c r="HX339" s="54"/>
      <c r="HY339" s="54"/>
      <c r="HZ339" s="54"/>
      <c r="IA339" s="54"/>
      <c r="IB339" s="54"/>
      <c r="IC339" s="54"/>
      <c r="ID339" s="54"/>
      <c r="IE339" s="54"/>
      <c r="IF339" s="54"/>
      <c r="IG339" s="54"/>
      <c r="IH339" s="54"/>
      <c r="II339" s="13"/>
      <c r="IJ339" s="13"/>
      <c r="IK339" s="13"/>
      <c r="IL339" s="13"/>
      <c r="IM339" s="13"/>
      <c r="IN339" s="13"/>
      <c r="IO339" s="13"/>
      <c r="IP339" s="13"/>
      <c r="IQ339" s="13"/>
      <c r="IR339" s="13"/>
      <c r="IS339" s="13"/>
      <c r="IT339" s="13"/>
      <c r="IU339" s="54"/>
      <c r="IV339" s="13"/>
      <c r="IW339" s="13"/>
      <c r="IX339" s="13"/>
      <c r="IY339" s="13"/>
      <c r="IZ339" s="13"/>
      <c r="JA339" s="13"/>
      <c r="JB339" s="13"/>
      <c r="JC339" s="13"/>
      <c r="JD339" s="13"/>
      <c r="JE339" s="13"/>
      <c r="JF339" s="13"/>
      <c r="JG339" s="13"/>
      <c r="JH339" s="13"/>
      <c r="JI339" s="54"/>
      <c r="JJ339" s="158"/>
      <c r="JK339" s="158"/>
      <c r="JL339" s="158"/>
      <c r="JM339" s="158"/>
      <c r="JN339" s="158"/>
      <c r="JO339" s="158"/>
      <c r="JP339" s="158"/>
      <c r="JQ339" s="158"/>
      <c r="JR339" s="158"/>
      <c r="JS339" s="158"/>
      <c r="JT339" s="158"/>
      <c r="JU339" s="158"/>
      <c r="JV339" s="158"/>
      <c r="JW339" s="158"/>
      <c r="JX339" s="158"/>
      <c r="JY339" s="158"/>
      <c r="JZ339" s="158"/>
      <c r="KA339" s="158"/>
      <c r="KB339" s="158"/>
      <c r="KC339" s="158"/>
      <c r="KD339" s="158"/>
      <c r="KE339" s="158"/>
      <c r="KF339" s="158"/>
      <c r="KG339" s="158"/>
      <c r="KH339" s="158"/>
      <c r="KI339" s="158"/>
      <c r="KJ339" s="158"/>
      <c r="KK339" s="158"/>
      <c r="KL339" s="158"/>
      <c r="KM339" s="54"/>
      <c r="KN339" s="54"/>
      <c r="KO339" s="54"/>
      <c r="KP339" s="54"/>
      <c r="KQ339" s="54"/>
      <c r="KR339" s="54"/>
      <c r="KS339" s="54"/>
      <c r="KT339" s="54"/>
      <c r="KU339" s="54"/>
      <c r="KV339" s="54"/>
      <c r="KW339" s="54"/>
      <c r="KX339" s="54"/>
    </row>
    <row r="340" ht="5.2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c r="AB340" s="54"/>
      <c r="AC340" s="54"/>
      <c r="AD340" s="54"/>
      <c r="AE340" s="54"/>
      <c r="AF340" s="54"/>
      <c r="AG340" s="54"/>
      <c r="AH340" s="54"/>
      <c r="AI340" s="54"/>
      <c r="AJ340" s="54"/>
      <c r="AK340" s="54"/>
      <c r="AL340" s="54"/>
      <c r="AM340" s="54"/>
      <c r="AN340" s="54"/>
      <c r="AO340" s="54"/>
      <c r="AP340" s="54"/>
      <c r="AQ340" s="54"/>
      <c r="AR340" s="54"/>
      <c r="AS340" s="54"/>
      <c r="AT340" s="54"/>
      <c r="AU340" s="54"/>
      <c r="AV340" s="54"/>
      <c r="AW340" s="54"/>
      <c r="AX340" s="54"/>
      <c r="AY340" s="54"/>
      <c r="AZ340" s="54"/>
      <c r="BA340" s="54"/>
      <c r="BB340" s="54"/>
      <c r="BC340" s="54"/>
      <c r="BD340" s="54"/>
      <c r="BE340" s="54"/>
      <c r="BF340" s="54"/>
      <c r="BG340" s="54"/>
      <c r="BH340" s="54"/>
      <c r="BI340" s="54"/>
      <c r="BJ340" s="54"/>
      <c r="BK340" s="54"/>
      <c r="BL340" s="54"/>
      <c r="BM340" s="54"/>
      <c r="BN340" s="54"/>
      <c r="BO340" s="54"/>
      <c r="BP340" s="54"/>
      <c r="BQ340" s="54"/>
      <c r="BR340" s="54"/>
      <c r="BS340" s="54"/>
      <c r="BT340" s="54"/>
      <c r="BU340" s="54"/>
      <c r="BV340" s="54"/>
      <c r="BW340" s="54"/>
      <c r="BX340" s="54"/>
      <c r="BY340" s="54"/>
      <c r="BZ340" s="54"/>
      <c r="CA340" s="54"/>
      <c r="CB340" s="54"/>
      <c r="CC340" s="54"/>
      <c r="CD340" s="54"/>
      <c r="CE340" s="54"/>
      <c r="CF340" s="54"/>
      <c r="CG340" s="54"/>
      <c r="CH340" s="54"/>
      <c r="CI340" s="54"/>
      <c r="CJ340" s="54"/>
      <c r="CK340" s="54"/>
      <c r="CL340" s="54"/>
      <c r="CM340" s="54"/>
      <c r="CN340" s="54"/>
      <c r="CO340" s="54"/>
      <c r="CP340" s="54"/>
      <c r="CQ340" s="54"/>
      <c r="CR340" s="54"/>
      <c r="CS340" s="54"/>
      <c r="CT340" s="54"/>
      <c r="CU340" s="54"/>
      <c r="CV340" s="54"/>
      <c r="CW340" s="54"/>
      <c r="CX340" s="54"/>
      <c r="CY340" s="54"/>
      <c r="CZ340" s="54"/>
      <c r="DA340" s="54"/>
      <c r="DB340" s="54"/>
      <c r="DC340" s="54"/>
      <c r="DD340" s="54"/>
      <c r="DE340" s="54"/>
      <c r="DF340" s="54"/>
      <c r="DG340" s="54"/>
      <c r="DH340" s="54"/>
      <c r="DI340" s="54"/>
      <c r="DJ340" s="54"/>
      <c r="DK340" s="54"/>
      <c r="DL340" s="54"/>
      <c r="DM340" s="54"/>
      <c r="DN340" s="54"/>
      <c r="DO340" s="54"/>
      <c r="DP340" s="54"/>
      <c r="DQ340" s="54"/>
      <c r="DR340" s="54"/>
      <c r="DS340" s="54"/>
      <c r="DT340" s="54"/>
      <c r="DU340" s="54"/>
      <c r="DV340" s="54"/>
      <c r="DW340" s="54"/>
      <c r="DX340" s="54"/>
      <c r="DY340" s="54"/>
      <c r="DZ340" s="54"/>
      <c r="EA340" s="54"/>
      <c r="EB340" s="54"/>
      <c r="EC340" s="54"/>
      <c r="ED340" s="54"/>
      <c r="EE340" s="54"/>
      <c r="EF340" s="54"/>
      <c r="EG340" s="54"/>
      <c r="EH340" s="54"/>
      <c r="EI340" s="54"/>
      <c r="EJ340" s="54"/>
      <c r="EK340" s="54"/>
      <c r="EL340" s="54"/>
      <c r="EM340" s="54"/>
      <c r="EN340" s="54"/>
      <c r="EO340" s="54"/>
      <c r="EP340" s="54"/>
      <c r="EQ340" s="54"/>
      <c r="ER340" s="54"/>
      <c r="ES340" s="54"/>
      <c r="ET340" s="54"/>
      <c r="EU340" s="54"/>
      <c r="EV340" s="54"/>
      <c r="EW340" s="54"/>
      <c r="EX340" s="54"/>
      <c r="EY340" s="54"/>
      <c r="EZ340" s="54"/>
      <c r="FA340" s="54"/>
      <c r="FB340" s="54"/>
      <c r="FC340" s="54"/>
      <c r="FD340" s="54"/>
      <c r="FE340" s="54"/>
      <c r="FF340" s="54"/>
      <c r="FG340" s="54"/>
      <c r="FH340" s="54"/>
      <c r="FI340" s="54"/>
      <c r="FJ340" s="54"/>
      <c r="FK340" s="54"/>
      <c r="FL340" s="54"/>
      <c r="FM340" s="54"/>
      <c r="FN340" s="54"/>
      <c r="FO340" s="54"/>
      <c r="FP340" s="54"/>
      <c r="FQ340" s="54"/>
      <c r="FR340" s="54"/>
      <c r="FS340" s="54"/>
      <c r="FT340" s="54"/>
      <c r="FU340" s="54"/>
      <c r="FV340" s="54"/>
      <c r="FW340" s="54"/>
      <c r="FX340" s="54"/>
      <c r="FY340" s="54"/>
      <c r="FZ340" s="54"/>
      <c r="GA340" s="54"/>
      <c r="GB340" s="54"/>
      <c r="GC340" s="54"/>
      <c r="GD340" s="54"/>
      <c r="GE340" s="54"/>
      <c r="GF340" s="54"/>
      <c r="GG340" s="54"/>
      <c r="GH340" s="54"/>
      <c r="GI340" s="54"/>
      <c r="GJ340" s="54"/>
      <c r="GK340" s="54"/>
      <c r="GL340" s="54"/>
      <c r="GM340" s="54"/>
      <c r="GN340" s="54"/>
      <c r="GO340" s="54"/>
      <c r="GP340" s="54"/>
      <c r="GQ340" s="54"/>
      <c r="GR340" s="54"/>
      <c r="GS340" s="54"/>
      <c r="GT340" s="54"/>
      <c r="GU340" s="54"/>
      <c r="GV340" s="54"/>
      <c r="GW340" s="54"/>
      <c r="GX340" s="54"/>
      <c r="GY340" s="54"/>
      <c r="GZ340" s="54"/>
      <c r="HA340" s="54"/>
      <c r="HB340" s="54"/>
      <c r="HC340" s="54"/>
      <c r="HD340" s="54"/>
      <c r="HE340" s="54"/>
      <c r="HF340" s="54"/>
      <c r="HG340" s="54"/>
      <c r="HH340" s="54"/>
      <c r="HI340" s="54"/>
      <c r="HJ340" s="54"/>
      <c r="HK340" s="54"/>
      <c r="HL340" s="54"/>
      <c r="HM340" s="54"/>
      <c r="HN340" s="54"/>
      <c r="HO340" s="54"/>
      <c r="HP340" s="54"/>
      <c r="HQ340" s="54"/>
      <c r="HR340" s="54"/>
      <c r="HS340" s="54"/>
      <c r="HT340" s="54"/>
      <c r="HU340" s="54"/>
      <c r="HV340" s="54"/>
      <c r="HW340" s="54"/>
      <c r="HX340" s="54"/>
      <c r="HY340" s="54"/>
      <c r="HZ340" s="54"/>
      <c r="IA340" s="54"/>
      <c r="IB340" s="54"/>
      <c r="IC340" s="54"/>
      <c r="ID340" s="54"/>
      <c r="IE340" s="54"/>
      <c r="IF340" s="54"/>
      <c r="IG340" s="54"/>
      <c r="IH340" s="54"/>
      <c r="II340" s="176" t="s">
        <v>87</v>
      </c>
      <c r="IU340" s="54"/>
      <c r="IV340" s="155" t="s">
        <v>80</v>
      </c>
      <c r="JI340" s="54"/>
      <c r="JJ340" s="82" t="str">
        <f t="array" ref="JJ340">xlookup(JN340,'Team Entry'!$A:$A,'Team Entry'!$B:$B,"")</f>
        <v/>
      </c>
      <c r="JN340" s="156" t="str">
        <f>if(or('Contender Stage'!GP132="",'Contender Stage'!GT132="",'Contender Stage'!GP139="",'Contender Stage'!GT139=""),"TBD",'Contender Results'!Y122)</f>
        <v>TBD</v>
      </c>
      <c r="KM340" s="54"/>
      <c r="KN340" s="54"/>
      <c r="KO340" s="54"/>
      <c r="KP340" s="54"/>
      <c r="KQ340" s="54"/>
      <c r="KR340" s="54"/>
      <c r="KS340" s="54"/>
      <c r="KT340" s="54"/>
      <c r="KU340" s="54"/>
      <c r="KV340" s="54"/>
      <c r="KW340" s="54"/>
      <c r="KX340" s="54"/>
    </row>
    <row r="341" ht="5.2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c r="AB341" s="54"/>
      <c r="AC341" s="54"/>
      <c r="AD341" s="54"/>
      <c r="AE341" s="54"/>
      <c r="AF341" s="54"/>
      <c r="AG341" s="54"/>
      <c r="AH341" s="54"/>
      <c r="AI341" s="54"/>
      <c r="AJ341" s="54"/>
      <c r="AK341" s="54"/>
      <c r="AL341" s="54"/>
      <c r="AM341" s="54"/>
      <c r="AN341" s="54"/>
      <c r="AO341" s="54"/>
      <c r="AP341" s="54"/>
      <c r="AQ341" s="54"/>
      <c r="AR341" s="54"/>
      <c r="AS341" s="54"/>
      <c r="AT341" s="54"/>
      <c r="AU341" s="54"/>
      <c r="AV341" s="54"/>
      <c r="AW341" s="54"/>
      <c r="AX341" s="54"/>
      <c r="AY341" s="54"/>
      <c r="AZ341" s="54"/>
      <c r="BA341" s="54"/>
      <c r="BB341" s="54"/>
      <c r="BC341" s="54"/>
      <c r="BD341" s="54"/>
      <c r="BE341" s="54"/>
      <c r="BF341" s="54"/>
      <c r="BG341" s="54"/>
      <c r="BH341" s="54"/>
      <c r="BI341" s="54"/>
      <c r="BJ341" s="54"/>
      <c r="BK341" s="54"/>
      <c r="BL341" s="54"/>
      <c r="BM341" s="54"/>
      <c r="BN341" s="54"/>
      <c r="BO341" s="54"/>
      <c r="BP341" s="54"/>
      <c r="BQ341" s="54"/>
      <c r="BR341" s="54"/>
      <c r="BS341" s="54"/>
      <c r="BT341" s="54"/>
      <c r="BU341" s="54"/>
      <c r="BV341" s="54"/>
      <c r="BW341" s="54"/>
      <c r="BX341" s="54"/>
      <c r="BY341" s="54"/>
      <c r="BZ341" s="54"/>
      <c r="CA341" s="54"/>
      <c r="CB341" s="54"/>
      <c r="CC341" s="54"/>
      <c r="CD341" s="54"/>
      <c r="CE341" s="54"/>
      <c r="CF341" s="54"/>
      <c r="CG341" s="54"/>
      <c r="CH341" s="54"/>
      <c r="CI341" s="54"/>
      <c r="CJ341" s="54"/>
      <c r="CK341" s="54"/>
      <c r="CL341" s="54"/>
      <c r="CM341" s="54"/>
      <c r="CN341" s="54"/>
      <c r="CO341" s="54"/>
      <c r="CP341" s="54"/>
      <c r="CQ341" s="54"/>
      <c r="CR341" s="54"/>
      <c r="CS341" s="54"/>
      <c r="CT341" s="54"/>
      <c r="CU341" s="54"/>
      <c r="CV341" s="54"/>
      <c r="CW341" s="54"/>
      <c r="CX341" s="54"/>
      <c r="CY341" s="54"/>
      <c r="CZ341" s="54"/>
      <c r="DA341" s="54"/>
      <c r="DB341" s="54"/>
      <c r="DC341" s="54"/>
      <c r="DD341" s="54"/>
      <c r="DE341" s="54"/>
      <c r="DF341" s="54"/>
      <c r="DG341" s="54"/>
      <c r="DH341" s="54"/>
      <c r="DI341" s="54"/>
      <c r="DJ341" s="54"/>
      <c r="DK341" s="54"/>
      <c r="DL341" s="54"/>
      <c r="DM341" s="54"/>
      <c r="DN341" s="54"/>
      <c r="DO341" s="54"/>
      <c r="DP341" s="54"/>
      <c r="DQ341" s="54"/>
      <c r="DR341" s="54"/>
      <c r="DS341" s="54"/>
      <c r="DT341" s="54"/>
      <c r="DU341" s="54"/>
      <c r="DV341" s="54"/>
      <c r="DW341" s="54"/>
      <c r="DX341" s="54"/>
      <c r="DY341" s="54"/>
      <c r="DZ341" s="54"/>
      <c r="EA341" s="54"/>
      <c r="EB341" s="54"/>
      <c r="EC341" s="54"/>
      <c r="ED341" s="54"/>
      <c r="EE341" s="54"/>
      <c r="EF341" s="54"/>
      <c r="EG341" s="54"/>
      <c r="EH341" s="54"/>
      <c r="EI341" s="54"/>
      <c r="EJ341" s="54"/>
      <c r="EK341" s="54"/>
      <c r="EL341" s="54"/>
      <c r="EM341" s="54"/>
      <c r="EN341" s="54"/>
      <c r="EO341" s="54"/>
      <c r="EP341" s="54"/>
      <c r="EQ341" s="54"/>
      <c r="ER341" s="54"/>
      <c r="ES341" s="54"/>
      <c r="ET341" s="54"/>
      <c r="EU341" s="54"/>
      <c r="EV341" s="54"/>
      <c r="EW341" s="54"/>
      <c r="EX341" s="54"/>
      <c r="EY341" s="54"/>
      <c r="EZ341" s="54"/>
      <c r="FA341" s="54"/>
      <c r="FB341" s="54"/>
      <c r="FC341" s="54"/>
      <c r="FD341" s="54"/>
      <c r="FE341" s="54"/>
      <c r="FF341" s="54"/>
      <c r="FG341" s="54"/>
      <c r="FH341" s="54"/>
      <c r="FI341" s="54"/>
      <c r="FJ341" s="54"/>
      <c r="FK341" s="54"/>
      <c r="FL341" s="54"/>
      <c r="FM341" s="54"/>
      <c r="FN341" s="54"/>
      <c r="FO341" s="54"/>
      <c r="FP341" s="54"/>
      <c r="FQ341" s="54"/>
      <c r="FR341" s="54"/>
      <c r="FS341" s="54"/>
      <c r="FT341" s="54"/>
      <c r="FU341" s="54"/>
      <c r="FV341" s="54"/>
      <c r="FW341" s="54"/>
      <c r="FX341" s="54"/>
      <c r="FY341" s="54"/>
      <c r="FZ341" s="54"/>
      <c r="GA341" s="54"/>
      <c r="GB341" s="54"/>
      <c r="GC341" s="54"/>
      <c r="GD341" s="54"/>
      <c r="GE341" s="54"/>
      <c r="GF341" s="54"/>
      <c r="GG341" s="54"/>
      <c r="GH341" s="54"/>
      <c r="GI341" s="54"/>
      <c r="GJ341" s="54"/>
      <c r="GK341" s="54"/>
      <c r="GL341" s="54"/>
      <c r="GM341" s="54"/>
      <c r="GN341" s="54"/>
      <c r="GO341" s="54"/>
      <c r="GP341" s="54"/>
      <c r="GQ341" s="54"/>
      <c r="GR341" s="54"/>
      <c r="GS341" s="54"/>
      <c r="GT341" s="54"/>
      <c r="GU341" s="54"/>
      <c r="GV341" s="54"/>
      <c r="GW341" s="54"/>
      <c r="GX341" s="54"/>
      <c r="GY341" s="54"/>
      <c r="GZ341" s="54"/>
      <c r="HA341" s="54"/>
      <c r="HB341" s="54"/>
      <c r="HC341" s="54"/>
      <c r="HD341" s="54"/>
      <c r="HE341" s="54"/>
      <c r="HF341" s="54"/>
      <c r="HG341" s="54"/>
      <c r="HH341" s="54"/>
      <c r="HI341" s="54"/>
      <c r="HJ341" s="54"/>
      <c r="HK341" s="54"/>
      <c r="HL341" s="54"/>
      <c r="HM341" s="54"/>
      <c r="HN341" s="54"/>
      <c r="HO341" s="54"/>
      <c r="HP341" s="54"/>
      <c r="HQ341" s="54"/>
      <c r="HR341" s="54"/>
      <c r="HS341" s="54"/>
      <c r="HT341" s="54"/>
      <c r="HU341" s="54"/>
      <c r="HV341" s="54"/>
      <c r="HW341" s="54"/>
      <c r="HX341" s="54"/>
      <c r="HY341" s="54"/>
      <c r="HZ341" s="54"/>
      <c r="IA341" s="54"/>
      <c r="IB341" s="54"/>
      <c r="IC341" s="54"/>
      <c r="ID341" s="54"/>
      <c r="IE341" s="54"/>
      <c r="IF341" s="54"/>
      <c r="IG341" s="54"/>
      <c r="IH341" s="54"/>
      <c r="IU341" s="54"/>
      <c r="JI341" s="54"/>
      <c r="KM341" s="54"/>
      <c r="KN341" s="54"/>
      <c r="KO341" s="54"/>
      <c r="KP341" s="54"/>
      <c r="KQ341" s="54"/>
      <c r="KR341" s="54"/>
      <c r="KS341" s="54"/>
      <c r="KT341" s="54"/>
      <c r="KU341" s="54"/>
      <c r="KV341" s="54"/>
      <c r="KW341" s="54"/>
      <c r="KX341" s="54"/>
    </row>
    <row r="342" ht="5.2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c r="AB342" s="54"/>
      <c r="AC342" s="54"/>
      <c r="AD342" s="54"/>
      <c r="AE342" s="54"/>
      <c r="AF342" s="54"/>
      <c r="AG342" s="54"/>
      <c r="AH342" s="54"/>
      <c r="AI342" s="54"/>
      <c r="AJ342" s="54"/>
      <c r="AK342" s="54"/>
      <c r="AL342" s="54"/>
      <c r="AM342" s="54"/>
      <c r="AN342" s="54"/>
      <c r="AO342" s="54"/>
      <c r="AP342" s="54"/>
      <c r="AQ342" s="54"/>
      <c r="AR342" s="54"/>
      <c r="AS342" s="54"/>
      <c r="AT342" s="54"/>
      <c r="AU342" s="54"/>
      <c r="AV342" s="54"/>
      <c r="AW342" s="54"/>
      <c r="AX342" s="54"/>
      <c r="AY342" s="54"/>
      <c r="AZ342" s="54"/>
      <c r="BA342" s="54"/>
      <c r="BB342" s="54"/>
      <c r="BC342" s="54"/>
      <c r="BD342" s="54"/>
      <c r="BE342" s="54"/>
      <c r="BF342" s="54"/>
      <c r="BG342" s="54"/>
      <c r="BH342" s="54"/>
      <c r="BI342" s="54"/>
      <c r="BJ342" s="54"/>
      <c r="BK342" s="54"/>
      <c r="BL342" s="54"/>
      <c r="BM342" s="54"/>
      <c r="BN342" s="54"/>
      <c r="BO342" s="54"/>
      <c r="BP342" s="54"/>
      <c r="BQ342" s="54"/>
      <c r="BR342" s="54"/>
      <c r="BS342" s="54"/>
      <c r="BT342" s="54"/>
      <c r="BU342" s="54"/>
      <c r="BV342" s="54"/>
      <c r="BW342" s="54"/>
      <c r="BX342" s="54"/>
      <c r="BY342" s="54"/>
      <c r="BZ342" s="54"/>
      <c r="CA342" s="54"/>
      <c r="CB342" s="54"/>
      <c r="CC342" s="54"/>
      <c r="CD342" s="54"/>
      <c r="CE342" s="54"/>
      <c r="CF342" s="54"/>
      <c r="CG342" s="54"/>
      <c r="CH342" s="54"/>
      <c r="CI342" s="54"/>
      <c r="CJ342" s="54"/>
      <c r="CK342" s="54"/>
      <c r="CL342" s="54"/>
      <c r="CM342" s="54"/>
      <c r="CN342" s="54"/>
      <c r="CO342" s="54"/>
      <c r="CP342" s="54"/>
      <c r="CQ342" s="54"/>
      <c r="CR342" s="54"/>
      <c r="CS342" s="54"/>
      <c r="CT342" s="54"/>
      <c r="CU342" s="54"/>
      <c r="CV342" s="54"/>
      <c r="CW342" s="54"/>
      <c r="CX342" s="54"/>
      <c r="CY342" s="54"/>
      <c r="CZ342" s="54"/>
      <c r="DA342" s="54"/>
      <c r="DB342" s="54"/>
      <c r="DC342" s="54"/>
      <c r="DD342" s="54"/>
      <c r="DE342" s="54"/>
      <c r="DF342" s="54"/>
      <c r="DG342" s="54"/>
      <c r="DH342" s="54"/>
      <c r="DI342" s="54"/>
      <c r="DJ342" s="54"/>
      <c r="DK342" s="54"/>
      <c r="DL342" s="54"/>
      <c r="DM342" s="54"/>
      <c r="DN342" s="54"/>
      <c r="DO342" s="54"/>
      <c r="DP342" s="54"/>
      <c r="DQ342" s="54"/>
      <c r="DR342" s="54"/>
      <c r="DS342" s="54"/>
      <c r="DT342" s="54"/>
      <c r="DU342" s="54"/>
      <c r="DV342" s="54"/>
      <c r="DW342" s="54"/>
      <c r="DX342" s="54"/>
      <c r="DY342" s="54"/>
      <c r="DZ342" s="54"/>
      <c r="EA342" s="54"/>
      <c r="EB342" s="54"/>
      <c r="EC342" s="54"/>
      <c r="ED342" s="54"/>
      <c r="EE342" s="54"/>
      <c r="EF342" s="54"/>
      <c r="EG342" s="54"/>
      <c r="EH342" s="54"/>
      <c r="EI342" s="54"/>
      <c r="EJ342" s="54"/>
      <c r="EK342" s="54"/>
      <c r="EL342" s="54"/>
      <c r="EM342" s="54"/>
      <c r="EN342" s="54"/>
      <c r="EO342" s="54"/>
      <c r="EP342" s="54"/>
      <c r="EQ342" s="54"/>
      <c r="ER342" s="54"/>
      <c r="ES342" s="54"/>
      <c r="ET342" s="54"/>
      <c r="EU342" s="54"/>
      <c r="EV342" s="54"/>
      <c r="EW342" s="54"/>
      <c r="EX342" s="54"/>
      <c r="EY342" s="54"/>
      <c r="EZ342" s="54"/>
      <c r="FA342" s="54"/>
      <c r="FB342" s="54"/>
      <c r="FC342" s="54"/>
      <c r="FD342" s="54"/>
      <c r="FE342" s="54"/>
      <c r="FF342" s="54"/>
      <c r="FG342" s="54"/>
      <c r="FH342" s="54"/>
      <c r="FI342" s="54"/>
      <c r="FJ342" s="54"/>
      <c r="FK342" s="54"/>
      <c r="FL342" s="54"/>
      <c r="FM342" s="54"/>
      <c r="FN342" s="54"/>
      <c r="FO342" s="54"/>
      <c r="FP342" s="54"/>
      <c r="FQ342" s="54"/>
      <c r="FR342" s="54"/>
      <c r="FS342" s="54"/>
      <c r="FT342" s="54"/>
      <c r="FU342" s="54"/>
      <c r="FV342" s="54"/>
      <c r="FW342" s="54"/>
      <c r="FX342" s="54"/>
      <c r="FY342" s="54"/>
      <c r="FZ342" s="54"/>
      <c r="GA342" s="54"/>
      <c r="GB342" s="54"/>
      <c r="GC342" s="54"/>
      <c r="GD342" s="54"/>
      <c r="GE342" s="54"/>
      <c r="GF342" s="54"/>
      <c r="GG342" s="54"/>
      <c r="GH342" s="54"/>
      <c r="GI342" s="54"/>
      <c r="GJ342" s="54"/>
      <c r="GK342" s="54"/>
      <c r="GL342" s="54"/>
      <c r="GM342" s="54"/>
      <c r="GN342" s="54"/>
      <c r="GO342" s="54"/>
      <c r="GP342" s="54"/>
      <c r="GQ342" s="54"/>
      <c r="GR342" s="54"/>
      <c r="GS342" s="54"/>
      <c r="GT342" s="54"/>
      <c r="GU342" s="54"/>
      <c r="GV342" s="54"/>
      <c r="GW342" s="54"/>
      <c r="GX342" s="54"/>
      <c r="GY342" s="54"/>
      <c r="GZ342" s="54"/>
      <c r="HA342" s="54"/>
      <c r="HB342" s="54"/>
      <c r="HC342" s="54"/>
      <c r="HD342" s="54"/>
      <c r="HE342" s="54"/>
      <c r="HF342" s="54"/>
      <c r="HG342" s="54"/>
      <c r="HH342" s="54"/>
      <c r="HI342" s="54"/>
      <c r="HJ342" s="54"/>
      <c r="HK342" s="54"/>
      <c r="HL342" s="54"/>
      <c r="HM342" s="54"/>
      <c r="HN342" s="54"/>
      <c r="HO342" s="54"/>
      <c r="HP342" s="54"/>
      <c r="HQ342" s="54"/>
      <c r="HR342" s="54"/>
      <c r="HS342" s="54"/>
      <c r="HT342" s="54"/>
      <c r="HU342" s="54"/>
      <c r="HV342" s="54"/>
      <c r="HW342" s="54"/>
      <c r="HX342" s="54"/>
      <c r="HY342" s="54"/>
      <c r="HZ342" s="54"/>
      <c r="IA342" s="54"/>
      <c r="IB342" s="54"/>
      <c r="IC342" s="54"/>
      <c r="ID342" s="54"/>
      <c r="IE342" s="54"/>
      <c r="IF342" s="54"/>
      <c r="IG342" s="54"/>
      <c r="IH342" s="54"/>
      <c r="IU342" s="54"/>
      <c r="JI342" s="54"/>
      <c r="KM342" s="54"/>
      <c r="KN342" s="54"/>
      <c r="KO342" s="54"/>
      <c r="KP342" s="54"/>
      <c r="KQ342" s="54"/>
      <c r="KR342" s="54"/>
      <c r="KS342" s="54"/>
      <c r="KT342" s="54"/>
      <c r="KU342" s="54"/>
      <c r="KV342" s="54"/>
      <c r="KW342" s="54"/>
      <c r="KX342" s="54"/>
    </row>
    <row r="343" ht="5.2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c r="AB343" s="54"/>
      <c r="AC343" s="54"/>
      <c r="AD343" s="54"/>
      <c r="AE343" s="54"/>
      <c r="AF343" s="54"/>
      <c r="AG343" s="54"/>
      <c r="AH343" s="54"/>
      <c r="AI343" s="54"/>
      <c r="AJ343" s="54"/>
      <c r="AK343" s="54"/>
      <c r="AL343" s="54"/>
      <c r="AM343" s="54"/>
      <c r="AN343" s="54"/>
      <c r="AO343" s="54"/>
      <c r="AP343" s="54"/>
      <c r="AQ343" s="54"/>
      <c r="AR343" s="54"/>
      <c r="AS343" s="54"/>
      <c r="AT343" s="54"/>
      <c r="AU343" s="54"/>
      <c r="AV343" s="54"/>
      <c r="AW343" s="54"/>
      <c r="AX343" s="54"/>
      <c r="AY343" s="54"/>
      <c r="AZ343" s="54"/>
      <c r="BA343" s="54"/>
      <c r="BB343" s="54"/>
      <c r="BC343" s="54"/>
      <c r="BD343" s="54"/>
      <c r="BE343" s="54"/>
      <c r="BF343" s="54"/>
      <c r="BG343" s="54"/>
      <c r="BH343" s="54"/>
      <c r="BI343" s="54"/>
      <c r="BJ343" s="54"/>
      <c r="BK343" s="54"/>
      <c r="BL343" s="54"/>
      <c r="BM343" s="54"/>
      <c r="BN343" s="54"/>
      <c r="BO343" s="54"/>
      <c r="BP343" s="54"/>
      <c r="BQ343" s="54"/>
      <c r="BR343" s="54"/>
      <c r="BS343" s="54"/>
      <c r="BT343" s="54"/>
      <c r="BU343" s="54"/>
      <c r="BV343" s="54"/>
      <c r="BW343" s="54"/>
      <c r="BX343" s="54"/>
      <c r="BY343" s="54"/>
      <c r="BZ343" s="54"/>
      <c r="CA343" s="54"/>
      <c r="CB343" s="54"/>
      <c r="CC343" s="54"/>
      <c r="CD343" s="54"/>
      <c r="CE343" s="54"/>
      <c r="CF343" s="54"/>
      <c r="CG343" s="54"/>
      <c r="CH343" s="54"/>
      <c r="CI343" s="54"/>
      <c r="CJ343" s="54"/>
      <c r="CK343" s="54"/>
      <c r="CL343" s="54"/>
      <c r="CM343" s="54"/>
      <c r="CN343" s="54"/>
      <c r="CO343" s="54"/>
      <c r="CP343" s="54"/>
      <c r="CQ343" s="54"/>
      <c r="CR343" s="54"/>
      <c r="CS343" s="54"/>
      <c r="CT343" s="54"/>
      <c r="CU343" s="54"/>
      <c r="CV343" s="54"/>
      <c r="CW343" s="54"/>
      <c r="CX343" s="54"/>
      <c r="CY343" s="54"/>
      <c r="CZ343" s="54"/>
      <c r="DA343" s="54"/>
      <c r="DB343" s="54"/>
      <c r="DC343" s="54"/>
      <c r="DD343" s="54"/>
      <c r="DE343" s="54"/>
      <c r="DF343" s="54"/>
      <c r="DG343" s="54"/>
      <c r="DH343" s="54"/>
      <c r="DI343" s="54"/>
      <c r="DJ343" s="54"/>
      <c r="DK343" s="54"/>
      <c r="DL343" s="54"/>
      <c r="DM343" s="54"/>
      <c r="DN343" s="54"/>
      <c r="DO343" s="54"/>
      <c r="DP343" s="54"/>
      <c r="DQ343" s="54"/>
      <c r="DR343" s="54"/>
      <c r="DS343" s="54"/>
      <c r="DT343" s="54"/>
      <c r="DU343" s="54"/>
      <c r="DV343" s="54"/>
      <c r="DW343" s="54"/>
      <c r="DX343" s="54"/>
      <c r="DY343" s="54"/>
      <c r="DZ343" s="54"/>
      <c r="EA343" s="54"/>
      <c r="EB343" s="54"/>
      <c r="EC343" s="54"/>
      <c r="ED343" s="54"/>
      <c r="EE343" s="54"/>
      <c r="EF343" s="54"/>
      <c r="EG343" s="54"/>
      <c r="EH343" s="54"/>
      <c r="EI343" s="54"/>
      <c r="EJ343" s="54"/>
      <c r="EK343" s="54"/>
      <c r="EL343" s="54"/>
      <c r="EM343" s="54"/>
      <c r="EN343" s="54"/>
      <c r="EO343" s="54"/>
      <c r="EP343" s="54"/>
      <c r="EQ343" s="54"/>
      <c r="ER343" s="54"/>
      <c r="ES343" s="54"/>
      <c r="ET343" s="54"/>
      <c r="EU343" s="54"/>
      <c r="EV343" s="54"/>
      <c r="EW343" s="54"/>
      <c r="EX343" s="54"/>
      <c r="EY343" s="54"/>
      <c r="EZ343" s="54"/>
      <c r="FA343" s="54"/>
      <c r="FB343" s="54"/>
      <c r="FC343" s="54"/>
      <c r="FD343" s="54"/>
      <c r="FE343" s="54"/>
      <c r="FF343" s="54"/>
      <c r="FG343" s="54"/>
      <c r="FH343" s="54"/>
      <c r="FI343" s="54"/>
      <c r="FJ343" s="54"/>
      <c r="FK343" s="54"/>
      <c r="FL343" s="54"/>
      <c r="FM343" s="54"/>
      <c r="FN343" s="54"/>
      <c r="FO343" s="54"/>
      <c r="FP343" s="54"/>
      <c r="FQ343" s="54"/>
      <c r="FR343" s="54"/>
      <c r="FS343" s="54"/>
      <c r="FT343" s="54"/>
      <c r="FU343" s="54"/>
      <c r="FV343" s="54"/>
      <c r="FW343" s="54"/>
      <c r="FX343" s="54"/>
      <c r="FY343" s="54"/>
      <c r="FZ343" s="54"/>
      <c r="GA343" s="54"/>
      <c r="GB343" s="54"/>
      <c r="GC343" s="54"/>
      <c r="GD343" s="54"/>
      <c r="GE343" s="54"/>
      <c r="GF343" s="54"/>
      <c r="GG343" s="54"/>
      <c r="GH343" s="54"/>
      <c r="GI343" s="54"/>
      <c r="GJ343" s="54"/>
      <c r="GK343" s="54"/>
      <c r="GL343" s="54"/>
      <c r="GM343" s="54"/>
      <c r="GN343" s="54"/>
      <c r="GO343" s="54"/>
      <c r="GP343" s="54"/>
      <c r="GQ343" s="54"/>
      <c r="GR343" s="54"/>
      <c r="GS343" s="54"/>
      <c r="GT343" s="54"/>
      <c r="GU343" s="54"/>
      <c r="GV343" s="54"/>
      <c r="GW343" s="54"/>
      <c r="GX343" s="54"/>
      <c r="GY343" s="54"/>
      <c r="GZ343" s="54"/>
      <c r="HA343" s="54"/>
      <c r="HB343" s="54"/>
      <c r="HC343" s="54"/>
      <c r="HD343" s="54"/>
      <c r="HE343" s="54"/>
      <c r="HF343" s="54"/>
      <c r="HG343" s="54"/>
      <c r="HH343" s="54"/>
      <c r="HI343" s="54"/>
      <c r="HJ343" s="54"/>
      <c r="HK343" s="54"/>
      <c r="HL343" s="54"/>
      <c r="HM343" s="54"/>
      <c r="HN343" s="54"/>
      <c r="HO343" s="54"/>
      <c r="HP343" s="54"/>
      <c r="HQ343" s="54"/>
      <c r="HR343" s="54"/>
      <c r="HS343" s="54"/>
      <c r="HT343" s="54"/>
      <c r="HU343" s="54"/>
      <c r="HV343" s="54"/>
      <c r="HW343" s="54"/>
      <c r="HX343" s="54"/>
      <c r="HY343" s="54"/>
      <c r="HZ343" s="54"/>
      <c r="IA343" s="54"/>
      <c r="IB343" s="54"/>
      <c r="IC343" s="54"/>
      <c r="ID343" s="54"/>
      <c r="IE343" s="54"/>
      <c r="IF343" s="54"/>
      <c r="IG343" s="54"/>
      <c r="IH343" s="54"/>
      <c r="IU343" s="54"/>
      <c r="JI343" s="54"/>
      <c r="JJ343" s="158"/>
      <c r="JK343" s="158"/>
      <c r="JL343" s="158"/>
      <c r="JM343" s="158"/>
      <c r="JN343" s="158"/>
      <c r="JO343" s="158"/>
      <c r="JP343" s="158"/>
      <c r="JQ343" s="158"/>
      <c r="JR343" s="158"/>
      <c r="JS343" s="158"/>
      <c r="JT343" s="158"/>
      <c r="JU343" s="158"/>
      <c r="JV343" s="158"/>
      <c r="JW343" s="158"/>
      <c r="JX343" s="158"/>
      <c r="JY343" s="158"/>
      <c r="JZ343" s="158"/>
      <c r="KA343" s="158"/>
      <c r="KB343" s="158"/>
      <c r="KC343" s="158"/>
      <c r="KD343" s="158"/>
      <c r="KE343" s="158"/>
      <c r="KF343" s="158"/>
      <c r="KG343" s="158"/>
      <c r="KH343" s="158"/>
      <c r="KI343" s="158"/>
      <c r="KJ343" s="158"/>
      <c r="KK343" s="158"/>
      <c r="KL343" s="158"/>
      <c r="KM343" s="54"/>
      <c r="KN343" s="54"/>
      <c r="KO343" s="54"/>
      <c r="KP343" s="54"/>
      <c r="KQ343" s="54"/>
      <c r="KR343" s="54"/>
      <c r="KS343" s="54"/>
      <c r="KT343" s="54"/>
      <c r="KU343" s="54"/>
      <c r="KV343" s="54"/>
      <c r="KW343" s="54"/>
      <c r="KX343" s="54"/>
    </row>
    <row r="344" ht="5.2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c r="AB344" s="54"/>
      <c r="AC344" s="54"/>
      <c r="AD344" s="54"/>
      <c r="AE344" s="54"/>
      <c r="AF344" s="54"/>
      <c r="AG344" s="54"/>
      <c r="AH344" s="54"/>
      <c r="AI344" s="54"/>
      <c r="AJ344" s="54"/>
      <c r="AK344" s="54"/>
      <c r="AL344" s="54"/>
      <c r="AM344" s="54"/>
      <c r="AN344" s="54"/>
      <c r="AO344" s="54"/>
      <c r="AP344" s="54"/>
      <c r="AQ344" s="54"/>
      <c r="AR344" s="54"/>
      <c r="AS344" s="54"/>
      <c r="AT344" s="54"/>
      <c r="AU344" s="54"/>
      <c r="AV344" s="54"/>
      <c r="AW344" s="54"/>
      <c r="AX344" s="54"/>
      <c r="AY344" s="54"/>
      <c r="AZ344" s="54"/>
      <c r="BA344" s="54"/>
      <c r="BB344" s="54"/>
      <c r="BC344" s="54"/>
      <c r="BD344" s="54"/>
      <c r="BE344" s="54"/>
      <c r="BF344" s="54"/>
      <c r="BG344" s="54"/>
      <c r="BH344" s="54"/>
      <c r="BI344" s="54"/>
      <c r="BJ344" s="54"/>
      <c r="BK344" s="54"/>
      <c r="BL344" s="54"/>
      <c r="BM344" s="54"/>
      <c r="BN344" s="54"/>
      <c r="BO344" s="54"/>
      <c r="BP344" s="54"/>
      <c r="BQ344" s="54"/>
      <c r="BR344" s="54"/>
      <c r="BS344" s="54"/>
      <c r="BT344" s="54"/>
      <c r="BU344" s="54"/>
      <c r="BV344" s="54"/>
      <c r="BW344" s="54"/>
      <c r="BX344" s="54"/>
      <c r="BY344" s="54"/>
      <c r="BZ344" s="54"/>
      <c r="CA344" s="54"/>
      <c r="CB344" s="54"/>
      <c r="CC344" s="54"/>
      <c r="CD344" s="54"/>
      <c r="CE344" s="54"/>
      <c r="CF344" s="54"/>
      <c r="CG344" s="54"/>
      <c r="CH344" s="54"/>
      <c r="CI344" s="54"/>
      <c r="CJ344" s="54"/>
      <c r="CK344" s="54"/>
      <c r="CL344" s="54"/>
      <c r="CM344" s="54"/>
      <c r="CN344" s="54"/>
      <c r="CO344" s="54"/>
      <c r="CP344" s="54"/>
      <c r="CQ344" s="54"/>
      <c r="CR344" s="54"/>
      <c r="CS344" s="54"/>
      <c r="CT344" s="54"/>
      <c r="CU344" s="54"/>
      <c r="CV344" s="54"/>
      <c r="CW344" s="54"/>
      <c r="CX344" s="54"/>
      <c r="CY344" s="54"/>
      <c r="CZ344" s="54"/>
      <c r="DA344" s="54"/>
      <c r="DB344" s="54"/>
      <c r="DC344" s="54"/>
      <c r="DD344" s="54"/>
      <c r="DE344" s="54"/>
      <c r="DF344" s="54"/>
      <c r="DG344" s="54"/>
      <c r="DH344" s="54"/>
      <c r="DI344" s="54"/>
      <c r="DJ344" s="54"/>
      <c r="DK344" s="54"/>
      <c r="DL344" s="54"/>
      <c r="DM344" s="54"/>
      <c r="DN344" s="54"/>
      <c r="DO344" s="54"/>
      <c r="DP344" s="54"/>
      <c r="DQ344" s="54"/>
      <c r="DR344" s="54"/>
      <c r="DS344" s="54"/>
      <c r="DT344" s="54"/>
      <c r="DU344" s="54"/>
      <c r="DV344" s="54"/>
      <c r="DW344" s="54"/>
      <c r="DX344" s="54"/>
      <c r="DY344" s="54"/>
      <c r="DZ344" s="54"/>
      <c r="EA344" s="54"/>
      <c r="EB344" s="54"/>
      <c r="EC344" s="54"/>
      <c r="ED344" s="54"/>
      <c r="EE344" s="54"/>
      <c r="EF344" s="54"/>
      <c r="EG344" s="54"/>
      <c r="EH344" s="54"/>
      <c r="EI344" s="54"/>
      <c r="EJ344" s="54"/>
      <c r="EK344" s="54"/>
      <c r="EL344" s="54"/>
      <c r="EM344" s="54"/>
      <c r="EN344" s="54"/>
      <c r="EO344" s="54"/>
      <c r="EP344" s="54"/>
      <c r="EQ344" s="54"/>
      <c r="ER344" s="54"/>
      <c r="ES344" s="54"/>
      <c r="ET344" s="54"/>
      <c r="EU344" s="54"/>
      <c r="EV344" s="54"/>
      <c r="EW344" s="54"/>
      <c r="EX344" s="54"/>
      <c r="EY344" s="54"/>
      <c r="EZ344" s="54"/>
      <c r="FA344" s="54"/>
      <c r="FB344" s="54"/>
      <c r="FC344" s="54"/>
      <c r="FD344" s="54"/>
      <c r="FE344" s="54"/>
      <c r="FF344" s="54"/>
      <c r="FG344" s="54"/>
      <c r="FH344" s="54"/>
      <c r="FI344" s="54"/>
      <c r="FJ344" s="54"/>
      <c r="FK344" s="54"/>
      <c r="FL344" s="54"/>
      <c r="FM344" s="54"/>
      <c r="FN344" s="54"/>
      <c r="FO344" s="54"/>
      <c r="FP344" s="54"/>
      <c r="FQ344" s="54"/>
      <c r="FR344" s="54"/>
      <c r="FS344" s="54"/>
      <c r="FT344" s="54"/>
      <c r="FU344" s="54"/>
      <c r="FV344" s="54"/>
      <c r="FW344" s="54"/>
      <c r="FX344" s="54"/>
      <c r="FY344" s="54"/>
      <c r="FZ344" s="54"/>
      <c r="GA344" s="54"/>
      <c r="GB344" s="54"/>
      <c r="GC344" s="54"/>
      <c r="GD344" s="54"/>
      <c r="GE344" s="54"/>
      <c r="GF344" s="54"/>
      <c r="GG344" s="54"/>
      <c r="GH344" s="54"/>
      <c r="GI344" s="54"/>
      <c r="GJ344" s="54"/>
      <c r="GK344" s="54"/>
      <c r="GL344" s="54"/>
      <c r="GM344" s="54"/>
      <c r="GN344" s="54"/>
      <c r="GO344" s="54"/>
      <c r="GP344" s="54"/>
      <c r="GQ344" s="54"/>
      <c r="GR344" s="54"/>
      <c r="GS344" s="54"/>
      <c r="GT344" s="54"/>
      <c r="GU344" s="54"/>
      <c r="GV344" s="54"/>
      <c r="GW344" s="54"/>
      <c r="GX344" s="54"/>
      <c r="GY344" s="54"/>
      <c r="GZ344" s="54"/>
      <c r="HA344" s="54"/>
      <c r="HB344" s="54"/>
      <c r="HC344" s="54"/>
      <c r="HD344" s="54"/>
      <c r="HE344" s="54"/>
      <c r="HF344" s="54"/>
      <c r="HG344" s="54"/>
      <c r="HH344" s="54"/>
      <c r="HI344" s="54"/>
      <c r="HJ344" s="54"/>
      <c r="HK344" s="54"/>
      <c r="HL344" s="54"/>
      <c r="HM344" s="54"/>
      <c r="HN344" s="54"/>
      <c r="HO344" s="54"/>
      <c r="HP344" s="54"/>
      <c r="HQ344" s="54"/>
      <c r="HR344" s="54"/>
      <c r="HS344" s="54"/>
      <c r="HT344" s="54"/>
      <c r="HU344" s="54"/>
      <c r="HV344" s="54"/>
      <c r="HW344" s="54"/>
      <c r="HX344" s="54"/>
      <c r="HY344" s="54"/>
      <c r="HZ344" s="54"/>
      <c r="IA344" s="54"/>
      <c r="IB344" s="54"/>
      <c r="IC344" s="54"/>
      <c r="ID344" s="54"/>
      <c r="IE344" s="54"/>
      <c r="IF344" s="54"/>
      <c r="IG344" s="54"/>
      <c r="IH344" s="54"/>
      <c r="IU344" s="54"/>
      <c r="JI344" s="54"/>
      <c r="JJ344" s="82" t="str">
        <f t="array" ref="JJ344">xlookup(JN344,'Team Entry'!$A:$A,'Team Entry'!$B:$B,"")</f>
        <v/>
      </c>
      <c r="JN344" s="156" t="str">
        <f>if(or('Contender Stage'!GP132="",'Contender Stage'!GT132="",'Contender Stage'!GP139="",'Contender Stage'!GT139=""),"TBD",'Contender Results'!Y130)</f>
        <v>TBD</v>
      </c>
      <c r="KM344" s="54"/>
      <c r="KN344" s="54"/>
      <c r="KO344" s="54"/>
      <c r="KP344" s="54"/>
      <c r="KQ344" s="54"/>
      <c r="KR344" s="54"/>
      <c r="KS344" s="54"/>
      <c r="KT344" s="54"/>
      <c r="KU344" s="54"/>
      <c r="KV344" s="54"/>
      <c r="KW344" s="54"/>
      <c r="KX344" s="54"/>
    </row>
    <row r="345" ht="5.2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c r="AB345" s="54"/>
      <c r="AC345" s="54"/>
      <c r="AD345" s="54"/>
      <c r="AE345" s="54"/>
      <c r="AF345" s="54"/>
      <c r="AG345" s="54"/>
      <c r="AH345" s="54"/>
      <c r="AI345" s="54"/>
      <c r="AJ345" s="54"/>
      <c r="AK345" s="54"/>
      <c r="AL345" s="54"/>
      <c r="AM345" s="54"/>
      <c r="AN345" s="54"/>
      <c r="AO345" s="54"/>
      <c r="AP345" s="54"/>
      <c r="AQ345" s="54"/>
      <c r="AR345" s="54"/>
      <c r="AS345" s="54"/>
      <c r="AT345" s="54"/>
      <c r="AU345" s="54"/>
      <c r="AV345" s="54"/>
      <c r="AW345" s="54"/>
      <c r="AX345" s="54"/>
      <c r="AY345" s="54"/>
      <c r="AZ345" s="54"/>
      <c r="BA345" s="54"/>
      <c r="BB345" s="54"/>
      <c r="BC345" s="54"/>
      <c r="BD345" s="54"/>
      <c r="BE345" s="54"/>
      <c r="BF345" s="54"/>
      <c r="BG345" s="54"/>
      <c r="BH345" s="54"/>
      <c r="BI345" s="54"/>
      <c r="BJ345" s="54"/>
      <c r="BK345" s="54"/>
      <c r="BL345" s="54"/>
      <c r="BM345" s="54"/>
      <c r="BN345" s="54"/>
      <c r="BO345" s="54"/>
      <c r="BP345" s="54"/>
      <c r="BQ345" s="54"/>
      <c r="BR345" s="54"/>
      <c r="BS345" s="54"/>
      <c r="BT345" s="54"/>
      <c r="BU345" s="54"/>
      <c r="BV345" s="54"/>
      <c r="BW345" s="54"/>
      <c r="BX345" s="54"/>
      <c r="BY345" s="54"/>
      <c r="BZ345" s="54"/>
      <c r="CA345" s="54"/>
      <c r="CB345" s="54"/>
      <c r="CC345" s="54"/>
      <c r="CD345" s="54"/>
      <c r="CE345" s="54"/>
      <c r="CF345" s="54"/>
      <c r="CG345" s="54"/>
      <c r="CH345" s="54"/>
      <c r="CI345" s="54"/>
      <c r="CJ345" s="54"/>
      <c r="CK345" s="54"/>
      <c r="CL345" s="54"/>
      <c r="CM345" s="54"/>
      <c r="CN345" s="54"/>
      <c r="CO345" s="54"/>
      <c r="CP345" s="54"/>
      <c r="CQ345" s="54"/>
      <c r="CR345" s="54"/>
      <c r="CS345" s="54"/>
      <c r="CT345" s="54"/>
      <c r="CU345" s="54"/>
      <c r="CV345" s="54"/>
      <c r="CW345" s="54"/>
      <c r="CX345" s="54"/>
      <c r="CY345" s="54"/>
      <c r="CZ345" s="54"/>
      <c r="DA345" s="54"/>
      <c r="DB345" s="54"/>
      <c r="DC345" s="54"/>
      <c r="DD345" s="54"/>
      <c r="DE345" s="54"/>
      <c r="DF345" s="54"/>
      <c r="DG345" s="54"/>
      <c r="DH345" s="54"/>
      <c r="DI345" s="54"/>
      <c r="DJ345" s="54"/>
      <c r="DK345" s="54"/>
      <c r="DL345" s="54"/>
      <c r="DM345" s="54"/>
      <c r="DN345" s="54"/>
      <c r="DO345" s="54"/>
      <c r="DP345" s="54"/>
      <c r="DQ345" s="54"/>
      <c r="DR345" s="54"/>
      <c r="DS345" s="54"/>
      <c r="DT345" s="54"/>
      <c r="DU345" s="54"/>
      <c r="DV345" s="54"/>
      <c r="DW345" s="54"/>
      <c r="DX345" s="54"/>
      <c r="DY345" s="54"/>
      <c r="DZ345" s="54"/>
      <c r="EA345" s="54"/>
      <c r="EB345" s="54"/>
      <c r="EC345" s="54"/>
      <c r="ED345" s="54"/>
      <c r="EE345" s="54"/>
      <c r="EF345" s="54"/>
      <c r="EG345" s="54"/>
      <c r="EH345" s="54"/>
      <c r="EI345" s="54"/>
      <c r="EJ345" s="54"/>
      <c r="EK345" s="54"/>
      <c r="EL345" s="54"/>
      <c r="EM345" s="54"/>
      <c r="EN345" s="54"/>
      <c r="EO345" s="54"/>
      <c r="EP345" s="54"/>
      <c r="EQ345" s="54"/>
      <c r="ER345" s="54"/>
      <c r="ES345" s="54"/>
      <c r="ET345" s="54"/>
      <c r="EU345" s="54"/>
      <c r="EV345" s="54"/>
      <c r="EW345" s="54"/>
      <c r="EX345" s="54"/>
      <c r="EY345" s="54"/>
      <c r="EZ345" s="54"/>
      <c r="FA345" s="54"/>
      <c r="FB345" s="54"/>
      <c r="FC345" s="54"/>
      <c r="FD345" s="54"/>
      <c r="FE345" s="54"/>
      <c r="FF345" s="54"/>
      <c r="FG345" s="54"/>
      <c r="FH345" s="54"/>
      <c r="FI345" s="54"/>
      <c r="FJ345" s="54"/>
      <c r="FK345" s="54"/>
      <c r="FL345" s="54"/>
      <c r="FM345" s="54"/>
      <c r="FN345" s="54"/>
      <c r="FO345" s="54"/>
      <c r="FP345" s="54"/>
      <c r="FQ345" s="54"/>
      <c r="FR345" s="54"/>
      <c r="FS345" s="54"/>
      <c r="FT345" s="54"/>
      <c r="FU345" s="54"/>
      <c r="FV345" s="54"/>
      <c r="FW345" s="54"/>
      <c r="FX345" s="54"/>
      <c r="FY345" s="54"/>
      <c r="FZ345" s="54"/>
      <c r="GA345" s="54"/>
      <c r="GB345" s="54"/>
      <c r="GC345" s="54"/>
      <c r="GD345" s="54"/>
      <c r="GE345" s="54"/>
      <c r="GF345" s="54"/>
      <c r="GG345" s="54"/>
      <c r="GH345" s="54"/>
      <c r="GI345" s="54"/>
      <c r="GJ345" s="54"/>
      <c r="GK345" s="54"/>
      <c r="GL345" s="54"/>
      <c r="GM345" s="54"/>
      <c r="GN345" s="54"/>
      <c r="GO345" s="54"/>
      <c r="GP345" s="54"/>
      <c r="GQ345" s="54"/>
      <c r="GR345" s="54"/>
      <c r="GS345" s="54"/>
      <c r="GT345" s="54"/>
      <c r="GU345" s="54"/>
      <c r="GV345" s="54"/>
      <c r="GW345" s="54"/>
      <c r="GX345" s="54"/>
      <c r="GY345" s="54"/>
      <c r="GZ345" s="54"/>
      <c r="HA345" s="54"/>
      <c r="HB345" s="54"/>
      <c r="HC345" s="54"/>
      <c r="HD345" s="54"/>
      <c r="HE345" s="54"/>
      <c r="HF345" s="54"/>
      <c r="HG345" s="54"/>
      <c r="HH345" s="54"/>
      <c r="HI345" s="54"/>
      <c r="HJ345" s="54"/>
      <c r="HK345" s="54"/>
      <c r="HL345" s="54"/>
      <c r="HM345" s="54"/>
      <c r="HN345" s="54"/>
      <c r="HO345" s="54"/>
      <c r="HP345" s="54"/>
      <c r="HQ345" s="54"/>
      <c r="HR345" s="54"/>
      <c r="HS345" s="54"/>
      <c r="HT345" s="54"/>
      <c r="HU345" s="54"/>
      <c r="HV345" s="54"/>
      <c r="HW345" s="54"/>
      <c r="HX345" s="54"/>
      <c r="HY345" s="54"/>
      <c r="HZ345" s="54"/>
      <c r="IA345" s="54"/>
      <c r="IB345" s="54"/>
      <c r="IC345" s="54"/>
      <c r="ID345" s="54"/>
      <c r="IE345" s="54"/>
      <c r="IF345" s="54"/>
      <c r="IG345" s="54"/>
      <c r="IH345" s="54"/>
      <c r="IU345" s="54"/>
      <c r="JI345" s="54"/>
      <c r="KM345" s="54"/>
      <c r="KN345" s="54"/>
      <c r="KO345" s="54"/>
      <c r="KP345" s="54"/>
      <c r="KQ345" s="54"/>
      <c r="KR345" s="54"/>
      <c r="KS345" s="54"/>
      <c r="KT345" s="54"/>
      <c r="KU345" s="54"/>
      <c r="KV345" s="54"/>
      <c r="KW345" s="54"/>
      <c r="KX345" s="54"/>
    </row>
    <row r="346" ht="5.2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c r="AB346" s="54"/>
      <c r="AC346" s="54"/>
      <c r="AD346" s="54"/>
      <c r="AE346" s="54"/>
      <c r="AF346" s="54"/>
      <c r="AG346" s="54"/>
      <c r="AH346" s="54"/>
      <c r="AI346" s="54"/>
      <c r="AJ346" s="54"/>
      <c r="AK346" s="54"/>
      <c r="AL346" s="54"/>
      <c r="AM346" s="54"/>
      <c r="AN346" s="54"/>
      <c r="AO346" s="54"/>
      <c r="AP346" s="54"/>
      <c r="AQ346" s="54"/>
      <c r="AR346" s="54"/>
      <c r="AS346" s="54"/>
      <c r="AT346" s="54"/>
      <c r="AU346" s="54"/>
      <c r="AV346" s="54"/>
      <c r="AW346" s="54"/>
      <c r="AX346" s="54"/>
      <c r="AY346" s="54"/>
      <c r="AZ346" s="54"/>
      <c r="BA346" s="54"/>
      <c r="BB346" s="54"/>
      <c r="BC346" s="54"/>
      <c r="BD346" s="54"/>
      <c r="BE346" s="54"/>
      <c r="BF346" s="54"/>
      <c r="BG346" s="54"/>
      <c r="BH346" s="54"/>
      <c r="BI346" s="54"/>
      <c r="BJ346" s="54"/>
      <c r="BK346" s="54"/>
      <c r="BL346" s="54"/>
      <c r="BM346" s="54"/>
      <c r="BN346" s="54"/>
      <c r="BO346" s="54"/>
      <c r="BP346" s="54"/>
      <c r="BQ346" s="54"/>
      <c r="BR346" s="54"/>
      <c r="BS346" s="54"/>
      <c r="BT346" s="54"/>
      <c r="BU346" s="54"/>
      <c r="BV346" s="54"/>
      <c r="BW346" s="54"/>
      <c r="BX346" s="54"/>
      <c r="BY346" s="54"/>
      <c r="BZ346" s="54"/>
      <c r="CA346" s="54"/>
      <c r="CB346" s="54"/>
      <c r="CC346" s="54"/>
      <c r="CD346" s="54"/>
      <c r="CE346" s="54"/>
      <c r="CF346" s="54"/>
      <c r="CG346" s="54"/>
      <c r="CH346" s="54"/>
      <c r="CI346" s="54"/>
      <c r="CJ346" s="54"/>
      <c r="CK346" s="54"/>
      <c r="CL346" s="54"/>
      <c r="CM346" s="54"/>
      <c r="CN346" s="54"/>
      <c r="CO346" s="54"/>
      <c r="CP346" s="54"/>
      <c r="CQ346" s="54"/>
      <c r="CR346" s="54"/>
      <c r="CS346" s="54"/>
      <c r="CT346" s="54"/>
      <c r="CU346" s="54"/>
      <c r="CV346" s="54"/>
      <c r="CW346" s="54"/>
      <c r="CX346" s="54"/>
      <c r="CY346" s="54"/>
      <c r="CZ346" s="54"/>
      <c r="DA346" s="54"/>
      <c r="DB346" s="54"/>
      <c r="DC346" s="54"/>
      <c r="DD346" s="54"/>
      <c r="DE346" s="54"/>
      <c r="DF346" s="54"/>
      <c r="DG346" s="54"/>
      <c r="DH346" s="54"/>
      <c r="DI346" s="54"/>
      <c r="DJ346" s="54"/>
      <c r="DK346" s="54"/>
      <c r="DL346" s="54"/>
      <c r="DM346" s="54"/>
      <c r="DN346" s="54"/>
      <c r="DO346" s="54"/>
      <c r="DP346" s="54"/>
      <c r="DQ346" s="54"/>
      <c r="DR346" s="54"/>
      <c r="DS346" s="54"/>
      <c r="DT346" s="54"/>
      <c r="DU346" s="54"/>
      <c r="DV346" s="54"/>
      <c r="DW346" s="54"/>
      <c r="DX346" s="54"/>
      <c r="DY346" s="54"/>
      <c r="DZ346" s="54"/>
      <c r="EA346" s="54"/>
      <c r="EB346" s="54"/>
      <c r="EC346" s="54"/>
      <c r="ED346" s="54"/>
      <c r="EE346" s="54"/>
      <c r="EF346" s="54"/>
      <c r="EG346" s="54"/>
      <c r="EH346" s="54"/>
      <c r="EI346" s="54"/>
      <c r="EJ346" s="54"/>
      <c r="EK346" s="54"/>
      <c r="EL346" s="54"/>
      <c r="EM346" s="54"/>
      <c r="EN346" s="54"/>
      <c r="EO346" s="54"/>
      <c r="EP346" s="54"/>
      <c r="EQ346" s="54"/>
      <c r="ER346" s="54"/>
      <c r="ES346" s="54"/>
      <c r="ET346" s="54"/>
      <c r="EU346" s="54"/>
      <c r="EV346" s="54"/>
      <c r="EW346" s="54"/>
      <c r="EX346" s="54"/>
      <c r="EY346" s="54"/>
      <c r="EZ346" s="54"/>
      <c r="FA346" s="54"/>
      <c r="FB346" s="54"/>
      <c r="FC346" s="54"/>
      <c r="FD346" s="54"/>
      <c r="FE346" s="54"/>
      <c r="FF346" s="54"/>
      <c r="FG346" s="54"/>
      <c r="FH346" s="54"/>
      <c r="FI346" s="54"/>
      <c r="FJ346" s="54"/>
      <c r="FK346" s="54"/>
      <c r="FL346" s="54"/>
      <c r="FM346" s="54"/>
      <c r="FN346" s="54"/>
      <c r="FO346" s="54"/>
      <c r="FP346" s="54"/>
      <c r="FQ346" s="54"/>
      <c r="FR346" s="54"/>
      <c r="FS346" s="54"/>
      <c r="FT346" s="54"/>
      <c r="FU346" s="54"/>
      <c r="FV346" s="54"/>
      <c r="FW346" s="54"/>
      <c r="FX346" s="54"/>
      <c r="FY346" s="54"/>
      <c r="FZ346" s="54"/>
      <c r="GA346" s="54"/>
      <c r="GB346" s="54"/>
      <c r="GC346" s="54"/>
      <c r="GD346" s="54"/>
      <c r="GE346" s="54"/>
      <c r="GF346" s="54"/>
      <c r="GG346" s="54"/>
      <c r="GH346" s="54"/>
      <c r="GI346" s="54"/>
      <c r="GJ346" s="54"/>
      <c r="GK346" s="54"/>
      <c r="GL346" s="54"/>
      <c r="GM346" s="54"/>
      <c r="GN346" s="54"/>
      <c r="GO346" s="54"/>
      <c r="GP346" s="54"/>
      <c r="GQ346" s="54"/>
      <c r="GR346" s="54"/>
      <c r="GS346" s="54"/>
      <c r="GT346" s="54"/>
      <c r="GU346" s="54"/>
      <c r="GV346" s="54"/>
      <c r="GW346" s="54"/>
      <c r="GX346" s="54"/>
      <c r="GY346" s="54"/>
      <c r="GZ346" s="54"/>
      <c r="HA346" s="54"/>
      <c r="HB346" s="54"/>
      <c r="HC346" s="54"/>
      <c r="HD346" s="54"/>
      <c r="HE346" s="54"/>
      <c r="HF346" s="54"/>
      <c r="HG346" s="54"/>
      <c r="HH346" s="54"/>
      <c r="HI346" s="54"/>
      <c r="HJ346" s="54"/>
      <c r="HK346" s="54"/>
      <c r="HL346" s="54"/>
      <c r="HM346" s="54"/>
      <c r="HN346" s="54"/>
      <c r="HO346" s="54"/>
      <c r="HP346" s="54"/>
      <c r="HQ346" s="54"/>
      <c r="HR346" s="54"/>
      <c r="HS346" s="54"/>
      <c r="HT346" s="54"/>
      <c r="HU346" s="54"/>
      <c r="HV346" s="54"/>
      <c r="HW346" s="54"/>
      <c r="HX346" s="54"/>
      <c r="HY346" s="54"/>
      <c r="HZ346" s="54"/>
      <c r="IA346" s="54"/>
      <c r="IB346" s="54"/>
      <c r="IC346" s="54"/>
      <c r="ID346" s="54"/>
      <c r="IE346" s="54"/>
      <c r="IF346" s="54"/>
      <c r="IG346" s="54"/>
      <c r="IH346" s="54"/>
      <c r="IU346" s="54"/>
      <c r="JI346" s="54"/>
      <c r="KM346" s="54"/>
      <c r="KN346" s="54"/>
      <c r="KO346" s="54"/>
      <c r="KP346" s="54"/>
      <c r="KQ346" s="54"/>
      <c r="KR346" s="54"/>
      <c r="KS346" s="54"/>
      <c r="KT346" s="54"/>
      <c r="KU346" s="54"/>
      <c r="KV346" s="54"/>
      <c r="KW346" s="54"/>
      <c r="KX346" s="54"/>
    </row>
    <row r="347" ht="5.2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c r="AB347" s="54"/>
      <c r="AC347" s="54"/>
      <c r="AD347" s="54"/>
      <c r="AE347" s="54"/>
      <c r="AF347" s="54"/>
      <c r="AG347" s="54"/>
      <c r="AH347" s="54"/>
      <c r="AI347" s="54"/>
      <c r="AJ347" s="54"/>
      <c r="AK347" s="54"/>
      <c r="AL347" s="54"/>
      <c r="AM347" s="54"/>
      <c r="AN347" s="54"/>
      <c r="AO347" s="54"/>
      <c r="AP347" s="54"/>
      <c r="AQ347" s="54"/>
      <c r="AR347" s="54"/>
      <c r="AS347" s="54"/>
      <c r="AT347" s="54"/>
      <c r="AU347" s="54"/>
      <c r="AV347" s="54"/>
      <c r="AW347" s="54"/>
      <c r="AX347" s="54"/>
      <c r="AY347" s="54"/>
      <c r="AZ347" s="54"/>
      <c r="BA347" s="54"/>
      <c r="BB347" s="54"/>
      <c r="BC347" s="54"/>
      <c r="BD347" s="54"/>
      <c r="BE347" s="54"/>
      <c r="BF347" s="54"/>
      <c r="BG347" s="54"/>
      <c r="BH347" s="54"/>
      <c r="BI347" s="54"/>
      <c r="BJ347" s="54"/>
      <c r="BK347" s="54"/>
      <c r="BL347" s="54"/>
      <c r="BM347" s="54"/>
      <c r="BN347" s="54"/>
      <c r="BO347" s="54"/>
      <c r="BP347" s="54"/>
      <c r="BQ347" s="54"/>
      <c r="BR347" s="54"/>
      <c r="BS347" s="54"/>
      <c r="BT347" s="54"/>
      <c r="BU347" s="54"/>
      <c r="BV347" s="54"/>
      <c r="BW347" s="54"/>
      <c r="BX347" s="54"/>
      <c r="BY347" s="54"/>
      <c r="BZ347" s="54"/>
      <c r="CA347" s="54"/>
      <c r="CB347" s="54"/>
      <c r="CC347" s="54"/>
      <c r="CD347" s="54"/>
      <c r="CE347" s="54"/>
      <c r="CF347" s="54"/>
      <c r="CG347" s="54"/>
      <c r="CH347" s="54"/>
      <c r="CI347" s="54"/>
      <c r="CJ347" s="54"/>
      <c r="CK347" s="54"/>
      <c r="CL347" s="54"/>
      <c r="CM347" s="54"/>
      <c r="CN347" s="54"/>
      <c r="CO347" s="54"/>
      <c r="CP347" s="54"/>
      <c r="CQ347" s="54"/>
      <c r="CR347" s="54"/>
      <c r="CS347" s="54"/>
      <c r="CT347" s="54"/>
      <c r="CU347" s="54"/>
      <c r="CV347" s="54"/>
      <c r="CW347" s="54"/>
      <c r="CX347" s="54"/>
      <c r="CY347" s="54"/>
      <c r="CZ347" s="54"/>
      <c r="DA347" s="54"/>
      <c r="DB347" s="54"/>
      <c r="DC347" s="54"/>
      <c r="DD347" s="54"/>
      <c r="DE347" s="54"/>
      <c r="DF347" s="54"/>
      <c r="DG347" s="54"/>
      <c r="DH347" s="54"/>
      <c r="DI347" s="54"/>
      <c r="DJ347" s="54"/>
      <c r="DK347" s="54"/>
      <c r="DL347" s="54"/>
      <c r="DM347" s="54"/>
      <c r="DN347" s="54"/>
      <c r="DO347" s="54"/>
      <c r="DP347" s="54"/>
      <c r="DQ347" s="54"/>
      <c r="DR347" s="54"/>
      <c r="DS347" s="54"/>
      <c r="DT347" s="54"/>
      <c r="DU347" s="54"/>
      <c r="DV347" s="54"/>
      <c r="DW347" s="54"/>
      <c r="DX347" s="54"/>
      <c r="DY347" s="54"/>
      <c r="DZ347" s="54"/>
      <c r="EA347" s="54"/>
      <c r="EB347" s="54"/>
      <c r="EC347" s="54"/>
      <c r="ED347" s="54"/>
      <c r="EE347" s="54"/>
      <c r="EF347" s="54"/>
      <c r="EG347" s="54"/>
      <c r="EH347" s="54"/>
      <c r="EI347" s="54"/>
      <c r="EJ347" s="54"/>
      <c r="EK347" s="54"/>
      <c r="EL347" s="54"/>
      <c r="EM347" s="54"/>
      <c r="EN347" s="54"/>
      <c r="EO347" s="54"/>
      <c r="EP347" s="54"/>
      <c r="EQ347" s="54"/>
      <c r="ER347" s="54"/>
      <c r="ES347" s="54"/>
      <c r="ET347" s="54"/>
      <c r="EU347" s="54"/>
      <c r="EV347" s="54"/>
      <c r="EW347" s="54"/>
      <c r="EX347" s="54"/>
      <c r="EY347" s="54"/>
      <c r="EZ347" s="54"/>
      <c r="FA347" s="54"/>
      <c r="FB347" s="54"/>
      <c r="FC347" s="54"/>
      <c r="FD347" s="54"/>
      <c r="FE347" s="54"/>
      <c r="FF347" s="54"/>
      <c r="FG347" s="54"/>
      <c r="FH347" s="54"/>
      <c r="FI347" s="54"/>
      <c r="FJ347" s="54"/>
      <c r="FK347" s="54"/>
      <c r="FL347" s="54"/>
      <c r="FM347" s="54"/>
      <c r="FN347" s="54"/>
      <c r="FO347" s="54"/>
      <c r="FP347" s="54"/>
      <c r="FQ347" s="54"/>
      <c r="FR347" s="54"/>
      <c r="FS347" s="54"/>
      <c r="FT347" s="54"/>
      <c r="FU347" s="54"/>
      <c r="FV347" s="54"/>
      <c r="FW347" s="54"/>
      <c r="FX347" s="54"/>
      <c r="FY347" s="54"/>
      <c r="FZ347" s="54"/>
      <c r="GA347" s="54"/>
      <c r="GB347" s="54"/>
      <c r="GC347" s="54"/>
      <c r="GD347" s="54"/>
      <c r="GE347" s="54"/>
      <c r="GF347" s="54"/>
      <c r="GG347" s="54"/>
      <c r="GH347" s="54"/>
      <c r="GI347" s="54"/>
      <c r="GJ347" s="54"/>
      <c r="GK347" s="54"/>
      <c r="GL347" s="54"/>
      <c r="GM347" s="54"/>
      <c r="GN347" s="54"/>
      <c r="GO347" s="54"/>
      <c r="GP347" s="54"/>
      <c r="GQ347" s="54"/>
      <c r="GR347" s="54"/>
      <c r="GS347" s="54"/>
      <c r="GT347" s="54"/>
      <c r="GU347" s="54"/>
      <c r="GV347" s="54"/>
      <c r="GW347" s="54"/>
      <c r="GX347" s="54"/>
      <c r="GY347" s="54"/>
      <c r="GZ347" s="54"/>
      <c r="HA347" s="54"/>
      <c r="HB347" s="54"/>
      <c r="HC347" s="54"/>
      <c r="HD347" s="54"/>
      <c r="HE347" s="54"/>
      <c r="HF347" s="54"/>
      <c r="HG347" s="54"/>
      <c r="HH347" s="54"/>
      <c r="HI347" s="54"/>
      <c r="HJ347" s="54"/>
      <c r="HK347" s="54"/>
      <c r="HL347" s="54"/>
      <c r="HM347" s="54"/>
      <c r="HN347" s="54"/>
      <c r="HO347" s="54"/>
      <c r="HP347" s="54"/>
      <c r="HQ347" s="54"/>
      <c r="HR347" s="54"/>
      <c r="HS347" s="54"/>
      <c r="HT347" s="54"/>
      <c r="HU347" s="54"/>
      <c r="HV347" s="54"/>
      <c r="HW347" s="54"/>
      <c r="HX347" s="54"/>
      <c r="HY347" s="54"/>
      <c r="HZ347" s="54"/>
      <c r="IA347" s="54"/>
      <c r="IB347" s="54"/>
      <c r="IC347" s="54"/>
      <c r="ID347" s="54"/>
      <c r="IE347" s="54"/>
      <c r="IF347" s="54"/>
      <c r="IG347" s="54"/>
      <c r="IH347" s="54"/>
      <c r="II347" s="13"/>
      <c r="IJ347" s="13"/>
      <c r="IK347" s="13"/>
      <c r="IL347" s="13"/>
      <c r="IM347" s="13"/>
      <c r="IN347" s="13"/>
      <c r="IO347" s="13"/>
      <c r="IP347" s="13"/>
      <c r="IQ347" s="13"/>
      <c r="IR347" s="13"/>
      <c r="IS347" s="13"/>
      <c r="IT347" s="13"/>
      <c r="IU347" s="54"/>
      <c r="IV347" s="13"/>
      <c r="IW347" s="13"/>
      <c r="IX347" s="13"/>
      <c r="IY347" s="13"/>
      <c r="IZ347" s="13"/>
      <c r="JA347" s="13"/>
      <c r="JB347" s="13"/>
      <c r="JC347" s="13"/>
      <c r="JD347" s="13"/>
      <c r="JE347" s="13"/>
      <c r="JF347" s="13"/>
      <c r="JG347" s="13"/>
      <c r="JH347" s="13"/>
      <c r="JI347" s="54"/>
      <c r="JJ347" s="158"/>
      <c r="JK347" s="158"/>
      <c r="JL347" s="158"/>
      <c r="JM347" s="158"/>
      <c r="JN347" s="158"/>
      <c r="JO347" s="158"/>
      <c r="JP347" s="158"/>
      <c r="JQ347" s="158"/>
      <c r="JR347" s="158"/>
      <c r="JS347" s="158"/>
      <c r="JT347" s="158"/>
      <c r="JU347" s="158"/>
      <c r="JV347" s="158"/>
      <c r="JW347" s="158"/>
      <c r="JX347" s="158"/>
      <c r="JY347" s="158"/>
      <c r="JZ347" s="158"/>
      <c r="KA347" s="158"/>
      <c r="KB347" s="158"/>
      <c r="KC347" s="158"/>
      <c r="KD347" s="158"/>
      <c r="KE347" s="158"/>
      <c r="KF347" s="158"/>
      <c r="KG347" s="158"/>
      <c r="KH347" s="158"/>
      <c r="KI347" s="158"/>
      <c r="KJ347" s="158"/>
      <c r="KK347" s="158"/>
      <c r="KL347" s="158"/>
      <c r="KM347" s="54"/>
      <c r="KN347" s="54"/>
      <c r="KO347" s="54"/>
      <c r="KP347" s="54"/>
      <c r="KQ347" s="54"/>
      <c r="KR347" s="54"/>
      <c r="KS347" s="54"/>
      <c r="KT347" s="54"/>
      <c r="KU347" s="54"/>
      <c r="KV347" s="54"/>
      <c r="KW347" s="54"/>
      <c r="KX347" s="54"/>
    </row>
    <row r="348" ht="5.2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c r="AB348" s="54"/>
      <c r="AC348" s="54"/>
      <c r="AD348" s="54"/>
      <c r="AE348" s="54"/>
      <c r="AF348" s="54"/>
      <c r="AG348" s="54"/>
      <c r="AH348" s="54"/>
      <c r="AI348" s="54"/>
      <c r="AJ348" s="54"/>
      <c r="AK348" s="54"/>
      <c r="AL348" s="54"/>
      <c r="AM348" s="54"/>
      <c r="AN348" s="54"/>
      <c r="AO348" s="54"/>
      <c r="AP348" s="54"/>
      <c r="AQ348" s="54"/>
      <c r="AR348" s="54"/>
      <c r="AS348" s="54"/>
      <c r="AT348" s="54"/>
      <c r="AU348" s="54"/>
      <c r="AV348" s="54"/>
      <c r="AW348" s="54"/>
      <c r="AX348" s="54"/>
      <c r="AY348" s="54"/>
      <c r="AZ348" s="54"/>
      <c r="BA348" s="54"/>
      <c r="BB348" s="54"/>
      <c r="BC348" s="54"/>
      <c r="BD348" s="54"/>
      <c r="BE348" s="54"/>
      <c r="BF348" s="54"/>
      <c r="BG348" s="54"/>
      <c r="BH348" s="54"/>
      <c r="BI348" s="54"/>
      <c r="BJ348" s="54"/>
      <c r="BK348" s="54"/>
      <c r="BL348" s="54"/>
      <c r="BM348" s="54"/>
      <c r="BN348" s="54"/>
      <c r="BO348" s="54"/>
      <c r="BP348" s="54"/>
      <c r="BQ348" s="54"/>
      <c r="BR348" s="54"/>
      <c r="BS348" s="54"/>
      <c r="BT348" s="54"/>
      <c r="BU348" s="54"/>
      <c r="BV348" s="54"/>
      <c r="BW348" s="54"/>
      <c r="BX348" s="54"/>
      <c r="BY348" s="54"/>
      <c r="BZ348" s="54"/>
      <c r="CA348" s="54"/>
      <c r="CB348" s="54"/>
      <c r="CC348" s="54"/>
      <c r="CD348" s="54"/>
      <c r="CE348" s="54"/>
      <c r="CF348" s="54"/>
      <c r="CG348" s="54"/>
      <c r="CH348" s="54"/>
      <c r="CI348" s="54"/>
      <c r="CJ348" s="54"/>
      <c r="CK348" s="54"/>
      <c r="CL348" s="54"/>
      <c r="CM348" s="54"/>
      <c r="CN348" s="54"/>
      <c r="CO348" s="54"/>
      <c r="CP348" s="54"/>
      <c r="CQ348" s="54"/>
      <c r="CR348" s="54"/>
      <c r="CS348" s="54"/>
      <c r="CT348" s="54"/>
      <c r="CU348" s="54"/>
      <c r="CV348" s="54"/>
      <c r="CW348" s="54"/>
      <c r="CX348" s="54"/>
      <c r="CY348" s="54"/>
      <c r="CZ348" s="54"/>
      <c r="DA348" s="54"/>
      <c r="DB348" s="54"/>
      <c r="DC348" s="54"/>
      <c r="DD348" s="54"/>
      <c r="DE348" s="54"/>
      <c r="DF348" s="54"/>
      <c r="DG348" s="54"/>
      <c r="DH348" s="54"/>
      <c r="DI348" s="54"/>
      <c r="DJ348" s="54"/>
      <c r="DK348" s="54"/>
      <c r="DL348" s="54"/>
      <c r="DM348" s="54"/>
      <c r="DN348" s="54"/>
      <c r="DO348" s="54"/>
      <c r="DP348" s="54"/>
      <c r="DQ348" s="54"/>
      <c r="DR348" s="54"/>
      <c r="DS348" s="54"/>
      <c r="DT348" s="54"/>
      <c r="DU348" s="54"/>
      <c r="DV348" s="54"/>
      <c r="DW348" s="54"/>
      <c r="DX348" s="54"/>
      <c r="DY348" s="54"/>
      <c r="DZ348" s="54"/>
      <c r="EA348" s="54"/>
      <c r="EB348" s="54"/>
      <c r="EC348" s="54"/>
      <c r="ED348" s="54"/>
      <c r="EE348" s="54"/>
      <c r="EF348" s="54"/>
      <c r="EG348" s="54"/>
      <c r="EH348" s="54"/>
      <c r="EI348" s="54"/>
      <c r="EJ348" s="54"/>
      <c r="EK348" s="54"/>
      <c r="EL348" s="54"/>
      <c r="EM348" s="54"/>
      <c r="EN348" s="54"/>
      <c r="EO348" s="54"/>
      <c r="EP348" s="54"/>
      <c r="EQ348" s="54"/>
      <c r="ER348" s="54"/>
      <c r="ES348" s="54"/>
      <c r="ET348" s="54"/>
      <c r="EU348" s="54"/>
      <c r="EV348" s="54"/>
      <c r="EW348" s="54"/>
      <c r="EX348" s="54"/>
      <c r="EY348" s="54"/>
      <c r="EZ348" s="54"/>
      <c r="FA348" s="54"/>
      <c r="FB348" s="54"/>
      <c r="FC348" s="54"/>
      <c r="FD348" s="54"/>
      <c r="FE348" s="54"/>
      <c r="FF348" s="54"/>
      <c r="FG348" s="54"/>
      <c r="FH348" s="54"/>
      <c r="FI348" s="54"/>
      <c r="FJ348" s="54"/>
      <c r="FK348" s="54"/>
      <c r="FL348" s="54"/>
      <c r="FM348" s="54"/>
      <c r="FN348" s="54"/>
      <c r="FO348" s="54"/>
      <c r="FP348" s="54"/>
      <c r="FQ348" s="54"/>
      <c r="FR348" s="54"/>
      <c r="FS348" s="54"/>
      <c r="FT348" s="54"/>
      <c r="FU348" s="54"/>
      <c r="FV348" s="54"/>
      <c r="FW348" s="54"/>
      <c r="FX348" s="54"/>
      <c r="FY348" s="54"/>
      <c r="FZ348" s="54"/>
      <c r="GA348" s="54"/>
      <c r="GB348" s="54"/>
      <c r="GC348" s="54"/>
      <c r="GD348" s="54"/>
      <c r="GE348" s="54"/>
      <c r="GF348" s="54"/>
      <c r="GG348" s="54"/>
      <c r="GH348" s="54"/>
      <c r="GI348" s="54"/>
      <c r="GJ348" s="54"/>
      <c r="GK348" s="54"/>
      <c r="GL348" s="54"/>
      <c r="GM348" s="54"/>
      <c r="GN348" s="54"/>
      <c r="GO348" s="54"/>
      <c r="GP348" s="54"/>
      <c r="GQ348" s="54"/>
      <c r="GR348" s="54"/>
      <c r="GS348" s="54"/>
      <c r="GT348" s="54"/>
      <c r="GU348" s="54"/>
      <c r="GV348" s="54"/>
      <c r="GW348" s="54"/>
      <c r="GX348" s="54"/>
      <c r="GY348" s="54"/>
      <c r="GZ348" s="54"/>
      <c r="HA348" s="54"/>
      <c r="HB348" s="54"/>
      <c r="HC348" s="54"/>
      <c r="HD348" s="54"/>
      <c r="HE348" s="54"/>
      <c r="HF348" s="54"/>
      <c r="HG348" s="54"/>
      <c r="HH348" s="54"/>
      <c r="HI348" s="54"/>
      <c r="HJ348" s="54"/>
      <c r="HK348" s="54"/>
      <c r="HL348" s="54"/>
      <c r="HM348" s="54"/>
      <c r="HN348" s="54"/>
      <c r="HO348" s="54"/>
      <c r="HP348" s="54"/>
      <c r="HQ348" s="54"/>
      <c r="HR348" s="54"/>
      <c r="HS348" s="54"/>
      <c r="HT348" s="54"/>
      <c r="HU348" s="54"/>
      <c r="HV348" s="54"/>
      <c r="HW348" s="54"/>
      <c r="HX348" s="54"/>
      <c r="HY348" s="54"/>
      <c r="HZ348" s="54"/>
      <c r="IA348" s="54"/>
      <c r="IB348" s="54"/>
      <c r="IC348" s="54"/>
      <c r="ID348" s="54"/>
      <c r="IE348" s="54"/>
      <c r="IF348" s="54"/>
      <c r="IG348" s="54"/>
      <c r="IH348" s="54"/>
      <c r="II348" s="152"/>
      <c r="IJ348" s="152"/>
      <c r="IK348" s="152"/>
      <c r="IL348" s="152"/>
      <c r="IM348" s="152"/>
      <c r="IN348" s="152"/>
      <c r="IO348" s="152"/>
      <c r="IP348" s="152"/>
      <c r="IQ348" s="152"/>
      <c r="IR348" s="152"/>
      <c r="IS348" s="152"/>
      <c r="IT348" s="152"/>
      <c r="IU348" s="152"/>
      <c r="IV348" s="152"/>
      <c r="IW348" s="152"/>
      <c r="IX348" s="152"/>
      <c r="IY348" s="152"/>
      <c r="IZ348" s="152"/>
      <c r="JA348" s="152"/>
      <c r="JB348" s="152"/>
      <c r="JC348" s="152"/>
      <c r="JD348" s="152"/>
      <c r="JE348" s="152"/>
      <c r="JF348" s="152"/>
      <c r="JG348" s="152"/>
      <c r="JH348" s="152"/>
      <c r="JI348" s="152"/>
      <c r="JJ348" s="152"/>
      <c r="JK348" s="152"/>
      <c r="JL348" s="152"/>
      <c r="JM348" s="152"/>
      <c r="JN348" s="152"/>
      <c r="JO348" s="152"/>
      <c r="JP348" s="152"/>
      <c r="JQ348" s="152"/>
      <c r="JR348" s="152"/>
      <c r="JS348" s="152"/>
      <c r="JT348" s="152"/>
      <c r="JU348" s="152"/>
      <c r="JV348" s="152"/>
      <c r="JW348" s="152"/>
      <c r="JX348" s="152"/>
      <c r="JY348" s="152"/>
      <c r="JZ348" s="152"/>
      <c r="KA348" s="152"/>
      <c r="KB348" s="152"/>
      <c r="KC348" s="152"/>
      <c r="KD348" s="152"/>
      <c r="KE348" s="152"/>
      <c r="KF348" s="152"/>
      <c r="KG348" s="152"/>
      <c r="KH348" s="152"/>
      <c r="KI348" s="152"/>
      <c r="KJ348" s="152"/>
      <c r="KK348" s="152"/>
      <c r="KL348" s="152"/>
      <c r="KM348" s="54"/>
      <c r="KN348" s="54"/>
      <c r="KO348" s="54"/>
      <c r="KP348" s="54"/>
      <c r="KQ348" s="54"/>
      <c r="KR348" s="54"/>
      <c r="KS348" s="54"/>
      <c r="KT348" s="54"/>
      <c r="KU348" s="54"/>
      <c r="KV348" s="54"/>
      <c r="KW348" s="54"/>
      <c r="KX348" s="54"/>
    </row>
    <row r="349" ht="5.2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c r="AB349" s="54"/>
      <c r="AC349" s="54"/>
      <c r="AD349" s="54"/>
      <c r="AE349" s="54"/>
      <c r="AF349" s="54"/>
      <c r="AG349" s="54"/>
      <c r="AH349" s="54"/>
      <c r="AI349" s="54"/>
      <c r="AJ349" s="54"/>
      <c r="AK349" s="54"/>
      <c r="AL349" s="54"/>
      <c r="AM349" s="54"/>
      <c r="AN349" s="54"/>
      <c r="AO349" s="54"/>
      <c r="AP349" s="54"/>
      <c r="AQ349" s="54"/>
      <c r="AR349" s="54"/>
      <c r="AS349" s="54"/>
      <c r="AT349" s="54"/>
      <c r="AU349" s="54"/>
      <c r="AV349" s="54"/>
      <c r="AW349" s="54"/>
      <c r="AX349" s="54"/>
      <c r="AY349" s="54"/>
      <c r="AZ349" s="54"/>
      <c r="BA349" s="54"/>
      <c r="BB349" s="54"/>
      <c r="BC349" s="54"/>
      <c r="BD349" s="54"/>
      <c r="BE349" s="54"/>
      <c r="BF349" s="54"/>
      <c r="BG349" s="54"/>
      <c r="BH349" s="54"/>
      <c r="BI349" s="54"/>
      <c r="BJ349" s="54"/>
      <c r="BK349" s="54"/>
      <c r="BL349" s="54"/>
      <c r="BM349" s="54"/>
      <c r="BN349" s="54"/>
      <c r="BO349" s="54"/>
      <c r="BP349" s="54"/>
      <c r="BQ349" s="54"/>
      <c r="BR349" s="54"/>
      <c r="BS349" s="54"/>
      <c r="BT349" s="54"/>
      <c r="BU349" s="54"/>
      <c r="BV349" s="54"/>
      <c r="BW349" s="54"/>
      <c r="BX349" s="54"/>
      <c r="BY349" s="54"/>
      <c r="BZ349" s="54"/>
      <c r="CA349" s="54"/>
      <c r="CB349" s="54"/>
      <c r="CC349" s="54"/>
      <c r="CD349" s="54"/>
      <c r="CE349" s="54"/>
      <c r="CF349" s="54"/>
      <c r="CG349" s="54"/>
      <c r="CH349" s="54"/>
      <c r="CI349" s="54"/>
      <c r="CJ349" s="54"/>
      <c r="CK349" s="54"/>
      <c r="CL349" s="54"/>
      <c r="CM349" s="54"/>
      <c r="CN349" s="54"/>
      <c r="CO349" s="54"/>
      <c r="CP349" s="54"/>
      <c r="CQ349" s="54"/>
      <c r="CR349" s="54"/>
      <c r="CS349" s="54"/>
      <c r="CT349" s="54"/>
      <c r="CU349" s="54"/>
      <c r="CV349" s="54"/>
      <c r="CW349" s="54"/>
      <c r="CX349" s="54"/>
      <c r="CY349" s="54"/>
      <c r="CZ349" s="54"/>
      <c r="DA349" s="54"/>
      <c r="DB349" s="54"/>
      <c r="DC349" s="54"/>
      <c r="DD349" s="54"/>
      <c r="DE349" s="54"/>
      <c r="DF349" s="54"/>
      <c r="DG349" s="54"/>
      <c r="DH349" s="54"/>
      <c r="DI349" s="54"/>
      <c r="DJ349" s="54"/>
      <c r="DK349" s="54"/>
      <c r="DL349" s="54"/>
      <c r="DM349" s="54"/>
      <c r="DN349" s="54"/>
      <c r="DO349" s="54"/>
      <c r="DP349" s="54"/>
      <c r="DQ349" s="54"/>
      <c r="DR349" s="54"/>
      <c r="DS349" s="54"/>
      <c r="DT349" s="54"/>
      <c r="DU349" s="54"/>
      <c r="DV349" s="54"/>
      <c r="DW349" s="54"/>
      <c r="DX349" s="54"/>
      <c r="DY349" s="54"/>
      <c r="DZ349" s="54"/>
      <c r="EA349" s="54"/>
      <c r="EB349" s="54"/>
      <c r="EC349" s="54"/>
      <c r="ED349" s="54"/>
      <c r="EE349" s="54"/>
      <c r="EF349" s="54"/>
      <c r="EG349" s="54"/>
      <c r="EH349" s="54"/>
      <c r="EI349" s="54"/>
      <c r="EJ349" s="54"/>
      <c r="EK349" s="54"/>
      <c r="EL349" s="54"/>
      <c r="EM349" s="54"/>
      <c r="EN349" s="54"/>
      <c r="EO349" s="54"/>
      <c r="EP349" s="54"/>
      <c r="EQ349" s="54"/>
      <c r="ER349" s="54"/>
      <c r="ES349" s="54"/>
      <c r="ET349" s="54"/>
      <c r="EU349" s="54"/>
      <c r="EV349" s="54"/>
      <c r="EW349" s="54"/>
      <c r="EX349" s="54"/>
      <c r="EY349" s="54"/>
      <c r="EZ349" s="54"/>
      <c r="FA349" s="54"/>
      <c r="FB349" s="54"/>
      <c r="FC349" s="54"/>
      <c r="FD349" s="54"/>
      <c r="FE349" s="54"/>
      <c r="FF349" s="54"/>
      <c r="FG349" s="54"/>
      <c r="FH349" s="54"/>
      <c r="FI349" s="54"/>
      <c r="FJ349" s="54"/>
      <c r="FK349" s="54"/>
      <c r="FL349" s="54"/>
      <c r="FM349" s="54"/>
      <c r="FN349" s="54"/>
      <c r="FO349" s="54"/>
      <c r="FP349" s="54"/>
      <c r="FQ349" s="54"/>
      <c r="FR349" s="54"/>
      <c r="FS349" s="54"/>
      <c r="FT349" s="54"/>
      <c r="FU349" s="54"/>
      <c r="FV349" s="54"/>
      <c r="FW349" s="54"/>
      <c r="FX349" s="54"/>
      <c r="FY349" s="54"/>
      <c r="FZ349" s="54"/>
      <c r="GA349" s="54"/>
      <c r="GB349" s="54"/>
      <c r="GC349" s="54"/>
      <c r="GD349" s="54"/>
      <c r="GE349" s="54"/>
      <c r="GF349" s="54"/>
      <c r="GG349" s="54"/>
      <c r="GH349" s="54"/>
      <c r="GI349" s="54"/>
      <c r="GJ349" s="54"/>
      <c r="GK349" s="54"/>
      <c r="GL349" s="54"/>
      <c r="GM349" s="54"/>
      <c r="GN349" s="54"/>
      <c r="GO349" s="54"/>
      <c r="GP349" s="54"/>
      <c r="GQ349" s="54"/>
      <c r="GR349" s="54"/>
      <c r="GS349" s="54"/>
      <c r="GT349" s="54"/>
      <c r="GU349" s="54"/>
      <c r="GV349" s="54"/>
      <c r="GW349" s="54"/>
      <c r="GX349" s="54"/>
      <c r="GY349" s="54"/>
      <c r="GZ349" s="54"/>
      <c r="HA349" s="54"/>
      <c r="HB349" s="54"/>
      <c r="HC349" s="54"/>
      <c r="HD349" s="54"/>
      <c r="HE349" s="54"/>
      <c r="HF349" s="54"/>
      <c r="HG349" s="54"/>
      <c r="HH349" s="54"/>
      <c r="HI349" s="54"/>
      <c r="HJ349" s="54"/>
      <c r="HK349" s="54"/>
      <c r="HL349" s="54"/>
      <c r="HM349" s="54"/>
      <c r="HN349" s="54"/>
      <c r="HO349" s="54"/>
      <c r="HP349" s="54"/>
      <c r="HQ349" s="54"/>
      <c r="HR349" s="54"/>
      <c r="HS349" s="54"/>
      <c r="HT349" s="54"/>
      <c r="HU349" s="54"/>
      <c r="HV349" s="54"/>
      <c r="HW349" s="54"/>
      <c r="HX349" s="54"/>
      <c r="HY349" s="54"/>
      <c r="HZ349" s="54"/>
      <c r="IA349" s="54"/>
      <c r="IB349" s="54"/>
      <c r="IC349" s="54"/>
      <c r="ID349" s="54"/>
      <c r="IE349" s="54"/>
      <c r="IF349" s="54"/>
      <c r="IG349" s="54"/>
      <c r="IH349" s="54"/>
      <c r="II349" s="152"/>
      <c r="IJ349" s="152"/>
      <c r="IK349" s="152"/>
      <c r="IL349" s="152"/>
      <c r="IM349" s="152"/>
      <c r="IN349" s="152"/>
      <c r="IO349" s="152"/>
      <c r="IP349" s="152"/>
      <c r="IQ349" s="152"/>
      <c r="IR349" s="152"/>
      <c r="IS349" s="152"/>
      <c r="IT349" s="152"/>
      <c r="IU349" s="152"/>
      <c r="IV349" s="152"/>
      <c r="IW349" s="152"/>
      <c r="IX349" s="152"/>
      <c r="IY349" s="152"/>
      <c r="IZ349" s="152"/>
      <c r="JA349" s="152"/>
      <c r="JB349" s="152"/>
      <c r="JC349" s="152"/>
      <c r="JD349" s="152"/>
      <c r="JE349" s="152"/>
      <c r="JF349" s="152"/>
      <c r="JG349" s="152"/>
      <c r="JH349" s="152"/>
      <c r="JI349" s="152"/>
      <c r="JJ349" s="152"/>
      <c r="JK349" s="152"/>
      <c r="JL349" s="152"/>
      <c r="JM349" s="152"/>
      <c r="JN349" s="152"/>
      <c r="JO349" s="152"/>
      <c r="JP349" s="152"/>
      <c r="JQ349" s="152"/>
      <c r="JR349" s="152"/>
      <c r="JS349" s="152"/>
      <c r="JT349" s="152"/>
      <c r="JU349" s="152"/>
      <c r="JV349" s="152"/>
      <c r="JW349" s="152"/>
      <c r="JX349" s="152"/>
      <c r="JY349" s="152"/>
      <c r="JZ349" s="152"/>
      <c r="KA349" s="152"/>
      <c r="KB349" s="152"/>
      <c r="KC349" s="152"/>
      <c r="KD349" s="152"/>
      <c r="KE349" s="152"/>
      <c r="KF349" s="152"/>
      <c r="KG349" s="152"/>
      <c r="KH349" s="152"/>
      <c r="KI349" s="152"/>
      <c r="KJ349" s="152"/>
      <c r="KK349" s="152"/>
      <c r="KL349" s="152"/>
      <c r="KM349" s="54"/>
      <c r="KN349" s="54"/>
      <c r="KO349" s="54"/>
      <c r="KP349" s="54"/>
      <c r="KQ349" s="54"/>
      <c r="KR349" s="54"/>
      <c r="KS349" s="54"/>
      <c r="KT349" s="54"/>
      <c r="KU349" s="54"/>
      <c r="KV349" s="54"/>
      <c r="KW349" s="54"/>
      <c r="KX349" s="54"/>
    </row>
  </sheetData>
  <mergeCells count="793">
    <mergeCell ref="DR43:DT45"/>
    <mergeCell ref="DU43:EC45"/>
    <mergeCell ref="DD39:DG42"/>
    <mergeCell ref="DH39:EC42"/>
    <mergeCell ref="ED39:EG42"/>
    <mergeCell ref="EH39:EK42"/>
    <mergeCell ref="DD43:DK45"/>
    <mergeCell ref="DL43:DN45"/>
    <mergeCell ref="DO43:DQ45"/>
    <mergeCell ref="EU36:EW38"/>
    <mergeCell ref="EX36:EZ38"/>
    <mergeCell ref="FA36:FC38"/>
    <mergeCell ref="EL39:FG42"/>
    <mergeCell ref="FH39:FK42"/>
    <mergeCell ref="EU43:EW45"/>
    <mergeCell ref="EX43:EZ45"/>
    <mergeCell ref="EL60:FG63"/>
    <mergeCell ref="FH60:FK63"/>
    <mergeCell ref="EL67:FG70"/>
    <mergeCell ref="FH67:FK70"/>
    <mergeCell ref="FA43:FC45"/>
    <mergeCell ref="EL46:FG49"/>
    <mergeCell ref="FH46:FK49"/>
    <mergeCell ref="EX50:EZ52"/>
    <mergeCell ref="FA50:FC52"/>
    <mergeCell ref="EL53:FG56"/>
    <mergeCell ref="FH53:FK56"/>
    <mergeCell ref="EU71:EW73"/>
    <mergeCell ref="EX71:EZ73"/>
    <mergeCell ref="FA71:FC73"/>
    <mergeCell ref="EU50:EW52"/>
    <mergeCell ref="EU57:EW59"/>
    <mergeCell ref="EX57:EZ59"/>
    <mergeCell ref="FA57:FC59"/>
    <mergeCell ref="EU64:EW66"/>
    <mergeCell ref="EX64:EZ66"/>
    <mergeCell ref="FA64:FC66"/>
    <mergeCell ref="EU15:EW17"/>
    <mergeCell ref="EX15:EZ17"/>
    <mergeCell ref="EL18:FG21"/>
    <mergeCell ref="FH18:FK21"/>
    <mergeCell ref="DD7:FK11"/>
    <mergeCell ref="DD12:EG14"/>
    <mergeCell ref="EH12:FK14"/>
    <mergeCell ref="DD15:DK17"/>
    <mergeCell ref="DL15:DN17"/>
    <mergeCell ref="DO15:DQ17"/>
    <mergeCell ref="DR15:DT17"/>
    <mergeCell ref="FA15:FC17"/>
    <mergeCell ref="DR22:DT24"/>
    <mergeCell ref="DU22:EC24"/>
    <mergeCell ref="ED22:EG24"/>
    <mergeCell ref="EH22:EK24"/>
    <mergeCell ref="EU22:EW24"/>
    <mergeCell ref="EX22:EZ24"/>
    <mergeCell ref="FA22:FC24"/>
    <mergeCell ref="EL25:FG28"/>
    <mergeCell ref="FH25:FK28"/>
    <mergeCell ref="DL29:DN31"/>
    <mergeCell ref="DO29:DQ31"/>
    <mergeCell ref="DR29:DT31"/>
    <mergeCell ref="DU29:EC31"/>
    <mergeCell ref="ED29:EG31"/>
    <mergeCell ref="EH29:EK31"/>
    <mergeCell ref="EU29:EW31"/>
    <mergeCell ref="EX29:EZ31"/>
    <mergeCell ref="FA29:FC31"/>
    <mergeCell ref="EL32:FG35"/>
    <mergeCell ref="FH32:FK35"/>
    <mergeCell ref="DR50:DT52"/>
    <mergeCell ref="DU50:EC52"/>
    <mergeCell ref="DD46:DG49"/>
    <mergeCell ref="DH46:EC49"/>
    <mergeCell ref="ED46:EG49"/>
    <mergeCell ref="EH46:EK49"/>
    <mergeCell ref="DD50:DK52"/>
    <mergeCell ref="DL50:DN52"/>
    <mergeCell ref="DO50:DQ52"/>
    <mergeCell ref="DR57:DT59"/>
    <mergeCell ref="DU57:EC59"/>
    <mergeCell ref="ED57:EG59"/>
    <mergeCell ref="EH57:EK59"/>
    <mergeCell ref="ED50:EG52"/>
    <mergeCell ref="EH50:EK52"/>
    <mergeCell ref="DD53:DG56"/>
    <mergeCell ref="DH53:EC56"/>
    <mergeCell ref="ED53:EG56"/>
    <mergeCell ref="EH53:EK56"/>
    <mergeCell ref="DD57:DK59"/>
    <mergeCell ref="DR64:DT66"/>
    <mergeCell ref="DU64:EC66"/>
    <mergeCell ref="ED64:EG66"/>
    <mergeCell ref="EH64:EK66"/>
    <mergeCell ref="DL57:DN59"/>
    <mergeCell ref="DO57:DQ59"/>
    <mergeCell ref="DD60:DG63"/>
    <mergeCell ref="DH60:EC63"/>
    <mergeCell ref="ED60:EG63"/>
    <mergeCell ref="EH60:EK63"/>
    <mergeCell ref="DD64:DK66"/>
    <mergeCell ref="DU15:EC17"/>
    <mergeCell ref="ED15:EK17"/>
    <mergeCell ref="DD18:DG21"/>
    <mergeCell ref="DH18:EC21"/>
    <mergeCell ref="ED18:EG21"/>
    <mergeCell ref="EH18:EK21"/>
    <mergeCell ref="DD22:DK24"/>
    <mergeCell ref="DL22:DN24"/>
    <mergeCell ref="DO22:DQ24"/>
    <mergeCell ref="DD25:DG28"/>
    <mergeCell ref="DH25:EC28"/>
    <mergeCell ref="ED25:EG28"/>
    <mergeCell ref="EH25:EK28"/>
    <mergeCell ref="DD29:DK31"/>
    <mergeCell ref="DR36:DT38"/>
    <mergeCell ref="DU36:EC38"/>
    <mergeCell ref="ED36:EG38"/>
    <mergeCell ref="EH36:EK38"/>
    <mergeCell ref="DD32:DG35"/>
    <mergeCell ref="DH32:EC35"/>
    <mergeCell ref="ED32:EG35"/>
    <mergeCell ref="EH32:EK35"/>
    <mergeCell ref="DD36:DK38"/>
    <mergeCell ref="DL36:DN38"/>
    <mergeCell ref="DO36:DQ38"/>
    <mergeCell ref="ED43:EG45"/>
    <mergeCell ref="EH43:EK45"/>
    <mergeCell ref="DL71:DN73"/>
    <mergeCell ref="DO71:DQ73"/>
    <mergeCell ref="ED129:EK131"/>
    <mergeCell ref="EU129:EW131"/>
    <mergeCell ref="GP129:GW131"/>
    <mergeCell ref="HG129:HI131"/>
    <mergeCell ref="HJ129:HL131"/>
    <mergeCell ref="HM129:HO131"/>
    <mergeCell ref="CL129:CN131"/>
    <mergeCell ref="CO129:CQ131"/>
    <mergeCell ref="DD129:DK131"/>
    <mergeCell ref="DL129:DN131"/>
    <mergeCell ref="DO129:DQ131"/>
    <mergeCell ref="DR129:DT131"/>
    <mergeCell ref="DU129:EC131"/>
    <mergeCell ref="AR129:AY131"/>
    <mergeCell ref="AZ129:BB131"/>
    <mergeCell ref="BC129:BE131"/>
    <mergeCell ref="BF129:BH131"/>
    <mergeCell ref="BI129:BQ131"/>
    <mergeCell ref="BR129:BY131"/>
    <mergeCell ref="CI129:CK131"/>
    <mergeCell ref="GP132:GS135"/>
    <mergeCell ref="GT132:GW135"/>
    <mergeCell ref="GX132:HS135"/>
    <mergeCell ref="HT132:HW135"/>
    <mergeCell ref="DH132:EC135"/>
    <mergeCell ref="ED132:EG135"/>
    <mergeCell ref="EH132:EK135"/>
    <mergeCell ref="EL132:FG135"/>
    <mergeCell ref="FH132:FK135"/>
    <mergeCell ref="FP132:FS135"/>
    <mergeCell ref="FT132:GO135"/>
    <mergeCell ref="AR132:AU135"/>
    <mergeCell ref="AV132:BQ135"/>
    <mergeCell ref="BR132:BU135"/>
    <mergeCell ref="BV132:BY135"/>
    <mergeCell ref="BZ132:CU135"/>
    <mergeCell ref="CV132:CY135"/>
    <mergeCell ref="DD132:DG135"/>
    <mergeCell ref="AR136:AY138"/>
    <mergeCell ref="AZ136:BB138"/>
    <mergeCell ref="BC136:BE138"/>
    <mergeCell ref="BF136:BH138"/>
    <mergeCell ref="BI136:BQ138"/>
    <mergeCell ref="BR136:BU138"/>
    <mergeCell ref="BV136:BY138"/>
    <mergeCell ref="CI136:CK138"/>
    <mergeCell ref="CL136:CN138"/>
    <mergeCell ref="CO136:CQ138"/>
    <mergeCell ref="DD136:DK138"/>
    <mergeCell ref="DL136:DN138"/>
    <mergeCell ref="DO136:DQ138"/>
    <mergeCell ref="DR136:DT138"/>
    <mergeCell ref="DU136:EC138"/>
    <mergeCell ref="ED136:EG138"/>
    <mergeCell ref="EH136:EK138"/>
    <mergeCell ref="EU136:EW138"/>
    <mergeCell ref="EX136:EZ138"/>
    <mergeCell ref="FA136:FC138"/>
    <mergeCell ref="FP136:FW138"/>
    <mergeCell ref="GT143:GW145"/>
    <mergeCell ref="HG143:HI145"/>
    <mergeCell ref="GP139:GS142"/>
    <mergeCell ref="GT139:GW142"/>
    <mergeCell ref="GX139:HS142"/>
    <mergeCell ref="HT139:HW142"/>
    <mergeCell ref="GD143:GF145"/>
    <mergeCell ref="GG143:GO145"/>
    <mergeCell ref="GP143:GS145"/>
    <mergeCell ref="HJ136:HL138"/>
    <mergeCell ref="HM136:HO138"/>
    <mergeCell ref="FX136:FZ138"/>
    <mergeCell ref="GA136:GC138"/>
    <mergeCell ref="GD136:GF138"/>
    <mergeCell ref="GG136:GO138"/>
    <mergeCell ref="GP136:GS138"/>
    <mergeCell ref="GT136:GW138"/>
    <mergeCell ref="HG136:HI138"/>
    <mergeCell ref="DH139:EC142"/>
    <mergeCell ref="ED139:EG142"/>
    <mergeCell ref="EH139:EK142"/>
    <mergeCell ref="EL139:FG142"/>
    <mergeCell ref="FH139:FK142"/>
    <mergeCell ref="FP139:FS142"/>
    <mergeCell ref="FT139:GO142"/>
    <mergeCell ref="AR139:AU142"/>
    <mergeCell ref="AV139:BQ142"/>
    <mergeCell ref="BR139:BU142"/>
    <mergeCell ref="BV139:BY142"/>
    <mergeCell ref="BZ139:CU142"/>
    <mergeCell ref="CV139:CY142"/>
    <mergeCell ref="DD139:DG142"/>
    <mergeCell ref="AR143:AY145"/>
    <mergeCell ref="AZ143:BB145"/>
    <mergeCell ref="BC143:BE145"/>
    <mergeCell ref="BF143:BH145"/>
    <mergeCell ref="BI143:BQ145"/>
    <mergeCell ref="BR143:BU145"/>
    <mergeCell ref="BV143:BY145"/>
    <mergeCell ref="CI143:CK145"/>
    <mergeCell ref="CL143:CN145"/>
    <mergeCell ref="CO143:CQ145"/>
    <mergeCell ref="DD143:DK145"/>
    <mergeCell ref="DL143:DN145"/>
    <mergeCell ref="DO143:DQ145"/>
    <mergeCell ref="DR143:DT145"/>
    <mergeCell ref="HJ143:HL145"/>
    <mergeCell ref="HM143:HO145"/>
    <mergeCell ref="FX143:FZ145"/>
    <mergeCell ref="GA143:GC145"/>
    <mergeCell ref="GA172:GC174"/>
    <mergeCell ref="GD172:GF174"/>
    <mergeCell ref="GG172:GI174"/>
    <mergeCell ref="FR175:GM178"/>
    <mergeCell ref="GN175:GQ178"/>
    <mergeCell ref="DU143:EC145"/>
    <mergeCell ref="ED143:EG145"/>
    <mergeCell ref="EH143:EK145"/>
    <mergeCell ref="EU143:EW145"/>
    <mergeCell ref="EX143:EZ145"/>
    <mergeCell ref="FA143:FC145"/>
    <mergeCell ref="FP143:FW145"/>
    <mergeCell ref="DR150:DT152"/>
    <mergeCell ref="DU150:EC152"/>
    <mergeCell ref="ED150:EG152"/>
    <mergeCell ref="EH150:EK152"/>
    <mergeCell ref="DD146:DG149"/>
    <mergeCell ref="DH146:EC149"/>
    <mergeCell ref="ED146:EG149"/>
    <mergeCell ref="EH146:EK149"/>
    <mergeCell ref="EL146:FG149"/>
    <mergeCell ref="FH146:FK149"/>
    <mergeCell ref="DD150:DK152"/>
    <mergeCell ref="FA150:FC152"/>
    <mergeCell ref="DL157:DN159"/>
    <mergeCell ref="DO157:DQ159"/>
    <mergeCell ref="EJ164:GQ168"/>
    <mergeCell ref="EJ169:FM171"/>
    <mergeCell ref="FN169:GQ171"/>
    <mergeCell ref="EU150:EW152"/>
    <mergeCell ref="EX150:EZ152"/>
    <mergeCell ref="EL153:FG156"/>
    <mergeCell ref="FH153:FK156"/>
    <mergeCell ref="EU157:EW159"/>
    <mergeCell ref="EX157:EZ159"/>
    <mergeCell ref="FA157:FC159"/>
    <mergeCell ref="ED157:EG159"/>
    <mergeCell ref="EH157:EK159"/>
    <mergeCell ref="DL150:DN152"/>
    <mergeCell ref="DO150:DQ152"/>
    <mergeCell ref="DD153:DG156"/>
    <mergeCell ref="DH153:EC156"/>
    <mergeCell ref="ED153:EG156"/>
    <mergeCell ref="EH153:EK156"/>
    <mergeCell ref="DD157:DK159"/>
    <mergeCell ref="CO172:CW174"/>
    <mergeCell ref="CX172:DE174"/>
    <mergeCell ref="DO172:DQ174"/>
    <mergeCell ref="DR172:DT174"/>
    <mergeCell ref="EJ172:EQ174"/>
    <mergeCell ref="ER172:ET174"/>
    <mergeCell ref="EU172:EW174"/>
    <mergeCell ref="EX172:EZ174"/>
    <mergeCell ref="FA172:FI174"/>
    <mergeCell ref="FJ172:FQ174"/>
    <mergeCell ref="DR157:DT159"/>
    <mergeCell ref="DU157:EC159"/>
    <mergeCell ref="BX164:EE168"/>
    <mergeCell ref="BX169:DA171"/>
    <mergeCell ref="DB169:EE171"/>
    <mergeCell ref="BX172:CE174"/>
    <mergeCell ref="CF172:CH174"/>
    <mergeCell ref="DU172:DW174"/>
    <mergeCell ref="EB175:EE178"/>
    <mergeCell ref="EJ175:EM178"/>
    <mergeCell ref="EN175:FI178"/>
    <mergeCell ref="FJ175:FM178"/>
    <mergeCell ref="FN175:FQ178"/>
    <mergeCell ref="CI172:CK174"/>
    <mergeCell ref="CL172:CN174"/>
    <mergeCell ref="BX175:CA178"/>
    <mergeCell ref="CB175:CW178"/>
    <mergeCell ref="CX175:DA178"/>
    <mergeCell ref="DB175:DE178"/>
    <mergeCell ref="DF175:EA178"/>
    <mergeCell ref="FA93:FI95"/>
    <mergeCell ref="FJ93:FM95"/>
    <mergeCell ref="DO93:DQ95"/>
    <mergeCell ref="DR93:DT95"/>
    <mergeCell ref="DU93:DW95"/>
    <mergeCell ref="EJ93:EQ95"/>
    <mergeCell ref="ER93:ET95"/>
    <mergeCell ref="EU93:EW95"/>
    <mergeCell ref="EX93:EZ95"/>
    <mergeCell ref="ER100:ET102"/>
    <mergeCell ref="EU100:EW102"/>
    <mergeCell ref="EX100:EZ102"/>
    <mergeCell ref="FA100:FI102"/>
    <mergeCell ref="EN103:FI106"/>
    <mergeCell ref="FJ103:FM106"/>
    <mergeCell ref="FN103:FQ106"/>
    <mergeCell ref="FA107:FI109"/>
    <mergeCell ref="FJ107:FM109"/>
    <mergeCell ref="FN107:FQ109"/>
    <mergeCell ref="FJ100:FM102"/>
    <mergeCell ref="FN100:FQ102"/>
    <mergeCell ref="GA100:GC102"/>
    <mergeCell ref="GD100:GF102"/>
    <mergeCell ref="FR103:GM106"/>
    <mergeCell ref="GN103:GQ106"/>
    <mergeCell ref="GA107:GC109"/>
    <mergeCell ref="GD107:GF109"/>
    <mergeCell ref="GG107:GI109"/>
    <mergeCell ref="EJ96:EM99"/>
    <mergeCell ref="EN96:FI99"/>
    <mergeCell ref="FJ96:FM99"/>
    <mergeCell ref="FN96:FQ99"/>
    <mergeCell ref="FR96:GM99"/>
    <mergeCell ref="GN96:GQ99"/>
    <mergeCell ref="EJ100:EQ102"/>
    <mergeCell ref="GG100:GI102"/>
    <mergeCell ref="ED71:EG73"/>
    <mergeCell ref="EH71:EK73"/>
    <mergeCell ref="EJ78:GQ82"/>
    <mergeCell ref="EJ83:FM85"/>
    <mergeCell ref="FN83:GQ85"/>
    <mergeCell ref="DL64:DN66"/>
    <mergeCell ref="DO64:DQ66"/>
    <mergeCell ref="DD67:DG70"/>
    <mergeCell ref="DH67:EC70"/>
    <mergeCell ref="ED67:EG70"/>
    <mergeCell ref="EH67:EK70"/>
    <mergeCell ref="DD71:DK73"/>
    <mergeCell ref="CO86:CW88"/>
    <mergeCell ref="CX86:DE88"/>
    <mergeCell ref="FJ86:FQ88"/>
    <mergeCell ref="GA86:GC88"/>
    <mergeCell ref="GD86:GF88"/>
    <mergeCell ref="GG86:GI88"/>
    <mergeCell ref="FN93:FQ95"/>
    <mergeCell ref="GA93:GC95"/>
    <mergeCell ref="GD93:GF95"/>
    <mergeCell ref="GG93:GI95"/>
    <mergeCell ref="DO86:DQ88"/>
    <mergeCell ref="DR86:DT88"/>
    <mergeCell ref="EJ86:EQ88"/>
    <mergeCell ref="ER86:ET88"/>
    <mergeCell ref="EU86:EW88"/>
    <mergeCell ref="EX86:EZ88"/>
    <mergeCell ref="FA86:FI88"/>
    <mergeCell ref="EB89:EE92"/>
    <mergeCell ref="EJ89:EM92"/>
    <mergeCell ref="EN89:FI92"/>
    <mergeCell ref="FJ89:FM92"/>
    <mergeCell ref="FN89:FQ92"/>
    <mergeCell ref="FR89:GM92"/>
    <mergeCell ref="GN89:GQ92"/>
    <mergeCell ref="BX93:CE95"/>
    <mergeCell ref="CF93:CH95"/>
    <mergeCell ref="CI93:CK95"/>
    <mergeCell ref="CL93:CN95"/>
    <mergeCell ref="CO93:CW95"/>
    <mergeCell ref="CX93:DA95"/>
    <mergeCell ref="DB93:DE95"/>
    <mergeCell ref="DR71:DT73"/>
    <mergeCell ref="DU71:EC73"/>
    <mergeCell ref="BX78:EE82"/>
    <mergeCell ref="BX83:DA85"/>
    <mergeCell ref="DB83:EE85"/>
    <mergeCell ref="BX86:CE88"/>
    <mergeCell ref="CF86:CH88"/>
    <mergeCell ref="DU86:DW88"/>
    <mergeCell ref="CI86:CK88"/>
    <mergeCell ref="CL86:CN88"/>
    <mergeCell ref="BX89:CA92"/>
    <mergeCell ref="CB89:CW92"/>
    <mergeCell ref="CX89:DA92"/>
    <mergeCell ref="DB89:DE92"/>
    <mergeCell ref="DF89:EA92"/>
    <mergeCell ref="CL100:CN102"/>
    <mergeCell ref="CO100:CW102"/>
    <mergeCell ref="CX100:DA102"/>
    <mergeCell ref="DB100:DE102"/>
    <mergeCell ref="DO100:DQ102"/>
    <mergeCell ref="DR100:DT102"/>
    <mergeCell ref="DF103:EA106"/>
    <mergeCell ref="EB103:EE106"/>
    <mergeCell ref="EJ103:EM106"/>
    <mergeCell ref="BX96:CA99"/>
    <mergeCell ref="CB96:CW99"/>
    <mergeCell ref="CX96:DA99"/>
    <mergeCell ref="DB96:DE99"/>
    <mergeCell ref="DF96:EA99"/>
    <mergeCell ref="EB96:EE99"/>
    <mergeCell ref="BX100:CE102"/>
    <mergeCell ref="DU100:DW102"/>
    <mergeCell ref="EU107:EW109"/>
    <mergeCell ref="EX107:EZ109"/>
    <mergeCell ref="CF107:CH109"/>
    <mergeCell ref="CI107:CK109"/>
    <mergeCell ref="DO107:DQ109"/>
    <mergeCell ref="DR107:DT109"/>
    <mergeCell ref="DU107:DW109"/>
    <mergeCell ref="EJ107:EQ109"/>
    <mergeCell ref="ER107:ET109"/>
    <mergeCell ref="FA114:FI116"/>
    <mergeCell ref="FJ114:FM116"/>
    <mergeCell ref="FN114:FQ116"/>
    <mergeCell ref="GA114:GC116"/>
    <mergeCell ref="GD114:GF116"/>
    <mergeCell ref="GG114:GI116"/>
    <mergeCell ref="DO114:DQ116"/>
    <mergeCell ref="DR114:DT116"/>
    <mergeCell ref="DU114:DW116"/>
    <mergeCell ref="EJ114:EQ116"/>
    <mergeCell ref="ER114:ET116"/>
    <mergeCell ref="EU114:EW116"/>
    <mergeCell ref="EX114:EZ116"/>
    <mergeCell ref="DD121:FK125"/>
    <mergeCell ref="FP121:HW125"/>
    <mergeCell ref="AR121:CY125"/>
    <mergeCell ref="AR126:BU128"/>
    <mergeCell ref="BV126:CY128"/>
    <mergeCell ref="DD126:EG128"/>
    <mergeCell ref="EH126:FK128"/>
    <mergeCell ref="FP126:GS128"/>
    <mergeCell ref="GT126:HW128"/>
    <mergeCell ref="CL107:CN109"/>
    <mergeCell ref="CO107:CW109"/>
    <mergeCell ref="CX107:DA109"/>
    <mergeCell ref="DB107:DE109"/>
    <mergeCell ref="CF100:CH102"/>
    <mergeCell ref="CI100:CK102"/>
    <mergeCell ref="BX103:CA106"/>
    <mergeCell ref="CB103:CW106"/>
    <mergeCell ref="CX103:DA106"/>
    <mergeCell ref="DB103:DE106"/>
    <mergeCell ref="BX107:CE109"/>
    <mergeCell ref="EN110:FI113"/>
    <mergeCell ref="FJ110:FM113"/>
    <mergeCell ref="FN110:FQ113"/>
    <mergeCell ref="FR110:GM113"/>
    <mergeCell ref="GN110:GQ113"/>
    <mergeCell ref="BX110:CA113"/>
    <mergeCell ref="CB110:CW113"/>
    <mergeCell ref="CX110:DA113"/>
    <mergeCell ref="DB110:DE113"/>
    <mergeCell ref="DF110:EA113"/>
    <mergeCell ref="EB110:EE113"/>
    <mergeCell ref="EJ110:EM113"/>
    <mergeCell ref="BX114:CE116"/>
    <mergeCell ref="CF114:CH116"/>
    <mergeCell ref="CI114:CK116"/>
    <mergeCell ref="CL114:CN116"/>
    <mergeCell ref="CO114:CW116"/>
    <mergeCell ref="CX114:DA116"/>
    <mergeCell ref="DB114:DE116"/>
    <mergeCell ref="EX129:EZ131"/>
    <mergeCell ref="FA129:FC131"/>
    <mergeCell ref="FP129:FW131"/>
    <mergeCell ref="FX129:FZ131"/>
    <mergeCell ref="GA129:GC131"/>
    <mergeCell ref="GD129:GF131"/>
    <mergeCell ref="GG129:GO131"/>
    <mergeCell ref="DO186:DQ188"/>
    <mergeCell ref="DR186:DT188"/>
    <mergeCell ref="DU186:DW188"/>
    <mergeCell ref="EJ186:EQ188"/>
    <mergeCell ref="ER186:ET188"/>
    <mergeCell ref="EU186:EW188"/>
    <mergeCell ref="EX186:EZ188"/>
    <mergeCell ref="BX186:CE188"/>
    <mergeCell ref="CF186:CH188"/>
    <mergeCell ref="CI186:CK188"/>
    <mergeCell ref="CL186:CN188"/>
    <mergeCell ref="CO186:CW188"/>
    <mergeCell ref="CX186:DA188"/>
    <mergeCell ref="DB186:DE188"/>
    <mergeCell ref="DS272:EQ275"/>
    <mergeCell ref="ER272:EU275"/>
    <mergeCell ref="ER268:EU271"/>
    <mergeCell ref="FE268:FM275"/>
    <mergeCell ref="FN268:HG275"/>
    <mergeCell ref="H269:K272"/>
    <mergeCell ref="L269:AJ272"/>
    <mergeCell ref="AK269:AN272"/>
    <mergeCell ref="DO272:DR275"/>
    <mergeCell ref="JJ240:JM243"/>
    <mergeCell ref="JJ248:JM251"/>
    <mergeCell ref="JJ252:JM255"/>
    <mergeCell ref="JJ256:JM259"/>
    <mergeCell ref="JJ260:JM263"/>
    <mergeCell ref="JJ264:JM267"/>
    <mergeCell ref="JJ268:JM271"/>
    <mergeCell ref="IV296:JH307"/>
    <mergeCell ref="IV308:JH315"/>
    <mergeCell ref="II316:IT327"/>
    <mergeCell ref="IV316:JH327"/>
    <mergeCell ref="II328:IT339"/>
    <mergeCell ref="IV328:JH339"/>
    <mergeCell ref="II340:IT347"/>
    <mergeCell ref="IV340:JH347"/>
    <mergeCell ref="JJ280:JM283"/>
    <mergeCell ref="JJ284:JM287"/>
    <mergeCell ref="II296:IT307"/>
    <mergeCell ref="JJ296:JM299"/>
    <mergeCell ref="JJ300:JM303"/>
    <mergeCell ref="JJ304:JM307"/>
    <mergeCell ref="II308:IT315"/>
    <mergeCell ref="JJ336:JM339"/>
    <mergeCell ref="JJ340:JM343"/>
    <mergeCell ref="JJ344:JM347"/>
    <mergeCell ref="JJ308:JM311"/>
    <mergeCell ref="JJ312:JM315"/>
    <mergeCell ref="JJ316:JM319"/>
    <mergeCell ref="JJ320:JM323"/>
    <mergeCell ref="JJ324:JM327"/>
    <mergeCell ref="JJ328:JM331"/>
    <mergeCell ref="JJ332:JM335"/>
    <mergeCell ref="H285:K288"/>
    <mergeCell ref="L285:AJ288"/>
    <mergeCell ref="AK285:AN288"/>
    <mergeCell ref="CD278:CG281"/>
    <mergeCell ref="CD282:CG285"/>
    <mergeCell ref="CH282:DF285"/>
    <mergeCell ref="DG282:DJ285"/>
    <mergeCell ref="AS283:AV286"/>
    <mergeCell ref="AW283:BU286"/>
    <mergeCell ref="BV283:BY286"/>
    <mergeCell ref="JN280:KL283"/>
    <mergeCell ref="JN284:KL287"/>
    <mergeCell ref="JJ288:JM291"/>
    <mergeCell ref="JN288:KL291"/>
    <mergeCell ref="JJ292:JM295"/>
    <mergeCell ref="JN292:KL295"/>
    <mergeCell ref="JN296:KL299"/>
    <mergeCell ref="JN328:KL331"/>
    <mergeCell ref="JN332:KL335"/>
    <mergeCell ref="JN336:KL339"/>
    <mergeCell ref="JN340:KL343"/>
    <mergeCell ref="JN344:KL347"/>
    <mergeCell ref="JN300:KL303"/>
    <mergeCell ref="JN304:KL307"/>
    <mergeCell ref="JN308:KL311"/>
    <mergeCell ref="JN312:KL315"/>
    <mergeCell ref="JN316:KL319"/>
    <mergeCell ref="JN320:KL323"/>
    <mergeCell ref="JN324:KL327"/>
    <mergeCell ref="IV240:JH243"/>
    <mergeCell ref="IV244:JH251"/>
    <mergeCell ref="II252:IT267"/>
    <mergeCell ref="IV252:JH267"/>
    <mergeCell ref="II268:IT283"/>
    <mergeCell ref="IV268:JH283"/>
    <mergeCell ref="II284:IT295"/>
    <mergeCell ref="IV284:JH295"/>
    <mergeCell ref="JJ244:JM247"/>
    <mergeCell ref="JN244:KL247"/>
    <mergeCell ref="H245:AN248"/>
    <mergeCell ref="AS245:BY248"/>
    <mergeCell ref="CD245:DJ248"/>
    <mergeCell ref="DO245:EU248"/>
    <mergeCell ref="FE245:HG248"/>
    <mergeCell ref="IV236:JH239"/>
    <mergeCell ref="JJ236:JM239"/>
    <mergeCell ref="II240:IN243"/>
    <mergeCell ref="IO240:IT243"/>
    <mergeCell ref="JN240:KL243"/>
    <mergeCell ref="IM244:IT251"/>
    <mergeCell ref="II246:IL249"/>
    <mergeCell ref="JN248:KL251"/>
    <mergeCell ref="AS253:AV256"/>
    <mergeCell ref="AW253:BU256"/>
    <mergeCell ref="BV253:BY256"/>
    <mergeCell ref="H255:K258"/>
    <mergeCell ref="L255:AJ258"/>
    <mergeCell ref="AK255:AN258"/>
    <mergeCell ref="JN252:KL255"/>
    <mergeCell ref="JN256:KL259"/>
    <mergeCell ref="JN260:KL263"/>
    <mergeCell ref="JN264:KL267"/>
    <mergeCell ref="JN268:KL271"/>
    <mergeCell ref="JN272:KL275"/>
    <mergeCell ref="JN276:KL279"/>
    <mergeCell ref="AS287:AV290"/>
    <mergeCell ref="AW287:BU290"/>
    <mergeCell ref="BV287:BY290"/>
    <mergeCell ref="H289:K292"/>
    <mergeCell ref="L289:AJ292"/>
    <mergeCell ref="AK289:AN292"/>
    <mergeCell ref="JJ272:JM275"/>
    <mergeCell ref="JJ276:JM279"/>
    <mergeCell ref="CH278:DF281"/>
    <mergeCell ref="DG278:DJ281"/>
    <mergeCell ref="H279:K282"/>
    <mergeCell ref="L279:AJ282"/>
    <mergeCell ref="AK279:AN282"/>
    <mergeCell ref="EN189:FI192"/>
    <mergeCell ref="FJ189:FM192"/>
    <mergeCell ref="FN189:FQ192"/>
    <mergeCell ref="FR189:GM192"/>
    <mergeCell ref="GN189:GQ192"/>
    <mergeCell ref="BX189:CA192"/>
    <mergeCell ref="CB189:CW192"/>
    <mergeCell ref="CX189:DA192"/>
    <mergeCell ref="DB189:DE192"/>
    <mergeCell ref="DF189:EA192"/>
    <mergeCell ref="EB189:EE192"/>
    <mergeCell ref="EJ189:EM192"/>
    <mergeCell ref="FA179:FI181"/>
    <mergeCell ref="FJ179:FM181"/>
    <mergeCell ref="FN179:FQ181"/>
    <mergeCell ref="GA179:GC181"/>
    <mergeCell ref="GD179:GF181"/>
    <mergeCell ref="GG179:GI181"/>
    <mergeCell ref="DO179:DQ181"/>
    <mergeCell ref="DR179:DT181"/>
    <mergeCell ref="DU179:DW181"/>
    <mergeCell ref="EJ179:EQ181"/>
    <mergeCell ref="ER179:ET181"/>
    <mergeCell ref="EU179:EW181"/>
    <mergeCell ref="EX179:EZ181"/>
    <mergeCell ref="BX179:CE181"/>
    <mergeCell ref="CF179:CH181"/>
    <mergeCell ref="CI179:CK181"/>
    <mergeCell ref="CL179:CN181"/>
    <mergeCell ref="CO179:CW181"/>
    <mergeCell ref="CX179:DA181"/>
    <mergeCell ref="DB179:DE181"/>
    <mergeCell ref="EN182:FI185"/>
    <mergeCell ref="FJ182:FM185"/>
    <mergeCell ref="FN182:FQ185"/>
    <mergeCell ref="FR182:GM185"/>
    <mergeCell ref="GN182:GQ185"/>
    <mergeCell ref="BX182:CA185"/>
    <mergeCell ref="CB182:CW185"/>
    <mergeCell ref="CX182:DA185"/>
    <mergeCell ref="DB182:DE185"/>
    <mergeCell ref="DF182:EA185"/>
    <mergeCell ref="EB182:EE185"/>
    <mergeCell ref="EJ182:EM185"/>
    <mergeCell ref="FA186:FI188"/>
    <mergeCell ref="FJ186:FM188"/>
    <mergeCell ref="FN186:FQ188"/>
    <mergeCell ref="GA186:GC188"/>
    <mergeCell ref="GD186:GF188"/>
    <mergeCell ref="GG186:GI188"/>
    <mergeCell ref="FN193:FQ195"/>
    <mergeCell ref="GA193:GC195"/>
    <mergeCell ref="GD193:GF195"/>
    <mergeCell ref="GG193:GI195"/>
    <mergeCell ref="BX193:CE195"/>
    <mergeCell ref="CF193:CH195"/>
    <mergeCell ref="CI193:CK195"/>
    <mergeCell ref="CL193:CN195"/>
    <mergeCell ref="CO193:CW195"/>
    <mergeCell ref="CX193:DA195"/>
    <mergeCell ref="DB193:DE195"/>
    <mergeCell ref="FA193:FI195"/>
    <mergeCell ref="FJ193:FM195"/>
    <mergeCell ref="DO193:DQ195"/>
    <mergeCell ref="DR193:DT195"/>
    <mergeCell ref="DU193:DW195"/>
    <mergeCell ref="EJ193:EQ195"/>
    <mergeCell ref="ER193:ET195"/>
    <mergeCell ref="EU193:EW195"/>
    <mergeCell ref="EX193:EZ195"/>
    <mergeCell ref="EU208:EW210"/>
    <mergeCell ref="EX208:EZ210"/>
    <mergeCell ref="EL211:FG214"/>
    <mergeCell ref="FH211:FK214"/>
    <mergeCell ref="DD200:FK204"/>
    <mergeCell ref="DD205:EG207"/>
    <mergeCell ref="EH205:FK207"/>
    <mergeCell ref="DD208:DK210"/>
    <mergeCell ref="DL208:DN210"/>
    <mergeCell ref="DO208:DQ210"/>
    <mergeCell ref="DR208:DT210"/>
    <mergeCell ref="FA208:FC210"/>
    <mergeCell ref="DR215:DT217"/>
    <mergeCell ref="DU215:EC217"/>
    <mergeCell ref="ED215:EG217"/>
    <mergeCell ref="EH215:EK217"/>
    <mergeCell ref="EU215:EW217"/>
    <mergeCell ref="EX215:EZ217"/>
    <mergeCell ref="FA215:FC217"/>
    <mergeCell ref="EL218:FG221"/>
    <mergeCell ref="FH218:FK221"/>
    <mergeCell ref="EU229:EW231"/>
    <mergeCell ref="EX229:EZ231"/>
    <mergeCell ref="FA229:FC231"/>
    <mergeCell ref="DL222:DN224"/>
    <mergeCell ref="DO222:DQ224"/>
    <mergeCell ref="EU222:EW224"/>
    <mergeCell ref="EX222:EZ224"/>
    <mergeCell ref="FA222:FC224"/>
    <mergeCell ref="EL225:FG228"/>
    <mergeCell ref="FH225:FK228"/>
    <mergeCell ref="DU208:EC210"/>
    <mergeCell ref="ED208:EK210"/>
    <mergeCell ref="DD211:DG214"/>
    <mergeCell ref="DH211:EC214"/>
    <mergeCell ref="ED211:EG214"/>
    <mergeCell ref="EH211:EK214"/>
    <mergeCell ref="DD215:DK217"/>
    <mergeCell ref="DR222:DT224"/>
    <mergeCell ref="DU222:EC224"/>
    <mergeCell ref="ED222:EG224"/>
    <mergeCell ref="EH222:EK224"/>
    <mergeCell ref="DL215:DN217"/>
    <mergeCell ref="DO215:DQ217"/>
    <mergeCell ref="DD218:DG221"/>
    <mergeCell ref="DH218:EC221"/>
    <mergeCell ref="ED218:EG221"/>
    <mergeCell ref="EH218:EK221"/>
    <mergeCell ref="DD222:DK224"/>
    <mergeCell ref="DR229:DT231"/>
    <mergeCell ref="DU229:EC231"/>
    <mergeCell ref="DD225:DG228"/>
    <mergeCell ref="DH225:EC228"/>
    <mergeCell ref="ED225:EG228"/>
    <mergeCell ref="EH225:EK228"/>
    <mergeCell ref="DD229:DK231"/>
    <mergeCell ref="DL229:DN231"/>
    <mergeCell ref="DO229:DQ231"/>
    <mergeCell ref="ED229:EG231"/>
    <mergeCell ref="EH229:EK231"/>
    <mergeCell ref="II231:IT234"/>
    <mergeCell ref="IV231:JH234"/>
    <mergeCell ref="JJ231:KL234"/>
    <mergeCell ref="II236:IN239"/>
    <mergeCell ref="IO236:IT239"/>
    <mergeCell ref="JN236:KL239"/>
    <mergeCell ref="L259:AJ262"/>
    <mergeCell ref="AK259:AN262"/>
    <mergeCell ref="AS257:AV260"/>
    <mergeCell ref="AW257:BU260"/>
    <mergeCell ref="BV257:BY260"/>
    <mergeCell ref="CD258:CG261"/>
    <mergeCell ref="CH258:DF261"/>
    <mergeCell ref="DG258:DJ261"/>
    <mergeCell ref="H259:K262"/>
    <mergeCell ref="CD262:CG265"/>
    <mergeCell ref="CH262:DF265"/>
    <mergeCell ref="DG262:DJ265"/>
    <mergeCell ref="AS263:AV266"/>
    <mergeCell ref="AW263:BU266"/>
    <mergeCell ref="BV263:BY266"/>
    <mergeCell ref="H265:K268"/>
    <mergeCell ref="L265:AJ268"/>
    <mergeCell ref="AK265:AN268"/>
    <mergeCell ref="AS267:AV270"/>
    <mergeCell ref="AW267:BU270"/>
    <mergeCell ref="BV267:BY270"/>
    <mergeCell ref="DO268:DR271"/>
    <mergeCell ref="DS268:EQ271"/>
    <mergeCell ref="AW277:BU280"/>
    <mergeCell ref="BV277:BY280"/>
    <mergeCell ref="AS273:AV276"/>
    <mergeCell ref="AW273:BU276"/>
    <mergeCell ref="BV273:BY276"/>
    <mergeCell ref="H275:K278"/>
    <mergeCell ref="L275:AJ278"/>
    <mergeCell ref="AK275:AN278"/>
    <mergeCell ref="AS277:AV280"/>
  </mergeCells>
  <conditionalFormatting sqref="DH18:EC21 DH25:EC28 DH32:EC35 DH39:EC42 DH46:EC49 DH53:EC56 DH60:EC62 DH67 CB89:CW92 EN89:FI92 CB96:CW99 EN96:FI99 CB103:CW106 EN103:FI106 CB110:CW113 EN110:FI113 AV132:BQ135 DH132:EC135 FT132:GO135 AV139:BQ142 DH139:EC142 FT139:GO142 DH146:EC149 DH153:EC156 CB175:CW178 EN175:FI178 CB182:CW185 EN182:FI185 CB189:CW192 EN189:FI192 DH211:EC214 DH218:EC221 DH225:EC228">
    <cfRule type="expression" dxfId="4" priority="1">
      <formula>ED18&gt;EH18</formula>
    </cfRule>
  </conditionalFormatting>
  <conditionalFormatting sqref="DD18:DG21 DD25:DG28 DD32:DG35 DD39:DG42 DD46:DG49 DD53:DG56 DD60:DG62 DD67:DG69 BX89:CA92 EJ89:EM92 BX96:CA99 EJ96:EM99 BX103:CA106 EJ103:EM106 BX110:CA113 EJ110:EM113 AR132:AU135 DD132:DG135 FP132:FS135 AR139:AU142 DD139:DG142 FP139:FS142 DD146:DG149 DD153:DG156 BX175:CA178 EJ175:EM178 BX182:CA185 EJ182:EM185 BX189:CA192 EJ189:EM192 DD211:DG214 DD218:DG221 DD225:DG228">
    <cfRule type="expression" dxfId="4" priority="2">
      <formula>ED18&gt;EH18</formula>
    </cfRule>
  </conditionalFormatting>
  <conditionalFormatting sqref="EL18:FG21 EL25:FG28 EL32:FG35 EL39:FG42 EL46:FG49 EL53:FG56 EL60:FG63 EL67:FG70 DF89:EA92 FR89:GM92 DF96:EA99 FR96:GM99 DF103:EA106 FR103:GM106 DF110:EA113 FR110:GM113 BZ132:CU135 EL132:FG135 GX132:HS135 BZ139:CU142 EL139:FG142 GX139:HS142 EL146:FG149 EL153:FG156 DF175:EA178 FR175:GM178 DF182:EA185 FR182:GM185 DF189:EA192 FR189:GM192 EL211:FG214 EL218:FG221 EL225:FG228">
    <cfRule type="expression" dxfId="4" priority="3">
      <formula>EH18&gt;ED18</formula>
    </cfRule>
  </conditionalFormatting>
  <conditionalFormatting sqref="FH18:FK21 FH25:FK28 FH32:FK35 FH39:FK42 FH46:FK49 FH53:FK56 FH60:FK63 FH67:FK70 EB89:EE92 GN89:GQ92 EB96:EE99 GN96:GQ99 EB103:EE106 GN103:GQ106 EB110:EE113 GN110:GQ113 CV132:CY135 FH132:FK135 HT132:HW135 CV139:CY142 FH139:FK142 HT139:HW142 FH146:FK149 FH153:FK156 EB175:EE178 GN175:GQ178 EB182:EE185 GN182:GQ185 EB189:EE192 GN189:GQ192 FH211:FK214 FH218:FK221 FH225:FK228">
    <cfRule type="expression" dxfId="4" priority="4">
      <formula>EH18&gt;ED18</formula>
    </cfRule>
  </conditionalFormatting>
  <conditionalFormatting sqref="ED18:EG21 ED25:EG28 ED32:EG35 ED39:EG42 ED46:EG49 ED53:EG56 ED60:EG63 ED67:EG70 CX89:DA92 FJ89:FM92 CX96:DA99 FJ96:FM99 CX103:DA106 FJ103:FM106 CX110:DA113 FJ110:FM113 BR132:BU135 ED132:EG135 GP132:GS135 BR139:BU142 ED139:EG142 GP139:GS142 ED146:EG149 ED153:EG156 CX175:DA178 FJ175:FM178 CX182:DA185 FJ182:FM185 CX189:DA192 FJ189:FM192 ED211:EG214 ED218:EG221 ED225:EG228">
    <cfRule type="expression" dxfId="5" priority="5">
      <formula>ED18&gt;EH18</formula>
    </cfRule>
  </conditionalFormatting>
  <conditionalFormatting sqref="EH18:EK21 EH25:EK28 EH32:EK35 EH39:EK42 EH46:EK49 EH53:EK56 EH60:EK63 EH67:EK70 DB89:DE92 FN89:FQ92 DB96:DE99 FN96:FQ99 DB103:DE106 FN103:FQ106 DB110:DE113 FN110:FQ113 BV132:BY135 EH132:EK135 GT132:GW135 BV139:BY142 EH139:EK142 GT139:GW142 EH146:EK149 EH153:EK156 DB175:DE178 FN175:FQ178 DB182:DE185 FN182:FQ185 DB189:DE192 FN189:FQ192 EH211:EK214 EH218:EK221 EH225:EK228">
    <cfRule type="expression" dxfId="5" priority="6">
      <formula>EH18&gt;ED18</formula>
    </cfRule>
  </conditionalFormatting>
  <conditionalFormatting sqref="DL22:DN24 DL29:DN31 DL36:DN38 DL43:DN45 DL50:DN52 DL57:DN59 DL64:DN66 DL71:DN73 CF93:CH95 ER93:ET95 CF100:CH102 ER100:ET102 CF107:CH109 ER107:ET109 CF114:CH116 ER114:ET116 AZ136:BB138 DL136:DN138 FX136:FZ138 AZ143:BB145 DL143:DN145 FX143:FZ145 DL150:DN152 DL157:DN159 CF179:CH181 ER179:ET181 CF186:CH188 ER186:ET188 CF193:CH195 ER193:ET195 DL215:DN217 DL222:DN224 DL229:DN231">
    <cfRule type="expression" dxfId="6" priority="7">
      <formula>DL22&gt;FA22</formula>
    </cfRule>
  </conditionalFormatting>
  <conditionalFormatting sqref="DO22:DQ24 DO29:DQ31 DO36:DQ38 DO43:DQ45 DO50:DQ52 DO57:DQ59 DO64:DQ66 DO71:DQ73 CI93:CK95 EU93:EW95 CI100:CK102 EU100:EW102 CI107:CK109 EU107:EW109 CI114:CK116 EU114:EW116 BC136:BE138 DO136:DQ138 GA136:GC138 BC143:BE145 DO143:DQ145 GA143:GC145 DO150:DQ152 DO157:DQ159 CI179:CK181 EU179:EW181 CI186:CK188 EU186:EW188 CI193:CK195 EU193:EW195 DO215:DQ217 DO222:DQ224 DO229:DQ231">
    <cfRule type="expression" dxfId="6" priority="8">
      <formula>DO22&gt;EX22</formula>
    </cfRule>
  </conditionalFormatting>
  <conditionalFormatting sqref="DR22:DT24 DR29:DT31 DR36:DT38 DR43:DT45 DR50:DT52 DR57:DT59 DR64:DT66 DR71:DT73 CL93:CN95 EX93:EZ95 CL100:CN102 EX100:EZ102 CL107:CN109 EX107:EZ109 CL114:CN116 EX114:EZ116 BF136:BH138 DR136:DT138 GD136:GF138 BF143:BH145 DR143:DT145 GD143:GF145 DR150:DT152 DR157:DT159 CL179:CN181 EX179:EZ181 CL186:CN188 EX186:EZ188 CL193:CN195 EX193:EZ195 DR215:DT217 DR222:DT224 DR229:DT231">
    <cfRule type="expression" dxfId="6" priority="9">
      <formula>DR22&gt;EU22</formula>
    </cfRule>
  </conditionalFormatting>
  <conditionalFormatting sqref="DL22:DN24 DL29:DN31 DL36:DN38 DL43:DN45 DL50:DN52 DL57:DN59 DL64:DN66 DL71:DN73 CF93:CH95 ER93:ET95 CF100:CH102 ER100:ET102 CF107:CH109 ER107:ET109 CF114:CH116 ER114:ET116 AZ136:BB138 DL136:DN138 FX136:FZ138 AZ143:BB145 DL143:DN145 FX143:FZ145 DL150:DN152 DL157:DN159 CF179:CH181 ER179:ET181 CF186:CH188 ER186:ET188 CF193:CH195 ER193:ET195 DL215:DN217 DL222:DN224 DL229:DN231">
    <cfRule type="expression" dxfId="7" priority="10">
      <formula>DL22&lt;FA22</formula>
    </cfRule>
  </conditionalFormatting>
  <conditionalFormatting sqref="DO22:DQ24 DO29:DQ31 DO36:DQ38 DO43:DQ45 DO50:DQ52 DO57:DQ59 DO64:DQ66 DO71:DQ73 CI93:CK95 EU93:EW95 CI100:CK102 EU100:EW102 CI107:CK109 EU107:EW109 CI114:CK116 EU114:EW116 BC136:BE138 DO136:DQ138 GA136:GC138 BC143:BE145 DO143:DQ145 GA143:GC145 DO150:DQ152 DO157:DQ159 CI179:CK181 EU179:EW181 CI186:CK188 EU186:EW188 CI193:CK195 EU193:EW195 DO215:DQ217 DO222:DQ224 DO229:DQ231">
    <cfRule type="expression" dxfId="7" priority="11">
      <formula>DO22&lt;EX22</formula>
    </cfRule>
  </conditionalFormatting>
  <conditionalFormatting sqref="DR22:DT24 DR29:DT31 DR36:DT38 DR43:DT45 DR50:DT52 DR57:DT59 DR64:DT66 DR71:DT73 CL93:CN95 EX93:EZ95 CL100:CN102 EX100:EZ102 CL107:CN109 EX107:EZ109 CL114:CN116 EX114:EZ116 BF136:BH138 DR136:DT138 GD136:GF138 BF143:BH145 DR143:DT145 GD143:GF145 DR150:DT152 DR157:DT159 CL179:CN181 EX179:EZ181 CL186:CN188 EX186:EZ188 CL193:CN195 EX193:EZ195 DR215:DT217 DR222:DT224 DR229:DT231">
    <cfRule type="expression" dxfId="7" priority="12">
      <formula>DR22&lt;EU22</formula>
    </cfRule>
  </conditionalFormatting>
  <conditionalFormatting sqref="FA22:FC24 FA29:FC31 FA36:FC38 FA43:FC45 FA50:FC52 FA57:FC59 FA64:FC66 FA71:FC73 DU93:DW95 GG93:GI95 DU100:DW102 GG100:GI102 DU107:DW109 GG107:GI109 DU114:DW116 GG114:GI116 CO136:CQ138 FA136:FC138 HM136:HO138 CO143:CQ145 FA143:FC145 HM143:HO145 FA150:FC152 FA157:FC159 DU179:DW181 GG179:GI181 DU186:DW188 GG186:GI188 DU193:DW195 GG193:GI195 FA215:FC217 FA222:FC224 FA229:FC231">
    <cfRule type="expression" dxfId="6" priority="13">
      <formula>FA22&gt;DL22</formula>
    </cfRule>
  </conditionalFormatting>
  <conditionalFormatting sqref="FA22:FC24 FA29:FC31 FA36:FC38 FA43:FC45 FA50:FC52 FA57:FC59 FA64:FC66 FA71:FC73 DU93:DW95 GG93:GI95 DU100:DW102 GG100:GI102 DU107:DW109 GG107:GI109 DU114:DW116 GG114:GI116 CO136:CQ138 FA136:FC138 HM136:HO138 CO143:CQ145 FA143:FC145 HM143:HO145 FA150:FC152 FA157:FC159 DU179:DW181 GG179:GI181 DU186:DW188 GG186:GI188 DU193:DW195 GG193:GI195 FA215:FC217 FA222:FC224 FA229:FC231">
    <cfRule type="expression" dxfId="7" priority="14">
      <formula>FA22&lt;DL22</formula>
    </cfRule>
  </conditionalFormatting>
  <conditionalFormatting sqref="EX22:EZ24 EX29:EZ31 EX36:EZ38 EX43:EZ45 EX50:EZ52 EX57:EZ59 EX64:EZ66 EX71:EZ73 DR93:DT95 GD93:GF95 DR100:DT102 GD100:GF102 DR107:DT109 GD107:GF109 DR114:DT116 GD114:GF116 CL136:CN138 EX136:EZ138 HJ136:HL138 CL143:CN145 EX143:EZ145 HJ143:HL145 EX150:EZ152 EX157:EZ159 DR179:DT181 GD179:GF181 DR186:DT188 GD186:GF188 DR193:DT195 GD193:GF195 EX215:EZ217 EX222:EZ224 EX229:EZ231">
    <cfRule type="expression" dxfId="6" priority="15">
      <formula>EX22&gt;DO22</formula>
    </cfRule>
  </conditionalFormatting>
  <conditionalFormatting sqref="EX22:EZ24 EX29:EZ31 EX36:EZ38 EX43:EZ45 EX50:EZ52 EX57:EZ59 EX64:EZ66 EX71:EZ73 DR93:DT95 GD93:GF95 DR100:DT102 GD100:GF102 DR107:DT109 GD107:GF109 DR114:DT116 GD114:GF116 CL136:CN138 EX136:EZ138 HJ136:HL138 CL143:CN145 EX143:EZ145 HJ143:HL145 EX150:EZ152 EX157:EZ159 DR179:DT181 GD179:GF181 DR186:DT188 GD186:GF188 DR193:DT195 GD193:GF195 EX215:EZ217 EX222:EZ224 EX229:EZ231">
    <cfRule type="expression" dxfId="7" priority="16">
      <formula>EX22&lt;DO22</formula>
    </cfRule>
  </conditionalFormatting>
  <conditionalFormatting sqref="EU22:EW24 EU29:EW31 EU36:EW38 EU43:EW45 EU50:EW52 EU57:EW59 EU64:EW66 EU71:EW73 DO93:DQ95 GA93:GC95 DO100:DQ102 GA100:GC102 DO107:DQ109 GA107:GC109 DO114:DQ116 GA114:GC116 CI136:CK138 EU136:EW138 HG136:HI138 CI143:CK145 EU143:EW145 HG143:HI145 EU150:EW152 EU157:EW159 DO179:DQ181 GA179:GC181 DO186:DQ188 GA186:GC188 DO193:DQ195 GA193:GC195 EU215:EW217 EU222:EW224 EU229:EW231">
    <cfRule type="expression" dxfId="6" priority="17">
      <formula>EU22&gt;DR22</formula>
    </cfRule>
  </conditionalFormatting>
  <conditionalFormatting sqref="EU22:EW24 EU29:EW31 EU36:EW38 EU43:EW45 EU50:EW52 EU57:EW59 EU64:EW66 EU71:EW73 DO93:DQ95 GA93:GC95 DO100:DQ102 GA100:GC102 DO107:DQ109 GA107:GC109 DO114:DQ116 GA114:GC116 CI136:CK138 EU136:EW138 HG136:HI138 CI143:CK145 EU143:EW145 HG143:HI145 EU150:EW152 EU157:EW159 DO179:DQ181 GA179:GC181 DO186:DQ188 GA186:GC188 DO193:DQ195 GA193:GC195 EU215:EW217 EU222:EW224 EU229:EW231">
    <cfRule type="expression" dxfId="7" priority="18">
      <formula>EU22&lt;DR22</formula>
    </cfRule>
  </conditionalFormatting>
  <conditionalFormatting sqref="AW253:BU256 L255:AJ258 CH258:DF261 AW263:BU266 L265:AJ268 DS268:EQ271 AW273:BU276 L275:AJ278 CH278:DF281 AW283:BU286 L285:AJ288">
    <cfRule type="expression" dxfId="4" priority="19">
      <formula>BV253&gt;BV257</formula>
    </cfRule>
  </conditionalFormatting>
  <conditionalFormatting sqref="AS253:AV256 H255:K258 CD258:CG261 AS263:AV266 H265:K268 DO268:DR271 AS273:AV276 H275:K278 CD278:CG281 AS283:AV286 H285:K288">
    <cfRule type="expression" dxfId="4" priority="20">
      <formula>BV253&gt;BV257</formula>
    </cfRule>
  </conditionalFormatting>
  <conditionalFormatting sqref="BV253:BY256 AK255:AN258 DG258:DJ261 BV263:BY266 AK265:AN268 ER268:EU271 BV273:BY276 AK275:AN278 DG278:DJ281 BV283:BY286 AK285:AN288">
    <cfRule type="expression" dxfId="5" priority="21">
      <formula>BV253&gt;BV257</formula>
    </cfRule>
  </conditionalFormatting>
  <conditionalFormatting sqref="AS257:AV260 H259:K262 CD262:CG265 AS267:AV270 H269:K272 DO272:DR275 AS277:AV280 H279:K282 CD282:CG285 AS287:AV290 H289:K292">
    <cfRule type="expression" dxfId="4" priority="22">
      <formula>BV253&lt;BV257</formula>
    </cfRule>
  </conditionalFormatting>
  <conditionalFormatting sqref="AW257:BU260 L259:AJ262 CH262:DF265 AW267:BU270 L269:AJ272 DS272:EQ275 AW277:BU280 L279:AJ282 CH282:DF285 AW287:BU290 L289:AJ292">
    <cfRule type="expression" dxfId="4" priority="23">
      <formula>BV253&lt;BV257</formula>
    </cfRule>
  </conditionalFormatting>
  <conditionalFormatting sqref="BV257:BY260 AK259:AN262 DG262:DJ265 BV267:BY270 AK269:AN272 ER272:EU275 BV277:BY280 AK279:AN282 DG282:DJ285 BV287:BY290 AK289:AN292">
    <cfRule type="expression" dxfId="5" priority="24">
      <formula>BV253&lt;BV257</formula>
    </cfRule>
  </conditionalFormatting>
  <conditionalFormatting sqref="AW253:BU260 L255:AJ262 CH258:DF261 AW263:BU270 L265:AJ272 DS268:EQ271 AW273:BU280 L275:AJ282 AW283:BU290 L285:AJ292">
    <cfRule type="containsText" dxfId="8" priority="25" operator="containsText" text="Swiss">
      <formula>NOT(ISERROR(SEARCH(("Swiss"),(AW253))))</formula>
    </cfRule>
  </conditionalFormatting>
  <conditionalFormatting sqref="JN236:KL349">
    <cfRule type="containsText" dxfId="9" priority="26" operator="containsText" text="TBD">
      <formula>NOT(ISERROR(SEARCH(("TBD"),(JN236))))</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1" max="148" width="0.88"/>
  </cols>
  <sheetData>
    <row r="1" ht="5.25" customHeight="1">
      <c r="A1" s="152"/>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2"/>
      <c r="AH1" s="152"/>
      <c r="AI1" s="152"/>
      <c r="AJ1" s="152"/>
      <c r="AK1" s="152"/>
      <c r="AL1" s="152"/>
      <c r="AM1" s="152"/>
      <c r="AN1" s="152"/>
      <c r="AO1" s="152"/>
      <c r="AP1" s="152"/>
      <c r="AQ1" s="152"/>
      <c r="AR1" s="152"/>
      <c r="AS1" s="152"/>
      <c r="AT1" s="152"/>
      <c r="AU1" s="152"/>
      <c r="AV1" s="152"/>
      <c r="AW1" s="152"/>
      <c r="AX1" s="152"/>
      <c r="AY1" s="152"/>
      <c r="AZ1" s="152"/>
      <c r="BA1" s="152"/>
      <c r="BB1" s="152"/>
      <c r="BC1" s="152"/>
      <c r="BD1" s="152"/>
      <c r="BE1" s="152"/>
      <c r="BF1" s="152"/>
      <c r="BG1" s="152"/>
      <c r="BH1" s="152"/>
      <c r="BI1" s="152"/>
      <c r="BJ1" s="152"/>
      <c r="BK1" s="152"/>
      <c r="BL1" s="152"/>
      <c r="BM1" s="152"/>
      <c r="BN1" s="152"/>
      <c r="BO1" s="152"/>
      <c r="BP1" s="152"/>
      <c r="BQ1" s="152"/>
      <c r="BR1" s="152"/>
      <c r="BS1" s="152"/>
      <c r="BT1" s="152"/>
      <c r="BU1" s="152"/>
      <c r="BV1" s="152"/>
      <c r="BW1" s="152"/>
      <c r="BX1" s="152"/>
      <c r="BY1" s="152"/>
      <c r="BZ1" s="152"/>
      <c r="CA1" s="152"/>
      <c r="CB1" s="152"/>
      <c r="CC1" s="152"/>
      <c r="CD1" s="152"/>
      <c r="CE1" s="152"/>
      <c r="CF1" s="152"/>
      <c r="CG1" s="152"/>
      <c r="CH1" s="152"/>
      <c r="CI1" s="152"/>
      <c r="CJ1" s="152"/>
      <c r="CK1" s="152"/>
      <c r="CL1" s="152"/>
      <c r="CM1" s="152"/>
      <c r="CN1" s="152"/>
      <c r="CO1" s="152"/>
      <c r="CP1" s="152"/>
      <c r="CQ1" s="152"/>
      <c r="CR1" s="152"/>
      <c r="CS1" s="152"/>
      <c r="CT1" s="152"/>
      <c r="CU1" s="152"/>
      <c r="CV1" s="152"/>
      <c r="CW1" s="152"/>
      <c r="CX1" s="152"/>
      <c r="CY1" s="152"/>
      <c r="CZ1" s="152"/>
      <c r="DA1" s="152"/>
      <c r="DB1" s="152"/>
      <c r="DC1" s="152"/>
      <c r="DD1" s="152"/>
      <c r="DE1" s="152"/>
      <c r="DF1" s="152"/>
      <c r="DG1" s="152"/>
      <c r="DH1" s="152"/>
      <c r="DI1" s="152"/>
      <c r="DJ1" s="152"/>
      <c r="DK1" s="152"/>
      <c r="DL1" s="152"/>
      <c r="DM1" s="152"/>
      <c r="DN1" s="152"/>
      <c r="DO1" s="152"/>
      <c r="DP1" s="152"/>
      <c r="DQ1" s="152"/>
      <c r="DR1" s="152"/>
      <c r="DS1" s="152"/>
      <c r="DT1" s="152"/>
      <c r="DU1" s="152"/>
      <c r="DV1" s="152"/>
      <c r="DW1" s="152"/>
      <c r="DX1" s="152"/>
      <c r="DY1" s="152"/>
      <c r="DZ1" s="152"/>
      <c r="EA1" s="152"/>
      <c r="EB1" s="152"/>
      <c r="EC1" s="152"/>
      <c r="ED1" s="152"/>
      <c r="EE1" s="152"/>
      <c r="EF1" s="152"/>
      <c r="EG1" s="152"/>
      <c r="EH1" s="152"/>
      <c r="EI1" s="152"/>
      <c r="EJ1" s="152"/>
      <c r="EK1" s="152"/>
      <c r="EL1" s="152"/>
      <c r="EM1" s="152"/>
      <c r="EN1" s="152"/>
      <c r="EO1" s="152"/>
      <c r="EP1" s="152"/>
      <c r="EQ1" s="152"/>
      <c r="ER1" s="152"/>
    </row>
    <row r="2" ht="5.25" customHeight="1">
      <c r="A2" s="152"/>
      <c r="B2" s="152"/>
      <c r="C2" s="152"/>
      <c r="D2" s="152"/>
      <c r="E2" s="152"/>
      <c r="F2" s="152"/>
      <c r="G2" s="152"/>
      <c r="H2" s="152"/>
      <c r="I2" s="152"/>
      <c r="J2" s="152"/>
      <c r="K2" s="152"/>
      <c r="L2" s="152"/>
      <c r="M2" s="177" t="s">
        <v>88</v>
      </c>
      <c r="Q2" s="152"/>
      <c r="R2" s="177" t="s">
        <v>70</v>
      </c>
      <c r="BB2" s="152"/>
      <c r="BC2" s="178" t="s">
        <v>89</v>
      </c>
      <c r="BK2" s="152"/>
      <c r="BL2" s="178" t="s">
        <v>90</v>
      </c>
      <c r="BT2" s="152"/>
      <c r="BU2" s="178" t="s">
        <v>91</v>
      </c>
      <c r="CC2" s="152"/>
      <c r="CD2" s="178" t="s">
        <v>92</v>
      </c>
      <c r="CI2" s="152"/>
      <c r="CJ2" s="179" t="s">
        <v>93</v>
      </c>
      <c r="CS2" s="179" t="s">
        <v>94</v>
      </c>
      <c r="DB2" s="179" t="s">
        <v>95</v>
      </c>
      <c r="DK2" s="179" t="s">
        <v>96</v>
      </c>
      <c r="DT2" s="179" t="s">
        <v>97</v>
      </c>
      <c r="EC2" s="152"/>
      <c r="ED2" s="152"/>
      <c r="EE2" s="152"/>
      <c r="EF2" s="152"/>
      <c r="EG2" s="152"/>
      <c r="EH2" s="152"/>
      <c r="EI2" s="152"/>
      <c r="EJ2" s="152"/>
      <c r="EK2" s="152"/>
      <c r="EL2" s="152"/>
      <c r="EM2" s="152"/>
      <c r="EN2" s="152"/>
      <c r="EO2" s="152"/>
      <c r="EP2" s="152"/>
      <c r="EQ2" s="152"/>
      <c r="ER2" s="152"/>
    </row>
    <row r="3" ht="5.25" customHeight="1">
      <c r="A3" s="152"/>
      <c r="B3" s="152"/>
      <c r="C3" s="152"/>
      <c r="D3" s="152"/>
      <c r="E3" s="152"/>
      <c r="F3" s="152"/>
      <c r="G3" s="152"/>
      <c r="H3" s="152"/>
      <c r="I3" s="152"/>
      <c r="J3" s="152"/>
      <c r="K3" s="152"/>
      <c r="L3" s="152"/>
      <c r="Q3" s="152"/>
      <c r="BB3" s="152"/>
      <c r="BK3" s="152"/>
      <c r="BT3" s="152"/>
      <c r="CC3" s="152"/>
      <c r="CI3" s="152"/>
      <c r="EC3" s="152"/>
      <c r="ED3" s="152"/>
      <c r="EE3" s="152"/>
      <c r="EF3" s="152"/>
      <c r="EG3" s="152"/>
      <c r="EH3" s="152"/>
      <c r="EI3" s="152"/>
      <c r="EJ3" s="152"/>
      <c r="EK3" s="152"/>
      <c r="EL3" s="152"/>
      <c r="EM3" s="152"/>
      <c r="EN3" s="152"/>
      <c r="EO3" s="152"/>
      <c r="EP3" s="152"/>
      <c r="EQ3" s="152"/>
      <c r="ER3" s="152"/>
    </row>
    <row r="4" ht="5.25" customHeight="1">
      <c r="A4" s="152"/>
      <c r="B4" s="152"/>
      <c r="C4" s="152"/>
      <c r="D4" s="152"/>
      <c r="E4" s="152"/>
      <c r="F4" s="152"/>
      <c r="G4" s="152"/>
      <c r="H4" s="152"/>
      <c r="I4" s="152"/>
      <c r="J4" s="152"/>
      <c r="K4" s="152"/>
      <c r="L4" s="152"/>
      <c r="Q4" s="152"/>
      <c r="BB4" s="180"/>
      <c r="BK4" s="152"/>
      <c r="BT4" s="152"/>
      <c r="CC4" s="152"/>
      <c r="CI4" s="152"/>
      <c r="EC4" s="152"/>
      <c r="ED4" s="152"/>
      <c r="EE4" s="152"/>
      <c r="EF4" s="152"/>
      <c r="EG4" s="152"/>
      <c r="EH4" s="152"/>
      <c r="EI4" s="152"/>
      <c r="EJ4" s="152"/>
      <c r="EK4" s="152"/>
      <c r="EL4" s="152"/>
      <c r="EM4" s="152"/>
      <c r="EN4" s="152"/>
      <c r="EO4" s="152"/>
      <c r="EP4" s="152"/>
      <c r="EQ4" s="152"/>
      <c r="ER4" s="152"/>
    </row>
    <row r="5" ht="5.25" customHeight="1">
      <c r="A5" s="152"/>
      <c r="B5" s="152"/>
      <c r="C5" s="152"/>
      <c r="D5" s="152"/>
      <c r="E5" s="152"/>
      <c r="F5" s="152"/>
      <c r="G5" s="152"/>
      <c r="H5" s="152"/>
      <c r="I5" s="152"/>
      <c r="J5" s="152"/>
      <c r="K5" s="152"/>
      <c r="L5" s="152"/>
      <c r="Q5" s="152"/>
      <c r="BB5" s="152"/>
      <c r="BK5" s="152"/>
      <c r="BT5" s="152"/>
      <c r="CC5" s="152"/>
      <c r="CI5" s="152"/>
      <c r="EC5" s="152"/>
      <c r="ED5" s="152"/>
      <c r="EE5" s="152"/>
      <c r="EF5" s="152"/>
      <c r="EG5" s="152"/>
      <c r="EH5" s="152"/>
      <c r="EI5" s="152"/>
      <c r="EJ5" s="152"/>
      <c r="EK5" s="152"/>
      <c r="EL5" s="152"/>
      <c r="EM5" s="152"/>
      <c r="EN5" s="152"/>
      <c r="EO5" s="152"/>
      <c r="EP5" s="152"/>
      <c r="EQ5" s="152"/>
      <c r="ER5" s="152"/>
    </row>
    <row r="6" ht="5.25" customHeight="1">
      <c r="A6" s="152"/>
      <c r="B6" s="152"/>
      <c r="C6" s="152"/>
      <c r="D6" s="152"/>
      <c r="E6" s="152"/>
      <c r="F6" s="152"/>
      <c r="G6" s="152"/>
      <c r="H6" s="152"/>
      <c r="I6" s="152"/>
      <c r="J6" s="152"/>
      <c r="K6" s="152"/>
      <c r="L6" s="152"/>
      <c r="Q6" s="152"/>
      <c r="BB6" s="152"/>
      <c r="BK6" s="152"/>
      <c r="BT6" s="152"/>
      <c r="CC6" s="152"/>
      <c r="CI6" s="152"/>
      <c r="EC6" s="152"/>
      <c r="ED6" s="152"/>
      <c r="EE6" s="152"/>
      <c r="EF6" s="152"/>
      <c r="EG6" s="152"/>
      <c r="EH6" s="152"/>
      <c r="EI6" s="152"/>
      <c r="EJ6" s="152"/>
      <c r="EK6" s="152"/>
      <c r="EL6" s="152"/>
      <c r="EM6" s="152"/>
      <c r="EN6" s="152"/>
      <c r="EO6" s="152"/>
      <c r="EP6" s="152"/>
      <c r="EQ6" s="152"/>
      <c r="ER6" s="152"/>
    </row>
    <row r="7" ht="5.25" customHeight="1">
      <c r="A7" s="152"/>
      <c r="B7" s="152"/>
      <c r="C7" s="152"/>
      <c r="D7" s="152"/>
      <c r="E7" s="152"/>
      <c r="F7" s="152"/>
      <c r="G7" s="152"/>
      <c r="H7" s="152"/>
      <c r="I7" s="152"/>
      <c r="J7" s="152"/>
      <c r="K7" s="152"/>
      <c r="L7" s="152"/>
      <c r="Q7" s="152"/>
      <c r="BB7" s="152"/>
      <c r="BK7" s="152"/>
      <c r="BT7" s="152"/>
      <c r="CC7" s="152"/>
      <c r="CI7" s="152"/>
      <c r="EC7" s="152"/>
      <c r="ED7" s="152"/>
      <c r="EE7" s="152"/>
      <c r="EF7" s="152"/>
      <c r="EG7" s="152"/>
      <c r="EH7" s="152"/>
      <c r="EI7" s="152"/>
      <c r="EJ7" s="152"/>
      <c r="EK7" s="152"/>
      <c r="EL7" s="152"/>
      <c r="EM7" s="152"/>
      <c r="EN7" s="152"/>
      <c r="EO7" s="152"/>
      <c r="EP7" s="152"/>
      <c r="EQ7" s="152"/>
      <c r="ER7" s="152"/>
    </row>
    <row r="8" ht="5.25" customHeight="1">
      <c r="A8" s="152"/>
      <c r="B8" s="152"/>
      <c r="C8" s="152"/>
      <c r="D8" s="152"/>
      <c r="E8" s="152"/>
      <c r="F8" s="152"/>
      <c r="G8" s="152"/>
      <c r="H8" s="152"/>
      <c r="I8" s="152"/>
      <c r="J8" s="152"/>
      <c r="K8" s="152"/>
      <c r="L8" s="152"/>
      <c r="M8" s="152"/>
      <c r="N8" s="152"/>
      <c r="O8" s="152"/>
      <c r="P8" s="152"/>
      <c r="Q8" s="152"/>
      <c r="R8" s="152"/>
      <c r="S8" s="152"/>
      <c r="T8" s="152"/>
      <c r="U8" s="152"/>
      <c r="V8" s="152"/>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52"/>
      <c r="AU8" s="152"/>
      <c r="AV8" s="152"/>
      <c r="AW8" s="152"/>
      <c r="AX8" s="152"/>
      <c r="AY8" s="152"/>
      <c r="AZ8" s="152"/>
      <c r="BA8" s="152"/>
      <c r="BB8" s="152"/>
      <c r="BC8" s="152"/>
      <c r="BD8" s="152"/>
      <c r="BE8" s="152"/>
      <c r="BF8" s="152"/>
      <c r="BG8" s="152"/>
      <c r="BH8" s="152"/>
      <c r="BI8" s="152"/>
      <c r="BJ8" s="152"/>
      <c r="BK8" s="152"/>
      <c r="BL8" s="152"/>
      <c r="BM8" s="152"/>
      <c r="BN8" s="152"/>
      <c r="BO8" s="152"/>
      <c r="BP8" s="152"/>
      <c r="BQ8" s="152"/>
      <c r="BR8" s="152"/>
      <c r="BS8" s="152"/>
      <c r="BT8" s="152"/>
      <c r="BU8" s="152"/>
      <c r="BV8" s="152"/>
      <c r="BW8" s="152"/>
      <c r="BX8" s="152"/>
      <c r="BY8" s="152"/>
      <c r="BZ8" s="152"/>
      <c r="CA8" s="152"/>
      <c r="CB8" s="152"/>
      <c r="CC8" s="152"/>
      <c r="CD8" s="152"/>
      <c r="CE8" s="152"/>
      <c r="CF8" s="152"/>
      <c r="CG8" s="152"/>
      <c r="CH8" s="152"/>
      <c r="CI8" s="152"/>
      <c r="CJ8" s="152"/>
      <c r="CK8" s="152"/>
      <c r="CL8" s="152"/>
      <c r="CM8" s="152"/>
      <c r="CN8" s="152"/>
      <c r="CO8" s="152"/>
      <c r="CP8" s="152"/>
      <c r="CQ8" s="152"/>
      <c r="CR8" s="152"/>
      <c r="CS8" s="152"/>
      <c r="CT8" s="152"/>
      <c r="CU8" s="152"/>
      <c r="CV8" s="152"/>
      <c r="CW8" s="152"/>
      <c r="CX8" s="152"/>
      <c r="CY8" s="152"/>
      <c r="CZ8" s="152"/>
      <c r="DA8" s="152"/>
      <c r="DB8" s="152"/>
      <c r="DC8" s="152"/>
      <c r="DD8" s="152"/>
      <c r="DE8" s="152"/>
      <c r="DF8" s="152"/>
      <c r="DG8" s="152"/>
      <c r="DH8" s="152"/>
      <c r="DI8" s="152"/>
      <c r="DJ8" s="152"/>
      <c r="DK8" s="152"/>
      <c r="DL8" s="152"/>
      <c r="DM8" s="152"/>
      <c r="DN8" s="152"/>
      <c r="DO8" s="152"/>
      <c r="DP8" s="152"/>
      <c r="DQ8" s="152"/>
      <c r="DR8" s="152"/>
      <c r="DS8" s="152"/>
      <c r="DT8" s="152"/>
      <c r="DU8" s="152"/>
      <c r="DV8" s="152"/>
      <c r="DW8" s="152"/>
      <c r="DX8" s="152"/>
      <c r="DY8" s="152"/>
      <c r="DZ8" s="152"/>
      <c r="EA8" s="152"/>
      <c r="EB8" s="152"/>
      <c r="EC8" s="152"/>
      <c r="ED8" s="152"/>
      <c r="EE8" s="152"/>
      <c r="EF8" s="152"/>
      <c r="EG8" s="152"/>
      <c r="EH8" s="152"/>
      <c r="EI8" s="152"/>
      <c r="EJ8" s="152"/>
      <c r="EK8" s="152"/>
      <c r="EL8" s="152"/>
      <c r="EM8" s="152"/>
      <c r="EN8" s="152"/>
      <c r="EO8" s="152"/>
      <c r="EP8" s="152"/>
      <c r="EQ8" s="152"/>
      <c r="ER8" s="152"/>
    </row>
    <row r="9" ht="5.25" customHeight="1">
      <c r="A9" s="152"/>
      <c r="B9" s="152"/>
      <c r="C9" s="152"/>
      <c r="D9" s="152"/>
      <c r="E9" s="152"/>
      <c r="F9" s="152"/>
      <c r="G9" s="152"/>
      <c r="H9" s="152"/>
      <c r="I9" s="152"/>
      <c r="J9" s="152"/>
      <c r="K9" s="152"/>
      <c r="L9" s="152"/>
      <c r="M9" s="177" t="str">
        <f>Q9&amp;"."</f>
        <v>1.</v>
      </c>
      <c r="Q9" s="181">
        <v>1.0</v>
      </c>
      <c r="R9" s="182"/>
      <c r="S9" s="183"/>
      <c r="T9" s="183"/>
      <c r="U9" s="183"/>
      <c r="V9" s="183"/>
      <c r="W9" s="183"/>
      <c r="X9" s="183"/>
      <c r="Y9" s="183"/>
      <c r="Z9" s="183"/>
      <c r="AA9" s="183"/>
      <c r="AB9" s="183"/>
      <c r="AC9" s="183"/>
      <c r="AD9" s="183"/>
      <c r="AE9" s="183"/>
      <c r="AF9" s="183"/>
      <c r="AG9" s="183"/>
      <c r="AH9" s="183"/>
      <c r="AI9" s="183"/>
      <c r="AJ9" s="183"/>
      <c r="AK9" s="183"/>
      <c r="AL9" s="183"/>
      <c r="AM9" s="183"/>
      <c r="AN9" s="183"/>
      <c r="AO9" s="183"/>
      <c r="AP9" s="183"/>
      <c r="AQ9" s="183"/>
      <c r="AR9" s="183"/>
      <c r="AS9" s="183"/>
      <c r="AT9" s="183"/>
      <c r="AU9" s="183"/>
      <c r="AV9" s="183"/>
      <c r="AW9" s="183"/>
      <c r="AX9" s="183"/>
      <c r="AY9" s="183"/>
      <c r="AZ9" s="183"/>
      <c r="BA9" s="183"/>
      <c r="BB9" s="183"/>
      <c r="BC9" s="183"/>
      <c r="BD9" s="183"/>
      <c r="BE9" s="183"/>
      <c r="BF9" s="183"/>
      <c r="BG9" s="183"/>
      <c r="BH9" s="183"/>
      <c r="BI9" s="183"/>
      <c r="BJ9" s="183"/>
      <c r="BK9" s="183"/>
      <c r="BL9" s="183"/>
      <c r="BM9" s="183"/>
      <c r="BN9" s="183"/>
      <c r="BO9" s="183"/>
      <c r="BP9" s="183"/>
      <c r="BQ9" s="183"/>
      <c r="BR9" s="183"/>
      <c r="BS9" s="183"/>
      <c r="BT9" s="183"/>
      <c r="BU9" s="183"/>
      <c r="BV9" s="183"/>
      <c r="BW9" s="183"/>
      <c r="BX9" s="183"/>
      <c r="BY9" s="183"/>
      <c r="BZ9" s="183"/>
      <c r="CA9" s="183"/>
      <c r="CB9" s="183"/>
      <c r="CC9" s="183"/>
      <c r="CD9" s="183"/>
      <c r="CE9" s="183"/>
      <c r="CF9" s="183"/>
      <c r="CG9" s="183"/>
      <c r="CH9" s="183"/>
      <c r="CI9" s="184"/>
      <c r="CJ9" s="185" t="str">
        <f t="array" ref="CJ9">xlookup($Y10,qualdata!$N$2:$N$17,xlookup("r1Ser",qualdata!$P$1:$BR$1,qualdata!$P$2:$BR$17,""))</f>
        <v/>
      </c>
      <c r="CK9" s="8"/>
      <c r="CL9" s="186" t="str">
        <f t="array" ref="CL9">xlookup(xlookup($Y10,qualdata!$N$2:$N$17,xlookup("r1op",qualdata!$P$1:$BR$1,qualdata!$P$2:$BR$17,"")),qualdata!$M$2:$M$17,qualdata!$O$2:$O$17,"")</f>
        <v/>
      </c>
      <c r="CM9" s="8"/>
      <c r="CN9" s="8"/>
      <c r="CO9" s="8"/>
      <c r="CP9" s="8"/>
      <c r="CQ9" s="187"/>
      <c r="CR9" s="9"/>
      <c r="CS9" s="185" t="str">
        <f t="array" ref="CS9">xlookup($Y10,qualdata!$N$2:$N$17,xlookup("r2Ser",qualdata!$P$1:$BR$1,qualdata!$P$2:$BR$17,""))</f>
        <v/>
      </c>
      <c r="CT9" s="8"/>
      <c r="CU9" s="186" t="str">
        <f t="array" ref="CU9">xlookup(xlookup($Y10,qualdata!$N$2:$N$17,xlookup("r2op",qualdata!$P$1:$BR$1,qualdata!$P$2:$BR$17,"")),qualdata!$M$2:$M$17,qualdata!$O$2:$O$17,"")</f>
        <v/>
      </c>
      <c r="CV9" s="8"/>
      <c r="CW9" s="8"/>
      <c r="CX9" s="8"/>
      <c r="CY9" s="8"/>
      <c r="CZ9" s="187"/>
      <c r="DA9" s="9"/>
      <c r="DB9" s="185" t="str">
        <f t="array" ref="DB9">xlookup($Y10,qualdata!$N$2:$N$17,xlookup("r3Ser",qualdata!$P$1:$BR$1,qualdata!$P$2:$BR$17,""))</f>
        <v/>
      </c>
      <c r="DC9" s="8"/>
      <c r="DD9" s="186" t="str">
        <f t="array" ref="DD9">xlookup(xlookup($Y10,qualdata!$N$2:$N$17,xlookup("r3op",qualdata!$P$1:$BR$1,qualdata!$P$2:$BR$17,"")),qualdata!$M$2:$M$17,qualdata!$O$2:$O$17,"")</f>
        <v/>
      </c>
      <c r="DE9" s="8"/>
      <c r="DF9" s="8"/>
      <c r="DG9" s="8"/>
      <c r="DH9" s="8"/>
      <c r="DI9" s="187"/>
      <c r="DJ9" s="9"/>
      <c r="DK9" s="185" t="str">
        <f t="array" ref="DK9">xlookup($Y10,qualdata!$N$2:$N$17,xlookup("r4Ser",qualdata!$P$1:$BR$1,qualdata!$P$2:$BR$17,""))</f>
        <v/>
      </c>
      <c r="DL9" s="8"/>
      <c r="DM9" s="186" t="str">
        <f t="array" ref="DM9">xlookup(xlookup($Y10,qualdata!$N$2:$N$17,xlookup("r4op",qualdata!$P$1:$BR$1,qualdata!$P$2:$BR$17,"")),qualdata!$M$2:$M$17,qualdata!$O$2:$O$17,"")</f>
        <v/>
      </c>
      <c r="DN9" s="8"/>
      <c r="DO9" s="8"/>
      <c r="DP9" s="8"/>
      <c r="DQ9" s="8"/>
      <c r="DR9" s="187"/>
      <c r="DS9" s="9"/>
      <c r="DT9" s="185" t="str">
        <f t="array" ref="DT9">xlookup($Y10,qualdata!$N$2:$N$17,xlookup("r5Ser",qualdata!$P$1:$BR$1,qualdata!$P$2:$BR$17,""))</f>
        <v/>
      </c>
      <c r="DU9" s="8"/>
      <c r="DV9" s="186" t="str">
        <f t="array" ref="DV9">xlookup(xlookup($Y10,qualdata!$N$2:$N$17,xlookup("r5op",qualdata!$P$1:$BR$1,qualdata!$P$2:$BR$17,"")),qualdata!$M$2:$M$17,qualdata!$O$2:$O$17,"")</f>
        <v/>
      </c>
      <c r="DW9" s="8"/>
      <c r="DX9" s="8"/>
      <c r="DY9" s="8"/>
      <c r="DZ9" s="8"/>
      <c r="EA9" s="187"/>
      <c r="EB9" s="9"/>
      <c r="EC9" s="152"/>
      <c r="ED9" s="152"/>
      <c r="EE9" s="152"/>
      <c r="EF9" s="152"/>
      <c r="EG9" s="152"/>
      <c r="EH9" s="152"/>
      <c r="EI9" s="152"/>
      <c r="EJ9" s="152"/>
      <c r="EK9" s="152"/>
      <c r="EL9" s="152"/>
      <c r="EM9" s="152"/>
      <c r="EN9" s="152"/>
      <c r="EO9" s="152"/>
      <c r="EP9" s="152"/>
      <c r="EQ9" s="152"/>
      <c r="ER9" s="152"/>
    </row>
    <row r="10" ht="5.25" customHeight="1">
      <c r="A10" s="152"/>
      <c r="B10" s="152"/>
      <c r="C10" s="152"/>
      <c r="D10" s="152"/>
      <c r="E10" s="152"/>
      <c r="F10" s="152"/>
      <c r="G10" s="152"/>
      <c r="H10" s="152"/>
      <c r="I10" s="152"/>
      <c r="J10" s="152"/>
      <c r="K10" s="152"/>
      <c r="L10" s="152"/>
      <c r="Q10" s="152"/>
      <c r="R10" s="188" t="str">
        <f t="array" ref="R10">xlookup(Y10,qualdata!$N$2:$N$17,qualdata!$O$2:$O$17,"")</f>
        <v/>
      </c>
      <c r="X10" s="189"/>
      <c r="Y10" s="190" t="str">
        <f t="array" ref="Y10">xlookup(Q9,qualdata!$G$24:$G$39,qualdata!$A$24:$A$39,"")</f>
        <v>Team 1 (Group 1)</v>
      </c>
      <c r="BB10" s="189"/>
      <c r="BC10" s="191" t="str">
        <f t="array" ref="BC10">xlookup(Y10,qualdata!$A$24:$A$39,qualdata!$B$24:$B$39,"")</f>
        <v>0-0</v>
      </c>
      <c r="BK10" s="189"/>
      <c r="BL10" s="192" t="str">
        <f t="array" ref="BL10">xlookup(Y10,qualdata!$A$24:$A$39,qualdata!$C$24:$C$39,"")</f>
        <v>0-0</v>
      </c>
      <c r="BT10" s="189"/>
      <c r="BU10" s="193" t="str">
        <f t="array" ref="BU10">xlookup(Y10,qualdata!$A$24:$A$39,qualdata!$D$24:$D$39,"")</f>
        <v>0-0</v>
      </c>
      <c r="CC10" s="189"/>
      <c r="CD10" s="193">
        <f t="array" ref="CD10">xlookup(Y10,qualdata!$A$24:$A$39,qualdata!$F$24:$F$39,"")</f>
        <v>0</v>
      </c>
      <c r="CI10" s="194"/>
      <c r="CJ10" s="10"/>
      <c r="CR10" s="11"/>
      <c r="CS10" s="10"/>
      <c r="DA10" s="11"/>
      <c r="DB10" s="10"/>
      <c r="DJ10" s="11"/>
      <c r="DK10" s="10"/>
      <c r="DS10" s="11"/>
      <c r="DT10" s="10"/>
      <c r="EB10" s="11"/>
      <c r="EC10" s="152"/>
      <c r="ED10" s="152"/>
      <c r="EE10" s="152"/>
      <c r="EF10" s="152"/>
      <c r="EG10" s="152"/>
      <c r="EH10" s="152"/>
      <c r="EI10" s="152"/>
      <c r="EJ10" s="152"/>
      <c r="EK10" s="152"/>
      <c r="EL10" s="152"/>
      <c r="EM10" s="152"/>
      <c r="EN10" s="152"/>
      <c r="EO10" s="152"/>
      <c r="EP10" s="152"/>
      <c r="EQ10" s="152"/>
      <c r="ER10" s="152"/>
    </row>
    <row r="11" ht="5.25" customHeight="1">
      <c r="A11" s="152"/>
      <c r="B11" s="152"/>
      <c r="C11" s="152"/>
      <c r="D11" s="152"/>
      <c r="E11" s="152"/>
      <c r="F11" s="152"/>
      <c r="G11" s="152"/>
      <c r="H11" s="152"/>
      <c r="I11" s="152"/>
      <c r="J11" s="152"/>
      <c r="K11" s="152"/>
      <c r="L11" s="152"/>
      <c r="Q11" s="152"/>
      <c r="R11" s="10"/>
      <c r="X11" s="189"/>
      <c r="BB11" s="189"/>
      <c r="BK11" s="189"/>
      <c r="BT11" s="189"/>
      <c r="CC11" s="189"/>
      <c r="CI11" s="194"/>
      <c r="CJ11" s="10"/>
      <c r="CR11" s="11"/>
      <c r="CS11" s="10"/>
      <c r="DA11" s="11"/>
      <c r="DB11" s="10"/>
      <c r="DJ11" s="11"/>
      <c r="DK11" s="10"/>
      <c r="DS11" s="11"/>
      <c r="DT11" s="10"/>
      <c r="EB11" s="11"/>
      <c r="EC11" s="152"/>
      <c r="ED11" s="152"/>
      <c r="EE11" s="152"/>
      <c r="EF11" s="152"/>
      <c r="EG11" s="152"/>
      <c r="EH11" s="152"/>
      <c r="EI11" s="152"/>
      <c r="EJ11" s="152"/>
      <c r="EK11" s="152"/>
      <c r="EL11" s="152"/>
      <c r="EM11" s="152"/>
      <c r="EN11" s="152"/>
      <c r="EO11" s="152"/>
      <c r="EP11" s="152"/>
      <c r="EQ11" s="152"/>
      <c r="ER11" s="152"/>
    </row>
    <row r="12" ht="5.25" customHeight="1">
      <c r="A12" s="152"/>
      <c r="B12" s="152"/>
      <c r="C12" s="152"/>
      <c r="D12" s="152"/>
      <c r="E12" s="152"/>
      <c r="F12" s="152"/>
      <c r="G12" s="152"/>
      <c r="H12" s="152"/>
      <c r="I12" s="152"/>
      <c r="J12" s="152"/>
      <c r="K12" s="152"/>
      <c r="L12" s="152"/>
      <c r="Q12" s="152"/>
      <c r="R12" s="10"/>
      <c r="X12" s="189"/>
      <c r="BB12" s="189"/>
      <c r="BK12" s="189"/>
      <c r="BT12" s="189"/>
      <c r="CC12" s="189"/>
      <c r="CI12" s="194"/>
      <c r="CJ12" s="10"/>
      <c r="CR12" s="11"/>
      <c r="CS12" s="10"/>
      <c r="DA12" s="11"/>
      <c r="DB12" s="10"/>
      <c r="DJ12" s="11"/>
      <c r="DK12" s="10"/>
      <c r="DS12" s="11"/>
      <c r="DT12" s="10"/>
      <c r="EB12" s="11"/>
      <c r="EC12" s="152"/>
      <c r="ED12" s="152"/>
      <c r="EE12" s="152"/>
      <c r="EF12" s="152"/>
      <c r="EG12" s="152"/>
      <c r="EH12" s="152"/>
      <c r="EI12" s="152"/>
      <c r="EJ12" s="152"/>
      <c r="EK12" s="152"/>
      <c r="EL12" s="152"/>
      <c r="EM12" s="152"/>
      <c r="EN12" s="152"/>
      <c r="EO12" s="152"/>
      <c r="EP12" s="152"/>
      <c r="EQ12" s="152"/>
      <c r="ER12" s="152"/>
    </row>
    <row r="13" ht="5.25" customHeight="1">
      <c r="A13" s="152"/>
      <c r="B13" s="152"/>
      <c r="C13" s="152"/>
      <c r="D13" s="152"/>
      <c r="E13" s="152"/>
      <c r="F13" s="152"/>
      <c r="G13" s="152"/>
      <c r="H13" s="152"/>
      <c r="I13" s="152"/>
      <c r="J13" s="152"/>
      <c r="K13" s="152"/>
      <c r="L13" s="152"/>
      <c r="Q13" s="152"/>
      <c r="R13" s="10"/>
      <c r="X13" s="189"/>
      <c r="BB13" s="189"/>
      <c r="BK13" s="189"/>
      <c r="BT13" s="189"/>
      <c r="CC13" s="189"/>
      <c r="CI13" s="194"/>
      <c r="CJ13" s="10"/>
      <c r="CR13" s="11"/>
      <c r="CS13" s="10"/>
      <c r="DA13" s="11"/>
      <c r="DB13" s="10"/>
      <c r="DJ13" s="11"/>
      <c r="DK13" s="10"/>
      <c r="DS13" s="11"/>
      <c r="DT13" s="10"/>
      <c r="EB13" s="11"/>
      <c r="EC13" s="152"/>
      <c r="ED13" s="152"/>
      <c r="EE13" s="152"/>
      <c r="EF13" s="152"/>
      <c r="EG13" s="152"/>
      <c r="EH13" s="152"/>
      <c r="EI13" s="152"/>
      <c r="EJ13" s="152"/>
      <c r="EK13" s="152"/>
      <c r="EL13" s="152"/>
      <c r="EM13" s="152"/>
      <c r="EN13" s="152"/>
      <c r="EO13" s="152"/>
      <c r="EP13" s="152"/>
      <c r="EQ13" s="152"/>
      <c r="ER13" s="152"/>
    </row>
    <row r="14" ht="5.25" customHeight="1">
      <c r="A14" s="152"/>
      <c r="B14" s="152"/>
      <c r="C14" s="152"/>
      <c r="D14" s="152"/>
      <c r="E14" s="152"/>
      <c r="F14" s="152"/>
      <c r="G14" s="152"/>
      <c r="H14" s="152"/>
      <c r="I14" s="152"/>
      <c r="J14" s="152"/>
      <c r="K14" s="152"/>
      <c r="L14" s="152"/>
      <c r="Q14" s="152"/>
      <c r="R14" s="10"/>
      <c r="X14" s="189"/>
      <c r="BB14" s="189"/>
      <c r="BK14" s="189"/>
      <c r="BT14" s="189"/>
      <c r="CC14" s="189"/>
      <c r="CI14" s="194"/>
      <c r="CJ14" s="195" t="str">
        <f t="array" ref="CJ14">xlookup($Y10,qualdata!$N$2:$N$17,xlookup("r1gw",qualdata!$P$1:$BR$1,qualdata!$P$2:$BR$17))&amp;"-"&amp;xlookup($Y10,qualdata!$N$2:$N$17,xlookup("r1gl",qualdata!$P$1:$BR$1,qualdata!$P$2:$BR$17))</f>
        <v>-</v>
      </c>
      <c r="CN14" s="196"/>
      <c r="CO14" s="196">
        <f t="array" ref="CO14">if(xlookup($Y10,qualdata!$N$2:$N$17,xlookup("r1rd",qualdata!$P$1:$BR$1,qualdata!$P$2:$BR$17))&gt;0,"+"&amp;xlookup($Y10,qualdata!$N$2:$N$17,xlookup("r1rd",qualdata!$P$1:$BR$1,qualdata!$P$2:$BR$17)),xlookup($Y10,qualdata!$N$2:$N$17,xlookup("r1rd",qualdata!$P$1:$BR$1,qualdata!$P$2:$BR$17)))</f>
        <v>0</v>
      </c>
      <c r="CR14" s="11"/>
      <c r="CS14" s="195" t="str">
        <f t="array" ref="CS14">xlookup($Y10,qualdata!$N$2:$N$17,xlookup("r2gw",qualdata!$P$1:$BR$1,qualdata!$P$2:$BR$17))&amp;"-"&amp;xlookup($Y10,qualdata!$N$2:$N$17,xlookup("r2gl",qualdata!$P$1:$BR$1,qualdata!$P$2:$BR$17))</f>
        <v>-</v>
      </c>
      <c r="CW14" s="196"/>
      <c r="CX14" s="196">
        <f t="array" ref="CX14">if(xlookup($Y10,qualdata!$N$2:$N$17,xlookup("r2rd",qualdata!$P$1:$BR$1,qualdata!$P$2:$BR$17))&gt;0,"+"&amp;xlookup($Y10,qualdata!$N$2:$N$17,xlookup("r2rd",qualdata!$P$1:$BR$1,qualdata!$P$2:$BR$17)),xlookup($Y10,qualdata!$N$2:$N$17,xlookup("r2rd",qualdata!$P$1:$BR$1,qualdata!$P$2:$BR$17)))</f>
        <v>0</v>
      </c>
      <c r="DA14" s="11"/>
      <c r="DB14" s="195" t="str">
        <f t="array" ref="DB14">xlookup($Y10,qualdata!$N$2:$N$17,xlookup("r3gw",qualdata!$P$1:$BR$1,qualdata!$P$2:$BR$17))&amp;"-"&amp;xlookup($Y10,qualdata!$N$2:$N$17,xlookup("r3gl",qualdata!$P$1:$BR$1,qualdata!$P$2:$BR$17))</f>
        <v>-</v>
      </c>
      <c r="DF14" s="196"/>
      <c r="DG14" s="196">
        <f t="array" ref="DG14">if(xlookup($Y10,qualdata!$N$2:$N$17,xlookup("r3rd",qualdata!$P$1:$BR$1,qualdata!$P$2:$BR$17))&gt;0,"+"&amp;xlookup($Y10,qualdata!$N$2:$N$17,xlookup("r3rd",qualdata!$P$1:$BR$1,qualdata!$P$2:$BR$17)),xlookup($Y10,qualdata!$N$2:$N$17,xlookup("r3rd",qualdata!$P$1:$BR$1,qualdata!$P$2:$BR$17)))</f>
        <v>0</v>
      </c>
      <c r="DJ14" s="11"/>
      <c r="DK14" s="195"/>
      <c r="DO14" s="196"/>
      <c r="DP14" s="196"/>
      <c r="DS14" s="11"/>
      <c r="DT14" s="195"/>
      <c r="DX14" s="196"/>
      <c r="DY14" s="196"/>
      <c r="EB14" s="11"/>
      <c r="EC14" s="152"/>
      <c r="ED14" s="152"/>
      <c r="EE14" s="152"/>
      <c r="EF14" s="152"/>
      <c r="EG14" s="152"/>
      <c r="EH14" s="152"/>
      <c r="EI14" s="152"/>
      <c r="EJ14" s="152"/>
      <c r="EK14" s="152"/>
      <c r="EL14" s="152"/>
      <c r="EM14" s="152"/>
      <c r="EN14" s="152"/>
      <c r="EO14" s="152"/>
      <c r="EP14" s="152"/>
      <c r="EQ14" s="152"/>
      <c r="ER14" s="152"/>
    </row>
    <row r="15" ht="5.25" customHeight="1">
      <c r="A15" s="152"/>
      <c r="B15" s="152"/>
      <c r="C15" s="152"/>
      <c r="D15" s="152"/>
      <c r="E15" s="152"/>
      <c r="F15" s="152"/>
      <c r="G15" s="152"/>
      <c r="H15" s="152"/>
      <c r="I15" s="152"/>
      <c r="J15" s="152"/>
      <c r="K15" s="152"/>
      <c r="L15" s="152"/>
      <c r="Q15" s="152"/>
      <c r="R15" s="10"/>
      <c r="X15" s="189"/>
      <c r="BB15" s="189"/>
      <c r="BK15" s="189"/>
      <c r="BT15" s="189"/>
      <c r="CC15" s="189"/>
      <c r="CI15" s="194"/>
      <c r="CJ15" s="10"/>
      <c r="CR15" s="11"/>
      <c r="CS15" s="10"/>
      <c r="DA15" s="11"/>
      <c r="DB15" s="10"/>
      <c r="DJ15" s="11"/>
      <c r="DK15" s="10"/>
      <c r="DS15" s="11"/>
      <c r="DT15" s="10"/>
      <c r="EB15" s="11"/>
      <c r="EC15" s="152"/>
      <c r="ED15" s="152"/>
      <c r="EE15" s="152"/>
      <c r="EF15" s="152"/>
      <c r="EG15" s="152"/>
      <c r="EH15" s="152"/>
      <c r="EI15" s="152"/>
      <c r="EJ15" s="152"/>
      <c r="EK15" s="152"/>
      <c r="EL15" s="152"/>
      <c r="EM15" s="152"/>
      <c r="EN15" s="152"/>
      <c r="EO15" s="152"/>
      <c r="EP15" s="152"/>
      <c r="EQ15" s="152"/>
      <c r="ER15" s="152"/>
    </row>
    <row r="16" ht="5.25" customHeight="1">
      <c r="A16" s="152"/>
      <c r="B16" s="152"/>
      <c r="C16" s="152"/>
      <c r="D16" s="152"/>
      <c r="E16" s="152"/>
      <c r="F16" s="152"/>
      <c r="G16" s="152"/>
      <c r="H16" s="152"/>
      <c r="I16" s="152"/>
      <c r="J16" s="152"/>
      <c r="K16" s="152"/>
      <c r="L16" s="152"/>
      <c r="Q16" s="152"/>
      <c r="R16" s="197"/>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98"/>
      <c r="AU16" s="198"/>
      <c r="AV16" s="198"/>
      <c r="AW16" s="198"/>
      <c r="AX16" s="198"/>
      <c r="AY16" s="198"/>
      <c r="AZ16" s="198"/>
      <c r="BA16" s="198"/>
      <c r="BB16" s="198"/>
      <c r="BC16" s="198"/>
      <c r="BD16" s="198"/>
      <c r="BE16" s="198"/>
      <c r="BF16" s="198"/>
      <c r="BG16" s="198"/>
      <c r="BH16" s="198"/>
      <c r="BI16" s="198"/>
      <c r="BJ16" s="198"/>
      <c r="BK16" s="198"/>
      <c r="BL16" s="198"/>
      <c r="BM16" s="198"/>
      <c r="BN16" s="198"/>
      <c r="BO16" s="198"/>
      <c r="BP16" s="198"/>
      <c r="BQ16" s="198"/>
      <c r="BR16" s="198"/>
      <c r="BS16" s="198"/>
      <c r="BT16" s="198"/>
      <c r="BU16" s="198"/>
      <c r="BV16" s="198"/>
      <c r="BW16" s="198"/>
      <c r="BX16" s="198"/>
      <c r="BY16" s="198"/>
      <c r="BZ16" s="198"/>
      <c r="CA16" s="198"/>
      <c r="CB16" s="198"/>
      <c r="CC16" s="198"/>
      <c r="CD16" s="198"/>
      <c r="CE16" s="198"/>
      <c r="CF16" s="198"/>
      <c r="CG16" s="198"/>
      <c r="CH16" s="198"/>
      <c r="CI16" s="199"/>
      <c r="CJ16" s="12"/>
      <c r="CK16" s="13"/>
      <c r="CL16" s="13"/>
      <c r="CM16" s="13"/>
      <c r="CN16" s="13"/>
      <c r="CO16" s="13"/>
      <c r="CP16" s="13"/>
      <c r="CQ16" s="13"/>
      <c r="CR16" s="14"/>
      <c r="CS16" s="12"/>
      <c r="CT16" s="13"/>
      <c r="CU16" s="13"/>
      <c r="CV16" s="13"/>
      <c r="CW16" s="13"/>
      <c r="CX16" s="13"/>
      <c r="CY16" s="13"/>
      <c r="CZ16" s="13"/>
      <c r="DA16" s="14"/>
      <c r="DB16" s="12"/>
      <c r="DC16" s="13"/>
      <c r="DD16" s="13"/>
      <c r="DE16" s="13"/>
      <c r="DF16" s="13"/>
      <c r="DG16" s="13"/>
      <c r="DH16" s="13"/>
      <c r="DI16" s="13"/>
      <c r="DJ16" s="14"/>
      <c r="DK16" s="12"/>
      <c r="DL16" s="13"/>
      <c r="DM16" s="13"/>
      <c r="DN16" s="13"/>
      <c r="DO16" s="13"/>
      <c r="DP16" s="13"/>
      <c r="DQ16" s="13"/>
      <c r="DR16" s="13"/>
      <c r="DS16" s="14"/>
      <c r="DT16" s="12"/>
      <c r="DU16" s="13"/>
      <c r="DV16" s="13"/>
      <c r="DW16" s="13"/>
      <c r="DX16" s="13"/>
      <c r="DY16" s="13"/>
      <c r="DZ16" s="13"/>
      <c r="EA16" s="13"/>
      <c r="EB16" s="14"/>
      <c r="EC16" s="152"/>
      <c r="ED16" s="152"/>
      <c r="EE16" s="152"/>
      <c r="EF16" s="152"/>
      <c r="EG16" s="152"/>
      <c r="EH16" s="152"/>
      <c r="EI16" s="152"/>
      <c r="EJ16" s="152"/>
      <c r="EK16" s="152"/>
      <c r="EL16" s="152"/>
      <c r="EM16" s="152"/>
      <c r="EN16" s="152"/>
      <c r="EO16" s="152"/>
      <c r="EP16" s="152"/>
      <c r="EQ16" s="152"/>
      <c r="ER16" s="152"/>
    </row>
    <row r="17" ht="5.25" customHeight="1">
      <c r="A17" s="152"/>
      <c r="B17" s="152"/>
      <c r="C17" s="152"/>
      <c r="D17" s="152"/>
      <c r="E17" s="152"/>
      <c r="F17" s="152"/>
      <c r="G17" s="152"/>
      <c r="H17" s="152"/>
      <c r="I17" s="152"/>
      <c r="J17" s="152"/>
      <c r="K17" s="152"/>
      <c r="L17" s="152"/>
      <c r="M17" s="177" t="str">
        <f>Q17&amp;"."</f>
        <v>2.</v>
      </c>
      <c r="Q17" s="181">
        <v>2.0</v>
      </c>
      <c r="R17" s="182"/>
      <c r="S17" s="183"/>
      <c r="T17" s="183"/>
      <c r="U17" s="183"/>
      <c r="V17" s="183"/>
      <c r="W17" s="183"/>
      <c r="X17" s="183"/>
      <c r="Y17" s="183"/>
      <c r="Z17" s="183"/>
      <c r="AA17" s="183"/>
      <c r="AB17" s="183"/>
      <c r="AC17" s="183"/>
      <c r="AD17" s="183"/>
      <c r="AE17" s="183"/>
      <c r="AF17" s="183"/>
      <c r="AG17" s="183"/>
      <c r="AH17" s="183"/>
      <c r="AI17" s="183"/>
      <c r="AJ17" s="183"/>
      <c r="AK17" s="183"/>
      <c r="AL17" s="183"/>
      <c r="AM17" s="183"/>
      <c r="AN17" s="183"/>
      <c r="AO17" s="183"/>
      <c r="AP17" s="183"/>
      <c r="AQ17" s="183"/>
      <c r="AR17" s="183"/>
      <c r="AS17" s="183"/>
      <c r="AT17" s="183"/>
      <c r="AU17" s="183"/>
      <c r="AV17" s="183"/>
      <c r="AW17" s="183"/>
      <c r="AX17" s="183"/>
      <c r="AY17" s="183"/>
      <c r="AZ17" s="183"/>
      <c r="BA17" s="183"/>
      <c r="BB17" s="183"/>
      <c r="BC17" s="183"/>
      <c r="BD17" s="183"/>
      <c r="BE17" s="183"/>
      <c r="BF17" s="183"/>
      <c r="BG17" s="183"/>
      <c r="BH17" s="183"/>
      <c r="BI17" s="183"/>
      <c r="BJ17" s="183"/>
      <c r="BK17" s="183"/>
      <c r="BL17" s="183"/>
      <c r="BM17" s="183"/>
      <c r="BN17" s="183"/>
      <c r="BO17" s="183"/>
      <c r="BP17" s="183"/>
      <c r="BQ17" s="183"/>
      <c r="BR17" s="183"/>
      <c r="BS17" s="183"/>
      <c r="BT17" s="183"/>
      <c r="BU17" s="183"/>
      <c r="BV17" s="183"/>
      <c r="BW17" s="183"/>
      <c r="BX17" s="183"/>
      <c r="BY17" s="183"/>
      <c r="BZ17" s="183"/>
      <c r="CA17" s="183"/>
      <c r="CB17" s="183"/>
      <c r="CC17" s="183"/>
      <c r="CD17" s="183"/>
      <c r="CE17" s="183"/>
      <c r="CF17" s="183"/>
      <c r="CG17" s="183"/>
      <c r="CH17" s="183"/>
      <c r="CI17" s="183"/>
      <c r="CJ17" s="185" t="str">
        <f t="array" ref="CJ17">xlookup($Y18,qualdata!$N$2:$N$17,xlookup("r1Ser",qualdata!$P$1:$BR$1,qualdata!$P$2:$BR$17,""))</f>
        <v/>
      </c>
      <c r="CK17" s="8"/>
      <c r="CL17" s="186" t="str">
        <f t="array" ref="CL17">xlookup(xlookup($Y18,qualdata!$N$2:$N$17,xlookup("r1op",qualdata!$P$1:$BR$1,qualdata!$P$2:$BR$17,"")),qualdata!$M$2:$M$17,qualdata!$O$2:$O$17,"")</f>
        <v/>
      </c>
      <c r="CM17" s="8"/>
      <c r="CN17" s="8"/>
      <c r="CO17" s="8"/>
      <c r="CP17" s="8"/>
      <c r="CQ17" s="187"/>
      <c r="CR17" s="9"/>
      <c r="CS17" s="185" t="str">
        <f t="array" ref="CS17">xlookup($Y18,qualdata!$N$2:$N$17,xlookup("r2Ser",qualdata!$P$1:$BR$1,qualdata!$P$2:$BR$17,""))</f>
        <v/>
      </c>
      <c r="CT17" s="8"/>
      <c r="CU17" s="186" t="str">
        <f t="array" ref="CU17">xlookup(xlookup($Y18,qualdata!$N$2:$N$17,xlookup("r2op",qualdata!$P$1:$BR$1,qualdata!$P$2:$BR$17,"")),qualdata!$M$2:$M$17,qualdata!$O$2:$O$17,"")</f>
        <v/>
      </c>
      <c r="CV17" s="8"/>
      <c r="CW17" s="8"/>
      <c r="CX17" s="8"/>
      <c r="CY17" s="8"/>
      <c r="CZ17" s="187"/>
      <c r="DA17" s="9"/>
      <c r="DB17" s="185" t="str">
        <f t="array" ref="DB17">xlookup($Y18,qualdata!$N$2:$N$17,xlookup("r3Ser",qualdata!$P$1:$BR$1,qualdata!$P$2:$BR$17,""))</f>
        <v/>
      </c>
      <c r="DC17" s="8"/>
      <c r="DD17" s="186" t="str">
        <f t="array" ref="DD17">xlookup(xlookup($Y18,qualdata!$N$2:$N$17,xlookup("r3op",qualdata!$P$1:$BR$1,qualdata!$P$2:$BR$17,"")),qualdata!$M$2:$M$17,qualdata!$O$2:$O$17,"")</f>
        <v/>
      </c>
      <c r="DE17" s="8"/>
      <c r="DF17" s="8"/>
      <c r="DG17" s="8"/>
      <c r="DH17" s="8"/>
      <c r="DI17" s="187"/>
      <c r="DJ17" s="9"/>
      <c r="DK17" s="185" t="str">
        <f t="array" ref="DK17">xlookup($Y18,qualdata!$N$2:$N$17,xlookup("r4Ser",qualdata!$P$1:$BR$1,qualdata!$P$2:$BR$17,""))</f>
        <v/>
      </c>
      <c r="DL17" s="8"/>
      <c r="DM17" s="186" t="str">
        <f t="array" ref="DM17">xlookup(xlookup($Y18,qualdata!$N$2:$N$17,xlookup("r4op",qualdata!$P$1:$BR$1,qualdata!$P$2:$BR$17,"")),qualdata!$M$2:$M$17,qualdata!$O$2:$O$17,"")</f>
        <v/>
      </c>
      <c r="DN17" s="8"/>
      <c r="DO17" s="8"/>
      <c r="DP17" s="8"/>
      <c r="DQ17" s="8"/>
      <c r="DR17" s="187"/>
      <c r="DS17" s="9"/>
      <c r="DT17" s="185" t="str">
        <f t="array" ref="DT17">xlookup($Y18,qualdata!$N$2:$N$17,xlookup("r5Ser",qualdata!$P$1:$BR$1,qualdata!$P$2:$BR$17,""))</f>
        <v/>
      </c>
      <c r="DU17" s="8"/>
      <c r="DV17" s="186" t="str">
        <f t="array" ref="DV17">xlookup(xlookup($Y18,qualdata!$N$2:$N$17,xlookup("r5op",qualdata!$P$1:$BR$1,qualdata!$P$2:$BR$17,"")),qualdata!$M$2:$M$17,qualdata!$O$2:$O$17,"")</f>
        <v/>
      </c>
      <c r="DW17" s="8"/>
      <c r="DX17" s="8"/>
      <c r="DY17" s="8"/>
      <c r="DZ17" s="8"/>
      <c r="EA17" s="187"/>
      <c r="EB17" s="9"/>
      <c r="EC17" s="152"/>
      <c r="ED17" s="152"/>
      <c r="EE17" s="152"/>
      <c r="EF17" s="152"/>
      <c r="EG17" s="152"/>
      <c r="EH17" s="152"/>
      <c r="EI17" s="152"/>
      <c r="EJ17" s="152"/>
      <c r="EK17" s="152"/>
      <c r="EL17" s="152"/>
      <c r="EM17" s="152"/>
      <c r="EN17" s="152"/>
      <c r="EO17" s="152"/>
      <c r="EP17" s="152"/>
      <c r="EQ17" s="152"/>
      <c r="ER17" s="152"/>
    </row>
    <row r="18" ht="5.25" customHeight="1">
      <c r="A18" s="152"/>
      <c r="B18" s="152"/>
      <c r="C18" s="152"/>
      <c r="D18" s="152"/>
      <c r="E18" s="152"/>
      <c r="F18" s="152"/>
      <c r="G18" s="152"/>
      <c r="H18" s="152"/>
      <c r="I18" s="152"/>
      <c r="J18" s="152"/>
      <c r="K18" s="152"/>
      <c r="L18" s="152"/>
      <c r="Q18" s="152"/>
      <c r="R18" s="188" t="str">
        <f t="array" ref="R18">xlookup(Y18,qualdata!$N$2:$N$17,qualdata!$O$2:$O$17,"")</f>
        <v/>
      </c>
      <c r="X18" s="189"/>
      <c r="Y18" s="190" t="str">
        <f t="array" ref="Y18">xlookup(Q17,qualdata!$G$24:$G$39,qualdata!$A$24:$A$39,"")</f>
        <v>Team 2 (Group 1)</v>
      </c>
      <c r="BB18" s="189"/>
      <c r="BC18" s="191" t="str">
        <f t="array" ref="BC18">xlookup(Y18,qualdata!$A$24:$A$39,qualdata!$B$24:$B$39,"")</f>
        <v>0-0</v>
      </c>
      <c r="BK18" s="189"/>
      <c r="BL18" s="192" t="str">
        <f t="array" ref="BL18">xlookup(Y18,qualdata!$A$24:$A$39,qualdata!$C$24:$C$39,"")</f>
        <v>0-0</v>
      </c>
      <c r="BT18" s="189"/>
      <c r="BU18" s="193" t="str">
        <f t="array" ref="BU18">xlookup(Y18,qualdata!$A$24:$A$39,qualdata!$D$24:$D$39,"")</f>
        <v>0-0</v>
      </c>
      <c r="CC18" s="189"/>
      <c r="CD18" s="193">
        <f t="array" ref="CD18">xlookup(Y18,qualdata!$A$24:$A$39,qualdata!$F$24:$F$39,"")</f>
        <v>0</v>
      </c>
      <c r="CI18" s="189"/>
      <c r="CJ18" s="10"/>
      <c r="CR18" s="11"/>
      <c r="CS18" s="10"/>
      <c r="DA18" s="11"/>
      <c r="DB18" s="10"/>
      <c r="DJ18" s="11"/>
      <c r="DK18" s="10"/>
      <c r="DS18" s="11"/>
      <c r="DT18" s="10"/>
      <c r="EB18" s="11"/>
      <c r="EC18" s="152"/>
      <c r="ED18" s="152"/>
      <c r="EE18" s="152"/>
      <c r="EF18" s="152"/>
      <c r="EG18" s="152"/>
      <c r="EH18" s="152"/>
      <c r="EI18" s="152"/>
      <c r="EJ18" s="152"/>
      <c r="EK18" s="152"/>
      <c r="EL18" s="152"/>
      <c r="EM18" s="152"/>
      <c r="EN18" s="152"/>
      <c r="EO18" s="152"/>
      <c r="EP18" s="152"/>
      <c r="EQ18" s="152"/>
      <c r="ER18" s="152"/>
    </row>
    <row r="19" ht="5.25" customHeight="1">
      <c r="A19" s="152"/>
      <c r="B19" s="152"/>
      <c r="C19" s="152"/>
      <c r="D19" s="152"/>
      <c r="E19" s="152"/>
      <c r="F19" s="152"/>
      <c r="G19" s="152"/>
      <c r="H19" s="152"/>
      <c r="I19" s="152"/>
      <c r="J19" s="152"/>
      <c r="K19" s="152"/>
      <c r="L19" s="152"/>
      <c r="Q19" s="152"/>
      <c r="R19" s="10"/>
      <c r="X19" s="189"/>
      <c r="BB19" s="189"/>
      <c r="BK19" s="189"/>
      <c r="BT19" s="189"/>
      <c r="CC19" s="189"/>
      <c r="CI19" s="189"/>
      <c r="CJ19" s="10"/>
      <c r="CR19" s="11"/>
      <c r="CS19" s="10"/>
      <c r="DA19" s="11"/>
      <c r="DB19" s="10"/>
      <c r="DJ19" s="11"/>
      <c r="DK19" s="10"/>
      <c r="DS19" s="11"/>
      <c r="DT19" s="10"/>
      <c r="EB19" s="11"/>
      <c r="EC19" s="152"/>
      <c r="ED19" s="152"/>
      <c r="EE19" s="152"/>
      <c r="EF19" s="152"/>
      <c r="EG19" s="152"/>
      <c r="EH19" s="152"/>
      <c r="EI19" s="152"/>
      <c r="EJ19" s="152"/>
      <c r="EK19" s="152"/>
      <c r="EL19" s="152"/>
      <c r="EM19" s="152"/>
      <c r="EN19" s="152"/>
      <c r="EO19" s="152"/>
      <c r="EP19" s="152"/>
      <c r="EQ19" s="152"/>
      <c r="ER19" s="152"/>
    </row>
    <row r="20" ht="5.25" customHeight="1">
      <c r="A20" s="152"/>
      <c r="B20" s="152"/>
      <c r="C20" s="152"/>
      <c r="D20" s="152"/>
      <c r="E20" s="152"/>
      <c r="F20" s="152"/>
      <c r="G20" s="152"/>
      <c r="H20" s="152"/>
      <c r="I20" s="152"/>
      <c r="J20" s="152"/>
      <c r="K20" s="152"/>
      <c r="L20" s="152"/>
      <c r="Q20" s="152"/>
      <c r="R20" s="10"/>
      <c r="X20" s="189"/>
      <c r="BB20" s="189"/>
      <c r="BK20" s="189"/>
      <c r="BT20" s="189"/>
      <c r="CC20" s="189"/>
      <c r="CI20" s="189"/>
      <c r="CJ20" s="10"/>
      <c r="CR20" s="11"/>
      <c r="CS20" s="10"/>
      <c r="DA20" s="11"/>
      <c r="DB20" s="10"/>
      <c r="DJ20" s="11"/>
      <c r="DK20" s="10"/>
      <c r="DS20" s="11"/>
      <c r="DT20" s="10"/>
      <c r="EB20" s="11"/>
      <c r="EC20" s="152"/>
      <c r="ED20" s="152"/>
      <c r="EE20" s="152"/>
      <c r="EF20" s="152"/>
      <c r="EG20" s="152"/>
      <c r="EH20" s="152"/>
      <c r="EI20" s="152"/>
      <c r="EJ20" s="152"/>
      <c r="EK20" s="152"/>
      <c r="EL20" s="152"/>
      <c r="EM20" s="152"/>
      <c r="EN20" s="152"/>
      <c r="EO20" s="152"/>
      <c r="EP20" s="152"/>
      <c r="EQ20" s="152"/>
      <c r="ER20" s="152"/>
    </row>
    <row r="21" ht="5.25" customHeight="1">
      <c r="A21" s="152"/>
      <c r="B21" s="152"/>
      <c r="C21" s="152"/>
      <c r="D21" s="152"/>
      <c r="E21" s="152"/>
      <c r="F21" s="152"/>
      <c r="G21" s="152"/>
      <c r="H21" s="152"/>
      <c r="I21" s="152"/>
      <c r="J21" s="152"/>
      <c r="K21" s="152"/>
      <c r="L21" s="152"/>
      <c r="Q21" s="152"/>
      <c r="R21" s="10"/>
      <c r="X21" s="189"/>
      <c r="BB21" s="189"/>
      <c r="BK21" s="189"/>
      <c r="BT21" s="189"/>
      <c r="CC21" s="189"/>
      <c r="CI21" s="189"/>
      <c r="CJ21" s="10"/>
      <c r="CR21" s="11"/>
      <c r="CS21" s="10"/>
      <c r="DA21" s="11"/>
      <c r="DB21" s="10"/>
      <c r="DJ21" s="11"/>
      <c r="DK21" s="10"/>
      <c r="DS21" s="11"/>
      <c r="DT21" s="10"/>
      <c r="EB21" s="11"/>
      <c r="EC21" s="152"/>
      <c r="ED21" s="152"/>
      <c r="EE21" s="152"/>
      <c r="EF21" s="152"/>
      <c r="EG21" s="152"/>
      <c r="EH21" s="152"/>
      <c r="EI21" s="152"/>
      <c r="EJ21" s="152"/>
      <c r="EK21" s="152"/>
      <c r="EL21" s="152"/>
      <c r="EM21" s="152"/>
      <c r="EN21" s="152"/>
      <c r="EO21" s="152"/>
      <c r="EP21" s="152"/>
      <c r="EQ21" s="152"/>
      <c r="ER21" s="152"/>
    </row>
    <row r="22" ht="5.25" customHeight="1">
      <c r="A22" s="152"/>
      <c r="B22" s="152"/>
      <c r="C22" s="152"/>
      <c r="D22" s="152"/>
      <c r="E22" s="152"/>
      <c r="F22" s="152"/>
      <c r="G22" s="152"/>
      <c r="H22" s="152"/>
      <c r="I22" s="152"/>
      <c r="J22" s="152"/>
      <c r="K22" s="152"/>
      <c r="L22" s="152"/>
      <c r="Q22" s="152"/>
      <c r="R22" s="10"/>
      <c r="X22" s="189"/>
      <c r="BB22" s="189"/>
      <c r="BK22" s="189"/>
      <c r="BT22" s="189"/>
      <c r="CC22" s="189"/>
      <c r="CI22" s="189"/>
      <c r="CJ22" s="195" t="str">
        <f t="array" ref="CJ22">xlookup($Y18,qualdata!$N$2:$N$17,xlookup("r1gw",qualdata!$P$1:$BR$1,qualdata!$P$2:$BR$17))&amp;"-"&amp;xlookup($Y18,qualdata!$N$2:$N$17,xlookup("r1gl",qualdata!$P$1:$BR$1,qualdata!$P$2:$BR$17))</f>
        <v>-</v>
      </c>
      <c r="CN22" s="196"/>
      <c r="CO22" s="196">
        <f t="array" ref="CO22">if(xlookup($Y18,qualdata!$N$2:$N$17,xlookup("r1rd",qualdata!$P$1:$BR$1,qualdata!$P$2:$BR$17))&gt;0,"+"&amp;xlookup($Y18,qualdata!$N$2:$N$17,xlookup("r1rd",qualdata!$P$1:$BR$1,qualdata!$P$2:$BR$17)),xlookup($Y18,qualdata!$N$2:$N$17,xlookup("r1rd",qualdata!$P$1:$BR$1,qualdata!$P$2:$BR$17)))</f>
        <v>0</v>
      </c>
      <c r="CR22" s="11"/>
      <c r="CS22" s="195" t="str">
        <f t="array" ref="CS22">xlookup($Y18,qualdata!$N$2:$N$17,xlookup("r2gw",qualdata!$P$1:$BR$1,qualdata!$P$2:$BR$17))&amp;"-"&amp;xlookup($Y18,qualdata!$N$2:$N$17,xlookup("r2gl",qualdata!$P$1:$BR$1,qualdata!$P$2:$BR$17))</f>
        <v>-</v>
      </c>
      <c r="CW22" s="196"/>
      <c r="CX22" s="196">
        <f t="array" ref="CX22">if(xlookup($Y18,qualdata!$N$2:$N$17,xlookup("r2rd",qualdata!$P$1:$BR$1,qualdata!$P$2:$BR$17))&gt;0,"+"&amp;xlookup($Y18,qualdata!$N$2:$N$17,xlookup("r2rd",qualdata!$P$1:$BR$1,qualdata!$P$2:$BR$17)),xlookup($Y18,qualdata!$N$2:$N$17,xlookup("r2rd",qualdata!$P$1:$BR$1,qualdata!$P$2:$BR$17)))</f>
        <v>0</v>
      </c>
      <c r="DA22" s="11"/>
      <c r="DB22" s="195" t="str">
        <f t="array" ref="DB22">xlookup($Y18,qualdata!$N$2:$N$17,xlookup("r3gw",qualdata!$P$1:$BR$1,qualdata!$P$2:$BR$17))&amp;"-"&amp;xlookup($Y18,qualdata!$N$2:$N$17,xlookup("r3gl",qualdata!$P$1:$BR$1,qualdata!$P$2:$BR$17))</f>
        <v>-</v>
      </c>
      <c r="DF22" s="196"/>
      <c r="DG22" s="196">
        <f t="array" ref="DG22">if(xlookup($Y18,qualdata!$N$2:$N$17,xlookup("r3rd",qualdata!$P$1:$BR$1,qualdata!$P$2:$BR$17))&gt;0,"+"&amp;xlookup($Y18,qualdata!$N$2:$N$17,xlookup("r3rd",qualdata!$P$1:$BR$1,qualdata!$P$2:$BR$17)),xlookup($Y18,qualdata!$N$2:$N$17,xlookup("r3rd",qualdata!$P$1:$BR$1,qualdata!$P$2:$BR$17)))</f>
        <v>0</v>
      </c>
      <c r="DJ22" s="11"/>
      <c r="DK22" s="195"/>
      <c r="DO22" s="196"/>
      <c r="DP22" s="196"/>
      <c r="DS22" s="11"/>
      <c r="DT22" s="195"/>
      <c r="DX22" s="196"/>
      <c r="DY22" s="196"/>
      <c r="EB22" s="11"/>
      <c r="EC22" s="152"/>
      <c r="ED22" s="152"/>
      <c r="EE22" s="152"/>
      <c r="EF22" s="152"/>
      <c r="EG22" s="152"/>
      <c r="EH22" s="152"/>
      <c r="EI22" s="152"/>
      <c r="EJ22" s="152"/>
      <c r="EK22" s="152"/>
      <c r="EL22" s="152"/>
      <c r="EM22" s="152"/>
      <c r="EN22" s="152"/>
      <c r="EO22" s="152"/>
      <c r="EP22" s="152"/>
      <c r="EQ22" s="152"/>
      <c r="ER22" s="152"/>
    </row>
    <row r="23" ht="5.25" customHeight="1">
      <c r="A23" s="152"/>
      <c r="B23" s="152"/>
      <c r="C23" s="152"/>
      <c r="D23" s="152"/>
      <c r="E23" s="152"/>
      <c r="F23" s="152"/>
      <c r="G23" s="152"/>
      <c r="H23" s="152"/>
      <c r="I23" s="152"/>
      <c r="J23" s="152"/>
      <c r="K23" s="152"/>
      <c r="L23" s="152"/>
      <c r="Q23" s="152"/>
      <c r="R23" s="10"/>
      <c r="X23" s="189"/>
      <c r="BB23" s="189"/>
      <c r="BK23" s="189"/>
      <c r="BT23" s="189"/>
      <c r="CC23" s="189"/>
      <c r="CI23" s="189"/>
      <c r="CJ23" s="10"/>
      <c r="CR23" s="11"/>
      <c r="CS23" s="10"/>
      <c r="DA23" s="11"/>
      <c r="DB23" s="10"/>
      <c r="DJ23" s="11"/>
      <c r="DK23" s="10"/>
      <c r="DS23" s="11"/>
      <c r="DT23" s="10"/>
      <c r="EB23" s="11"/>
      <c r="EC23" s="152"/>
      <c r="ED23" s="152"/>
      <c r="EE23" s="152"/>
      <c r="EF23" s="152"/>
      <c r="EG23" s="152"/>
      <c r="EH23" s="152"/>
      <c r="EI23" s="152"/>
      <c r="EJ23" s="152"/>
      <c r="EK23" s="152"/>
      <c r="EL23" s="152"/>
      <c r="EM23" s="152"/>
      <c r="EN23" s="152"/>
      <c r="EO23" s="152"/>
      <c r="EP23" s="152"/>
      <c r="EQ23" s="152"/>
      <c r="ER23" s="152"/>
    </row>
    <row r="24" ht="5.25" customHeight="1">
      <c r="A24" s="152"/>
      <c r="B24" s="152"/>
      <c r="C24" s="152"/>
      <c r="D24" s="152"/>
      <c r="E24" s="152"/>
      <c r="F24" s="152"/>
      <c r="G24" s="152"/>
      <c r="H24" s="152"/>
      <c r="I24" s="152"/>
      <c r="J24" s="152"/>
      <c r="K24" s="152"/>
      <c r="L24" s="152"/>
      <c r="Q24" s="152"/>
      <c r="R24" s="197"/>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c r="BA24" s="198"/>
      <c r="BB24" s="198"/>
      <c r="BC24" s="198"/>
      <c r="BD24" s="198"/>
      <c r="BE24" s="198"/>
      <c r="BF24" s="198"/>
      <c r="BG24" s="198"/>
      <c r="BH24" s="198"/>
      <c r="BI24" s="198"/>
      <c r="BJ24" s="198"/>
      <c r="BK24" s="198"/>
      <c r="BL24" s="198"/>
      <c r="BM24" s="198"/>
      <c r="BN24" s="198"/>
      <c r="BO24" s="198"/>
      <c r="BP24" s="198"/>
      <c r="BQ24" s="198"/>
      <c r="BR24" s="198"/>
      <c r="BS24" s="198"/>
      <c r="BT24" s="198"/>
      <c r="BU24" s="198"/>
      <c r="BV24" s="198"/>
      <c r="BW24" s="198"/>
      <c r="BX24" s="198"/>
      <c r="BY24" s="198"/>
      <c r="BZ24" s="198"/>
      <c r="CA24" s="198"/>
      <c r="CB24" s="198"/>
      <c r="CC24" s="198"/>
      <c r="CD24" s="198"/>
      <c r="CE24" s="198"/>
      <c r="CF24" s="198"/>
      <c r="CG24" s="198"/>
      <c r="CH24" s="198"/>
      <c r="CI24" s="198"/>
      <c r="CJ24" s="12"/>
      <c r="CK24" s="13"/>
      <c r="CL24" s="13"/>
      <c r="CM24" s="13"/>
      <c r="CN24" s="13"/>
      <c r="CO24" s="13"/>
      <c r="CP24" s="13"/>
      <c r="CQ24" s="13"/>
      <c r="CR24" s="14"/>
      <c r="CS24" s="12"/>
      <c r="CT24" s="13"/>
      <c r="CU24" s="13"/>
      <c r="CV24" s="13"/>
      <c r="CW24" s="13"/>
      <c r="CX24" s="13"/>
      <c r="CY24" s="13"/>
      <c r="CZ24" s="13"/>
      <c r="DA24" s="14"/>
      <c r="DB24" s="12"/>
      <c r="DC24" s="13"/>
      <c r="DD24" s="13"/>
      <c r="DE24" s="13"/>
      <c r="DF24" s="13"/>
      <c r="DG24" s="13"/>
      <c r="DH24" s="13"/>
      <c r="DI24" s="13"/>
      <c r="DJ24" s="14"/>
      <c r="DK24" s="12"/>
      <c r="DL24" s="13"/>
      <c r="DM24" s="13"/>
      <c r="DN24" s="13"/>
      <c r="DO24" s="13"/>
      <c r="DP24" s="13"/>
      <c r="DQ24" s="13"/>
      <c r="DR24" s="13"/>
      <c r="DS24" s="14"/>
      <c r="DT24" s="12"/>
      <c r="DU24" s="13"/>
      <c r="DV24" s="13"/>
      <c r="DW24" s="13"/>
      <c r="DX24" s="13"/>
      <c r="DY24" s="13"/>
      <c r="DZ24" s="13"/>
      <c r="EA24" s="13"/>
      <c r="EB24" s="14"/>
      <c r="EC24" s="152"/>
      <c r="ED24" s="152"/>
      <c r="EE24" s="152"/>
      <c r="EF24" s="152"/>
      <c r="EG24" s="152"/>
      <c r="EH24" s="152"/>
      <c r="EI24" s="152"/>
      <c r="EJ24" s="152"/>
      <c r="EK24" s="152"/>
      <c r="EL24" s="152"/>
      <c r="EM24" s="152"/>
      <c r="EN24" s="152"/>
      <c r="EO24" s="152"/>
      <c r="EP24" s="152"/>
      <c r="EQ24" s="152"/>
      <c r="ER24" s="152"/>
    </row>
    <row r="25" ht="5.25" customHeight="1">
      <c r="A25" s="152"/>
      <c r="B25" s="152"/>
      <c r="C25" s="152"/>
      <c r="D25" s="152"/>
      <c r="E25" s="152"/>
      <c r="F25" s="152"/>
      <c r="G25" s="152"/>
      <c r="H25" s="152"/>
      <c r="I25" s="152"/>
      <c r="J25" s="152"/>
      <c r="K25" s="152"/>
      <c r="L25" s="152"/>
      <c r="M25" s="177" t="str">
        <f>Q25&amp;"."</f>
        <v>3.</v>
      </c>
      <c r="Q25" s="181">
        <v>3.0</v>
      </c>
      <c r="R25" s="182"/>
      <c r="S25" s="183"/>
      <c r="T25" s="183"/>
      <c r="U25" s="183"/>
      <c r="V25" s="183"/>
      <c r="W25" s="183"/>
      <c r="X25" s="183"/>
      <c r="Y25" s="183"/>
      <c r="Z25" s="183"/>
      <c r="AA25" s="183"/>
      <c r="AB25" s="183"/>
      <c r="AC25" s="183"/>
      <c r="AD25" s="183"/>
      <c r="AE25" s="183"/>
      <c r="AF25" s="183"/>
      <c r="AG25" s="183"/>
      <c r="AH25" s="183"/>
      <c r="AI25" s="183"/>
      <c r="AJ25" s="183"/>
      <c r="AK25" s="183"/>
      <c r="AL25" s="183"/>
      <c r="AM25" s="183"/>
      <c r="AN25" s="183"/>
      <c r="AO25" s="183"/>
      <c r="AP25" s="183"/>
      <c r="AQ25" s="183"/>
      <c r="AR25" s="183"/>
      <c r="AS25" s="183"/>
      <c r="AT25" s="183"/>
      <c r="AU25" s="183"/>
      <c r="AV25" s="183"/>
      <c r="AW25" s="183"/>
      <c r="AX25" s="183"/>
      <c r="AY25" s="183"/>
      <c r="AZ25" s="183"/>
      <c r="BA25" s="183"/>
      <c r="BB25" s="183"/>
      <c r="BC25" s="183"/>
      <c r="BD25" s="183"/>
      <c r="BE25" s="183"/>
      <c r="BF25" s="183"/>
      <c r="BG25" s="183"/>
      <c r="BH25" s="183"/>
      <c r="BI25" s="183"/>
      <c r="BJ25" s="183"/>
      <c r="BK25" s="183"/>
      <c r="BL25" s="183"/>
      <c r="BM25" s="183"/>
      <c r="BN25" s="183"/>
      <c r="BO25" s="183"/>
      <c r="BP25" s="183"/>
      <c r="BQ25" s="183"/>
      <c r="BR25" s="183"/>
      <c r="BS25" s="183"/>
      <c r="BT25" s="183"/>
      <c r="BU25" s="183"/>
      <c r="BV25" s="183"/>
      <c r="BW25" s="183"/>
      <c r="BX25" s="183"/>
      <c r="BY25" s="183"/>
      <c r="BZ25" s="183"/>
      <c r="CA25" s="183"/>
      <c r="CB25" s="183"/>
      <c r="CC25" s="183"/>
      <c r="CD25" s="183"/>
      <c r="CE25" s="183"/>
      <c r="CF25" s="183"/>
      <c r="CG25" s="183"/>
      <c r="CH25" s="183"/>
      <c r="CI25" s="183"/>
      <c r="CJ25" s="185" t="str">
        <f t="array" ref="CJ25">xlookup($Y26,qualdata!$N$2:$N$17,xlookup("r1Ser",qualdata!$P$1:$BR$1,qualdata!$P$2:$BR$17,""))</f>
        <v/>
      </c>
      <c r="CK25" s="8"/>
      <c r="CL25" s="186" t="str">
        <f t="array" ref="CL25">xlookup(xlookup($Y26,qualdata!$N$2:$N$17,xlookup("r1op",qualdata!$P$1:$BR$1,qualdata!$P$2:$BR$17,"")),qualdata!$M$2:$M$17,qualdata!$O$2:$O$17,"")</f>
        <v/>
      </c>
      <c r="CM25" s="8"/>
      <c r="CN25" s="8"/>
      <c r="CO25" s="8"/>
      <c r="CP25" s="8"/>
      <c r="CQ25" s="187"/>
      <c r="CR25" s="9"/>
      <c r="CS25" s="185" t="str">
        <f t="array" ref="CS25">xlookup($Y26,qualdata!$N$2:$N$17,xlookup("r2Ser",qualdata!$P$1:$BR$1,qualdata!$P$2:$BR$17,""))</f>
        <v/>
      </c>
      <c r="CT25" s="8"/>
      <c r="CU25" s="186" t="str">
        <f t="array" ref="CU25">xlookup(xlookup($Y26,qualdata!$N$2:$N$17,xlookup("r2op",qualdata!$P$1:$BR$1,qualdata!$P$2:$BR$17,"")),qualdata!$M$2:$M$17,qualdata!$O$2:$O$17,"")</f>
        <v/>
      </c>
      <c r="CV25" s="8"/>
      <c r="CW25" s="8"/>
      <c r="CX25" s="8"/>
      <c r="CY25" s="8"/>
      <c r="CZ25" s="187"/>
      <c r="DA25" s="9"/>
      <c r="DB25" s="185" t="str">
        <f t="array" ref="DB25">xlookup($Y26,qualdata!$N$2:$N$17,xlookup("r3Ser",qualdata!$P$1:$BR$1,qualdata!$P$2:$BR$17,""))</f>
        <v/>
      </c>
      <c r="DC25" s="8"/>
      <c r="DD25" s="186" t="str">
        <f t="array" ref="DD25">xlookup(xlookup($Y26,qualdata!$N$2:$N$17,xlookup("r3op",qualdata!$P$1:$BR$1,qualdata!$P$2:$BR$17,"")),qualdata!$M$2:$M$17,qualdata!$O$2:$O$17,"")</f>
        <v/>
      </c>
      <c r="DE25" s="8"/>
      <c r="DF25" s="8"/>
      <c r="DG25" s="8"/>
      <c r="DH25" s="8"/>
      <c r="DI25" s="187"/>
      <c r="DJ25" s="9"/>
      <c r="DK25" s="185" t="str">
        <f t="array" ref="DK25">xlookup($Y26,qualdata!$N$2:$N$17,xlookup("r4Ser",qualdata!$P$1:$BR$1,qualdata!$P$2:$BR$17,""))</f>
        <v/>
      </c>
      <c r="DL25" s="8"/>
      <c r="DM25" s="186" t="str">
        <f t="array" ref="DM25">xlookup(xlookup($Y26,qualdata!$N$2:$N$17,xlookup("r4op",qualdata!$P$1:$BR$1,qualdata!$P$2:$BR$17,"")),qualdata!$M$2:$M$17,qualdata!$O$2:$O$17,"")</f>
        <v/>
      </c>
      <c r="DN25" s="8"/>
      <c r="DO25" s="8"/>
      <c r="DP25" s="8"/>
      <c r="DQ25" s="8"/>
      <c r="DR25" s="187"/>
      <c r="DS25" s="9"/>
      <c r="DT25" s="185" t="str">
        <f t="array" ref="DT25">xlookup($Y26,qualdata!$N$2:$N$17,xlookup("r5Ser",qualdata!$P$1:$BR$1,qualdata!$P$2:$BR$17,""))</f>
        <v/>
      </c>
      <c r="DU25" s="8"/>
      <c r="DV25" s="186" t="str">
        <f t="array" ref="DV25">xlookup(xlookup($Y26,qualdata!$N$2:$N$17,xlookup("r5op",qualdata!$P$1:$BR$1,qualdata!$P$2:$BR$17,"")),qualdata!$M$2:$M$17,qualdata!$O$2:$O$17,"")</f>
        <v/>
      </c>
      <c r="DW25" s="8"/>
      <c r="DX25" s="8"/>
      <c r="DY25" s="8"/>
      <c r="DZ25" s="8"/>
      <c r="EA25" s="187"/>
      <c r="EB25" s="9"/>
      <c r="EC25" s="152"/>
      <c r="ED25" s="152"/>
      <c r="EE25" s="152"/>
      <c r="EF25" s="152"/>
      <c r="EG25" s="152"/>
      <c r="EH25" s="152"/>
      <c r="EI25" s="152"/>
      <c r="EJ25" s="152"/>
      <c r="EK25" s="152"/>
      <c r="EL25" s="152"/>
      <c r="EM25" s="152"/>
      <c r="EN25" s="152"/>
      <c r="EO25" s="152"/>
      <c r="EP25" s="152"/>
      <c r="EQ25" s="152"/>
      <c r="ER25" s="152"/>
    </row>
    <row r="26" ht="5.25" customHeight="1">
      <c r="A26" s="152"/>
      <c r="B26" s="152"/>
      <c r="C26" s="152"/>
      <c r="D26" s="152"/>
      <c r="E26" s="152"/>
      <c r="F26" s="152"/>
      <c r="G26" s="152"/>
      <c r="H26" s="152"/>
      <c r="I26" s="152"/>
      <c r="J26" s="152"/>
      <c r="K26" s="152"/>
      <c r="L26" s="152"/>
      <c r="Q26" s="152"/>
      <c r="R26" s="188" t="str">
        <f t="array" ref="R26">xlookup(Y26,qualdata!$N$2:$N$17,qualdata!$O$2:$O$17,"")</f>
        <v/>
      </c>
      <c r="X26" s="189"/>
      <c r="Y26" s="190" t="str">
        <f t="array" ref="Y26">xlookup(Q25,qualdata!$G$24:$G$39,qualdata!$A$24:$A$39,"")</f>
        <v>Team 3 (Group 1)</v>
      </c>
      <c r="BB26" s="189"/>
      <c r="BC26" s="191" t="str">
        <f t="array" ref="BC26">xlookup(Y26,qualdata!$A$24:$A$39,qualdata!$B$24:$B$39,"")</f>
        <v>0-0</v>
      </c>
      <c r="BK26" s="189"/>
      <c r="BL26" s="192" t="str">
        <f t="array" ref="BL26">xlookup(Y26,qualdata!$A$24:$A$39,qualdata!$C$24:$C$39,"")</f>
        <v>0-0</v>
      </c>
      <c r="BT26" s="189"/>
      <c r="BU26" s="193" t="str">
        <f t="array" ref="BU26">xlookup(Y26,qualdata!$A$24:$A$39,qualdata!$D$24:$D$39,"")</f>
        <v>0-0</v>
      </c>
      <c r="CC26" s="189"/>
      <c r="CD26" s="193">
        <f t="array" ref="CD26">xlookup(Y26,qualdata!$A$24:$A$39,qualdata!$F$24:$F$39,"")</f>
        <v>0</v>
      </c>
      <c r="CI26" s="189"/>
      <c r="CJ26" s="10"/>
      <c r="CR26" s="11"/>
      <c r="CS26" s="10"/>
      <c r="DA26" s="11"/>
      <c r="DB26" s="10"/>
      <c r="DJ26" s="11"/>
      <c r="DK26" s="10"/>
      <c r="DS26" s="11"/>
      <c r="DT26" s="10"/>
      <c r="EB26" s="11"/>
      <c r="EC26" s="152"/>
      <c r="ED26" s="152"/>
      <c r="EE26" s="152"/>
      <c r="EF26" s="152"/>
      <c r="EG26" s="152"/>
      <c r="EH26" s="152"/>
      <c r="EI26" s="152"/>
      <c r="EJ26" s="152"/>
      <c r="EK26" s="152"/>
      <c r="EL26" s="152"/>
      <c r="EM26" s="152"/>
      <c r="EN26" s="152"/>
      <c r="EO26" s="152"/>
      <c r="EP26" s="152"/>
      <c r="EQ26" s="152"/>
      <c r="ER26" s="152"/>
    </row>
    <row r="27" ht="5.25" customHeight="1">
      <c r="A27" s="152"/>
      <c r="B27" s="152"/>
      <c r="C27" s="152"/>
      <c r="D27" s="152"/>
      <c r="E27" s="152"/>
      <c r="F27" s="152"/>
      <c r="G27" s="152"/>
      <c r="H27" s="152"/>
      <c r="I27" s="152"/>
      <c r="J27" s="152"/>
      <c r="K27" s="152"/>
      <c r="L27" s="152"/>
      <c r="Q27" s="152"/>
      <c r="R27" s="10"/>
      <c r="X27" s="189"/>
      <c r="BB27" s="189"/>
      <c r="BK27" s="189"/>
      <c r="BT27" s="189"/>
      <c r="CC27" s="189"/>
      <c r="CI27" s="189"/>
      <c r="CJ27" s="10"/>
      <c r="CR27" s="11"/>
      <c r="CS27" s="10"/>
      <c r="DA27" s="11"/>
      <c r="DB27" s="10"/>
      <c r="DJ27" s="11"/>
      <c r="DK27" s="10"/>
      <c r="DS27" s="11"/>
      <c r="DT27" s="10"/>
      <c r="EB27" s="11"/>
      <c r="EC27" s="152"/>
      <c r="ED27" s="152"/>
      <c r="EE27" s="152"/>
      <c r="EF27" s="152"/>
      <c r="EG27" s="152"/>
      <c r="EH27" s="152"/>
      <c r="EI27" s="152"/>
      <c r="EJ27" s="152"/>
      <c r="EK27" s="152"/>
      <c r="EL27" s="152"/>
      <c r="EM27" s="152"/>
      <c r="EN27" s="152"/>
      <c r="EO27" s="152"/>
      <c r="EP27" s="152"/>
      <c r="EQ27" s="152"/>
      <c r="ER27" s="152"/>
    </row>
    <row r="28" ht="5.25" customHeight="1">
      <c r="A28" s="152"/>
      <c r="B28" s="152"/>
      <c r="C28" s="152"/>
      <c r="D28" s="152"/>
      <c r="E28" s="152"/>
      <c r="F28" s="152"/>
      <c r="G28" s="152"/>
      <c r="H28" s="152"/>
      <c r="I28" s="152"/>
      <c r="J28" s="152"/>
      <c r="K28" s="152"/>
      <c r="L28" s="152"/>
      <c r="Q28" s="152"/>
      <c r="R28" s="10"/>
      <c r="X28" s="189"/>
      <c r="BB28" s="189"/>
      <c r="BK28" s="189"/>
      <c r="BT28" s="189"/>
      <c r="CC28" s="189"/>
      <c r="CI28" s="189"/>
      <c r="CJ28" s="10"/>
      <c r="CR28" s="11"/>
      <c r="CS28" s="10"/>
      <c r="DA28" s="11"/>
      <c r="DB28" s="10"/>
      <c r="DJ28" s="11"/>
      <c r="DK28" s="10"/>
      <c r="DS28" s="11"/>
      <c r="DT28" s="10"/>
      <c r="EB28" s="11"/>
      <c r="EC28" s="152"/>
      <c r="ED28" s="152"/>
      <c r="EE28" s="152"/>
      <c r="EF28" s="152"/>
      <c r="EG28" s="152"/>
      <c r="EH28" s="152"/>
      <c r="EI28" s="152"/>
      <c r="EJ28" s="152"/>
      <c r="EK28" s="152"/>
      <c r="EL28" s="152"/>
      <c r="EM28" s="152"/>
      <c r="EN28" s="152"/>
      <c r="EO28" s="152"/>
      <c r="EP28" s="152"/>
      <c r="EQ28" s="152"/>
      <c r="ER28" s="152"/>
    </row>
    <row r="29" ht="5.25" customHeight="1">
      <c r="A29" s="152"/>
      <c r="B29" s="152"/>
      <c r="C29" s="152"/>
      <c r="D29" s="152"/>
      <c r="E29" s="152"/>
      <c r="F29" s="152"/>
      <c r="G29" s="152"/>
      <c r="H29" s="152"/>
      <c r="I29" s="152"/>
      <c r="J29" s="152"/>
      <c r="K29" s="152"/>
      <c r="L29" s="152"/>
      <c r="Q29" s="152"/>
      <c r="R29" s="10"/>
      <c r="X29" s="189"/>
      <c r="BB29" s="189"/>
      <c r="BK29" s="189"/>
      <c r="BT29" s="189"/>
      <c r="CC29" s="189"/>
      <c r="CI29" s="189"/>
      <c r="CJ29" s="10"/>
      <c r="CR29" s="11"/>
      <c r="CS29" s="10"/>
      <c r="DA29" s="11"/>
      <c r="DB29" s="10"/>
      <c r="DJ29" s="11"/>
      <c r="DK29" s="10"/>
      <c r="DS29" s="11"/>
      <c r="DT29" s="10"/>
      <c r="EB29" s="11"/>
      <c r="EC29" s="152"/>
      <c r="ED29" s="152"/>
      <c r="EE29" s="152"/>
      <c r="EF29" s="152"/>
      <c r="EG29" s="152"/>
      <c r="EH29" s="152"/>
      <c r="EI29" s="152"/>
      <c r="EJ29" s="152"/>
      <c r="EK29" s="152"/>
      <c r="EL29" s="152"/>
      <c r="EM29" s="152"/>
      <c r="EN29" s="152"/>
      <c r="EO29" s="152"/>
      <c r="EP29" s="152"/>
      <c r="EQ29" s="152"/>
      <c r="ER29" s="152"/>
    </row>
    <row r="30" ht="5.25" customHeight="1">
      <c r="A30" s="152"/>
      <c r="B30" s="152"/>
      <c r="C30" s="152"/>
      <c r="D30" s="152"/>
      <c r="E30" s="152"/>
      <c r="F30" s="152"/>
      <c r="G30" s="152"/>
      <c r="H30" s="152"/>
      <c r="I30" s="152"/>
      <c r="J30" s="152"/>
      <c r="K30" s="152"/>
      <c r="L30" s="152"/>
      <c r="Q30" s="152"/>
      <c r="R30" s="10"/>
      <c r="X30" s="189"/>
      <c r="BB30" s="189"/>
      <c r="BK30" s="189"/>
      <c r="BT30" s="189"/>
      <c r="CC30" s="189"/>
      <c r="CI30" s="189"/>
      <c r="CJ30" s="195" t="str">
        <f t="array" ref="CJ30">xlookup($Y26,qualdata!$N$2:$N$17,xlookup("r1gw",qualdata!$P$1:$BR$1,qualdata!$P$2:$BR$17))&amp;"-"&amp;xlookup($Y26,qualdata!$N$2:$N$17,xlookup("r1gl",qualdata!$P$1:$BR$1,qualdata!$P$2:$BR$17))</f>
        <v>-</v>
      </c>
      <c r="CN30" s="196"/>
      <c r="CO30" s="196">
        <f t="array" ref="CO30">if(xlookup($Y26,qualdata!$N$2:$N$17,xlookup("r1rd",qualdata!$P$1:$BR$1,qualdata!$P$2:$BR$17))&gt;0,"+"&amp;xlookup($Y26,qualdata!$N$2:$N$17,xlookup("r1rd",qualdata!$P$1:$BR$1,qualdata!$P$2:$BR$17)),xlookup($Y26,qualdata!$N$2:$N$17,xlookup("r1rd",qualdata!$P$1:$BR$1,qualdata!$P$2:$BR$17)))</f>
        <v>0</v>
      </c>
      <c r="CR30" s="11"/>
      <c r="CS30" s="195" t="str">
        <f t="array" ref="CS30">xlookup($Y26,qualdata!$N$2:$N$17,xlookup("r2gw",qualdata!$P$1:$BR$1,qualdata!$P$2:$BR$17))&amp;"-"&amp;xlookup($Y26,qualdata!$N$2:$N$17,xlookup("r2gl",qualdata!$P$1:$BR$1,qualdata!$P$2:$BR$17))</f>
        <v>-</v>
      </c>
      <c r="CW30" s="196"/>
      <c r="CX30" s="196">
        <f t="array" ref="CX30">if(xlookup($Y26,qualdata!$N$2:$N$17,xlookup("r2rd",qualdata!$P$1:$BR$1,qualdata!$P$2:$BR$17))&gt;0,"+"&amp;xlookup($Y26,qualdata!$N$2:$N$17,xlookup("r2rd",qualdata!$P$1:$BR$1,qualdata!$P$2:$BR$17)),xlookup($Y26,qualdata!$N$2:$N$17,xlookup("r2rd",qualdata!$P$1:$BR$1,qualdata!$P$2:$BR$17)))</f>
        <v>0</v>
      </c>
      <c r="DA30" s="11"/>
      <c r="DB30" s="195" t="str">
        <f t="array" ref="DB30">xlookup($Y26,qualdata!$N$2:$N$17,xlookup("r3gw",qualdata!$P$1:$BR$1,qualdata!$P$2:$BR$17))&amp;"-"&amp;xlookup($Y26,qualdata!$N$2:$N$17,xlookup("r3gl",qualdata!$P$1:$BR$1,qualdata!$P$2:$BR$17))</f>
        <v>-</v>
      </c>
      <c r="DF30" s="196"/>
      <c r="DG30" s="196">
        <f t="array" ref="DG30">if(xlookup($Y26,qualdata!$N$2:$N$17,xlookup("r3rd",qualdata!$P$1:$BR$1,qualdata!$P$2:$BR$17))&gt;0,"+"&amp;xlookup($Y26,qualdata!$N$2:$N$17,xlookup("r3rd",qualdata!$P$1:$BR$1,qualdata!$P$2:$BR$17)),xlookup($Y26,qualdata!$N$2:$N$17,xlookup("r3rd",qualdata!$P$1:$BR$1,qualdata!$P$2:$BR$17)))</f>
        <v>0</v>
      </c>
      <c r="DJ30" s="11"/>
      <c r="DK30" s="195" t="str">
        <f t="array" ref="DK30">xlookup($Y26,qualdata!$N$2:$N$17,xlookup("r4gw",qualdata!$P$1:$BR$1,qualdata!$P$2:$BR$17))&amp;"-"&amp;xlookup($Y26,qualdata!$N$2:$N$17,xlookup("r4gl",qualdata!$P$1:$BR$1,qualdata!$P$2:$BR$17))</f>
        <v>-</v>
      </c>
      <c r="DO30" s="196"/>
      <c r="DP30" s="196">
        <f t="array" ref="DP30">if(xlookup($Y26,qualdata!$N$2:$N$17,xlookup("r4rd",qualdata!$P$1:$BR$1,qualdata!$P$2:$BR$17))&gt;0,"+"&amp;xlookup($Y26,qualdata!$N$2:$N$17,xlookup("r4rd",qualdata!$P$1:$BR$1,qualdata!$P$2:$BR$17)),xlookup($Y26,qualdata!$N$2:$N$17,xlookup("r4rd",qualdata!$P$1:$BR$1,qualdata!$P$2:$BR$17)))</f>
        <v>0</v>
      </c>
      <c r="DS30" s="11"/>
      <c r="DT30" s="195"/>
      <c r="DX30" s="196"/>
      <c r="DY30" s="196"/>
      <c r="EB30" s="11"/>
      <c r="EC30" s="152"/>
      <c r="ED30" s="152"/>
      <c r="EE30" s="152"/>
      <c r="EF30" s="152"/>
      <c r="EG30" s="152"/>
      <c r="EH30" s="152"/>
      <c r="EI30" s="152"/>
      <c r="EJ30" s="152"/>
      <c r="EK30" s="152"/>
      <c r="EL30" s="152"/>
      <c r="EM30" s="152"/>
      <c r="EN30" s="152"/>
      <c r="EO30" s="152"/>
      <c r="EP30" s="152"/>
      <c r="EQ30" s="152"/>
      <c r="ER30" s="152"/>
    </row>
    <row r="31" ht="5.25" customHeight="1">
      <c r="A31" s="152"/>
      <c r="B31" s="152"/>
      <c r="C31" s="152"/>
      <c r="D31" s="152"/>
      <c r="E31" s="152"/>
      <c r="F31" s="152"/>
      <c r="G31" s="152"/>
      <c r="H31" s="152"/>
      <c r="I31" s="152"/>
      <c r="J31" s="152"/>
      <c r="K31" s="152"/>
      <c r="L31" s="152"/>
      <c r="Q31" s="152"/>
      <c r="R31" s="10"/>
      <c r="X31" s="189"/>
      <c r="BB31" s="189"/>
      <c r="BK31" s="189"/>
      <c r="BT31" s="189"/>
      <c r="CC31" s="189"/>
      <c r="CI31" s="189"/>
      <c r="CJ31" s="10"/>
      <c r="CR31" s="11"/>
      <c r="CS31" s="10"/>
      <c r="DA31" s="11"/>
      <c r="DB31" s="10"/>
      <c r="DJ31" s="11"/>
      <c r="DK31" s="10"/>
      <c r="DS31" s="11"/>
      <c r="DT31" s="10"/>
      <c r="EB31" s="11"/>
      <c r="EC31" s="152"/>
      <c r="ED31" s="152"/>
      <c r="EE31" s="152"/>
      <c r="EF31" s="152"/>
      <c r="EG31" s="152"/>
      <c r="EH31" s="152"/>
      <c r="EI31" s="152"/>
      <c r="EJ31" s="152"/>
      <c r="EK31" s="152"/>
      <c r="EL31" s="152"/>
      <c r="EM31" s="152"/>
      <c r="EN31" s="152"/>
      <c r="EO31" s="152"/>
      <c r="EP31" s="152"/>
      <c r="EQ31" s="152"/>
      <c r="ER31" s="152"/>
    </row>
    <row r="32" ht="5.25" customHeight="1">
      <c r="A32" s="152"/>
      <c r="B32" s="152"/>
      <c r="C32" s="152"/>
      <c r="D32" s="152"/>
      <c r="E32" s="152"/>
      <c r="F32" s="152"/>
      <c r="G32" s="152"/>
      <c r="H32" s="152"/>
      <c r="I32" s="152"/>
      <c r="J32" s="152"/>
      <c r="K32" s="152"/>
      <c r="L32" s="152"/>
      <c r="Q32" s="152"/>
      <c r="R32" s="197"/>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98"/>
      <c r="AW32" s="198"/>
      <c r="AX32" s="198"/>
      <c r="AY32" s="198"/>
      <c r="AZ32" s="198"/>
      <c r="BA32" s="198"/>
      <c r="BB32" s="198"/>
      <c r="BC32" s="198"/>
      <c r="BD32" s="198"/>
      <c r="BE32" s="198"/>
      <c r="BF32" s="198"/>
      <c r="BG32" s="198"/>
      <c r="BH32" s="198"/>
      <c r="BI32" s="198"/>
      <c r="BJ32" s="198"/>
      <c r="BK32" s="198"/>
      <c r="BL32" s="198"/>
      <c r="BM32" s="198"/>
      <c r="BN32" s="198"/>
      <c r="BO32" s="198"/>
      <c r="BP32" s="198"/>
      <c r="BQ32" s="198"/>
      <c r="BR32" s="198"/>
      <c r="BS32" s="198"/>
      <c r="BT32" s="198"/>
      <c r="BU32" s="198"/>
      <c r="BV32" s="198"/>
      <c r="BW32" s="198"/>
      <c r="BX32" s="198"/>
      <c r="BY32" s="198"/>
      <c r="BZ32" s="198"/>
      <c r="CA32" s="198"/>
      <c r="CB32" s="198"/>
      <c r="CC32" s="198"/>
      <c r="CD32" s="198"/>
      <c r="CE32" s="198"/>
      <c r="CF32" s="198"/>
      <c r="CG32" s="198"/>
      <c r="CH32" s="198"/>
      <c r="CI32" s="198"/>
      <c r="CJ32" s="12"/>
      <c r="CK32" s="13"/>
      <c r="CL32" s="13"/>
      <c r="CM32" s="13"/>
      <c r="CN32" s="13"/>
      <c r="CO32" s="13"/>
      <c r="CP32" s="13"/>
      <c r="CQ32" s="13"/>
      <c r="CR32" s="14"/>
      <c r="CS32" s="12"/>
      <c r="CT32" s="13"/>
      <c r="CU32" s="13"/>
      <c r="CV32" s="13"/>
      <c r="CW32" s="13"/>
      <c r="CX32" s="13"/>
      <c r="CY32" s="13"/>
      <c r="CZ32" s="13"/>
      <c r="DA32" s="14"/>
      <c r="DB32" s="12"/>
      <c r="DC32" s="13"/>
      <c r="DD32" s="13"/>
      <c r="DE32" s="13"/>
      <c r="DF32" s="13"/>
      <c r="DG32" s="13"/>
      <c r="DH32" s="13"/>
      <c r="DI32" s="13"/>
      <c r="DJ32" s="14"/>
      <c r="DK32" s="12"/>
      <c r="DL32" s="13"/>
      <c r="DM32" s="13"/>
      <c r="DN32" s="13"/>
      <c r="DO32" s="13"/>
      <c r="DP32" s="13"/>
      <c r="DQ32" s="13"/>
      <c r="DR32" s="13"/>
      <c r="DS32" s="14"/>
      <c r="DT32" s="12"/>
      <c r="DU32" s="13"/>
      <c r="DV32" s="13"/>
      <c r="DW32" s="13"/>
      <c r="DX32" s="13"/>
      <c r="DY32" s="13"/>
      <c r="DZ32" s="13"/>
      <c r="EA32" s="13"/>
      <c r="EB32" s="14"/>
      <c r="EC32" s="152"/>
      <c r="ED32" s="152"/>
      <c r="EE32" s="152"/>
      <c r="EF32" s="152"/>
      <c r="EG32" s="152"/>
      <c r="EH32" s="152"/>
      <c r="EI32" s="152"/>
      <c r="EJ32" s="152"/>
      <c r="EK32" s="152"/>
      <c r="EL32" s="152"/>
      <c r="EM32" s="152"/>
      <c r="EN32" s="152"/>
      <c r="EO32" s="152"/>
      <c r="EP32" s="152"/>
      <c r="EQ32" s="152"/>
      <c r="ER32" s="152"/>
    </row>
    <row r="33" ht="5.25" customHeight="1">
      <c r="A33" s="152"/>
      <c r="B33" s="152"/>
      <c r="C33" s="152"/>
      <c r="D33" s="152"/>
      <c r="E33" s="152"/>
      <c r="F33" s="152"/>
      <c r="G33" s="152"/>
      <c r="H33" s="152"/>
      <c r="I33" s="152"/>
      <c r="J33" s="152"/>
      <c r="K33" s="152"/>
      <c r="L33" s="152"/>
      <c r="M33" s="177" t="str">
        <f>Q33&amp;"."</f>
        <v>4.</v>
      </c>
      <c r="Q33" s="181">
        <v>4.0</v>
      </c>
      <c r="R33" s="182"/>
      <c r="S33" s="183"/>
      <c r="T33" s="183"/>
      <c r="U33" s="183"/>
      <c r="V33" s="183"/>
      <c r="W33" s="183"/>
      <c r="X33" s="183"/>
      <c r="Y33" s="183"/>
      <c r="Z33" s="183"/>
      <c r="AA33" s="183"/>
      <c r="AB33" s="183"/>
      <c r="AC33" s="183"/>
      <c r="AD33" s="183"/>
      <c r="AE33" s="183"/>
      <c r="AF33" s="183"/>
      <c r="AG33" s="183"/>
      <c r="AH33" s="183"/>
      <c r="AI33" s="183"/>
      <c r="AJ33" s="183"/>
      <c r="AK33" s="183"/>
      <c r="AL33" s="183"/>
      <c r="AM33" s="183"/>
      <c r="AN33" s="183"/>
      <c r="AO33" s="183"/>
      <c r="AP33" s="183"/>
      <c r="AQ33" s="183"/>
      <c r="AR33" s="183"/>
      <c r="AS33" s="183"/>
      <c r="AT33" s="183"/>
      <c r="AU33" s="183"/>
      <c r="AV33" s="183"/>
      <c r="AW33" s="183"/>
      <c r="AX33" s="183"/>
      <c r="AY33" s="183"/>
      <c r="AZ33" s="183"/>
      <c r="BA33" s="183"/>
      <c r="BB33" s="183"/>
      <c r="BC33" s="183"/>
      <c r="BD33" s="183"/>
      <c r="BE33" s="183"/>
      <c r="BF33" s="183"/>
      <c r="BG33" s="183"/>
      <c r="BH33" s="183"/>
      <c r="BI33" s="183"/>
      <c r="BJ33" s="183"/>
      <c r="BK33" s="183"/>
      <c r="BL33" s="183"/>
      <c r="BM33" s="183"/>
      <c r="BN33" s="183"/>
      <c r="BO33" s="183"/>
      <c r="BP33" s="183"/>
      <c r="BQ33" s="183"/>
      <c r="BR33" s="183"/>
      <c r="BS33" s="183"/>
      <c r="BT33" s="183"/>
      <c r="BU33" s="183"/>
      <c r="BV33" s="183"/>
      <c r="BW33" s="183"/>
      <c r="BX33" s="183"/>
      <c r="BY33" s="183"/>
      <c r="BZ33" s="183"/>
      <c r="CA33" s="183"/>
      <c r="CB33" s="183"/>
      <c r="CC33" s="183"/>
      <c r="CD33" s="183"/>
      <c r="CE33" s="183"/>
      <c r="CF33" s="183"/>
      <c r="CG33" s="183"/>
      <c r="CH33" s="183"/>
      <c r="CI33" s="183"/>
      <c r="CJ33" s="185" t="str">
        <f t="array" ref="CJ33">xlookup($Y34,qualdata!$N$2:$N$17,xlookup("r1Ser",qualdata!$P$1:$BR$1,qualdata!$P$2:$BR$17,""))</f>
        <v/>
      </c>
      <c r="CK33" s="8"/>
      <c r="CL33" s="186" t="str">
        <f t="array" ref="CL33">xlookup(xlookup($Y34,qualdata!$N$2:$N$17,xlookup("r1op",qualdata!$P$1:$BR$1,qualdata!$P$2:$BR$17,"")),qualdata!$M$2:$M$17,qualdata!$O$2:$O$17,"")</f>
        <v/>
      </c>
      <c r="CM33" s="8"/>
      <c r="CN33" s="8"/>
      <c r="CO33" s="8"/>
      <c r="CP33" s="8"/>
      <c r="CQ33" s="187"/>
      <c r="CR33" s="9"/>
      <c r="CS33" s="185" t="str">
        <f t="array" ref="CS33">xlookup($Y34,qualdata!$N$2:$N$17,xlookup("r2Ser",qualdata!$P$1:$BR$1,qualdata!$P$2:$BR$17,""))</f>
        <v/>
      </c>
      <c r="CT33" s="8"/>
      <c r="CU33" s="186" t="str">
        <f t="array" ref="CU33">xlookup(xlookup($Y34,qualdata!$N$2:$N$17,xlookup("r2op",qualdata!$P$1:$BR$1,qualdata!$P$2:$BR$17,"")),qualdata!$M$2:$M$17,qualdata!$O$2:$O$17,"")</f>
        <v/>
      </c>
      <c r="CV33" s="8"/>
      <c r="CW33" s="8"/>
      <c r="CX33" s="8"/>
      <c r="CY33" s="8"/>
      <c r="CZ33" s="187"/>
      <c r="DA33" s="9"/>
      <c r="DB33" s="185" t="str">
        <f t="array" ref="DB33">xlookup($Y34,qualdata!$N$2:$N$17,xlookup("r3Ser",qualdata!$P$1:$BR$1,qualdata!$P$2:$BR$17,""))</f>
        <v/>
      </c>
      <c r="DC33" s="8"/>
      <c r="DD33" s="186" t="str">
        <f t="array" ref="DD33">xlookup(xlookup($Y34,qualdata!$N$2:$N$17,xlookup("r3op",qualdata!$P$1:$BR$1,qualdata!$P$2:$BR$17,"")),qualdata!$M$2:$M$17,qualdata!$O$2:$O$17,"")</f>
        <v/>
      </c>
      <c r="DE33" s="8"/>
      <c r="DF33" s="8"/>
      <c r="DG33" s="8"/>
      <c r="DH33" s="8"/>
      <c r="DI33" s="187"/>
      <c r="DJ33" s="9"/>
      <c r="DK33" s="185" t="str">
        <f t="array" ref="DK33">xlookup($Y34,qualdata!$N$2:$N$17,xlookup("r4Ser",qualdata!$P$1:$BR$1,qualdata!$P$2:$BR$17,""))</f>
        <v/>
      </c>
      <c r="DL33" s="8"/>
      <c r="DM33" s="186" t="str">
        <f t="array" ref="DM33">xlookup(xlookup($Y34,qualdata!$N$2:$N$17,xlookup("r4op",qualdata!$P$1:$BR$1,qualdata!$P$2:$BR$17,"")),qualdata!$M$2:$M$17,qualdata!$O$2:$O$17,"")</f>
        <v/>
      </c>
      <c r="DN33" s="8"/>
      <c r="DO33" s="8"/>
      <c r="DP33" s="8"/>
      <c r="DQ33" s="8"/>
      <c r="DR33" s="187"/>
      <c r="DS33" s="9"/>
      <c r="DT33" s="185" t="str">
        <f t="array" ref="DT33">xlookup($Y34,qualdata!$N$2:$N$17,xlookup("r5Ser",qualdata!$P$1:$BR$1,qualdata!$P$2:$BR$17,""))</f>
        <v/>
      </c>
      <c r="DU33" s="8"/>
      <c r="DV33" s="186" t="str">
        <f t="array" ref="DV33">xlookup(xlookup($Y34,qualdata!$N$2:$N$17,xlookup("r5op",qualdata!$P$1:$BR$1,qualdata!$P$2:$BR$17,"")),qualdata!$M$2:$M$17,qualdata!$O$2:$O$17,"")</f>
        <v/>
      </c>
      <c r="DW33" s="8"/>
      <c r="DX33" s="8"/>
      <c r="DY33" s="8"/>
      <c r="DZ33" s="8"/>
      <c r="EA33" s="187"/>
      <c r="EB33" s="9"/>
      <c r="EC33" s="152"/>
      <c r="ED33" s="152"/>
      <c r="EE33" s="152"/>
      <c r="EF33" s="152"/>
      <c r="EG33" s="152"/>
      <c r="EH33" s="152"/>
      <c r="EI33" s="152"/>
      <c r="EJ33" s="152"/>
      <c r="EK33" s="152"/>
      <c r="EL33" s="152"/>
      <c r="EM33" s="152"/>
      <c r="EN33" s="152"/>
      <c r="EO33" s="152"/>
      <c r="EP33" s="152"/>
      <c r="EQ33" s="152"/>
      <c r="ER33" s="152"/>
    </row>
    <row r="34" ht="5.25" customHeight="1">
      <c r="A34" s="152"/>
      <c r="B34" s="152"/>
      <c r="C34" s="152"/>
      <c r="D34" s="152"/>
      <c r="E34" s="152"/>
      <c r="F34" s="152"/>
      <c r="G34" s="152"/>
      <c r="H34" s="152"/>
      <c r="I34" s="152"/>
      <c r="J34" s="152"/>
      <c r="K34" s="152"/>
      <c r="L34" s="152"/>
      <c r="Q34" s="152"/>
      <c r="R34" s="188" t="str">
        <f t="array" ref="R34">xlookup(Y34,qualdata!$N$2:$N$17,qualdata!$O$2:$O$17,"")</f>
        <v/>
      </c>
      <c r="X34" s="189"/>
      <c r="Y34" s="190" t="str">
        <f t="array" ref="Y34">xlookup(Q33,qualdata!$G$24:$G$39,qualdata!$A$24:$A$39,"")</f>
        <v>Team 4 (Group 1)</v>
      </c>
      <c r="BB34" s="189"/>
      <c r="BC34" s="191" t="str">
        <f t="array" ref="BC34">xlookup(Y34,qualdata!$A$24:$A$39,qualdata!$B$24:$B$39,"")</f>
        <v>0-0</v>
      </c>
      <c r="BK34" s="189"/>
      <c r="BL34" s="192" t="str">
        <f t="array" ref="BL34">xlookup(Y34,qualdata!$A$24:$A$39,qualdata!$C$24:$C$39,"")</f>
        <v>0-0</v>
      </c>
      <c r="BT34" s="189"/>
      <c r="BU34" s="193" t="str">
        <f t="array" ref="BU34">xlookup(Y34,qualdata!$A$24:$A$39,qualdata!$D$24:$D$39,"")</f>
        <v>0-0</v>
      </c>
      <c r="CC34" s="189"/>
      <c r="CD34" s="193">
        <f t="array" ref="CD34">xlookup(Y34,qualdata!$A$24:$A$39,qualdata!$F$24:$F$39,"")</f>
        <v>0</v>
      </c>
      <c r="CI34" s="189"/>
      <c r="CJ34" s="10"/>
      <c r="CR34" s="11"/>
      <c r="CS34" s="10"/>
      <c r="DA34" s="11"/>
      <c r="DB34" s="10"/>
      <c r="DJ34" s="11"/>
      <c r="DK34" s="10"/>
      <c r="DS34" s="11"/>
      <c r="DT34" s="10"/>
      <c r="EB34" s="11"/>
      <c r="EC34" s="152"/>
      <c r="ED34" s="152"/>
      <c r="EE34" s="152"/>
      <c r="EF34" s="152"/>
      <c r="EG34" s="152"/>
      <c r="EH34" s="152"/>
      <c r="EI34" s="152"/>
      <c r="EJ34" s="152"/>
      <c r="EK34" s="152"/>
      <c r="EL34" s="152"/>
      <c r="EM34" s="152"/>
      <c r="EN34" s="152"/>
      <c r="EO34" s="152"/>
      <c r="EP34" s="152"/>
      <c r="EQ34" s="152"/>
      <c r="ER34" s="152"/>
    </row>
    <row r="35" ht="5.25" customHeight="1">
      <c r="A35" s="152"/>
      <c r="B35" s="152"/>
      <c r="C35" s="152"/>
      <c r="D35" s="152"/>
      <c r="E35" s="152"/>
      <c r="F35" s="152"/>
      <c r="G35" s="152"/>
      <c r="H35" s="152"/>
      <c r="I35" s="152"/>
      <c r="J35" s="152"/>
      <c r="K35" s="152"/>
      <c r="L35" s="152"/>
      <c r="Q35" s="152"/>
      <c r="R35" s="10"/>
      <c r="X35" s="189"/>
      <c r="BB35" s="189"/>
      <c r="BK35" s="189"/>
      <c r="BT35" s="189"/>
      <c r="CC35" s="189"/>
      <c r="CI35" s="189"/>
      <c r="CJ35" s="10"/>
      <c r="CR35" s="11"/>
      <c r="CS35" s="10"/>
      <c r="DA35" s="11"/>
      <c r="DB35" s="10"/>
      <c r="DJ35" s="11"/>
      <c r="DK35" s="10"/>
      <c r="DS35" s="11"/>
      <c r="DT35" s="10"/>
      <c r="EB35" s="11"/>
      <c r="EC35" s="152"/>
      <c r="ED35" s="152"/>
      <c r="EE35" s="152"/>
      <c r="EF35" s="152"/>
      <c r="EG35" s="152"/>
      <c r="EH35" s="152"/>
      <c r="EI35" s="152"/>
      <c r="EJ35" s="152"/>
      <c r="EK35" s="152"/>
      <c r="EL35" s="152"/>
      <c r="EM35" s="152"/>
      <c r="EN35" s="152"/>
      <c r="EO35" s="152"/>
      <c r="EP35" s="152"/>
      <c r="EQ35" s="152"/>
      <c r="ER35" s="152"/>
    </row>
    <row r="36" ht="5.25" customHeight="1">
      <c r="A36" s="152"/>
      <c r="B36" s="152"/>
      <c r="C36" s="152"/>
      <c r="D36" s="152"/>
      <c r="E36" s="152"/>
      <c r="F36" s="152"/>
      <c r="G36" s="152"/>
      <c r="H36" s="152"/>
      <c r="I36" s="152"/>
      <c r="J36" s="152"/>
      <c r="K36" s="152"/>
      <c r="L36" s="152"/>
      <c r="Q36" s="152"/>
      <c r="R36" s="10"/>
      <c r="X36" s="189"/>
      <c r="BB36" s="189"/>
      <c r="BK36" s="189"/>
      <c r="BT36" s="189"/>
      <c r="CC36" s="189"/>
      <c r="CI36" s="189"/>
      <c r="CJ36" s="10"/>
      <c r="CR36" s="11"/>
      <c r="CS36" s="10"/>
      <c r="DA36" s="11"/>
      <c r="DB36" s="10"/>
      <c r="DJ36" s="11"/>
      <c r="DK36" s="10"/>
      <c r="DS36" s="11"/>
      <c r="DT36" s="10"/>
      <c r="EB36" s="11"/>
      <c r="EC36" s="152"/>
      <c r="ED36" s="152"/>
      <c r="EE36" s="152"/>
      <c r="EF36" s="152"/>
      <c r="EG36" s="152"/>
      <c r="EH36" s="152"/>
      <c r="EI36" s="152"/>
      <c r="EJ36" s="152"/>
      <c r="EK36" s="152"/>
      <c r="EL36" s="152"/>
      <c r="EM36" s="152"/>
      <c r="EN36" s="152"/>
      <c r="EO36" s="152"/>
      <c r="EP36" s="152"/>
      <c r="EQ36" s="152"/>
      <c r="ER36" s="152"/>
    </row>
    <row r="37" ht="5.25" customHeight="1">
      <c r="A37" s="152"/>
      <c r="B37" s="152"/>
      <c r="C37" s="152"/>
      <c r="D37" s="152"/>
      <c r="E37" s="152"/>
      <c r="F37" s="152"/>
      <c r="G37" s="152"/>
      <c r="H37" s="152"/>
      <c r="I37" s="152"/>
      <c r="J37" s="152"/>
      <c r="K37" s="152"/>
      <c r="L37" s="152"/>
      <c r="Q37" s="152"/>
      <c r="R37" s="10"/>
      <c r="X37" s="189"/>
      <c r="BB37" s="189"/>
      <c r="BK37" s="189"/>
      <c r="BT37" s="189"/>
      <c r="CC37" s="189"/>
      <c r="CI37" s="189"/>
      <c r="CJ37" s="10"/>
      <c r="CR37" s="11"/>
      <c r="CS37" s="10"/>
      <c r="DA37" s="11"/>
      <c r="DB37" s="10"/>
      <c r="DJ37" s="11"/>
      <c r="DK37" s="10"/>
      <c r="DS37" s="11"/>
      <c r="DT37" s="10"/>
      <c r="EB37" s="11"/>
      <c r="EC37" s="152"/>
      <c r="ED37" s="152"/>
      <c r="EE37" s="152"/>
      <c r="EF37" s="152"/>
      <c r="EG37" s="152"/>
      <c r="EH37" s="152"/>
      <c r="EI37" s="152"/>
      <c r="EJ37" s="152"/>
      <c r="EK37" s="152"/>
      <c r="EL37" s="152"/>
      <c r="EM37" s="152"/>
      <c r="EN37" s="152"/>
      <c r="EO37" s="152"/>
      <c r="EP37" s="152"/>
      <c r="EQ37" s="152"/>
      <c r="ER37" s="152"/>
    </row>
    <row r="38" ht="5.25" customHeight="1">
      <c r="A38" s="152"/>
      <c r="B38" s="152"/>
      <c r="C38" s="152"/>
      <c r="D38" s="152"/>
      <c r="E38" s="152"/>
      <c r="F38" s="152"/>
      <c r="G38" s="152"/>
      <c r="H38" s="152"/>
      <c r="I38" s="152"/>
      <c r="J38" s="152"/>
      <c r="K38" s="152"/>
      <c r="L38" s="152"/>
      <c r="Q38" s="152"/>
      <c r="R38" s="10"/>
      <c r="X38" s="189"/>
      <c r="BB38" s="189"/>
      <c r="BK38" s="189"/>
      <c r="BT38" s="189"/>
      <c r="CC38" s="189"/>
      <c r="CI38" s="189"/>
      <c r="CJ38" s="195" t="str">
        <f t="array" ref="CJ38">xlookup($Y34,qualdata!$N$2:$N$17,xlookup("r1gw",qualdata!$P$1:$BR$1,qualdata!$P$2:$BR$17))&amp;"-"&amp;xlookup($Y34,qualdata!$N$2:$N$17,xlookup("r1gl",qualdata!$P$1:$BR$1,qualdata!$P$2:$BR$17))</f>
        <v>-</v>
      </c>
      <c r="CN38" s="196"/>
      <c r="CO38" s="196">
        <f t="array" ref="CO38">if(xlookup($Y34,qualdata!$N$2:$N$17,xlookup("r1rd",qualdata!$P$1:$BR$1,qualdata!$P$2:$BR$17))&gt;0,"+"&amp;xlookup($Y34,qualdata!$N$2:$N$17,xlookup("r1rd",qualdata!$P$1:$BR$1,qualdata!$P$2:$BR$17)),xlookup($Y34,qualdata!$N$2:$N$17,xlookup("r1rd",qualdata!$P$1:$BR$1,qualdata!$P$2:$BR$17)))</f>
        <v>0</v>
      </c>
      <c r="CR38" s="11"/>
      <c r="CS38" s="195" t="str">
        <f t="array" ref="CS38">xlookup($Y34,qualdata!$N$2:$N$17,xlookup("r2gw",qualdata!$P$1:$BR$1,qualdata!$P$2:$BR$17))&amp;"-"&amp;xlookup($Y34,qualdata!$N$2:$N$17,xlookup("r2gl",qualdata!$P$1:$BR$1,qualdata!$P$2:$BR$17))</f>
        <v>-</v>
      </c>
      <c r="CW38" s="196"/>
      <c r="CX38" s="196">
        <f t="array" ref="CX38">if(xlookup($Y34,qualdata!$N$2:$N$17,xlookup("r2rd",qualdata!$P$1:$BR$1,qualdata!$P$2:$BR$17))&gt;0,"+"&amp;xlookup($Y34,qualdata!$N$2:$N$17,xlookup("r2rd",qualdata!$P$1:$BR$1,qualdata!$P$2:$BR$17)),xlookup($Y34,qualdata!$N$2:$N$17,xlookup("r2rd",qualdata!$P$1:$BR$1,qualdata!$P$2:$BR$17)))</f>
        <v>0</v>
      </c>
      <c r="DA38" s="11"/>
      <c r="DB38" s="195" t="str">
        <f t="array" ref="DB38">xlookup($Y34,qualdata!$N$2:$N$17,xlookup("r3gw",qualdata!$P$1:$BR$1,qualdata!$P$2:$BR$17))&amp;"-"&amp;xlookup($Y34,qualdata!$N$2:$N$17,xlookup("r3gl",qualdata!$P$1:$BR$1,qualdata!$P$2:$BR$17))</f>
        <v>-</v>
      </c>
      <c r="DF38" s="196"/>
      <c r="DG38" s="196">
        <f t="array" ref="DG38">if(xlookup($Y34,qualdata!$N$2:$N$17,xlookup("r3rd",qualdata!$P$1:$BR$1,qualdata!$P$2:$BR$17))&gt;0,"+"&amp;xlookup($Y34,qualdata!$N$2:$N$17,xlookup("r3rd",qualdata!$P$1:$BR$1,qualdata!$P$2:$BR$17)),xlookup($Y34,qualdata!$N$2:$N$17,xlookup("r3rd",qualdata!$P$1:$BR$1,qualdata!$P$2:$BR$17)))</f>
        <v>0</v>
      </c>
      <c r="DJ38" s="11"/>
      <c r="DK38" s="195" t="str">
        <f t="array" ref="DK38">xlookup($Y34,qualdata!$N$2:$N$17,xlookup("r4gw",qualdata!$P$1:$BR$1,qualdata!$P$2:$BR$17))&amp;"-"&amp;xlookup($Y34,qualdata!$N$2:$N$17,xlookup("r4gl",qualdata!$P$1:$BR$1,qualdata!$P$2:$BR$17))</f>
        <v>-</v>
      </c>
      <c r="DO38" s="196"/>
      <c r="DP38" s="196">
        <f t="array" ref="DP38">if(xlookup($Y34,qualdata!$N$2:$N$17,xlookup("r4rd",qualdata!$P$1:$BR$1,qualdata!$P$2:$BR$17))&gt;0,"+"&amp;xlookup($Y34,qualdata!$N$2:$N$17,xlookup("r4rd",qualdata!$P$1:$BR$1,qualdata!$P$2:$BR$17)),xlookup($Y34,qualdata!$N$2:$N$17,xlookup("r4rd",qualdata!$P$1:$BR$1,qualdata!$P$2:$BR$17)))</f>
        <v>0</v>
      </c>
      <c r="DS38" s="11"/>
      <c r="DT38" s="195"/>
      <c r="DX38" s="196"/>
      <c r="DY38" s="196"/>
      <c r="EB38" s="11"/>
      <c r="EC38" s="152"/>
      <c r="ED38" s="152"/>
      <c r="EE38" s="152"/>
      <c r="EF38" s="152"/>
      <c r="EG38" s="152"/>
      <c r="EH38" s="152"/>
      <c r="EI38" s="152"/>
      <c r="EJ38" s="152"/>
      <c r="EK38" s="152"/>
      <c r="EL38" s="152"/>
      <c r="EM38" s="152"/>
      <c r="EN38" s="152"/>
      <c r="EO38" s="152"/>
      <c r="EP38" s="152"/>
      <c r="EQ38" s="152"/>
      <c r="ER38" s="152"/>
    </row>
    <row r="39" ht="5.25" customHeight="1">
      <c r="A39" s="152"/>
      <c r="B39" s="152"/>
      <c r="C39" s="152"/>
      <c r="D39" s="152"/>
      <c r="E39" s="152"/>
      <c r="F39" s="152"/>
      <c r="G39" s="152"/>
      <c r="H39" s="152"/>
      <c r="I39" s="152"/>
      <c r="J39" s="152"/>
      <c r="K39" s="152"/>
      <c r="L39" s="152"/>
      <c r="Q39" s="152"/>
      <c r="R39" s="10"/>
      <c r="X39" s="189"/>
      <c r="BB39" s="189"/>
      <c r="BK39" s="189"/>
      <c r="BT39" s="189"/>
      <c r="CC39" s="189"/>
      <c r="CI39" s="189"/>
      <c r="CJ39" s="10"/>
      <c r="CR39" s="11"/>
      <c r="CS39" s="10"/>
      <c r="DA39" s="11"/>
      <c r="DB39" s="10"/>
      <c r="DJ39" s="11"/>
      <c r="DK39" s="10"/>
      <c r="DS39" s="11"/>
      <c r="DT39" s="10"/>
      <c r="EB39" s="11"/>
      <c r="EC39" s="152"/>
      <c r="ED39" s="152"/>
      <c r="EE39" s="152"/>
      <c r="EF39" s="152"/>
      <c r="EG39" s="152"/>
      <c r="EH39" s="152"/>
      <c r="EI39" s="152"/>
      <c r="EJ39" s="152"/>
      <c r="EK39" s="152"/>
      <c r="EL39" s="152"/>
      <c r="EM39" s="152"/>
      <c r="EN39" s="152"/>
      <c r="EO39" s="152"/>
      <c r="EP39" s="152"/>
      <c r="EQ39" s="152"/>
      <c r="ER39" s="152"/>
    </row>
    <row r="40" ht="5.25" customHeight="1">
      <c r="A40" s="152"/>
      <c r="B40" s="152"/>
      <c r="C40" s="152"/>
      <c r="D40" s="152"/>
      <c r="E40" s="152"/>
      <c r="F40" s="152"/>
      <c r="G40" s="152"/>
      <c r="H40" s="152"/>
      <c r="I40" s="152"/>
      <c r="J40" s="152"/>
      <c r="K40" s="152"/>
      <c r="L40" s="152"/>
      <c r="Q40" s="152"/>
      <c r="R40" s="197"/>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8"/>
      <c r="AX40" s="198"/>
      <c r="AY40" s="198"/>
      <c r="AZ40" s="198"/>
      <c r="BA40" s="198"/>
      <c r="BB40" s="198"/>
      <c r="BC40" s="198"/>
      <c r="BD40" s="198"/>
      <c r="BE40" s="198"/>
      <c r="BF40" s="198"/>
      <c r="BG40" s="198"/>
      <c r="BH40" s="198"/>
      <c r="BI40" s="198"/>
      <c r="BJ40" s="198"/>
      <c r="BK40" s="198"/>
      <c r="BL40" s="198"/>
      <c r="BM40" s="198"/>
      <c r="BN40" s="198"/>
      <c r="BO40" s="198"/>
      <c r="BP40" s="198"/>
      <c r="BQ40" s="198"/>
      <c r="BR40" s="198"/>
      <c r="BS40" s="198"/>
      <c r="BT40" s="198"/>
      <c r="BU40" s="198"/>
      <c r="BV40" s="198"/>
      <c r="BW40" s="198"/>
      <c r="BX40" s="198"/>
      <c r="BY40" s="198"/>
      <c r="BZ40" s="198"/>
      <c r="CA40" s="198"/>
      <c r="CB40" s="198"/>
      <c r="CC40" s="198"/>
      <c r="CD40" s="198"/>
      <c r="CE40" s="198"/>
      <c r="CF40" s="198"/>
      <c r="CG40" s="198"/>
      <c r="CH40" s="198"/>
      <c r="CI40" s="198"/>
      <c r="CJ40" s="12"/>
      <c r="CK40" s="13"/>
      <c r="CL40" s="13"/>
      <c r="CM40" s="13"/>
      <c r="CN40" s="13"/>
      <c r="CO40" s="13"/>
      <c r="CP40" s="13"/>
      <c r="CQ40" s="13"/>
      <c r="CR40" s="14"/>
      <c r="CS40" s="12"/>
      <c r="CT40" s="13"/>
      <c r="CU40" s="13"/>
      <c r="CV40" s="13"/>
      <c r="CW40" s="13"/>
      <c r="CX40" s="13"/>
      <c r="CY40" s="13"/>
      <c r="CZ40" s="13"/>
      <c r="DA40" s="14"/>
      <c r="DB40" s="12"/>
      <c r="DC40" s="13"/>
      <c r="DD40" s="13"/>
      <c r="DE40" s="13"/>
      <c r="DF40" s="13"/>
      <c r="DG40" s="13"/>
      <c r="DH40" s="13"/>
      <c r="DI40" s="13"/>
      <c r="DJ40" s="14"/>
      <c r="DK40" s="12"/>
      <c r="DL40" s="13"/>
      <c r="DM40" s="13"/>
      <c r="DN40" s="13"/>
      <c r="DO40" s="13"/>
      <c r="DP40" s="13"/>
      <c r="DQ40" s="13"/>
      <c r="DR40" s="13"/>
      <c r="DS40" s="14"/>
      <c r="DT40" s="12"/>
      <c r="DU40" s="13"/>
      <c r="DV40" s="13"/>
      <c r="DW40" s="13"/>
      <c r="DX40" s="13"/>
      <c r="DY40" s="13"/>
      <c r="DZ40" s="13"/>
      <c r="EA40" s="13"/>
      <c r="EB40" s="14"/>
      <c r="EC40" s="152"/>
      <c r="ED40" s="152"/>
      <c r="EE40" s="152"/>
      <c r="EF40" s="152"/>
      <c r="EG40" s="152"/>
      <c r="EH40" s="152"/>
      <c r="EI40" s="152"/>
      <c r="EJ40" s="152"/>
      <c r="EK40" s="152"/>
      <c r="EL40" s="152"/>
      <c r="EM40" s="152"/>
      <c r="EN40" s="152"/>
      <c r="EO40" s="152"/>
      <c r="EP40" s="152"/>
      <c r="EQ40" s="152"/>
      <c r="ER40" s="152"/>
    </row>
    <row r="41" ht="5.25" customHeight="1">
      <c r="A41" s="152"/>
      <c r="B41" s="152"/>
      <c r="C41" s="152"/>
      <c r="D41" s="152"/>
      <c r="E41" s="152"/>
      <c r="F41" s="152"/>
      <c r="G41" s="152"/>
      <c r="H41" s="152"/>
      <c r="I41" s="152"/>
      <c r="J41" s="152"/>
      <c r="K41" s="152"/>
      <c r="L41" s="152"/>
      <c r="M41" s="177" t="str">
        <f>Q41&amp;"."</f>
        <v>5.</v>
      </c>
      <c r="Q41" s="181">
        <v>5.0</v>
      </c>
      <c r="R41" s="182"/>
      <c r="S41" s="183"/>
      <c r="T41" s="183"/>
      <c r="U41" s="183"/>
      <c r="V41" s="183"/>
      <c r="W41" s="183"/>
      <c r="X41" s="183"/>
      <c r="Y41" s="183"/>
      <c r="Z41" s="183"/>
      <c r="AA41" s="183"/>
      <c r="AB41" s="183"/>
      <c r="AC41" s="183"/>
      <c r="AD41" s="183"/>
      <c r="AE41" s="183"/>
      <c r="AF41" s="183"/>
      <c r="AG41" s="183"/>
      <c r="AH41" s="183"/>
      <c r="AI41" s="183"/>
      <c r="AJ41" s="183"/>
      <c r="AK41" s="183"/>
      <c r="AL41" s="183"/>
      <c r="AM41" s="183"/>
      <c r="AN41" s="183"/>
      <c r="AO41" s="183"/>
      <c r="AP41" s="183"/>
      <c r="AQ41" s="183"/>
      <c r="AR41" s="183"/>
      <c r="AS41" s="183"/>
      <c r="AT41" s="183"/>
      <c r="AU41" s="183"/>
      <c r="AV41" s="183"/>
      <c r="AW41" s="183"/>
      <c r="AX41" s="183"/>
      <c r="AY41" s="183"/>
      <c r="AZ41" s="183"/>
      <c r="BA41" s="183"/>
      <c r="BB41" s="183"/>
      <c r="BC41" s="183"/>
      <c r="BD41" s="183"/>
      <c r="BE41" s="183"/>
      <c r="BF41" s="183"/>
      <c r="BG41" s="183"/>
      <c r="BH41" s="183"/>
      <c r="BI41" s="183"/>
      <c r="BJ41" s="183"/>
      <c r="BK41" s="183"/>
      <c r="BL41" s="183"/>
      <c r="BM41" s="183"/>
      <c r="BN41" s="183"/>
      <c r="BO41" s="183"/>
      <c r="BP41" s="183"/>
      <c r="BQ41" s="183"/>
      <c r="BR41" s="183"/>
      <c r="BS41" s="183"/>
      <c r="BT41" s="183"/>
      <c r="BU41" s="183"/>
      <c r="BV41" s="183"/>
      <c r="BW41" s="183"/>
      <c r="BX41" s="183"/>
      <c r="BY41" s="183"/>
      <c r="BZ41" s="183"/>
      <c r="CA41" s="183"/>
      <c r="CB41" s="183"/>
      <c r="CC41" s="183"/>
      <c r="CD41" s="183"/>
      <c r="CE41" s="183"/>
      <c r="CF41" s="183"/>
      <c r="CG41" s="183"/>
      <c r="CH41" s="183"/>
      <c r="CI41" s="183"/>
      <c r="CJ41" s="185" t="str">
        <f t="array" ref="CJ41">xlookup($Y42,qualdata!$N$2:$N$17,xlookup("r1Ser",qualdata!$P$1:$BR$1,qualdata!$P$2:$BR$17,""))</f>
        <v/>
      </c>
      <c r="CK41" s="8"/>
      <c r="CL41" s="186" t="str">
        <f t="array" ref="CL41">xlookup(xlookup($Y42,qualdata!$N$2:$N$17,xlookup("r1op",qualdata!$P$1:$BR$1,qualdata!$P$2:$BR$17,"")),qualdata!$M$2:$M$17,qualdata!$O$2:$O$17,"")</f>
        <v/>
      </c>
      <c r="CM41" s="8"/>
      <c r="CN41" s="8"/>
      <c r="CO41" s="8"/>
      <c r="CP41" s="8"/>
      <c r="CQ41" s="187"/>
      <c r="CR41" s="9"/>
      <c r="CS41" s="185" t="str">
        <f t="array" ref="CS41">xlookup($Y42,qualdata!$N$2:$N$17,xlookup("r2Ser",qualdata!$P$1:$BR$1,qualdata!$P$2:$BR$17,""))</f>
        <v/>
      </c>
      <c r="CT41" s="8"/>
      <c r="CU41" s="186" t="str">
        <f t="array" ref="CU41">xlookup(xlookup($Y42,qualdata!$N$2:$N$17,xlookup("r2op",qualdata!$P$1:$BR$1,qualdata!$P$2:$BR$17,"")),qualdata!$M$2:$M$17,qualdata!$O$2:$O$17,"")</f>
        <v/>
      </c>
      <c r="CV41" s="8"/>
      <c r="CW41" s="8"/>
      <c r="CX41" s="8"/>
      <c r="CY41" s="8"/>
      <c r="CZ41" s="187"/>
      <c r="DA41" s="9"/>
      <c r="DB41" s="185" t="str">
        <f t="array" ref="DB41">xlookup($Y42,qualdata!$N$2:$N$17,xlookup("r3Ser",qualdata!$P$1:$BR$1,qualdata!$P$2:$BR$17,""))</f>
        <v/>
      </c>
      <c r="DC41" s="8"/>
      <c r="DD41" s="186" t="str">
        <f t="array" ref="DD41">xlookup(xlookup($Y42,qualdata!$N$2:$N$17,xlookup("r3op",qualdata!$P$1:$BR$1,qualdata!$P$2:$BR$17,"")),qualdata!$M$2:$M$17,qualdata!$O$2:$O$17,"")</f>
        <v/>
      </c>
      <c r="DE41" s="8"/>
      <c r="DF41" s="8"/>
      <c r="DG41" s="8"/>
      <c r="DH41" s="8"/>
      <c r="DI41" s="187"/>
      <c r="DJ41" s="9"/>
      <c r="DK41" s="185" t="str">
        <f t="array" ref="DK41">xlookup($Y42,qualdata!$N$2:$N$17,xlookup("r4Ser",qualdata!$P$1:$BR$1,qualdata!$P$2:$BR$17,""))</f>
        <v/>
      </c>
      <c r="DL41" s="8"/>
      <c r="DM41" s="186" t="str">
        <f t="array" ref="DM41">xlookup(xlookup($Y42,qualdata!$N$2:$N$17,xlookup("r4op",qualdata!$P$1:$BR$1,qualdata!$P$2:$BR$17,"")),qualdata!$M$2:$M$17,qualdata!$O$2:$O$17,"")</f>
        <v/>
      </c>
      <c r="DN41" s="8"/>
      <c r="DO41" s="8"/>
      <c r="DP41" s="8"/>
      <c r="DQ41" s="8"/>
      <c r="DR41" s="187"/>
      <c r="DS41" s="9"/>
      <c r="DT41" s="185" t="str">
        <f t="array" ref="DT41">xlookup($Y42,qualdata!$N$2:$N$17,xlookup("r5Ser",qualdata!$P$1:$BR$1,qualdata!$P$2:$BR$17,""))</f>
        <v/>
      </c>
      <c r="DU41" s="8"/>
      <c r="DV41" s="186" t="str">
        <f t="array" ref="DV41">xlookup(xlookup($Y42,qualdata!$N$2:$N$17,xlookup("r5op",qualdata!$P$1:$BR$1,qualdata!$P$2:$BR$17,"")),qualdata!$M$2:$M$17,qualdata!$O$2:$O$17,"")</f>
        <v/>
      </c>
      <c r="DW41" s="8"/>
      <c r="DX41" s="8"/>
      <c r="DY41" s="8"/>
      <c r="DZ41" s="8"/>
      <c r="EA41" s="187"/>
      <c r="EB41" s="9"/>
      <c r="EC41" s="152"/>
      <c r="ED41" s="152"/>
      <c r="EE41" s="152"/>
      <c r="EF41" s="152"/>
      <c r="EG41" s="152"/>
      <c r="EH41" s="152"/>
      <c r="EI41" s="152"/>
      <c r="EJ41" s="152"/>
      <c r="EK41" s="152"/>
      <c r="EL41" s="152"/>
      <c r="EM41" s="152"/>
      <c r="EN41" s="152"/>
      <c r="EO41" s="152"/>
      <c r="EP41" s="152"/>
      <c r="EQ41" s="152"/>
      <c r="ER41" s="152"/>
    </row>
    <row r="42" ht="5.25" customHeight="1">
      <c r="A42" s="152"/>
      <c r="B42" s="152"/>
      <c r="C42" s="152"/>
      <c r="D42" s="152"/>
      <c r="E42" s="152"/>
      <c r="F42" s="152"/>
      <c r="G42" s="152"/>
      <c r="H42" s="152"/>
      <c r="I42" s="152"/>
      <c r="J42" s="152"/>
      <c r="K42" s="152"/>
      <c r="L42" s="152"/>
      <c r="Q42" s="152"/>
      <c r="R42" s="188" t="str">
        <f t="array" ref="R42">xlookup(Y42,qualdata!$N$2:$N$17,qualdata!$O$2:$O$17,"")</f>
        <v/>
      </c>
      <c r="X42" s="189"/>
      <c r="Y42" s="190" t="str">
        <f t="array" ref="Y42">xlookup(Q41,qualdata!$G$24:$G$39,qualdata!$A$24:$A$39,"")</f>
        <v>Team 5 (Group 1)</v>
      </c>
      <c r="BB42" s="189"/>
      <c r="BC42" s="191" t="str">
        <f t="array" ref="BC42">xlookup(Y42,qualdata!$A$24:$A$39,qualdata!$B$24:$B$39,"")</f>
        <v>0-0</v>
      </c>
      <c r="BK42" s="189"/>
      <c r="BL42" s="192" t="str">
        <f t="array" ref="BL42">xlookup(Y42,qualdata!$A$24:$A$39,qualdata!$C$24:$C$39,"")</f>
        <v>0-0</v>
      </c>
      <c r="BT42" s="189"/>
      <c r="BU42" s="193" t="str">
        <f t="array" ref="BU42">xlookup(Y42,qualdata!$A$24:$A$39,qualdata!$D$24:$D$39,"")</f>
        <v>0-0</v>
      </c>
      <c r="CC42" s="189"/>
      <c r="CD42" s="193">
        <f t="array" ref="CD42">xlookup(Y42,qualdata!$A$24:$A$39,qualdata!$F$24:$F$39,"")</f>
        <v>0</v>
      </c>
      <c r="CI42" s="189"/>
      <c r="CJ42" s="10"/>
      <c r="CR42" s="11"/>
      <c r="CS42" s="10"/>
      <c r="DA42" s="11"/>
      <c r="DB42" s="10"/>
      <c r="DJ42" s="11"/>
      <c r="DK42" s="10"/>
      <c r="DS42" s="11"/>
      <c r="DT42" s="10"/>
      <c r="EB42" s="11"/>
      <c r="EC42" s="152"/>
      <c r="ED42" s="152"/>
      <c r="EE42" s="152"/>
      <c r="EF42" s="152"/>
      <c r="EG42" s="152"/>
      <c r="EH42" s="152"/>
      <c r="EI42" s="152"/>
      <c r="EJ42" s="152"/>
      <c r="EK42" s="152"/>
      <c r="EL42" s="152"/>
      <c r="EM42" s="152"/>
      <c r="EN42" s="152"/>
      <c r="EO42" s="152"/>
      <c r="EP42" s="152"/>
      <c r="EQ42" s="152"/>
      <c r="ER42" s="152"/>
    </row>
    <row r="43" ht="5.25" customHeight="1">
      <c r="A43" s="152"/>
      <c r="B43" s="152"/>
      <c r="C43" s="152"/>
      <c r="D43" s="152"/>
      <c r="E43" s="152"/>
      <c r="F43" s="152"/>
      <c r="G43" s="152"/>
      <c r="H43" s="152"/>
      <c r="I43" s="152"/>
      <c r="J43" s="152"/>
      <c r="K43" s="152"/>
      <c r="L43" s="152"/>
      <c r="Q43" s="152"/>
      <c r="R43" s="10"/>
      <c r="X43" s="189"/>
      <c r="BB43" s="189"/>
      <c r="BK43" s="189"/>
      <c r="BT43" s="189"/>
      <c r="CC43" s="189"/>
      <c r="CI43" s="189"/>
      <c r="CJ43" s="10"/>
      <c r="CR43" s="11"/>
      <c r="CS43" s="10"/>
      <c r="DA43" s="11"/>
      <c r="DB43" s="10"/>
      <c r="DJ43" s="11"/>
      <c r="DK43" s="10"/>
      <c r="DS43" s="11"/>
      <c r="DT43" s="10"/>
      <c r="EB43" s="11"/>
      <c r="EC43" s="152"/>
      <c r="ED43" s="152"/>
      <c r="EE43" s="152"/>
      <c r="EF43" s="152"/>
      <c r="EG43" s="152"/>
      <c r="EH43" s="152"/>
      <c r="EI43" s="152"/>
      <c r="EJ43" s="152"/>
      <c r="EK43" s="152"/>
      <c r="EL43" s="152"/>
      <c r="EM43" s="152"/>
      <c r="EN43" s="152"/>
      <c r="EO43" s="152"/>
      <c r="EP43" s="152"/>
      <c r="EQ43" s="152"/>
      <c r="ER43" s="152"/>
    </row>
    <row r="44" ht="5.25" customHeight="1">
      <c r="A44" s="152"/>
      <c r="B44" s="152"/>
      <c r="C44" s="152"/>
      <c r="D44" s="152"/>
      <c r="E44" s="152"/>
      <c r="F44" s="152"/>
      <c r="G44" s="152"/>
      <c r="H44" s="152"/>
      <c r="I44" s="152"/>
      <c r="J44" s="152"/>
      <c r="K44" s="152"/>
      <c r="L44" s="152"/>
      <c r="Q44" s="152"/>
      <c r="R44" s="10"/>
      <c r="X44" s="189"/>
      <c r="BB44" s="189"/>
      <c r="BK44" s="189"/>
      <c r="BT44" s="189"/>
      <c r="CC44" s="189"/>
      <c r="CI44" s="189"/>
      <c r="CJ44" s="10"/>
      <c r="CR44" s="11"/>
      <c r="CS44" s="10"/>
      <c r="DA44" s="11"/>
      <c r="DB44" s="10"/>
      <c r="DJ44" s="11"/>
      <c r="DK44" s="10"/>
      <c r="DS44" s="11"/>
      <c r="DT44" s="10"/>
      <c r="EB44" s="11"/>
      <c r="EC44" s="152"/>
      <c r="ED44" s="152"/>
      <c r="EE44" s="152"/>
      <c r="EF44" s="152"/>
      <c r="EG44" s="152"/>
      <c r="EH44" s="152"/>
      <c r="EI44" s="152"/>
      <c r="EJ44" s="152"/>
      <c r="EK44" s="152"/>
      <c r="EL44" s="152"/>
      <c r="EM44" s="152"/>
      <c r="EN44" s="152"/>
      <c r="EO44" s="152"/>
      <c r="EP44" s="152"/>
      <c r="EQ44" s="152"/>
      <c r="ER44" s="152"/>
    </row>
    <row r="45" ht="5.25" customHeight="1">
      <c r="A45" s="152"/>
      <c r="B45" s="152"/>
      <c r="C45" s="152"/>
      <c r="D45" s="152"/>
      <c r="E45" s="152"/>
      <c r="F45" s="152"/>
      <c r="G45" s="152"/>
      <c r="H45" s="152"/>
      <c r="I45" s="152"/>
      <c r="J45" s="152"/>
      <c r="K45" s="152"/>
      <c r="L45" s="152"/>
      <c r="Q45" s="152"/>
      <c r="R45" s="10"/>
      <c r="X45" s="189"/>
      <c r="BB45" s="189"/>
      <c r="BK45" s="189"/>
      <c r="BT45" s="189"/>
      <c r="CC45" s="189"/>
      <c r="CI45" s="189"/>
      <c r="CJ45" s="10"/>
      <c r="CR45" s="11"/>
      <c r="CS45" s="10"/>
      <c r="DA45" s="11"/>
      <c r="DB45" s="10"/>
      <c r="DJ45" s="11"/>
      <c r="DK45" s="10"/>
      <c r="DS45" s="11"/>
      <c r="DT45" s="10"/>
      <c r="EB45" s="11"/>
      <c r="EC45" s="152"/>
      <c r="ED45" s="152"/>
      <c r="EE45" s="152"/>
      <c r="EF45" s="152"/>
      <c r="EG45" s="152"/>
      <c r="EH45" s="152"/>
      <c r="EI45" s="152"/>
      <c r="EJ45" s="152"/>
      <c r="EK45" s="152"/>
      <c r="EL45" s="152"/>
      <c r="EM45" s="152"/>
      <c r="EN45" s="152"/>
      <c r="EO45" s="152"/>
      <c r="EP45" s="152"/>
      <c r="EQ45" s="152"/>
      <c r="ER45" s="152"/>
    </row>
    <row r="46" ht="5.25" customHeight="1">
      <c r="A46" s="152"/>
      <c r="B46" s="152"/>
      <c r="C46" s="152"/>
      <c r="D46" s="152"/>
      <c r="E46" s="152"/>
      <c r="F46" s="152"/>
      <c r="G46" s="152"/>
      <c r="H46" s="152"/>
      <c r="I46" s="152"/>
      <c r="J46" s="152"/>
      <c r="K46" s="152"/>
      <c r="L46" s="152"/>
      <c r="Q46" s="152"/>
      <c r="R46" s="10"/>
      <c r="X46" s="189"/>
      <c r="BB46" s="189"/>
      <c r="BK46" s="189"/>
      <c r="BT46" s="189"/>
      <c r="CC46" s="189"/>
      <c r="CI46" s="189"/>
      <c r="CJ46" s="195" t="str">
        <f t="array" ref="CJ46">xlookup($Y42,qualdata!$N$2:$N$17,xlookup("r1gw",qualdata!$P$1:$BR$1,qualdata!$P$2:$BR$17))&amp;"-"&amp;xlookup($Y42,qualdata!$N$2:$N$17,xlookup("r1gl",qualdata!$P$1:$BR$1,qualdata!$P$2:$BR$17))</f>
        <v>-</v>
      </c>
      <c r="CN46" s="196"/>
      <c r="CO46" s="196">
        <f t="array" ref="CO46">if(xlookup($Y42,qualdata!$N$2:$N$17,xlookup("r1rd",qualdata!$P$1:$BR$1,qualdata!$P$2:$BR$17))&gt;0,"+"&amp;xlookup($Y42,qualdata!$N$2:$N$17,xlookup("r1rd",qualdata!$P$1:$BR$1,qualdata!$P$2:$BR$17)),xlookup($Y42,qualdata!$N$2:$N$17,xlookup("r1rd",qualdata!$P$1:$BR$1,qualdata!$P$2:$BR$17)))</f>
        <v>0</v>
      </c>
      <c r="CR46" s="11"/>
      <c r="CS46" s="195" t="str">
        <f t="array" ref="CS46">xlookup($Y42,qualdata!$N$2:$N$17,xlookup("r2gw",qualdata!$P$1:$BR$1,qualdata!$P$2:$BR$17))&amp;"-"&amp;xlookup($Y42,qualdata!$N$2:$N$17,xlookup("r2gl",qualdata!$P$1:$BR$1,qualdata!$P$2:$BR$17))</f>
        <v>-</v>
      </c>
      <c r="CW46" s="196"/>
      <c r="CX46" s="196">
        <f t="array" ref="CX46">if(xlookup($Y42,qualdata!$N$2:$N$17,xlookup("r2rd",qualdata!$P$1:$BR$1,qualdata!$P$2:$BR$17))&gt;0,"+"&amp;xlookup($Y42,qualdata!$N$2:$N$17,xlookup("r2rd",qualdata!$P$1:$BR$1,qualdata!$P$2:$BR$17)),xlookup($Y42,qualdata!$N$2:$N$17,xlookup("r2rd",qualdata!$P$1:$BR$1,qualdata!$P$2:$BR$17)))</f>
        <v>0</v>
      </c>
      <c r="DA46" s="11"/>
      <c r="DB46" s="195" t="str">
        <f t="array" ref="DB46">xlookup($Y42,qualdata!$N$2:$N$17,xlookup("r3gw",qualdata!$P$1:$BR$1,qualdata!$P$2:$BR$17))&amp;"-"&amp;xlookup($Y42,qualdata!$N$2:$N$17,xlookup("r3gl",qualdata!$P$1:$BR$1,qualdata!$P$2:$BR$17))</f>
        <v>-</v>
      </c>
      <c r="DF46" s="196"/>
      <c r="DG46" s="196">
        <f t="array" ref="DG46">if(xlookup($Y42,qualdata!$N$2:$N$17,xlookup("r3rd",qualdata!$P$1:$BR$1,qualdata!$P$2:$BR$17))&gt;0,"+"&amp;xlookup($Y42,qualdata!$N$2:$N$17,xlookup("r3rd",qualdata!$P$1:$BR$1,qualdata!$P$2:$BR$17)),xlookup($Y42,qualdata!$N$2:$N$17,xlookup("r3rd",qualdata!$P$1:$BR$1,qualdata!$P$2:$BR$17)))</f>
        <v>0</v>
      </c>
      <c r="DJ46" s="11"/>
      <c r="DK46" s="195" t="str">
        <f t="array" ref="DK46">xlookup($Y42,qualdata!$N$2:$N$17,xlookup("r4gw",qualdata!$P$1:$BR$1,qualdata!$P$2:$BR$17))&amp;"-"&amp;xlookup($Y42,qualdata!$N$2:$N$17,xlookup("r4gl",qualdata!$P$1:$BR$1,qualdata!$P$2:$BR$17))</f>
        <v>-</v>
      </c>
      <c r="DO46" s="196"/>
      <c r="DP46" s="196">
        <f t="array" ref="DP46">if(xlookup($Y42,qualdata!$N$2:$N$17,xlookup("r4rd",qualdata!$P$1:$BR$1,qualdata!$P$2:$BR$17))&gt;0,"+"&amp;xlookup($Y42,qualdata!$N$2:$N$17,xlookup("r4rd",qualdata!$P$1:$BR$1,qualdata!$P$2:$BR$17)),xlookup($Y42,qualdata!$N$2:$N$17,xlookup("r4rd",qualdata!$P$1:$BR$1,qualdata!$P$2:$BR$17)))</f>
        <v>0</v>
      </c>
      <c r="DS46" s="11"/>
      <c r="DT46" s="195"/>
      <c r="DX46" s="196"/>
      <c r="DY46" s="196"/>
      <c r="EB46" s="11"/>
      <c r="EC46" s="152"/>
      <c r="ED46" s="152"/>
      <c r="EE46" s="152"/>
      <c r="EF46" s="152"/>
      <c r="EG46" s="152"/>
      <c r="EH46" s="152"/>
      <c r="EI46" s="152"/>
      <c r="EJ46" s="152"/>
      <c r="EK46" s="152"/>
      <c r="EL46" s="152"/>
      <c r="EM46" s="152"/>
      <c r="EN46" s="152"/>
      <c r="EO46" s="152"/>
      <c r="EP46" s="152"/>
      <c r="EQ46" s="152"/>
      <c r="ER46" s="152"/>
    </row>
    <row r="47" ht="5.25" customHeight="1">
      <c r="A47" s="152"/>
      <c r="B47" s="152"/>
      <c r="C47" s="152"/>
      <c r="D47" s="152"/>
      <c r="E47" s="152"/>
      <c r="F47" s="152"/>
      <c r="G47" s="152"/>
      <c r="H47" s="152"/>
      <c r="I47" s="152"/>
      <c r="J47" s="152"/>
      <c r="K47" s="152"/>
      <c r="L47" s="152"/>
      <c r="Q47" s="152"/>
      <c r="R47" s="10"/>
      <c r="X47" s="189"/>
      <c r="BB47" s="189"/>
      <c r="BK47" s="189"/>
      <c r="BT47" s="189"/>
      <c r="CC47" s="189"/>
      <c r="CI47" s="189"/>
      <c r="CJ47" s="10"/>
      <c r="CR47" s="11"/>
      <c r="CS47" s="10"/>
      <c r="DA47" s="11"/>
      <c r="DB47" s="10"/>
      <c r="DJ47" s="11"/>
      <c r="DK47" s="10"/>
      <c r="DS47" s="11"/>
      <c r="DT47" s="10"/>
      <c r="EB47" s="11"/>
      <c r="EC47" s="152"/>
      <c r="ED47" s="152"/>
      <c r="EE47" s="152"/>
      <c r="EF47" s="152"/>
      <c r="EG47" s="152"/>
      <c r="EH47" s="152"/>
      <c r="EI47" s="152"/>
      <c r="EJ47" s="152"/>
      <c r="EK47" s="152"/>
      <c r="EL47" s="152"/>
      <c r="EM47" s="152"/>
      <c r="EN47" s="152"/>
      <c r="EO47" s="152"/>
      <c r="EP47" s="152"/>
      <c r="EQ47" s="152"/>
      <c r="ER47" s="152"/>
    </row>
    <row r="48" ht="5.25" customHeight="1">
      <c r="A48" s="152"/>
      <c r="B48" s="152"/>
      <c r="C48" s="152"/>
      <c r="D48" s="152"/>
      <c r="E48" s="152"/>
      <c r="F48" s="152"/>
      <c r="G48" s="152"/>
      <c r="H48" s="152"/>
      <c r="I48" s="152"/>
      <c r="J48" s="152"/>
      <c r="K48" s="152"/>
      <c r="L48" s="152"/>
      <c r="Q48" s="152"/>
      <c r="R48" s="197"/>
      <c r="S48" s="198"/>
      <c r="T48" s="198"/>
      <c r="U48" s="198"/>
      <c r="V48" s="198"/>
      <c r="W48" s="198"/>
      <c r="X48" s="198"/>
      <c r="Y48" s="198"/>
      <c r="Z48" s="198"/>
      <c r="AA48" s="198"/>
      <c r="AB48" s="198"/>
      <c r="AC48" s="198"/>
      <c r="AD48" s="198"/>
      <c r="AE48" s="198"/>
      <c r="AF48" s="198"/>
      <c r="AG48" s="198"/>
      <c r="AH48" s="198"/>
      <c r="AI48" s="198"/>
      <c r="AJ48" s="198"/>
      <c r="AK48" s="198"/>
      <c r="AL48" s="198"/>
      <c r="AM48" s="198"/>
      <c r="AN48" s="198"/>
      <c r="AO48" s="198"/>
      <c r="AP48" s="198"/>
      <c r="AQ48" s="198"/>
      <c r="AR48" s="198"/>
      <c r="AS48" s="198"/>
      <c r="AT48" s="198"/>
      <c r="AU48" s="198"/>
      <c r="AV48" s="198"/>
      <c r="AW48" s="198"/>
      <c r="AX48" s="198"/>
      <c r="AY48" s="198"/>
      <c r="AZ48" s="198"/>
      <c r="BA48" s="198"/>
      <c r="BB48" s="198"/>
      <c r="BC48" s="198"/>
      <c r="BD48" s="198"/>
      <c r="BE48" s="198"/>
      <c r="BF48" s="198"/>
      <c r="BG48" s="198"/>
      <c r="BH48" s="198"/>
      <c r="BI48" s="198"/>
      <c r="BJ48" s="198"/>
      <c r="BK48" s="198"/>
      <c r="BL48" s="198"/>
      <c r="BM48" s="198"/>
      <c r="BN48" s="198"/>
      <c r="BO48" s="198"/>
      <c r="BP48" s="198"/>
      <c r="BQ48" s="198"/>
      <c r="BR48" s="198"/>
      <c r="BS48" s="198"/>
      <c r="BT48" s="198"/>
      <c r="BU48" s="198"/>
      <c r="BV48" s="198"/>
      <c r="BW48" s="198"/>
      <c r="BX48" s="198"/>
      <c r="BY48" s="198"/>
      <c r="BZ48" s="198"/>
      <c r="CA48" s="198"/>
      <c r="CB48" s="198"/>
      <c r="CC48" s="198"/>
      <c r="CD48" s="198"/>
      <c r="CE48" s="198"/>
      <c r="CF48" s="198"/>
      <c r="CG48" s="198"/>
      <c r="CH48" s="198"/>
      <c r="CI48" s="198"/>
      <c r="CJ48" s="12"/>
      <c r="CK48" s="13"/>
      <c r="CL48" s="13"/>
      <c r="CM48" s="13"/>
      <c r="CN48" s="13"/>
      <c r="CO48" s="13"/>
      <c r="CP48" s="13"/>
      <c r="CQ48" s="13"/>
      <c r="CR48" s="14"/>
      <c r="CS48" s="12"/>
      <c r="CT48" s="13"/>
      <c r="CU48" s="13"/>
      <c r="CV48" s="13"/>
      <c r="CW48" s="13"/>
      <c r="CX48" s="13"/>
      <c r="CY48" s="13"/>
      <c r="CZ48" s="13"/>
      <c r="DA48" s="14"/>
      <c r="DB48" s="12"/>
      <c r="DC48" s="13"/>
      <c r="DD48" s="13"/>
      <c r="DE48" s="13"/>
      <c r="DF48" s="13"/>
      <c r="DG48" s="13"/>
      <c r="DH48" s="13"/>
      <c r="DI48" s="13"/>
      <c r="DJ48" s="14"/>
      <c r="DK48" s="12"/>
      <c r="DL48" s="13"/>
      <c r="DM48" s="13"/>
      <c r="DN48" s="13"/>
      <c r="DO48" s="13"/>
      <c r="DP48" s="13"/>
      <c r="DQ48" s="13"/>
      <c r="DR48" s="13"/>
      <c r="DS48" s="14"/>
      <c r="DT48" s="12"/>
      <c r="DU48" s="13"/>
      <c r="DV48" s="13"/>
      <c r="DW48" s="13"/>
      <c r="DX48" s="13"/>
      <c r="DY48" s="13"/>
      <c r="DZ48" s="13"/>
      <c r="EA48" s="13"/>
      <c r="EB48" s="14"/>
      <c r="EC48" s="152"/>
      <c r="ED48" s="152"/>
      <c r="EE48" s="152"/>
      <c r="EF48" s="152"/>
      <c r="EG48" s="152"/>
      <c r="EH48" s="152"/>
      <c r="EI48" s="152"/>
      <c r="EJ48" s="152"/>
      <c r="EK48" s="152"/>
      <c r="EL48" s="152"/>
      <c r="EM48" s="152"/>
      <c r="EN48" s="152"/>
      <c r="EO48" s="152"/>
      <c r="EP48" s="152"/>
      <c r="EQ48" s="152"/>
      <c r="ER48" s="152"/>
    </row>
    <row r="49" ht="5.25" customHeight="1">
      <c r="A49" s="152"/>
      <c r="B49" s="152"/>
      <c r="C49" s="152"/>
      <c r="D49" s="152"/>
      <c r="E49" s="152"/>
      <c r="F49" s="152"/>
      <c r="G49" s="152"/>
      <c r="H49" s="152"/>
      <c r="I49" s="152"/>
      <c r="J49" s="152"/>
      <c r="K49" s="152"/>
      <c r="L49" s="152"/>
      <c r="M49" s="177" t="str">
        <f>Q49&amp;"."</f>
        <v>6.</v>
      </c>
      <c r="Q49" s="181">
        <v>6.0</v>
      </c>
      <c r="R49" s="182"/>
      <c r="S49" s="183"/>
      <c r="T49" s="183"/>
      <c r="U49" s="183"/>
      <c r="V49" s="183"/>
      <c r="W49" s="183"/>
      <c r="X49" s="183"/>
      <c r="Y49" s="183"/>
      <c r="Z49" s="183"/>
      <c r="AA49" s="183"/>
      <c r="AB49" s="183"/>
      <c r="AC49" s="183"/>
      <c r="AD49" s="183"/>
      <c r="AE49" s="183"/>
      <c r="AF49" s="183"/>
      <c r="AG49" s="183"/>
      <c r="AH49" s="183"/>
      <c r="AI49" s="183"/>
      <c r="AJ49" s="183"/>
      <c r="AK49" s="183"/>
      <c r="AL49" s="183"/>
      <c r="AM49" s="183"/>
      <c r="AN49" s="183"/>
      <c r="AO49" s="183"/>
      <c r="AP49" s="183"/>
      <c r="AQ49" s="183"/>
      <c r="AR49" s="183"/>
      <c r="AS49" s="183"/>
      <c r="AT49" s="183"/>
      <c r="AU49" s="183"/>
      <c r="AV49" s="183"/>
      <c r="AW49" s="183"/>
      <c r="AX49" s="183"/>
      <c r="AY49" s="183"/>
      <c r="AZ49" s="183"/>
      <c r="BA49" s="183"/>
      <c r="BB49" s="183"/>
      <c r="BC49" s="183"/>
      <c r="BD49" s="183"/>
      <c r="BE49" s="183"/>
      <c r="BF49" s="183"/>
      <c r="BG49" s="183"/>
      <c r="BH49" s="183"/>
      <c r="BI49" s="183"/>
      <c r="BJ49" s="183"/>
      <c r="BK49" s="183"/>
      <c r="BL49" s="183"/>
      <c r="BM49" s="183"/>
      <c r="BN49" s="183"/>
      <c r="BO49" s="183"/>
      <c r="BP49" s="183"/>
      <c r="BQ49" s="183"/>
      <c r="BR49" s="183"/>
      <c r="BS49" s="183"/>
      <c r="BT49" s="183"/>
      <c r="BU49" s="183"/>
      <c r="BV49" s="183"/>
      <c r="BW49" s="183"/>
      <c r="BX49" s="183"/>
      <c r="BY49" s="183"/>
      <c r="BZ49" s="183"/>
      <c r="CA49" s="183"/>
      <c r="CB49" s="183"/>
      <c r="CC49" s="183"/>
      <c r="CD49" s="183"/>
      <c r="CE49" s="183"/>
      <c r="CF49" s="183"/>
      <c r="CG49" s="183"/>
      <c r="CH49" s="183"/>
      <c r="CI49" s="183"/>
      <c r="CJ49" s="185" t="str">
        <f t="array" ref="CJ49">xlookup($Y50,qualdata!$N$2:$N$17,xlookup("r1Ser",qualdata!$P$1:$BR$1,qualdata!$P$2:$BR$17,""))</f>
        <v/>
      </c>
      <c r="CK49" s="8"/>
      <c r="CL49" s="186" t="str">
        <f t="array" ref="CL49">xlookup(xlookup($Y50,qualdata!$N$2:$N$17,xlookup("r1op",qualdata!$P$1:$BR$1,qualdata!$P$2:$BR$17,"")),qualdata!$M$2:$M$17,qualdata!$O$2:$O$17,"")</f>
        <v/>
      </c>
      <c r="CM49" s="8"/>
      <c r="CN49" s="8"/>
      <c r="CO49" s="8"/>
      <c r="CP49" s="8"/>
      <c r="CQ49" s="187"/>
      <c r="CR49" s="9"/>
      <c r="CS49" s="185" t="str">
        <f t="array" ref="CS49">xlookup($Y50,qualdata!$N$2:$N$17,xlookup("r2Ser",qualdata!$P$1:$BR$1,qualdata!$P$2:$BR$17,""))</f>
        <v/>
      </c>
      <c r="CT49" s="8"/>
      <c r="CU49" s="186" t="str">
        <f t="array" ref="CU49">xlookup(xlookup($Y50,qualdata!$N$2:$N$17,xlookup("r2op",qualdata!$P$1:$BR$1,qualdata!$P$2:$BR$17,"")),qualdata!$M$2:$M$17,qualdata!$O$2:$O$17,"")</f>
        <v/>
      </c>
      <c r="CV49" s="8"/>
      <c r="CW49" s="8"/>
      <c r="CX49" s="8"/>
      <c r="CY49" s="8"/>
      <c r="CZ49" s="187"/>
      <c r="DA49" s="9"/>
      <c r="DB49" s="185" t="str">
        <f t="array" ref="DB49">xlookup($Y50,qualdata!$N$2:$N$17,xlookup("r3Ser",qualdata!$P$1:$BR$1,qualdata!$P$2:$BR$17,""))</f>
        <v/>
      </c>
      <c r="DC49" s="8"/>
      <c r="DD49" s="186" t="str">
        <f t="array" ref="DD49">xlookup(xlookup($Y50,qualdata!$N$2:$N$17,xlookup("r3op",qualdata!$P$1:$BR$1,qualdata!$P$2:$BR$17,"")),qualdata!$M$2:$M$17,qualdata!$O$2:$O$17,"")</f>
        <v/>
      </c>
      <c r="DE49" s="8"/>
      <c r="DF49" s="8"/>
      <c r="DG49" s="8"/>
      <c r="DH49" s="8"/>
      <c r="DI49" s="187"/>
      <c r="DJ49" s="9"/>
      <c r="DK49" s="185" t="str">
        <f t="array" ref="DK49">xlookup($Y50,qualdata!$N$2:$N$17,xlookup("r4Ser",qualdata!$P$1:$BR$1,qualdata!$P$2:$BR$17,""))</f>
        <v/>
      </c>
      <c r="DL49" s="8"/>
      <c r="DM49" s="186" t="str">
        <f t="array" ref="DM49">xlookup(xlookup($Y50,qualdata!$N$2:$N$17,xlookup("r4op",qualdata!$P$1:$BR$1,qualdata!$P$2:$BR$17,"")),qualdata!$M$2:$M$17,qualdata!$O$2:$O$17,"")</f>
        <v/>
      </c>
      <c r="DN49" s="8"/>
      <c r="DO49" s="8"/>
      <c r="DP49" s="8"/>
      <c r="DQ49" s="8"/>
      <c r="DR49" s="187"/>
      <c r="DS49" s="9"/>
      <c r="DT49" s="185" t="str">
        <f t="array" ref="DT49">xlookup($Y50,qualdata!$N$2:$N$17,xlookup("r5Ser",qualdata!$P$1:$BR$1,qualdata!$P$2:$BR$17,""))</f>
        <v/>
      </c>
      <c r="DU49" s="8"/>
      <c r="DV49" s="186" t="str">
        <f t="array" ref="DV49">xlookup(xlookup($Y50,qualdata!$N$2:$N$17,xlookup("r5op",qualdata!$P$1:$BR$1,qualdata!$P$2:$BR$17,"")),qualdata!$M$2:$M$17,qualdata!$O$2:$O$17,"")</f>
        <v/>
      </c>
      <c r="DW49" s="8"/>
      <c r="DX49" s="8"/>
      <c r="DY49" s="8"/>
      <c r="DZ49" s="8"/>
      <c r="EA49" s="187"/>
      <c r="EB49" s="9"/>
      <c r="EC49" s="152"/>
      <c r="ED49" s="152"/>
      <c r="EE49" s="152"/>
      <c r="EF49" s="152"/>
      <c r="EG49" s="152"/>
      <c r="EH49" s="152"/>
      <c r="EI49" s="152"/>
      <c r="EJ49" s="152"/>
      <c r="EK49" s="152"/>
      <c r="EL49" s="152"/>
      <c r="EM49" s="152"/>
      <c r="EN49" s="152"/>
      <c r="EO49" s="152"/>
      <c r="EP49" s="152"/>
      <c r="EQ49" s="152"/>
      <c r="ER49" s="152"/>
    </row>
    <row r="50" ht="5.25" customHeight="1">
      <c r="A50" s="152"/>
      <c r="B50" s="152"/>
      <c r="C50" s="152"/>
      <c r="D50" s="152"/>
      <c r="E50" s="152"/>
      <c r="F50" s="152"/>
      <c r="G50" s="152"/>
      <c r="H50" s="152"/>
      <c r="I50" s="152"/>
      <c r="J50" s="152"/>
      <c r="K50" s="152"/>
      <c r="L50" s="152"/>
      <c r="Q50" s="152"/>
      <c r="R50" s="188" t="str">
        <f t="array" ref="R50">xlookup(Y50,qualdata!$N$2:$N$17,qualdata!$O$2:$O$17,"")</f>
        <v/>
      </c>
      <c r="X50" s="189"/>
      <c r="Y50" s="190" t="str">
        <f t="array" ref="Y50">xlookup(Q49,qualdata!$G$24:$G$39,qualdata!$A$24:$A$39,"")</f>
        <v>Team 6 (Group 1)</v>
      </c>
      <c r="BB50" s="189"/>
      <c r="BC50" s="191" t="str">
        <f t="array" ref="BC50">xlookup(Y50,qualdata!$A$24:$A$39,qualdata!$B$24:$B$39,"")</f>
        <v>0-0</v>
      </c>
      <c r="BK50" s="189"/>
      <c r="BL50" s="192" t="str">
        <f t="array" ref="BL50">xlookup(Y50,qualdata!$A$24:$A$39,qualdata!$C$24:$C$39,"")</f>
        <v>0-0</v>
      </c>
      <c r="BT50" s="189"/>
      <c r="BU50" s="193" t="str">
        <f t="array" ref="BU50">xlookup(Y50,qualdata!$A$24:$A$39,qualdata!$D$24:$D$39,"")</f>
        <v>0-0</v>
      </c>
      <c r="CC50" s="189"/>
      <c r="CD50" s="193">
        <f t="array" ref="CD50">xlookup(Y50,qualdata!$A$24:$A$39,qualdata!$F$24:$F$39,"")</f>
        <v>0</v>
      </c>
      <c r="CI50" s="189"/>
      <c r="CJ50" s="10"/>
      <c r="CR50" s="11"/>
      <c r="CS50" s="10"/>
      <c r="DA50" s="11"/>
      <c r="DB50" s="10"/>
      <c r="DJ50" s="11"/>
      <c r="DK50" s="10"/>
      <c r="DS50" s="11"/>
      <c r="DT50" s="10"/>
      <c r="EB50" s="11"/>
      <c r="EC50" s="152"/>
      <c r="ED50" s="152"/>
      <c r="EE50" s="152"/>
      <c r="EF50" s="152"/>
      <c r="EG50" s="152"/>
      <c r="EH50" s="152"/>
      <c r="EI50" s="152"/>
      <c r="EJ50" s="152"/>
      <c r="EK50" s="152"/>
      <c r="EL50" s="152"/>
      <c r="EM50" s="152"/>
      <c r="EN50" s="152"/>
      <c r="EO50" s="152"/>
      <c r="EP50" s="152"/>
      <c r="EQ50" s="152"/>
      <c r="ER50" s="152"/>
    </row>
    <row r="51" ht="5.25" customHeight="1">
      <c r="A51" s="152"/>
      <c r="B51" s="152"/>
      <c r="C51" s="152"/>
      <c r="D51" s="152"/>
      <c r="E51" s="152"/>
      <c r="F51" s="152"/>
      <c r="G51" s="152"/>
      <c r="H51" s="152"/>
      <c r="I51" s="152"/>
      <c r="J51" s="152"/>
      <c r="K51" s="152"/>
      <c r="L51" s="152"/>
      <c r="Q51" s="152"/>
      <c r="R51" s="10"/>
      <c r="X51" s="189"/>
      <c r="BB51" s="189"/>
      <c r="BK51" s="189"/>
      <c r="BT51" s="189"/>
      <c r="CC51" s="189"/>
      <c r="CI51" s="189"/>
      <c r="CJ51" s="10"/>
      <c r="CR51" s="11"/>
      <c r="CS51" s="10"/>
      <c r="DA51" s="11"/>
      <c r="DB51" s="10"/>
      <c r="DJ51" s="11"/>
      <c r="DK51" s="10"/>
      <c r="DS51" s="11"/>
      <c r="DT51" s="10"/>
      <c r="EB51" s="11"/>
      <c r="EC51" s="152"/>
      <c r="ED51" s="152"/>
      <c r="EE51" s="152"/>
      <c r="EF51" s="152"/>
      <c r="EG51" s="152"/>
      <c r="EH51" s="152"/>
      <c r="EI51" s="152"/>
      <c r="EJ51" s="152"/>
      <c r="EK51" s="152"/>
      <c r="EL51" s="152"/>
      <c r="EM51" s="152"/>
      <c r="EN51" s="152"/>
      <c r="EO51" s="152"/>
      <c r="EP51" s="152"/>
      <c r="EQ51" s="152"/>
      <c r="ER51" s="152"/>
    </row>
    <row r="52" ht="5.25" customHeight="1">
      <c r="A52" s="152"/>
      <c r="B52" s="152"/>
      <c r="C52" s="152"/>
      <c r="D52" s="152"/>
      <c r="E52" s="152"/>
      <c r="F52" s="152"/>
      <c r="G52" s="152"/>
      <c r="H52" s="152"/>
      <c r="I52" s="152"/>
      <c r="J52" s="152"/>
      <c r="K52" s="152"/>
      <c r="L52" s="152"/>
      <c r="Q52" s="152"/>
      <c r="R52" s="10"/>
      <c r="X52" s="189"/>
      <c r="BB52" s="189"/>
      <c r="BK52" s="189"/>
      <c r="BT52" s="189"/>
      <c r="CC52" s="189"/>
      <c r="CI52" s="189"/>
      <c r="CJ52" s="10"/>
      <c r="CR52" s="11"/>
      <c r="CS52" s="10"/>
      <c r="DA52" s="11"/>
      <c r="DB52" s="10"/>
      <c r="DJ52" s="11"/>
      <c r="DK52" s="10"/>
      <c r="DS52" s="11"/>
      <c r="DT52" s="10"/>
      <c r="EB52" s="11"/>
      <c r="EC52" s="152"/>
      <c r="ED52" s="152"/>
      <c r="EE52" s="152"/>
      <c r="EF52" s="152"/>
      <c r="EG52" s="152"/>
      <c r="EH52" s="152"/>
      <c r="EI52" s="152"/>
      <c r="EJ52" s="152"/>
      <c r="EK52" s="152"/>
      <c r="EL52" s="152"/>
      <c r="EM52" s="152"/>
      <c r="EN52" s="152"/>
      <c r="EO52" s="152"/>
      <c r="EP52" s="152"/>
      <c r="EQ52" s="152"/>
      <c r="ER52" s="152"/>
    </row>
    <row r="53" ht="5.25" customHeight="1">
      <c r="A53" s="152"/>
      <c r="B53" s="152"/>
      <c r="C53" s="152"/>
      <c r="D53" s="152"/>
      <c r="E53" s="152"/>
      <c r="F53" s="152"/>
      <c r="G53" s="152"/>
      <c r="H53" s="152"/>
      <c r="I53" s="152"/>
      <c r="J53" s="152"/>
      <c r="K53" s="152"/>
      <c r="L53" s="152"/>
      <c r="Q53" s="152"/>
      <c r="R53" s="10"/>
      <c r="X53" s="189"/>
      <c r="BB53" s="189"/>
      <c r="BK53" s="189"/>
      <c r="BT53" s="189"/>
      <c r="CC53" s="189"/>
      <c r="CI53" s="189"/>
      <c r="CJ53" s="10"/>
      <c r="CR53" s="11"/>
      <c r="CS53" s="10"/>
      <c r="DA53" s="11"/>
      <c r="DB53" s="10"/>
      <c r="DJ53" s="11"/>
      <c r="DK53" s="10"/>
      <c r="DS53" s="11"/>
      <c r="DT53" s="10"/>
      <c r="EB53" s="11"/>
      <c r="EC53" s="152"/>
      <c r="ED53" s="152"/>
      <c r="EE53" s="152"/>
      <c r="EF53" s="152"/>
      <c r="EG53" s="152"/>
      <c r="EH53" s="152"/>
      <c r="EI53" s="152"/>
      <c r="EJ53" s="152"/>
      <c r="EK53" s="152"/>
      <c r="EL53" s="152"/>
      <c r="EM53" s="152"/>
      <c r="EN53" s="152"/>
      <c r="EO53" s="152"/>
      <c r="EP53" s="152"/>
      <c r="EQ53" s="152"/>
      <c r="ER53" s="152"/>
    </row>
    <row r="54" ht="5.25" customHeight="1">
      <c r="A54" s="152"/>
      <c r="B54" s="152"/>
      <c r="C54" s="152"/>
      <c r="D54" s="152"/>
      <c r="E54" s="152"/>
      <c r="F54" s="152"/>
      <c r="G54" s="152"/>
      <c r="H54" s="152"/>
      <c r="I54" s="152"/>
      <c r="J54" s="152"/>
      <c r="K54" s="152"/>
      <c r="L54" s="152"/>
      <c r="Q54" s="152"/>
      <c r="R54" s="10"/>
      <c r="X54" s="189"/>
      <c r="BB54" s="189"/>
      <c r="BK54" s="189"/>
      <c r="BT54" s="189"/>
      <c r="CC54" s="189"/>
      <c r="CI54" s="189"/>
      <c r="CJ54" s="195" t="str">
        <f t="array" ref="CJ54">xlookup($Y50,qualdata!$N$2:$N$17,xlookup("r1gw",qualdata!$P$1:$BR$1,qualdata!$P$2:$BR$17))&amp;"-"&amp;xlookup($Y50,qualdata!$N$2:$N$17,xlookup("r1gl",qualdata!$P$1:$BR$1,qualdata!$P$2:$BR$17))</f>
        <v>-</v>
      </c>
      <c r="CN54" s="196"/>
      <c r="CO54" s="196">
        <f t="array" ref="CO54">if(xlookup($Y50,qualdata!$N$2:$N$17,xlookup("r1rd",qualdata!$P$1:$BR$1,qualdata!$P$2:$BR$17))&gt;0,"+"&amp;xlookup($Y50,qualdata!$N$2:$N$17,xlookup("r1rd",qualdata!$P$1:$BR$1,qualdata!$P$2:$BR$17)),xlookup($Y50,qualdata!$N$2:$N$17,xlookup("r1rd",qualdata!$P$1:$BR$1,qualdata!$P$2:$BR$17)))</f>
        <v>0</v>
      </c>
      <c r="CR54" s="11"/>
      <c r="CS54" s="195" t="str">
        <f t="array" ref="CS54">xlookup($Y50,qualdata!$N$2:$N$17,xlookup("r2gw",qualdata!$P$1:$BR$1,qualdata!$P$2:$BR$17))&amp;"-"&amp;xlookup($Y50,qualdata!$N$2:$N$17,xlookup("r2gl",qualdata!$P$1:$BR$1,qualdata!$P$2:$BR$17))</f>
        <v>-</v>
      </c>
      <c r="CW54" s="196"/>
      <c r="CX54" s="196">
        <f t="array" ref="CX54">if(xlookup($Y50,qualdata!$N$2:$N$17,xlookup("r2rd",qualdata!$P$1:$BR$1,qualdata!$P$2:$BR$17))&gt;0,"+"&amp;xlookup($Y50,qualdata!$N$2:$N$17,xlookup("r2rd",qualdata!$P$1:$BR$1,qualdata!$P$2:$BR$17)),xlookup($Y50,qualdata!$N$2:$N$17,xlookup("r2rd",qualdata!$P$1:$BR$1,qualdata!$P$2:$BR$17)))</f>
        <v>0</v>
      </c>
      <c r="DA54" s="11"/>
      <c r="DB54" s="195" t="str">
        <f t="array" ref="DB54">xlookup($Y50,qualdata!$N$2:$N$17,xlookup("r3gw",qualdata!$P$1:$BR$1,qualdata!$P$2:$BR$17))&amp;"-"&amp;xlookup($Y50,qualdata!$N$2:$N$17,xlookup("r3gl",qualdata!$P$1:$BR$1,qualdata!$P$2:$BR$17))</f>
        <v>-</v>
      </c>
      <c r="DF54" s="196"/>
      <c r="DG54" s="196">
        <f t="array" ref="DG54">if(xlookup($Y50,qualdata!$N$2:$N$17,xlookup("r3rd",qualdata!$P$1:$BR$1,qualdata!$P$2:$BR$17))&gt;0,"+"&amp;xlookup($Y50,qualdata!$N$2:$N$17,xlookup("r3rd",qualdata!$P$1:$BR$1,qualdata!$P$2:$BR$17)),xlookup($Y50,qualdata!$N$2:$N$17,xlookup("r3rd",qualdata!$P$1:$BR$1,qualdata!$P$2:$BR$17)))</f>
        <v>0</v>
      </c>
      <c r="DJ54" s="11"/>
      <c r="DK54" s="195" t="str">
        <f t="array" ref="DK54">xlookup($Y50,qualdata!$N$2:$N$17,xlookup("r4gw",qualdata!$P$1:$BR$1,qualdata!$P$2:$BR$17))&amp;"-"&amp;xlookup($Y50,qualdata!$N$2:$N$17,xlookup("r4gl",qualdata!$P$1:$BR$1,qualdata!$P$2:$BR$17))</f>
        <v>-</v>
      </c>
      <c r="DO54" s="196"/>
      <c r="DP54" s="196">
        <f t="array" ref="DP54">if(xlookup($Y50,qualdata!$N$2:$N$17,xlookup("r4rd",qualdata!$P$1:$BR$1,qualdata!$P$2:$BR$17))&gt;0,"+"&amp;xlookup($Y50,qualdata!$N$2:$N$17,xlookup("r4rd",qualdata!$P$1:$BR$1,qualdata!$P$2:$BR$17)),xlookup($Y50,qualdata!$N$2:$N$17,xlookup("r4rd",qualdata!$P$1:$BR$1,qualdata!$P$2:$BR$17)))</f>
        <v>0</v>
      </c>
      <c r="DS54" s="11"/>
      <c r="DT54" s="195" t="str">
        <f t="array" ref="DT54">xlookup($Y50,qualdata!$N$2:$N$17,xlookup("r5gw",qualdata!$P$1:$BR$1,qualdata!$P$2:$BR$17))&amp;"-"&amp;xlookup($Y50,qualdata!$N$2:$N$17,xlookup("r5gl",qualdata!$P$1:$BR$1,qualdata!$P$2:$BR$17))</f>
        <v>-</v>
      </c>
      <c r="DX54" s="196"/>
      <c r="DY54" s="196">
        <f t="array" ref="DY54">if(xlookup($Y50,qualdata!$N$2:$N$17,xlookup("r5rd",qualdata!$P$1:$BR$1,qualdata!$P$2:$BR$17))&gt;0,"+"&amp;xlookup($Y50,qualdata!$N$2:$N$17,xlookup("r5rd",qualdata!$P$1:$BR$1,qualdata!$P$2:$BR$17)),xlookup($Y50,qualdata!$N$2:$N$17,xlookup("r5rd",qualdata!$P$1:$BR$1,qualdata!$P$2:$BR$17)))</f>
        <v>0</v>
      </c>
      <c r="EB54" s="11"/>
      <c r="EC54" s="152"/>
      <c r="ED54" s="152"/>
      <c r="EE54" s="152"/>
      <c r="EF54" s="152"/>
      <c r="EG54" s="152"/>
      <c r="EH54" s="152"/>
      <c r="EI54" s="152"/>
      <c r="EJ54" s="152"/>
      <c r="EK54" s="152"/>
      <c r="EL54" s="152"/>
      <c r="EM54" s="152"/>
      <c r="EN54" s="152"/>
      <c r="EO54" s="152"/>
      <c r="EP54" s="152"/>
      <c r="EQ54" s="152"/>
      <c r="ER54" s="152"/>
    </row>
    <row r="55" ht="5.25" customHeight="1">
      <c r="A55" s="152"/>
      <c r="B55" s="152"/>
      <c r="C55" s="152"/>
      <c r="D55" s="152"/>
      <c r="E55" s="152"/>
      <c r="F55" s="152"/>
      <c r="G55" s="152"/>
      <c r="H55" s="152"/>
      <c r="I55" s="152"/>
      <c r="J55" s="152"/>
      <c r="K55" s="152"/>
      <c r="L55" s="152"/>
      <c r="Q55" s="152"/>
      <c r="R55" s="10"/>
      <c r="X55" s="189"/>
      <c r="BB55" s="189"/>
      <c r="BK55" s="189"/>
      <c r="BT55" s="189"/>
      <c r="CC55" s="189"/>
      <c r="CI55" s="189"/>
      <c r="CJ55" s="10"/>
      <c r="CR55" s="11"/>
      <c r="CS55" s="10"/>
      <c r="DA55" s="11"/>
      <c r="DB55" s="10"/>
      <c r="DJ55" s="11"/>
      <c r="DK55" s="10"/>
      <c r="DS55" s="11"/>
      <c r="DT55" s="10"/>
      <c r="EB55" s="11"/>
      <c r="EC55" s="152"/>
      <c r="ED55" s="152"/>
      <c r="EE55" s="152"/>
      <c r="EF55" s="152"/>
      <c r="EG55" s="152"/>
      <c r="EH55" s="152"/>
      <c r="EI55" s="152"/>
      <c r="EJ55" s="152"/>
      <c r="EK55" s="152"/>
      <c r="EL55" s="152"/>
      <c r="EM55" s="152"/>
      <c r="EN55" s="152"/>
      <c r="EO55" s="152"/>
      <c r="EP55" s="152"/>
      <c r="EQ55" s="152"/>
      <c r="ER55" s="152"/>
    </row>
    <row r="56" ht="5.25" customHeight="1">
      <c r="A56" s="152"/>
      <c r="B56" s="152"/>
      <c r="C56" s="152"/>
      <c r="D56" s="152"/>
      <c r="E56" s="152"/>
      <c r="F56" s="152"/>
      <c r="G56" s="152"/>
      <c r="H56" s="152"/>
      <c r="I56" s="152"/>
      <c r="J56" s="152"/>
      <c r="K56" s="152"/>
      <c r="L56" s="152"/>
      <c r="Q56" s="152"/>
      <c r="R56" s="197"/>
      <c r="S56" s="198"/>
      <c r="T56" s="198"/>
      <c r="U56" s="198"/>
      <c r="V56" s="198"/>
      <c r="W56" s="198"/>
      <c r="X56" s="198"/>
      <c r="Y56" s="198"/>
      <c r="Z56" s="198"/>
      <c r="AA56" s="198"/>
      <c r="AB56" s="198"/>
      <c r="AC56" s="198"/>
      <c r="AD56" s="198"/>
      <c r="AE56" s="198"/>
      <c r="AF56" s="198"/>
      <c r="AG56" s="198"/>
      <c r="AH56" s="198"/>
      <c r="AI56" s="198"/>
      <c r="AJ56" s="198"/>
      <c r="AK56" s="198"/>
      <c r="AL56" s="198"/>
      <c r="AM56" s="198"/>
      <c r="AN56" s="198"/>
      <c r="AO56" s="198"/>
      <c r="AP56" s="198"/>
      <c r="AQ56" s="198"/>
      <c r="AR56" s="198"/>
      <c r="AS56" s="198"/>
      <c r="AT56" s="198"/>
      <c r="AU56" s="198"/>
      <c r="AV56" s="198"/>
      <c r="AW56" s="198"/>
      <c r="AX56" s="198"/>
      <c r="AY56" s="198"/>
      <c r="AZ56" s="198"/>
      <c r="BA56" s="198"/>
      <c r="BB56" s="198"/>
      <c r="BC56" s="198"/>
      <c r="BD56" s="198"/>
      <c r="BE56" s="198"/>
      <c r="BF56" s="198"/>
      <c r="BG56" s="198"/>
      <c r="BH56" s="198"/>
      <c r="BI56" s="198"/>
      <c r="BJ56" s="198"/>
      <c r="BK56" s="198"/>
      <c r="BL56" s="198"/>
      <c r="BM56" s="198"/>
      <c r="BN56" s="198"/>
      <c r="BO56" s="198"/>
      <c r="BP56" s="198"/>
      <c r="BQ56" s="198"/>
      <c r="BR56" s="198"/>
      <c r="BS56" s="198"/>
      <c r="BT56" s="198"/>
      <c r="BU56" s="198"/>
      <c r="BV56" s="198"/>
      <c r="BW56" s="198"/>
      <c r="BX56" s="198"/>
      <c r="BY56" s="198"/>
      <c r="BZ56" s="198"/>
      <c r="CA56" s="198"/>
      <c r="CB56" s="198"/>
      <c r="CC56" s="198"/>
      <c r="CD56" s="198"/>
      <c r="CE56" s="198"/>
      <c r="CF56" s="198"/>
      <c r="CG56" s="198"/>
      <c r="CH56" s="198"/>
      <c r="CI56" s="198"/>
      <c r="CJ56" s="12"/>
      <c r="CK56" s="13"/>
      <c r="CL56" s="13"/>
      <c r="CM56" s="13"/>
      <c r="CN56" s="13"/>
      <c r="CO56" s="13"/>
      <c r="CP56" s="13"/>
      <c r="CQ56" s="13"/>
      <c r="CR56" s="14"/>
      <c r="CS56" s="12"/>
      <c r="CT56" s="13"/>
      <c r="CU56" s="13"/>
      <c r="CV56" s="13"/>
      <c r="CW56" s="13"/>
      <c r="CX56" s="13"/>
      <c r="CY56" s="13"/>
      <c r="CZ56" s="13"/>
      <c r="DA56" s="14"/>
      <c r="DB56" s="12"/>
      <c r="DC56" s="13"/>
      <c r="DD56" s="13"/>
      <c r="DE56" s="13"/>
      <c r="DF56" s="13"/>
      <c r="DG56" s="13"/>
      <c r="DH56" s="13"/>
      <c r="DI56" s="13"/>
      <c r="DJ56" s="14"/>
      <c r="DK56" s="12"/>
      <c r="DL56" s="13"/>
      <c r="DM56" s="13"/>
      <c r="DN56" s="13"/>
      <c r="DO56" s="13"/>
      <c r="DP56" s="13"/>
      <c r="DQ56" s="13"/>
      <c r="DR56" s="13"/>
      <c r="DS56" s="14"/>
      <c r="DT56" s="12"/>
      <c r="DU56" s="13"/>
      <c r="DV56" s="13"/>
      <c r="DW56" s="13"/>
      <c r="DX56" s="13"/>
      <c r="DY56" s="13"/>
      <c r="DZ56" s="13"/>
      <c r="EA56" s="13"/>
      <c r="EB56" s="14"/>
      <c r="EC56" s="152"/>
      <c r="ED56" s="152"/>
      <c r="EE56" s="152"/>
      <c r="EF56" s="152"/>
      <c r="EG56" s="152"/>
      <c r="EH56" s="152"/>
      <c r="EI56" s="152"/>
      <c r="EJ56" s="152"/>
      <c r="EK56" s="152"/>
      <c r="EL56" s="152"/>
      <c r="EM56" s="152"/>
      <c r="EN56" s="152"/>
      <c r="EO56" s="152"/>
      <c r="EP56" s="152"/>
      <c r="EQ56" s="152"/>
      <c r="ER56" s="152"/>
    </row>
    <row r="57" ht="5.25" customHeight="1">
      <c r="A57" s="152"/>
      <c r="B57" s="152"/>
      <c r="C57" s="152"/>
      <c r="D57" s="152"/>
      <c r="E57" s="152"/>
      <c r="F57" s="152"/>
      <c r="G57" s="152"/>
      <c r="H57" s="152"/>
      <c r="I57" s="152"/>
      <c r="J57" s="152"/>
      <c r="K57" s="152"/>
      <c r="L57" s="152"/>
      <c r="M57" s="177" t="str">
        <f>Q57&amp;"."</f>
        <v>7.</v>
      </c>
      <c r="Q57" s="181">
        <v>7.0</v>
      </c>
      <c r="R57" s="182"/>
      <c r="S57" s="183"/>
      <c r="T57" s="183"/>
      <c r="U57" s="183"/>
      <c r="V57" s="183"/>
      <c r="W57" s="183"/>
      <c r="X57" s="183"/>
      <c r="Y57" s="183"/>
      <c r="Z57" s="183"/>
      <c r="AA57" s="183"/>
      <c r="AB57" s="183"/>
      <c r="AC57" s="183"/>
      <c r="AD57" s="183"/>
      <c r="AE57" s="183"/>
      <c r="AF57" s="183"/>
      <c r="AG57" s="183"/>
      <c r="AH57" s="183"/>
      <c r="AI57" s="183"/>
      <c r="AJ57" s="183"/>
      <c r="AK57" s="183"/>
      <c r="AL57" s="183"/>
      <c r="AM57" s="183"/>
      <c r="AN57" s="183"/>
      <c r="AO57" s="183"/>
      <c r="AP57" s="183"/>
      <c r="AQ57" s="183"/>
      <c r="AR57" s="183"/>
      <c r="AS57" s="183"/>
      <c r="AT57" s="183"/>
      <c r="AU57" s="183"/>
      <c r="AV57" s="183"/>
      <c r="AW57" s="183"/>
      <c r="AX57" s="183"/>
      <c r="AY57" s="183"/>
      <c r="AZ57" s="183"/>
      <c r="BA57" s="183"/>
      <c r="BB57" s="183"/>
      <c r="BC57" s="183"/>
      <c r="BD57" s="183"/>
      <c r="BE57" s="183"/>
      <c r="BF57" s="183"/>
      <c r="BG57" s="183"/>
      <c r="BH57" s="183"/>
      <c r="BI57" s="183"/>
      <c r="BJ57" s="183"/>
      <c r="BK57" s="183"/>
      <c r="BL57" s="183"/>
      <c r="BM57" s="183"/>
      <c r="BN57" s="183"/>
      <c r="BO57" s="183"/>
      <c r="BP57" s="183"/>
      <c r="BQ57" s="183"/>
      <c r="BR57" s="183"/>
      <c r="BS57" s="183"/>
      <c r="BT57" s="183"/>
      <c r="BU57" s="183"/>
      <c r="BV57" s="183"/>
      <c r="BW57" s="183"/>
      <c r="BX57" s="183"/>
      <c r="BY57" s="183"/>
      <c r="BZ57" s="183"/>
      <c r="CA57" s="183"/>
      <c r="CB57" s="183"/>
      <c r="CC57" s="183"/>
      <c r="CD57" s="183"/>
      <c r="CE57" s="183"/>
      <c r="CF57" s="183"/>
      <c r="CG57" s="183"/>
      <c r="CH57" s="183"/>
      <c r="CI57" s="183"/>
      <c r="CJ57" s="185" t="str">
        <f t="array" ref="CJ57">xlookup($Y58,qualdata!$N$2:$N$17,xlookup("r1Ser",qualdata!$P$1:$BR$1,qualdata!$P$2:$BR$17,""))</f>
        <v/>
      </c>
      <c r="CK57" s="8"/>
      <c r="CL57" s="186" t="str">
        <f t="array" ref="CL57">xlookup(xlookup($Y58,qualdata!$N$2:$N$17,xlookup("r1op",qualdata!$P$1:$BR$1,qualdata!$P$2:$BR$17,"")),qualdata!$M$2:$M$17,qualdata!$O$2:$O$17,"")</f>
        <v/>
      </c>
      <c r="CM57" s="8"/>
      <c r="CN57" s="8"/>
      <c r="CO57" s="8"/>
      <c r="CP57" s="8"/>
      <c r="CQ57" s="187"/>
      <c r="CR57" s="9"/>
      <c r="CS57" s="185" t="str">
        <f t="array" ref="CS57">xlookup($Y58,qualdata!$N$2:$N$17,xlookup("r2Ser",qualdata!$P$1:$BR$1,qualdata!$P$2:$BR$17,""))</f>
        <v/>
      </c>
      <c r="CT57" s="8"/>
      <c r="CU57" s="186" t="str">
        <f t="array" ref="CU57">xlookup(xlookup($Y58,qualdata!$N$2:$N$17,xlookup("r2op",qualdata!$P$1:$BR$1,qualdata!$P$2:$BR$17,"")),qualdata!$M$2:$M$17,qualdata!$O$2:$O$17,"")</f>
        <v/>
      </c>
      <c r="CV57" s="8"/>
      <c r="CW57" s="8"/>
      <c r="CX57" s="8"/>
      <c r="CY57" s="8"/>
      <c r="CZ57" s="187"/>
      <c r="DA57" s="9"/>
      <c r="DB57" s="185" t="str">
        <f t="array" ref="DB57">xlookup($Y58,qualdata!$N$2:$N$17,xlookup("r3Ser",qualdata!$P$1:$BR$1,qualdata!$P$2:$BR$17,""))</f>
        <v/>
      </c>
      <c r="DC57" s="8"/>
      <c r="DD57" s="186" t="str">
        <f t="array" ref="DD57">xlookup(xlookup($Y58,qualdata!$N$2:$N$17,xlookup("r3op",qualdata!$P$1:$BR$1,qualdata!$P$2:$BR$17,"")),qualdata!$M$2:$M$17,qualdata!$O$2:$O$17,"")</f>
        <v/>
      </c>
      <c r="DE57" s="8"/>
      <c r="DF57" s="8"/>
      <c r="DG57" s="8"/>
      <c r="DH57" s="8"/>
      <c r="DI57" s="187"/>
      <c r="DJ57" s="9"/>
      <c r="DK57" s="185" t="str">
        <f t="array" ref="DK57">xlookup($Y58,qualdata!$N$2:$N$17,xlookup("r4Ser",qualdata!$P$1:$BR$1,qualdata!$P$2:$BR$17,""))</f>
        <v/>
      </c>
      <c r="DL57" s="8"/>
      <c r="DM57" s="186" t="str">
        <f t="array" ref="DM57">xlookup(xlookup($Y58,qualdata!$N$2:$N$17,xlookup("r4op",qualdata!$P$1:$BR$1,qualdata!$P$2:$BR$17,"")),qualdata!$M$2:$M$17,qualdata!$O$2:$O$17,"")</f>
        <v/>
      </c>
      <c r="DN57" s="8"/>
      <c r="DO57" s="8"/>
      <c r="DP57" s="8"/>
      <c r="DQ57" s="8"/>
      <c r="DR57" s="187"/>
      <c r="DS57" s="9"/>
      <c r="DT57" s="185" t="str">
        <f t="array" ref="DT57">xlookup($Y58,qualdata!$N$2:$N$17,xlookup("r5Ser",qualdata!$P$1:$BR$1,qualdata!$P$2:$BR$17,""))</f>
        <v/>
      </c>
      <c r="DU57" s="8"/>
      <c r="DV57" s="186" t="str">
        <f t="array" ref="DV57">xlookup(xlookup($Y58,qualdata!$N$2:$N$17,xlookup("r5op",qualdata!$P$1:$BR$1,qualdata!$P$2:$BR$17,"")),qualdata!$M$2:$M$17,qualdata!$O$2:$O$17,"")</f>
        <v/>
      </c>
      <c r="DW57" s="8"/>
      <c r="DX57" s="8"/>
      <c r="DY57" s="8"/>
      <c r="DZ57" s="8"/>
      <c r="EA57" s="187"/>
      <c r="EB57" s="9"/>
      <c r="EC57" s="152"/>
      <c r="ED57" s="152"/>
      <c r="EE57" s="152"/>
      <c r="EF57" s="152"/>
      <c r="EG57" s="152"/>
      <c r="EH57" s="152"/>
      <c r="EI57" s="152"/>
      <c r="EJ57" s="152"/>
      <c r="EK57" s="152"/>
      <c r="EL57" s="152"/>
      <c r="EM57" s="152"/>
      <c r="EN57" s="152"/>
      <c r="EO57" s="152"/>
      <c r="EP57" s="152"/>
      <c r="EQ57" s="152"/>
      <c r="ER57" s="152"/>
    </row>
    <row r="58" ht="5.25" customHeight="1">
      <c r="A58" s="152"/>
      <c r="B58" s="152"/>
      <c r="C58" s="152"/>
      <c r="D58" s="152"/>
      <c r="E58" s="152"/>
      <c r="F58" s="152"/>
      <c r="G58" s="152"/>
      <c r="H58" s="152"/>
      <c r="I58" s="152"/>
      <c r="J58" s="152"/>
      <c r="K58" s="152"/>
      <c r="L58" s="152"/>
      <c r="Q58" s="152"/>
      <c r="R58" s="188" t="str">
        <f t="array" ref="R58">xlookup(Y58,qualdata!$N$2:$N$17,qualdata!$O$2:$O$17,"")</f>
        <v/>
      </c>
      <c r="X58" s="189"/>
      <c r="Y58" s="190" t="str">
        <f t="array" ref="Y58">xlookup(Q57,qualdata!$G$24:$G$39,qualdata!$A$24:$A$39,"")</f>
        <v>Team 7 (Group 1)</v>
      </c>
      <c r="BB58" s="189"/>
      <c r="BC58" s="191" t="str">
        <f t="array" ref="BC58">xlookup(Y58,qualdata!$A$24:$A$39,qualdata!$B$24:$B$39,"")</f>
        <v>0-0</v>
      </c>
      <c r="BK58" s="189"/>
      <c r="BL58" s="192" t="str">
        <f t="array" ref="BL58">xlookup(Y58,qualdata!$A$24:$A$39,qualdata!$C$24:$C$39,"")</f>
        <v>0-0</v>
      </c>
      <c r="BT58" s="189"/>
      <c r="BU58" s="193" t="str">
        <f t="array" ref="BU58">xlookup(Y58,qualdata!$A$24:$A$39,qualdata!$D$24:$D$39,"")</f>
        <v>0-0</v>
      </c>
      <c r="CC58" s="189"/>
      <c r="CD58" s="193">
        <f t="array" ref="CD58">xlookup(Y58,qualdata!$A$24:$A$39,qualdata!$F$24:$F$39,"")</f>
        <v>0</v>
      </c>
      <c r="CI58" s="189"/>
      <c r="CJ58" s="10"/>
      <c r="CR58" s="11"/>
      <c r="CS58" s="10"/>
      <c r="DA58" s="11"/>
      <c r="DB58" s="10"/>
      <c r="DJ58" s="11"/>
      <c r="DK58" s="10"/>
      <c r="DS58" s="11"/>
      <c r="DT58" s="10"/>
      <c r="EB58" s="11"/>
      <c r="EC58" s="152"/>
      <c r="ED58" s="152"/>
      <c r="EE58" s="152"/>
      <c r="EF58" s="152"/>
      <c r="EG58" s="152"/>
      <c r="EH58" s="152"/>
      <c r="EI58" s="152"/>
      <c r="EJ58" s="152"/>
      <c r="EK58" s="152"/>
      <c r="EL58" s="152"/>
      <c r="EM58" s="152"/>
      <c r="EN58" s="152"/>
      <c r="EO58" s="152"/>
      <c r="EP58" s="152"/>
      <c r="EQ58" s="152"/>
      <c r="ER58" s="152"/>
    </row>
    <row r="59" ht="5.25" customHeight="1">
      <c r="A59" s="152"/>
      <c r="B59" s="152"/>
      <c r="C59" s="152"/>
      <c r="D59" s="152"/>
      <c r="E59" s="152"/>
      <c r="F59" s="152"/>
      <c r="G59" s="152"/>
      <c r="H59" s="152"/>
      <c r="I59" s="152"/>
      <c r="J59" s="152"/>
      <c r="K59" s="152"/>
      <c r="L59" s="152"/>
      <c r="Q59" s="152"/>
      <c r="R59" s="10"/>
      <c r="X59" s="189"/>
      <c r="BB59" s="189"/>
      <c r="BK59" s="189"/>
      <c r="BT59" s="189"/>
      <c r="CC59" s="189"/>
      <c r="CI59" s="189"/>
      <c r="CJ59" s="10"/>
      <c r="CR59" s="11"/>
      <c r="CS59" s="10"/>
      <c r="DA59" s="11"/>
      <c r="DB59" s="10"/>
      <c r="DJ59" s="11"/>
      <c r="DK59" s="10"/>
      <c r="DS59" s="11"/>
      <c r="DT59" s="10"/>
      <c r="EB59" s="11"/>
      <c r="EC59" s="152"/>
      <c r="ED59" s="152"/>
      <c r="EE59" s="152"/>
      <c r="EF59" s="152"/>
      <c r="EG59" s="152"/>
      <c r="EH59" s="152"/>
      <c r="EI59" s="152"/>
      <c r="EJ59" s="152"/>
      <c r="EK59" s="152"/>
      <c r="EL59" s="152"/>
      <c r="EM59" s="152"/>
      <c r="EN59" s="152"/>
      <c r="EO59" s="152"/>
      <c r="EP59" s="152"/>
      <c r="EQ59" s="152"/>
      <c r="ER59" s="152"/>
    </row>
    <row r="60" ht="5.25" customHeight="1">
      <c r="A60" s="152"/>
      <c r="B60" s="152"/>
      <c r="C60" s="152"/>
      <c r="D60" s="152"/>
      <c r="E60" s="152"/>
      <c r="F60" s="152"/>
      <c r="G60" s="152"/>
      <c r="H60" s="152"/>
      <c r="I60" s="152"/>
      <c r="J60" s="152"/>
      <c r="K60" s="152"/>
      <c r="L60" s="152"/>
      <c r="Q60" s="152"/>
      <c r="R60" s="10"/>
      <c r="X60" s="189"/>
      <c r="BB60" s="189"/>
      <c r="BK60" s="189"/>
      <c r="BT60" s="189"/>
      <c r="CC60" s="189"/>
      <c r="CI60" s="189"/>
      <c r="CJ60" s="10"/>
      <c r="CR60" s="11"/>
      <c r="CS60" s="10"/>
      <c r="DA60" s="11"/>
      <c r="DB60" s="10"/>
      <c r="DJ60" s="11"/>
      <c r="DK60" s="10"/>
      <c r="DS60" s="11"/>
      <c r="DT60" s="10"/>
      <c r="EB60" s="11"/>
      <c r="EC60" s="152"/>
      <c r="ED60" s="152"/>
      <c r="EE60" s="152"/>
      <c r="EF60" s="152"/>
      <c r="EG60" s="152"/>
      <c r="EH60" s="152"/>
      <c r="EI60" s="152"/>
      <c r="EJ60" s="152"/>
      <c r="EK60" s="152"/>
      <c r="EL60" s="152"/>
      <c r="EM60" s="152"/>
      <c r="EN60" s="152"/>
      <c r="EO60" s="152"/>
      <c r="EP60" s="152"/>
      <c r="EQ60" s="152"/>
      <c r="ER60" s="152"/>
    </row>
    <row r="61" ht="5.25" customHeight="1">
      <c r="A61" s="152"/>
      <c r="B61" s="152"/>
      <c r="C61" s="152"/>
      <c r="D61" s="152"/>
      <c r="E61" s="152"/>
      <c r="F61" s="152"/>
      <c r="G61" s="152"/>
      <c r="H61" s="152"/>
      <c r="I61" s="152"/>
      <c r="J61" s="152"/>
      <c r="K61" s="152"/>
      <c r="L61" s="152"/>
      <c r="Q61" s="152"/>
      <c r="R61" s="10"/>
      <c r="X61" s="189"/>
      <c r="BB61" s="189"/>
      <c r="BK61" s="189"/>
      <c r="BT61" s="189"/>
      <c r="CC61" s="189"/>
      <c r="CI61" s="189"/>
      <c r="CJ61" s="10"/>
      <c r="CR61" s="11"/>
      <c r="CS61" s="10"/>
      <c r="DA61" s="11"/>
      <c r="DB61" s="10"/>
      <c r="DJ61" s="11"/>
      <c r="DK61" s="10"/>
      <c r="DS61" s="11"/>
      <c r="DT61" s="10"/>
      <c r="EB61" s="11"/>
      <c r="EC61" s="152"/>
      <c r="ED61" s="152"/>
      <c r="EE61" s="152"/>
      <c r="EF61" s="152"/>
      <c r="EG61" s="152"/>
      <c r="EH61" s="152"/>
      <c r="EI61" s="152"/>
      <c r="EJ61" s="152"/>
      <c r="EK61" s="152"/>
      <c r="EL61" s="152"/>
      <c r="EM61" s="152"/>
      <c r="EN61" s="152"/>
      <c r="EO61" s="152"/>
      <c r="EP61" s="152"/>
      <c r="EQ61" s="152"/>
      <c r="ER61" s="152"/>
    </row>
    <row r="62" ht="5.25" customHeight="1">
      <c r="A62" s="152"/>
      <c r="B62" s="152"/>
      <c r="C62" s="152"/>
      <c r="D62" s="152"/>
      <c r="E62" s="152"/>
      <c r="F62" s="152"/>
      <c r="G62" s="152"/>
      <c r="H62" s="152"/>
      <c r="I62" s="152"/>
      <c r="J62" s="152"/>
      <c r="K62" s="152"/>
      <c r="L62" s="152"/>
      <c r="Q62" s="152"/>
      <c r="R62" s="10"/>
      <c r="X62" s="189"/>
      <c r="BB62" s="189"/>
      <c r="BK62" s="189"/>
      <c r="BT62" s="189"/>
      <c r="CC62" s="189"/>
      <c r="CI62" s="189"/>
      <c r="CJ62" s="195" t="str">
        <f t="array" ref="CJ62">xlookup($Y58,qualdata!$N$2:$N$17,xlookup("r1gw",qualdata!$P$1:$BR$1,qualdata!$P$2:$BR$17))&amp;"-"&amp;xlookup($Y58,qualdata!$N$2:$N$17,xlookup("r1gl",qualdata!$P$1:$BR$1,qualdata!$P$2:$BR$17))</f>
        <v>-</v>
      </c>
      <c r="CN62" s="196"/>
      <c r="CO62" s="196">
        <f t="array" ref="CO62">if(xlookup($Y58,qualdata!$N$2:$N$17,xlookup("r1rd",qualdata!$P$1:$BR$1,qualdata!$P$2:$BR$17))&gt;0,"+"&amp;xlookup($Y58,qualdata!$N$2:$N$17,xlookup("r1rd",qualdata!$P$1:$BR$1,qualdata!$P$2:$BR$17)),xlookup($Y58,qualdata!$N$2:$N$17,xlookup("r1rd",qualdata!$P$1:$BR$1,qualdata!$P$2:$BR$17)))</f>
        <v>0</v>
      </c>
      <c r="CR62" s="11"/>
      <c r="CS62" s="195" t="str">
        <f t="array" ref="CS62">xlookup($Y58,qualdata!$N$2:$N$17,xlookup("r2gw",qualdata!$P$1:$BR$1,qualdata!$P$2:$BR$17))&amp;"-"&amp;xlookup($Y58,qualdata!$N$2:$N$17,xlookup("r2gl",qualdata!$P$1:$BR$1,qualdata!$P$2:$BR$17))</f>
        <v>-</v>
      </c>
      <c r="CW62" s="196"/>
      <c r="CX62" s="196">
        <f t="array" ref="CX62">if(xlookup($Y58,qualdata!$N$2:$N$17,xlookup("r2rd",qualdata!$P$1:$BR$1,qualdata!$P$2:$BR$17))&gt;0,"+"&amp;xlookup($Y58,qualdata!$N$2:$N$17,xlookup("r2rd",qualdata!$P$1:$BR$1,qualdata!$P$2:$BR$17)),xlookup($Y58,qualdata!$N$2:$N$17,xlookup("r2rd",qualdata!$P$1:$BR$1,qualdata!$P$2:$BR$17)))</f>
        <v>0</v>
      </c>
      <c r="DA62" s="11"/>
      <c r="DB62" s="195" t="str">
        <f t="array" ref="DB62">xlookup($Y58,qualdata!$N$2:$N$17,xlookup("r3gw",qualdata!$P$1:$BR$1,qualdata!$P$2:$BR$17))&amp;"-"&amp;xlookup($Y58,qualdata!$N$2:$N$17,xlookup("r3gl",qualdata!$P$1:$BR$1,qualdata!$P$2:$BR$17))</f>
        <v>-</v>
      </c>
      <c r="DF62" s="196"/>
      <c r="DG62" s="196">
        <f t="array" ref="DG62">if(xlookup($Y58,qualdata!$N$2:$N$17,xlookup("r3rd",qualdata!$P$1:$BR$1,qualdata!$P$2:$BR$17))&gt;0,"+"&amp;xlookup($Y58,qualdata!$N$2:$N$17,xlookup("r3rd",qualdata!$P$1:$BR$1,qualdata!$P$2:$BR$17)),xlookup($Y58,qualdata!$N$2:$N$17,xlookup("r3rd",qualdata!$P$1:$BR$1,qualdata!$P$2:$BR$17)))</f>
        <v>0</v>
      </c>
      <c r="DJ62" s="11"/>
      <c r="DK62" s="195" t="str">
        <f t="array" ref="DK62">xlookup($Y58,qualdata!$N$2:$N$17,xlookup("r4gw",qualdata!$P$1:$BR$1,qualdata!$P$2:$BR$17))&amp;"-"&amp;xlookup($Y58,qualdata!$N$2:$N$17,xlookup("r4gl",qualdata!$P$1:$BR$1,qualdata!$P$2:$BR$17))</f>
        <v>-</v>
      </c>
      <c r="DO62" s="196"/>
      <c r="DP62" s="196">
        <f t="array" ref="DP62">if(xlookup($Y58,qualdata!$N$2:$N$17,xlookup("r4rd",qualdata!$P$1:$BR$1,qualdata!$P$2:$BR$17))&gt;0,"+"&amp;xlookup($Y58,qualdata!$N$2:$N$17,xlookup("r4rd",qualdata!$P$1:$BR$1,qualdata!$P$2:$BR$17)),xlookup($Y58,qualdata!$N$2:$N$17,xlookup("r4rd",qualdata!$P$1:$BR$1,qualdata!$P$2:$BR$17)))</f>
        <v>0</v>
      </c>
      <c r="DS62" s="11"/>
      <c r="DT62" s="195" t="str">
        <f t="array" ref="DT62">xlookup($Y58,qualdata!$N$2:$N$17,xlookup("r5gw",qualdata!$P$1:$BR$1,qualdata!$P$2:$BR$17))&amp;"-"&amp;xlookup($Y58,qualdata!$N$2:$N$17,xlookup("r5gl",qualdata!$P$1:$BR$1,qualdata!$P$2:$BR$17))</f>
        <v>-</v>
      </c>
      <c r="DX62" s="196"/>
      <c r="DY62" s="196">
        <f t="array" ref="DY62">if(xlookup($Y58,qualdata!$N$2:$N$17,xlookup("r5rd",qualdata!$P$1:$BR$1,qualdata!$P$2:$BR$17))&gt;0,"+"&amp;xlookup($Y58,qualdata!$N$2:$N$17,xlookup("r5rd",qualdata!$P$1:$BR$1,qualdata!$P$2:$BR$17)),xlookup($Y58,qualdata!$N$2:$N$17,xlookup("r5rd",qualdata!$P$1:$BR$1,qualdata!$P$2:$BR$17)))</f>
        <v>0</v>
      </c>
      <c r="EB62" s="11"/>
      <c r="EC62" s="152"/>
      <c r="ED62" s="152"/>
      <c r="EE62" s="152"/>
      <c r="EF62" s="152"/>
      <c r="EG62" s="152"/>
      <c r="EH62" s="152"/>
      <c r="EI62" s="152"/>
      <c r="EJ62" s="152"/>
      <c r="EK62" s="152"/>
      <c r="EL62" s="152"/>
      <c r="EM62" s="152"/>
      <c r="EN62" s="152"/>
      <c r="EO62" s="152"/>
      <c r="EP62" s="152"/>
      <c r="EQ62" s="152"/>
      <c r="ER62" s="152"/>
    </row>
    <row r="63" ht="5.25" customHeight="1">
      <c r="A63" s="152"/>
      <c r="B63" s="152"/>
      <c r="C63" s="152"/>
      <c r="D63" s="152"/>
      <c r="E63" s="152"/>
      <c r="F63" s="152"/>
      <c r="G63" s="152"/>
      <c r="H63" s="152"/>
      <c r="I63" s="152"/>
      <c r="J63" s="152"/>
      <c r="K63" s="152"/>
      <c r="L63" s="152"/>
      <c r="Q63" s="152"/>
      <c r="R63" s="10"/>
      <c r="X63" s="189"/>
      <c r="BB63" s="189"/>
      <c r="BK63" s="189"/>
      <c r="BT63" s="189"/>
      <c r="CC63" s="189"/>
      <c r="CI63" s="189"/>
      <c r="CJ63" s="10"/>
      <c r="CR63" s="11"/>
      <c r="CS63" s="10"/>
      <c r="DA63" s="11"/>
      <c r="DB63" s="10"/>
      <c r="DJ63" s="11"/>
      <c r="DK63" s="10"/>
      <c r="DS63" s="11"/>
      <c r="DT63" s="10"/>
      <c r="EB63" s="11"/>
      <c r="EC63" s="152"/>
      <c r="ED63" s="152"/>
      <c r="EE63" s="152"/>
      <c r="EF63" s="152"/>
      <c r="EG63" s="152"/>
      <c r="EH63" s="152"/>
      <c r="EI63" s="152"/>
      <c r="EJ63" s="152"/>
      <c r="EK63" s="152"/>
      <c r="EL63" s="152"/>
      <c r="EM63" s="152"/>
      <c r="EN63" s="152"/>
      <c r="EO63" s="152"/>
      <c r="EP63" s="152"/>
      <c r="EQ63" s="152"/>
      <c r="ER63" s="152"/>
    </row>
    <row r="64" ht="5.25" customHeight="1">
      <c r="A64" s="152"/>
      <c r="B64" s="152"/>
      <c r="C64" s="152"/>
      <c r="D64" s="152"/>
      <c r="E64" s="152"/>
      <c r="F64" s="152"/>
      <c r="G64" s="152"/>
      <c r="H64" s="152"/>
      <c r="I64" s="152"/>
      <c r="J64" s="152"/>
      <c r="K64" s="152"/>
      <c r="L64" s="152"/>
      <c r="Q64" s="152"/>
      <c r="R64" s="197"/>
      <c r="S64" s="198"/>
      <c r="T64" s="198"/>
      <c r="U64" s="198"/>
      <c r="V64" s="198"/>
      <c r="W64" s="198"/>
      <c r="X64" s="198"/>
      <c r="Y64" s="198"/>
      <c r="Z64" s="198"/>
      <c r="AA64" s="198"/>
      <c r="AB64" s="198"/>
      <c r="AC64" s="198"/>
      <c r="AD64" s="198"/>
      <c r="AE64" s="198"/>
      <c r="AF64" s="198"/>
      <c r="AG64" s="198"/>
      <c r="AH64" s="198"/>
      <c r="AI64" s="198"/>
      <c r="AJ64" s="198"/>
      <c r="AK64" s="198"/>
      <c r="AL64" s="198"/>
      <c r="AM64" s="198"/>
      <c r="AN64" s="198"/>
      <c r="AO64" s="198"/>
      <c r="AP64" s="198"/>
      <c r="AQ64" s="198"/>
      <c r="AR64" s="198"/>
      <c r="AS64" s="198"/>
      <c r="AT64" s="198"/>
      <c r="AU64" s="198"/>
      <c r="AV64" s="198"/>
      <c r="AW64" s="198"/>
      <c r="AX64" s="198"/>
      <c r="AY64" s="198"/>
      <c r="AZ64" s="198"/>
      <c r="BA64" s="198"/>
      <c r="BB64" s="198"/>
      <c r="BC64" s="198"/>
      <c r="BD64" s="198"/>
      <c r="BE64" s="198"/>
      <c r="BF64" s="198"/>
      <c r="BG64" s="198"/>
      <c r="BH64" s="198"/>
      <c r="BI64" s="198"/>
      <c r="BJ64" s="198"/>
      <c r="BK64" s="198"/>
      <c r="BL64" s="198"/>
      <c r="BM64" s="198"/>
      <c r="BN64" s="198"/>
      <c r="BO64" s="198"/>
      <c r="BP64" s="198"/>
      <c r="BQ64" s="198"/>
      <c r="BR64" s="198"/>
      <c r="BS64" s="198"/>
      <c r="BT64" s="198"/>
      <c r="BU64" s="198"/>
      <c r="BV64" s="198"/>
      <c r="BW64" s="198"/>
      <c r="BX64" s="198"/>
      <c r="BY64" s="198"/>
      <c r="BZ64" s="198"/>
      <c r="CA64" s="198"/>
      <c r="CB64" s="198"/>
      <c r="CC64" s="198"/>
      <c r="CD64" s="198"/>
      <c r="CE64" s="198"/>
      <c r="CF64" s="198"/>
      <c r="CG64" s="198"/>
      <c r="CH64" s="198"/>
      <c r="CI64" s="198"/>
      <c r="CJ64" s="12"/>
      <c r="CK64" s="13"/>
      <c r="CL64" s="13"/>
      <c r="CM64" s="13"/>
      <c r="CN64" s="13"/>
      <c r="CO64" s="13"/>
      <c r="CP64" s="13"/>
      <c r="CQ64" s="13"/>
      <c r="CR64" s="14"/>
      <c r="CS64" s="12"/>
      <c r="CT64" s="13"/>
      <c r="CU64" s="13"/>
      <c r="CV64" s="13"/>
      <c r="CW64" s="13"/>
      <c r="CX64" s="13"/>
      <c r="CY64" s="13"/>
      <c r="CZ64" s="13"/>
      <c r="DA64" s="14"/>
      <c r="DB64" s="12"/>
      <c r="DC64" s="13"/>
      <c r="DD64" s="13"/>
      <c r="DE64" s="13"/>
      <c r="DF64" s="13"/>
      <c r="DG64" s="13"/>
      <c r="DH64" s="13"/>
      <c r="DI64" s="13"/>
      <c r="DJ64" s="14"/>
      <c r="DK64" s="12"/>
      <c r="DL64" s="13"/>
      <c r="DM64" s="13"/>
      <c r="DN64" s="13"/>
      <c r="DO64" s="13"/>
      <c r="DP64" s="13"/>
      <c r="DQ64" s="13"/>
      <c r="DR64" s="13"/>
      <c r="DS64" s="14"/>
      <c r="DT64" s="12"/>
      <c r="DU64" s="13"/>
      <c r="DV64" s="13"/>
      <c r="DW64" s="13"/>
      <c r="DX64" s="13"/>
      <c r="DY64" s="13"/>
      <c r="DZ64" s="13"/>
      <c r="EA64" s="13"/>
      <c r="EB64" s="14"/>
      <c r="EC64" s="152"/>
      <c r="ED64" s="152"/>
      <c r="EE64" s="152"/>
      <c r="EF64" s="152"/>
      <c r="EG64" s="152"/>
      <c r="EH64" s="152"/>
      <c r="EI64" s="152"/>
      <c r="EJ64" s="152"/>
      <c r="EK64" s="152"/>
      <c r="EL64" s="152"/>
      <c r="EM64" s="152"/>
      <c r="EN64" s="152"/>
      <c r="EO64" s="152"/>
      <c r="EP64" s="152"/>
      <c r="EQ64" s="152"/>
      <c r="ER64" s="152"/>
    </row>
    <row r="65" ht="5.25" customHeight="1">
      <c r="A65" s="152"/>
      <c r="B65" s="152"/>
      <c r="C65" s="152"/>
      <c r="D65" s="152"/>
      <c r="E65" s="152"/>
      <c r="F65" s="152"/>
      <c r="G65" s="152"/>
      <c r="H65" s="152"/>
      <c r="I65" s="152"/>
      <c r="J65" s="152"/>
      <c r="K65" s="152"/>
      <c r="L65" s="152"/>
      <c r="M65" s="177" t="str">
        <f>Q65&amp;"."</f>
        <v>8.</v>
      </c>
      <c r="Q65" s="181">
        <v>8.0</v>
      </c>
      <c r="R65" s="182"/>
      <c r="S65" s="183"/>
      <c r="T65" s="183"/>
      <c r="U65" s="183"/>
      <c r="V65" s="183"/>
      <c r="W65" s="183"/>
      <c r="X65" s="183"/>
      <c r="Y65" s="183"/>
      <c r="Z65" s="183"/>
      <c r="AA65" s="183"/>
      <c r="AB65" s="183"/>
      <c r="AC65" s="183"/>
      <c r="AD65" s="183"/>
      <c r="AE65" s="183"/>
      <c r="AF65" s="183"/>
      <c r="AG65" s="183"/>
      <c r="AH65" s="183"/>
      <c r="AI65" s="183"/>
      <c r="AJ65" s="183"/>
      <c r="AK65" s="183"/>
      <c r="AL65" s="183"/>
      <c r="AM65" s="183"/>
      <c r="AN65" s="183"/>
      <c r="AO65" s="183"/>
      <c r="AP65" s="183"/>
      <c r="AQ65" s="183"/>
      <c r="AR65" s="183"/>
      <c r="AS65" s="183"/>
      <c r="AT65" s="183"/>
      <c r="AU65" s="183"/>
      <c r="AV65" s="183"/>
      <c r="AW65" s="183"/>
      <c r="AX65" s="183"/>
      <c r="AY65" s="183"/>
      <c r="AZ65" s="183"/>
      <c r="BA65" s="183"/>
      <c r="BB65" s="183"/>
      <c r="BC65" s="183"/>
      <c r="BD65" s="183"/>
      <c r="BE65" s="183"/>
      <c r="BF65" s="183"/>
      <c r="BG65" s="183"/>
      <c r="BH65" s="183"/>
      <c r="BI65" s="183"/>
      <c r="BJ65" s="183"/>
      <c r="BK65" s="183"/>
      <c r="BL65" s="183"/>
      <c r="BM65" s="183"/>
      <c r="BN65" s="183"/>
      <c r="BO65" s="183"/>
      <c r="BP65" s="183"/>
      <c r="BQ65" s="183"/>
      <c r="BR65" s="183"/>
      <c r="BS65" s="183"/>
      <c r="BT65" s="183"/>
      <c r="BU65" s="183"/>
      <c r="BV65" s="183"/>
      <c r="BW65" s="183"/>
      <c r="BX65" s="183"/>
      <c r="BY65" s="183"/>
      <c r="BZ65" s="183"/>
      <c r="CA65" s="183"/>
      <c r="CB65" s="183"/>
      <c r="CC65" s="183"/>
      <c r="CD65" s="183"/>
      <c r="CE65" s="183"/>
      <c r="CF65" s="183"/>
      <c r="CG65" s="183"/>
      <c r="CH65" s="183"/>
      <c r="CI65" s="183"/>
      <c r="CJ65" s="185" t="str">
        <f t="array" ref="CJ65">xlookup($Y66,qualdata!$N$2:$N$17,xlookup("r1Ser",qualdata!$P$1:$BR$1,qualdata!$P$2:$BR$17,""))</f>
        <v/>
      </c>
      <c r="CK65" s="8"/>
      <c r="CL65" s="186" t="str">
        <f t="array" ref="CL65">xlookup(xlookup($Y66,qualdata!$N$2:$N$17,xlookup("r1op",qualdata!$P$1:$BR$1,qualdata!$P$2:$BR$17,"")),qualdata!$M$2:$M$17,qualdata!$O$2:$O$17,"")</f>
        <v/>
      </c>
      <c r="CM65" s="8"/>
      <c r="CN65" s="8"/>
      <c r="CO65" s="8"/>
      <c r="CP65" s="8"/>
      <c r="CQ65" s="187"/>
      <c r="CR65" s="9"/>
      <c r="CS65" s="185" t="str">
        <f t="array" ref="CS65">xlookup($Y66,qualdata!$N$2:$N$17,xlookup("r2Ser",qualdata!$P$1:$BR$1,qualdata!$P$2:$BR$17,""))</f>
        <v/>
      </c>
      <c r="CT65" s="8"/>
      <c r="CU65" s="186" t="str">
        <f t="array" ref="CU65">xlookup(xlookup($Y66,qualdata!$N$2:$N$17,xlookup("r2op",qualdata!$P$1:$BR$1,qualdata!$P$2:$BR$17,"")),qualdata!$M$2:$M$17,qualdata!$O$2:$O$17,"")</f>
        <v/>
      </c>
      <c r="CV65" s="8"/>
      <c r="CW65" s="8"/>
      <c r="CX65" s="8"/>
      <c r="CY65" s="8"/>
      <c r="CZ65" s="187"/>
      <c r="DA65" s="9"/>
      <c r="DB65" s="185" t="str">
        <f t="array" ref="DB65">xlookup($Y66,qualdata!$N$2:$N$17,xlookup("r3Ser",qualdata!$P$1:$BR$1,qualdata!$P$2:$BR$17,""))</f>
        <v/>
      </c>
      <c r="DC65" s="8"/>
      <c r="DD65" s="186" t="str">
        <f t="array" ref="DD65">xlookup(xlookup($Y66,qualdata!$N$2:$N$17,xlookup("r3op",qualdata!$P$1:$BR$1,qualdata!$P$2:$BR$17,"")),qualdata!$M$2:$M$17,qualdata!$O$2:$O$17,"")</f>
        <v/>
      </c>
      <c r="DE65" s="8"/>
      <c r="DF65" s="8"/>
      <c r="DG65" s="8"/>
      <c r="DH65" s="8"/>
      <c r="DI65" s="187"/>
      <c r="DJ65" s="9"/>
      <c r="DK65" s="185" t="str">
        <f t="array" ref="DK65">xlookup($Y66,qualdata!$N$2:$N$17,xlookup("r4Ser",qualdata!$P$1:$BR$1,qualdata!$P$2:$BR$17,""))</f>
        <v/>
      </c>
      <c r="DL65" s="8"/>
      <c r="DM65" s="186" t="str">
        <f t="array" ref="DM65">xlookup(xlookup($Y66,qualdata!$N$2:$N$17,xlookup("r4op",qualdata!$P$1:$BR$1,qualdata!$P$2:$BR$17,"")),qualdata!$M$2:$M$17,qualdata!$O$2:$O$17,"")</f>
        <v/>
      </c>
      <c r="DN65" s="8"/>
      <c r="DO65" s="8"/>
      <c r="DP65" s="8"/>
      <c r="DQ65" s="8"/>
      <c r="DR65" s="187"/>
      <c r="DS65" s="9"/>
      <c r="DT65" s="185" t="str">
        <f t="array" ref="DT65">xlookup($Y66,qualdata!$N$2:$N$17,xlookup("r5Ser",qualdata!$P$1:$BR$1,qualdata!$P$2:$BR$17,""))</f>
        <v/>
      </c>
      <c r="DU65" s="8"/>
      <c r="DV65" s="186" t="str">
        <f t="array" ref="DV65">xlookup(xlookup($Y66,qualdata!$N$2:$N$17,xlookup("r5op",qualdata!$P$1:$BR$1,qualdata!$P$2:$BR$17,"")),qualdata!$M$2:$M$17,qualdata!$O$2:$O$17,"")</f>
        <v/>
      </c>
      <c r="DW65" s="8"/>
      <c r="DX65" s="8"/>
      <c r="DY65" s="8"/>
      <c r="DZ65" s="8"/>
      <c r="EA65" s="187"/>
      <c r="EB65" s="9"/>
      <c r="EC65" s="152"/>
      <c r="ED65" s="152"/>
      <c r="EE65" s="152"/>
      <c r="EF65" s="152"/>
      <c r="EG65" s="152"/>
      <c r="EH65" s="152"/>
      <c r="EI65" s="152"/>
      <c r="EJ65" s="152"/>
      <c r="EK65" s="152"/>
      <c r="EL65" s="152"/>
      <c r="EM65" s="152"/>
      <c r="EN65" s="152"/>
      <c r="EO65" s="152"/>
      <c r="EP65" s="152"/>
      <c r="EQ65" s="152"/>
      <c r="ER65" s="152"/>
    </row>
    <row r="66" ht="5.25" customHeight="1">
      <c r="A66" s="152"/>
      <c r="B66" s="152"/>
      <c r="C66" s="152"/>
      <c r="D66" s="152"/>
      <c r="E66" s="152"/>
      <c r="F66" s="152"/>
      <c r="G66" s="152"/>
      <c r="H66" s="152"/>
      <c r="I66" s="152"/>
      <c r="J66" s="152"/>
      <c r="K66" s="152"/>
      <c r="L66" s="152"/>
      <c r="Q66" s="152"/>
      <c r="R66" s="188" t="str">
        <f t="array" ref="R66">xlookup(Y66,qualdata!$N$2:$N$17,qualdata!$O$2:$O$17,"")</f>
        <v/>
      </c>
      <c r="X66" s="189"/>
      <c r="Y66" s="190" t="str">
        <f t="array" ref="Y66">xlookup(Q65,qualdata!$G$24:$G$39,qualdata!$A$24:$A$39,"")</f>
        <v>Team 8 (Group 1)</v>
      </c>
      <c r="BB66" s="189"/>
      <c r="BC66" s="191" t="str">
        <f t="array" ref="BC66">xlookup(Y66,qualdata!$A$24:$A$39,qualdata!$B$24:$B$39,"")</f>
        <v>0-0</v>
      </c>
      <c r="BK66" s="189"/>
      <c r="BL66" s="192" t="str">
        <f t="array" ref="BL66">xlookup(Y66,qualdata!$A$24:$A$39,qualdata!$C$24:$C$39,"")</f>
        <v>0-0</v>
      </c>
      <c r="BT66" s="189"/>
      <c r="BU66" s="193" t="str">
        <f t="array" ref="BU66">xlookup(Y66,qualdata!$A$24:$A$39,qualdata!$D$24:$D$39,"")</f>
        <v>0-0</v>
      </c>
      <c r="CC66" s="189"/>
      <c r="CD66" s="193">
        <f t="array" ref="CD66">xlookup(Y66,qualdata!$A$24:$A$39,qualdata!$F$24:$F$39,"")</f>
        <v>0</v>
      </c>
      <c r="CI66" s="189"/>
      <c r="CJ66" s="10"/>
      <c r="CR66" s="11"/>
      <c r="CS66" s="10"/>
      <c r="DA66" s="11"/>
      <c r="DB66" s="10"/>
      <c r="DJ66" s="11"/>
      <c r="DK66" s="10"/>
      <c r="DS66" s="11"/>
      <c r="DT66" s="10"/>
      <c r="EB66" s="11"/>
      <c r="EC66" s="152"/>
      <c r="ED66" s="152"/>
      <c r="EE66" s="152"/>
      <c r="EF66" s="152"/>
      <c r="EG66" s="152"/>
      <c r="EH66" s="152"/>
      <c r="EI66" s="152"/>
      <c r="EJ66" s="152"/>
      <c r="EK66" s="152"/>
      <c r="EL66" s="152"/>
      <c r="EM66" s="152"/>
      <c r="EN66" s="152"/>
      <c r="EO66" s="152"/>
      <c r="EP66" s="152"/>
      <c r="EQ66" s="152"/>
      <c r="ER66" s="152"/>
    </row>
    <row r="67" ht="5.25" customHeight="1">
      <c r="A67" s="152"/>
      <c r="B67" s="152"/>
      <c r="C67" s="152"/>
      <c r="D67" s="152"/>
      <c r="E67" s="152"/>
      <c r="F67" s="152"/>
      <c r="G67" s="152"/>
      <c r="H67" s="152"/>
      <c r="I67" s="152"/>
      <c r="J67" s="152"/>
      <c r="K67" s="152"/>
      <c r="L67" s="152"/>
      <c r="Q67" s="152"/>
      <c r="R67" s="10"/>
      <c r="X67" s="189"/>
      <c r="BB67" s="189"/>
      <c r="BK67" s="189"/>
      <c r="BT67" s="189"/>
      <c r="CC67" s="189"/>
      <c r="CI67" s="189"/>
      <c r="CJ67" s="10"/>
      <c r="CR67" s="11"/>
      <c r="CS67" s="10"/>
      <c r="DA67" s="11"/>
      <c r="DB67" s="10"/>
      <c r="DJ67" s="11"/>
      <c r="DK67" s="10"/>
      <c r="DS67" s="11"/>
      <c r="DT67" s="10"/>
      <c r="EB67" s="11"/>
      <c r="EC67" s="152"/>
      <c r="ED67" s="152"/>
      <c r="EE67" s="152"/>
      <c r="EF67" s="152"/>
      <c r="EG67" s="152"/>
      <c r="EH67" s="152"/>
      <c r="EI67" s="152"/>
      <c r="EJ67" s="152"/>
      <c r="EK67" s="152"/>
      <c r="EL67" s="152"/>
      <c r="EM67" s="152"/>
      <c r="EN67" s="152"/>
      <c r="EO67" s="152"/>
      <c r="EP67" s="152"/>
      <c r="EQ67" s="152"/>
      <c r="ER67" s="152"/>
    </row>
    <row r="68" ht="5.25" customHeight="1">
      <c r="A68" s="152"/>
      <c r="B68" s="152"/>
      <c r="C68" s="152"/>
      <c r="D68" s="152"/>
      <c r="E68" s="152"/>
      <c r="F68" s="152"/>
      <c r="G68" s="152"/>
      <c r="H68" s="152"/>
      <c r="I68" s="152"/>
      <c r="J68" s="152"/>
      <c r="K68" s="152"/>
      <c r="L68" s="152"/>
      <c r="Q68" s="152"/>
      <c r="R68" s="10"/>
      <c r="X68" s="189"/>
      <c r="BB68" s="189"/>
      <c r="BK68" s="189"/>
      <c r="BT68" s="189"/>
      <c r="CC68" s="189"/>
      <c r="CI68" s="189"/>
      <c r="CJ68" s="10"/>
      <c r="CR68" s="11"/>
      <c r="CS68" s="10"/>
      <c r="DA68" s="11"/>
      <c r="DB68" s="10"/>
      <c r="DJ68" s="11"/>
      <c r="DK68" s="10"/>
      <c r="DS68" s="11"/>
      <c r="DT68" s="10"/>
      <c r="EB68" s="11"/>
      <c r="EC68" s="152"/>
      <c r="ED68" s="152"/>
      <c r="EE68" s="152"/>
      <c r="EF68" s="152"/>
      <c r="EG68" s="152"/>
      <c r="EH68" s="152"/>
      <c r="EI68" s="152"/>
      <c r="EJ68" s="152"/>
      <c r="EK68" s="152"/>
      <c r="EL68" s="152"/>
      <c r="EM68" s="152"/>
      <c r="EN68" s="152"/>
      <c r="EO68" s="152"/>
      <c r="EP68" s="152"/>
      <c r="EQ68" s="152"/>
      <c r="ER68" s="152"/>
    </row>
    <row r="69" ht="5.25" customHeight="1">
      <c r="A69" s="152"/>
      <c r="B69" s="152"/>
      <c r="C69" s="152"/>
      <c r="D69" s="152"/>
      <c r="E69" s="152"/>
      <c r="F69" s="152"/>
      <c r="G69" s="152"/>
      <c r="H69" s="152"/>
      <c r="I69" s="152"/>
      <c r="J69" s="152"/>
      <c r="K69" s="152"/>
      <c r="L69" s="152"/>
      <c r="Q69" s="152"/>
      <c r="R69" s="10"/>
      <c r="X69" s="189"/>
      <c r="BB69" s="189"/>
      <c r="BK69" s="189"/>
      <c r="BT69" s="189"/>
      <c r="CC69" s="189"/>
      <c r="CI69" s="189"/>
      <c r="CJ69" s="10"/>
      <c r="CR69" s="11"/>
      <c r="CS69" s="10"/>
      <c r="DA69" s="11"/>
      <c r="DB69" s="10"/>
      <c r="DJ69" s="11"/>
      <c r="DK69" s="10"/>
      <c r="DS69" s="11"/>
      <c r="DT69" s="10"/>
      <c r="EB69" s="11"/>
      <c r="EC69" s="152"/>
      <c r="ED69" s="152"/>
      <c r="EE69" s="152"/>
      <c r="EF69" s="152"/>
      <c r="EG69" s="152"/>
      <c r="EH69" s="152"/>
      <c r="EI69" s="152"/>
      <c r="EJ69" s="152"/>
      <c r="EK69" s="152"/>
      <c r="EL69" s="152"/>
      <c r="EM69" s="152"/>
      <c r="EN69" s="152"/>
      <c r="EO69" s="152"/>
      <c r="EP69" s="152"/>
      <c r="EQ69" s="152"/>
      <c r="ER69" s="152"/>
    </row>
    <row r="70" ht="5.25" customHeight="1">
      <c r="A70" s="152"/>
      <c r="B70" s="152"/>
      <c r="C70" s="152"/>
      <c r="D70" s="152"/>
      <c r="E70" s="152"/>
      <c r="F70" s="152"/>
      <c r="G70" s="152"/>
      <c r="H70" s="152"/>
      <c r="I70" s="152"/>
      <c r="J70" s="152"/>
      <c r="K70" s="152"/>
      <c r="L70" s="152"/>
      <c r="Q70" s="152"/>
      <c r="R70" s="10"/>
      <c r="X70" s="189"/>
      <c r="BB70" s="189"/>
      <c r="BK70" s="189"/>
      <c r="BT70" s="189"/>
      <c r="CC70" s="189"/>
      <c r="CI70" s="189"/>
      <c r="CJ70" s="195" t="str">
        <f t="array" ref="CJ70">xlookup($Y66,qualdata!$N$2:$N$17,xlookup("r1gw",qualdata!$P$1:$BR$1,qualdata!$P$2:$BR$17))&amp;"-"&amp;xlookup($Y66,qualdata!$N$2:$N$17,xlookup("r1gl",qualdata!$P$1:$BR$1,qualdata!$P$2:$BR$17))</f>
        <v>-</v>
      </c>
      <c r="CN70" s="196"/>
      <c r="CO70" s="196">
        <f t="array" ref="CO70">if(xlookup($Y66,qualdata!$N$2:$N$17,xlookup("r1rd",qualdata!$P$1:$BR$1,qualdata!$P$2:$BR$17))&gt;0,"+"&amp;xlookup($Y66,qualdata!$N$2:$N$17,xlookup("r1rd",qualdata!$P$1:$BR$1,qualdata!$P$2:$BR$17)),xlookup($Y66,qualdata!$N$2:$N$17,xlookup("r1rd",qualdata!$P$1:$BR$1,qualdata!$P$2:$BR$17)))</f>
        <v>0</v>
      </c>
      <c r="CR70" s="11"/>
      <c r="CS70" s="195" t="str">
        <f t="array" ref="CS70">xlookup($Y66,qualdata!$N$2:$N$17,xlookup("r2gw",qualdata!$P$1:$BR$1,qualdata!$P$2:$BR$17))&amp;"-"&amp;xlookup($Y66,qualdata!$N$2:$N$17,xlookup("r2gl",qualdata!$P$1:$BR$1,qualdata!$P$2:$BR$17))</f>
        <v>-</v>
      </c>
      <c r="CW70" s="196"/>
      <c r="CX70" s="196">
        <f t="array" ref="CX70">if(xlookup($Y66,qualdata!$N$2:$N$17,xlookup("r2rd",qualdata!$P$1:$BR$1,qualdata!$P$2:$BR$17))&gt;0,"+"&amp;xlookup($Y66,qualdata!$N$2:$N$17,xlookup("r2rd",qualdata!$P$1:$BR$1,qualdata!$P$2:$BR$17)),xlookup($Y66,qualdata!$N$2:$N$17,xlookup("r2rd",qualdata!$P$1:$BR$1,qualdata!$P$2:$BR$17)))</f>
        <v>0</v>
      </c>
      <c r="DA70" s="11"/>
      <c r="DB70" s="195" t="str">
        <f t="array" ref="DB70">xlookup($Y66,qualdata!$N$2:$N$17,xlookup("r3gw",qualdata!$P$1:$BR$1,qualdata!$P$2:$BR$17))&amp;"-"&amp;xlookup($Y66,qualdata!$N$2:$N$17,xlookup("r3gl",qualdata!$P$1:$BR$1,qualdata!$P$2:$BR$17))</f>
        <v>-</v>
      </c>
      <c r="DF70" s="196"/>
      <c r="DG70" s="196">
        <f t="array" ref="DG70">if(xlookup($Y66,qualdata!$N$2:$N$17,xlookup("r3rd",qualdata!$P$1:$BR$1,qualdata!$P$2:$BR$17))&gt;0,"+"&amp;xlookup($Y66,qualdata!$N$2:$N$17,xlookup("r3rd",qualdata!$P$1:$BR$1,qualdata!$P$2:$BR$17)),xlookup($Y66,qualdata!$N$2:$N$17,xlookup("r3rd",qualdata!$P$1:$BR$1,qualdata!$P$2:$BR$17)))</f>
        <v>0</v>
      </c>
      <c r="DJ70" s="11"/>
      <c r="DK70" s="195" t="str">
        <f t="array" ref="DK70">xlookup($Y66,qualdata!$N$2:$N$17,xlookup("r4gw",qualdata!$P$1:$BR$1,qualdata!$P$2:$BR$17))&amp;"-"&amp;xlookup($Y66,qualdata!$N$2:$N$17,xlookup("r4gl",qualdata!$P$1:$BR$1,qualdata!$P$2:$BR$17))</f>
        <v>-</v>
      </c>
      <c r="DO70" s="196"/>
      <c r="DP70" s="196">
        <f t="array" ref="DP70">if(xlookup($Y66,qualdata!$N$2:$N$17,xlookup("r4rd",qualdata!$P$1:$BR$1,qualdata!$P$2:$BR$17))&gt;0,"+"&amp;xlookup($Y66,qualdata!$N$2:$N$17,xlookup("r4rd",qualdata!$P$1:$BR$1,qualdata!$P$2:$BR$17)),xlookup($Y66,qualdata!$N$2:$N$17,xlookup("r4rd",qualdata!$P$1:$BR$1,qualdata!$P$2:$BR$17)))</f>
        <v>0</v>
      </c>
      <c r="DS70" s="11"/>
      <c r="DT70" s="195" t="str">
        <f t="array" ref="DT70">xlookup($Y66,qualdata!$N$2:$N$17,xlookup("r5gw",qualdata!$P$1:$BR$1,qualdata!$P$2:$BR$17))&amp;"-"&amp;xlookup($Y66,qualdata!$N$2:$N$17,xlookup("r5gl",qualdata!$P$1:$BR$1,qualdata!$P$2:$BR$17))</f>
        <v>-</v>
      </c>
      <c r="DX70" s="196"/>
      <c r="DY70" s="196">
        <f t="array" ref="DY70">if(xlookup($Y66,qualdata!$N$2:$N$17,xlookup("r5rd",qualdata!$P$1:$BR$1,qualdata!$P$2:$BR$17))&gt;0,"+"&amp;xlookup($Y66,qualdata!$N$2:$N$17,xlookup("r5rd",qualdata!$P$1:$BR$1,qualdata!$P$2:$BR$17)),xlookup($Y66,qualdata!$N$2:$N$17,xlookup("r5rd",qualdata!$P$1:$BR$1,qualdata!$P$2:$BR$17)))</f>
        <v>0</v>
      </c>
      <c r="EB70" s="11"/>
      <c r="EC70" s="152"/>
      <c r="ED70" s="152"/>
      <c r="EE70" s="152"/>
      <c r="EF70" s="152"/>
      <c r="EG70" s="152"/>
      <c r="EH70" s="152"/>
      <c r="EI70" s="152"/>
      <c r="EJ70" s="152"/>
      <c r="EK70" s="152"/>
      <c r="EL70" s="152"/>
      <c r="EM70" s="152"/>
      <c r="EN70" s="152"/>
      <c r="EO70" s="152"/>
      <c r="EP70" s="152"/>
      <c r="EQ70" s="152"/>
      <c r="ER70" s="152"/>
    </row>
    <row r="71" ht="5.25" customHeight="1">
      <c r="A71" s="152"/>
      <c r="B71" s="152"/>
      <c r="C71" s="152"/>
      <c r="D71" s="152"/>
      <c r="E71" s="152"/>
      <c r="F71" s="152"/>
      <c r="G71" s="152"/>
      <c r="H71" s="152"/>
      <c r="I71" s="152"/>
      <c r="J71" s="152"/>
      <c r="K71" s="152"/>
      <c r="L71" s="152"/>
      <c r="Q71" s="152"/>
      <c r="R71" s="10"/>
      <c r="X71" s="189"/>
      <c r="BB71" s="189"/>
      <c r="BK71" s="189"/>
      <c r="BT71" s="189"/>
      <c r="CC71" s="189"/>
      <c r="CI71" s="189"/>
      <c r="CJ71" s="10"/>
      <c r="CR71" s="11"/>
      <c r="CS71" s="10"/>
      <c r="DA71" s="11"/>
      <c r="DB71" s="10"/>
      <c r="DJ71" s="11"/>
      <c r="DK71" s="10"/>
      <c r="DS71" s="11"/>
      <c r="DT71" s="10"/>
      <c r="EB71" s="11"/>
      <c r="EC71" s="152"/>
      <c r="ED71" s="152"/>
      <c r="EE71" s="152"/>
      <c r="EF71" s="152"/>
      <c r="EG71" s="152"/>
      <c r="EH71" s="152"/>
      <c r="EI71" s="152"/>
      <c r="EJ71" s="152"/>
      <c r="EK71" s="152"/>
      <c r="EL71" s="152"/>
      <c r="EM71" s="152"/>
      <c r="EN71" s="152"/>
      <c r="EO71" s="152"/>
      <c r="EP71" s="152"/>
      <c r="EQ71" s="152"/>
      <c r="ER71" s="152"/>
    </row>
    <row r="72" ht="5.25" customHeight="1">
      <c r="A72" s="152"/>
      <c r="B72" s="152"/>
      <c r="C72" s="152"/>
      <c r="D72" s="152"/>
      <c r="E72" s="152"/>
      <c r="F72" s="152"/>
      <c r="G72" s="152"/>
      <c r="H72" s="152"/>
      <c r="I72" s="152"/>
      <c r="J72" s="152"/>
      <c r="K72" s="152"/>
      <c r="L72" s="152"/>
      <c r="Q72" s="152"/>
      <c r="R72" s="197"/>
      <c r="S72" s="198"/>
      <c r="T72" s="198"/>
      <c r="U72" s="198"/>
      <c r="V72" s="198"/>
      <c r="W72" s="198"/>
      <c r="X72" s="198"/>
      <c r="Y72" s="198"/>
      <c r="Z72" s="198"/>
      <c r="AA72" s="198"/>
      <c r="AB72" s="198"/>
      <c r="AC72" s="198"/>
      <c r="AD72" s="198"/>
      <c r="AE72" s="198"/>
      <c r="AF72" s="198"/>
      <c r="AG72" s="198"/>
      <c r="AH72" s="198"/>
      <c r="AI72" s="198"/>
      <c r="AJ72" s="198"/>
      <c r="AK72" s="198"/>
      <c r="AL72" s="198"/>
      <c r="AM72" s="198"/>
      <c r="AN72" s="198"/>
      <c r="AO72" s="198"/>
      <c r="AP72" s="198"/>
      <c r="AQ72" s="198"/>
      <c r="AR72" s="198"/>
      <c r="AS72" s="198"/>
      <c r="AT72" s="198"/>
      <c r="AU72" s="198"/>
      <c r="AV72" s="198"/>
      <c r="AW72" s="198"/>
      <c r="AX72" s="198"/>
      <c r="AY72" s="198"/>
      <c r="AZ72" s="198"/>
      <c r="BA72" s="198"/>
      <c r="BB72" s="198"/>
      <c r="BC72" s="198"/>
      <c r="BD72" s="198"/>
      <c r="BE72" s="198"/>
      <c r="BF72" s="198"/>
      <c r="BG72" s="198"/>
      <c r="BH72" s="198"/>
      <c r="BI72" s="198"/>
      <c r="BJ72" s="198"/>
      <c r="BK72" s="198"/>
      <c r="BL72" s="198"/>
      <c r="BM72" s="198"/>
      <c r="BN72" s="198"/>
      <c r="BO72" s="198"/>
      <c r="BP72" s="198"/>
      <c r="BQ72" s="198"/>
      <c r="BR72" s="198"/>
      <c r="BS72" s="198"/>
      <c r="BT72" s="198"/>
      <c r="BU72" s="198"/>
      <c r="BV72" s="198"/>
      <c r="BW72" s="198"/>
      <c r="BX72" s="198"/>
      <c r="BY72" s="198"/>
      <c r="BZ72" s="198"/>
      <c r="CA72" s="198"/>
      <c r="CB72" s="198"/>
      <c r="CC72" s="198"/>
      <c r="CD72" s="198"/>
      <c r="CE72" s="198"/>
      <c r="CF72" s="198"/>
      <c r="CG72" s="198"/>
      <c r="CH72" s="198"/>
      <c r="CI72" s="198"/>
      <c r="CJ72" s="12"/>
      <c r="CK72" s="13"/>
      <c r="CL72" s="13"/>
      <c r="CM72" s="13"/>
      <c r="CN72" s="13"/>
      <c r="CO72" s="13"/>
      <c r="CP72" s="13"/>
      <c r="CQ72" s="13"/>
      <c r="CR72" s="14"/>
      <c r="CS72" s="12"/>
      <c r="CT72" s="13"/>
      <c r="CU72" s="13"/>
      <c r="CV72" s="13"/>
      <c r="CW72" s="13"/>
      <c r="CX72" s="13"/>
      <c r="CY72" s="13"/>
      <c r="CZ72" s="13"/>
      <c r="DA72" s="14"/>
      <c r="DB72" s="12"/>
      <c r="DC72" s="13"/>
      <c r="DD72" s="13"/>
      <c r="DE72" s="13"/>
      <c r="DF72" s="13"/>
      <c r="DG72" s="13"/>
      <c r="DH72" s="13"/>
      <c r="DI72" s="13"/>
      <c r="DJ72" s="14"/>
      <c r="DK72" s="12"/>
      <c r="DL72" s="13"/>
      <c r="DM72" s="13"/>
      <c r="DN72" s="13"/>
      <c r="DO72" s="13"/>
      <c r="DP72" s="13"/>
      <c r="DQ72" s="13"/>
      <c r="DR72" s="13"/>
      <c r="DS72" s="14"/>
      <c r="DT72" s="12"/>
      <c r="DU72" s="13"/>
      <c r="DV72" s="13"/>
      <c r="DW72" s="13"/>
      <c r="DX72" s="13"/>
      <c r="DY72" s="13"/>
      <c r="DZ72" s="13"/>
      <c r="EA72" s="13"/>
      <c r="EB72" s="14"/>
      <c r="EC72" s="152"/>
      <c r="ED72" s="152"/>
      <c r="EE72" s="152"/>
      <c r="EF72" s="152"/>
      <c r="EG72" s="152"/>
      <c r="EH72" s="152"/>
      <c r="EI72" s="152"/>
      <c r="EJ72" s="152"/>
      <c r="EK72" s="152"/>
      <c r="EL72" s="152"/>
      <c r="EM72" s="152"/>
      <c r="EN72" s="152"/>
      <c r="EO72" s="152"/>
      <c r="EP72" s="152"/>
      <c r="EQ72" s="152"/>
      <c r="ER72" s="152"/>
    </row>
    <row r="73" ht="5.25" customHeight="1">
      <c r="A73" s="152"/>
      <c r="B73" s="152"/>
      <c r="C73" s="152"/>
      <c r="D73" s="152"/>
      <c r="E73" s="152"/>
      <c r="F73" s="152"/>
      <c r="G73" s="152"/>
      <c r="H73" s="152"/>
      <c r="I73" s="152"/>
      <c r="J73" s="152"/>
      <c r="K73" s="152"/>
      <c r="L73" s="152"/>
      <c r="M73" s="177" t="str">
        <f>Q73&amp;"."</f>
        <v>9.</v>
      </c>
      <c r="Q73" s="181">
        <v>9.0</v>
      </c>
      <c r="R73" s="200"/>
      <c r="S73" s="201"/>
      <c r="T73" s="201"/>
      <c r="U73" s="201"/>
      <c r="V73" s="201"/>
      <c r="W73" s="201"/>
      <c r="X73" s="201"/>
      <c r="Y73" s="201"/>
      <c r="Z73" s="201"/>
      <c r="AA73" s="201"/>
      <c r="AB73" s="201"/>
      <c r="AC73" s="201"/>
      <c r="AD73" s="201"/>
      <c r="AE73" s="201"/>
      <c r="AF73" s="201"/>
      <c r="AG73" s="201"/>
      <c r="AH73" s="201"/>
      <c r="AI73" s="201"/>
      <c r="AJ73" s="201"/>
      <c r="AK73" s="201"/>
      <c r="AL73" s="201"/>
      <c r="AM73" s="201"/>
      <c r="AN73" s="201"/>
      <c r="AO73" s="201"/>
      <c r="AP73" s="201"/>
      <c r="AQ73" s="201"/>
      <c r="AR73" s="201"/>
      <c r="AS73" s="201"/>
      <c r="AT73" s="201"/>
      <c r="AU73" s="201"/>
      <c r="AV73" s="201"/>
      <c r="AW73" s="201"/>
      <c r="AX73" s="201"/>
      <c r="AY73" s="201"/>
      <c r="AZ73" s="201"/>
      <c r="BA73" s="201"/>
      <c r="BB73" s="201"/>
      <c r="BC73" s="201"/>
      <c r="BD73" s="201"/>
      <c r="BE73" s="201"/>
      <c r="BF73" s="201"/>
      <c r="BG73" s="201"/>
      <c r="BH73" s="201"/>
      <c r="BI73" s="201"/>
      <c r="BJ73" s="201"/>
      <c r="BK73" s="201"/>
      <c r="BL73" s="201"/>
      <c r="BM73" s="201"/>
      <c r="BN73" s="201"/>
      <c r="BO73" s="201"/>
      <c r="BP73" s="201"/>
      <c r="BQ73" s="201"/>
      <c r="BR73" s="201"/>
      <c r="BS73" s="201"/>
      <c r="BT73" s="201"/>
      <c r="BU73" s="201"/>
      <c r="BV73" s="201"/>
      <c r="BW73" s="201"/>
      <c r="BX73" s="201"/>
      <c r="BY73" s="201"/>
      <c r="BZ73" s="201"/>
      <c r="CA73" s="201"/>
      <c r="CB73" s="201"/>
      <c r="CC73" s="201"/>
      <c r="CD73" s="201"/>
      <c r="CE73" s="201"/>
      <c r="CF73" s="201"/>
      <c r="CG73" s="201"/>
      <c r="CH73" s="201"/>
      <c r="CI73" s="201"/>
      <c r="CJ73" s="185" t="str">
        <f t="array" ref="CJ73">xlookup($Y74,qualdata!$N$2:$N$17,xlookup("r1Ser",qualdata!$P$1:$BR$1,qualdata!$P$2:$BR$17,""))</f>
        <v/>
      </c>
      <c r="CK73" s="8"/>
      <c r="CL73" s="186" t="str">
        <f t="array" ref="CL73">xlookup(xlookup($Y74,qualdata!$N$2:$N$17,xlookup("r1op",qualdata!$P$1:$BR$1,qualdata!$P$2:$BR$17,"")),qualdata!$M$2:$M$17,qualdata!$O$2:$O$17,"")</f>
        <v/>
      </c>
      <c r="CM73" s="8"/>
      <c r="CN73" s="8"/>
      <c r="CO73" s="8"/>
      <c r="CP73" s="8"/>
      <c r="CQ73" s="187"/>
      <c r="CR73" s="9"/>
      <c r="CS73" s="185" t="str">
        <f t="array" ref="CS73">xlookup($Y74,qualdata!$N$2:$N$17,xlookup("r2Ser",qualdata!$P$1:$BR$1,qualdata!$P$2:$BR$17,""))</f>
        <v/>
      </c>
      <c r="CT73" s="8"/>
      <c r="CU73" s="186" t="str">
        <f t="array" ref="CU73">xlookup(xlookup($Y74,qualdata!$N$2:$N$17,xlookup("r2op",qualdata!$P$1:$BR$1,qualdata!$P$2:$BR$17,"")),qualdata!$M$2:$M$17,qualdata!$O$2:$O$17,"")</f>
        <v/>
      </c>
      <c r="CV73" s="8"/>
      <c r="CW73" s="8"/>
      <c r="CX73" s="8"/>
      <c r="CY73" s="8"/>
      <c r="CZ73" s="187"/>
      <c r="DA73" s="9"/>
      <c r="DB73" s="185" t="str">
        <f t="array" ref="DB73">xlookup($Y74,qualdata!$N$2:$N$17,xlookup("r3Ser",qualdata!$P$1:$BR$1,qualdata!$P$2:$BR$17,""))</f>
        <v/>
      </c>
      <c r="DC73" s="8"/>
      <c r="DD73" s="186" t="str">
        <f t="array" ref="DD73">xlookup(xlookup($Y74,qualdata!$N$2:$N$17,xlookup("r3op",qualdata!$P$1:$BR$1,qualdata!$P$2:$BR$17,"")),qualdata!$M$2:$M$17,qualdata!$O$2:$O$17,"")</f>
        <v/>
      </c>
      <c r="DE73" s="8"/>
      <c r="DF73" s="8"/>
      <c r="DG73" s="8"/>
      <c r="DH73" s="8"/>
      <c r="DI73" s="187"/>
      <c r="DJ73" s="9"/>
      <c r="DK73" s="185" t="str">
        <f t="array" ref="DK73">xlookup($Y74,qualdata!$N$2:$N$17,xlookup("r4Ser",qualdata!$P$1:$BR$1,qualdata!$P$2:$BR$17,""))</f>
        <v/>
      </c>
      <c r="DL73" s="8"/>
      <c r="DM73" s="186" t="str">
        <f t="array" ref="DM73">xlookup(xlookup($Y74,qualdata!$N$2:$N$17,xlookup("r4op",qualdata!$P$1:$BR$1,qualdata!$P$2:$BR$17,"")),qualdata!$M$2:$M$17,qualdata!$O$2:$O$17,"")</f>
        <v/>
      </c>
      <c r="DN73" s="8"/>
      <c r="DO73" s="8"/>
      <c r="DP73" s="8"/>
      <c r="DQ73" s="8"/>
      <c r="DR73" s="187"/>
      <c r="DS73" s="9"/>
      <c r="DT73" s="185" t="str">
        <f t="array" ref="DT73">xlookup($Y74,qualdata!$N$2:$N$17,xlookup("r5Ser",qualdata!$P$1:$BR$1,qualdata!$P$2:$BR$17,""))</f>
        <v/>
      </c>
      <c r="DU73" s="8"/>
      <c r="DV73" s="186" t="str">
        <f t="array" ref="DV73">xlookup(xlookup($Y74,qualdata!$N$2:$N$17,xlookup("r5op",qualdata!$P$1:$BR$1,qualdata!$P$2:$BR$17,"")),qualdata!$M$2:$M$17,qualdata!$O$2:$O$17,"")</f>
        <v/>
      </c>
      <c r="DW73" s="8"/>
      <c r="DX73" s="8"/>
      <c r="DY73" s="8"/>
      <c r="DZ73" s="8"/>
      <c r="EA73" s="187"/>
      <c r="EB73" s="9"/>
      <c r="EC73" s="152"/>
      <c r="ED73" s="152"/>
      <c r="EE73" s="152"/>
      <c r="EF73" s="152"/>
      <c r="EG73" s="152"/>
      <c r="EH73" s="152"/>
      <c r="EI73" s="152"/>
      <c r="EJ73" s="152"/>
      <c r="EK73" s="152"/>
      <c r="EL73" s="152"/>
      <c r="EM73" s="152"/>
      <c r="EN73" s="152"/>
      <c r="EO73" s="152"/>
      <c r="EP73" s="152"/>
      <c r="EQ73" s="152"/>
      <c r="ER73" s="152"/>
    </row>
    <row r="74" ht="5.25" customHeight="1">
      <c r="A74" s="152"/>
      <c r="B74" s="152"/>
      <c r="C74" s="152"/>
      <c r="D74" s="152"/>
      <c r="E74" s="152"/>
      <c r="F74" s="152"/>
      <c r="G74" s="152"/>
      <c r="H74" s="152"/>
      <c r="I74" s="152"/>
      <c r="J74" s="152"/>
      <c r="K74" s="152"/>
      <c r="L74" s="152"/>
      <c r="Q74" s="152"/>
      <c r="R74" s="202" t="str">
        <f t="array" ref="R74">xlookup(Y74,qualdata!$N$2:$N$17,qualdata!$O$2:$O$17,"")</f>
        <v/>
      </c>
      <c r="X74" s="203"/>
      <c r="Y74" s="204" t="str">
        <f t="array" ref="Y74">xlookup(Q73,qualdata!$G$24:$G$39,qualdata!$A$24:$A$39,"")</f>
        <v>Team 9 (Group 1)</v>
      </c>
      <c r="BB74" s="203"/>
      <c r="BC74" s="205" t="str">
        <f t="array" ref="BC74">xlookup(Y74,qualdata!$A$24:$A$39,qualdata!$B$24:$B$39,"")</f>
        <v>0-0</v>
      </c>
      <c r="BK74" s="203"/>
      <c r="BL74" s="206" t="str">
        <f t="array" ref="BL74">xlookup(Y74,qualdata!$A$24:$A$39,qualdata!$C$24:$C$39,"")</f>
        <v>0-0</v>
      </c>
      <c r="BT74" s="203"/>
      <c r="BU74" s="207" t="str">
        <f t="array" ref="BU74">xlookup(Y74,qualdata!$A$24:$A$39,qualdata!$D$24:$D$39,"")</f>
        <v>0-0</v>
      </c>
      <c r="CC74" s="203"/>
      <c r="CD74" s="207">
        <f t="array" ref="CD74">xlookup(Y74,qualdata!$A$24:$A$39,qualdata!$F$24:$F$39,"")</f>
        <v>0</v>
      </c>
      <c r="CI74" s="203"/>
      <c r="CJ74" s="10"/>
      <c r="CR74" s="11"/>
      <c r="CS74" s="10"/>
      <c r="DA74" s="11"/>
      <c r="DB74" s="10"/>
      <c r="DJ74" s="11"/>
      <c r="DK74" s="10"/>
      <c r="DS74" s="11"/>
      <c r="DT74" s="10"/>
      <c r="EB74" s="11"/>
      <c r="EC74" s="152"/>
      <c r="ED74" s="152"/>
      <c r="EE74" s="152"/>
      <c r="EF74" s="152"/>
      <c r="EG74" s="152"/>
      <c r="EH74" s="152"/>
      <c r="EI74" s="152"/>
      <c r="EJ74" s="152"/>
      <c r="EK74" s="152"/>
      <c r="EL74" s="152"/>
      <c r="EM74" s="152"/>
      <c r="EN74" s="152"/>
      <c r="EO74" s="152"/>
      <c r="EP74" s="152"/>
      <c r="EQ74" s="152"/>
      <c r="ER74" s="152"/>
    </row>
    <row r="75" ht="5.25" customHeight="1">
      <c r="A75" s="152"/>
      <c r="B75" s="152"/>
      <c r="C75" s="152"/>
      <c r="D75" s="152"/>
      <c r="E75" s="152"/>
      <c r="F75" s="152"/>
      <c r="G75" s="152"/>
      <c r="H75" s="152"/>
      <c r="I75" s="152"/>
      <c r="J75" s="152"/>
      <c r="K75" s="152"/>
      <c r="L75" s="152"/>
      <c r="Q75" s="152"/>
      <c r="R75" s="10"/>
      <c r="X75" s="203"/>
      <c r="BB75" s="203"/>
      <c r="BK75" s="203"/>
      <c r="BT75" s="203"/>
      <c r="CC75" s="203"/>
      <c r="CI75" s="203"/>
      <c r="CJ75" s="10"/>
      <c r="CR75" s="11"/>
      <c r="CS75" s="10"/>
      <c r="DA75" s="11"/>
      <c r="DB75" s="10"/>
      <c r="DJ75" s="11"/>
      <c r="DK75" s="10"/>
      <c r="DS75" s="11"/>
      <c r="DT75" s="10"/>
      <c r="EB75" s="11"/>
      <c r="EC75" s="152"/>
      <c r="ED75" s="152"/>
      <c r="EE75" s="152"/>
      <c r="EF75" s="152"/>
      <c r="EG75" s="152"/>
      <c r="EH75" s="152"/>
      <c r="EI75" s="152"/>
      <c r="EJ75" s="152"/>
      <c r="EK75" s="152"/>
      <c r="EL75" s="152"/>
      <c r="EM75" s="152"/>
      <c r="EN75" s="152"/>
      <c r="EO75" s="152"/>
      <c r="EP75" s="152"/>
      <c r="EQ75" s="152"/>
      <c r="ER75" s="152"/>
    </row>
    <row r="76" ht="5.25" customHeight="1">
      <c r="A76" s="152"/>
      <c r="B76" s="152"/>
      <c r="C76" s="152"/>
      <c r="D76" s="152"/>
      <c r="E76" s="152"/>
      <c r="F76" s="152"/>
      <c r="G76" s="152"/>
      <c r="H76" s="152"/>
      <c r="I76" s="152"/>
      <c r="J76" s="152"/>
      <c r="K76" s="152"/>
      <c r="L76" s="152"/>
      <c r="Q76" s="152"/>
      <c r="R76" s="10"/>
      <c r="X76" s="203"/>
      <c r="BB76" s="203"/>
      <c r="BK76" s="203"/>
      <c r="BT76" s="203"/>
      <c r="CC76" s="203"/>
      <c r="CI76" s="203"/>
      <c r="CJ76" s="10"/>
      <c r="CR76" s="11"/>
      <c r="CS76" s="10"/>
      <c r="DA76" s="11"/>
      <c r="DB76" s="10"/>
      <c r="DJ76" s="11"/>
      <c r="DK76" s="10"/>
      <c r="DS76" s="11"/>
      <c r="DT76" s="10"/>
      <c r="EB76" s="11"/>
      <c r="EC76" s="152"/>
      <c r="ED76" s="152"/>
      <c r="EE76" s="152"/>
      <c r="EF76" s="152"/>
      <c r="EG76" s="152"/>
      <c r="EH76" s="152"/>
      <c r="EI76" s="152"/>
      <c r="EJ76" s="152"/>
      <c r="EK76" s="152"/>
      <c r="EL76" s="152"/>
      <c r="EM76" s="152"/>
      <c r="EN76" s="152"/>
      <c r="EO76" s="152"/>
      <c r="EP76" s="152"/>
      <c r="EQ76" s="152"/>
      <c r="ER76" s="152"/>
    </row>
    <row r="77" ht="5.25" customHeight="1">
      <c r="A77" s="152"/>
      <c r="B77" s="152"/>
      <c r="C77" s="152"/>
      <c r="D77" s="152"/>
      <c r="E77" s="152"/>
      <c r="F77" s="152"/>
      <c r="G77" s="152"/>
      <c r="H77" s="152"/>
      <c r="I77" s="152"/>
      <c r="J77" s="152"/>
      <c r="K77" s="152"/>
      <c r="L77" s="152"/>
      <c r="Q77" s="152"/>
      <c r="R77" s="10"/>
      <c r="X77" s="203"/>
      <c r="BB77" s="203"/>
      <c r="BK77" s="203"/>
      <c r="BT77" s="203"/>
      <c r="CC77" s="203"/>
      <c r="CI77" s="203"/>
      <c r="CJ77" s="10"/>
      <c r="CR77" s="11"/>
      <c r="CS77" s="10"/>
      <c r="DA77" s="11"/>
      <c r="DB77" s="10"/>
      <c r="DJ77" s="11"/>
      <c r="DK77" s="10"/>
      <c r="DS77" s="11"/>
      <c r="DT77" s="10"/>
      <c r="EB77" s="11"/>
      <c r="EC77" s="152"/>
      <c r="ED77" s="152"/>
      <c r="EE77" s="152"/>
      <c r="EF77" s="152"/>
      <c r="EG77" s="152"/>
      <c r="EH77" s="152"/>
      <c r="EI77" s="152"/>
      <c r="EJ77" s="152"/>
      <c r="EK77" s="152"/>
      <c r="EL77" s="152"/>
      <c r="EM77" s="152"/>
      <c r="EN77" s="152"/>
      <c r="EO77" s="152"/>
      <c r="EP77" s="152"/>
      <c r="EQ77" s="152"/>
      <c r="ER77" s="152"/>
    </row>
    <row r="78" ht="5.25" customHeight="1">
      <c r="A78" s="152"/>
      <c r="B78" s="152"/>
      <c r="C78" s="152"/>
      <c r="D78" s="152"/>
      <c r="E78" s="152"/>
      <c r="F78" s="152"/>
      <c r="G78" s="152"/>
      <c r="H78" s="152"/>
      <c r="I78" s="152"/>
      <c r="J78" s="152"/>
      <c r="K78" s="152"/>
      <c r="L78" s="152"/>
      <c r="Q78" s="152"/>
      <c r="R78" s="10"/>
      <c r="X78" s="203"/>
      <c r="BB78" s="203"/>
      <c r="BK78" s="203"/>
      <c r="BT78" s="203"/>
      <c r="CC78" s="203"/>
      <c r="CI78" s="203"/>
      <c r="CJ78" s="195" t="str">
        <f t="array" ref="CJ78">xlookup($Y74,qualdata!$N$2:$N$17,xlookup("r1gw",qualdata!$P$1:$BR$1,qualdata!$P$2:$BR$17))&amp;"-"&amp;xlookup($Y74,qualdata!$N$2:$N$17,xlookup("r1gl",qualdata!$P$1:$BR$1,qualdata!$P$2:$BR$17))</f>
        <v>-</v>
      </c>
      <c r="CN78" s="196"/>
      <c r="CO78" s="196">
        <f t="array" ref="CO78">if(xlookup($Y74,qualdata!$N$2:$N$17,xlookup("r1rd",qualdata!$P$1:$BR$1,qualdata!$P$2:$BR$17))&gt;0,"+"&amp;xlookup($Y74,qualdata!$N$2:$N$17,xlookup("r1rd",qualdata!$P$1:$BR$1,qualdata!$P$2:$BR$17)),xlookup($Y74,qualdata!$N$2:$N$17,xlookup("r1rd",qualdata!$P$1:$BR$1,qualdata!$P$2:$BR$17)))</f>
        <v>0</v>
      </c>
      <c r="CR78" s="11"/>
      <c r="CS78" s="195" t="str">
        <f t="array" ref="CS78">xlookup($Y74,qualdata!$N$2:$N$17,xlookup("r2gw",qualdata!$P$1:$BR$1,qualdata!$P$2:$BR$17))&amp;"-"&amp;xlookup($Y74,qualdata!$N$2:$N$17,xlookup("r2gl",qualdata!$P$1:$BR$1,qualdata!$P$2:$BR$17))</f>
        <v>-</v>
      </c>
      <c r="CW78" s="196"/>
      <c r="CX78" s="196">
        <f t="array" ref="CX78">if(xlookup($Y74,qualdata!$N$2:$N$17,xlookup("r2rd",qualdata!$P$1:$BR$1,qualdata!$P$2:$BR$17))&gt;0,"+"&amp;xlookup($Y74,qualdata!$N$2:$N$17,xlookup("r2rd",qualdata!$P$1:$BR$1,qualdata!$P$2:$BR$17)),xlookup($Y74,qualdata!$N$2:$N$17,xlookup("r2rd",qualdata!$P$1:$BR$1,qualdata!$P$2:$BR$17)))</f>
        <v>0</v>
      </c>
      <c r="DA78" s="11"/>
      <c r="DB78" s="195" t="str">
        <f t="array" ref="DB78">xlookup($Y74,qualdata!$N$2:$N$17,xlookup("r3gw",qualdata!$P$1:$BR$1,qualdata!$P$2:$BR$17))&amp;"-"&amp;xlookup($Y74,qualdata!$N$2:$N$17,xlookup("r3gl",qualdata!$P$1:$BR$1,qualdata!$P$2:$BR$17))</f>
        <v>-</v>
      </c>
      <c r="DF78" s="196"/>
      <c r="DG78" s="196">
        <f t="array" ref="DG78">if(xlookup($Y74,qualdata!$N$2:$N$17,xlookup("r3rd",qualdata!$P$1:$BR$1,qualdata!$P$2:$BR$17))&gt;0,"+"&amp;xlookup($Y74,qualdata!$N$2:$N$17,xlookup("r3rd",qualdata!$P$1:$BR$1,qualdata!$P$2:$BR$17)),xlookup($Y74,qualdata!$N$2:$N$17,xlookup("r3rd",qualdata!$P$1:$BR$1,qualdata!$P$2:$BR$17)))</f>
        <v>0</v>
      </c>
      <c r="DJ78" s="11"/>
      <c r="DK78" s="195" t="str">
        <f t="array" ref="DK78">xlookup($Y74,qualdata!$N$2:$N$17,xlookup("r4gw",qualdata!$P$1:$BR$1,qualdata!$P$2:$BR$17))&amp;"-"&amp;xlookup($Y74,qualdata!$N$2:$N$17,xlookup("r4gl",qualdata!$P$1:$BR$1,qualdata!$P$2:$BR$17))</f>
        <v>-</v>
      </c>
      <c r="DO78" s="196"/>
      <c r="DP78" s="196">
        <f t="array" ref="DP78">if(xlookup($Y74,qualdata!$N$2:$N$17,xlookup("r4rd",qualdata!$P$1:$BR$1,qualdata!$P$2:$BR$17))&gt;0,"+"&amp;xlookup($Y74,qualdata!$N$2:$N$17,xlookup("r4rd",qualdata!$P$1:$BR$1,qualdata!$P$2:$BR$17)),xlookup($Y74,qualdata!$N$2:$N$17,xlookup("r4rd",qualdata!$P$1:$BR$1,qualdata!$P$2:$BR$17)))</f>
        <v>0</v>
      </c>
      <c r="DS78" s="11"/>
      <c r="DT78" s="195" t="str">
        <f t="array" ref="DT78">xlookup($Y74,qualdata!$N$2:$N$17,xlookup("r5gw",qualdata!$P$1:$BR$1,qualdata!$P$2:$BR$17))&amp;"-"&amp;xlookup($Y74,qualdata!$N$2:$N$17,xlookup("r5gl",qualdata!$P$1:$BR$1,qualdata!$P$2:$BR$17))</f>
        <v>-</v>
      </c>
      <c r="DX78" s="196"/>
      <c r="DY78" s="196">
        <f t="array" ref="DY78">if(xlookup($Y74,qualdata!$N$2:$N$17,xlookup("r5rd",qualdata!$P$1:$BR$1,qualdata!$P$2:$BR$17))&gt;0,"+"&amp;xlookup($Y74,qualdata!$N$2:$N$17,xlookup("r5rd",qualdata!$P$1:$BR$1,qualdata!$P$2:$BR$17)),xlookup($Y74,qualdata!$N$2:$N$17,xlookup("r5rd",qualdata!$P$1:$BR$1,qualdata!$P$2:$BR$17)))</f>
        <v>0</v>
      </c>
      <c r="EB78" s="11"/>
      <c r="EC78" s="152"/>
      <c r="ED78" s="152"/>
      <c r="EE78" s="152"/>
      <c r="EF78" s="152"/>
      <c r="EG78" s="152"/>
      <c r="EH78" s="152"/>
      <c r="EI78" s="152"/>
      <c r="EJ78" s="152"/>
      <c r="EK78" s="152"/>
      <c r="EL78" s="152"/>
      <c r="EM78" s="152"/>
      <c r="EN78" s="152"/>
      <c r="EO78" s="152"/>
      <c r="EP78" s="152"/>
      <c r="EQ78" s="152"/>
      <c r="ER78" s="152"/>
    </row>
    <row r="79" ht="5.25" customHeight="1">
      <c r="A79" s="152"/>
      <c r="B79" s="152"/>
      <c r="C79" s="152"/>
      <c r="D79" s="152"/>
      <c r="E79" s="152"/>
      <c r="F79" s="152"/>
      <c r="G79" s="152"/>
      <c r="H79" s="152"/>
      <c r="I79" s="152"/>
      <c r="J79" s="152"/>
      <c r="K79" s="152"/>
      <c r="L79" s="152"/>
      <c r="Q79" s="152"/>
      <c r="R79" s="10"/>
      <c r="X79" s="203"/>
      <c r="BB79" s="203"/>
      <c r="BK79" s="203"/>
      <c r="BT79" s="203"/>
      <c r="CC79" s="203"/>
      <c r="CI79" s="203"/>
      <c r="CJ79" s="10"/>
      <c r="CR79" s="11"/>
      <c r="CS79" s="10"/>
      <c r="DA79" s="11"/>
      <c r="DB79" s="10"/>
      <c r="DJ79" s="11"/>
      <c r="DK79" s="10"/>
      <c r="DS79" s="11"/>
      <c r="DT79" s="10"/>
      <c r="EB79" s="11"/>
      <c r="EC79" s="152"/>
      <c r="ED79" s="152"/>
      <c r="EE79" s="152"/>
      <c r="EF79" s="152"/>
      <c r="EG79" s="152"/>
      <c r="EH79" s="152"/>
      <c r="EI79" s="152"/>
      <c r="EJ79" s="152"/>
      <c r="EK79" s="152"/>
      <c r="EL79" s="152"/>
      <c r="EM79" s="152"/>
      <c r="EN79" s="152"/>
      <c r="EO79" s="152"/>
      <c r="EP79" s="152"/>
      <c r="EQ79" s="152"/>
      <c r="ER79" s="152"/>
    </row>
    <row r="80" ht="5.25" customHeight="1">
      <c r="A80" s="152"/>
      <c r="B80" s="152"/>
      <c r="C80" s="152"/>
      <c r="D80" s="152"/>
      <c r="E80" s="152"/>
      <c r="F80" s="152"/>
      <c r="G80" s="152"/>
      <c r="H80" s="152"/>
      <c r="I80" s="152"/>
      <c r="J80" s="152"/>
      <c r="K80" s="152"/>
      <c r="L80" s="152"/>
      <c r="Q80" s="152"/>
      <c r="R80" s="208"/>
      <c r="S80" s="209"/>
      <c r="T80" s="209"/>
      <c r="U80" s="209"/>
      <c r="V80" s="209"/>
      <c r="W80" s="209"/>
      <c r="X80" s="209"/>
      <c r="Y80" s="209"/>
      <c r="Z80" s="209"/>
      <c r="AA80" s="209"/>
      <c r="AB80" s="209"/>
      <c r="AC80" s="209"/>
      <c r="AD80" s="209"/>
      <c r="AE80" s="209"/>
      <c r="AF80" s="209"/>
      <c r="AG80" s="209"/>
      <c r="AH80" s="209"/>
      <c r="AI80" s="209"/>
      <c r="AJ80" s="209"/>
      <c r="AK80" s="209"/>
      <c r="AL80" s="209"/>
      <c r="AM80" s="209"/>
      <c r="AN80" s="209"/>
      <c r="AO80" s="209"/>
      <c r="AP80" s="209"/>
      <c r="AQ80" s="209"/>
      <c r="AR80" s="209"/>
      <c r="AS80" s="209"/>
      <c r="AT80" s="209"/>
      <c r="AU80" s="209"/>
      <c r="AV80" s="209"/>
      <c r="AW80" s="209"/>
      <c r="AX80" s="209"/>
      <c r="AY80" s="209"/>
      <c r="AZ80" s="209"/>
      <c r="BA80" s="209"/>
      <c r="BB80" s="209"/>
      <c r="BC80" s="209"/>
      <c r="BD80" s="209"/>
      <c r="BE80" s="209"/>
      <c r="BF80" s="209"/>
      <c r="BG80" s="209"/>
      <c r="BH80" s="209"/>
      <c r="BI80" s="209"/>
      <c r="BJ80" s="209"/>
      <c r="BK80" s="209"/>
      <c r="BL80" s="209"/>
      <c r="BM80" s="209"/>
      <c r="BN80" s="209"/>
      <c r="BO80" s="209"/>
      <c r="BP80" s="209"/>
      <c r="BQ80" s="209"/>
      <c r="BR80" s="209"/>
      <c r="BS80" s="209"/>
      <c r="BT80" s="209"/>
      <c r="BU80" s="209"/>
      <c r="BV80" s="209"/>
      <c r="BW80" s="209"/>
      <c r="BX80" s="209"/>
      <c r="BY80" s="209"/>
      <c r="BZ80" s="209"/>
      <c r="CA80" s="209"/>
      <c r="CB80" s="209"/>
      <c r="CC80" s="209"/>
      <c r="CD80" s="209"/>
      <c r="CE80" s="209"/>
      <c r="CF80" s="209"/>
      <c r="CG80" s="209"/>
      <c r="CH80" s="209"/>
      <c r="CI80" s="209"/>
      <c r="CJ80" s="12"/>
      <c r="CK80" s="13"/>
      <c r="CL80" s="13"/>
      <c r="CM80" s="13"/>
      <c r="CN80" s="13"/>
      <c r="CO80" s="13"/>
      <c r="CP80" s="13"/>
      <c r="CQ80" s="13"/>
      <c r="CR80" s="14"/>
      <c r="CS80" s="12"/>
      <c r="CT80" s="13"/>
      <c r="CU80" s="13"/>
      <c r="CV80" s="13"/>
      <c r="CW80" s="13"/>
      <c r="CX80" s="13"/>
      <c r="CY80" s="13"/>
      <c r="CZ80" s="13"/>
      <c r="DA80" s="14"/>
      <c r="DB80" s="12"/>
      <c r="DC80" s="13"/>
      <c r="DD80" s="13"/>
      <c r="DE80" s="13"/>
      <c r="DF80" s="13"/>
      <c r="DG80" s="13"/>
      <c r="DH80" s="13"/>
      <c r="DI80" s="13"/>
      <c r="DJ80" s="14"/>
      <c r="DK80" s="12"/>
      <c r="DL80" s="13"/>
      <c r="DM80" s="13"/>
      <c r="DN80" s="13"/>
      <c r="DO80" s="13"/>
      <c r="DP80" s="13"/>
      <c r="DQ80" s="13"/>
      <c r="DR80" s="13"/>
      <c r="DS80" s="14"/>
      <c r="DT80" s="12"/>
      <c r="DU80" s="13"/>
      <c r="DV80" s="13"/>
      <c r="DW80" s="13"/>
      <c r="DX80" s="13"/>
      <c r="DY80" s="13"/>
      <c r="DZ80" s="13"/>
      <c r="EA80" s="13"/>
      <c r="EB80" s="14"/>
      <c r="EC80" s="152"/>
      <c r="ED80" s="152"/>
      <c r="EE80" s="152"/>
      <c r="EF80" s="152"/>
      <c r="EG80" s="152"/>
      <c r="EH80" s="152"/>
      <c r="EI80" s="152"/>
      <c r="EJ80" s="152"/>
      <c r="EK80" s="152"/>
      <c r="EL80" s="152"/>
      <c r="EM80" s="152"/>
      <c r="EN80" s="152"/>
      <c r="EO80" s="152"/>
      <c r="EP80" s="152"/>
      <c r="EQ80" s="152"/>
      <c r="ER80" s="152"/>
    </row>
    <row r="81" ht="5.25" customHeight="1">
      <c r="A81" s="152"/>
      <c r="B81" s="152"/>
      <c r="C81" s="152"/>
      <c r="D81" s="152"/>
      <c r="E81" s="152"/>
      <c r="F81" s="152"/>
      <c r="G81" s="152"/>
      <c r="H81" s="152"/>
      <c r="I81" s="152"/>
      <c r="J81" s="152"/>
      <c r="K81" s="152"/>
      <c r="L81" s="152"/>
      <c r="M81" s="177" t="str">
        <f>Q81&amp;"."</f>
        <v>10.</v>
      </c>
      <c r="Q81" s="181">
        <v>10.0</v>
      </c>
      <c r="R81" s="200"/>
      <c r="S81" s="201"/>
      <c r="T81" s="201"/>
      <c r="U81" s="201"/>
      <c r="V81" s="201"/>
      <c r="W81" s="201"/>
      <c r="X81" s="201"/>
      <c r="Y81" s="201"/>
      <c r="Z81" s="201"/>
      <c r="AA81" s="201"/>
      <c r="AB81" s="201"/>
      <c r="AC81" s="201"/>
      <c r="AD81" s="201"/>
      <c r="AE81" s="201"/>
      <c r="AF81" s="201"/>
      <c r="AG81" s="201"/>
      <c r="AH81" s="201"/>
      <c r="AI81" s="201"/>
      <c r="AJ81" s="201"/>
      <c r="AK81" s="201"/>
      <c r="AL81" s="201"/>
      <c r="AM81" s="201"/>
      <c r="AN81" s="201"/>
      <c r="AO81" s="201"/>
      <c r="AP81" s="201"/>
      <c r="AQ81" s="201"/>
      <c r="AR81" s="201"/>
      <c r="AS81" s="201"/>
      <c r="AT81" s="201"/>
      <c r="AU81" s="201"/>
      <c r="AV81" s="201"/>
      <c r="AW81" s="201"/>
      <c r="AX81" s="201"/>
      <c r="AY81" s="201"/>
      <c r="AZ81" s="201"/>
      <c r="BA81" s="201"/>
      <c r="BB81" s="201"/>
      <c r="BC81" s="201"/>
      <c r="BD81" s="201"/>
      <c r="BE81" s="201"/>
      <c r="BF81" s="201"/>
      <c r="BG81" s="201"/>
      <c r="BH81" s="201"/>
      <c r="BI81" s="201"/>
      <c r="BJ81" s="201"/>
      <c r="BK81" s="201"/>
      <c r="BL81" s="201"/>
      <c r="BM81" s="201"/>
      <c r="BN81" s="201"/>
      <c r="BO81" s="201"/>
      <c r="BP81" s="201"/>
      <c r="BQ81" s="201"/>
      <c r="BR81" s="201"/>
      <c r="BS81" s="201"/>
      <c r="BT81" s="201"/>
      <c r="BU81" s="201"/>
      <c r="BV81" s="201"/>
      <c r="BW81" s="201"/>
      <c r="BX81" s="201"/>
      <c r="BY81" s="201"/>
      <c r="BZ81" s="201"/>
      <c r="CA81" s="201"/>
      <c r="CB81" s="201"/>
      <c r="CC81" s="201"/>
      <c r="CD81" s="201"/>
      <c r="CE81" s="201"/>
      <c r="CF81" s="201"/>
      <c r="CG81" s="201"/>
      <c r="CH81" s="201"/>
      <c r="CI81" s="201"/>
      <c r="CJ81" s="185" t="str">
        <f t="array" ref="CJ81">xlookup($Y82,qualdata!$N$2:$N$17,xlookup("r1Ser",qualdata!$P$1:$BR$1,qualdata!$P$2:$BR$17,""))</f>
        <v/>
      </c>
      <c r="CK81" s="8"/>
      <c r="CL81" s="186" t="str">
        <f t="array" ref="CL81">xlookup(xlookup($Y82,qualdata!$N$2:$N$17,xlookup("r1op",qualdata!$P$1:$BR$1,qualdata!$P$2:$BR$17,"")),qualdata!$M$2:$M$17,qualdata!$O$2:$O$17,"")</f>
        <v/>
      </c>
      <c r="CM81" s="8"/>
      <c r="CN81" s="8"/>
      <c r="CO81" s="8"/>
      <c r="CP81" s="8"/>
      <c r="CQ81" s="187"/>
      <c r="CR81" s="9"/>
      <c r="CS81" s="185" t="str">
        <f t="array" ref="CS81">xlookup($Y82,qualdata!$N$2:$N$17,xlookup("r2Ser",qualdata!$P$1:$BR$1,qualdata!$P$2:$BR$17,""))</f>
        <v/>
      </c>
      <c r="CT81" s="8"/>
      <c r="CU81" s="186" t="str">
        <f t="array" ref="CU81">xlookup(xlookup($Y82,qualdata!$N$2:$N$17,xlookup("r2op",qualdata!$P$1:$BR$1,qualdata!$P$2:$BR$17,"")),qualdata!$M$2:$M$17,qualdata!$O$2:$O$17,"")</f>
        <v/>
      </c>
      <c r="CV81" s="8"/>
      <c r="CW81" s="8"/>
      <c r="CX81" s="8"/>
      <c r="CY81" s="8"/>
      <c r="CZ81" s="187"/>
      <c r="DA81" s="9"/>
      <c r="DB81" s="185" t="str">
        <f t="array" ref="DB81">xlookup($Y82,qualdata!$N$2:$N$17,xlookup("r3Ser",qualdata!$P$1:$BR$1,qualdata!$P$2:$BR$17,""))</f>
        <v/>
      </c>
      <c r="DC81" s="8"/>
      <c r="DD81" s="186" t="str">
        <f t="array" ref="DD81">xlookup(xlookup($Y82,qualdata!$N$2:$N$17,xlookup("r3op",qualdata!$P$1:$BR$1,qualdata!$P$2:$BR$17,"")),qualdata!$M$2:$M$17,qualdata!$O$2:$O$17,"")</f>
        <v/>
      </c>
      <c r="DE81" s="8"/>
      <c r="DF81" s="8"/>
      <c r="DG81" s="8"/>
      <c r="DH81" s="8"/>
      <c r="DI81" s="187"/>
      <c r="DJ81" s="9"/>
      <c r="DK81" s="185" t="str">
        <f t="array" ref="DK81">xlookup($Y82,qualdata!$N$2:$N$17,xlookup("r4Ser",qualdata!$P$1:$BR$1,qualdata!$P$2:$BR$17,""))</f>
        <v/>
      </c>
      <c r="DL81" s="8"/>
      <c r="DM81" s="186" t="str">
        <f t="array" ref="DM81">xlookup(xlookup($Y82,qualdata!$N$2:$N$17,xlookup("r4op",qualdata!$P$1:$BR$1,qualdata!$P$2:$BR$17,"")),qualdata!$M$2:$M$17,qualdata!$O$2:$O$17,"")</f>
        <v/>
      </c>
      <c r="DN81" s="8"/>
      <c r="DO81" s="8"/>
      <c r="DP81" s="8"/>
      <c r="DQ81" s="8"/>
      <c r="DR81" s="187"/>
      <c r="DS81" s="9"/>
      <c r="DT81" s="185" t="str">
        <f t="array" ref="DT81">xlookup($Y82,qualdata!$N$2:$N$17,xlookup("r5Ser",qualdata!$P$1:$BR$1,qualdata!$P$2:$BR$17,""))</f>
        <v/>
      </c>
      <c r="DU81" s="8"/>
      <c r="DV81" s="186" t="str">
        <f t="array" ref="DV81">xlookup(xlookup($Y82,qualdata!$N$2:$N$17,xlookup("r5op",qualdata!$P$1:$BR$1,qualdata!$P$2:$BR$17,"")),qualdata!$M$2:$M$17,qualdata!$O$2:$O$17,"")</f>
        <v/>
      </c>
      <c r="DW81" s="8"/>
      <c r="DX81" s="8"/>
      <c r="DY81" s="8"/>
      <c r="DZ81" s="8"/>
      <c r="EA81" s="187"/>
      <c r="EB81" s="9"/>
      <c r="EC81" s="152"/>
      <c r="ED81" s="152"/>
      <c r="EE81" s="152"/>
      <c r="EF81" s="152"/>
      <c r="EG81" s="152"/>
      <c r="EH81" s="152"/>
      <c r="EI81" s="152"/>
      <c r="EJ81" s="152"/>
      <c r="EK81" s="152"/>
      <c r="EL81" s="152"/>
      <c r="EM81" s="152"/>
      <c r="EN81" s="152"/>
      <c r="EO81" s="152"/>
      <c r="EP81" s="152"/>
      <c r="EQ81" s="152"/>
      <c r="ER81" s="152"/>
    </row>
    <row r="82" ht="5.25" customHeight="1">
      <c r="A82" s="152"/>
      <c r="B82" s="152"/>
      <c r="C82" s="152"/>
      <c r="D82" s="152"/>
      <c r="E82" s="152"/>
      <c r="F82" s="152"/>
      <c r="G82" s="152"/>
      <c r="H82" s="152"/>
      <c r="I82" s="152"/>
      <c r="J82" s="152"/>
      <c r="K82" s="152"/>
      <c r="L82" s="152"/>
      <c r="Q82" s="152"/>
      <c r="R82" s="202" t="str">
        <f t="array" ref="R82">xlookup(Y82,qualdata!$N$2:$N$17,qualdata!$O$2:$O$17,"")</f>
        <v/>
      </c>
      <c r="X82" s="203"/>
      <c r="Y82" s="204" t="str">
        <f t="array" ref="Y82">xlookup(Q81,qualdata!$G$24:$G$39,qualdata!$A$24:$A$39,"")</f>
        <v>Team 10 (Group 1)</v>
      </c>
      <c r="BB82" s="203"/>
      <c r="BC82" s="205" t="str">
        <f t="array" ref="BC82">xlookup(Y82,qualdata!$A$24:$A$39,qualdata!$B$24:$B$39,"")</f>
        <v>0-0</v>
      </c>
      <c r="BK82" s="203"/>
      <c r="BL82" s="206" t="str">
        <f t="array" ref="BL82">xlookup(Y82,qualdata!$A$24:$A$39,qualdata!$C$24:$C$39,"")</f>
        <v>0-0</v>
      </c>
      <c r="BT82" s="203"/>
      <c r="BU82" s="207" t="str">
        <f t="array" ref="BU82">xlookup(Y82,qualdata!$A$24:$A$39,qualdata!$D$24:$D$39,"")</f>
        <v>0-0</v>
      </c>
      <c r="CC82" s="203"/>
      <c r="CD82" s="207">
        <f t="array" ref="CD82">xlookup(Y82,qualdata!$A$24:$A$39,qualdata!$F$24:$F$39,"")</f>
        <v>0</v>
      </c>
      <c r="CI82" s="203"/>
      <c r="CJ82" s="10"/>
      <c r="CR82" s="11"/>
      <c r="CS82" s="10"/>
      <c r="DA82" s="11"/>
      <c r="DB82" s="10"/>
      <c r="DJ82" s="11"/>
      <c r="DK82" s="10"/>
      <c r="DS82" s="11"/>
      <c r="DT82" s="10"/>
      <c r="EB82" s="11"/>
      <c r="EC82" s="152"/>
      <c r="ED82" s="152"/>
      <c r="EE82" s="152"/>
      <c r="EF82" s="152"/>
      <c r="EG82" s="152"/>
      <c r="EH82" s="152"/>
      <c r="EI82" s="152"/>
      <c r="EJ82" s="152"/>
      <c r="EK82" s="152"/>
      <c r="EL82" s="152"/>
      <c r="EM82" s="152"/>
      <c r="EN82" s="152"/>
      <c r="EO82" s="152"/>
      <c r="EP82" s="152"/>
      <c r="EQ82" s="152"/>
      <c r="ER82" s="152"/>
    </row>
    <row r="83" ht="5.25" customHeight="1">
      <c r="A83" s="152"/>
      <c r="B83" s="152"/>
      <c r="C83" s="152"/>
      <c r="D83" s="152"/>
      <c r="E83" s="152"/>
      <c r="F83" s="152"/>
      <c r="G83" s="152"/>
      <c r="H83" s="152"/>
      <c r="I83" s="152"/>
      <c r="J83" s="152"/>
      <c r="K83" s="152"/>
      <c r="L83" s="152"/>
      <c r="Q83" s="152"/>
      <c r="R83" s="10"/>
      <c r="X83" s="203"/>
      <c r="BB83" s="203"/>
      <c r="BK83" s="203"/>
      <c r="BT83" s="203"/>
      <c r="CC83" s="203"/>
      <c r="CI83" s="203"/>
      <c r="CJ83" s="10"/>
      <c r="CR83" s="11"/>
      <c r="CS83" s="10"/>
      <c r="DA83" s="11"/>
      <c r="DB83" s="10"/>
      <c r="DJ83" s="11"/>
      <c r="DK83" s="10"/>
      <c r="DS83" s="11"/>
      <c r="DT83" s="10"/>
      <c r="EB83" s="11"/>
      <c r="EC83" s="152"/>
      <c r="ED83" s="152"/>
      <c r="EE83" s="152"/>
      <c r="EF83" s="152"/>
      <c r="EG83" s="152"/>
      <c r="EH83" s="152"/>
      <c r="EI83" s="152"/>
      <c r="EJ83" s="152"/>
      <c r="EK83" s="152"/>
      <c r="EL83" s="152"/>
      <c r="EM83" s="152"/>
      <c r="EN83" s="152"/>
      <c r="EO83" s="152"/>
      <c r="EP83" s="152"/>
      <c r="EQ83" s="152"/>
      <c r="ER83" s="152"/>
    </row>
    <row r="84" ht="5.25" customHeight="1">
      <c r="A84" s="152"/>
      <c r="B84" s="152"/>
      <c r="C84" s="152"/>
      <c r="D84" s="152"/>
      <c r="E84" s="152"/>
      <c r="F84" s="152"/>
      <c r="G84" s="152"/>
      <c r="H84" s="152"/>
      <c r="I84" s="152"/>
      <c r="J84" s="152"/>
      <c r="K84" s="152"/>
      <c r="L84" s="152"/>
      <c r="Q84" s="152"/>
      <c r="R84" s="10"/>
      <c r="X84" s="203"/>
      <c r="BB84" s="203"/>
      <c r="BK84" s="203"/>
      <c r="BT84" s="203"/>
      <c r="CC84" s="203"/>
      <c r="CI84" s="203"/>
      <c r="CJ84" s="10"/>
      <c r="CR84" s="11"/>
      <c r="CS84" s="10"/>
      <c r="DA84" s="11"/>
      <c r="DB84" s="10"/>
      <c r="DJ84" s="11"/>
      <c r="DK84" s="10"/>
      <c r="DS84" s="11"/>
      <c r="DT84" s="10"/>
      <c r="EB84" s="11"/>
      <c r="EC84" s="152"/>
      <c r="ED84" s="152"/>
      <c r="EE84" s="152"/>
      <c r="EF84" s="152"/>
      <c r="EG84" s="152"/>
      <c r="EH84" s="152"/>
      <c r="EI84" s="152"/>
      <c r="EJ84" s="152"/>
      <c r="EK84" s="152"/>
      <c r="EL84" s="152"/>
      <c r="EM84" s="152"/>
      <c r="EN84" s="152"/>
      <c r="EO84" s="152"/>
      <c r="EP84" s="152"/>
      <c r="EQ84" s="152"/>
      <c r="ER84" s="152"/>
    </row>
    <row r="85" ht="5.25" customHeight="1">
      <c r="A85" s="152"/>
      <c r="B85" s="152"/>
      <c r="C85" s="152"/>
      <c r="D85" s="152"/>
      <c r="E85" s="152"/>
      <c r="F85" s="152"/>
      <c r="G85" s="152"/>
      <c r="H85" s="152"/>
      <c r="I85" s="152"/>
      <c r="J85" s="152"/>
      <c r="K85" s="152"/>
      <c r="L85" s="152"/>
      <c r="Q85" s="152"/>
      <c r="R85" s="10"/>
      <c r="X85" s="203"/>
      <c r="BB85" s="203"/>
      <c r="BK85" s="203"/>
      <c r="BT85" s="203"/>
      <c r="CC85" s="203"/>
      <c r="CI85" s="203"/>
      <c r="CJ85" s="10"/>
      <c r="CR85" s="11"/>
      <c r="CS85" s="10"/>
      <c r="DA85" s="11"/>
      <c r="DB85" s="10"/>
      <c r="DJ85" s="11"/>
      <c r="DK85" s="10"/>
      <c r="DS85" s="11"/>
      <c r="DT85" s="10"/>
      <c r="EB85" s="11"/>
      <c r="EC85" s="152"/>
      <c r="ED85" s="152"/>
      <c r="EE85" s="152"/>
      <c r="EF85" s="152"/>
      <c r="EG85" s="152"/>
      <c r="EH85" s="152"/>
      <c r="EI85" s="152"/>
      <c r="EJ85" s="152"/>
      <c r="EK85" s="152"/>
      <c r="EL85" s="152"/>
      <c r="EM85" s="152"/>
      <c r="EN85" s="152"/>
      <c r="EO85" s="152"/>
      <c r="EP85" s="152"/>
      <c r="EQ85" s="152"/>
      <c r="ER85" s="152"/>
    </row>
    <row r="86" ht="5.25" customHeight="1">
      <c r="A86" s="152"/>
      <c r="B86" s="152"/>
      <c r="C86" s="152"/>
      <c r="D86" s="152"/>
      <c r="E86" s="152"/>
      <c r="F86" s="152"/>
      <c r="G86" s="152"/>
      <c r="H86" s="152"/>
      <c r="I86" s="152"/>
      <c r="J86" s="152"/>
      <c r="K86" s="152"/>
      <c r="L86" s="152"/>
      <c r="Q86" s="152"/>
      <c r="R86" s="10"/>
      <c r="X86" s="203"/>
      <c r="BB86" s="203"/>
      <c r="BK86" s="203"/>
      <c r="BT86" s="203"/>
      <c r="CC86" s="203"/>
      <c r="CI86" s="203"/>
      <c r="CJ86" s="195" t="str">
        <f t="array" ref="CJ86">xlookup($Y82,qualdata!$N$2:$N$17,xlookup("r1gw",qualdata!$P$1:$BR$1,qualdata!$P$2:$BR$17))&amp;"-"&amp;xlookup($Y82,qualdata!$N$2:$N$17,xlookup("r1gl",qualdata!$P$1:$BR$1,qualdata!$P$2:$BR$17))</f>
        <v>-</v>
      </c>
      <c r="CN86" s="196"/>
      <c r="CO86" s="196">
        <f t="array" ref="CO86">if(xlookup($Y82,qualdata!$N$2:$N$17,xlookup("r1rd",qualdata!$P$1:$BR$1,qualdata!$P$2:$BR$17))&gt;0,"+"&amp;xlookup($Y82,qualdata!$N$2:$N$17,xlookup("r1rd",qualdata!$P$1:$BR$1,qualdata!$P$2:$BR$17)),xlookup($Y82,qualdata!$N$2:$N$17,xlookup("r1rd",qualdata!$P$1:$BR$1,qualdata!$P$2:$BR$17)))</f>
        <v>0</v>
      </c>
      <c r="CR86" s="11"/>
      <c r="CS86" s="195" t="str">
        <f t="array" ref="CS86">xlookup($Y82,qualdata!$N$2:$N$17,xlookup("r2gw",qualdata!$P$1:$BR$1,qualdata!$P$2:$BR$17))&amp;"-"&amp;xlookup($Y82,qualdata!$N$2:$N$17,xlookup("r2gl",qualdata!$P$1:$BR$1,qualdata!$P$2:$BR$17))</f>
        <v>-</v>
      </c>
      <c r="CW86" s="196"/>
      <c r="CX86" s="196">
        <f t="array" ref="CX86">if(xlookup($Y82,qualdata!$N$2:$N$17,xlookup("r2rd",qualdata!$P$1:$BR$1,qualdata!$P$2:$BR$17))&gt;0,"+"&amp;xlookup($Y82,qualdata!$N$2:$N$17,xlookup("r2rd",qualdata!$P$1:$BR$1,qualdata!$P$2:$BR$17)),xlookup($Y82,qualdata!$N$2:$N$17,xlookup("r2rd",qualdata!$P$1:$BR$1,qualdata!$P$2:$BR$17)))</f>
        <v>0</v>
      </c>
      <c r="DA86" s="11"/>
      <c r="DB86" s="195" t="str">
        <f t="array" ref="DB86">xlookup($Y82,qualdata!$N$2:$N$17,xlookup("r3gw",qualdata!$P$1:$BR$1,qualdata!$P$2:$BR$17))&amp;"-"&amp;xlookup($Y82,qualdata!$N$2:$N$17,xlookup("r3gl",qualdata!$P$1:$BR$1,qualdata!$P$2:$BR$17))</f>
        <v>-</v>
      </c>
      <c r="DF86" s="196"/>
      <c r="DG86" s="196">
        <f t="array" ref="DG86">if(xlookup($Y82,qualdata!$N$2:$N$17,xlookup("r3rd",qualdata!$P$1:$BR$1,qualdata!$P$2:$BR$17))&gt;0,"+"&amp;xlookup($Y82,qualdata!$N$2:$N$17,xlookup("r3rd",qualdata!$P$1:$BR$1,qualdata!$P$2:$BR$17)),xlookup($Y82,qualdata!$N$2:$N$17,xlookup("r3rd",qualdata!$P$1:$BR$1,qualdata!$P$2:$BR$17)))</f>
        <v>0</v>
      </c>
      <c r="DJ86" s="11"/>
      <c r="DK86" s="195" t="str">
        <f t="array" ref="DK86">xlookup($Y82,qualdata!$N$2:$N$17,xlookup("r4gw",qualdata!$P$1:$BR$1,qualdata!$P$2:$BR$17))&amp;"-"&amp;xlookup($Y82,qualdata!$N$2:$N$17,xlookup("r4gl",qualdata!$P$1:$BR$1,qualdata!$P$2:$BR$17))</f>
        <v>-</v>
      </c>
      <c r="DO86" s="196"/>
      <c r="DP86" s="196">
        <f t="array" ref="DP86">if(xlookup($Y82,qualdata!$N$2:$N$17,xlookup("r4rd",qualdata!$P$1:$BR$1,qualdata!$P$2:$BR$17))&gt;0,"+"&amp;xlookup($Y82,qualdata!$N$2:$N$17,xlookup("r4rd",qualdata!$P$1:$BR$1,qualdata!$P$2:$BR$17)),xlookup($Y82,qualdata!$N$2:$N$17,xlookup("r4rd",qualdata!$P$1:$BR$1,qualdata!$P$2:$BR$17)))</f>
        <v>0</v>
      </c>
      <c r="DS86" s="11"/>
      <c r="DT86" s="195" t="str">
        <f t="array" ref="DT86">xlookup($Y82,qualdata!$N$2:$N$17,xlookup("r5gw",qualdata!$P$1:$BR$1,qualdata!$P$2:$BR$17))&amp;"-"&amp;xlookup($Y82,qualdata!$N$2:$N$17,xlookup("r5gl",qualdata!$P$1:$BR$1,qualdata!$P$2:$BR$17))</f>
        <v>-</v>
      </c>
      <c r="DX86" s="196"/>
      <c r="DY86" s="196">
        <f t="array" ref="DY86">if(xlookup($Y82,qualdata!$N$2:$N$17,xlookup("r5rd",qualdata!$P$1:$BR$1,qualdata!$P$2:$BR$17))&gt;0,"+"&amp;xlookup($Y82,qualdata!$N$2:$N$17,xlookup("r5rd",qualdata!$P$1:$BR$1,qualdata!$P$2:$BR$17)),xlookup($Y82,qualdata!$N$2:$N$17,xlookup("r5rd",qualdata!$P$1:$BR$1,qualdata!$P$2:$BR$17)))</f>
        <v>0</v>
      </c>
      <c r="EB86" s="11"/>
      <c r="EC86" s="152"/>
      <c r="ED86" s="152"/>
      <c r="EE86" s="152"/>
      <c r="EF86" s="152"/>
      <c r="EG86" s="152"/>
      <c r="EH86" s="152"/>
      <c r="EI86" s="152"/>
      <c r="EJ86" s="152"/>
      <c r="EK86" s="152"/>
      <c r="EL86" s="152"/>
      <c r="EM86" s="152"/>
      <c r="EN86" s="152"/>
      <c r="EO86" s="152"/>
      <c r="EP86" s="152"/>
      <c r="EQ86" s="152"/>
      <c r="ER86" s="152"/>
    </row>
    <row r="87" ht="5.25" customHeight="1">
      <c r="A87" s="152"/>
      <c r="B87" s="152"/>
      <c r="C87" s="152"/>
      <c r="D87" s="152"/>
      <c r="E87" s="152"/>
      <c r="F87" s="152"/>
      <c r="G87" s="152"/>
      <c r="H87" s="152"/>
      <c r="I87" s="152"/>
      <c r="J87" s="152"/>
      <c r="K87" s="152"/>
      <c r="L87" s="152"/>
      <c r="Q87" s="152"/>
      <c r="R87" s="10"/>
      <c r="X87" s="203"/>
      <c r="BB87" s="203"/>
      <c r="BK87" s="203"/>
      <c r="BT87" s="203"/>
      <c r="CC87" s="203"/>
      <c r="CI87" s="203"/>
      <c r="CJ87" s="10"/>
      <c r="CR87" s="11"/>
      <c r="CS87" s="10"/>
      <c r="DA87" s="11"/>
      <c r="DB87" s="10"/>
      <c r="DJ87" s="11"/>
      <c r="DK87" s="10"/>
      <c r="DS87" s="11"/>
      <c r="DT87" s="10"/>
      <c r="EB87" s="11"/>
      <c r="EC87" s="152"/>
      <c r="ED87" s="152"/>
      <c r="EE87" s="152"/>
      <c r="EF87" s="152"/>
      <c r="EG87" s="152"/>
      <c r="EH87" s="152"/>
      <c r="EI87" s="152"/>
      <c r="EJ87" s="152"/>
      <c r="EK87" s="152"/>
      <c r="EL87" s="152"/>
      <c r="EM87" s="152"/>
      <c r="EN87" s="152"/>
      <c r="EO87" s="152"/>
      <c r="EP87" s="152"/>
      <c r="EQ87" s="152"/>
      <c r="ER87" s="152"/>
    </row>
    <row r="88" ht="5.25" customHeight="1">
      <c r="A88" s="152"/>
      <c r="B88" s="152"/>
      <c r="C88" s="152"/>
      <c r="D88" s="152"/>
      <c r="E88" s="152"/>
      <c r="F88" s="152"/>
      <c r="G88" s="152"/>
      <c r="H88" s="152"/>
      <c r="I88" s="152"/>
      <c r="J88" s="152"/>
      <c r="K88" s="152"/>
      <c r="L88" s="152"/>
      <c r="Q88" s="152"/>
      <c r="R88" s="208"/>
      <c r="S88" s="209"/>
      <c r="T88" s="209"/>
      <c r="U88" s="209"/>
      <c r="V88" s="209"/>
      <c r="W88" s="209"/>
      <c r="X88" s="209"/>
      <c r="Y88" s="209"/>
      <c r="Z88" s="209"/>
      <c r="AA88" s="209"/>
      <c r="AB88" s="209"/>
      <c r="AC88" s="209"/>
      <c r="AD88" s="209"/>
      <c r="AE88" s="209"/>
      <c r="AF88" s="209"/>
      <c r="AG88" s="209"/>
      <c r="AH88" s="209"/>
      <c r="AI88" s="209"/>
      <c r="AJ88" s="209"/>
      <c r="AK88" s="209"/>
      <c r="AL88" s="209"/>
      <c r="AM88" s="209"/>
      <c r="AN88" s="209"/>
      <c r="AO88" s="209"/>
      <c r="AP88" s="209"/>
      <c r="AQ88" s="209"/>
      <c r="AR88" s="209"/>
      <c r="AS88" s="209"/>
      <c r="AT88" s="209"/>
      <c r="AU88" s="209"/>
      <c r="AV88" s="209"/>
      <c r="AW88" s="209"/>
      <c r="AX88" s="209"/>
      <c r="AY88" s="209"/>
      <c r="AZ88" s="209"/>
      <c r="BA88" s="209"/>
      <c r="BB88" s="209"/>
      <c r="BC88" s="209"/>
      <c r="BD88" s="209"/>
      <c r="BE88" s="209"/>
      <c r="BF88" s="209"/>
      <c r="BG88" s="209"/>
      <c r="BH88" s="209"/>
      <c r="BI88" s="209"/>
      <c r="BJ88" s="209"/>
      <c r="BK88" s="209"/>
      <c r="BL88" s="209"/>
      <c r="BM88" s="209"/>
      <c r="BN88" s="209"/>
      <c r="BO88" s="209"/>
      <c r="BP88" s="209"/>
      <c r="BQ88" s="209"/>
      <c r="BR88" s="209"/>
      <c r="BS88" s="209"/>
      <c r="BT88" s="209"/>
      <c r="BU88" s="209"/>
      <c r="BV88" s="209"/>
      <c r="BW88" s="209"/>
      <c r="BX88" s="209"/>
      <c r="BY88" s="209"/>
      <c r="BZ88" s="209"/>
      <c r="CA88" s="209"/>
      <c r="CB88" s="209"/>
      <c r="CC88" s="209"/>
      <c r="CD88" s="209"/>
      <c r="CE88" s="209"/>
      <c r="CF88" s="209"/>
      <c r="CG88" s="209"/>
      <c r="CH88" s="209"/>
      <c r="CI88" s="209"/>
      <c r="CJ88" s="12"/>
      <c r="CK88" s="13"/>
      <c r="CL88" s="13"/>
      <c r="CM88" s="13"/>
      <c r="CN88" s="13"/>
      <c r="CO88" s="13"/>
      <c r="CP88" s="13"/>
      <c r="CQ88" s="13"/>
      <c r="CR88" s="14"/>
      <c r="CS88" s="12"/>
      <c r="CT88" s="13"/>
      <c r="CU88" s="13"/>
      <c r="CV88" s="13"/>
      <c r="CW88" s="13"/>
      <c r="CX88" s="13"/>
      <c r="CY88" s="13"/>
      <c r="CZ88" s="13"/>
      <c r="DA88" s="14"/>
      <c r="DB88" s="12"/>
      <c r="DC88" s="13"/>
      <c r="DD88" s="13"/>
      <c r="DE88" s="13"/>
      <c r="DF88" s="13"/>
      <c r="DG88" s="13"/>
      <c r="DH88" s="13"/>
      <c r="DI88" s="13"/>
      <c r="DJ88" s="14"/>
      <c r="DK88" s="12"/>
      <c r="DL88" s="13"/>
      <c r="DM88" s="13"/>
      <c r="DN88" s="13"/>
      <c r="DO88" s="13"/>
      <c r="DP88" s="13"/>
      <c r="DQ88" s="13"/>
      <c r="DR88" s="13"/>
      <c r="DS88" s="14"/>
      <c r="DT88" s="12"/>
      <c r="DU88" s="13"/>
      <c r="DV88" s="13"/>
      <c r="DW88" s="13"/>
      <c r="DX88" s="13"/>
      <c r="DY88" s="13"/>
      <c r="DZ88" s="13"/>
      <c r="EA88" s="13"/>
      <c r="EB88" s="14"/>
      <c r="EC88" s="152"/>
      <c r="ED88" s="152"/>
      <c r="EE88" s="152"/>
      <c r="EF88" s="152"/>
      <c r="EG88" s="152"/>
      <c r="EH88" s="152"/>
      <c r="EI88" s="152"/>
      <c r="EJ88" s="152"/>
      <c r="EK88" s="152"/>
      <c r="EL88" s="152"/>
      <c r="EM88" s="152"/>
      <c r="EN88" s="152"/>
      <c r="EO88" s="152"/>
      <c r="EP88" s="152"/>
      <c r="EQ88" s="152"/>
      <c r="ER88" s="152"/>
    </row>
    <row r="89" ht="5.25" customHeight="1">
      <c r="A89" s="152"/>
      <c r="B89" s="152"/>
      <c r="C89" s="152"/>
      <c r="D89" s="152"/>
      <c r="E89" s="152"/>
      <c r="F89" s="152"/>
      <c r="G89" s="152"/>
      <c r="H89" s="152"/>
      <c r="I89" s="152"/>
      <c r="J89" s="152"/>
      <c r="K89" s="152"/>
      <c r="L89" s="152"/>
      <c r="M89" s="177" t="str">
        <f>Q89&amp;"."</f>
        <v>11.</v>
      </c>
      <c r="Q89" s="181">
        <v>11.0</v>
      </c>
      <c r="R89" s="200"/>
      <c r="S89" s="201"/>
      <c r="T89" s="201"/>
      <c r="U89" s="201"/>
      <c r="V89" s="201"/>
      <c r="W89" s="201"/>
      <c r="X89" s="201"/>
      <c r="Y89" s="201"/>
      <c r="Z89" s="201"/>
      <c r="AA89" s="201"/>
      <c r="AB89" s="201"/>
      <c r="AC89" s="201"/>
      <c r="AD89" s="201"/>
      <c r="AE89" s="201"/>
      <c r="AF89" s="201"/>
      <c r="AG89" s="201"/>
      <c r="AH89" s="201"/>
      <c r="AI89" s="201"/>
      <c r="AJ89" s="201"/>
      <c r="AK89" s="201"/>
      <c r="AL89" s="201"/>
      <c r="AM89" s="201"/>
      <c r="AN89" s="201"/>
      <c r="AO89" s="201"/>
      <c r="AP89" s="201"/>
      <c r="AQ89" s="201"/>
      <c r="AR89" s="201"/>
      <c r="AS89" s="201"/>
      <c r="AT89" s="201"/>
      <c r="AU89" s="201"/>
      <c r="AV89" s="201"/>
      <c r="AW89" s="201"/>
      <c r="AX89" s="201"/>
      <c r="AY89" s="201"/>
      <c r="AZ89" s="201"/>
      <c r="BA89" s="201"/>
      <c r="BB89" s="201"/>
      <c r="BC89" s="201"/>
      <c r="BD89" s="201"/>
      <c r="BE89" s="201"/>
      <c r="BF89" s="201"/>
      <c r="BG89" s="201"/>
      <c r="BH89" s="201"/>
      <c r="BI89" s="201"/>
      <c r="BJ89" s="201"/>
      <c r="BK89" s="201"/>
      <c r="BL89" s="201"/>
      <c r="BM89" s="201"/>
      <c r="BN89" s="201"/>
      <c r="BO89" s="201"/>
      <c r="BP89" s="201"/>
      <c r="BQ89" s="201"/>
      <c r="BR89" s="201"/>
      <c r="BS89" s="201"/>
      <c r="BT89" s="201"/>
      <c r="BU89" s="201"/>
      <c r="BV89" s="201"/>
      <c r="BW89" s="201"/>
      <c r="BX89" s="201"/>
      <c r="BY89" s="201"/>
      <c r="BZ89" s="201"/>
      <c r="CA89" s="201"/>
      <c r="CB89" s="201"/>
      <c r="CC89" s="201"/>
      <c r="CD89" s="201"/>
      <c r="CE89" s="201"/>
      <c r="CF89" s="201"/>
      <c r="CG89" s="201"/>
      <c r="CH89" s="201"/>
      <c r="CI89" s="201"/>
      <c r="CJ89" s="185" t="str">
        <f t="array" ref="CJ89">xlookup($Y90,qualdata!$N$2:$N$17,xlookup("r1Ser",qualdata!$P$1:$BR$1,qualdata!$P$2:$BR$17,""))</f>
        <v/>
      </c>
      <c r="CK89" s="8"/>
      <c r="CL89" s="186" t="str">
        <f t="array" ref="CL89">xlookup(xlookup($Y90,qualdata!$N$2:$N$17,xlookup("r1op",qualdata!$P$1:$BR$1,qualdata!$P$2:$BR$17,"")),qualdata!$M$2:$M$17,qualdata!$O$2:$O$17,"")</f>
        <v/>
      </c>
      <c r="CM89" s="8"/>
      <c r="CN89" s="8"/>
      <c r="CO89" s="8"/>
      <c r="CP89" s="8"/>
      <c r="CQ89" s="187"/>
      <c r="CR89" s="9"/>
      <c r="CS89" s="185" t="str">
        <f t="array" ref="CS89">xlookup($Y90,qualdata!$N$2:$N$17,xlookup("r2Ser",qualdata!$P$1:$BR$1,qualdata!$P$2:$BR$17,""))</f>
        <v/>
      </c>
      <c r="CT89" s="8"/>
      <c r="CU89" s="186" t="str">
        <f t="array" ref="CU89">xlookup(xlookup($Y90,qualdata!$N$2:$N$17,xlookup("r2op",qualdata!$P$1:$BR$1,qualdata!$P$2:$BR$17,"")),qualdata!$M$2:$M$17,qualdata!$O$2:$O$17,"")</f>
        <v/>
      </c>
      <c r="CV89" s="8"/>
      <c r="CW89" s="8"/>
      <c r="CX89" s="8"/>
      <c r="CY89" s="8"/>
      <c r="CZ89" s="187"/>
      <c r="DA89" s="9"/>
      <c r="DB89" s="185" t="str">
        <f t="array" ref="DB89">xlookup($Y90,qualdata!$N$2:$N$17,xlookup("r3Ser",qualdata!$P$1:$BR$1,qualdata!$P$2:$BR$17,""))</f>
        <v/>
      </c>
      <c r="DC89" s="8"/>
      <c r="DD89" s="186" t="str">
        <f t="array" ref="DD89">xlookup(xlookup($Y90,qualdata!$N$2:$N$17,xlookup("r3op",qualdata!$P$1:$BR$1,qualdata!$P$2:$BR$17,"")),qualdata!$M$2:$M$17,qualdata!$O$2:$O$17,"")</f>
        <v/>
      </c>
      <c r="DE89" s="8"/>
      <c r="DF89" s="8"/>
      <c r="DG89" s="8"/>
      <c r="DH89" s="8"/>
      <c r="DI89" s="187"/>
      <c r="DJ89" s="9"/>
      <c r="DK89" s="185" t="str">
        <f t="array" ref="DK89">xlookup($Y90,qualdata!$N$2:$N$17,xlookup("r4Ser",qualdata!$P$1:$BR$1,qualdata!$P$2:$BR$17,""))</f>
        <v/>
      </c>
      <c r="DL89" s="8"/>
      <c r="DM89" s="186" t="str">
        <f t="array" ref="DM89">xlookup(xlookup($Y90,qualdata!$N$2:$N$17,xlookup("r4op",qualdata!$P$1:$BR$1,qualdata!$P$2:$BR$17,"")),qualdata!$M$2:$M$17,qualdata!$O$2:$O$17,"")</f>
        <v/>
      </c>
      <c r="DN89" s="8"/>
      <c r="DO89" s="8"/>
      <c r="DP89" s="8"/>
      <c r="DQ89" s="8"/>
      <c r="DR89" s="187"/>
      <c r="DS89" s="9"/>
      <c r="DT89" s="185" t="str">
        <f t="array" ref="DT89">xlookup($Y90,qualdata!$N$2:$N$17,xlookup("r5Ser",qualdata!$P$1:$BR$1,qualdata!$P$2:$BR$17,""))</f>
        <v/>
      </c>
      <c r="DU89" s="8"/>
      <c r="DV89" s="186" t="str">
        <f t="array" ref="DV89">xlookup(xlookup($Y90,qualdata!$N$2:$N$17,xlookup("r5op",qualdata!$P$1:$BR$1,qualdata!$P$2:$BR$17,"")),qualdata!$M$2:$M$17,qualdata!$O$2:$O$17,"")</f>
        <v/>
      </c>
      <c r="DW89" s="8"/>
      <c r="DX89" s="8"/>
      <c r="DY89" s="8"/>
      <c r="DZ89" s="8"/>
      <c r="EA89" s="187"/>
      <c r="EB89" s="9"/>
      <c r="EC89" s="152"/>
      <c r="ED89" s="152"/>
      <c r="EE89" s="152"/>
      <c r="EF89" s="152"/>
      <c r="EG89" s="152"/>
      <c r="EH89" s="152"/>
      <c r="EI89" s="152"/>
      <c r="EJ89" s="152"/>
      <c r="EK89" s="152"/>
      <c r="EL89" s="152"/>
      <c r="EM89" s="152"/>
      <c r="EN89" s="152"/>
      <c r="EO89" s="152"/>
      <c r="EP89" s="152"/>
      <c r="EQ89" s="152"/>
      <c r="ER89" s="152"/>
    </row>
    <row r="90" ht="5.25" customHeight="1">
      <c r="A90" s="152"/>
      <c r="B90" s="152"/>
      <c r="C90" s="152"/>
      <c r="D90" s="152"/>
      <c r="E90" s="152"/>
      <c r="F90" s="152"/>
      <c r="G90" s="152"/>
      <c r="H90" s="152"/>
      <c r="I90" s="152"/>
      <c r="J90" s="152"/>
      <c r="K90" s="152"/>
      <c r="L90" s="152"/>
      <c r="Q90" s="152"/>
      <c r="R90" s="202" t="str">
        <f t="array" ref="R90">xlookup(Y90,qualdata!$N$2:$N$17,qualdata!$O$2:$O$17,"")</f>
        <v/>
      </c>
      <c r="X90" s="203"/>
      <c r="Y90" s="204" t="str">
        <f t="array" ref="Y90">xlookup(Q89,qualdata!$G$24:$G$39,qualdata!$A$24:$A$39,"")</f>
        <v>Team 11 (Group 1)</v>
      </c>
      <c r="BB90" s="203"/>
      <c r="BC90" s="205" t="str">
        <f t="array" ref="BC90">xlookup(Y90,qualdata!$A$24:$A$39,qualdata!$B$24:$B$39,"")</f>
        <v>0-0</v>
      </c>
      <c r="BK90" s="203"/>
      <c r="BL90" s="206" t="str">
        <f t="array" ref="BL90">xlookup(Y90,qualdata!$A$24:$A$39,qualdata!$C$24:$C$39,"")</f>
        <v>0-0</v>
      </c>
      <c r="BT90" s="203"/>
      <c r="BU90" s="207" t="str">
        <f t="array" ref="BU90">xlookup(Y90,qualdata!$A$24:$A$39,qualdata!$D$24:$D$39,"")</f>
        <v>0-0</v>
      </c>
      <c r="CC90" s="203"/>
      <c r="CD90" s="207">
        <f t="array" ref="CD90">xlookup(Y90,qualdata!$A$24:$A$39,qualdata!$F$24:$F$39,"")</f>
        <v>0</v>
      </c>
      <c r="CI90" s="203"/>
      <c r="CJ90" s="10"/>
      <c r="CR90" s="11"/>
      <c r="CS90" s="10"/>
      <c r="DA90" s="11"/>
      <c r="DB90" s="10"/>
      <c r="DJ90" s="11"/>
      <c r="DK90" s="10"/>
      <c r="DS90" s="11"/>
      <c r="DT90" s="10"/>
      <c r="EB90" s="11"/>
      <c r="EC90" s="152"/>
      <c r="ED90" s="152"/>
      <c r="EE90" s="152"/>
      <c r="EF90" s="152"/>
      <c r="EG90" s="152"/>
      <c r="EH90" s="152"/>
      <c r="EI90" s="152"/>
      <c r="EJ90" s="152"/>
      <c r="EK90" s="152"/>
      <c r="EL90" s="152"/>
      <c r="EM90" s="152"/>
      <c r="EN90" s="152"/>
      <c r="EO90" s="152"/>
      <c r="EP90" s="152"/>
      <c r="EQ90" s="152"/>
      <c r="ER90" s="152"/>
    </row>
    <row r="91" ht="5.25" customHeight="1">
      <c r="A91" s="152"/>
      <c r="B91" s="152"/>
      <c r="C91" s="152"/>
      <c r="D91" s="152"/>
      <c r="E91" s="152"/>
      <c r="F91" s="152"/>
      <c r="G91" s="152"/>
      <c r="H91" s="152"/>
      <c r="I91" s="152"/>
      <c r="J91" s="152"/>
      <c r="K91" s="152"/>
      <c r="L91" s="152"/>
      <c r="Q91" s="152"/>
      <c r="R91" s="10"/>
      <c r="X91" s="203"/>
      <c r="BB91" s="203"/>
      <c r="BK91" s="203"/>
      <c r="BT91" s="203"/>
      <c r="CC91" s="203"/>
      <c r="CI91" s="203"/>
      <c r="CJ91" s="10"/>
      <c r="CR91" s="11"/>
      <c r="CS91" s="10"/>
      <c r="DA91" s="11"/>
      <c r="DB91" s="10"/>
      <c r="DJ91" s="11"/>
      <c r="DK91" s="10"/>
      <c r="DS91" s="11"/>
      <c r="DT91" s="10"/>
      <c r="EB91" s="11"/>
      <c r="EC91" s="152"/>
      <c r="ED91" s="152"/>
      <c r="EE91" s="152"/>
      <c r="EF91" s="152"/>
      <c r="EG91" s="152"/>
      <c r="EH91" s="152"/>
      <c r="EI91" s="152"/>
      <c r="EJ91" s="152"/>
      <c r="EK91" s="152"/>
      <c r="EL91" s="152"/>
      <c r="EM91" s="152"/>
      <c r="EN91" s="152"/>
      <c r="EO91" s="152"/>
      <c r="EP91" s="152"/>
      <c r="EQ91" s="152"/>
      <c r="ER91" s="152"/>
    </row>
    <row r="92" ht="5.25" customHeight="1">
      <c r="A92" s="152"/>
      <c r="B92" s="152"/>
      <c r="C92" s="152"/>
      <c r="D92" s="152"/>
      <c r="E92" s="152"/>
      <c r="F92" s="152"/>
      <c r="G92" s="152"/>
      <c r="H92" s="152"/>
      <c r="I92" s="152"/>
      <c r="J92" s="152"/>
      <c r="K92" s="152"/>
      <c r="L92" s="152"/>
      <c r="Q92" s="152"/>
      <c r="R92" s="10"/>
      <c r="X92" s="203"/>
      <c r="BB92" s="203"/>
      <c r="BK92" s="203"/>
      <c r="BT92" s="203"/>
      <c r="CC92" s="203"/>
      <c r="CI92" s="203"/>
      <c r="CJ92" s="10"/>
      <c r="CR92" s="11"/>
      <c r="CS92" s="10"/>
      <c r="DA92" s="11"/>
      <c r="DB92" s="10"/>
      <c r="DJ92" s="11"/>
      <c r="DK92" s="10"/>
      <c r="DS92" s="11"/>
      <c r="DT92" s="10"/>
      <c r="EB92" s="11"/>
      <c r="EC92" s="152"/>
      <c r="ED92" s="152"/>
      <c r="EE92" s="152"/>
      <c r="EF92" s="152"/>
      <c r="EG92" s="152"/>
      <c r="EH92" s="152"/>
      <c r="EI92" s="152"/>
      <c r="EJ92" s="152"/>
      <c r="EK92" s="152"/>
      <c r="EL92" s="152"/>
      <c r="EM92" s="152"/>
      <c r="EN92" s="152"/>
      <c r="EO92" s="152"/>
      <c r="EP92" s="152"/>
      <c r="EQ92" s="152"/>
      <c r="ER92" s="152"/>
    </row>
    <row r="93" ht="5.25" customHeight="1">
      <c r="A93" s="152"/>
      <c r="B93" s="152"/>
      <c r="C93" s="152"/>
      <c r="D93" s="152"/>
      <c r="E93" s="152"/>
      <c r="F93" s="152"/>
      <c r="G93" s="152"/>
      <c r="H93" s="152"/>
      <c r="I93" s="152"/>
      <c r="J93" s="152"/>
      <c r="K93" s="152"/>
      <c r="L93" s="152"/>
      <c r="Q93" s="152"/>
      <c r="R93" s="10"/>
      <c r="X93" s="203"/>
      <c r="BB93" s="203"/>
      <c r="BK93" s="203"/>
      <c r="BT93" s="203"/>
      <c r="CC93" s="203"/>
      <c r="CI93" s="203"/>
      <c r="CJ93" s="10"/>
      <c r="CR93" s="11"/>
      <c r="CS93" s="10"/>
      <c r="DA93" s="11"/>
      <c r="DB93" s="10"/>
      <c r="DJ93" s="11"/>
      <c r="DK93" s="10"/>
      <c r="DS93" s="11"/>
      <c r="DT93" s="10"/>
      <c r="EB93" s="11"/>
      <c r="EC93" s="152"/>
      <c r="ED93" s="152"/>
      <c r="EE93" s="152"/>
      <c r="EF93" s="152"/>
      <c r="EG93" s="152"/>
      <c r="EH93" s="152"/>
      <c r="EI93" s="152"/>
      <c r="EJ93" s="152"/>
      <c r="EK93" s="152"/>
      <c r="EL93" s="152"/>
      <c r="EM93" s="152"/>
      <c r="EN93" s="152"/>
      <c r="EO93" s="152"/>
      <c r="EP93" s="152"/>
      <c r="EQ93" s="152"/>
      <c r="ER93" s="152"/>
    </row>
    <row r="94" ht="5.25" customHeight="1">
      <c r="A94" s="152"/>
      <c r="B94" s="152"/>
      <c r="C94" s="152"/>
      <c r="D94" s="152"/>
      <c r="E94" s="152"/>
      <c r="F94" s="152"/>
      <c r="G94" s="152"/>
      <c r="H94" s="152"/>
      <c r="I94" s="152"/>
      <c r="J94" s="152"/>
      <c r="K94" s="152"/>
      <c r="L94" s="152"/>
      <c r="Q94" s="152"/>
      <c r="R94" s="10"/>
      <c r="X94" s="203"/>
      <c r="BB94" s="203"/>
      <c r="BK94" s="203"/>
      <c r="BT94" s="203"/>
      <c r="CC94" s="203"/>
      <c r="CI94" s="203"/>
      <c r="CJ94" s="195" t="str">
        <f t="array" ref="CJ94">xlookup($Y90,qualdata!$N$2:$N$17,xlookup("r1gw",qualdata!$P$1:$BR$1,qualdata!$P$2:$BR$17))&amp;"-"&amp;xlookup($Y90,qualdata!$N$2:$N$17,xlookup("r1gl",qualdata!$P$1:$BR$1,qualdata!$P$2:$BR$17))</f>
        <v>-</v>
      </c>
      <c r="CN94" s="196"/>
      <c r="CO94" s="196">
        <f t="array" ref="CO94">if(xlookup($Y90,qualdata!$N$2:$N$17,xlookup("r1rd",qualdata!$P$1:$BR$1,qualdata!$P$2:$BR$17))&gt;0,"+"&amp;xlookup($Y90,qualdata!$N$2:$N$17,xlookup("r1rd",qualdata!$P$1:$BR$1,qualdata!$P$2:$BR$17)),xlookup($Y90,qualdata!$N$2:$N$17,xlookup("r1rd",qualdata!$P$1:$BR$1,qualdata!$P$2:$BR$17)))</f>
        <v>0</v>
      </c>
      <c r="CR94" s="11"/>
      <c r="CS94" s="195" t="str">
        <f t="array" ref="CS94">xlookup($Y90,qualdata!$N$2:$N$17,xlookup("r2gw",qualdata!$P$1:$BR$1,qualdata!$P$2:$BR$17))&amp;"-"&amp;xlookup($Y90,qualdata!$N$2:$N$17,xlookup("r2gl",qualdata!$P$1:$BR$1,qualdata!$P$2:$BR$17))</f>
        <v>-</v>
      </c>
      <c r="CW94" s="196"/>
      <c r="CX94" s="196">
        <f t="array" ref="CX94">if(xlookup($Y90,qualdata!$N$2:$N$17,xlookup("r2rd",qualdata!$P$1:$BR$1,qualdata!$P$2:$BR$17))&gt;0,"+"&amp;xlookup($Y90,qualdata!$N$2:$N$17,xlookup("r2rd",qualdata!$P$1:$BR$1,qualdata!$P$2:$BR$17)),xlookup($Y90,qualdata!$N$2:$N$17,xlookup("r2rd",qualdata!$P$1:$BR$1,qualdata!$P$2:$BR$17)))</f>
        <v>0</v>
      </c>
      <c r="DA94" s="11"/>
      <c r="DB94" s="195" t="str">
        <f t="array" ref="DB94">xlookup($Y90,qualdata!$N$2:$N$17,xlookup("r3gw",qualdata!$P$1:$BR$1,qualdata!$P$2:$BR$17))&amp;"-"&amp;xlookup($Y90,qualdata!$N$2:$N$17,xlookup("r3gl",qualdata!$P$1:$BR$1,qualdata!$P$2:$BR$17))</f>
        <v>-</v>
      </c>
      <c r="DF94" s="196"/>
      <c r="DG94" s="196">
        <f t="array" ref="DG94">if(xlookup($Y90,qualdata!$N$2:$N$17,xlookup("r3rd",qualdata!$P$1:$BR$1,qualdata!$P$2:$BR$17))&gt;0,"+"&amp;xlookup($Y90,qualdata!$N$2:$N$17,xlookup("r3rd",qualdata!$P$1:$BR$1,qualdata!$P$2:$BR$17)),xlookup($Y90,qualdata!$N$2:$N$17,xlookup("r3rd",qualdata!$P$1:$BR$1,qualdata!$P$2:$BR$17)))</f>
        <v>0</v>
      </c>
      <c r="DJ94" s="11"/>
      <c r="DK94" s="195" t="str">
        <f t="array" ref="DK94">xlookup($Y90,qualdata!$N$2:$N$17,xlookup("r4gw",qualdata!$P$1:$BR$1,qualdata!$P$2:$BR$17))&amp;"-"&amp;xlookup($Y90,qualdata!$N$2:$N$17,xlookup("r4gl",qualdata!$P$1:$BR$1,qualdata!$P$2:$BR$17))</f>
        <v>-</v>
      </c>
      <c r="DO94" s="196"/>
      <c r="DP94" s="196">
        <f t="array" ref="DP94">if(xlookup($Y90,qualdata!$N$2:$N$17,xlookup("r4rd",qualdata!$P$1:$BR$1,qualdata!$P$2:$BR$17))&gt;0,"+"&amp;xlookup($Y90,qualdata!$N$2:$N$17,xlookup("r4rd",qualdata!$P$1:$BR$1,qualdata!$P$2:$BR$17)),xlookup($Y90,qualdata!$N$2:$N$17,xlookup("r4rd",qualdata!$P$1:$BR$1,qualdata!$P$2:$BR$17)))</f>
        <v>0</v>
      </c>
      <c r="DS94" s="11"/>
      <c r="DT94" s="195" t="str">
        <f t="array" ref="DT94">xlookup($Y90,qualdata!$N$2:$N$17,xlookup("r5gw",qualdata!$P$1:$BR$1,qualdata!$P$2:$BR$17))&amp;"-"&amp;xlookup($Y90,qualdata!$N$2:$N$17,xlookup("r5gl",qualdata!$P$1:$BR$1,qualdata!$P$2:$BR$17))</f>
        <v>-</v>
      </c>
      <c r="DX94" s="196"/>
      <c r="DY94" s="196">
        <f t="array" ref="DY94">if(xlookup($Y90,qualdata!$N$2:$N$17,xlookup("r5rd",qualdata!$P$1:$BR$1,qualdata!$P$2:$BR$17))&gt;0,"+"&amp;xlookup($Y90,qualdata!$N$2:$N$17,xlookup("r5rd",qualdata!$P$1:$BR$1,qualdata!$P$2:$BR$17)),xlookup($Y90,qualdata!$N$2:$N$17,xlookup("r5rd",qualdata!$P$1:$BR$1,qualdata!$P$2:$BR$17)))</f>
        <v>0</v>
      </c>
      <c r="EB94" s="11"/>
      <c r="EC94" s="152"/>
      <c r="ED94" s="152"/>
      <c r="EE94" s="152"/>
      <c r="EF94" s="152"/>
      <c r="EG94" s="152"/>
      <c r="EH94" s="152"/>
      <c r="EI94" s="152"/>
      <c r="EJ94" s="152"/>
      <c r="EK94" s="152"/>
      <c r="EL94" s="152"/>
      <c r="EM94" s="152"/>
      <c r="EN94" s="152"/>
      <c r="EO94" s="152"/>
      <c r="EP94" s="152"/>
      <c r="EQ94" s="152"/>
      <c r="ER94" s="152"/>
    </row>
    <row r="95" ht="5.25" customHeight="1">
      <c r="A95" s="152"/>
      <c r="B95" s="152"/>
      <c r="C95" s="152"/>
      <c r="D95" s="152"/>
      <c r="E95" s="152"/>
      <c r="F95" s="152"/>
      <c r="G95" s="152"/>
      <c r="H95" s="152"/>
      <c r="I95" s="152"/>
      <c r="J95" s="152"/>
      <c r="K95" s="152"/>
      <c r="L95" s="152"/>
      <c r="Q95" s="152"/>
      <c r="R95" s="10"/>
      <c r="X95" s="203"/>
      <c r="BB95" s="203"/>
      <c r="BK95" s="203"/>
      <c r="BT95" s="203"/>
      <c r="CC95" s="203"/>
      <c r="CI95" s="203"/>
      <c r="CJ95" s="10"/>
      <c r="CR95" s="11"/>
      <c r="CS95" s="10"/>
      <c r="DA95" s="11"/>
      <c r="DB95" s="10"/>
      <c r="DJ95" s="11"/>
      <c r="DK95" s="10"/>
      <c r="DS95" s="11"/>
      <c r="DT95" s="10"/>
      <c r="EB95" s="11"/>
      <c r="EC95" s="152"/>
      <c r="ED95" s="152"/>
      <c r="EE95" s="152"/>
      <c r="EF95" s="152"/>
      <c r="EG95" s="152"/>
      <c r="EH95" s="152"/>
      <c r="EI95" s="152"/>
      <c r="EJ95" s="152"/>
      <c r="EK95" s="152"/>
      <c r="EL95" s="152"/>
      <c r="EM95" s="152"/>
      <c r="EN95" s="152"/>
      <c r="EO95" s="152"/>
      <c r="EP95" s="152"/>
      <c r="EQ95" s="152"/>
      <c r="ER95" s="152"/>
    </row>
    <row r="96" ht="5.25" customHeight="1">
      <c r="A96" s="152"/>
      <c r="B96" s="152"/>
      <c r="C96" s="152"/>
      <c r="D96" s="152"/>
      <c r="E96" s="152"/>
      <c r="F96" s="152"/>
      <c r="G96" s="152"/>
      <c r="H96" s="152"/>
      <c r="I96" s="152"/>
      <c r="J96" s="152"/>
      <c r="K96" s="152"/>
      <c r="L96" s="152"/>
      <c r="Q96" s="152"/>
      <c r="R96" s="208"/>
      <c r="S96" s="209"/>
      <c r="T96" s="209"/>
      <c r="U96" s="209"/>
      <c r="V96" s="209"/>
      <c r="W96" s="209"/>
      <c r="X96" s="209"/>
      <c r="Y96" s="209"/>
      <c r="Z96" s="209"/>
      <c r="AA96" s="209"/>
      <c r="AB96" s="209"/>
      <c r="AC96" s="209"/>
      <c r="AD96" s="209"/>
      <c r="AE96" s="209"/>
      <c r="AF96" s="209"/>
      <c r="AG96" s="209"/>
      <c r="AH96" s="209"/>
      <c r="AI96" s="209"/>
      <c r="AJ96" s="209"/>
      <c r="AK96" s="209"/>
      <c r="AL96" s="209"/>
      <c r="AM96" s="209"/>
      <c r="AN96" s="209"/>
      <c r="AO96" s="209"/>
      <c r="AP96" s="209"/>
      <c r="AQ96" s="209"/>
      <c r="AR96" s="209"/>
      <c r="AS96" s="209"/>
      <c r="AT96" s="209"/>
      <c r="AU96" s="209"/>
      <c r="AV96" s="209"/>
      <c r="AW96" s="209"/>
      <c r="AX96" s="209"/>
      <c r="AY96" s="209"/>
      <c r="AZ96" s="209"/>
      <c r="BA96" s="209"/>
      <c r="BB96" s="209"/>
      <c r="BC96" s="209"/>
      <c r="BD96" s="209"/>
      <c r="BE96" s="209"/>
      <c r="BF96" s="209"/>
      <c r="BG96" s="209"/>
      <c r="BH96" s="209"/>
      <c r="BI96" s="209"/>
      <c r="BJ96" s="209"/>
      <c r="BK96" s="209"/>
      <c r="BL96" s="209"/>
      <c r="BM96" s="209"/>
      <c r="BN96" s="209"/>
      <c r="BO96" s="209"/>
      <c r="BP96" s="209"/>
      <c r="BQ96" s="209"/>
      <c r="BR96" s="209"/>
      <c r="BS96" s="209"/>
      <c r="BT96" s="209"/>
      <c r="BU96" s="209"/>
      <c r="BV96" s="209"/>
      <c r="BW96" s="209"/>
      <c r="BX96" s="209"/>
      <c r="BY96" s="209"/>
      <c r="BZ96" s="209"/>
      <c r="CA96" s="209"/>
      <c r="CB96" s="209"/>
      <c r="CC96" s="209"/>
      <c r="CD96" s="209"/>
      <c r="CE96" s="209"/>
      <c r="CF96" s="209"/>
      <c r="CG96" s="209"/>
      <c r="CH96" s="209"/>
      <c r="CI96" s="209"/>
      <c r="CJ96" s="12"/>
      <c r="CK96" s="13"/>
      <c r="CL96" s="13"/>
      <c r="CM96" s="13"/>
      <c r="CN96" s="13"/>
      <c r="CO96" s="13"/>
      <c r="CP96" s="13"/>
      <c r="CQ96" s="13"/>
      <c r="CR96" s="14"/>
      <c r="CS96" s="12"/>
      <c r="CT96" s="13"/>
      <c r="CU96" s="13"/>
      <c r="CV96" s="13"/>
      <c r="CW96" s="13"/>
      <c r="CX96" s="13"/>
      <c r="CY96" s="13"/>
      <c r="CZ96" s="13"/>
      <c r="DA96" s="14"/>
      <c r="DB96" s="12"/>
      <c r="DC96" s="13"/>
      <c r="DD96" s="13"/>
      <c r="DE96" s="13"/>
      <c r="DF96" s="13"/>
      <c r="DG96" s="13"/>
      <c r="DH96" s="13"/>
      <c r="DI96" s="13"/>
      <c r="DJ96" s="14"/>
      <c r="DK96" s="12"/>
      <c r="DL96" s="13"/>
      <c r="DM96" s="13"/>
      <c r="DN96" s="13"/>
      <c r="DO96" s="13"/>
      <c r="DP96" s="13"/>
      <c r="DQ96" s="13"/>
      <c r="DR96" s="13"/>
      <c r="DS96" s="14"/>
      <c r="DT96" s="12"/>
      <c r="DU96" s="13"/>
      <c r="DV96" s="13"/>
      <c r="DW96" s="13"/>
      <c r="DX96" s="13"/>
      <c r="DY96" s="13"/>
      <c r="DZ96" s="13"/>
      <c r="EA96" s="13"/>
      <c r="EB96" s="14"/>
      <c r="EC96" s="152"/>
      <c r="ED96" s="152"/>
      <c r="EE96" s="152"/>
      <c r="EF96" s="152"/>
      <c r="EG96" s="152"/>
      <c r="EH96" s="152"/>
      <c r="EI96" s="152"/>
      <c r="EJ96" s="152"/>
      <c r="EK96" s="152"/>
      <c r="EL96" s="152"/>
      <c r="EM96" s="152"/>
      <c r="EN96" s="152"/>
      <c r="EO96" s="152"/>
      <c r="EP96" s="152"/>
      <c r="EQ96" s="152"/>
      <c r="ER96" s="152"/>
    </row>
    <row r="97" ht="5.25" customHeight="1">
      <c r="A97" s="152"/>
      <c r="B97" s="152"/>
      <c r="C97" s="152"/>
      <c r="D97" s="152"/>
      <c r="E97" s="152"/>
      <c r="F97" s="152"/>
      <c r="G97" s="152"/>
      <c r="H97" s="152"/>
      <c r="I97" s="152"/>
      <c r="J97" s="152"/>
      <c r="K97" s="152"/>
      <c r="L97" s="152"/>
      <c r="M97" s="177" t="str">
        <f>Q97&amp;"."</f>
        <v>12.</v>
      </c>
      <c r="Q97" s="181">
        <v>12.0</v>
      </c>
      <c r="R97" s="200"/>
      <c r="S97" s="201"/>
      <c r="T97" s="201"/>
      <c r="U97" s="201"/>
      <c r="V97" s="201"/>
      <c r="W97" s="201"/>
      <c r="X97" s="201"/>
      <c r="Y97" s="201"/>
      <c r="Z97" s="201"/>
      <c r="AA97" s="201"/>
      <c r="AB97" s="201"/>
      <c r="AC97" s="201"/>
      <c r="AD97" s="201"/>
      <c r="AE97" s="201"/>
      <c r="AF97" s="201"/>
      <c r="AG97" s="201"/>
      <c r="AH97" s="201"/>
      <c r="AI97" s="201"/>
      <c r="AJ97" s="201"/>
      <c r="AK97" s="201"/>
      <c r="AL97" s="201"/>
      <c r="AM97" s="201"/>
      <c r="AN97" s="201"/>
      <c r="AO97" s="201"/>
      <c r="AP97" s="201"/>
      <c r="AQ97" s="201"/>
      <c r="AR97" s="201"/>
      <c r="AS97" s="201"/>
      <c r="AT97" s="201"/>
      <c r="AU97" s="201"/>
      <c r="AV97" s="201"/>
      <c r="AW97" s="201"/>
      <c r="AX97" s="201"/>
      <c r="AY97" s="201"/>
      <c r="AZ97" s="201"/>
      <c r="BA97" s="201"/>
      <c r="BB97" s="201"/>
      <c r="BC97" s="201"/>
      <c r="BD97" s="201"/>
      <c r="BE97" s="201"/>
      <c r="BF97" s="201"/>
      <c r="BG97" s="201"/>
      <c r="BH97" s="201"/>
      <c r="BI97" s="201"/>
      <c r="BJ97" s="201"/>
      <c r="BK97" s="201"/>
      <c r="BL97" s="201"/>
      <c r="BM97" s="201"/>
      <c r="BN97" s="201"/>
      <c r="BO97" s="201"/>
      <c r="BP97" s="201"/>
      <c r="BQ97" s="201"/>
      <c r="BR97" s="201"/>
      <c r="BS97" s="201"/>
      <c r="BT97" s="201"/>
      <c r="BU97" s="201"/>
      <c r="BV97" s="201"/>
      <c r="BW97" s="201"/>
      <c r="BX97" s="201"/>
      <c r="BY97" s="201"/>
      <c r="BZ97" s="201"/>
      <c r="CA97" s="201"/>
      <c r="CB97" s="201"/>
      <c r="CC97" s="201"/>
      <c r="CD97" s="201"/>
      <c r="CE97" s="201"/>
      <c r="CF97" s="201"/>
      <c r="CG97" s="201"/>
      <c r="CH97" s="201"/>
      <c r="CI97" s="201"/>
      <c r="CJ97" s="185" t="str">
        <f t="array" ref="CJ97">xlookup($Y98,qualdata!$N$2:$N$17,xlookup("r1Ser",qualdata!$P$1:$BR$1,qualdata!$P$2:$BR$17,""))</f>
        <v/>
      </c>
      <c r="CK97" s="8"/>
      <c r="CL97" s="186" t="str">
        <f t="array" ref="CL97">xlookup(xlookup($Y98,qualdata!$N$2:$N$17,xlookup("r1op",qualdata!$P$1:$BR$1,qualdata!$P$2:$BR$17,"")),qualdata!$M$2:$M$17,qualdata!$O$2:$O$17,"")</f>
        <v/>
      </c>
      <c r="CM97" s="8"/>
      <c r="CN97" s="8"/>
      <c r="CO97" s="8"/>
      <c r="CP97" s="8"/>
      <c r="CQ97" s="187"/>
      <c r="CR97" s="9"/>
      <c r="CS97" s="185" t="str">
        <f t="array" ref="CS97">xlookup($Y98,qualdata!$N$2:$N$17,xlookup("r2Ser",qualdata!$P$1:$BR$1,qualdata!$P$2:$BR$17,""))</f>
        <v/>
      </c>
      <c r="CT97" s="8"/>
      <c r="CU97" s="186" t="str">
        <f t="array" ref="CU97">xlookup(xlookup($Y98,qualdata!$N$2:$N$17,xlookup("r2op",qualdata!$P$1:$BR$1,qualdata!$P$2:$BR$17,"")),qualdata!$M$2:$M$17,qualdata!$O$2:$O$17,"")</f>
        <v/>
      </c>
      <c r="CV97" s="8"/>
      <c r="CW97" s="8"/>
      <c r="CX97" s="8"/>
      <c r="CY97" s="8"/>
      <c r="CZ97" s="187"/>
      <c r="DA97" s="9"/>
      <c r="DB97" s="185" t="str">
        <f t="array" ref="DB97">xlookup($Y98,qualdata!$N$2:$N$17,xlookup("r3Ser",qualdata!$P$1:$BR$1,qualdata!$P$2:$BR$17,""))</f>
        <v/>
      </c>
      <c r="DC97" s="8"/>
      <c r="DD97" s="186" t="str">
        <f t="array" ref="DD97">xlookup(xlookup($Y98,qualdata!$N$2:$N$17,xlookup("r3op",qualdata!$P$1:$BR$1,qualdata!$P$2:$BR$17,"")),qualdata!$M$2:$M$17,qualdata!$O$2:$O$17,"")</f>
        <v/>
      </c>
      <c r="DE97" s="8"/>
      <c r="DF97" s="8"/>
      <c r="DG97" s="8"/>
      <c r="DH97" s="8"/>
      <c r="DI97" s="187"/>
      <c r="DJ97" s="9"/>
      <c r="DK97" s="185" t="str">
        <f t="array" ref="DK97">xlookup($Y98,qualdata!$N$2:$N$17,xlookup("r4Ser",qualdata!$P$1:$BR$1,qualdata!$P$2:$BR$17,""))</f>
        <v/>
      </c>
      <c r="DL97" s="8"/>
      <c r="DM97" s="186" t="str">
        <f t="array" ref="DM97">xlookup(xlookup($Y98,qualdata!$N$2:$N$17,xlookup("r4op",qualdata!$P$1:$BR$1,qualdata!$P$2:$BR$17,"")),qualdata!$M$2:$M$17,qualdata!$O$2:$O$17,"")</f>
        <v/>
      </c>
      <c r="DN97" s="8"/>
      <c r="DO97" s="8"/>
      <c r="DP97" s="8"/>
      <c r="DQ97" s="8"/>
      <c r="DR97" s="187"/>
      <c r="DS97" s="9"/>
      <c r="DT97" s="185" t="str">
        <f t="array" ref="DT97">xlookup($Y98,qualdata!$N$2:$N$17,xlookup("r5Ser",qualdata!$P$1:$BR$1,qualdata!$P$2:$BR$17,""))</f>
        <v/>
      </c>
      <c r="DU97" s="8"/>
      <c r="DV97" s="186" t="str">
        <f t="array" ref="DV97">xlookup(xlookup($Y98,qualdata!$N$2:$N$17,xlookup("r5op",qualdata!$P$1:$BR$1,qualdata!$P$2:$BR$17,"")),qualdata!$M$2:$M$17,qualdata!$O$2:$O$17,"")</f>
        <v/>
      </c>
      <c r="DW97" s="8"/>
      <c r="DX97" s="8"/>
      <c r="DY97" s="8"/>
      <c r="DZ97" s="8"/>
      <c r="EA97" s="187"/>
      <c r="EB97" s="9"/>
      <c r="EC97" s="152"/>
      <c r="ED97" s="152"/>
      <c r="EE97" s="152"/>
      <c r="EF97" s="152"/>
      <c r="EG97" s="152"/>
      <c r="EH97" s="152"/>
      <c r="EI97" s="152"/>
      <c r="EJ97" s="152"/>
      <c r="EK97" s="152"/>
      <c r="EL97" s="152"/>
      <c r="EM97" s="152"/>
      <c r="EN97" s="152"/>
      <c r="EO97" s="152"/>
      <c r="EP97" s="152"/>
      <c r="EQ97" s="152"/>
      <c r="ER97" s="152"/>
    </row>
    <row r="98" ht="5.25" customHeight="1">
      <c r="A98" s="152"/>
      <c r="B98" s="152"/>
      <c r="C98" s="152"/>
      <c r="D98" s="152"/>
      <c r="E98" s="152"/>
      <c r="F98" s="152"/>
      <c r="G98" s="152"/>
      <c r="H98" s="152"/>
      <c r="I98" s="152"/>
      <c r="J98" s="152"/>
      <c r="K98" s="152"/>
      <c r="L98" s="152"/>
      <c r="Q98" s="152"/>
      <c r="R98" s="202" t="str">
        <f t="array" ref="R98">xlookup(Y98,qualdata!$N$2:$N$17,qualdata!$O$2:$O$17,"")</f>
        <v/>
      </c>
      <c r="X98" s="203"/>
      <c r="Y98" s="204" t="str">
        <f t="array" ref="Y98">xlookup(Q97,qualdata!$G$24:$G$39,qualdata!$A$24:$A$39,"")</f>
        <v>Team 12 (Group 1)</v>
      </c>
      <c r="BB98" s="203"/>
      <c r="BC98" s="205" t="str">
        <f t="array" ref="BC98">xlookup(Y98,qualdata!$A$24:$A$39,qualdata!$B$24:$B$39,"")</f>
        <v>0-0</v>
      </c>
      <c r="BK98" s="203"/>
      <c r="BL98" s="206" t="str">
        <f t="array" ref="BL98">xlookup(Y98,qualdata!$A$24:$A$39,qualdata!$C$24:$C$39,"")</f>
        <v>0-0</v>
      </c>
      <c r="BT98" s="203"/>
      <c r="BU98" s="207" t="str">
        <f t="array" ref="BU98">xlookup(Y98,qualdata!$A$24:$A$39,qualdata!$D$24:$D$39,"")</f>
        <v>0-0</v>
      </c>
      <c r="CC98" s="203"/>
      <c r="CD98" s="207">
        <f t="array" ref="CD98">xlookup(Y98,qualdata!$A$24:$A$39,qualdata!$F$24:$F$39,"")</f>
        <v>0</v>
      </c>
      <c r="CI98" s="203"/>
      <c r="CJ98" s="10"/>
      <c r="CR98" s="11"/>
      <c r="CS98" s="10"/>
      <c r="DA98" s="11"/>
      <c r="DB98" s="10"/>
      <c r="DJ98" s="11"/>
      <c r="DK98" s="10"/>
      <c r="DS98" s="11"/>
      <c r="DT98" s="10"/>
      <c r="EB98" s="11"/>
      <c r="EC98" s="152"/>
      <c r="ED98" s="152"/>
      <c r="EE98" s="152"/>
      <c r="EF98" s="152"/>
      <c r="EG98" s="152"/>
      <c r="EH98" s="152"/>
      <c r="EI98" s="152"/>
      <c r="EJ98" s="152"/>
      <c r="EK98" s="152"/>
      <c r="EL98" s="152"/>
      <c r="EM98" s="152"/>
      <c r="EN98" s="152"/>
      <c r="EO98" s="152"/>
      <c r="EP98" s="152"/>
      <c r="EQ98" s="152"/>
      <c r="ER98" s="152"/>
    </row>
    <row r="99" ht="5.25" customHeight="1">
      <c r="A99" s="152"/>
      <c r="B99" s="152"/>
      <c r="C99" s="152"/>
      <c r="D99" s="152"/>
      <c r="E99" s="152"/>
      <c r="F99" s="152"/>
      <c r="G99" s="152"/>
      <c r="H99" s="152"/>
      <c r="I99" s="152"/>
      <c r="J99" s="152"/>
      <c r="K99" s="152"/>
      <c r="L99" s="152"/>
      <c r="Q99" s="152"/>
      <c r="R99" s="10"/>
      <c r="X99" s="203"/>
      <c r="BB99" s="203"/>
      <c r="BK99" s="203"/>
      <c r="BT99" s="203"/>
      <c r="CC99" s="203"/>
      <c r="CI99" s="203"/>
      <c r="CJ99" s="10"/>
      <c r="CR99" s="11"/>
      <c r="CS99" s="10"/>
      <c r="DA99" s="11"/>
      <c r="DB99" s="10"/>
      <c r="DJ99" s="11"/>
      <c r="DK99" s="10"/>
      <c r="DS99" s="11"/>
      <c r="DT99" s="10"/>
      <c r="EB99" s="11"/>
      <c r="EC99" s="152"/>
      <c r="ED99" s="152"/>
      <c r="EE99" s="152"/>
      <c r="EF99" s="152"/>
      <c r="EG99" s="152"/>
      <c r="EH99" s="152"/>
      <c r="EI99" s="152"/>
      <c r="EJ99" s="152"/>
      <c r="EK99" s="152"/>
      <c r="EL99" s="152"/>
      <c r="EM99" s="152"/>
      <c r="EN99" s="152"/>
      <c r="EO99" s="152"/>
      <c r="EP99" s="152"/>
      <c r="EQ99" s="152"/>
      <c r="ER99" s="152"/>
    </row>
    <row r="100" ht="5.25" customHeight="1">
      <c r="A100" s="152"/>
      <c r="B100" s="152"/>
      <c r="C100" s="152"/>
      <c r="D100" s="152"/>
      <c r="E100" s="152"/>
      <c r="F100" s="152"/>
      <c r="G100" s="152"/>
      <c r="H100" s="152"/>
      <c r="I100" s="152"/>
      <c r="J100" s="152"/>
      <c r="K100" s="152"/>
      <c r="L100" s="152"/>
      <c r="Q100" s="152"/>
      <c r="R100" s="10"/>
      <c r="X100" s="203"/>
      <c r="BB100" s="203"/>
      <c r="BK100" s="203"/>
      <c r="BT100" s="203"/>
      <c r="CC100" s="203"/>
      <c r="CI100" s="203"/>
      <c r="CJ100" s="10"/>
      <c r="CR100" s="11"/>
      <c r="CS100" s="10"/>
      <c r="DA100" s="11"/>
      <c r="DB100" s="10"/>
      <c r="DJ100" s="11"/>
      <c r="DK100" s="10"/>
      <c r="DS100" s="11"/>
      <c r="DT100" s="10"/>
      <c r="EB100" s="11"/>
      <c r="EC100" s="152"/>
      <c r="ED100" s="152"/>
      <c r="EE100" s="152"/>
      <c r="EF100" s="152"/>
      <c r="EG100" s="152"/>
      <c r="EH100" s="152"/>
      <c r="EI100" s="152"/>
      <c r="EJ100" s="152"/>
      <c r="EK100" s="152"/>
      <c r="EL100" s="152"/>
      <c r="EM100" s="152"/>
      <c r="EN100" s="152"/>
      <c r="EO100" s="152"/>
      <c r="EP100" s="152"/>
      <c r="EQ100" s="152"/>
      <c r="ER100" s="152"/>
    </row>
    <row r="101" ht="5.25" customHeight="1">
      <c r="A101" s="152"/>
      <c r="B101" s="152"/>
      <c r="C101" s="152"/>
      <c r="D101" s="152"/>
      <c r="E101" s="152"/>
      <c r="F101" s="152"/>
      <c r="G101" s="152"/>
      <c r="H101" s="152"/>
      <c r="I101" s="152"/>
      <c r="J101" s="152"/>
      <c r="K101" s="152"/>
      <c r="L101" s="152"/>
      <c r="Q101" s="152"/>
      <c r="R101" s="10"/>
      <c r="X101" s="203"/>
      <c r="BB101" s="203"/>
      <c r="BK101" s="203"/>
      <c r="BT101" s="203"/>
      <c r="CC101" s="203"/>
      <c r="CI101" s="203"/>
      <c r="CJ101" s="10"/>
      <c r="CR101" s="11"/>
      <c r="CS101" s="10"/>
      <c r="DA101" s="11"/>
      <c r="DB101" s="10"/>
      <c r="DJ101" s="11"/>
      <c r="DK101" s="10"/>
      <c r="DS101" s="11"/>
      <c r="DT101" s="10"/>
      <c r="EB101" s="11"/>
      <c r="EC101" s="152"/>
      <c r="ED101" s="152"/>
      <c r="EE101" s="152"/>
      <c r="EF101" s="152"/>
      <c r="EG101" s="152"/>
      <c r="EH101" s="152"/>
      <c r="EI101" s="152"/>
      <c r="EJ101" s="152"/>
      <c r="EK101" s="152"/>
      <c r="EL101" s="152"/>
      <c r="EM101" s="152"/>
      <c r="EN101" s="152"/>
      <c r="EO101" s="152"/>
      <c r="EP101" s="152"/>
      <c r="EQ101" s="152"/>
      <c r="ER101" s="152"/>
    </row>
    <row r="102" ht="5.25" customHeight="1">
      <c r="A102" s="152"/>
      <c r="B102" s="152"/>
      <c r="C102" s="152"/>
      <c r="D102" s="152"/>
      <c r="E102" s="152"/>
      <c r="F102" s="152"/>
      <c r="G102" s="152"/>
      <c r="H102" s="152"/>
      <c r="I102" s="152"/>
      <c r="J102" s="152"/>
      <c r="K102" s="152"/>
      <c r="L102" s="152"/>
      <c r="Q102" s="152"/>
      <c r="R102" s="10"/>
      <c r="X102" s="203"/>
      <c r="BB102" s="203"/>
      <c r="BK102" s="203"/>
      <c r="BT102" s="203"/>
      <c r="CC102" s="203"/>
      <c r="CI102" s="203"/>
      <c r="CJ102" s="195" t="str">
        <f t="array" ref="CJ102">xlookup($Y98,qualdata!$N$2:$N$17,xlookup("r1gw",qualdata!$P$1:$BR$1,qualdata!$P$2:$BR$17))&amp;"-"&amp;xlookup($Y98,qualdata!$N$2:$N$17,xlookup("r1gl",qualdata!$P$1:$BR$1,qualdata!$P$2:$BR$17))</f>
        <v>-</v>
      </c>
      <c r="CN102" s="196"/>
      <c r="CO102" s="196">
        <f t="array" ref="CO102">if(xlookup($Y98,qualdata!$N$2:$N$17,xlookup("r1rd",qualdata!$P$1:$BR$1,qualdata!$P$2:$BR$17))&gt;0,"+"&amp;xlookup($Y98,qualdata!$N$2:$N$17,xlookup("r1rd",qualdata!$P$1:$BR$1,qualdata!$P$2:$BR$17)),xlookup($Y98,qualdata!$N$2:$N$17,xlookup("r1rd",qualdata!$P$1:$BR$1,qualdata!$P$2:$BR$17)))</f>
        <v>0</v>
      </c>
      <c r="CR102" s="11"/>
      <c r="CS102" s="195" t="str">
        <f t="array" ref="CS102">xlookup($Y98,qualdata!$N$2:$N$17,xlookup("r2gw",qualdata!$P$1:$BR$1,qualdata!$P$2:$BR$17))&amp;"-"&amp;xlookup($Y98,qualdata!$N$2:$N$17,xlookup("r2gl",qualdata!$P$1:$BR$1,qualdata!$P$2:$BR$17))</f>
        <v>-</v>
      </c>
      <c r="CW102" s="196"/>
      <c r="CX102" s="196">
        <f t="array" ref="CX102">if(xlookup($Y98,qualdata!$N$2:$N$17,xlookup("r2rd",qualdata!$P$1:$BR$1,qualdata!$P$2:$BR$17))&gt;0,"+"&amp;xlookup($Y98,qualdata!$N$2:$N$17,xlookup("r2rd",qualdata!$P$1:$BR$1,qualdata!$P$2:$BR$17)),xlookup($Y98,qualdata!$N$2:$N$17,xlookup("r2rd",qualdata!$P$1:$BR$1,qualdata!$P$2:$BR$17)))</f>
        <v>0</v>
      </c>
      <c r="DA102" s="11"/>
      <c r="DB102" s="195" t="str">
        <f t="array" ref="DB102">xlookup($Y98,qualdata!$N$2:$N$17,xlookup("r3gw",qualdata!$P$1:$BR$1,qualdata!$P$2:$BR$17))&amp;"-"&amp;xlookup($Y98,qualdata!$N$2:$N$17,xlookup("r3gl",qualdata!$P$1:$BR$1,qualdata!$P$2:$BR$17))</f>
        <v>-</v>
      </c>
      <c r="DF102" s="196"/>
      <c r="DG102" s="196">
        <f t="array" ref="DG102">if(xlookup($Y98,qualdata!$N$2:$N$17,xlookup("r3rd",qualdata!$P$1:$BR$1,qualdata!$P$2:$BR$17))&gt;0,"+"&amp;xlookup($Y98,qualdata!$N$2:$N$17,xlookup("r3rd",qualdata!$P$1:$BR$1,qualdata!$P$2:$BR$17)),xlookup($Y98,qualdata!$N$2:$N$17,xlookup("r3rd",qualdata!$P$1:$BR$1,qualdata!$P$2:$BR$17)))</f>
        <v>0</v>
      </c>
      <c r="DJ102" s="11"/>
      <c r="DK102" s="195" t="str">
        <f t="array" ref="DK102">xlookup($Y98,qualdata!$N$2:$N$17,xlookup("r4gw",qualdata!$P$1:$BR$1,qualdata!$P$2:$BR$17))&amp;"-"&amp;xlookup($Y98,qualdata!$N$2:$N$17,xlookup("r4gl",qualdata!$P$1:$BR$1,qualdata!$P$2:$BR$17))</f>
        <v>-</v>
      </c>
      <c r="DO102" s="196"/>
      <c r="DP102" s="196">
        <f t="array" ref="DP102">if(xlookup($Y98,qualdata!$N$2:$N$17,xlookup("r4rd",qualdata!$P$1:$BR$1,qualdata!$P$2:$BR$17))&gt;0,"+"&amp;xlookup($Y98,qualdata!$N$2:$N$17,xlookup("r4rd",qualdata!$P$1:$BR$1,qualdata!$P$2:$BR$17)),xlookup($Y98,qualdata!$N$2:$N$17,xlookup("r4rd",qualdata!$P$1:$BR$1,qualdata!$P$2:$BR$17)))</f>
        <v>0</v>
      </c>
      <c r="DS102" s="11"/>
      <c r="DT102" s="195"/>
      <c r="DX102" s="196"/>
      <c r="DY102" s="196"/>
      <c r="EB102" s="11"/>
      <c r="EC102" s="152"/>
      <c r="ED102" s="152"/>
      <c r="EE102" s="152"/>
      <c r="EF102" s="152"/>
      <c r="EG102" s="152"/>
      <c r="EH102" s="152"/>
      <c r="EI102" s="152"/>
      <c r="EJ102" s="152"/>
      <c r="EK102" s="152"/>
      <c r="EL102" s="152"/>
      <c r="EM102" s="152"/>
      <c r="EN102" s="152"/>
      <c r="EO102" s="152"/>
      <c r="EP102" s="152"/>
      <c r="EQ102" s="152"/>
      <c r="ER102" s="152"/>
    </row>
    <row r="103" ht="5.25" customHeight="1">
      <c r="A103" s="152"/>
      <c r="B103" s="152"/>
      <c r="C103" s="152"/>
      <c r="D103" s="152"/>
      <c r="E103" s="152"/>
      <c r="F103" s="152"/>
      <c r="G103" s="152"/>
      <c r="H103" s="152"/>
      <c r="I103" s="152"/>
      <c r="J103" s="152"/>
      <c r="K103" s="152"/>
      <c r="L103" s="152"/>
      <c r="Q103" s="152"/>
      <c r="R103" s="10"/>
      <c r="X103" s="203"/>
      <c r="BB103" s="203"/>
      <c r="BK103" s="203"/>
      <c r="BT103" s="203"/>
      <c r="CC103" s="203"/>
      <c r="CI103" s="203"/>
      <c r="CJ103" s="10"/>
      <c r="CR103" s="11"/>
      <c r="CS103" s="10"/>
      <c r="DA103" s="11"/>
      <c r="DB103" s="10"/>
      <c r="DJ103" s="11"/>
      <c r="DK103" s="10"/>
      <c r="DS103" s="11"/>
      <c r="DT103" s="10"/>
      <c r="EB103" s="11"/>
      <c r="EC103" s="152"/>
      <c r="ED103" s="152"/>
      <c r="EE103" s="152"/>
      <c r="EF103" s="152"/>
      <c r="EG103" s="152"/>
      <c r="EH103" s="152"/>
      <c r="EI103" s="152"/>
      <c r="EJ103" s="152"/>
      <c r="EK103" s="152"/>
      <c r="EL103" s="152"/>
      <c r="EM103" s="152"/>
      <c r="EN103" s="152"/>
      <c r="EO103" s="152"/>
      <c r="EP103" s="152"/>
      <c r="EQ103" s="152"/>
      <c r="ER103" s="152"/>
    </row>
    <row r="104" ht="5.25" customHeight="1">
      <c r="A104" s="152"/>
      <c r="B104" s="152"/>
      <c r="C104" s="152"/>
      <c r="D104" s="152"/>
      <c r="E104" s="152"/>
      <c r="F104" s="152"/>
      <c r="G104" s="152"/>
      <c r="H104" s="152"/>
      <c r="I104" s="152"/>
      <c r="J104" s="152"/>
      <c r="K104" s="152"/>
      <c r="L104" s="152"/>
      <c r="Q104" s="152"/>
      <c r="R104" s="208"/>
      <c r="S104" s="209"/>
      <c r="T104" s="209"/>
      <c r="U104" s="209"/>
      <c r="V104" s="209"/>
      <c r="W104" s="209"/>
      <c r="X104" s="209"/>
      <c r="Y104" s="209"/>
      <c r="Z104" s="209"/>
      <c r="AA104" s="209"/>
      <c r="AB104" s="209"/>
      <c r="AC104" s="209"/>
      <c r="AD104" s="209"/>
      <c r="AE104" s="209"/>
      <c r="AF104" s="209"/>
      <c r="AG104" s="209"/>
      <c r="AH104" s="209"/>
      <c r="AI104" s="209"/>
      <c r="AJ104" s="209"/>
      <c r="AK104" s="209"/>
      <c r="AL104" s="209"/>
      <c r="AM104" s="209"/>
      <c r="AN104" s="209"/>
      <c r="AO104" s="209"/>
      <c r="AP104" s="209"/>
      <c r="AQ104" s="209"/>
      <c r="AR104" s="209"/>
      <c r="AS104" s="209"/>
      <c r="AT104" s="209"/>
      <c r="AU104" s="209"/>
      <c r="AV104" s="209"/>
      <c r="AW104" s="209"/>
      <c r="AX104" s="209"/>
      <c r="AY104" s="209"/>
      <c r="AZ104" s="209"/>
      <c r="BA104" s="209"/>
      <c r="BB104" s="209"/>
      <c r="BC104" s="209"/>
      <c r="BD104" s="209"/>
      <c r="BE104" s="209"/>
      <c r="BF104" s="209"/>
      <c r="BG104" s="209"/>
      <c r="BH104" s="209"/>
      <c r="BI104" s="209"/>
      <c r="BJ104" s="209"/>
      <c r="BK104" s="209"/>
      <c r="BL104" s="209"/>
      <c r="BM104" s="209"/>
      <c r="BN104" s="209"/>
      <c r="BO104" s="209"/>
      <c r="BP104" s="209"/>
      <c r="BQ104" s="209"/>
      <c r="BR104" s="209"/>
      <c r="BS104" s="209"/>
      <c r="BT104" s="209"/>
      <c r="BU104" s="209"/>
      <c r="BV104" s="209"/>
      <c r="BW104" s="209"/>
      <c r="BX104" s="209"/>
      <c r="BY104" s="209"/>
      <c r="BZ104" s="209"/>
      <c r="CA104" s="209"/>
      <c r="CB104" s="209"/>
      <c r="CC104" s="209"/>
      <c r="CD104" s="209"/>
      <c r="CE104" s="209"/>
      <c r="CF104" s="209"/>
      <c r="CG104" s="209"/>
      <c r="CH104" s="209"/>
      <c r="CI104" s="209"/>
      <c r="CJ104" s="12"/>
      <c r="CK104" s="13"/>
      <c r="CL104" s="13"/>
      <c r="CM104" s="13"/>
      <c r="CN104" s="13"/>
      <c r="CO104" s="13"/>
      <c r="CP104" s="13"/>
      <c r="CQ104" s="13"/>
      <c r="CR104" s="14"/>
      <c r="CS104" s="12"/>
      <c r="CT104" s="13"/>
      <c r="CU104" s="13"/>
      <c r="CV104" s="13"/>
      <c r="CW104" s="13"/>
      <c r="CX104" s="13"/>
      <c r="CY104" s="13"/>
      <c r="CZ104" s="13"/>
      <c r="DA104" s="14"/>
      <c r="DB104" s="12"/>
      <c r="DC104" s="13"/>
      <c r="DD104" s="13"/>
      <c r="DE104" s="13"/>
      <c r="DF104" s="13"/>
      <c r="DG104" s="13"/>
      <c r="DH104" s="13"/>
      <c r="DI104" s="13"/>
      <c r="DJ104" s="14"/>
      <c r="DK104" s="12"/>
      <c r="DL104" s="13"/>
      <c r="DM104" s="13"/>
      <c r="DN104" s="13"/>
      <c r="DO104" s="13"/>
      <c r="DP104" s="13"/>
      <c r="DQ104" s="13"/>
      <c r="DR104" s="13"/>
      <c r="DS104" s="14"/>
      <c r="DT104" s="12"/>
      <c r="DU104" s="13"/>
      <c r="DV104" s="13"/>
      <c r="DW104" s="13"/>
      <c r="DX104" s="13"/>
      <c r="DY104" s="13"/>
      <c r="DZ104" s="13"/>
      <c r="EA104" s="13"/>
      <c r="EB104" s="14"/>
      <c r="EC104" s="152"/>
      <c r="ED104" s="152"/>
      <c r="EE104" s="152"/>
      <c r="EF104" s="152"/>
      <c r="EG104" s="152"/>
      <c r="EH104" s="152"/>
      <c r="EI104" s="152"/>
      <c r="EJ104" s="152"/>
      <c r="EK104" s="152"/>
      <c r="EL104" s="152"/>
      <c r="EM104" s="152"/>
      <c r="EN104" s="152"/>
      <c r="EO104" s="152"/>
      <c r="EP104" s="152"/>
      <c r="EQ104" s="152"/>
      <c r="ER104" s="152"/>
    </row>
    <row r="105" ht="5.25" customHeight="1">
      <c r="A105" s="152"/>
      <c r="B105" s="152"/>
      <c r="C105" s="152"/>
      <c r="D105" s="152"/>
      <c r="E105" s="152"/>
      <c r="F105" s="152"/>
      <c r="G105" s="152"/>
      <c r="H105" s="152"/>
      <c r="I105" s="152"/>
      <c r="J105" s="152"/>
      <c r="K105" s="152"/>
      <c r="L105" s="152"/>
      <c r="M105" s="177" t="str">
        <f>Q105&amp;"."</f>
        <v>13.</v>
      </c>
      <c r="Q105" s="181">
        <v>13.0</v>
      </c>
      <c r="R105" s="200"/>
      <c r="S105" s="201"/>
      <c r="T105" s="201"/>
      <c r="U105" s="201"/>
      <c r="V105" s="201"/>
      <c r="W105" s="201"/>
      <c r="X105" s="201"/>
      <c r="Y105" s="201"/>
      <c r="Z105" s="201"/>
      <c r="AA105" s="201"/>
      <c r="AB105" s="201"/>
      <c r="AC105" s="201"/>
      <c r="AD105" s="201"/>
      <c r="AE105" s="201"/>
      <c r="AF105" s="201"/>
      <c r="AG105" s="201"/>
      <c r="AH105" s="201"/>
      <c r="AI105" s="201"/>
      <c r="AJ105" s="201"/>
      <c r="AK105" s="201"/>
      <c r="AL105" s="201"/>
      <c r="AM105" s="201"/>
      <c r="AN105" s="201"/>
      <c r="AO105" s="201"/>
      <c r="AP105" s="201"/>
      <c r="AQ105" s="201"/>
      <c r="AR105" s="201"/>
      <c r="AS105" s="201"/>
      <c r="AT105" s="201"/>
      <c r="AU105" s="201"/>
      <c r="AV105" s="201"/>
      <c r="AW105" s="201"/>
      <c r="AX105" s="201"/>
      <c r="AY105" s="201"/>
      <c r="AZ105" s="201"/>
      <c r="BA105" s="201"/>
      <c r="BB105" s="201"/>
      <c r="BC105" s="201"/>
      <c r="BD105" s="201"/>
      <c r="BE105" s="201"/>
      <c r="BF105" s="201"/>
      <c r="BG105" s="201"/>
      <c r="BH105" s="201"/>
      <c r="BI105" s="201"/>
      <c r="BJ105" s="201"/>
      <c r="BK105" s="201"/>
      <c r="BL105" s="201"/>
      <c r="BM105" s="201"/>
      <c r="BN105" s="201"/>
      <c r="BO105" s="201"/>
      <c r="BP105" s="201"/>
      <c r="BQ105" s="201"/>
      <c r="BR105" s="201"/>
      <c r="BS105" s="201"/>
      <c r="BT105" s="201"/>
      <c r="BU105" s="201"/>
      <c r="BV105" s="201"/>
      <c r="BW105" s="201"/>
      <c r="BX105" s="201"/>
      <c r="BY105" s="201"/>
      <c r="BZ105" s="201"/>
      <c r="CA105" s="201"/>
      <c r="CB105" s="201"/>
      <c r="CC105" s="201"/>
      <c r="CD105" s="201"/>
      <c r="CE105" s="201"/>
      <c r="CF105" s="201"/>
      <c r="CG105" s="201"/>
      <c r="CH105" s="201"/>
      <c r="CI105" s="201"/>
      <c r="CJ105" s="185" t="str">
        <f t="array" ref="CJ105">xlookup($Y106,qualdata!$N$2:$N$17,xlookup("r1Ser",qualdata!$P$1:$BR$1,qualdata!$P$2:$BR$17,""))</f>
        <v/>
      </c>
      <c r="CK105" s="8"/>
      <c r="CL105" s="186" t="str">
        <f t="array" ref="CL105">xlookup(xlookup($Y106,qualdata!$N$2:$N$17,xlookup("r1op",qualdata!$P$1:$BR$1,qualdata!$P$2:$BR$17,"")),qualdata!$M$2:$M$17,qualdata!$O$2:$O$17,"")</f>
        <v/>
      </c>
      <c r="CM105" s="8"/>
      <c r="CN105" s="8"/>
      <c r="CO105" s="8"/>
      <c r="CP105" s="8"/>
      <c r="CQ105" s="187"/>
      <c r="CR105" s="9"/>
      <c r="CS105" s="185" t="str">
        <f t="array" ref="CS105">xlookup($Y106,qualdata!$N$2:$N$17,xlookup("r2Ser",qualdata!$P$1:$BR$1,qualdata!$P$2:$BR$17,""))</f>
        <v/>
      </c>
      <c r="CT105" s="8"/>
      <c r="CU105" s="186" t="str">
        <f t="array" ref="CU105">xlookup(xlookup($Y106,qualdata!$N$2:$N$17,xlookup("r2op",qualdata!$P$1:$BR$1,qualdata!$P$2:$BR$17,"")),qualdata!$M$2:$M$17,qualdata!$O$2:$O$17,"")</f>
        <v/>
      </c>
      <c r="CV105" s="8"/>
      <c r="CW105" s="8"/>
      <c r="CX105" s="8"/>
      <c r="CY105" s="8"/>
      <c r="CZ105" s="187"/>
      <c r="DA105" s="9"/>
      <c r="DB105" s="185" t="str">
        <f t="array" ref="DB105">xlookup($Y106,qualdata!$N$2:$N$17,xlookup("r3Ser",qualdata!$P$1:$BR$1,qualdata!$P$2:$BR$17,""))</f>
        <v/>
      </c>
      <c r="DC105" s="8"/>
      <c r="DD105" s="186" t="str">
        <f t="array" ref="DD105">xlookup(xlookup($Y106,qualdata!$N$2:$N$17,xlookup("r3op",qualdata!$P$1:$BR$1,qualdata!$P$2:$BR$17,"")),qualdata!$M$2:$M$17,qualdata!$O$2:$O$17,"")</f>
        <v/>
      </c>
      <c r="DE105" s="8"/>
      <c r="DF105" s="8"/>
      <c r="DG105" s="8"/>
      <c r="DH105" s="8"/>
      <c r="DI105" s="187"/>
      <c r="DJ105" s="9"/>
      <c r="DK105" s="185" t="str">
        <f t="array" ref="DK105">xlookup($Y106,qualdata!$N$2:$N$17,xlookup("r4Ser",qualdata!$P$1:$BR$1,qualdata!$P$2:$BR$17,""))</f>
        <v/>
      </c>
      <c r="DL105" s="8"/>
      <c r="DM105" s="186" t="str">
        <f t="array" ref="DM105">xlookup(xlookup($Y106,qualdata!$N$2:$N$17,xlookup("r4op",qualdata!$P$1:$BR$1,qualdata!$P$2:$BR$17,"")),qualdata!$M$2:$M$17,qualdata!$O$2:$O$17,"")</f>
        <v/>
      </c>
      <c r="DN105" s="8"/>
      <c r="DO105" s="8"/>
      <c r="DP105" s="8"/>
      <c r="DQ105" s="8"/>
      <c r="DR105" s="187"/>
      <c r="DS105" s="9"/>
      <c r="DT105" s="185" t="str">
        <f t="array" ref="DT105">xlookup($Y106,qualdata!$N$2:$N$17,xlookup("r5Ser",qualdata!$P$1:$BR$1,qualdata!$P$2:$BR$17,""))</f>
        <v/>
      </c>
      <c r="DU105" s="8"/>
      <c r="DV105" s="186" t="str">
        <f t="array" ref="DV105">xlookup(xlookup($Y106,qualdata!$N$2:$N$17,xlookup("r5op",qualdata!$P$1:$BR$1,qualdata!$P$2:$BR$17,"")),qualdata!$M$2:$M$17,qualdata!$O$2:$O$17,"")</f>
        <v/>
      </c>
      <c r="DW105" s="8"/>
      <c r="DX105" s="8"/>
      <c r="DY105" s="8"/>
      <c r="DZ105" s="8"/>
      <c r="EA105" s="187"/>
      <c r="EB105" s="9"/>
      <c r="EC105" s="152"/>
      <c r="ED105" s="152"/>
      <c r="EE105" s="152"/>
      <c r="EF105" s="152"/>
      <c r="EG105" s="152"/>
      <c r="EH105" s="152"/>
      <c r="EI105" s="152"/>
      <c r="EJ105" s="152"/>
      <c r="EK105" s="152"/>
      <c r="EL105" s="152"/>
      <c r="EM105" s="152"/>
      <c r="EN105" s="152"/>
      <c r="EO105" s="152"/>
      <c r="EP105" s="152"/>
      <c r="EQ105" s="152"/>
      <c r="ER105" s="152"/>
    </row>
    <row r="106" ht="5.25" customHeight="1">
      <c r="A106" s="152"/>
      <c r="B106" s="152"/>
      <c r="C106" s="152"/>
      <c r="D106" s="152"/>
      <c r="E106" s="152"/>
      <c r="F106" s="152"/>
      <c r="G106" s="152"/>
      <c r="H106" s="152"/>
      <c r="I106" s="152"/>
      <c r="J106" s="152"/>
      <c r="K106" s="152"/>
      <c r="L106" s="152"/>
      <c r="Q106" s="152"/>
      <c r="R106" s="202" t="str">
        <f t="array" ref="R106">xlookup(Y106,qualdata!$N$2:$N$17,qualdata!$O$2:$O$17,"")</f>
        <v/>
      </c>
      <c r="X106" s="203"/>
      <c r="Y106" s="204" t="str">
        <f t="array" ref="Y106">xlookup(Q105,qualdata!$G$24:$G$39,qualdata!$A$24:$A$39,"")</f>
        <v>Team 13 (Group 1)</v>
      </c>
      <c r="BB106" s="203"/>
      <c r="BC106" s="205" t="str">
        <f t="array" ref="BC106">xlookup(Y106,qualdata!$A$24:$A$39,qualdata!$B$24:$B$39,"")</f>
        <v>0-0</v>
      </c>
      <c r="BK106" s="203"/>
      <c r="BL106" s="206" t="str">
        <f t="array" ref="BL106">xlookup(Y106,qualdata!$A$24:$A$39,qualdata!$C$24:$C$39,"")</f>
        <v>0-0</v>
      </c>
      <c r="BT106" s="203"/>
      <c r="BU106" s="207" t="str">
        <f t="array" ref="BU106">xlookup(Y106,qualdata!$A$24:$A$39,qualdata!$D$24:$D$39,"")</f>
        <v>0-0</v>
      </c>
      <c r="CC106" s="203"/>
      <c r="CD106" s="207">
        <f t="array" ref="CD106">xlookup(Y106,qualdata!$A$24:$A$39,qualdata!$F$24:$F$39,"")</f>
        <v>0</v>
      </c>
      <c r="CI106" s="203"/>
      <c r="CJ106" s="10"/>
      <c r="CR106" s="11"/>
      <c r="CS106" s="10"/>
      <c r="DA106" s="11"/>
      <c r="DB106" s="10"/>
      <c r="DJ106" s="11"/>
      <c r="DK106" s="10"/>
      <c r="DS106" s="11"/>
      <c r="DT106" s="10"/>
      <c r="EB106" s="11"/>
      <c r="EC106" s="152"/>
      <c r="ED106" s="152"/>
      <c r="EE106" s="152"/>
      <c r="EF106" s="152"/>
      <c r="EG106" s="152"/>
      <c r="EH106" s="152"/>
      <c r="EI106" s="152"/>
      <c r="EJ106" s="152"/>
      <c r="EK106" s="152"/>
      <c r="EL106" s="152"/>
      <c r="EM106" s="152"/>
      <c r="EN106" s="152"/>
      <c r="EO106" s="152"/>
      <c r="EP106" s="152"/>
      <c r="EQ106" s="152"/>
      <c r="ER106" s="152"/>
    </row>
    <row r="107" ht="5.25" customHeight="1">
      <c r="A107" s="152"/>
      <c r="B107" s="152"/>
      <c r="C107" s="152"/>
      <c r="D107" s="152"/>
      <c r="E107" s="152"/>
      <c r="F107" s="152"/>
      <c r="G107" s="152"/>
      <c r="H107" s="152"/>
      <c r="I107" s="152"/>
      <c r="J107" s="152"/>
      <c r="K107" s="152"/>
      <c r="L107" s="152"/>
      <c r="Q107" s="152"/>
      <c r="R107" s="10"/>
      <c r="X107" s="203"/>
      <c r="BB107" s="203"/>
      <c r="BK107" s="203"/>
      <c r="BT107" s="203"/>
      <c r="CC107" s="203"/>
      <c r="CI107" s="203"/>
      <c r="CJ107" s="10"/>
      <c r="CR107" s="11"/>
      <c r="CS107" s="10"/>
      <c r="DA107" s="11"/>
      <c r="DB107" s="10"/>
      <c r="DJ107" s="11"/>
      <c r="DK107" s="10"/>
      <c r="DS107" s="11"/>
      <c r="DT107" s="10"/>
      <c r="EB107" s="11"/>
      <c r="EC107" s="152"/>
      <c r="ED107" s="152"/>
      <c r="EE107" s="152"/>
      <c r="EF107" s="152"/>
      <c r="EG107" s="152"/>
      <c r="EH107" s="152"/>
      <c r="EI107" s="152"/>
      <c r="EJ107" s="152"/>
      <c r="EK107" s="152"/>
      <c r="EL107" s="152"/>
      <c r="EM107" s="152"/>
      <c r="EN107" s="152"/>
      <c r="EO107" s="152"/>
      <c r="EP107" s="152"/>
      <c r="EQ107" s="152"/>
      <c r="ER107" s="152"/>
    </row>
    <row r="108" ht="5.25" customHeight="1">
      <c r="A108" s="152"/>
      <c r="B108" s="152"/>
      <c r="C108" s="152"/>
      <c r="D108" s="152"/>
      <c r="E108" s="152"/>
      <c r="F108" s="152"/>
      <c r="G108" s="152"/>
      <c r="H108" s="152"/>
      <c r="I108" s="152"/>
      <c r="J108" s="152"/>
      <c r="K108" s="152"/>
      <c r="L108" s="152"/>
      <c r="Q108" s="152"/>
      <c r="R108" s="10"/>
      <c r="X108" s="203"/>
      <c r="BB108" s="203"/>
      <c r="BK108" s="203"/>
      <c r="BT108" s="203"/>
      <c r="CC108" s="203"/>
      <c r="CI108" s="203"/>
      <c r="CJ108" s="10"/>
      <c r="CR108" s="11"/>
      <c r="CS108" s="10"/>
      <c r="DA108" s="11"/>
      <c r="DB108" s="10"/>
      <c r="DJ108" s="11"/>
      <c r="DK108" s="10"/>
      <c r="DS108" s="11"/>
      <c r="DT108" s="10"/>
      <c r="EB108" s="11"/>
      <c r="EC108" s="152"/>
      <c r="ED108" s="152"/>
      <c r="EE108" s="152"/>
      <c r="EF108" s="152"/>
      <c r="EG108" s="152"/>
      <c r="EH108" s="152"/>
      <c r="EI108" s="152"/>
      <c r="EJ108" s="152"/>
      <c r="EK108" s="152"/>
      <c r="EL108" s="152"/>
      <c r="EM108" s="152"/>
      <c r="EN108" s="152"/>
      <c r="EO108" s="152"/>
      <c r="EP108" s="152"/>
      <c r="EQ108" s="152"/>
      <c r="ER108" s="152"/>
    </row>
    <row r="109" ht="5.25" customHeight="1">
      <c r="A109" s="152"/>
      <c r="B109" s="152"/>
      <c r="C109" s="152"/>
      <c r="D109" s="152"/>
      <c r="E109" s="152"/>
      <c r="F109" s="152"/>
      <c r="G109" s="152"/>
      <c r="H109" s="152"/>
      <c r="I109" s="152"/>
      <c r="J109" s="152"/>
      <c r="K109" s="152"/>
      <c r="L109" s="152"/>
      <c r="Q109" s="152"/>
      <c r="R109" s="10"/>
      <c r="X109" s="203"/>
      <c r="BB109" s="203"/>
      <c r="BK109" s="203"/>
      <c r="BT109" s="203"/>
      <c r="CC109" s="203"/>
      <c r="CI109" s="203"/>
      <c r="CJ109" s="10"/>
      <c r="CR109" s="11"/>
      <c r="CS109" s="10"/>
      <c r="DA109" s="11"/>
      <c r="DB109" s="10"/>
      <c r="DJ109" s="11"/>
      <c r="DK109" s="10"/>
      <c r="DS109" s="11"/>
      <c r="DT109" s="10"/>
      <c r="EB109" s="11"/>
      <c r="EC109" s="152"/>
      <c r="ED109" s="152"/>
      <c r="EE109" s="152"/>
      <c r="EF109" s="152"/>
      <c r="EG109" s="152"/>
      <c r="EH109" s="152"/>
      <c r="EI109" s="152"/>
      <c r="EJ109" s="152"/>
      <c r="EK109" s="152"/>
      <c r="EL109" s="152"/>
      <c r="EM109" s="152"/>
      <c r="EN109" s="152"/>
      <c r="EO109" s="152"/>
      <c r="EP109" s="152"/>
      <c r="EQ109" s="152"/>
      <c r="ER109" s="152"/>
    </row>
    <row r="110" ht="5.25" customHeight="1">
      <c r="A110" s="152"/>
      <c r="B110" s="152"/>
      <c r="C110" s="152"/>
      <c r="D110" s="152"/>
      <c r="E110" s="152"/>
      <c r="F110" s="152"/>
      <c r="G110" s="152"/>
      <c r="H110" s="152"/>
      <c r="I110" s="152"/>
      <c r="J110" s="152"/>
      <c r="K110" s="152"/>
      <c r="L110" s="152"/>
      <c r="Q110" s="152"/>
      <c r="R110" s="10"/>
      <c r="X110" s="203"/>
      <c r="BB110" s="203"/>
      <c r="BK110" s="203"/>
      <c r="BT110" s="203"/>
      <c r="CC110" s="203"/>
      <c r="CI110" s="203"/>
      <c r="CJ110" s="195" t="str">
        <f t="array" ref="CJ110">xlookup($Y106,qualdata!$N$2:$N$17,xlookup("r1gw",qualdata!$P$1:$BR$1,qualdata!$P$2:$BR$17))&amp;"-"&amp;xlookup($Y106,qualdata!$N$2:$N$17,xlookup("r1gl",qualdata!$P$1:$BR$1,qualdata!$P$2:$BR$17))</f>
        <v>-</v>
      </c>
      <c r="CN110" s="196"/>
      <c r="CO110" s="196">
        <f t="array" ref="CO110">if(xlookup($Y106,qualdata!$N$2:$N$17,xlookup("r1rd",qualdata!$P$1:$BR$1,qualdata!$P$2:$BR$17))&gt;0,"+"&amp;xlookup($Y106,qualdata!$N$2:$N$17,xlookup("r1rd",qualdata!$P$1:$BR$1,qualdata!$P$2:$BR$17)),xlookup($Y106,qualdata!$N$2:$N$17,xlookup("r1rd",qualdata!$P$1:$BR$1,qualdata!$P$2:$BR$17)))</f>
        <v>0</v>
      </c>
      <c r="CR110" s="11"/>
      <c r="CS110" s="195" t="str">
        <f t="array" ref="CS110">xlookup($Y106,qualdata!$N$2:$N$17,xlookup("r2gw",qualdata!$P$1:$BR$1,qualdata!$P$2:$BR$17))&amp;"-"&amp;xlookup($Y106,qualdata!$N$2:$N$17,xlookup("r2gl",qualdata!$P$1:$BR$1,qualdata!$P$2:$BR$17))</f>
        <v>-</v>
      </c>
      <c r="CW110" s="196"/>
      <c r="CX110" s="196">
        <f t="array" ref="CX110">if(xlookup($Y106,qualdata!$N$2:$N$17,xlookup("r2rd",qualdata!$P$1:$BR$1,qualdata!$P$2:$BR$17))&gt;0,"+"&amp;xlookup($Y106,qualdata!$N$2:$N$17,xlookup("r2rd",qualdata!$P$1:$BR$1,qualdata!$P$2:$BR$17)),xlookup($Y106,qualdata!$N$2:$N$17,xlookup("r2rd",qualdata!$P$1:$BR$1,qualdata!$P$2:$BR$17)))</f>
        <v>0</v>
      </c>
      <c r="DA110" s="11"/>
      <c r="DB110" s="195" t="str">
        <f t="array" ref="DB110">xlookup($Y106,qualdata!$N$2:$N$17,xlookup("r3gw",qualdata!$P$1:$BR$1,qualdata!$P$2:$BR$17))&amp;"-"&amp;xlookup($Y106,qualdata!$N$2:$N$17,xlookup("r3gl",qualdata!$P$1:$BR$1,qualdata!$P$2:$BR$17))</f>
        <v>-</v>
      </c>
      <c r="DF110" s="196"/>
      <c r="DG110" s="196">
        <f t="array" ref="DG110">if(xlookup($Y106,qualdata!$N$2:$N$17,xlookup("r3rd",qualdata!$P$1:$BR$1,qualdata!$P$2:$BR$17))&gt;0,"+"&amp;xlookup($Y106,qualdata!$N$2:$N$17,xlookup("r3rd",qualdata!$P$1:$BR$1,qualdata!$P$2:$BR$17)),xlookup($Y106,qualdata!$N$2:$N$17,xlookup("r3rd",qualdata!$P$1:$BR$1,qualdata!$P$2:$BR$17)))</f>
        <v>0</v>
      </c>
      <c r="DJ110" s="11"/>
      <c r="DK110" s="195" t="str">
        <f t="array" ref="DK110">xlookup($Y106,qualdata!$N$2:$N$17,xlookup("r4gw",qualdata!$P$1:$BR$1,qualdata!$P$2:$BR$17))&amp;"-"&amp;xlookup($Y106,qualdata!$N$2:$N$17,xlookup("r4gl",qualdata!$P$1:$BR$1,qualdata!$P$2:$BR$17))</f>
        <v>-</v>
      </c>
      <c r="DO110" s="196"/>
      <c r="DP110" s="196">
        <f t="array" ref="DP110">if(xlookup($Y106,qualdata!$N$2:$N$17,xlookup("r4rd",qualdata!$P$1:$BR$1,qualdata!$P$2:$BR$17))&gt;0,"+"&amp;xlookup($Y106,qualdata!$N$2:$N$17,xlookup("r4rd",qualdata!$P$1:$BR$1,qualdata!$P$2:$BR$17)),xlookup($Y106,qualdata!$N$2:$N$17,xlookup("r4rd",qualdata!$P$1:$BR$1,qualdata!$P$2:$BR$17)))</f>
        <v>0</v>
      </c>
      <c r="DS110" s="11"/>
      <c r="DT110" s="195"/>
      <c r="DX110" s="196"/>
      <c r="DY110" s="196"/>
      <c r="EB110" s="11"/>
      <c r="EC110" s="152"/>
      <c r="ED110" s="152"/>
      <c r="EE110" s="152"/>
      <c r="EF110" s="152"/>
      <c r="EG110" s="152"/>
      <c r="EH110" s="152"/>
      <c r="EI110" s="152"/>
      <c r="EJ110" s="152"/>
      <c r="EK110" s="152"/>
      <c r="EL110" s="152"/>
      <c r="EM110" s="152"/>
      <c r="EN110" s="152"/>
      <c r="EO110" s="152"/>
      <c r="EP110" s="152"/>
      <c r="EQ110" s="152"/>
      <c r="ER110" s="152"/>
    </row>
    <row r="111" ht="5.25" customHeight="1">
      <c r="A111" s="152"/>
      <c r="B111" s="152"/>
      <c r="C111" s="152"/>
      <c r="D111" s="152"/>
      <c r="E111" s="152"/>
      <c r="F111" s="152"/>
      <c r="G111" s="152"/>
      <c r="H111" s="152"/>
      <c r="I111" s="152"/>
      <c r="J111" s="152"/>
      <c r="K111" s="152"/>
      <c r="L111" s="152"/>
      <c r="Q111" s="152"/>
      <c r="R111" s="10"/>
      <c r="X111" s="203"/>
      <c r="BB111" s="203"/>
      <c r="BK111" s="203"/>
      <c r="BT111" s="203"/>
      <c r="CC111" s="203"/>
      <c r="CI111" s="203"/>
      <c r="CJ111" s="10"/>
      <c r="CR111" s="11"/>
      <c r="CS111" s="10"/>
      <c r="DA111" s="11"/>
      <c r="DB111" s="10"/>
      <c r="DJ111" s="11"/>
      <c r="DK111" s="10"/>
      <c r="DS111" s="11"/>
      <c r="DT111" s="10"/>
      <c r="EB111" s="11"/>
      <c r="EC111" s="152"/>
      <c r="ED111" s="152"/>
      <c r="EE111" s="152"/>
      <c r="EF111" s="152"/>
      <c r="EG111" s="152"/>
      <c r="EH111" s="152"/>
      <c r="EI111" s="152"/>
      <c r="EJ111" s="152"/>
      <c r="EK111" s="152"/>
      <c r="EL111" s="152"/>
      <c r="EM111" s="152"/>
      <c r="EN111" s="152"/>
      <c r="EO111" s="152"/>
      <c r="EP111" s="152"/>
      <c r="EQ111" s="152"/>
      <c r="ER111" s="152"/>
    </row>
    <row r="112" ht="5.25" customHeight="1">
      <c r="A112" s="152"/>
      <c r="B112" s="152"/>
      <c r="C112" s="152"/>
      <c r="D112" s="152"/>
      <c r="E112" s="152"/>
      <c r="F112" s="152"/>
      <c r="G112" s="152"/>
      <c r="H112" s="152"/>
      <c r="I112" s="152"/>
      <c r="J112" s="152"/>
      <c r="K112" s="152"/>
      <c r="L112" s="152"/>
      <c r="Q112" s="152"/>
      <c r="R112" s="208"/>
      <c r="S112" s="209"/>
      <c r="T112" s="209"/>
      <c r="U112" s="209"/>
      <c r="V112" s="209"/>
      <c r="W112" s="209"/>
      <c r="X112" s="209"/>
      <c r="Y112" s="209"/>
      <c r="Z112" s="209"/>
      <c r="AA112" s="209"/>
      <c r="AB112" s="209"/>
      <c r="AC112" s="209"/>
      <c r="AD112" s="209"/>
      <c r="AE112" s="209"/>
      <c r="AF112" s="209"/>
      <c r="AG112" s="209"/>
      <c r="AH112" s="209"/>
      <c r="AI112" s="209"/>
      <c r="AJ112" s="209"/>
      <c r="AK112" s="209"/>
      <c r="AL112" s="209"/>
      <c r="AM112" s="209"/>
      <c r="AN112" s="209"/>
      <c r="AO112" s="209"/>
      <c r="AP112" s="209"/>
      <c r="AQ112" s="209"/>
      <c r="AR112" s="209"/>
      <c r="AS112" s="209"/>
      <c r="AT112" s="209"/>
      <c r="AU112" s="209"/>
      <c r="AV112" s="209"/>
      <c r="AW112" s="209"/>
      <c r="AX112" s="209"/>
      <c r="AY112" s="209"/>
      <c r="AZ112" s="209"/>
      <c r="BA112" s="209"/>
      <c r="BB112" s="209"/>
      <c r="BC112" s="209"/>
      <c r="BD112" s="209"/>
      <c r="BE112" s="209"/>
      <c r="BF112" s="209"/>
      <c r="BG112" s="209"/>
      <c r="BH112" s="209"/>
      <c r="BI112" s="209"/>
      <c r="BJ112" s="209"/>
      <c r="BK112" s="209"/>
      <c r="BL112" s="209"/>
      <c r="BM112" s="209"/>
      <c r="BN112" s="209"/>
      <c r="BO112" s="209"/>
      <c r="BP112" s="209"/>
      <c r="BQ112" s="209"/>
      <c r="BR112" s="209"/>
      <c r="BS112" s="209"/>
      <c r="BT112" s="209"/>
      <c r="BU112" s="209"/>
      <c r="BV112" s="209"/>
      <c r="BW112" s="209"/>
      <c r="BX112" s="209"/>
      <c r="BY112" s="209"/>
      <c r="BZ112" s="209"/>
      <c r="CA112" s="209"/>
      <c r="CB112" s="209"/>
      <c r="CC112" s="209"/>
      <c r="CD112" s="209"/>
      <c r="CE112" s="209"/>
      <c r="CF112" s="209"/>
      <c r="CG112" s="209"/>
      <c r="CH112" s="209"/>
      <c r="CI112" s="209"/>
      <c r="CJ112" s="12"/>
      <c r="CK112" s="13"/>
      <c r="CL112" s="13"/>
      <c r="CM112" s="13"/>
      <c r="CN112" s="13"/>
      <c r="CO112" s="13"/>
      <c r="CP112" s="13"/>
      <c r="CQ112" s="13"/>
      <c r="CR112" s="14"/>
      <c r="CS112" s="12"/>
      <c r="CT112" s="13"/>
      <c r="CU112" s="13"/>
      <c r="CV112" s="13"/>
      <c r="CW112" s="13"/>
      <c r="CX112" s="13"/>
      <c r="CY112" s="13"/>
      <c r="CZ112" s="13"/>
      <c r="DA112" s="14"/>
      <c r="DB112" s="12"/>
      <c r="DC112" s="13"/>
      <c r="DD112" s="13"/>
      <c r="DE112" s="13"/>
      <c r="DF112" s="13"/>
      <c r="DG112" s="13"/>
      <c r="DH112" s="13"/>
      <c r="DI112" s="13"/>
      <c r="DJ112" s="14"/>
      <c r="DK112" s="12"/>
      <c r="DL112" s="13"/>
      <c r="DM112" s="13"/>
      <c r="DN112" s="13"/>
      <c r="DO112" s="13"/>
      <c r="DP112" s="13"/>
      <c r="DQ112" s="13"/>
      <c r="DR112" s="13"/>
      <c r="DS112" s="14"/>
      <c r="DT112" s="12"/>
      <c r="DU112" s="13"/>
      <c r="DV112" s="13"/>
      <c r="DW112" s="13"/>
      <c r="DX112" s="13"/>
      <c r="DY112" s="13"/>
      <c r="DZ112" s="13"/>
      <c r="EA112" s="13"/>
      <c r="EB112" s="14"/>
      <c r="EC112" s="152"/>
      <c r="ED112" s="152"/>
      <c r="EE112" s="152"/>
      <c r="EF112" s="152"/>
      <c r="EG112" s="152"/>
      <c r="EH112" s="152"/>
      <c r="EI112" s="152"/>
      <c r="EJ112" s="152"/>
      <c r="EK112" s="152"/>
      <c r="EL112" s="152"/>
      <c r="EM112" s="152"/>
      <c r="EN112" s="152"/>
      <c r="EO112" s="152"/>
      <c r="EP112" s="152"/>
      <c r="EQ112" s="152"/>
      <c r="ER112" s="152"/>
    </row>
    <row r="113" ht="5.25" customHeight="1">
      <c r="A113" s="152"/>
      <c r="B113" s="152"/>
      <c r="C113" s="152"/>
      <c r="D113" s="152"/>
      <c r="E113" s="152"/>
      <c r="F113" s="152"/>
      <c r="G113" s="152"/>
      <c r="H113" s="152"/>
      <c r="I113" s="152"/>
      <c r="J113" s="152"/>
      <c r="K113" s="152"/>
      <c r="L113" s="152"/>
      <c r="M113" s="177" t="str">
        <f>Q113&amp;"."</f>
        <v>14.</v>
      </c>
      <c r="Q113" s="181">
        <v>14.0</v>
      </c>
      <c r="R113" s="200"/>
      <c r="S113" s="201"/>
      <c r="T113" s="201"/>
      <c r="U113" s="201"/>
      <c r="V113" s="201"/>
      <c r="W113" s="201"/>
      <c r="X113" s="201"/>
      <c r="Y113" s="201"/>
      <c r="Z113" s="201"/>
      <c r="AA113" s="201"/>
      <c r="AB113" s="201"/>
      <c r="AC113" s="201"/>
      <c r="AD113" s="201"/>
      <c r="AE113" s="201"/>
      <c r="AF113" s="201"/>
      <c r="AG113" s="201"/>
      <c r="AH113" s="201"/>
      <c r="AI113" s="201"/>
      <c r="AJ113" s="201"/>
      <c r="AK113" s="201"/>
      <c r="AL113" s="201"/>
      <c r="AM113" s="201"/>
      <c r="AN113" s="201"/>
      <c r="AO113" s="201"/>
      <c r="AP113" s="201"/>
      <c r="AQ113" s="201"/>
      <c r="AR113" s="201"/>
      <c r="AS113" s="201"/>
      <c r="AT113" s="201"/>
      <c r="AU113" s="201"/>
      <c r="AV113" s="201"/>
      <c r="AW113" s="201"/>
      <c r="AX113" s="201"/>
      <c r="AY113" s="201"/>
      <c r="AZ113" s="201"/>
      <c r="BA113" s="201"/>
      <c r="BB113" s="201"/>
      <c r="BC113" s="201"/>
      <c r="BD113" s="201"/>
      <c r="BE113" s="201"/>
      <c r="BF113" s="201"/>
      <c r="BG113" s="201"/>
      <c r="BH113" s="201"/>
      <c r="BI113" s="201"/>
      <c r="BJ113" s="201"/>
      <c r="BK113" s="201"/>
      <c r="BL113" s="201"/>
      <c r="BM113" s="201"/>
      <c r="BN113" s="201"/>
      <c r="BO113" s="201"/>
      <c r="BP113" s="201"/>
      <c r="BQ113" s="201"/>
      <c r="BR113" s="201"/>
      <c r="BS113" s="201"/>
      <c r="BT113" s="201"/>
      <c r="BU113" s="201"/>
      <c r="BV113" s="201"/>
      <c r="BW113" s="201"/>
      <c r="BX113" s="201"/>
      <c r="BY113" s="201"/>
      <c r="BZ113" s="201"/>
      <c r="CA113" s="201"/>
      <c r="CB113" s="201"/>
      <c r="CC113" s="201"/>
      <c r="CD113" s="201"/>
      <c r="CE113" s="201"/>
      <c r="CF113" s="201"/>
      <c r="CG113" s="201"/>
      <c r="CH113" s="201"/>
      <c r="CI113" s="201"/>
      <c r="CJ113" s="185" t="str">
        <f t="array" ref="CJ113">xlookup($Y114,qualdata!$N$2:$N$17,xlookup("r1Ser",qualdata!$P$1:$BR$1,qualdata!$P$2:$BR$17,""))</f>
        <v/>
      </c>
      <c r="CK113" s="8"/>
      <c r="CL113" s="186" t="str">
        <f t="array" ref="CL113">xlookup(xlookup($Y114,qualdata!$N$2:$N$17,xlookup("r1op",qualdata!$P$1:$BR$1,qualdata!$P$2:$BR$17,"")),qualdata!$M$2:$M$17,qualdata!$O$2:$O$17,"")</f>
        <v/>
      </c>
      <c r="CM113" s="8"/>
      <c r="CN113" s="8"/>
      <c r="CO113" s="8"/>
      <c r="CP113" s="8"/>
      <c r="CQ113" s="187"/>
      <c r="CR113" s="9"/>
      <c r="CS113" s="185" t="str">
        <f t="array" ref="CS113">xlookup($Y114,qualdata!$N$2:$N$17,xlookup("r2Ser",qualdata!$P$1:$BR$1,qualdata!$P$2:$BR$17,""))</f>
        <v/>
      </c>
      <c r="CT113" s="8"/>
      <c r="CU113" s="186" t="str">
        <f t="array" ref="CU113">xlookup(xlookup($Y114,qualdata!$N$2:$N$17,xlookup("r2op",qualdata!$P$1:$BR$1,qualdata!$P$2:$BR$17,"")),qualdata!$M$2:$M$17,qualdata!$O$2:$O$17,"")</f>
        <v/>
      </c>
      <c r="CV113" s="8"/>
      <c r="CW113" s="8"/>
      <c r="CX113" s="8"/>
      <c r="CY113" s="8"/>
      <c r="CZ113" s="187"/>
      <c r="DA113" s="9"/>
      <c r="DB113" s="185" t="str">
        <f t="array" ref="DB113">xlookup($Y114,qualdata!$N$2:$N$17,xlookup("r3Ser",qualdata!$P$1:$BR$1,qualdata!$P$2:$BR$17,""))</f>
        <v/>
      </c>
      <c r="DC113" s="8"/>
      <c r="DD113" s="186" t="str">
        <f t="array" ref="DD113">xlookup(xlookup($Y114,qualdata!$N$2:$N$17,xlookup("r3op",qualdata!$P$1:$BR$1,qualdata!$P$2:$BR$17,"")),qualdata!$M$2:$M$17,qualdata!$O$2:$O$17,"")</f>
        <v/>
      </c>
      <c r="DE113" s="8"/>
      <c r="DF113" s="8"/>
      <c r="DG113" s="8"/>
      <c r="DH113" s="8"/>
      <c r="DI113" s="187"/>
      <c r="DJ113" s="9"/>
      <c r="DK113" s="185" t="str">
        <f t="array" ref="DK113">xlookup($Y114,qualdata!$N$2:$N$17,xlookup("r4Ser",qualdata!$P$1:$BR$1,qualdata!$P$2:$BR$17,""))</f>
        <v/>
      </c>
      <c r="DL113" s="8"/>
      <c r="DM113" s="186" t="str">
        <f t="array" ref="DM113">xlookup(xlookup($Y114,qualdata!$N$2:$N$17,xlookup("r4op",qualdata!$P$1:$BR$1,qualdata!$P$2:$BR$17,"")),qualdata!$M$2:$M$17,qualdata!$O$2:$O$17,"")</f>
        <v/>
      </c>
      <c r="DN113" s="8"/>
      <c r="DO113" s="8"/>
      <c r="DP113" s="8"/>
      <c r="DQ113" s="8"/>
      <c r="DR113" s="187"/>
      <c r="DS113" s="9"/>
      <c r="DT113" s="185" t="str">
        <f t="array" ref="DT113">xlookup($Y114,qualdata!$N$2:$N$17,xlookup("r5Ser",qualdata!$P$1:$BR$1,qualdata!$P$2:$BR$17,""))</f>
        <v/>
      </c>
      <c r="DU113" s="8"/>
      <c r="DV113" s="186" t="str">
        <f t="array" ref="DV113">xlookup(xlookup($Y114,qualdata!$N$2:$N$17,xlookup("r5op",qualdata!$P$1:$BR$1,qualdata!$P$2:$BR$17,"")),qualdata!$M$2:$M$17,qualdata!$O$2:$O$17,"")</f>
        <v/>
      </c>
      <c r="DW113" s="8"/>
      <c r="DX113" s="8"/>
      <c r="DY113" s="8"/>
      <c r="DZ113" s="8"/>
      <c r="EA113" s="187"/>
      <c r="EB113" s="9"/>
      <c r="EC113" s="152"/>
      <c r="ED113" s="152"/>
      <c r="EE113" s="152"/>
      <c r="EF113" s="152"/>
      <c r="EG113" s="152"/>
      <c r="EH113" s="152"/>
      <c r="EI113" s="152"/>
      <c r="EJ113" s="152"/>
      <c r="EK113" s="152"/>
      <c r="EL113" s="152"/>
      <c r="EM113" s="152"/>
      <c r="EN113" s="152"/>
      <c r="EO113" s="152"/>
      <c r="EP113" s="152"/>
      <c r="EQ113" s="152"/>
      <c r="ER113" s="152"/>
    </row>
    <row r="114" ht="5.25" customHeight="1">
      <c r="A114" s="152"/>
      <c r="B114" s="152"/>
      <c r="C114" s="152"/>
      <c r="D114" s="152"/>
      <c r="E114" s="152"/>
      <c r="F114" s="152"/>
      <c r="G114" s="152"/>
      <c r="H114" s="152"/>
      <c r="I114" s="152"/>
      <c r="J114" s="152"/>
      <c r="K114" s="152"/>
      <c r="L114" s="152"/>
      <c r="Q114" s="152"/>
      <c r="R114" s="202" t="str">
        <f t="array" ref="R114">xlookup(Y114,qualdata!$N$2:$N$17,qualdata!$O$2:$O$17,"")</f>
        <v/>
      </c>
      <c r="X114" s="203"/>
      <c r="Y114" s="204" t="str">
        <f t="array" ref="Y114">xlookup(Q113,qualdata!$G$24:$G$39,qualdata!$A$24:$A$39,"")</f>
        <v>Team 14 (Group 1)</v>
      </c>
      <c r="BB114" s="203"/>
      <c r="BC114" s="205" t="str">
        <f t="array" ref="BC114">xlookup(Y114,qualdata!$A$24:$A$39,qualdata!$B$24:$B$39,"")</f>
        <v>0-0</v>
      </c>
      <c r="BK114" s="203"/>
      <c r="BL114" s="206" t="str">
        <f t="array" ref="BL114">xlookup(Y114,qualdata!$A$24:$A$39,qualdata!$C$24:$C$39,"")</f>
        <v>0-0</v>
      </c>
      <c r="BT114" s="203"/>
      <c r="BU114" s="207" t="str">
        <f t="array" ref="BU114">xlookup(Y114,qualdata!$A$24:$A$39,qualdata!$D$24:$D$39,"")</f>
        <v>0-0</v>
      </c>
      <c r="CC114" s="203"/>
      <c r="CD114" s="207">
        <f t="array" ref="CD114">xlookup(Y114,qualdata!$A$24:$A$39,qualdata!$F$24:$F$39,"")</f>
        <v>0</v>
      </c>
      <c r="CI114" s="203"/>
      <c r="CJ114" s="10"/>
      <c r="CR114" s="11"/>
      <c r="CS114" s="10"/>
      <c r="DA114" s="11"/>
      <c r="DB114" s="10"/>
      <c r="DJ114" s="11"/>
      <c r="DK114" s="10"/>
      <c r="DS114" s="11"/>
      <c r="DT114" s="10"/>
      <c r="EB114" s="11"/>
      <c r="EC114" s="152"/>
      <c r="ED114" s="152"/>
      <c r="EE114" s="152"/>
      <c r="EF114" s="152"/>
      <c r="EG114" s="152"/>
      <c r="EH114" s="152"/>
      <c r="EI114" s="152"/>
      <c r="EJ114" s="152"/>
      <c r="EK114" s="152"/>
      <c r="EL114" s="152"/>
      <c r="EM114" s="152"/>
      <c r="EN114" s="152"/>
      <c r="EO114" s="152"/>
      <c r="EP114" s="152"/>
      <c r="EQ114" s="152"/>
      <c r="ER114" s="152"/>
    </row>
    <row r="115" ht="5.25" customHeight="1">
      <c r="A115" s="152"/>
      <c r="B115" s="152"/>
      <c r="C115" s="152"/>
      <c r="D115" s="152"/>
      <c r="E115" s="152"/>
      <c r="F115" s="152"/>
      <c r="G115" s="152"/>
      <c r="H115" s="152"/>
      <c r="I115" s="152"/>
      <c r="J115" s="152"/>
      <c r="K115" s="152"/>
      <c r="L115" s="152"/>
      <c r="Q115" s="152"/>
      <c r="R115" s="10"/>
      <c r="X115" s="203"/>
      <c r="BB115" s="203"/>
      <c r="BK115" s="203"/>
      <c r="BT115" s="203"/>
      <c r="CC115" s="203"/>
      <c r="CI115" s="203"/>
      <c r="CJ115" s="10"/>
      <c r="CR115" s="11"/>
      <c r="CS115" s="10"/>
      <c r="DA115" s="11"/>
      <c r="DB115" s="10"/>
      <c r="DJ115" s="11"/>
      <c r="DK115" s="10"/>
      <c r="DS115" s="11"/>
      <c r="DT115" s="10"/>
      <c r="EB115" s="11"/>
      <c r="EC115" s="152"/>
      <c r="ED115" s="152"/>
      <c r="EE115" s="152"/>
      <c r="EF115" s="152"/>
      <c r="EG115" s="152"/>
      <c r="EH115" s="152"/>
      <c r="EI115" s="152"/>
      <c r="EJ115" s="152"/>
      <c r="EK115" s="152"/>
      <c r="EL115" s="152"/>
      <c r="EM115" s="152"/>
      <c r="EN115" s="152"/>
      <c r="EO115" s="152"/>
      <c r="EP115" s="152"/>
      <c r="EQ115" s="152"/>
      <c r="ER115" s="152"/>
    </row>
    <row r="116" ht="5.25" customHeight="1">
      <c r="A116" s="152"/>
      <c r="B116" s="152"/>
      <c r="C116" s="152"/>
      <c r="D116" s="152"/>
      <c r="E116" s="152"/>
      <c r="F116" s="152"/>
      <c r="G116" s="152"/>
      <c r="H116" s="152"/>
      <c r="I116" s="152"/>
      <c r="J116" s="152"/>
      <c r="K116" s="152"/>
      <c r="L116" s="152"/>
      <c r="Q116" s="152"/>
      <c r="R116" s="10"/>
      <c r="X116" s="203"/>
      <c r="BB116" s="203"/>
      <c r="BK116" s="203"/>
      <c r="BT116" s="203"/>
      <c r="CC116" s="203"/>
      <c r="CI116" s="203"/>
      <c r="CJ116" s="10"/>
      <c r="CR116" s="11"/>
      <c r="CS116" s="10"/>
      <c r="DA116" s="11"/>
      <c r="DB116" s="10"/>
      <c r="DJ116" s="11"/>
      <c r="DK116" s="10"/>
      <c r="DS116" s="11"/>
      <c r="DT116" s="10"/>
      <c r="EB116" s="11"/>
      <c r="EC116" s="152"/>
      <c r="ED116" s="152"/>
      <c r="EE116" s="152"/>
      <c r="EF116" s="152"/>
      <c r="EG116" s="152"/>
      <c r="EH116" s="152"/>
      <c r="EI116" s="152"/>
      <c r="EJ116" s="152"/>
      <c r="EK116" s="152"/>
      <c r="EL116" s="152"/>
      <c r="EM116" s="152"/>
      <c r="EN116" s="152"/>
      <c r="EO116" s="152"/>
      <c r="EP116" s="152"/>
      <c r="EQ116" s="152"/>
      <c r="ER116" s="152"/>
    </row>
    <row r="117" ht="5.25" customHeight="1">
      <c r="A117" s="152"/>
      <c r="B117" s="152"/>
      <c r="C117" s="152"/>
      <c r="D117" s="152"/>
      <c r="E117" s="152"/>
      <c r="F117" s="152"/>
      <c r="G117" s="152"/>
      <c r="H117" s="152"/>
      <c r="I117" s="152"/>
      <c r="J117" s="152"/>
      <c r="K117" s="152"/>
      <c r="L117" s="152"/>
      <c r="Q117" s="152"/>
      <c r="R117" s="10"/>
      <c r="X117" s="203"/>
      <c r="BB117" s="203"/>
      <c r="BK117" s="203"/>
      <c r="BT117" s="203"/>
      <c r="CC117" s="203"/>
      <c r="CI117" s="203"/>
      <c r="CJ117" s="10"/>
      <c r="CR117" s="11"/>
      <c r="CS117" s="10"/>
      <c r="DA117" s="11"/>
      <c r="DB117" s="10"/>
      <c r="DJ117" s="11"/>
      <c r="DK117" s="10"/>
      <c r="DS117" s="11"/>
      <c r="DT117" s="10"/>
      <c r="EB117" s="11"/>
      <c r="EC117" s="152"/>
      <c r="ED117" s="152"/>
      <c r="EE117" s="152"/>
      <c r="EF117" s="152"/>
      <c r="EG117" s="152"/>
      <c r="EH117" s="152"/>
      <c r="EI117" s="152"/>
      <c r="EJ117" s="152"/>
      <c r="EK117" s="152"/>
      <c r="EL117" s="152"/>
      <c r="EM117" s="152"/>
      <c r="EN117" s="152"/>
      <c r="EO117" s="152"/>
      <c r="EP117" s="152"/>
      <c r="EQ117" s="152"/>
      <c r="ER117" s="152"/>
    </row>
    <row r="118" ht="5.25" customHeight="1">
      <c r="A118" s="152"/>
      <c r="B118" s="152"/>
      <c r="C118" s="152"/>
      <c r="D118" s="152"/>
      <c r="E118" s="152"/>
      <c r="F118" s="152"/>
      <c r="G118" s="152"/>
      <c r="H118" s="152"/>
      <c r="I118" s="152"/>
      <c r="J118" s="152"/>
      <c r="K118" s="152"/>
      <c r="L118" s="152"/>
      <c r="Q118" s="152"/>
      <c r="R118" s="10"/>
      <c r="X118" s="203"/>
      <c r="BB118" s="203"/>
      <c r="BK118" s="203"/>
      <c r="BT118" s="203"/>
      <c r="CC118" s="203"/>
      <c r="CI118" s="203"/>
      <c r="CJ118" s="195" t="str">
        <f t="array" ref="CJ118">xlookup($Y114,qualdata!$N$2:$N$17,xlookup("r1gw",qualdata!$P$1:$BR$1,qualdata!$P$2:$BR$17))&amp;"-"&amp;xlookup($Y114,qualdata!$N$2:$N$17,xlookup("r1gl",qualdata!$P$1:$BR$1,qualdata!$P$2:$BR$17))</f>
        <v>-</v>
      </c>
      <c r="CN118" s="196"/>
      <c r="CO118" s="196">
        <f t="array" ref="CO118">if(xlookup($Y114,qualdata!$N$2:$N$17,xlookup("r1rd",qualdata!$P$1:$BR$1,qualdata!$P$2:$BR$17))&gt;0,"+"&amp;xlookup($Y114,qualdata!$N$2:$N$17,xlookup("r1rd",qualdata!$P$1:$BR$1,qualdata!$P$2:$BR$17)),xlookup($Y114,qualdata!$N$2:$N$17,xlookup("r1rd",qualdata!$P$1:$BR$1,qualdata!$P$2:$BR$17)))</f>
        <v>0</v>
      </c>
      <c r="CR118" s="11"/>
      <c r="CS118" s="195" t="str">
        <f t="array" ref="CS118">xlookup($Y114,qualdata!$N$2:$N$17,xlookup("r2gw",qualdata!$P$1:$BR$1,qualdata!$P$2:$BR$17))&amp;"-"&amp;xlookup($Y114,qualdata!$N$2:$N$17,xlookup("r2gl",qualdata!$P$1:$BR$1,qualdata!$P$2:$BR$17))</f>
        <v>-</v>
      </c>
      <c r="CW118" s="196"/>
      <c r="CX118" s="196">
        <f t="array" ref="CX118">if(xlookup($Y114,qualdata!$N$2:$N$17,xlookup("r2rd",qualdata!$P$1:$BR$1,qualdata!$P$2:$BR$17))&gt;0,"+"&amp;xlookup($Y114,qualdata!$N$2:$N$17,xlookup("r2rd",qualdata!$P$1:$BR$1,qualdata!$P$2:$BR$17)),xlookup($Y114,qualdata!$N$2:$N$17,xlookup("r2rd",qualdata!$P$1:$BR$1,qualdata!$P$2:$BR$17)))</f>
        <v>0</v>
      </c>
      <c r="DA118" s="11"/>
      <c r="DB118" s="195" t="str">
        <f t="array" ref="DB118">xlookup($Y114,qualdata!$N$2:$N$17,xlookup("r3gw",qualdata!$P$1:$BR$1,qualdata!$P$2:$BR$17))&amp;"-"&amp;xlookup($Y114,qualdata!$N$2:$N$17,xlookup("r3gl",qualdata!$P$1:$BR$1,qualdata!$P$2:$BR$17))</f>
        <v>-</v>
      </c>
      <c r="DF118" s="196"/>
      <c r="DG118" s="196">
        <f t="array" ref="DG118">if(xlookup($Y114,qualdata!$N$2:$N$17,xlookup("r3rd",qualdata!$P$1:$BR$1,qualdata!$P$2:$BR$17))&gt;0,"+"&amp;xlookup($Y114,qualdata!$N$2:$N$17,xlookup("r3rd",qualdata!$P$1:$BR$1,qualdata!$P$2:$BR$17)),xlookup($Y114,qualdata!$N$2:$N$17,xlookup("r3rd",qualdata!$P$1:$BR$1,qualdata!$P$2:$BR$17)))</f>
        <v>0</v>
      </c>
      <c r="DJ118" s="11"/>
      <c r="DK118" s="195" t="str">
        <f t="array" ref="DK118">xlookup($Y114,qualdata!$N$2:$N$17,xlookup("r4gw",qualdata!$P$1:$BR$1,qualdata!$P$2:$BR$17))&amp;"-"&amp;xlookup($Y114,qualdata!$N$2:$N$17,xlookup("r4gl",qualdata!$P$1:$BR$1,qualdata!$P$2:$BR$17))</f>
        <v>-</v>
      </c>
      <c r="DO118" s="196"/>
      <c r="DP118" s="196">
        <f t="array" ref="DP118">if(xlookup($Y114,qualdata!$N$2:$N$17,xlookup("r4rd",qualdata!$P$1:$BR$1,qualdata!$P$2:$BR$17))&gt;0,"+"&amp;xlookup($Y114,qualdata!$N$2:$N$17,xlookup("r4rd",qualdata!$P$1:$BR$1,qualdata!$P$2:$BR$17)),xlookup($Y114,qualdata!$N$2:$N$17,xlookup("r4rd",qualdata!$P$1:$BR$1,qualdata!$P$2:$BR$17)))</f>
        <v>0</v>
      </c>
      <c r="DS118" s="11"/>
      <c r="DT118" s="195"/>
      <c r="DX118" s="196"/>
      <c r="DY118" s="196"/>
      <c r="EB118" s="11"/>
      <c r="EC118" s="152"/>
      <c r="ED118" s="152"/>
      <c r="EE118" s="152"/>
      <c r="EF118" s="152"/>
      <c r="EG118" s="152"/>
      <c r="EH118" s="152"/>
      <c r="EI118" s="152"/>
      <c r="EJ118" s="152"/>
      <c r="EK118" s="152"/>
      <c r="EL118" s="152"/>
      <c r="EM118" s="152"/>
      <c r="EN118" s="152"/>
      <c r="EO118" s="152"/>
      <c r="EP118" s="152"/>
      <c r="EQ118" s="152"/>
      <c r="ER118" s="152"/>
    </row>
    <row r="119" ht="5.25" customHeight="1">
      <c r="A119" s="152"/>
      <c r="B119" s="152"/>
      <c r="C119" s="152"/>
      <c r="D119" s="152"/>
      <c r="E119" s="152"/>
      <c r="F119" s="152"/>
      <c r="G119" s="152"/>
      <c r="H119" s="152"/>
      <c r="I119" s="152"/>
      <c r="J119" s="152"/>
      <c r="K119" s="152"/>
      <c r="L119" s="152"/>
      <c r="Q119" s="152"/>
      <c r="R119" s="10"/>
      <c r="X119" s="203"/>
      <c r="BB119" s="203"/>
      <c r="BK119" s="203"/>
      <c r="BT119" s="203"/>
      <c r="CC119" s="203"/>
      <c r="CI119" s="203"/>
      <c r="CJ119" s="10"/>
      <c r="CR119" s="11"/>
      <c r="CS119" s="10"/>
      <c r="DA119" s="11"/>
      <c r="DB119" s="10"/>
      <c r="DJ119" s="11"/>
      <c r="DK119" s="10"/>
      <c r="DS119" s="11"/>
      <c r="DT119" s="10"/>
      <c r="EB119" s="11"/>
      <c r="EC119" s="152"/>
      <c r="ED119" s="152"/>
      <c r="EE119" s="152"/>
      <c r="EF119" s="152"/>
      <c r="EG119" s="152"/>
      <c r="EH119" s="152"/>
      <c r="EI119" s="152"/>
      <c r="EJ119" s="152"/>
      <c r="EK119" s="152"/>
      <c r="EL119" s="152"/>
      <c r="EM119" s="152"/>
      <c r="EN119" s="152"/>
      <c r="EO119" s="152"/>
      <c r="EP119" s="152"/>
      <c r="EQ119" s="152"/>
      <c r="ER119" s="152"/>
    </row>
    <row r="120" ht="5.25" customHeight="1">
      <c r="A120" s="152"/>
      <c r="B120" s="152"/>
      <c r="C120" s="152"/>
      <c r="D120" s="152"/>
      <c r="E120" s="152"/>
      <c r="F120" s="152"/>
      <c r="G120" s="152"/>
      <c r="H120" s="152"/>
      <c r="I120" s="152"/>
      <c r="J120" s="152"/>
      <c r="K120" s="152"/>
      <c r="L120" s="152"/>
      <c r="Q120" s="152"/>
      <c r="R120" s="208"/>
      <c r="S120" s="209"/>
      <c r="T120" s="209"/>
      <c r="U120" s="209"/>
      <c r="V120" s="209"/>
      <c r="W120" s="209"/>
      <c r="X120" s="209"/>
      <c r="Y120" s="209"/>
      <c r="Z120" s="209"/>
      <c r="AA120" s="209"/>
      <c r="AB120" s="209"/>
      <c r="AC120" s="209"/>
      <c r="AD120" s="209"/>
      <c r="AE120" s="209"/>
      <c r="AF120" s="209"/>
      <c r="AG120" s="209"/>
      <c r="AH120" s="209"/>
      <c r="AI120" s="209"/>
      <c r="AJ120" s="209"/>
      <c r="AK120" s="209"/>
      <c r="AL120" s="209"/>
      <c r="AM120" s="209"/>
      <c r="AN120" s="209"/>
      <c r="AO120" s="209"/>
      <c r="AP120" s="209"/>
      <c r="AQ120" s="209"/>
      <c r="AR120" s="209"/>
      <c r="AS120" s="209"/>
      <c r="AT120" s="209"/>
      <c r="AU120" s="209"/>
      <c r="AV120" s="209"/>
      <c r="AW120" s="209"/>
      <c r="AX120" s="209"/>
      <c r="AY120" s="209"/>
      <c r="AZ120" s="209"/>
      <c r="BA120" s="209"/>
      <c r="BB120" s="209"/>
      <c r="BC120" s="209"/>
      <c r="BD120" s="209"/>
      <c r="BE120" s="209"/>
      <c r="BF120" s="209"/>
      <c r="BG120" s="209"/>
      <c r="BH120" s="209"/>
      <c r="BI120" s="209"/>
      <c r="BJ120" s="209"/>
      <c r="BK120" s="209"/>
      <c r="BL120" s="209"/>
      <c r="BM120" s="209"/>
      <c r="BN120" s="209"/>
      <c r="BO120" s="209"/>
      <c r="BP120" s="209"/>
      <c r="BQ120" s="209"/>
      <c r="BR120" s="209"/>
      <c r="BS120" s="209"/>
      <c r="BT120" s="209"/>
      <c r="BU120" s="209"/>
      <c r="BV120" s="209"/>
      <c r="BW120" s="209"/>
      <c r="BX120" s="209"/>
      <c r="BY120" s="209"/>
      <c r="BZ120" s="209"/>
      <c r="CA120" s="209"/>
      <c r="CB120" s="209"/>
      <c r="CC120" s="209"/>
      <c r="CD120" s="209"/>
      <c r="CE120" s="209"/>
      <c r="CF120" s="209"/>
      <c r="CG120" s="209"/>
      <c r="CH120" s="209"/>
      <c r="CI120" s="209"/>
      <c r="CJ120" s="12"/>
      <c r="CK120" s="13"/>
      <c r="CL120" s="13"/>
      <c r="CM120" s="13"/>
      <c r="CN120" s="13"/>
      <c r="CO120" s="13"/>
      <c r="CP120" s="13"/>
      <c r="CQ120" s="13"/>
      <c r="CR120" s="14"/>
      <c r="CS120" s="12"/>
      <c r="CT120" s="13"/>
      <c r="CU120" s="13"/>
      <c r="CV120" s="13"/>
      <c r="CW120" s="13"/>
      <c r="CX120" s="13"/>
      <c r="CY120" s="13"/>
      <c r="CZ120" s="13"/>
      <c r="DA120" s="14"/>
      <c r="DB120" s="12"/>
      <c r="DC120" s="13"/>
      <c r="DD120" s="13"/>
      <c r="DE120" s="13"/>
      <c r="DF120" s="13"/>
      <c r="DG120" s="13"/>
      <c r="DH120" s="13"/>
      <c r="DI120" s="13"/>
      <c r="DJ120" s="14"/>
      <c r="DK120" s="12"/>
      <c r="DL120" s="13"/>
      <c r="DM120" s="13"/>
      <c r="DN120" s="13"/>
      <c r="DO120" s="13"/>
      <c r="DP120" s="13"/>
      <c r="DQ120" s="13"/>
      <c r="DR120" s="13"/>
      <c r="DS120" s="14"/>
      <c r="DT120" s="12"/>
      <c r="DU120" s="13"/>
      <c r="DV120" s="13"/>
      <c r="DW120" s="13"/>
      <c r="DX120" s="13"/>
      <c r="DY120" s="13"/>
      <c r="DZ120" s="13"/>
      <c r="EA120" s="13"/>
      <c r="EB120" s="14"/>
      <c r="EC120" s="152"/>
      <c r="ED120" s="152"/>
      <c r="EE120" s="152"/>
      <c r="EF120" s="152"/>
      <c r="EG120" s="152"/>
      <c r="EH120" s="152"/>
      <c r="EI120" s="152"/>
      <c r="EJ120" s="152"/>
      <c r="EK120" s="152"/>
      <c r="EL120" s="152"/>
      <c r="EM120" s="152"/>
      <c r="EN120" s="152"/>
      <c r="EO120" s="152"/>
      <c r="EP120" s="152"/>
      <c r="EQ120" s="152"/>
      <c r="ER120" s="152"/>
    </row>
    <row r="121" ht="5.25" customHeight="1">
      <c r="A121" s="152"/>
      <c r="B121" s="152"/>
      <c r="C121" s="152"/>
      <c r="D121" s="152"/>
      <c r="E121" s="152"/>
      <c r="F121" s="152"/>
      <c r="G121" s="152"/>
      <c r="H121" s="152"/>
      <c r="I121" s="152"/>
      <c r="J121" s="152"/>
      <c r="K121" s="152"/>
      <c r="L121" s="152"/>
      <c r="M121" s="177" t="str">
        <f>Q121&amp;"."</f>
        <v>15.</v>
      </c>
      <c r="Q121" s="181">
        <v>15.0</v>
      </c>
      <c r="R121" s="200"/>
      <c r="S121" s="201"/>
      <c r="T121" s="201"/>
      <c r="U121" s="201"/>
      <c r="V121" s="201"/>
      <c r="W121" s="201"/>
      <c r="X121" s="201"/>
      <c r="Y121" s="201"/>
      <c r="Z121" s="201"/>
      <c r="AA121" s="201"/>
      <c r="AB121" s="201"/>
      <c r="AC121" s="201"/>
      <c r="AD121" s="201"/>
      <c r="AE121" s="201"/>
      <c r="AF121" s="201"/>
      <c r="AG121" s="201"/>
      <c r="AH121" s="201"/>
      <c r="AI121" s="201"/>
      <c r="AJ121" s="201"/>
      <c r="AK121" s="201"/>
      <c r="AL121" s="201"/>
      <c r="AM121" s="201"/>
      <c r="AN121" s="201"/>
      <c r="AO121" s="201"/>
      <c r="AP121" s="201"/>
      <c r="AQ121" s="201"/>
      <c r="AR121" s="201"/>
      <c r="AS121" s="201"/>
      <c r="AT121" s="201"/>
      <c r="AU121" s="201"/>
      <c r="AV121" s="201"/>
      <c r="AW121" s="201"/>
      <c r="AX121" s="201"/>
      <c r="AY121" s="201"/>
      <c r="AZ121" s="201"/>
      <c r="BA121" s="201"/>
      <c r="BB121" s="201"/>
      <c r="BC121" s="201"/>
      <c r="BD121" s="201"/>
      <c r="BE121" s="201"/>
      <c r="BF121" s="201"/>
      <c r="BG121" s="201"/>
      <c r="BH121" s="201"/>
      <c r="BI121" s="201"/>
      <c r="BJ121" s="201"/>
      <c r="BK121" s="201"/>
      <c r="BL121" s="201"/>
      <c r="BM121" s="201"/>
      <c r="BN121" s="201"/>
      <c r="BO121" s="201"/>
      <c r="BP121" s="201"/>
      <c r="BQ121" s="201"/>
      <c r="BR121" s="201"/>
      <c r="BS121" s="201"/>
      <c r="BT121" s="201"/>
      <c r="BU121" s="201"/>
      <c r="BV121" s="201"/>
      <c r="BW121" s="201"/>
      <c r="BX121" s="201"/>
      <c r="BY121" s="201"/>
      <c r="BZ121" s="201"/>
      <c r="CA121" s="201"/>
      <c r="CB121" s="201"/>
      <c r="CC121" s="201"/>
      <c r="CD121" s="201"/>
      <c r="CE121" s="201"/>
      <c r="CF121" s="201"/>
      <c r="CG121" s="201"/>
      <c r="CH121" s="201"/>
      <c r="CI121" s="201"/>
      <c r="CJ121" s="185" t="str">
        <f t="array" ref="CJ121">xlookup($Y122,qualdata!$N$2:$N$17,xlookup("r1Ser",qualdata!$P$1:$BR$1,qualdata!$P$2:$BR$17,""))</f>
        <v/>
      </c>
      <c r="CK121" s="8"/>
      <c r="CL121" s="186" t="str">
        <f t="array" ref="CL121">xlookup(xlookup($Y122,qualdata!$N$2:$N$17,xlookup("r1op",qualdata!$P$1:$BR$1,qualdata!$P$2:$BR$17,"")),qualdata!$M$2:$M$17,qualdata!$O$2:$O$17,"")</f>
        <v/>
      </c>
      <c r="CM121" s="8"/>
      <c r="CN121" s="8"/>
      <c r="CO121" s="8"/>
      <c r="CP121" s="8"/>
      <c r="CQ121" s="187"/>
      <c r="CR121" s="9"/>
      <c r="CS121" s="185" t="str">
        <f t="array" ref="CS121">xlookup($Y122,qualdata!$N$2:$N$17,xlookup("r2Ser",qualdata!$P$1:$BR$1,qualdata!$P$2:$BR$17,""))</f>
        <v/>
      </c>
      <c r="CT121" s="8"/>
      <c r="CU121" s="186" t="str">
        <f t="array" ref="CU121">xlookup(xlookup($Y122,qualdata!$N$2:$N$17,xlookup("r2op",qualdata!$P$1:$BR$1,qualdata!$P$2:$BR$17,"")),qualdata!$M$2:$M$17,qualdata!$O$2:$O$17,"")</f>
        <v/>
      </c>
      <c r="CV121" s="8"/>
      <c r="CW121" s="8"/>
      <c r="CX121" s="8"/>
      <c r="CY121" s="8"/>
      <c r="CZ121" s="187"/>
      <c r="DA121" s="9"/>
      <c r="DB121" s="185" t="str">
        <f t="array" ref="DB121">xlookup($Y122,qualdata!$N$2:$N$17,xlookup("r3Ser",qualdata!$P$1:$BR$1,qualdata!$P$2:$BR$17,""))</f>
        <v/>
      </c>
      <c r="DC121" s="8"/>
      <c r="DD121" s="186" t="str">
        <f t="array" ref="DD121">xlookup(xlookup($Y122,qualdata!$N$2:$N$17,xlookup("r3op",qualdata!$P$1:$BR$1,qualdata!$P$2:$BR$17,"")),qualdata!$M$2:$M$17,qualdata!$O$2:$O$17,"")</f>
        <v/>
      </c>
      <c r="DE121" s="8"/>
      <c r="DF121" s="8"/>
      <c r="DG121" s="8"/>
      <c r="DH121" s="8"/>
      <c r="DI121" s="187"/>
      <c r="DJ121" s="9"/>
      <c r="DK121" s="185" t="str">
        <f t="array" ref="DK121">xlookup($Y122,qualdata!$N$2:$N$17,xlookup("r4Ser",qualdata!$P$1:$BR$1,qualdata!$P$2:$BR$17,""))</f>
        <v/>
      </c>
      <c r="DL121" s="8"/>
      <c r="DM121" s="186" t="str">
        <f t="array" ref="DM121">xlookup(xlookup($Y122,qualdata!$N$2:$N$17,xlookup("r4op",qualdata!$P$1:$BR$1,qualdata!$P$2:$BR$17,"")),qualdata!$M$2:$M$17,qualdata!$O$2:$O$17,"")</f>
        <v/>
      </c>
      <c r="DN121" s="8"/>
      <c r="DO121" s="8"/>
      <c r="DP121" s="8"/>
      <c r="DQ121" s="8"/>
      <c r="DR121" s="187"/>
      <c r="DS121" s="9"/>
      <c r="DT121" s="185" t="str">
        <f t="array" ref="DT121">xlookup($Y122,qualdata!$N$2:$N$17,xlookup("r5Ser",qualdata!$P$1:$BR$1,qualdata!$P$2:$BR$17,""))</f>
        <v/>
      </c>
      <c r="DU121" s="8"/>
      <c r="DV121" s="186" t="str">
        <f t="array" ref="DV121">xlookup(xlookup($Y122,qualdata!$N$2:$N$17,xlookup("r5op",qualdata!$P$1:$BR$1,qualdata!$P$2:$BR$17,"")),qualdata!$M$2:$M$17,qualdata!$O$2:$O$17,"")</f>
        <v/>
      </c>
      <c r="DW121" s="8"/>
      <c r="DX121" s="8"/>
      <c r="DY121" s="8"/>
      <c r="DZ121" s="8"/>
      <c r="EA121" s="187"/>
      <c r="EB121" s="9"/>
      <c r="EC121" s="152"/>
      <c r="ED121" s="152"/>
      <c r="EE121" s="152"/>
      <c r="EF121" s="152"/>
      <c r="EG121" s="152"/>
      <c r="EH121" s="152"/>
      <c r="EI121" s="152"/>
      <c r="EJ121" s="152"/>
      <c r="EK121" s="152"/>
      <c r="EL121" s="152"/>
      <c r="EM121" s="152"/>
      <c r="EN121" s="152"/>
      <c r="EO121" s="152"/>
      <c r="EP121" s="152"/>
      <c r="EQ121" s="152"/>
      <c r="ER121" s="152"/>
    </row>
    <row r="122" ht="5.25" customHeight="1">
      <c r="A122" s="152"/>
      <c r="B122" s="152"/>
      <c r="C122" s="152"/>
      <c r="D122" s="152"/>
      <c r="E122" s="152"/>
      <c r="F122" s="152"/>
      <c r="G122" s="152"/>
      <c r="H122" s="152"/>
      <c r="I122" s="152"/>
      <c r="J122" s="152"/>
      <c r="K122" s="152"/>
      <c r="L122" s="152"/>
      <c r="Q122" s="152"/>
      <c r="R122" s="202" t="str">
        <f t="array" ref="R122">xlookup(Y122,qualdata!$N$2:$N$17,qualdata!$O$2:$O$17,"")</f>
        <v/>
      </c>
      <c r="X122" s="203"/>
      <c r="Y122" s="204" t="str">
        <f t="array" ref="Y122">xlookup(Q121,qualdata!$G$24:$G$39,qualdata!$A$24:$A$39,"")</f>
        <v>Team 15 (Group 1)</v>
      </c>
      <c r="BB122" s="203"/>
      <c r="BC122" s="205" t="str">
        <f t="array" ref="BC122">xlookup(Y122,qualdata!$A$24:$A$39,qualdata!$B$24:$B$39,"")</f>
        <v>0-0</v>
      </c>
      <c r="BK122" s="203"/>
      <c r="BL122" s="206" t="str">
        <f t="array" ref="BL122">xlookup(Y122,qualdata!$A$24:$A$39,qualdata!$C$24:$C$39,"")</f>
        <v>0-0</v>
      </c>
      <c r="BT122" s="203"/>
      <c r="BU122" s="207" t="str">
        <f t="array" ref="BU122">xlookup(Y122,qualdata!$A$24:$A$39,qualdata!$D$24:$D$39,"")</f>
        <v>0-0</v>
      </c>
      <c r="CC122" s="203"/>
      <c r="CD122" s="207">
        <f t="array" ref="CD122">xlookup(Y122,qualdata!$A$24:$A$39,qualdata!$F$24:$F$39,"")</f>
        <v>0</v>
      </c>
      <c r="CI122" s="203"/>
      <c r="CJ122" s="10"/>
      <c r="CR122" s="11"/>
      <c r="CS122" s="10"/>
      <c r="DA122" s="11"/>
      <c r="DB122" s="10"/>
      <c r="DJ122" s="11"/>
      <c r="DK122" s="10"/>
      <c r="DS122" s="11"/>
      <c r="DT122" s="10"/>
      <c r="EB122" s="11"/>
      <c r="EC122" s="152"/>
      <c r="ED122" s="152"/>
      <c r="EE122" s="152"/>
      <c r="EF122" s="152"/>
      <c r="EG122" s="152"/>
      <c r="EH122" s="152"/>
      <c r="EI122" s="152"/>
      <c r="EJ122" s="152"/>
      <c r="EK122" s="152"/>
      <c r="EL122" s="152"/>
      <c r="EM122" s="152"/>
      <c r="EN122" s="152"/>
      <c r="EO122" s="152"/>
      <c r="EP122" s="152"/>
      <c r="EQ122" s="152"/>
      <c r="ER122" s="152"/>
    </row>
    <row r="123" ht="5.25" customHeight="1">
      <c r="A123" s="152"/>
      <c r="B123" s="152"/>
      <c r="C123" s="152"/>
      <c r="D123" s="152"/>
      <c r="E123" s="152"/>
      <c r="F123" s="152"/>
      <c r="G123" s="152"/>
      <c r="H123" s="152"/>
      <c r="I123" s="152"/>
      <c r="J123" s="152"/>
      <c r="K123" s="152"/>
      <c r="L123" s="152"/>
      <c r="Q123" s="152"/>
      <c r="R123" s="10"/>
      <c r="X123" s="203"/>
      <c r="BB123" s="203"/>
      <c r="BK123" s="203"/>
      <c r="BT123" s="203"/>
      <c r="CC123" s="203"/>
      <c r="CI123" s="203"/>
      <c r="CJ123" s="10"/>
      <c r="CR123" s="11"/>
      <c r="CS123" s="10"/>
      <c r="DA123" s="11"/>
      <c r="DB123" s="10"/>
      <c r="DJ123" s="11"/>
      <c r="DK123" s="10"/>
      <c r="DS123" s="11"/>
      <c r="DT123" s="10"/>
      <c r="EB123" s="11"/>
      <c r="EC123" s="152"/>
      <c r="ED123" s="152"/>
      <c r="EE123" s="152"/>
      <c r="EF123" s="152"/>
      <c r="EG123" s="152"/>
      <c r="EH123" s="152"/>
      <c r="EI123" s="152"/>
      <c r="EJ123" s="152"/>
      <c r="EK123" s="152"/>
      <c r="EL123" s="152"/>
      <c r="EM123" s="152"/>
      <c r="EN123" s="152"/>
      <c r="EO123" s="152"/>
      <c r="EP123" s="152"/>
      <c r="EQ123" s="152"/>
      <c r="ER123" s="152"/>
    </row>
    <row r="124" ht="5.25" customHeight="1">
      <c r="A124" s="152"/>
      <c r="B124" s="152"/>
      <c r="C124" s="152"/>
      <c r="D124" s="152"/>
      <c r="E124" s="152"/>
      <c r="F124" s="152"/>
      <c r="G124" s="152"/>
      <c r="H124" s="152"/>
      <c r="I124" s="152"/>
      <c r="J124" s="152"/>
      <c r="K124" s="152"/>
      <c r="L124" s="152"/>
      <c r="Q124" s="152"/>
      <c r="R124" s="10"/>
      <c r="X124" s="203"/>
      <c r="BB124" s="203"/>
      <c r="BK124" s="203"/>
      <c r="BT124" s="203"/>
      <c r="CC124" s="203"/>
      <c r="CI124" s="203"/>
      <c r="CJ124" s="10"/>
      <c r="CR124" s="11"/>
      <c r="CS124" s="10"/>
      <c r="DA124" s="11"/>
      <c r="DB124" s="10"/>
      <c r="DJ124" s="11"/>
      <c r="DK124" s="10"/>
      <c r="DS124" s="11"/>
      <c r="DT124" s="10"/>
      <c r="EB124" s="11"/>
      <c r="EC124" s="152"/>
      <c r="ED124" s="152"/>
      <c r="EE124" s="152"/>
      <c r="EF124" s="152"/>
      <c r="EG124" s="152"/>
      <c r="EH124" s="152"/>
      <c r="EI124" s="152"/>
      <c r="EJ124" s="152"/>
      <c r="EK124" s="152"/>
      <c r="EL124" s="152"/>
      <c r="EM124" s="152"/>
      <c r="EN124" s="152"/>
      <c r="EO124" s="152"/>
      <c r="EP124" s="152"/>
      <c r="EQ124" s="152"/>
      <c r="ER124" s="152"/>
    </row>
    <row r="125" ht="5.25" customHeight="1">
      <c r="A125" s="152"/>
      <c r="B125" s="152"/>
      <c r="C125" s="152"/>
      <c r="D125" s="152"/>
      <c r="E125" s="152"/>
      <c r="F125" s="152"/>
      <c r="G125" s="152"/>
      <c r="H125" s="152"/>
      <c r="I125" s="152"/>
      <c r="J125" s="152"/>
      <c r="K125" s="152"/>
      <c r="L125" s="152"/>
      <c r="Q125" s="152"/>
      <c r="R125" s="10"/>
      <c r="X125" s="203"/>
      <c r="BB125" s="203"/>
      <c r="BK125" s="203"/>
      <c r="BT125" s="203"/>
      <c r="CC125" s="203"/>
      <c r="CI125" s="203"/>
      <c r="CJ125" s="10"/>
      <c r="CR125" s="11"/>
      <c r="CS125" s="10"/>
      <c r="DA125" s="11"/>
      <c r="DB125" s="10"/>
      <c r="DJ125" s="11"/>
      <c r="DK125" s="10"/>
      <c r="DS125" s="11"/>
      <c r="DT125" s="10"/>
      <c r="EB125" s="11"/>
      <c r="EC125" s="152"/>
      <c r="ED125" s="152"/>
      <c r="EE125" s="152"/>
      <c r="EF125" s="152"/>
      <c r="EG125" s="152"/>
      <c r="EH125" s="152"/>
      <c r="EI125" s="152"/>
      <c r="EJ125" s="152"/>
      <c r="EK125" s="152"/>
      <c r="EL125" s="152"/>
      <c r="EM125" s="152"/>
      <c r="EN125" s="152"/>
      <c r="EO125" s="152"/>
      <c r="EP125" s="152"/>
      <c r="EQ125" s="152"/>
      <c r="ER125" s="152"/>
    </row>
    <row r="126" ht="5.25" customHeight="1">
      <c r="A126" s="152"/>
      <c r="B126" s="152"/>
      <c r="C126" s="152"/>
      <c r="D126" s="152"/>
      <c r="E126" s="152"/>
      <c r="F126" s="152"/>
      <c r="G126" s="152"/>
      <c r="H126" s="152"/>
      <c r="I126" s="152"/>
      <c r="J126" s="152"/>
      <c r="K126" s="152"/>
      <c r="L126" s="152"/>
      <c r="Q126" s="152"/>
      <c r="R126" s="10"/>
      <c r="X126" s="203"/>
      <c r="BB126" s="203"/>
      <c r="BK126" s="203"/>
      <c r="BT126" s="203"/>
      <c r="CC126" s="203"/>
      <c r="CI126" s="203"/>
      <c r="CJ126" s="195" t="str">
        <f t="array" ref="CJ126">xlookup($Y122,qualdata!$N$2:$N$17,xlookup("r1gw",qualdata!$P$1:$BR$1,qualdata!$P$2:$BR$17))&amp;"-"&amp;xlookup($Y122,qualdata!$N$2:$N$17,xlookup("r1gl",qualdata!$P$1:$BR$1,qualdata!$P$2:$BR$17))</f>
        <v>-</v>
      </c>
      <c r="CN126" s="196"/>
      <c r="CO126" s="196">
        <f t="array" ref="CO126">if(xlookup($Y122,qualdata!$N$2:$N$17,xlookup("r1rd",qualdata!$P$1:$BR$1,qualdata!$P$2:$BR$17))&gt;0,"+"&amp;xlookup($Y122,qualdata!$N$2:$N$17,xlookup("r1rd",qualdata!$P$1:$BR$1,qualdata!$P$2:$BR$17)),xlookup($Y122,qualdata!$N$2:$N$17,xlookup("r1rd",qualdata!$P$1:$BR$1,qualdata!$P$2:$BR$17)))</f>
        <v>0</v>
      </c>
      <c r="CR126" s="11"/>
      <c r="CS126" s="195" t="str">
        <f t="array" ref="CS126">xlookup($Y122,qualdata!$N$2:$N$17,xlookup("r2gw",qualdata!$P$1:$BR$1,qualdata!$P$2:$BR$17))&amp;"-"&amp;xlookup($Y122,qualdata!$N$2:$N$17,xlookup("r2gl",qualdata!$P$1:$BR$1,qualdata!$P$2:$BR$17))</f>
        <v>-</v>
      </c>
      <c r="CW126" s="196"/>
      <c r="CX126" s="196">
        <f t="array" ref="CX126">if(xlookup($Y122,qualdata!$N$2:$N$17,xlookup("r2rd",qualdata!$P$1:$BR$1,qualdata!$P$2:$BR$17))&gt;0,"+"&amp;xlookup($Y122,qualdata!$N$2:$N$17,xlookup("r2rd",qualdata!$P$1:$BR$1,qualdata!$P$2:$BR$17)),xlookup($Y122,qualdata!$N$2:$N$17,xlookup("r2rd",qualdata!$P$1:$BR$1,qualdata!$P$2:$BR$17)))</f>
        <v>0</v>
      </c>
      <c r="DA126" s="11"/>
      <c r="DB126" s="195" t="str">
        <f t="array" ref="DB126">xlookup($Y122,qualdata!$N$2:$N$17,xlookup("r3gw",qualdata!$P$1:$BR$1,qualdata!$P$2:$BR$17))&amp;"-"&amp;xlookup($Y122,qualdata!$N$2:$N$17,xlookup("r3gl",qualdata!$P$1:$BR$1,qualdata!$P$2:$BR$17))</f>
        <v>-</v>
      </c>
      <c r="DF126" s="196"/>
      <c r="DG126" s="196">
        <f t="array" ref="DG126">if(xlookup($Y122,qualdata!$N$2:$N$17,xlookup("r3rd",qualdata!$P$1:$BR$1,qualdata!$P$2:$BR$17))&gt;0,"+"&amp;xlookup($Y122,qualdata!$N$2:$N$17,xlookup("r3rd",qualdata!$P$1:$BR$1,qualdata!$P$2:$BR$17)),xlookup($Y122,qualdata!$N$2:$N$17,xlookup("r3rd",qualdata!$P$1:$BR$1,qualdata!$P$2:$BR$17)))</f>
        <v>0</v>
      </c>
      <c r="DJ126" s="11"/>
      <c r="DK126" s="195"/>
      <c r="DO126" s="196"/>
      <c r="DP126" s="196"/>
      <c r="DS126" s="11"/>
      <c r="DT126" s="195"/>
      <c r="DX126" s="196"/>
      <c r="DY126" s="196"/>
      <c r="EB126" s="11"/>
      <c r="EC126" s="152"/>
      <c r="ED126" s="152"/>
      <c r="EE126" s="152"/>
      <c r="EF126" s="152"/>
      <c r="EG126" s="152"/>
      <c r="EH126" s="152"/>
      <c r="EI126" s="152"/>
      <c r="EJ126" s="152"/>
      <c r="EK126" s="152"/>
      <c r="EL126" s="152"/>
      <c r="EM126" s="152"/>
      <c r="EN126" s="152"/>
      <c r="EO126" s="152"/>
      <c r="EP126" s="152"/>
      <c r="EQ126" s="152"/>
      <c r="ER126" s="152"/>
    </row>
    <row r="127" ht="5.25" customHeight="1">
      <c r="A127" s="152"/>
      <c r="B127" s="152"/>
      <c r="C127" s="152"/>
      <c r="D127" s="152"/>
      <c r="E127" s="152"/>
      <c r="F127" s="152"/>
      <c r="G127" s="152"/>
      <c r="H127" s="152"/>
      <c r="I127" s="152"/>
      <c r="J127" s="152"/>
      <c r="K127" s="152"/>
      <c r="L127" s="152"/>
      <c r="Q127" s="152"/>
      <c r="R127" s="10"/>
      <c r="X127" s="203"/>
      <c r="BB127" s="203"/>
      <c r="BK127" s="203"/>
      <c r="BT127" s="203"/>
      <c r="CC127" s="203"/>
      <c r="CI127" s="203"/>
      <c r="CJ127" s="10"/>
      <c r="CR127" s="11"/>
      <c r="CS127" s="10"/>
      <c r="DA127" s="11"/>
      <c r="DB127" s="10"/>
      <c r="DJ127" s="11"/>
      <c r="DK127" s="10"/>
      <c r="DS127" s="11"/>
      <c r="DT127" s="10"/>
      <c r="EB127" s="11"/>
      <c r="EC127" s="152"/>
      <c r="ED127" s="152"/>
      <c r="EE127" s="152"/>
      <c r="EF127" s="152"/>
      <c r="EG127" s="152"/>
      <c r="EH127" s="152"/>
      <c r="EI127" s="152"/>
      <c r="EJ127" s="152"/>
      <c r="EK127" s="152"/>
      <c r="EL127" s="152"/>
      <c r="EM127" s="152"/>
      <c r="EN127" s="152"/>
      <c r="EO127" s="152"/>
      <c r="EP127" s="152"/>
      <c r="EQ127" s="152"/>
      <c r="ER127" s="152"/>
    </row>
    <row r="128" ht="5.25" customHeight="1">
      <c r="A128" s="152"/>
      <c r="B128" s="152"/>
      <c r="C128" s="152"/>
      <c r="D128" s="152"/>
      <c r="E128" s="152"/>
      <c r="F128" s="152"/>
      <c r="G128" s="152"/>
      <c r="H128" s="152"/>
      <c r="I128" s="152"/>
      <c r="J128" s="152"/>
      <c r="K128" s="152"/>
      <c r="L128" s="152"/>
      <c r="Q128" s="152"/>
      <c r="R128" s="208"/>
      <c r="S128" s="209"/>
      <c r="T128" s="209"/>
      <c r="U128" s="209"/>
      <c r="V128" s="209"/>
      <c r="W128" s="209"/>
      <c r="X128" s="209"/>
      <c r="Y128" s="209"/>
      <c r="Z128" s="209"/>
      <c r="AA128" s="209"/>
      <c r="AB128" s="209"/>
      <c r="AC128" s="209"/>
      <c r="AD128" s="209"/>
      <c r="AE128" s="209"/>
      <c r="AF128" s="209"/>
      <c r="AG128" s="209"/>
      <c r="AH128" s="209"/>
      <c r="AI128" s="209"/>
      <c r="AJ128" s="209"/>
      <c r="AK128" s="209"/>
      <c r="AL128" s="209"/>
      <c r="AM128" s="209"/>
      <c r="AN128" s="209"/>
      <c r="AO128" s="209"/>
      <c r="AP128" s="209"/>
      <c r="AQ128" s="209"/>
      <c r="AR128" s="209"/>
      <c r="AS128" s="209"/>
      <c r="AT128" s="209"/>
      <c r="AU128" s="209"/>
      <c r="AV128" s="209"/>
      <c r="AW128" s="209"/>
      <c r="AX128" s="209"/>
      <c r="AY128" s="209"/>
      <c r="AZ128" s="209"/>
      <c r="BA128" s="209"/>
      <c r="BB128" s="209"/>
      <c r="BC128" s="209"/>
      <c r="BD128" s="209"/>
      <c r="BE128" s="209"/>
      <c r="BF128" s="209"/>
      <c r="BG128" s="209"/>
      <c r="BH128" s="209"/>
      <c r="BI128" s="209"/>
      <c r="BJ128" s="209"/>
      <c r="BK128" s="209"/>
      <c r="BL128" s="209"/>
      <c r="BM128" s="209"/>
      <c r="BN128" s="209"/>
      <c r="BO128" s="209"/>
      <c r="BP128" s="209"/>
      <c r="BQ128" s="209"/>
      <c r="BR128" s="209"/>
      <c r="BS128" s="209"/>
      <c r="BT128" s="209"/>
      <c r="BU128" s="209"/>
      <c r="BV128" s="209"/>
      <c r="BW128" s="209"/>
      <c r="BX128" s="209"/>
      <c r="BY128" s="209"/>
      <c r="BZ128" s="209"/>
      <c r="CA128" s="209"/>
      <c r="CB128" s="209"/>
      <c r="CC128" s="209"/>
      <c r="CD128" s="209"/>
      <c r="CE128" s="209"/>
      <c r="CF128" s="209"/>
      <c r="CG128" s="209"/>
      <c r="CH128" s="209"/>
      <c r="CI128" s="209"/>
      <c r="CJ128" s="12"/>
      <c r="CK128" s="13"/>
      <c r="CL128" s="13"/>
      <c r="CM128" s="13"/>
      <c r="CN128" s="13"/>
      <c r="CO128" s="13"/>
      <c r="CP128" s="13"/>
      <c r="CQ128" s="13"/>
      <c r="CR128" s="14"/>
      <c r="CS128" s="12"/>
      <c r="CT128" s="13"/>
      <c r="CU128" s="13"/>
      <c r="CV128" s="13"/>
      <c r="CW128" s="13"/>
      <c r="CX128" s="13"/>
      <c r="CY128" s="13"/>
      <c r="CZ128" s="13"/>
      <c r="DA128" s="14"/>
      <c r="DB128" s="12"/>
      <c r="DC128" s="13"/>
      <c r="DD128" s="13"/>
      <c r="DE128" s="13"/>
      <c r="DF128" s="13"/>
      <c r="DG128" s="13"/>
      <c r="DH128" s="13"/>
      <c r="DI128" s="13"/>
      <c r="DJ128" s="14"/>
      <c r="DK128" s="12"/>
      <c r="DL128" s="13"/>
      <c r="DM128" s="13"/>
      <c r="DN128" s="13"/>
      <c r="DO128" s="13"/>
      <c r="DP128" s="13"/>
      <c r="DQ128" s="13"/>
      <c r="DR128" s="13"/>
      <c r="DS128" s="14"/>
      <c r="DT128" s="12"/>
      <c r="DU128" s="13"/>
      <c r="DV128" s="13"/>
      <c r="DW128" s="13"/>
      <c r="DX128" s="13"/>
      <c r="DY128" s="13"/>
      <c r="DZ128" s="13"/>
      <c r="EA128" s="13"/>
      <c r="EB128" s="14"/>
      <c r="EC128" s="152"/>
      <c r="ED128" s="152"/>
      <c r="EE128" s="152"/>
      <c r="EF128" s="152"/>
      <c r="EG128" s="152"/>
      <c r="EH128" s="152"/>
      <c r="EI128" s="152"/>
      <c r="EJ128" s="152"/>
      <c r="EK128" s="152"/>
      <c r="EL128" s="152"/>
      <c r="EM128" s="152"/>
      <c r="EN128" s="152"/>
      <c r="EO128" s="152"/>
      <c r="EP128" s="152"/>
      <c r="EQ128" s="152"/>
      <c r="ER128" s="152"/>
    </row>
    <row r="129" ht="5.25" customHeight="1">
      <c r="A129" s="152"/>
      <c r="B129" s="152"/>
      <c r="C129" s="152"/>
      <c r="D129" s="152"/>
      <c r="E129" s="152"/>
      <c r="F129" s="152"/>
      <c r="G129" s="152"/>
      <c r="H129" s="152"/>
      <c r="I129" s="152"/>
      <c r="J129" s="152"/>
      <c r="K129" s="152"/>
      <c r="L129" s="152"/>
      <c r="M129" s="177" t="str">
        <f>Q129&amp;"."</f>
        <v>16.</v>
      </c>
      <c r="Q129" s="181">
        <v>16.0</v>
      </c>
      <c r="R129" s="200"/>
      <c r="S129" s="201"/>
      <c r="T129" s="201"/>
      <c r="U129" s="201"/>
      <c r="V129" s="201"/>
      <c r="W129" s="201"/>
      <c r="X129" s="201"/>
      <c r="Y129" s="201"/>
      <c r="Z129" s="201"/>
      <c r="AA129" s="201"/>
      <c r="AB129" s="201"/>
      <c r="AC129" s="201"/>
      <c r="AD129" s="201"/>
      <c r="AE129" s="201"/>
      <c r="AF129" s="201"/>
      <c r="AG129" s="201"/>
      <c r="AH129" s="201"/>
      <c r="AI129" s="201"/>
      <c r="AJ129" s="201"/>
      <c r="AK129" s="201"/>
      <c r="AL129" s="201"/>
      <c r="AM129" s="201"/>
      <c r="AN129" s="201"/>
      <c r="AO129" s="201"/>
      <c r="AP129" s="201"/>
      <c r="AQ129" s="201"/>
      <c r="AR129" s="201"/>
      <c r="AS129" s="201"/>
      <c r="AT129" s="201"/>
      <c r="AU129" s="201"/>
      <c r="AV129" s="201"/>
      <c r="AW129" s="201"/>
      <c r="AX129" s="201"/>
      <c r="AY129" s="201"/>
      <c r="AZ129" s="201"/>
      <c r="BA129" s="201"/>
      <c r="BB129" s="201"/>
      <c r="BC129" s="201"/>
      <c r="BD129" s="201"/>
      <c r="BE129" s="201"/>
      <c r="BF129" s="201"/>
      <c r="BG129" s="201"/>
      <c r="BH129" s="201"/>
      <c r="BI129" s="201"/>
      <c r="BJ129" s="201"/>
      <c r="BK129" s="201"/>
      <c r="BL129" s="201"/>
      <c r="BM129" s="201"/>
      <c r="BN129" s="201"/>
      <c r="BO129" s="201"/>
      <c r="BP129" s="201"/>
      <c r="BQ129" s="201"/>
      <c r="BR129" s="201"/>
      <c r="BS129" s="201"/>
      <c r="BT129" s="201"/>
      <c r="BU129" s="201"/>
      <c r="BV129" s="201"/>
      <c r="BW129" s="201"/>
      <c r="BX129" s="201"/>
      <c r="BY129" s="201"/>
      <c r="BZ129" s="201"/>
      <c r="CA129" s="201"/>
      <c r="CB129" s="201"/>
      <c r="CC129" s="201"/>
      <c r="CD129" s="201"/>
      <c r="CE129" s="201"/>
      <c r="CF129" s="201"/>
      <c r="CG129" s="201"/>
      <c r="CH129" s="201"/>
      <c r="CI129" s="201"/>
      <c r="CJ129" s="185" t="str">
        <f t="array" ref="CJ129">xlookup($Y130,qualdata!$N$2:$N$17,xlookup("r1Ser",qualdata!$P$1:$BR$1,qualdata!$P$2:$BR$17,""))</f>
        <v/>
      </c>
      <c r="CK129" s="8"/>
      <c r="CL129" s="186" t="str">
        <f t="array" ref="CL129">xlookup(xlookup($Y130,qualdata!$N$2:$N$17,xlookup("r1op",qualdata!$P$1:$BR$1,qualdata!$P$2:$BR$17,"")),qualdata!$M$2:$M$17,qualdata!$O$2:$O$17,"")</f>
        <v/>
      </c>
      <c r="CM129" s="8"/>
      <c r="CN129" s="8"/>
      <c r="CO129" s="8"/>
      <c r="CP129" s="8"/>
      <c r="CQ129" s="187"/>
      <c r="CR129" s="9"/>
      <c r="CS129" s="185" t="str">
        <f t="array" ref="CS129">xlookup($Y130,qualdata!$N$2:$N$17,xlookup("r2Ser",qualdata!$P$1:$BR$1,qualdata!$P$2:$BR$17,""))</f>
        <v/>
      </c>
      <c r="CT129" s="8"/>
      <c r="CU129" s="186" t="str">
        <f t="array" ref="CU129">xlookup(xlookup($Y130,qualdata!$N$2:$N$17,xlookup("r2op",qualdata!$P$1:$BR$1,qualdata!$P$2:$BR$17,"")),qualdata!$M$2:$M$17,qualdata!$O$2:$O$17,"")</f>
        <v/>
      </c>
      <c r="CV129" s="8"/>
      <c r="CW129" s="8"/>
      <c r="CX129" s="8"/>
      <c r="CY129" s="8"/>
      <c r="CZ129" s="187"/>
      <c r="DA129" s="9"/>
      <c r="DB129" s="185" t="str">
        <f t="array" ref="DB129">xlookup($Y130,qualdata!$N$2:$N$17,xlookup("r3Ser",qualdata!$P$1:$BR$1,qualdata!$P$2:$BR$17,""))</f>
        <v/>
      </c>
      <c r="DC129" s="8"/>
      <c r="DD129" s="186" t="str">
        <f t="array" ref="DD129">xlookup(xlookup($Y130,qualdata!$N$2:$N$17,xlookup("r3op",qualdata!$P$1:$BR$1,qualdata!$P$2:$BR$17,"")),qualdata!$M$2:$M$17,qualdata!$O$2:$O$17,"")</f>
        <v/>
      </c>
      <c r="DE129" s="8"/>
      <c r="DF129" s="8"/>
      <c r="DG129" s="8"/>
      <c r="DH129" s="8"/>
      <c r="DI129" s="187"/>
      <c r="DJ129" s="9"/>
      <c r="DK129" s="185" t="str">
        <f t="array" ref="DK129">xlookup($Y130,qualdata!$N$2:$N$17,xlookup("r4Ser",qualdata!$P$1:$BR$1,qualdata!$P$2:$BR$17,""))</f>
        <v/>
      </c>
      <c r="DL129" s="8"/>
      <c r="DM129" s="186" t="str">
        <f t="array" ref="DM129">xlookup(xlookup($Y130,qualdata!$N$2:$N$17,xlookup("r4op",qualdata!$P$1:$BR$1,qualdata!$P$2:$BR$17,"")),qualdata!$M$2:$M$17,qualdata!$O$2:$O$17,"")</f>
        <v/>
      </c>
      <c r="DN129" s="8"/>
      <c r="DO129" s="8"/>
      <c r="DP129" s="8"/>
      <c r="DQ129" s="8"/>
      <c r="DR129" s="187"/>
      <c r="DS129" s="9"/>
      <c r="DT129" s="185" t="str">
        <f t="array" ref="DT129">xlookup($Y130,qualdata!$N$2:$N$17,xlookup("r5Ser",qualdata!$P$1:$BR$1,qualdata!$P$2:$BR$17,""))</f>
        <v/>
      </c>
      <c r="DU129" s="8"/>
      <c r="DV129" s="186" t="str">
        <f t="array" ref="DV129">xlookup(xlookup($Y130,qualdata!$N$2:$N$17,xlookup("r5op",qualdata!$P$1:$BR$1,qualdata!$P$2:$BR$17,"")),qualdata!$M$2:$M$17,qualdata!$O$2:$O$17,"")</f>
        <v/>
      </c>
      <c r="DW129" s="8"/>
      <c r="DX129" s="8"/>
      <c r="DY129" s="8"/>
      <c r="DZ129" s="8"/>
      <c r="EA129" s="187"/>
      <c r="EB129" s="9"/>
      <c r="EC129" s="152"/>
      <c r="ED129" s="152"/>
      <c r="EE129" s="152"/>
      <c r="EF129" s="152"/>
      <c r="EG129" s="152"/>
      <c r="EH129" s="152"/>
      <c r="EI129" s="152"/>
      <c r="EJ129" s="152"/>
      <c r="EK129" s="152"/>
      <c r="EL129" s="152"/>
      <c r="EM129" s="152"/>
      <c r="EN129" s="152"/>
      <c r="EO129" s="152"/>
      <c r="EP129" s="152"/>
      <c r="EQ129" s="152"/>
      <c r="ER129" s="152"/>
    </row>
    <row r="130" ht="5.25" customHeight="1">
      <c r="A130" s="152"/>
      <c r="B130" s="152"/>
      <c r="C130" s="152"/>
      <c r="D130" s="152"/>
      <c r="E130" s="152"/>
      <c r="F130" s="152"/>
      <c r="G130" s="152"/>
      <c r="H130" s="152"/>
      <c r="I130" s="152"/>
      <c r="J130" s="152"/>
      <c r="K130" s="152"/>
      <c r="L130" s="152"/>
      <c r="Q130" s="152"/>
      <c r="R130" s="202" t="str">
        <f t="array" ref="R130">xlookup(Y130,qualdata!$N$2:$N$17,qualdata!$O$2:$O$17,"")</f>
        <v/>
      </c>
      <c r="X130" s="203"/>
      <c r="Y130" s="204" t="str">
        <f t="array" ref="Y130">xlookup(Q129,qualdata!$G$24:$G$39,qualdata!$A$24:$A$39,"")</f>
        <v>Team 16 (Group 1)</v>
      </c>
      <c r="BB130" s="203"/>
      <c r="BC130" s="205" t="str">
        <f t="array" ref="BC130">xlookup(Y130,qualdata!$A$24:$A$39,qualdata!$B$24:$B$39,"")</f>
        <v>0-0</v>
      </c>
      <c r="BK130" s="203"/>
      <c r="BL130" s="206" t="str">
        <f t="array" ref="BL130">xlookup(Y130,qualdata!$A$24:$A$39,qualdata!$C$24:$C$39,"")</f>
        <v>0-0</v>
      </c>
      <c r="BT130" s="203"/>
      <c r="BU130" s="207" t="str">
        <f t="array" ref="BU130">xlookup(Y130,qualdata!$A$24:$A$39,qualdata!$D$24:$D$39,"")</f>
        <v>0-0</v>
      </c>
      <c r="CC130" s="203"/>
      <c r="CD130" s="207">
        <f t="array" ref="CD130">xlookup(Y130,qualdata!$A$24:$A$39,qualdata!$F$24:$F$39,"")</f>
        <v>0</v>
      </c>
      <c r="CI130" s="203"/>
      <c r="CJ130" s="10"/>
      <c r="CR130" s="11"/>
      <c r="CS130" s="10"/>
      <c r="DA130" s="11"/>
      <c r="DB130" s="10"/>
      <c r="DJ130" s="11"/>
      <c r="DK130" s="10"/>
      <c r="DS130" s="11"/>
      <c r="DT130" s="10"/>
      <c r="EB130" s="11"/>
      <c r="EC130" s="152"/>
      <c r="ED130" s="152"/>
      <c r="EE130" s="152"/>
      <c r="EF130" s="152"/>
      <c r="EG130" s="152"/>
      <c r="EH130" s="152"/>
      <c r="EI130" s="152"/>
      <c r="EJ130" s="152"/>
      <c r="EK130" s="152"/>
      <c r="EL130" s="152"/>
      <c r="EM130" s="152"/>
      <c r="EN130" s="152"/>
      <c r="EO130" s="152"/>
      <c r="EP130" s="152"/>
      <c r="EQ130" s="152"/>
      <c r="ER130" s="152"/>
    </row>
    <row r="131" ht="5.25" customHeight="1">
      <c r="A131" s="152"/>
      <c r="B131" s="152"/>
      <c r="C131" s="152"/>
      <c r="D131" s="152"/>
      <c r="E131" s="152"/>
      <c r="F131" s="152"/>
      <c r="G131" s="152"/>
      <c r="H131" s="152"/>
      <c r="I131" s="152"/>
      <c r="J131" s="152"/>
      <c r="K131" s="152"/>
      <c r="L131" s="152"/>
      <c r="Q131" s="152"/>
      <c r="R131" s="10"/>
      <c r="X131" s="203"/>
      <c r="BB131" s="203"/>
      <c r="BK131" s="203"/>
      <c r="BT131" s="203"/>
      <c r="CC131" s="203"/>
      <c r="CI131" s="203"/>
      <c r="CJ131" s="10"/>
      <c r="CR131" s="11"/>
      <c r="CS131" s="10"/>
      <c r="DA131" s="11"/>
      <c r="DB131" s="10"/>
      <c r="DJ131" s="11"/>
      <c r="DK131" s="10"/>
      <c r="DS131" s="11"/>
      <c r="DT131" s="10"/>
      <c r="EB131" s="11"/>
      <c r="EC131" s="152"/>
      <c r="ED131" s="152"/>
      <c r="EE131" s="152"/>
      <c r="EF131" s="152"/>
      <c r="EG131" s="152"/>
      <c r="EH131" s="152"/>
      <c r="EI131" s="152"/>
      <c r="EJ131" s="152"/>
      <c r="EK131" s="152"/>
      <c r="EL131" s="152"/>
      <c r="EM131" s="152"/>
      <c r="EN131" s="152"/>
      <c r="EO131" s="152"/>
      <c r="EP131" s="152"/>
      <c r="EQ131" s="152"/>
      <c r="ER131" s="152"/>
    </row>
    <row r="132" ht="5.25" customHeight="1">
      <c r="A132" s="152"/>
      <c r="B132" s="152"/>
      <c r="C132" s="152"/>
      <c r="D132" s="152"/>
      <c r="E132" s="152"/>
      <c r="F132" s="152"/>
      <c r="G132" s="152"/>
      <c r="H132" s="152"/>
      <c r="I132" s="152"/>
      <c r="J132" s="152"/>
      <c r="K132" s="152"/>
      <c r="L132" s="152"/>
      <c r="Q132" s="152"/>
      <c r="R132" s="10"/>
      <c r="X132" s="203"/>
      <c r="BB132" s="203"/>
      <c r="BK132" s="203"/>
      <c r="BT132" s="203"/>
      <c r="CC132" s="203"/>
      <c r="CI132" s="203"/>
      <c r="CJ132" s="10"/>
      <c r="CR132" s="11"/>
      <c r="CS132" s="10"/>
      <c r="DA132" s="11"/>
      <c r="DB132" s="10"/>
      <c r="DJ132" s="11"/>
      <c r="DK132" s="10"/>
      <c r="DS132" s="11"/>
      <c r="DT132" s="10"/>
      <c r="EB132" s="11"/>
      <c r="EC132" s="152"/>
      <c r="ED132" s="152"/>
      <c r="EE132" s="152"/>
      <c r="EF132" s="152"/>
      <c r="EG132" s="152"/>
      <c r="EH132" s="152"/>
      <c r="EI132" s="152"/>
      <c r="EJ132" s="152"/>
      <c r="EK132" s="152"/>
      <c r="EL132" s="152"/>
      <c r="EM132" s="152"/>
      <c r="EN132" s="152"/>
      <c r="EO132" s="152"/>
      <c r="EP132" s="152"/>
      <c r="EQ132" s="152"/>
      <c r="ER132" s="152"/>
    </row>
    <row r="133" ht="5.25" customHeight="1">
      <c r="A133" s="152"/>
      <c r="B133" s="152"/>
      <c r="C133" s="152"/>
      <c r="D133" s="152"/>
      <c r="E133" s="152"/>
      <c r="F133" s="152"/>
      <c r="G133" s="152"/>
      <c r="H133" s="152"/>
      <c r="I133" s="152"/>
      <c r="J133" s="152"/>
      <c r="K133" s="152"/>
      <c r="L133" s="152"/>
      <c r="Q133" s="152"/>
      <c r="R133" s="10"/>
      <c r="X133" s="203"/>
      <c r="BB133" s="203"/>
      <c r="BK133" s="203"/>
      <c r="BT133" s="203"/>
      <c r="CC133" s="203"/>
      <c r="CI133" s="203"/>
      <c r="CJ133" s="10"/>
      <c r="CR133" s="11"/>
      <c r="CS133" s="10"/>
      <c r="DA133" s="11"/>
      <c r="DB133" s="10"/>
      <c r="DJ133" s="11"/>
      <c r="DK133" s="10"/>
      <c r="DS133" s="11"/>
      <c r="DT133" s="10"/>
      <c r="EB133" s="11"/>
      <c r="EC133" s="152"/>
      <c r="ED133" s="152"/>
      <c r="EE133" s="152"/>
      <c r="EF133" s="152"/>
      <c r="EG133" s="152"/>
      <c r="EH133" s="152"/>
      <c r="EI133" s="152"/>
      <c r="EJ133" s="152"/>
      <c r="EK133" s="152"/>
      <c r="EL133" s="152"/>
      <c r="EM133" s="152"/>
      <c r="EN133" s="152"/>
      <c r="EO133" s="152"/>
      <c r="EP133" s="152"/>
      <c r="EQ133" s="152"/>
      <c r="ER133" s="152"/>
    </row>
    <row r="134" ht="5.25" customHeight="1">
      <c r="A134" s="152"/>
      <c r="B134" s="152"/>
      <c r="C134" s="152"/>
      <c r="D134" s="152"/>
      <c r="E134" s="152"/>
      <c r="F134" s="152"/>
      <c r="G134" s="152"/>
      <c r="H134" s="152"/>
      <c r="I134" s="152"/>
      <c r="J134" s="152"/>
      <c r="K134" s="152"/>
      <c r="L134" s="152"/>
      <c r="Q134" s="152"/>
      <c r="R134" s="10"/>
      <c r="X134" s="203"/>
      <c r="BB134" s="203"/>
      <c r="BK134" s="203"/>
      <c r="BT134" s="203"/>
      <c r="CC134" s="203"/>
      <c r="CI134" s="203"/>
      <c r="CJ134" s="195" t="str">
        <f t="array" ref="CJ134">xlookup($Y130,qualdata!$N$2:$N$17,xlookup("r1gw",qualdata!$P$1:$BR$1,qualdata!$P$2:$BR$17))&amp;"-"&amp;xlookup($Y130,qualdata!$N$2:$N$17,xlookup("r1gl",qualdata!$P$1:$BR$1,qualdata!$P$2:$BR$17))</f>
        <v>-</v>
      </c>
      <c r="CN134" s="196"/>
      <c r="CO134" s="196">
        <f t="array" ref="CO134">if(xlookup($Y130,qualdata!$N$2:$N$17,xlookup("r1rd",qualdata!$P$1:$BR$1,qualdata!$P$2:$BR$17))&gt;0,"+"&amp;xlookup($Y130,qualdata!$N$2:$N$17,xlookup("r1rd",qualdata!$P$1:$BR$1,qualdata!$P$2:$BR$17)),xlookup($Y130,qualdata!$N$2:$N$17,xlookup("r1rd",qualdata!$P$1:$BR$1,qualdata!$P$2:$BR$17)))</f>
        <v>0</v>
      </c>
      <c r="CR134" s="11"/>
      <c r="CS134" s="195" t="str">
        <f t="array" ref="CS134">xlookup($Y130,qualdata!$N$2:$N$17,xlookup("r2gw",qualdata!$P$1:$BR$1,qualdata!$P$2:$BR$17))&amp;"-"&amp;xlookup($Y130,qualdata!$N$2:$N$17,xlookup("r2gl",qualdata!$P$1:$BR$1,qualdata!$P$2:$BR$17))</f>
        <v>-</v>
      </c>
      <c r="CW134" s="196"/>
      <c r="CX134" s="196">
        <f t="array" ref="CX134">if(xlookup($Y130,qualdata!$N$2:$N$17,xlookup("r2rd",qualdata!$P$1:$BR$1,qualdata!$P$2:$BR$17))&gt;0,"+"&amp;xlookup($Y130,qualdata!$N$2:$N$17,xlookup("r2rd",qualdata!$P$1:$BR$1,qualdata!$P$2:$BR$17)),xlookup($Y130,qualdata!$N$2:$N$17,xlookup("r2rd",qualdata!$P$1:$BR$1,qualdata!$P$2:$BR$17)))</f>
        <v>0</v>
      </c>
      <c r="DA134" s="11"/>
      <c r="DB134" s="195" t="str">
        <f t="array" ref="DB134">xlookup($Y130,qualdata!$N$2:$N$17,xlookup("r3gw",qualdata!$P$1:$BR$1,qualdata!$P$2:$BR$17))&amp;"-"&amp;xlookup($Y130,qualdata!$N$2:$N$17,xlookup("r3gl",qualdata!$P$1:$BR$1,qualdata!$P$2:$BR$17))</f>
        <v>-</v>
      </c>
      <c r="DF134" s="196"/>
      <c r="DG134" s="196">
        <f t="array" ref="DG134">if(xlookup($Y130,qualdata!$N$2:$N$17,xlookup("r3rd",qualdata!$P$1:$BR$1,qualdata!$P$2:$BR$17))&gt;0,"+"&amp;xlookup($Y130,qualdata!$N$2:$N$17,xlookup("r3rd",qualdata!$P$1:$BR$1,qualdata!$P$2:$BR$17)),xlookup($Y130,qualdata!$N$2:$N$17,xlookup("r3rd",qualdata!$P$1:$BR$1,qualdata!$P$2:$BR$17)))</f>
        <v>0</v>
      </c>
      <c r="DJ134" s="11"/>
      <c r="DK134" s="195"/>
      <c r="DO134" s="196"/>
      <c r="DP134" s="196"/>
      <c r="DS134" s="11"/>
      <c r="DT134" s="195"/>
      <c r="DX134" s="196"/>
      <c r="DY134" s="196"/>
      <c r="EB134" s="11"/>
      <c r="EC134" s="152"/>
      <c r="ED134" s="152"/>
      <c r="EE134" s="152"/>
      <c r="EF134" s="152"/>
      <c r="EG134" s="152"/>
      <c r="EH134" s="152"/>
      <c r="EI134" s="152"/>
      <c r="EJ134" s="152"/>
      <c r="EK134" s="152"/>
      <c r="EL134" s="152"/>
      <c r="EM134" s="152"/>
      <c r="EN134" s="152"/>
      <c r="EO134" s="152"/>
      <c r="EP134" s="152"/>
      <c r="EQ134" s="152"/>
      <c r="ER134" s="152"/>
    </row>
    <row r="135" ht="5.25" customHeight="1">
      <c r="A135" s="152"/>
      <c r="B135" s="152"/>
      <c r="C135" s="152"/>
      <c r="D135" s="152"/>
      <c r="E135" s="152"/>
      <c r="F135" s="152"/>
      <c r="G135" s="152"/>
      <c r="H135" s="152"/>
      <c r="I135" s="152"/>
      <c r="J135" s="152"/>
      <c r="K135" s="152"/>
      <c r="L135" s="152"/>
      <c r="Q135" s="152"/>
      <c r="R135" s="10"/>
      <c r="X135" s="203"/>
      <c r="BB135" s="203"/>
      <c r="BK135" s="203"/>
      <c r="BT135" s="203"/>
      <c r="CC135" s="203"/>
      <c r="CI135" s="203"/>
      <c r="CJ135" s="10"/>
      <c r="CR135" s="11"/>
      <c r="CS135" s="10"/>
      <c r="DA135" s="11"/>
      <c r="DB135" s="10"/>
      <c r="DJ135" s="11"/>
      <c r="DK135" s="10"/>
      <c r="DS135" s="11"/>
      <c r="DT135" s="10"/>
      <c r="EB135" s="11"/>
      <c r="EC135" s="152"/>
      <c r="ED135" s="152"/>
      <c r="EE135" s="152"/>
      <c r="EF135" s="152"/>
      <c r="EG135" s="152"/>
      <c r="EH135" s="152"/>
      <c r="EI135" s="152"/>
      <c r="EJ135" s="152"/>
      <c r="EK135" s="152"/>
      <c r="EL135" s="152"/>
      <c r="EM135" s="152"/>
      <c r="EN135" s="152"/>
      <c r="EO135" s="152"/>
      <c r="EP135" s="152"/>
      <c r="EQ135" s="152"/>
      <c r="ER135" s="152"/>
    </row>
    <row r="136" ht="5.25" customHeight="1">
      <c r="A136" s="152"/>
      <c r="B136" s="152"/>
      <c r="C136" s="152"/>
      <c r="D136" s="152"/>
      <c r="E136" s="152"/>
      <c r="F136" s="152"/>
      <c r="G136" s="152"/>
      <c r="H136" s="152"/>
      <c r="I136" s="152"/>
      <c r="J136" s="152"/>
      <c r="K136" s="152"/>
      <c r="L136" s="152"/>
      <c r="Q136" s="152"/>
      <c r="R136" s="208"/>
      <c r="S136" s="209"/>
      <c r="T136" s="209"/>
      <c r="U136" s="209"/>
      <c r="V136" s="209"/>
      <c r="W136" s="209"/>
      <c r="X136" s="209"/>
      <c r="Y136" s="209"/>
      <c r="Z136" s="209"/>
      <c r="AA136" s="209"/>
      <c r="AB136" s="209"/>
      <c r="AC136" s="209"/>
      <c r="AD136" s="209"/>
      <c r="AE136" s="209"/>
      <c r="AF136" s="209"/>
      <c r="AG136" s="209"/>
      <c r="AH136" s="209"/>
      <c r="AI136" s="209"/>
      <c r="AJ136" s="209"/>
      <c r="AK136" s="209"/>
      <c r="AL136" s="209"/>
      <c r="AM136" s="209"/>
      <c r="AN136" s="209"/>
      <c r="AO136" s="209"/>
      <c r="AP136" s="209"/>
      <c r="AQ136" s="209"/>
      <c r="AR136" s="209"/>
      <c r="AS136" s="209"/>
      <c r="AT136" s="209"/>
      <c r="AU136" s="209"/>
      <c r="AV136" s="209"/>
      <c r="AW136" s="209"/>
      <c r="AX136" s="209"/>
      <c r="AY136" s="209"/>
      <c r="AZ136" s="209"/>
      <c r="BA136" s="209"/>
      <c r="BB136" s="209"/>
      <c r="BC136" s="209"/>
      <c r="BD136" s="209"/>
      <c r="BE136" s="209"/>
      <c r="BF136" s="209"/>
      <c r="BG136" s="209"/>
      <c r="BH136" s="209"/>
      <c r="BI136" s="209"/>
      <c r="BJ136" s="209"/>
      <c r="BK136" s="209"/>
      <c r="BL136" s="209"/>
      <c r="BM136" s="209"/>
      <c r="BN136" s="209"/>
      <c r="BO136" s="209"/>
      <c r="BP136" s="209"/>
      <c r="BQ136" s="209"/>
      <c r="BR136" s="209"/>
      <c r="BS136" s="209"/>
      <c r="BT136" s="209"/>
      <c r="BU136" s="209"/>
      <c r="BV136" s="209"/>
      <c r="BW136" s="209"/>
      <c r="BX136" s="209"/>
      <c r="BY136" s="209"/>
      <c r="BZ136" s="209"/>
      <c r="CA136" s="209"/>
      <c r="CB136" s="209"/>
      <c r="CC136" s="209"/>
      <c r="CD136" s="209"/>
      <c r="CE136" s="209"/>
      <c r="CF136" s="209"/>
      <c r="CG136" s="209"/>
      <c r="CH136" s="209"/>
      <c r="CI136" s="209"/>
      <c r="CJ136" s="12"/>
      <c r="CK136" s="13"/>
      <c r="CL136" s="13"/>
      <c r="CM136" s="13"/>
      <c r="CN136" s="13"/>
      <c r="CO136" s="13"/>
      <c r="CP136" s="13"/>
      <c r="CQ136" s="13"/>
      <c r="CR136" s="14"/>
      <c r="CS136" s="12"/>
      <c r="CT136" s="13"/>
      <c r="CU136" s="13"/>
      <c r="CV136" s="13"/>
      <c r="CW136" s="13"/>
      <c r="CX136" s="13"/>
      <c r="CY136" s="13"/>
      <c r="CZ136" s="13"/>
      <c r="DA136" s="14"/>
      <c r="DB136" s="12"/>
      <c r="DC136" s="13"/>
      <c r="DD136" s="13"/>
      <c r="DE136" s="13"/>
      <c r="DF136" s="13"/>
      <c r="DG136" s="13"/>
      <c r="DH136" s="13"/>
      <c r="DI136" s="13"/>
      <c r="DJ136" s="14"/>
      <c r="DK136" s="12"/>
      <c r="DL136" s="13"/>
      <c r="DM136" s="13"/>
      <c r="DN136" s="13"/>
      <c r="DO136" s="13"/>
      <c r="DP136" s="13"/>
      <c r="DQ136" s="13"/>
      <c r="DR136" s="13"/>
      <c r="DS136" s="14"/>
      <c r="DT136" s="12"/>
      <c r="DU136" s="13"/>
      <c r="DV136" s="13"/>
      <c r="DW136" s="13"/>
      <c r="DX136" s="13"/>
      <c r="DY136" s="13"/>
      <c r="DZ136" s="13"/>
      <c r="EA136" s="13"/>
      <c r="EB136" s="14"/>
      <c r="EC136" s="152"/>
      <c r="ED136" s="152"/>
      <c r="EE136" s="152"/>
      <c r="EF136" s="152"/>
      <c r="EG136" s="152"/>
      <c r="EH136" s="152"/>
      <c r="EI136" s="152"/>
      <c r="EJ136" s="152"/>
      <c r="EK136" s="152"/>
      <c r="EL136" s="152"/>
      <c r="EM136" s="152"/>
      <c r="EN136" s="152"/>
      <c r="EO136" s="152"/>
      <c r="EP136" s="152"/>
      <c r="EQ136" s="152"/>
      <c r="ER136" s="152"/>
    </row>
    <row r="137" ht="5.25" customHeight="1">
      <c r="A137" s="152"/>
      <c r="B137" s="152"/>
      <c r="C137" s="152"/>
      <c r="D137" s="152"/>
      <c r="E137" s="152"/>
      <c r="F137" s="152"/>
      <c r="G137" s="152"/>
      <c r="H137" s="152"/>
      <c r="I137" s="152"/>
      <c r="J137" s="152"/>
      <c r="K137" s="152"/>
      <c r="L137" s="152"/>
      <c r="M137" s="152"/>
      <c r="N137" s="152"/>
      <c r="O137" s="152"/>
      <c r="P137" s="152"/>
      <c r="Q137" s="181">
        <v>17.0</v>
      </c>
      <c r="R137" s="152"/>
      <c r="S137" s="152"/>
      <c r="T137" s="152"/>
      <c r="U137" s="152"/>
      <c r="V137" s="152"/>
      <c r="W137" s="152"/>
      <c r="X137" s="152"/>
      <c r="Y137" s="152"/>
      <c r="Z137" s="152"/>
      <c r="AA137" s="152"/>
      <c r="AB137" s="152"/>
      <c r="AC137" s="152"/>
      <c r="AD137" s="152"/>
      <c r="AE137" s="152"/>
      <c r="AF137" s="152"/>
      <c r="AG137" s="152"/>
      <c r="AH137" s="152"/>
      <c r="AI137" s="152"/>
      <c r="AJ137" s="152"/>
      <c r="AK137" s="152"/>
      <c r="AL137" s="152"/>
      <c r="AM137" s="152"/>
      <c r="AN137" s="152"/>
      <c r="AO137" s="152"/>
      <c r="AP137" s="152"/>
      <c r="AQ137" s="152"/>
      <c r="AR137" s="152"/>
      <c r="AS137" s="152"/>
      <c r="AT137" s="152"/>
      <c r="AU137" s="152"/>
      <c r="AV137" s="152"/>
      <c r="AW137" s="152"/>
      <c r="AX137" s="152"/>
      <c r="AY137" s="152"/>
      <c r="AZ137" s="152"/>
      <c r="BA137" s="152"/>
      <c r="BB137" s="152"/>
      <c r="BC137" s="152"/>
      <c r="BD137" s="152"/>
      <c r="BE137" s="152"/>
      <c r="BF137" s="152"/>
      <c r="BG137" s="152"/>
      <c r="BH137" s="152"/>
      <c r="BI137" s="152"/>
      <c r="BJ137" s="152"/>
      <c r="BK137" s="152"/>
      <c r="BL137" s="152"/>
      <c r="BM137" s="152"/>
      <c r="BN137" s="152"/>
      <c r="BO137" s="152"/>
      <c r="BP137" s="152"/>
      <c r="BQ137" s="152"/>
      <c r="BR137" s="152"/>
      <c r="BS137" s="152"/>
      <c r="BT137" s="152"/>
      <c r="BU137" s="152"/>
      <c r="BV137" s="152"/>
      <c r="BW137" s="152"/>
      <c r="BX137" s="152"/>
      <c r="BY137" s="152"/>
      <c r="BZ137" s="152"/>
      <c r="CA137" s="152"/>
      <c r="CB137" s="152"/>
      <c r="CC137" s="152"/>
      <c r="CD137" s="152"/>
      <c r="CE137" s="152"/>
      <c r="CF137" s="152"/>
      <c r="CG137" s="152"/>
      <c r="CH137" s="152"/>
      <c r="CI137" s="152"/>
      <c r="CJ137" s="152"/>
      <c r="CK137" s="152"/>
      <c r="CL137" s="152"/>
      <c r="CM137" s="152"/>
      <c r="CN137" s="152"/>
      <c r="CO137" s="152"/>
      <c r="CP137" s="152"/>
      <c r="CQ137" s="152"/>
      <c r="CR137" s="152"/>
      <c r="CS137" s="152"/>
      <c r="CT137" s="152"/>
      <c r="CU137" s="152"/>
      <c r="CV137" s="152"/>
      <c r="CW137" s="152"/>
      <c r="CX137" s="152"/>
      <c r="CY137" s="152"/>
      <c r="CZ137" s="152"/>
      <c r="DA137" s="152"/>
      <c r="DB137" s="152"/>
      <c r="DC137" s="152"/>
      <c r="DD137" s="152"/>
      <c r="DE137" s="152"/>
      <c r="DF137" s="152"/>
      <c r="DG137" s="152"/>
      <c r="DH137" s="152"/>
      <c r="DI137" s="152"/>
      <c r="DJ137" s="152"/>
      <c r="DK137" s="152"/>
      <c r="DL137" s="152"/>
      <c r="DM137" s="152"/>
      <c r="DN137" s="152"/>
      <c r="DO137" s="152"/>
      <c r="DP137" s="152"/>
      <c r="DQ137" s="152"/>
      <c r="DR137" s="152"/>
      <c r="DS137" s="152"/>
      <c r="DT137" s="152"/>
      <c r="DU137" s="152"/>
      <c r="DV137" s="152"/>
      <c r="DW137" s="152"/>
      <c r="DX137" s="152"/>
      <c r="DY137" s="152"/>
      <c r="DZ137" s="152"/>
      <c r="EA137" s="152"/>
      <c r="EB137" s="152"/>
      <c r="EC137" s="152"/>
      <c r="ED137" s="152"/>
      <c r="EE137" s="152"/>
      <c r="EF137" s="152"/>
      <c r="EG137" s="152"/>
      <c r="EH137" s="152"/>
      <c r="EI137" s="152"/>
      <c r="EJ137" s="152"/>
      <c r="EK137" s="152"/>
      <c r="EL137" s="152"/>
      <c r="EM137" s="152"/>
      <c r="EN137" s="152"/>
      <c r="EO137" s="152"/>
      <c r="EP137" s="152"/>
      <c r="EQ137" s="152"/>
      <c r="ER137" s="152"/>
    </row>
    <row r="138" ht="5.25" customHeight="1">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c r="AA138" s="152"/>
      <c r="AB138" s="152"/>
      <c r="AC138" s="152"/>
      <c r="AD138" s="152"/>
      <c r="AE138" s="152"/>
      <c r="AF138" s="152"/>
      <c r="AG138" s="152"/>
      <c r="AH138" s="152"/>
      <c r="AI138" s="152"/>
      <c r="AJ138" s="152"/>
      <c r="AK138" s="152"/>
      <c r="AL138" s="152"/>
      <c r="AM138" s="152"/>
      <c r="AN138" s="152"/>
      <c r="AO138" s="152"/>
      <c r="AP138" s="152"/>
      <c r="AQ138" s="152"/>
      <c r="AR138" s="152"/>
      <c r="AS138" s="152"/>
      <c r="AT138" s="152"/>
      <c r="AU138" s="152"/>
      <c r="AV138" s="152"/>
      <c r="AW138" s="152"/>
      <c r="AX138" s="152"/>
      <c r="AY138" s="152"/>
      <c r="AZ138" s="152"/>
      <c r="BA138" s="152"/>
      <c r="BB138" s="152"/>
      <c r="BC138" s="152"/>
      <c r="BD138" s="152"/>
      <c r="BE138" s="152"/>
      <c r="BF138" s="152"/>
      <c r="BG138" s="152"/>
      <c r="BH138" s="152"/>
      <c r="BI138" s="152"/>
      <c r="BJ138" s="152"/>
      <c r="BK138" s="152"/>
      <c r="BL138" s="152"/>
      <c r="BM138" s="152"/>
      <c r="BN138" s="152"/>
      <c r="BO138" s="152"/>
      <c r="BP138" s="152"/>
      <c r="BQ138" s="152"/>
      <c r="BR138" s="152"/>
      <c r="BS138" s="152"/>
      <c r="BT138" s="152"/>
      <c r="BU138" s="152"/>
      <c r="BV138" s="152"/>
      <c r="BW138" s="152"/>
      <c r="BX138" s="152"/>
      <c r="BY138" s="152"/>
      <c r="BZ138" s="152"/>
      <c r="CA138" s="152"/>
      <c r="CB138" s="152"/>
      <c r="CC138" s="152"/>
      <c r="CD138" s="152"/>
      <c r="CE138" s="152"/>
      <c r="CF138" s="152"/>
      <c r="CG138" s="152"/>
      <c r="CH138" s="152"/>
      <c r="CI138" s="152"/>
      <c r="CJ138" s="152"/>
      <c r="CK138" s="152"/>
      <c r="CL138" s="152"/>
      <c r="CM138" s="152"/>
      <c r="CN138" s="152"/>
      <c r="CO138" s="152"/>
      <c r="CP138" s="152"/>
      <c r="CQ138" s="152"/>
      <c r="CR138" s="152"/>
      <c r="CS138" s="152"/>
      <c r="CT138" s="152"/>
      <c r="CU138" s="152"/>
      <c r="CV138" s="152"/>
      <c r="CW138" s="152"/>
      <c r="CX138" s="152"/>
      <c r="CY138" s="152"/>
      <c r="CZ138" s="152"/>
      <c r="DA138" s="152"/>
      <c r="DB138" s="152"/>
      <c r="DC138" s="152"/>
      <c r="DD138" s="152"/>
      <c r="DE138" s="152"/>
      <c r="DF138" s="152"/>
      <c r="DG138" s="152"/>
      <c r="DH138" s="152"/>
      <c r="DI138" s="152"/>
      <c r="DJ138" s="152"/>
      <c r="DK138" s="152"/>
      <c r="DL138" s="152"/>
      <c r="DM138" s="152"/>
      <c r="DN138" s="152"/>
      <c r="DO138" s="152"/>
      <c r="DP138" s="152"/>
      <c r="DQ138" s="152"/>
      <c r="DR138" s="152"/>
      <c r="DS138" s="152"/>
      <c r="DT138" s="152"/>
      <c r="DU138" s="152"/>
      <c r="DV138" s="152"/>
      <c r="DW138" s="152"/>
      <c r="DX138" s="152"/>
      <c r="DY138" s="152"/>
      <c r="DZ138" s="152"/>
      <c r="EA138" s="152"/>
      <c r="EB138" s="152"/>
      <c r="EC138" s="152"/>
      <c r="ED138" s="152"/>
      <c r="EE138" s="152"/>
      <c r="EF138" s="152"/>
      <c r="EG138" s="152"/>
      <c r="EH138" s="152"/>
      <c r="EI138" s="152"/>
      <c r="EJ138" s="152"/>
      <c r="EK138" s="152"/>
      <c r="EL138" s="152"/>
      <c r="EM138" s="152"/>
      <c r="EN138" s="152"/>
      <c r="EO138" s="152"/>
      <c r="EP138" s="152"/>
      <c r="EQ138" s="152"/>
      <c r="ER138" s="152"/>
    </row>
    <row r="139" ht="5.25" customHeight="1">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c r="AA139" s="152"/>
      <c r="AB139" s="152"/>
      <c r="AC139" s="152"/>
      <c r="AD139" s="152"/>
      <c r="AE139" s="152"/>
      <c r="AF139" s="152"/>
      <c r="AG139" s="152"/>
      <c r="AH139" s="152"/>
      <c r="AI139" s="152"/>
      <c r="AJ139" s="152"/>
      <c r="AK139" s="152"/>
      <c r="AL139" s="152"/>
      <c r="AM139" s="152"/>
      <c r="AN139" s="152"/>
      <c r="AO139" s="152"/>
      <c r="AP139" s="152"/>
      <c r="AQ139" s="152"/>
      <c r="AR139" s="152"/>
      <c r="AS139" s="152"/>
      <c r="AT139" s="152"/>
      <c r="AU139" s="152"/>
      <c r="AV139" s="152"/>
      <c r="AW139" s="152"/>
      <c r="AX139" s="152"/>
      <c r="AY139" s="152"/>
      <c r="AZ139" s="152"/>
      <c r="BA139" s="152"/>
      <c r="BB139" s="152"/>
      <c r="BC139" s="152"/>
      <c r="BD139" s="152"/>
      <c r="BE139" s="152"/>
      <c r="BF139" s="152"/>
      <c r="BG139" s="152"/>
      <c r="BH139" s="152"/>
      <c r="BI139" s="152"/>
      <c r="BJ139" s="152"/>
      <c r="BK139" s="152"/>
      <c r="BL139" s="152"/>
      <c r="BM139" s="152"/>
      <c r="BN139" s="152"/>
      <c r="BO139" s="152"/>
      <c r="BP139" s="152"/>
      <c r="BQ139" s="152"/>
      <c r="BR139" s="152"/>
      <c r="BS139" s="152"/>
      <c r="BT139" s="152"/>
      <c r="BU139" s="152"/>
      <c r="BV139" s="152"/>
      <c r="BW139" s="152"/>
      <c r="BX139" s="152"/>
      <c r="BY139" s="152"/>
      <c r="BZ139" s="152"/>
      <c r="CA139" s="152"/>
      <c r="CB139" s="152"/>
      <c r="CC139" s="152"/>
      <c r="CD139" s="152"/>
      <c r="CE139" s="152"/>
      <c r="CF139" s="152"/>
      <c r="CG139" s="152"/>
      <c r="CH139" s="152"/>
      <c r="CI139" s="152"/>
      <c r="CJ139" s="152"/>
      <c r="CK139" s="152"/>
      <c r="CL139" s="152"/>
      <c r="CM139" s="152"/>
      <c r="CN139" s="152"/>
      <c r="CO139" s="152"/>
      <c r="CP139" s="152"/>
      <c r="CQ139" s="152"/>
      <c r="CR139" s="152"/>
      <c r="CS139" s="152"/>
      <c r="CT139" s="152"/>
      <c r="CU139" s="152"/>
      <c r="CV139" s="152"/>
      <c r="CW139" s="152"/>
      <c r="CX139" s="152"/>
      <c r="CY139" s="152"/>
      <c r="CZ139" s="152"/>
      <c r="DA139" s="152"/>
      <c r="DB139" s="152"/>
      <c r="DC139" s="152"/>
      <c r="DD139" s="152"/>
      <c r="DE139" s="152"/>
      <c r="DF139" s="152"/>
      <c r="DG139" s="152"/>
      <c r="DH139" s="152"/>
      <c r="DI139" s="152"/>
      <c r="DJ139" s="152"/>
      <c r="DK139" s="152"/>
      <c r="DL139" s="152"/>
      <c r="DM139" s="152"/>
      <c r="DN139" s="152"/>
      <c r="DO139" s="152"/>
      <c r="DP139" s="152"/>
      <c r="DQ139" s="152"/>
      <c r="DR139" s="152"/>
      <c r="DS139" s="152"/>
      <c r="DT139" s="152"/>
      <c r="DU139" s="152"/>
      <c r="DV139" s="152"/>
      <c r="DW139" s="152"/>
      <c r="DX139" s="152"/>
      <c r="DY139" s="152"/>
      <c r="DZ139" s="152"/>
      <c r="EA139" s="152"/>
      <c r="EB139" s="152"/>
      <c r="EC139" s="152"/>
      <c r="ED139" s="152"/>
      <c r="EE139" s="152"/>
      <c r="EF139" s="152"/>
      <c r="EG139" s="152"/>
      <c r="EH139" s="152"/>
      <c r="EI139" s="152"/>
      <c r="EJ139" s="152"/>
      <c r="EK139" s="152"/>
      <c r="EL139" s="152"/>
      <c r="EM139" s="152"/>
      <c r="EN139" s="152"/>
      <c r="EO139" s="152"/>
      <c r="EP139" s="152"/>
      <c r="EQ139" s="152"/>
      <c r="ER139" s="152"/>
    </row>
  </sheetData>
  <mergeCells count="603">
    <mergeCell ref="CS2:DA7"/>
    <mergeCell ref="DB2:DJ7"/>
    <mergeCell ref="DK2:DS7"/>
    <mergeCell ref="DT2:EB7"/>
    <mergeCell ref="CJ2:CR7"/>
    <mergeCell ref="CJ9:CK13"/>
    <mergeCell ref="CL9:CP13"/>
    <mergeCell ref="CQ9:CR13"/>
    <mergeCell ref="CS9:CT13"/>
    <mergeCell ref="CU9:CY13"/>
    <mergeCell ref="CZ9:DA13"/>
    <mergeCell ref="DV9:DZ13"/>
    <mergeCell ref="EA9:EB13"/>
    <mergeCell ref="DB9:DC13"/>
    <mergeCell ref="DD9:DH13"/>
    <mergeCell ref="DI9:DJ13"/>
    <mergeCell ref="DK9:DL13"/>
    <mergeCell ref="DM9:DQ13"/>
    <mergeCell ref="DR9:DS13"/>
    <mergeCell ref="DT9:DU13"/>
    <mergeCell ref="R10:W15"/>
    <mergeCell ref="Y10:BA15"/>
    <mergeCell ref="BC10:BJ15"/>
    <mergeCell ref="BL10:BS15"/>
    <mergeCell ref="DT14:DW16"/>
    <mergeCell ref="DX14:DX16"/>
    <mergeCell ref="DY14:EB16"/>
    <mergeCell ref="CX14:DA16"/>
    <mergeCell ref="DB14:DE16"/>
    <mergeCell ref="DF14:DF16"/>
    <mergeCell ref="DG14:DJ16"/>
    <mergeCell ref="DK14:DN16"/>
    <mergeCell ref="DO14:DO16"/>
    <mergeCell ref="DP14:DS16"/>
    <mergeCell ref="CJ17:CK21"/>
    <mergeCell ref="CJ22:CM24"/>
    <mergeCell ref="CN22:CN24"/>
    <mergeCell ref="CW22:CW24"/>
    <mergeCell ref="CX22:DA24"/>
    <mergeCell ref="CD2:CH7"/>
    <mergeCell ref="CL17:CP21"/>
    <mergeCell ref="CQ17:CR21"/>
    <mergeCell ref="CS17:CT21"/>
    <mergeCell ref="CU17:CY21"/>
    <mergeCell ref="CZ17:DA21"/>
    <mergeCell ref="CD18:CH23"/>
    <mergeCell ref="DP22:DS24"/>
    <mergeCell ref="DT22:DW24"/>
    <mergeCell ref="DX22:DX24"/>
    <mergeCell ref="DY22:EB24"/>
    <mergeCell ref="CO22:CR24"/>
    <mergeCell ref="CS22:CV24"/>
    <mergeCell ref="DB22:DE24"/>
    <mergeCell ref="DF22:DF24"/>
    <mergeCell ref="DG22:DJ24"/>
    <mergeCell ref="DK22:DN24"/>
    <mergeCell ref="DO22:DO24"/>
    <mergeCell ref="CJ25:CK29"/>
    <mergeCell ref="CJ30:CM32"/>
    <mergeCell ref="CN30:CN32"/>
    <mergeCell ref="CO30:CR32"/>
    <mergeCell ref="CS30:CV32"/>
    <mergeCell ref="CW30:CW32"/>
    <mergeCell ref="CX30:DA32"/>
    <mergeCell ref="CL25:CP29"/>
    <mergeCell ref="CQ25:CR29"/>
    <mergeCell ref="CS25:CT29"/>
    <mergeCell ref="CU25:CY29"/>
    <mergeCell ref="CZ25:DA29"/>
    <mergeCell ref="DB25:DC29"/>
    <mergeCell ref="CD26:CH31"/>
    <mergeCell ref="DI25:DJ29"/>
    <mergeCell ref="DK25:DL29"/>
    <mergeCell ref="DM25:DQ29"/>
    <mergeCell ref="DR25:DS29"/>
    <mergeCell ref="DT25:DU29"/>
    <mergeCell ref="DV25:DZ29"/>
    <mergeCell ref="EA25:EB29"/>
    <mergeCell ref="DY30:EB32"/>
    <mergeCell ref="DD25:DH29"/>
    <mergeCell ref="DB30:DE32"/>
    <mergeCell ref="DF30:DF32"/>
    <mergeCell ref="DG30:DJ32"/>
    <mergeCell ref="DK30:DN32"/>
    <mergeCell ref="DO30:DO32"/>
    <mergeCell ref="DP30:DS32"/>
    <mergeCell ref="CZ33:DA37"/>
    <mergeCell ref="DB33:DC37"/>
    <mergeCell ref="DD33:DH37"/>
    <mergeCell ref="DI33:DJ37"/>
    <mergeCell ref="DK33:DL37"/>
    <mergeCell ref="DM33:DQ37"/>
    <mergeCell ref="DR33:DS37"/>
    <mergeCell ref="DT33:DU37"/>
    <mergeCell ref="DT30:DW32"/>
    <mergeCell ref="DX30:DX32"/>
    <mergeCell ref="CJ33:CK37"/>
    <mergeCell ref="CL33:CP37"/>
    <mergeCell ref="CQ33:CR37"/>
    <mergeCell ref="CS33:CT37"/>
    <mergeCell ref="CU33:CY37"/>
    <mergeCell ref="DB38:DE40"/>
    <mergeCell ref="DF38:DF40"/>
    <mergeCell ref="CD34:CH39"/>
    <mergeCell ref="CJ38:CM40"/>
    <mergeCell ref="CN38:CN40"/>
    <mergeCell ref="CO38:CR40"/>
    <mergeCell ref="CS38:CV40"/>
    <mergeCell ref="CW38:CW40"/>
    <mergeCell ref="CX38:DA40"/>
    <mergeCell ref="CJ65:CK69"/>
    <mergeCell ref="CL65:CP69"/>
    <mergeCell ref="CQ65:CR69"/>
    <mergeCell ref="CS65:CT69"/>
    <mergeCell ref="CU65:CY69"/>
    <mergeCell ref="CZ65:DA69"/>
    <mergeCell ref="DB65:DC69"/>
    <mergeCell ref="BU66:CB71"/>
    <mergeCell ref="CD66:CH71"/>
    <mergeCell ref="CJ70:CM72"/>
    <mergeCell ref="CN70:CN72"/>
    <mergeCell ref="CO70:CR72"/>
    <mergeCell ref="CS70:CV72"/>
    <mergeCell ref="CW70:CW72"/>
    <mergeCell ref="DT78:DW80"/>
    <mergeCell ref="DX78:DX80"/>
    <mergeCell ref="DY78:EB80"/>
    <mergeCell ref="CX78:DA80"/>
    <mergeCell ref="DB78:DE80"/>
    <mergeCell ref="DF78:DF80"/>
    <mergeCell ref="DG78:DJ80"/>
    <mergeCell ref="DK78:DN80"/>
    <mergeCell ref="DO78:DO80"/>
    <mergeCell ref="DP78:DS80"/>
    <mergeCell ref="BU74:CB79"/>
    <mergeCell ref="CD74:CH79"/>
    <mergeCell ref="CJ78:CM80"/>
    <mergeCell ref="CN78:CN80"/>
    <mergeCell ref="CO78:CR80"/>
    <mergeCell ref="CS78:CV80"/>
    <mergeCell ref="CW78:CW80"/>
    <mergeCell ref="DD81:DH85"/>
    <mergeCell ref="DI81:DJ85"/>
    <mergeCell ref="DK81:DL85"/>
    <mergeCell ref="DM81:DQ85"/>
    <mergeCell ref="DR81:DS85"/>
    <mergeCell ref="DT81:DU85"/>
    <mergeCell ref="DV81:DZ85"/>
    <mergeCell ref="EA81:EB85"/>
    <mergeCell ref="DT86:DW88"/>
    <mergeCell ref="DX86:DX88"/>
    <mergeCell ref="DY86:EB88"/>
    <mergeCell ref="CX86:DA88"/>
    <mergeCell ref="DB86:DE88"/>
    <mergeCell ref="DF86:DF88"/>
    <mergeCell ref="DG86:DJ88"/>
    <mergeCell ref="DK86:DN88"/>
    <mergeCell ref="DO86:DO88"/>
    <mergeCell ref="DP86:DS88"/>
    <mergeCell ref="CJ81:CK85"/>
    <mergeCell ref="CL81:CP85"/>
    <mergeCell ref="CQ81:CR85"/>
    <mergeCell ref="CS81:CT85"/>
    <mergeCell ref="CU81:CY85"/>
    <mergeCell ref="CZ81:DA85"/>
    <mergeCell ref="DB81:DC85"/>
    <mergeCell ref="BU82:CB87"/>
    <mergeCell ref="CD82:CH87"/>
    <mergeCell ref="CJ86:CM88"/>
    <mergeCell ref="CN86:CN88"/>
    <mergeCell ref="CO86:CR88"/>
    <mergeCell ref="CS86:CV88"/>
    <mergeCell ref="CW86:CW88"/>
    <mergeCell ref="DD89:DH93"/>
    <mergeCell ref="DI89:DJ93"/>
    <mergeCell ref="DK89:DL93"/>
    <mergeCell ref="DM89:DQ93"/>
    <mergeCell ref="DR89:DS93"/>
    <mergeCell ref="DT89:DU93"/>
    <mergeCell ref="DV89:DZ93"/>
    <mergeCell ref="EA89:EB93"/>
    <mergeCell ref="CJ89:CK93"/>
    <mergeCell ref="CL89:CP93"/>
    <mergeCell ref="CQ89:CR93"/>
    <mergeCell ref="CS89:CT93"/>
    <mergeCell ref="CU89:CY93"/>
    <mergeCell ref="CZ89:DA93"/>
    <mergeCell ref="DB89:DC93"/>
    <mergeCell ref="DT94:DW96"/>
    <mergeCell ref="DX94:DX96"/>
    <mergeCell ref="DY94:EB96"/>
    <mergeCell ref="CX94:DA96"/>
    <mergeCell ref="DB94:DE96"/>
    <mergeCell ref="DF94:DF96"/>
    <mergeCell ref="DG94:DJ96"/>
    <mergeCell ref="DK94:DN96"/>
    <mergeCell ref="DO94:DO96"/>
    <mergeCell ref="DP94:DS96"/>
    <mergeCell ref="BU90:CB95"/>
    <mergeCell ref="CD90:CH95"/>
    <mergeCell ref="CJ94:CM96"/>
    <mergeCell ref="CN94:CN96"/>
    <mergeCell ref="CO94:CR96"/>
    <mergeCell ref="CS94:CV96"/>
    <mergeCell ref="CW94:CW96"/>
    <mergeCell ref="CJ105:CK109"/>
    <mergeCell ref="CL105:CP109"/>
    <mergeCell ref="CQ105:CR109"/>
    <mergeCell ref="CS105:CT109"/>
    <mergeCell ref="CU105:CY109"/>
    <mergeCell ref="CZ105:DA109"/>
    <mergeCell ref="DB105:DC109"/>
    <mergeCell ref="BU106:CB111"/>
    <mergeCell ref="CD106:CH111"/>
    <mergeCell ref="CJ110:CM112"/>
    <mergeCell ref="CN110:CN112"/>
    <mergeCell ref="CO110:CR112"/>
    <mergeCell ref="CS110:CV112"/>
    <mergeCell ref="CW110:CW112"/>
    <mergeCell ref="DD97:DH101"/>
    <mergeCell ref="DI97:DJ101"/>
    <mergeCell ref="DK97:DL101"/>
    <mergeCell ref="DM97:DQ101"/>
    <mergeCell ref="DR97:DS101"/>
    <mergeCell ref="DT97:DU101"/>
    <mergeCell ref="DV97:DZ101"/>
    <mergeCell ref="EA97:EB101"/>
    <mergeCell ref="CJ97:CK101"/>
    <mergeCell ref="CL97:CP101"/>
    <mergeCell ref="CQ97:CR101"/>
    <mergeCell ref="CS97:CT101"/>
    <mergeCell ref="CU97:CY101"/>
    <mergeCell ref="CZ97:DA101"/>
    <mergeCell ref="DB97:DC101"/>
    <mergeCell ref="DT102:DW104"/>
    <mergeCell ref="DX102:DX104"/>
    <mergeCell ref="DY102:EB104"/>
    <mergeCell ref="CX102:DA104"/>
    <mergeCell ref="DB102:DE104"/>
    <mergeCell ref="DF102:DF104"/>
    <mergeCell ref="DG102:DJ104"/>
    <mergeCell ref="DK102:DN104"/>
    <mergeCell ref="DO102:DO104"/>
    <mergeCell ref="DP102:DS104"/>
    <mergeCell ref="BU98:CB103"/>
    <mergeCell ref="CD98:CH103"/>
    <mergeCell ref="CJ102:CM104"/>
    <mergeCell ref="CN102:CN104"/>
    <mergeCell ref="CO102:CR104"/>
    <mergeCell ref="CS102:CV104"/>
    <mergeCell ref="CW102:CW104"/>
    <mergeCell ref="DD105:DH109"/>
    <mergeCell ref="DI105:DJ109"/>
    <mergeCell ref="DK105:DL109"/>
    <mergeCell ref="DM105:DQ109"/>
    <mergeCell ref="DR105:DS109"/>
    <mergeCell ref="DT105:DU109"/>
    <mergeCell ref="DV105:DZ109"/>
    <mergeCell ref="EA105:EB109"/>
    <mergeCell ref="DT110:DW112"/>
    <mergeCell ref="DX110:DX112"/>
    <mergeCell ref="DY110:EB112"/>
    <mergeCell ref="CX110:DA112"/>
    <mergeCell ref="DB110:DE112"/>
    <mergeCell ref="DF110:DF112"/>
    <mergeCell ref="DG110:DJ112"/>
    <mergeCell ref="DK110:DN112"/>
    <mergeCell ref="DO110:DO112"/>
    <mergeCell ref="DP110:DS112"/>
    <mergeCell ref="CS46:CV48"/>
    <mergeCell ref="CW46:CW48"/>
    <mergeCell ref="CJ49:CK53"/>
    <mergeCell ref="CL49:CP53"/>
    <mergeCell ref="CQ49:CR53"/>
    <mergeCell ref="CS49:CT53"/>
    <mergeCell ref="CU49:CY53"/>
    <mergeCell ref="DD57:DH61"/>
    <mergeCell ref="DI57:DJ61"/>
    <mergeCell ref="DK57:DL61"/>
    <mergeCell ref="DM57:DQ61"/>
    <mergeCell ref="DR57:DS61"/>
    <mergeCell ref="DT57:DU61"/>
    <mergeCell ref="DV57:DZ61"/>
    <mergeCell ref="EA57:EB61"/>
    <mergeCell ref="CN54:CN56"/>
    <mergeCell ref="CO54:CR56"/>
    <mergeCell ref="CS54:CV56"/>
    <mergeCell ref="CW54:CW56"/>
    <mergeCell ref="CX54:DA56"/>
    <mergeCell ref="DB54:DE56"/>
    <mergeCell ref="DF54:DF56"/>
    <mergeCell ref="CJ54:CM56"/>
    <mergeCell ref="CL57:CP61"/>
    <mergeCell ref="CQ57:CR61"/>
    <mergeCell ref="CS57:CT61"/>
    <mergeCell ref="CU57:CY61"/>
    <mergeCell ref="CZ57:DA61"/>
    <mergeCell ref="DB57:DC61"/>
    <mergeCell ref="DG62:DJ64"/>
    <mergeCell ref="DK62:DN64"/>
    <mergeCell ref="DO62:DO64"/>
    <mergeCell ref="DP62:DS64"/>
    <mergeCell ref="DT62:DW64"/>
    <mergeCell ref="DX62:DX64"/>
    <mergeCell ref="DY62:EB64"/>
    <mergeCell ref="CJ57:CK61"/>
    <mergeCell ref="CJ62:CM64"/>
    <mergeCell ref="CN62:CN64"/>
    <mergeCell ref="CO62:CR64"/>
    <mergeCell ref="CS62:CV64"/>
    <mergeCell ref="CW62:CW64"/>
    <mergeCell ref="CX62:DA64"/>
    <mergeCell ref="DD65:DH69"/>
    <mergeCell ref="DI65:DJ69"/>
    <mergeCell ref="DK65:DL69"/>
    <mergeCell ref="DM65:DQ69"/>
    <mergeCell ref="DR65:DS69"/>
    <mergeCell ref="DT65:DU69"/>
    <mergeCell ref="DV65:DZ69"/>
    <mergeCell ref="EA65:EB69"/>
    <mergeCell ref="DT70:DW72"/>
    <mergeCell ref="DX70:DX72"/>
    <mergeCell ref="DY70:EB72"/>
    <mergeCell ref="CX70:DA72"/>
    <mergeCell ref="DB70:DE72"/>
    <mergeCell ref="DF70:DF72"/>
    <mergeCell ref="DG70:DJ72"/>
    <mergeCell ref="DK70:DN72"/>
    <mergeCell ref="DO70:DO72"/>
    <mergeCell ref="DP70:DS72"/>
    <mergeCell ref="DD113:DH117"/>
    <mergeCell ref="DI113:DJ117"/>
    <mergeCell ref="DK113:DL117"/>
    <mergeCell ref="DM113:DQ117"/>
    <mergeCell ref="DR113:DS117"/>
    <mergeCell ref="DT113:DU117"/>
    <mergeCell ref="DV113:DZ117"/>
    <mergeCell ref="EA113:EB117"/>
    <mergeCell ref="DK126:DN128"/>
    <mergeCell ref="DO126:DO128"/>
    <mergeCell ref="CO126:CR128"/>
    <mergeCell ref="CS126:CV128"/>
    <mergeCell ref="CW126:CW128"/>
    <mergeCell ref="CX126:DA128"/>
    <mergeCell ref="DB126:DE128"/>
    <mergeCell ref="DF126:DF128"/>
    <mergeCell ref="DG126:DJ128"/>
    <mergeCell ref="CL113:CP117"/>
    <mergeCell ref="CQ113:CR117"/>
    <mergeCell ref="CS113:CT117"/>
    <mergeCell ref="CU113:CY117"/>
    <mergeCell ref="CZ113:DA117"/>
    <mergeCell ref="DB113:DC117"/>
    <mergeCell ref="CD114:CH119"/>
    <mergeCell ref="DK118:DN120"/>
    <mergeCell ref="DO118:DO120"/>
    <mergeCell ref="DP118:DS120"/>
    <mergeCell ref="DT118:DW120"/>
    <mergeCell ref="DX118:DX120"/>
    <mergeCell ref="DY118:EB120"/>
    <mergeCell ref="CO118:CR120"/>
    <mergeCell ref="CS118:CV120"/>
    <mergeCell ref="CW118:CW120"/>
    <mergeCell ref="CX118:DA120"/>
    <mergeCell ref="DB118:DE120"/>
    <mergeCell ref="DF118:DF120"/>
    <mergeCell ref="DG118:DJ120"/>
    <mergeCell ref="DR121:DS125"/>
    <mergeCell ref="DT121:DU125"/>
    <mergeCell ref="DV121:DZ125"/>
    <mergeCell ref="EA121:EB125"/>
    <mergeCell ref="DP126:DS128"/>
    <mergeCell ref="DT126:DW128"/>
    <mergeCell ref="DX126:DX128"/>
    <mergeCell ref="DY126:EB128"/>
    <mergeCell ref="CU121:CY125"/>
    <mergeCell ref="CZ121:DA125"/>
    <mergeCell ref="DB121:DC125"/>
    <mergeCell ref="DD121:DH125"/>
    <mergeCell ref="DI121:DJ125"/>
    <mergeCell ref="DK121:DL125"/>
    <mergeCell ref="DM121:DQ125"/>
    <mergeCell ref="CJ121:CK125"/>
    <mergeCell ref="CJ126:CM128"/>
    <mergeCell ref="CN126:CN128"/>
    <mergeCell ref="CJ113:CK117"/>
    <mergeCell ref="CJ118:CM120"/>
    <mergeCell ref="CN118:CN120"/>
    <mergeCell ref="CL121:CP125"/>
    <mergeCell ref="CQ121:CR125"/>
    <mergeCell ref="CS121:CT125"/>
    <mergeCell ref="CD122:CH127"/>
    <mergeCell ref="DV41:DZ45"/>
    <mergeCell ref="EA41:EB45"/>
    <mergeCell ref="DB41:DC45"/>
    <mergeCell ref="DD41:DH45"/>
    <mergeCell ref="DI41:DJ45"/>
    <mergeCell ref="DK41:DL45"/>
    <mergeCell ref="DM41:DQ45"/>
    <mergeCell ref="DR41:DS45"/>
    <mergeCell ref="DT41:DU45"/>
    <mergeCell ref="DT46:DW48"/>
    <mergeCell ref="DX46:DX48"/>
    <mergeCell ref="DY46:EB48"/>
    <mergeCell ref="CX46:DA48"/>
    <mergeCell ref="DB46:DE48"/>
    <mergeCell ref="DF46:DF48"/>
    <mergeCell ref="DG46:DJ48"/>
    <mergeCell ref="DK46:DN48"/>
    <mergeCell ref="DO46:DO48"/>
    <mergeCell ref="DP46:DS48"/>
    <mergeCell ref="DI49:DJ53"/>
    <mergeCell ref="DG54:DJ56"/>
    <mergeCell ref="DK54:DN56"/>
    <mergeCell ref="DO54:DO56"/>
    <mergeCell ref="DP54:DS56"/>
    <mergeCell ref="DT54:DW56"/>
    <mergeCell ref="DX54:DX56"/>
    <mergeCell ref="DY54:EB56"/>
    <mergeCell ref="DD49:DH53"/>
    <mergeCell ref="DK49:DL53"/>
    <mergeCell ref="DM49:DQ53"/>
    <mergeCell ref="DR49:DS53"/>
    <mergeCell ref="DT49:DU53"/>
    <mergeCell ref="DV49:DZ53"/>
    <mergeCell ref="EA49:EB53"/>
    <mergeCell ref="BU10:CB15"/>
    <mergeCell ref="CD10:CH15"/>
    <mergeCell ref="CJ14:CM16"/>
    <mergeCell ref="CN14:CN16"/>
    <mergeCell ref="CO14:CR16"/>
    <mergeCell ref="CS14:CV16"/>
    <mergeCell ref="CW14:CW16"/>
    <mergeCell ref="DV17:DZ21"/>
    <mergeCell ref="EA17:EB21"/>
    <mergeCell ref="DV33:DZ37"/>
    <mergeCell ref="EA33:EB37"/>
    <mergeCell ref="BC18:BJ23"/>
    <mergeCell ref="BL18:BS23"/>
    <mergeCell ref="M2:P7"/>
    <mergeCell ref="R2:BA7"/>
    <mergeCell ref="BC2:BJ7"/>
    <mergeCell ref="BL2:BS7"/>
    <mergeCell ref="BU2:CB7"/>
    <mergeCell ref="M9:P16"/>
    <mergeCell ref="M17:P24"/>
    <mergeCell ref="BU18:CB23"/>
    <mergeCell ref="DG38:DJ40"/>
    <mergeCell ref="DK38:DN40"/>
    <mergeCell ref="DO38:DO40"/>
    <mergeCell ref="DP38:DS40"/>
    <mergeCell ref="DT38:DW40"/>
    <mergeCell ref="DX38:DX40"/>
    <mergeCell ref="DY38:EB40"/>
    <mergeCell ref="DB17:DC21"/>
    <mergeCell ref="DD17:DH21"/>
    <mergeCell ref="DI17:DJ21"/>
    <mergeCell ref="DK17:DL21"/>
    <mergeCell ref="DM17:DQ21"/>
    <mergeCell ref="DR17:DS21"/>
    <mergeCell ref="DT17:DU21"/>
    <mergeCell ref="BU34:CB39"/>
    <mergeCell ref="CJ41:CK45"/>
    <mergeCell ref="CL41:CP45"/>
    <mergeCell ref="CQ41:CR45"/>
    <mergeCell ref="CS41:CT45"/>
    <mergeCell ref="CU41:CY45"/>
    <mergeCell ref="CZ41:DA45"/>
    <mergeCell ref="R18:W23"/>
    <mergeCell ref="Y18:BA23"/>
    <mergeCell ref="R26:W31"/>
    <mergeCell ref="Y26:BA31"/>
    <mergeCell ref="BC26:BJ31"/>
    <mergeCell ref="BL26:BS31"/>
    <mergeCell ref="BU26:CB31"/>
    <mergeCell ref="BC42:BJ47"/>
    <mergeCell ref="BL42:BS47"/>
    <mergeCell ref="BU42:CB47"/>
    <mergeCell ref="CD42:CH47"/>
    <mergeCell ref="CJ46:CM48"/>
    <mergeCell ref="CN46:CN48"/>
    <mergeCell ref="CO46:CR48"/>
    <mergeCell ref="CZ49:DA53"/>
    <mergeCell ref="DB49:DC53"/>
    <mergeCell ref="BU50:CB55"/>
    <mergeCell ref="CD50:CH55"/>
    <mergeCell ref="R50:W55"/>
    <mergeCell ref="R58:W63"/>
    <mergeCell ref="Y58:BA63"/>
    <mergeCell ref="BC58:BJ63"/>
    <mergeCell ref="BU58:CB63"/>
    <mergeCell ref="CD58:CH63"/>
    <mergeCell ref="DB62:DE64"/>
    <mergeCell ref="DF62:DF64"/>
    <mergeCell ref="R82:W87"/>
    <mergeCell ref="R90:W95"/>
    <mergeCell ref="M113:P120"/>
    <mergeCell ref="R114:W119"/>
    <mergeCell ref="M121:P128"/>
    <mergeCell ref="R122:W127"/>
    <mergeCell ref="M129:P136"/>
    <mergeCell ref="R130:W135"/>
    <mergeCell ref="M57:P64"/>
    <mergeCell ref="M65:P72"/>
    <mergeCell ref="R66:W71"/>
    <mergeCell ref="M73:P80"/>
    <mergeCell ref="R74:W79"/>
    <mergeCell ref="M81:P88"/>
    <mergeCell ref="M89:P96"/>
    <mergeCell ref="DD73:DH77"/>
    <mergeCell ref="DI73:DJ77"/>
    <mergeCell ref="DK73:DL77"/>
    <mergeCell ref="DM73:DQ77"/>
    <mergeCell ref="DR73:DS77"/>
    <mergeCell ref="DT73:DU77"/>
    <mergeCell ref="DV73:DZ77"/>
    <mergeCell ref="EA73:EB77"/>
    <mergeCell ref="CJ73:CK77"/>
    <mergeCell ref="CL73:CP77"/>
    <mergeCell ref="CQ73:CR77"/>
    <mergeCell ref="CS73:CT77"/>
    <mergeCell ref="CU73:CY77"/>
    <mergeCell ref="CZ73:DA77"/>
    <mergeCell ref="DB73:DC77"/>
    <mergeCell ref="M97:P104"/>
    <mergeCell ref="R98:W103"/>
    <mergeCell ref="Y98:BA103"/>
    <mergeCell ref="BC98:BJ103"/>
    <mergeCell ref="BL98:BS103"/>
    <mergeCell ref="M105:P112"/>
    <mergeCell ref="R106:W111"/>
    <mergeCell ref="Y106:BA111"/>
    <mergeCell ref="BC106:BJ111"/>
    <mergeCell ref="BL106:BS111"/>
    <mergeCell ref="Y114:BA119"/>
    <mergeCell ref="BC114:BJ119"/>
    <mergeCell ref="DT129:DU133"/>
    <mergeCell ref="DV129:DZ133"/>
    <mergeCell ref="EA129:EB133"/>
    <mergeCell ref="CZ129:DA133"/>
    <mergeCell ref="DB129:DC133"/>
    <mergeCell ref="DD129:DH133"/>
    <mergeCell ref="DI129:DJ133"/>
    <mergeCell ref="DK129:DL133"/>
    <mergeCell ref="DM129:DQ133"/>
    <mergeCell ref="DR129:DS133"/>
    <mergeCell ref="DT134:DW136"/>
    <mergeCell ref="DX134:DX136"/>
    <mergeCell ref="DY134:EB136"/>
    <mergeCell ref="CX134:DA136"/>
    <mergeCell ref="DB134:DE136"/>
    <mergeCell ref="DF134:DF136"/>
    <mergeCell ref="DG134:DJ136"/>
    <mergeCell ref="DK134:DN136"/>
    <mergeCell ref="DO134:DO136"/>
    <mergeCell ref="DP134:DS136"/>
    <mergeCell ref="M25:P32"/>
    <mergeCell ref="M33:P40"/>
    <mergeCell ref="R34:W39"/>
    <mergeCell ref="Y34:BA39"/>
    <mergeCell ref="BC34:BJ39"/>
    <mergeCell ref="BL34:BS39"/>
    <mergeCell ref="M41:P48"/>
    <mergeCell ref="R42:W47"/>
    <mergeCell ref="Y42:BA47"/>
    <mergeCell ref="M49:P56"/>
    <mergeCell ref="Y50:BA55"/>
    <mergeCell ref="BC50:BJ55"/>
    <mergeCell ref="BL50:BS55"/>
    <mergeCell ref="BL58:BS63"/>
    <mergeCell ref="BC82:BJ87"/>
    <mergeCell ref="BL82:BS87"/>
    <mergeCell ref="Y90:BA95"/>
    <mergeCell ref="BC90:BJ95"/>
    <mergeCell ref="BL90:BS95"/>
    <mergeCell ref="Y66:BA71"/>
    <mergeCell ref="BC66:BJ71"/>
    <mergeCell ref="BL66:BS71"/>
    <mergeCell ref="Y74:BA79"/>
    <mergeCell ref="BC74:BJ79"/>
    <mergeCell ref="BL74:BS79"/>
    <mergeCell ref="Y82:BA87"/>
    <mergeCell ref="Y122:BA127"/>
    <mergeCell ref="BC122:BJ127"/>
    <mergeCell ref="BL122:BS127"/>
    <mergeCell ref="BU122:CB127"/>
    <mergeCell ref="Y130:BA135"/>
    <mergeCell ref="BC130:BJ135"/>
    <mergeCell ref="BL130:BS135"/>
    <mergeCell ref="BU130:CB135"/>
    <mergeCell ref="CJ129:CK133"/>
    <mergeCell ref="CJ134:CM136"/>
    <mergeCell ref="CN134:CN136"/>
    <mergeCell ref="CO134:CR136"/>
    <mergeCell ref="CS134:CV136"/>
    <mergeCell ref="CW134:CW136"/>
    <mergeCell ref="BL114:BS119"/>
    <mergeCell ref="BU114:CB119"/>
    <mergeCell ref="CL129:CP133"/>
    <mergeCell ref="CQ129:CR133"/>
    <mergeCell ref="CS129:CT133"/>
    <mergeCell ref="CU129:CY133"/>
    <mergeCell ref="CD130:CH135"/>
  </mergeCells>
  <conditionalFormatting sqref="CJ9 CS9 DB9 DK9 DT9 CJ17 CS17 DB17 DK17 DT17 CJ25 CS25 DB25 DK25 DT25 CJ33 CS33 DB33 DK33 DT33 CJ41 CS41 DB41 DK41 DT41 CJ49 CS49 DB49 DK49 DT49 CJ57 CS57 DB57 DK57 DT57 CJ65 CS65 DB65 DK65 DT65 CJ73 CS73 DB73 DK73 DT73 CJ81 CS81 DB81 DK81 DT81 CJ89 CS89 DB89 DK89 DT89 CJ97 CS97 DB97 DK97 DT97 CJ105 CS105 DB105 DK105 DT105 CJ113 CS113 DB113 DK113 DT113 CJ121 CS121 DB121 DK121 DT121 CJ129 CS129 DB129 DK129 DT129">
    <cfRule type="expression" dxfId="10" priority="1">
      <formula>CJ9="W"</formula>
    </cfRule>
  </conditionalFormatting>
  <conditionalFormatting sqref="CQ9:CR13 CZ9:DA13 DI9:DJ13 DR9:DS13 EA9:EB13 CQ17:CR21 CZ17:DA21 DI17:DJ21 DR17:DS21 EA17:EB21 CQ25:CR29 CZ25:DA29 DI25:DJ29 DR25:DS29 EA25:EB29 CQ33:CR37 CZ33:DA37 DI33:DJ37 DR33:DS37 EA33:EB37 CQ41:CR45 CZ41:DA45 DI41:DJ45 DR41:DS45 EA41:EB45 CQ49:CR53 CZ49:DA53 DI49:DJ53 DR49:DS53 EA49:EB53 CQ57:CR61 CZ57:DA61 DI57:DJ61 DR57:DS61 EA57:EB61 CQ65:CR69 CZ65:DA69 DI65:DJ69 DR65:DS69 EA65:EB69 CQ73:CR77 CZ73:DA77 DI73:DJ77 DR73:DS77 EA73:EB77 CQ81:CR85 CZ81:DA85 DI81:DJ85 DR81:DS85 EA81:EB85 CQ89:CR93 CZ89:DA93 DI89:DJ93 DR89:DS93 EA89:EB93 CQ97:CR101 CZ97:DA101 DI97:DJ101 DR97:DS101 EA97:EB101 CQ105:CR109 CZ105:DA109 DI105:DJ109 DR105:DS109 EA105:EB109 CQ113:CR117 CZ113:DA117 DI113:DJ117 DR113:DS117 EA113:EB117 CQ121:CR125 CZ121:DA125 DI121:DJ125 DR121:DS125 EA121:EB125 CQ129:CR133 CZ129:DA133 DI129:DJ133 DR129:DS133 EA129:EB133">
    <cfRule type="expression" dxfId="11" priority="2">
      <formula>CJ9="W"</formula>
    </cfRule>
  </conditionalFormatting>
  <conditionalFormatting sqref="CL9:CP13 CU9:CY13 DD9:DH13 DM9:DQ13 DV9:DZ13 CL17:CP21 CU17:CY21 DD17:DH21 DM17:DQ21 DV17:DZ21 CL25:CP29 CU25:CY29 DD25:DH29 DM25:DQ29 DV25:DZ29 CL33:CP37 CU33:CY37 DD33:DH37 DM33:DQ37 DV33:DZ37 CL41:CP45 CU41:CY45 DD41:DH45 DM41:DQ45 DV41:DZ45 CL49:CP53 CU49:CY53 DD49:DH53 DM49:DQ53 DV49:DZ53 CL57:CP61 CU57:CY61 DD57:DH61 DM57:DQ61 DV57:DZ61 CL65:CP69 CU65:CY69 DD65:DH69 DM65:DQ69 DV65:DZ69 CL73:CP77 CU73:CY77 DD73:DH77 DM73:DQ77 DV73:DZ77 CL81:CP85 CU81:CY85 DD81:DH85 DM81:DQ85 DV81:DZ85 CL89:CP93 CU89:CY93 DD89:DH93 DM89:DQ93 DV89:DZ93 CL97:CP101 CU97:CY101 DD97:DH101 DM97:DQ101 DV97:DZ101 CL105:CP109 CU105:CY109 DD105:DH109 DM105:DQ109 DV105:DZ109 CL113:CP117 CU113:CY117 DD113:DH117 DM113:DQ117 DV113:DZ117 CL121:CP125 CU121:CY125 DD121:DH125 DM121:DQ125 DV121:DZ125 CL129:CP133 CU129:CY133 DD129:DH133 DM129:DQ133 DV129:DZ133">
    <cfRule type="expression" dxfId="11" priority="3">
      <formula>CJ9="W"</formula>
    </cfRule>
  </conditionalFormatting>
  <conditionalFormatting sqref="CJ14:CM16 CS14:CV16 DB14:DE16 DK14:DN16 DT14:DW16 CJ22:CM24 CS22:CV24 DB22:DE24 DK22:DN24 DT22:DW24 CJ30:CM32 CS30:CV32 DB30:DE32 DK30:DN32 DT30:DW32 CJ38:CM40 CS38:CV40 DB38:DE40 DK38:DN40 DT38:DW40 CJ46:CM48 CS46:CV48 DB46:DE48 DK46:DN48 DT46:DW48 CJ54:CM56 CS54:CV56 DB54:DE56 DK54:DN56 DT54:DW56 CJ62:CM64 CS62:CV64 DB62:DE64 DK62:DN64 DT62:DW64 CJ70:CM72 CS70:CV72 DB70:DE72 DK70:DN72 DT70:DW72 CJ78:CM80 CS78:CV80 DB78:DE80 DK78:DN80 DT78:DW80 CJ86:CM88 CS86:CV88 DB86:DE88 DK86:DN88 DT86:DW88 CJ94:CM96 CS94:CV96 DB94:DE96 DK94:DN96 DT94:DW96 CJ102:CM104 CS102:CV104 DB102:DE104 DK102:DN104 DT102:DW104 CJ110:CM112 CS110:CV112 DB110:DE112 DK110:DN112 DT110:DW112 CJ118:CM120 CS118:CV120 DB118:DE120 DK118:DN120 DT118:DW120 CJ126:CM128 CS126:CV128 DB126:DE128 DK126:DN128 DT126:DW128 CJ134:CM136 CS134:CV136 DB134:DE136 DK134:DN136 DT134:DW136">
    <cfRule type="expression" dxfId="11" priority="4">
      <formula>CJ9="W"</formula>
    </cfRule>
  </conditionalFormatting>
  <conditionalFormatting sqref="CO14:CR16 CX14:DA16 DG14:DJ16 DP14:DS16 DY14:EB16 CO22:CR24 CX22:DA24 DG22:DJ24 DP22:DS24 DY22:EB24 CO30:CR32 CX30:DA32 DG30:DJ32 DP30:DS32 DY30:EB32 CO38:CR40 CX38:DA40 DG38:DJ40 DP38:DS40 DY38:EB40 CO46:CR48 CX46:DA48 DG46:DJ48 DP46:DS48 DY46:EB48 CO54:CR56 CX54:DA56 DG54:DJ56 DP54:DS56 DY54:EB56 CO62:CR64 CX62:DA64 DG62:DJ64 DP62:DS64 DY62:EB64 CO70:CR72 CX70:DA72 DG70:DJ72 DP70:DS72 DY70:EB72 CO78:CR80 CX78:DA80 DG78:DJ80 DP78:DS80 DY78:EB80 CO86:CR88 CX86:DA88 DG86:DJ88 DP86:DS88 DY86:EB88 CO94:CR96 CX94:DA96 DG94:DJ96 DP94:DS96 DY94:EB96 CO102:CR104 CX102:DA104 DG102:DJ104 DP102:DS104 DY102:EB104 CO110:CR112 CX110:DA112 DG110:DJ112 DP110:DS112 DY110:EB112 CO118:CR120 CX118:DA120 DG118:DJ120 DP118:DS120 DY118:EB120 CO126:CR128 CX126:DA128 DG126:DJ128 DP126:DS128 DY126:EB128 CO134:CR136 CX134:DA136 DG134:DJ136 DP134:DS136 DY134:EB136">
    <cfRule type="expression" dxfId="11" priority="5">
      <formula>CJ9="W"</formula>
    </cfRule>
  </conditionalFormatting>
  <conditionalFormatting sqref="CN14:CN16 CW14:CW16 DF14:DF16 DO14:DO16 DX14:DX16 CN22:CN24 CW22:CW24 DF22:DF24 DO22:DO24 DX22:DX24 CN30:CN32 CW30:CW32 DF30:DF32 DO30:DO32 DX30:DX32 CN38:CN40 CW38:CW40 DF38:DF40 DO38:DO40 DX38:DX40 CN46:CN48 CW46:CW48 DF46:DF48 DO46:DO48 DX46:DX48 CN54:CN56 CW54:CW56 DF54:DF56 DO54:DO56 DX54:DX56 CN62:CN64 CW62:CW64 DF62:DF64 DO62:DO64 DX62:DX64 CN70:CN72 CW70:CW72 DF70:DF72 DO70:DO72 DX70:DX72 CN78:CN80 CW78:CW80 DF78:DF80 DO78:DO80 DX78:DX80 CN86:CN88 CW86:CW88 DF86:DF88 DO86:DO88 DX86:DX88 CN94:CN96 CW94:CW96 DF94:DF96 DO94:DO96 DX94:DX96 CN102:CN104 CW102:CW104 DF102:DF104 DO102:DO104 DX102:DX104 CN110:CN112 CW110:CW112 DF110:DF112 DO110:DO112 DX110:DX112 CN118:CN120 CW118:CW120 DF118:DF120 DO118:DO120 DX118:DX120 CN126:CN128 CW126:CW128 DF126:DF128 DO126:DO128 DX126:DX128 CN134:CN136 CW134:CW136 DF134:DF136 DO134:DO136 DX134:DX136">
    <cfRule type="expression" dxfId="11" priority="6">
      <formula>CJ9="W"</formula>
    </cfRule>
  </conditionalFormatting>
  <conditionalFormatting sqref="CJ9:CK13 CS9:CT13 DB9:DC13 DK9:DL13 DT9:DU13 CJ17:CK21 CS17:CT21 DB17:DC21 DK17:DL21 DT17:DU21 CJ25:CK29 CS25:CT29 DB25:DC29 DK25:DL29 DT25:DU29 CJ33:CK37 CS33:CT37 DB33:DC37 DK33:DL37 DT33:DU37 CJ41:CK45 CS41:CT45 DB41:DC45 DK41:DL45 DT41:DU45 CJ49:CK53 CS49:CT53 DB49:DC53 DK49:DL53 DT49:DU53 CJ57:CK61 CS57:CT61 DB57:DC61 DK57:DL61 DT57:DU61 CJ65:CK69 CS65:CT69 DB65:DC69 DK65:DL69 DT65:DU69 CJ73:CK77 CS73:CT77 DB73:DC77 DK73:DL77 DT73:DU77 CJ81:CK85 CS81:CT85 DB81:DC85 DK81:DL85 DT81:DU85 CJ89:CK93 CS89:CT93 DB89:DC93 DK89:DL93 DT89:DU93 CJ97:CK101 CS97:CT101 DB97:DC101 DK97:DL101 DT97:DU101 CJ105:CK109 CS105:CT109 DB105:DC109 DK105:DL109 DT105:DU109 CJ113:CK117 CS113:CT117 DB113:DC117 DK113:DL117 DT113:DU117 CJ121:CK125 CS121:CT125 DB121:DC125 DK121:DL125 DT121:DU125 CJ129:CK133 CS129:CT133 DB129:DC133 DK129:DL133 DT129:DU133">
    <cfRule type="expression" dxfId="12" priority="7">
      <formula>CJ9="L"</formula>
    </cfRule>
  </conditionalFormatting>
  <conditionalFormatting sqref="CL9:CP13 CU9:CY13 DD9:DH13 DM9:DQ13 DV9:DZ13 CL17:CP21 CU17:CY21 DD17:DH21 DM17:DQ21 DV17:DZ21 CL25:CP29 CU25:CY29 DD25:DH29 DM25:DQ29 DV25:DZ29 CL33:CP37 CU33:CY37 DD33:DH37 DM33:DQ37 DV33:DZ37 CL41:CP45 CU41:CY45 DD41:DH45 DM41:DQ45 DV41:DZ45 CL49:CP53 CU49:CY53 DD49:DH53 DM49:DQ53 DV49:DZ53 CL57:CP61 CU57:CY61 DD57:DH61 DM57:DQ61 DV57:DZ61 CL65:CP69 CU65:CY69 DD65:DH69 DM65:DQ69 DV65:DZ69 CL73:CP77 CU73:CY77 DD73:DH77 DM73:DQ77 DV73:DZ77 CL81:CP85 CU81:CY85 DD81:DH85 DM81:DQ85 DV81:DZ85 CL89:CP93 CU89:CY93 DD89:DH93 DM89:DQ93 DV89:DZ93 CL97:CP101 CU97:CY101 DD97:DH101 DM97:DQ101 DV97:DZ101 CL105:CP109 CU105:CY109 DD105:DH109 DM105:DQ109 DV105:DZ109 CL113:CP117 CU113:CY117 DD113:DH117 DM113:DQ117 DV113:DZ117 CL121:CP125 CU121:CY125 DD121:DH125 DM121:DQ125 DV121:DZ125 CL129:CP133 CU129:CY133 DD129:DH133 DM129:DQ133 DV129:DZ133">
    <cfRule type="expression" dxfId="13" priority="8">
      <formula>CJ9="L"</formula>
    </cfRule>
  </conditionalFormatting>
  <conditionalFormatting sqref="CQ9:CR13 CZ9:DA13 DI9:DJ13 DR9:DS13 EA9:EB13 CQ17:CR21 CZ17:DA21 DI17:DJ21 DR17:DS21 EA17:EB21 CQ25:CR29 CZ25:DA29 DI25:DJ29 DR25:DS29 EA25:EB29 CQ33:CR37 CZ33:DA37 DI33:DJ37 DR33:DS37 EA33:EB37 CQ41:CR45 CZ41:DA45 DI41:DJ45 DR41:DS45 EA41:EB45 CQ49:CR53 CZ49:DA53 DI49:DJ53 DR49:DS53 EA49:EB53 CQ57:CR61 CZ57:DA61 DI57:DJ61 DR57:DS61 EA57:EB61 CQ65:CR69 CZ65:DA69 DI65:DJ69 DR65:DS69 EA65:EB69 CQ73:CR77 CZ73:DA77 DI73:DJ77 DR73:DS77 EA73:EB77 CQ81:CR85 CZ81:DA85 DI81:DJ85 DR81:DS85 EA81:EB85 CQ89:CR93 CZ89:DA93 DI89:DJ93 DR89:DS93 EA89:EB93 CQ97:CR101 CZ97:DA101 DI97:DJ101 DR97:DS101 EA97:EB101 CQ105:CR109 CZ105:DA109 DI105:DJ109 DR105:DS109 EA105:EB109 CQ113:CR117 CZ113:DA117 DI113:DJ117 DR113:DS117 EA113:EB117 CQ121:CR125 CZ121:DA125 DI121:DJ125 DR121:DS125 EA121:EB125 CQ129:CR133 CZ129:DA133 DI129:DJ133 DR129:DS133 EA129:EB133">
    <cfRule type="expression" dxfId="13" priority="9">
      <formula>CJ9="L"</formula>
    </cfRule>
  </conditionalFormatting>
  <conditionalFormatting sqref="CJ14:CM16 CS14:CV16 DB14:DE16 DK14:DN16 DT14:DW16 CJ22:CM24 CS22:CV24 DB22:DE24 DK22:DN24 DT22:DW24 CJ30:CM32 CS30:CV32 DB30:DE32 DK30:DN32 DT30:DW32 CJ38:CM40 CS38:CV40 DB38:DE40 DK38:DN40 DT38:DW40 CJ46:CM48 CS46:CV48 DB46:DE48 DK46:DN48 DT46:DW48 CJ54:CM56 CS54:CV56 DB54:DE56 DK54:DN56 DT54:DW56 CJ62:CM64 CS62:CV64 DB62:DE64 DK62:DN64 DT62:DW64 CJ70:CM72 CS70:CV72 DB70:DE72 DK70:DN72 DT70:DW72 CJ78:CM80 CS78:CV80 DB78:DE80 DK78:DN80 DT78:DW80 CJ86:CM88 CS86:CV88 DB86:DE88 DK86:DN88 DT86:DW88 CJ94:CM96 CS94:CV96 DB94:DE96 DK94:DN96 DT94:DW96 CJ102:CM104 CS102:CV104 DB102:DE104 DK102:DN104 DT102:DW104 CJ110:CM112 CS110:CV112 DB110:DE112 DK110:DN112 DT110:DW112 CJ118:CM120 CS118:CV120 DB118:DE120 DK118:DN120 DT118:DW120 CJ126:CM128 CS126:CV128 DB126:DE128 DK126:DN128 DT126:DW128 CJ134:CM136 CS134:CV136 DB134:DE136 DK134:DN136 DT134:DW136">
    <cfRule type="expression" dxfId="13" priority="10">
      <formula>CJ9="L"</formula>
    </cfRule>
  </conditionalFormatting>
  <conditionalFormatting sqref="CN14:CN16 CW14:CW16 DF14:DF16 DO14:DO16 DX14:DX16 CN22:CN24 CW22:CW24 DF22:DF24 DO22:DO24 DX22:DX24 CN30:CN32 CW30:CW32 DF30:DF32 DO30:DO32 DX30:DX32 CN38:CN40 CW38:CW40 DF38:DF40 DO38:DO40 DX38:DX40 CN46:CN48 CW46:CW48 DF46:DF48 DO46:DO48 DX46:DX48 CN54:CN56 CW54:CW56 DF54:DF56 DO54:DO56 DX54:DX56 CN62:CN64 CW62:CW64 DF62:DF64 DO62:DO64 DX62:DX64 CN70:CN72 CW70:CW72 DF70:DF72 DO70:DO72 DX70:DX72 CN78:CN80 CW78:CW80 DF78:DF80 DO78:DO80 DX78:DX80 CN86:CN88 CW86:CW88 DF86:DF88 DO86:DO88 DX86:DX88 CN94:CN96 CW94:CW96 DF94:DF96 DO94:DO96 DX94:DX96 CN102:CN104 CW102:CW104 DF102:DF104 DO102:DO104 DX102:DX104 CN110:CN112 CW110:CW112 DF110:DF112 DO110:DO112 DX110:DX112 CN118:CN120 CW118:CW120 DF118:DF120 DO118:DO120 DX118:DX120 CN126:CN128 CW126:CW128 DF126:DF128 DO126:DO128 DX126:DX128 CN134:CN136 CW134:CW136 DF134:DF136 DO134:DO136 DX134:DX136">
    <cfRule type="expression" dxfId="13" priority="11">
      <formula>CJ9="L"</formula>
    </cfRule>
  </conditionalFormatting>
  <conditionalFormatting sqref="CO14:CR16 CX14:DA16 DG14:DJ16 DP14:DS16 DY14:EB16 CO22:CR24 CX22:DA24 DG22:DJ24 DP22:DS24 DY22:EB24 CO30:CR32 CX30:DA32 DG30:DJ32 DP30:DS32 DY30:EB32 CO38:CR40 CX38:DA40 DG38:DJ40 DP38:DS40 DY38:EB40 CO46:CR48 CX46:DA48 DG46:DJ48 DP46:DS48 DY46:EB48 CO54:CR56 CX54:DA56 DG54:DJ56 DP54:DS56 DY54:EB56 CO62:CR64 CX62:DA64 DG62:DJ64 DP62:DS64 DY62:EB64 CO70:CR72 CX70:DA72 DG70:DJ72 DP70:DS72 DY70:EB72 CO78:CR80 CX78:DA80 DG78:DJ80 DP78:DS80 DY78:EB80 CO86:CR88 CX86:DA88 DG86:DJ88 DP86:DS88 DY86:EB88 CO94:CR96 CX94:DA96 DG94:DJ96 DP94:DS96 DY94:EB96 CO102:CR104 CX102:DA104 DG102:DJ104 DP102:DS104 DY102:EB104 CO110:CR112 CX110:DA112 DG110:DJ112 DP110:DS112 DY110:EB112 CO118:CR120 CX118:DA120 DG118:DJ120 DP118:DS120 DY118:EB120 CO126:CR128 CX126:DA128 DG126:DJ128 DP126:DS128 DY126:EB128 CO134:CR136 CX134:DA136 DG134:DJ136 DP134:DS136 DY134:EB136">
    <cfRule type="expression" dxfId="13" priority="12">
      <formula>CJ9="L"</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1" max="148" width="0.88"/>
  </cols>
  <sheetData>
    <row r="1" ht="5.25" customHeight="1">
      <c r="A1" s="152"/>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2"/>
      <c r="AH1" s="152"/>
      <c r="AI1" s="152"/>
      <c r="AJ1" s="152"/>
      <c r="AK1" s="152"/>
      <c r="AL1" s="152"/>
      <c r="AM1" s="152"/>
      <c r="AN1" s="152"/>
      <c r="AO1" s="152"/>
      <c r="AP1" s="152"/>
      <c r="AQ1" s="152"/>
      <c r="AR1" s="152"/>
      <c r="AS1" s="152"/>
      <c r="AT1" s="152"/>
      <c r="AU1" s="152"/>
      <c r="AV1" s="152"/>
      <c r="AW1" s="152"/>
      <c r="AX1" s="152"/>
      <c r="AY1" s="152"/>
      <c r="AZ1" s="152"/>
      <c r="BA1" s="152"/>
      <c r="BB1" s="152"/>
      <c r="BC1" s="152"/>
      <c r="BD1" s="152"/>
      <c r="BE1" s="152"/>
      <c r="BF1" s="152"/>
      <c r="BG1" s="152"/>
      <c r="BH1" s="152"/>
      <c r="BI1" s="152"/>
      <c r="BJ1" s="152"/>
      <c r="BK1" s="152"/>
      <c r="BL1" s="152"/>
      <c r="BM1" s="152"/>
      <c r="BN1" s="152"/>
      <c r="BO1" s="152"/>
      <c r="BP1" s="152"/>
      <c r="BQ1" s="152"/>
      <c r="BR1" s="152"/>
      <c r="BS1" s="152"/>
      <c r="BT1" s="152"/>
      <c r="BU1" s="152"/>
      <c r="BV1" s="152"/>
      <c r="BW1" s="152"/>
      <c r="BX1" s="152"/>
      <c r="BY1" s="152"/>
      <c r="BZ1" s="152"/>
      <c r="CA1" s="152"/>
      <c r="CB1" s="152"/>
      <c r="CC1" s="152"/>
      <c r="CD1" s="152"/>
      <c r="CE1" s="152"/>
      <c r="CF1" s="152"/>
      <c r="CG1" s="152"/>
      <c r="CH1" s="152"/>
      <c r="CI1" s="152"/>
      <c r="CJ1" s="152"/>
      <c r="CK1" s="152"/>
      <c r="CL1" s="152"/>
      <c r="CM1" s="152"/>
      <c r="CN1" s="152"/>
      <c r="CO1" s="152"/>
      <c r="CP1" s="152"/>
      <c r="CQ1" s="152"/>
      <c r="CR1" s="152"/>
      <c r="CS1" s="152"/>
      <c r="CT1" s="152"/>
      <c r="CU1" s="152"/>
      <c r="CV1" s="152"/>
      <c r="CW1" s="152"/>
      <c r="CX1" s="152"/>
      <c r="CY1" s="152"/>
      <c r="CZ1" s="152"/>
      <c r="DA1" s="152"/>
      <c r="DB1" s="152"/>
      <c r="DC1" s="152"/>
      <c r="DD1" s="152"/>
      <c r="DE1" s="152"/>
      <c r="DF1" s="152"/>
      <c r="DG1" s="152"/>
      <c r="DH1" s="152"/>
      <c r="DI1" s="152"/>
      <c r="DJ1" s="152"/>
      <c r="DK1" s="152"/>
      <c r="DL1" s="152"/>
      <c r="DM1" s="152"/>
      <c r="DN1" s="152"/>
      <c r="DO1" s="152"/>
      <c r="DP1" s="152"/>
      <c r="DQ1" s="152"/>
      <c r="DR1" s="152"/>
      <c r="DS1" s="152"/>
      <c r="DT1" s="152"/>
      <c r="DU1" s="152"/>
      <c r="DV1" s="152"/>
      <c r="DW1" s="152"/>
      <c r="DX1" s="152"/>
      <c r="DY1" s="152"/>
      <c r="DZ1" s="152"/>
      <c r="EA1" s="152"/>
      <c r="EB1" s="152"/>
      <c r="EC1" s="152"/>
      <c r="ED1" s="152"/>
      <c r="EE1" s="152"/>
      <c r="EF1" s="152"/>
      <c r="EG1" s="152"/>
      <c r="EH1" s="152"/>
      <c r="EI1" s="152"/>
      <c r="EJ1" s="152"/>
      <c r="EK1" s="152"/>
      <c r="EL1" s="152"/>
      <c r="EM1" s="152"/>
      <c r="EN1" s="152"/>
      <c r="EO1" s="152"/>
      <c r="EP1" s="152"/>
      <c r="EQ1" s="152"/>
      <c r="ER1" s="152"/>
    </row>
    <row r="2" ht="5.25" customHeight="1">
      <c r="A2" s="152"/>
      <c r="B2" s="152"/>
      <c r="C2" s="152"/>
      <c r="D2" s="152"/>
      <c r="E2" s="152"/>
      <c r="F2" s="152"/>
      <c r="G2" s="152"/>
      <c r="H2" s="152"/>
      <c r="I2" s="152"/>
      <c r="J2" s="152"/>
      <c r="K2" s="152"/>
      <c r="L2" s="152"/>
      <c r="M2" s="177" t="s">
        <v>88</v>
      </c>
      <c r="Q2" s="152"/>
      <c r="R2" s="177" t="s">
        <v>70</v>
      </c>
      <c r="BB2" s="152"/>
      <c r="BC2" s="178" t="s">
        <v>89</v>
      </c>
      <c r="BK2" s="152"/>
      <c r="BL2" s="178" t="s">
        <v>90</v>
      </c>
      <c r="BT2" s="152"/>
      <c r="BU2" s="178" t="s">
        <v>91</v>
      </c>
      <c r="CC2" s="152"/>
      <c r="CD2" s="178" t="s">
        <v>92</v>
      </c>
      <c r="CI2" s="152"/>
      <c r="CJ2" s="179" t="s">
        <v>93</v>
      </c>
      <c r="CS2" s="179" t="s">
        <v>94</v>
      </c>
      <c r="DB2" s="179" t="s">
        <v>95</v>
      </c>
      <c r="DK2" s="179" t="s">
        <v>96</v>
      </c>
      <c r="DT2" s="179" t="s">
        <v>97</v>
      </c>
      <c r="EC2" s="152"/>
      <c r="ED2" s="152"/>
      <c r="EE2" s="152"/>
      <c r="EF2" s="152"/>
      <c r="EG2" s="152"/>
      <c r="EH2" s="152"/>
      <c r="EI2" s="152"/>
      <c r="EJ2" s="152"/>
      <c r="EK2" s="152"/>
      <c r="EL2" s="152"/>
      <c r="EM2" s="152"/>
      <c r="EN2" s="152"/>
      <c r="EO2" s="152"/>
      <c r="EP2" s="152"/>
      <c r="EQ2" s="152"/>
      <c r="ER2" s="152"/>
    </row>
    <row r="3" ht="5.25" customHeight="1">
      <c r="A3" s="152"/>
      <c r="B3" s="152"/>
      <c r="C3" s="152"/>
      <c r="D3" s="152"/>
      <c r="E3" s="152"/>
      <c r="F3" s="152"/>
      <c r="G3" s="152"/>
      <c r="H3" s="152"/>
      <c r="I3" s="152"/>
      <c r="J3" s="152"/>
      <c r="K3" s="152"/>
      <c r="L3" s="152"/>
      <c r="Q3" s="152"/>
      <c r="BB3" s="152"/>
      <c r="BK3" s="152"/>
      <c r="BT3" s="152"/>
      <c r="CC3" s="152"/>
      <c r="CI3" s="152"/>
      <c r="EC3" s="152"/>
      <c r="ED3" s="152"/>
      <c r="EE3" s="152"/>
      <c r="EF3" s="152"/>
      <c r="EG3" s="152"/>
      <c r="EH3" s="152"/>
      <c r="EI3" s="152"/>
      <c r="EJ3" s="152"/>
      <c r="EK3" s="152"/>
      <c r="EL3" s="152"/>
      <c r="EM3" s="152"/>
      <c r="EN3" s="152"/>
      <c r="EO3" s="152"/>
      <c r="EP3" s="152"/>
      <c r="EQ3" s="152"/>
      <c r="ER3" s="152"/>
    </row>
    <row r="4" ht="5.25" customHeight="1">
      <c r="A4" s="152"/>
      <c r="B4" s="152"/>
      <c r="C4" s="152"/>
      <c r="D4" s="152"/>
      <c r="E4" s="152"/>
      <c r="F4" s="152"/>
      <c r="G4" s="152"/>
      <c r="H4" s="152"/>
      <c r="I4" s="152"/>
      <c r="J4" s="152"/>
      <c r="K4" s="152"/>
      <c r="L4" s="152"/>
      <c r="Q4" s="152"/>
      <c r="BB4" s="180"/>
      <c r="BK4" s="152"/>
      <c r="BT4" s="152"/>
      <c r="CC4" s="152"/>
      <c r="CI4" s="152"/>
      <c r="EC4" s="152"/>
      <c r="ED4" s="152"/>
      <c r="EE4" s="152"/>
      <c r="EF4" s="152"/>
      <c r="EG4" s="152"/>
      <c r="EH4" s="152"/>
      <c r="EI4" s="152"/>
      <c r="EJ4" s="152"/>
      <c r="EK4" s="152"/>
      <c r="EL4" s="152"/>
      <c r="EM4" s="152"/>
      <c r="EN4" s="152"/>
      <c r="EO4" s="152"/>
      <c r="EP4" s="152"/>
      <c r="EQ4" s="152"/>
      <c r="ER4" s="152"/>
    </row>
    <row r="5" ht="5.25" customHeight="1">
      <c r="A5" s="152"/>
      <c r="B5" s="152"/>
      <c r="C5" s="152"/>
      <c r="D5" s="152"/>
      <c r="E5" s="152"/>
      <c r="F5" s="152"/>
      <c r="G5" s="152"/>
      <c r="H5" s="152"/>
      <c r="I5" s="152"/>
      <c r="J5" s="152"/>
      <c r="K5" s="152"/>
      <c r="L5" s="152"/>
      <c r="Q5" s="152"/>
      <c r="BB5" s="152"/>
      <c r="BK5" s="152"/>
      <c r="BT5" s="152"/>
      <c r="CC5" s="152"/>
      <c r="CI5" s="152"/>
      <c r="EC5" s="152"/>
      <c r="ED5" s="152"/>
      <c r="EE5" s="152"/>
      <c r="EF5" s="152"/>
      <c r="EG5" s="152"/>
      <c r="EH5" s="152"/>
      <c r="EI5" s="152"/>
      <c r="EJ5" s="152"/>
      <c r="EK5" s="152"/>
      <c r="EL5" s="152"/>
      <c r="EM5" s="152"/>
      <c r="EN5" s="152"/>
      <c r="EO5" s="152"/>
      <c r="EP5" s="152"/>
      <c r="EQ5" s="152"/>
      <c r="ER5" s="152"/>
    </row>
    <row r="6" ht="5.25" customHeight="1">
      <c r="A6" s="152"/>
      <c r="B6" s="152"/>
      <c r="C6" s="152"/>
      <c r="D6" s="152"/>
      <c r="E6" s="152"/>
      <c r="F6" s="152"/>
      <c r="G6" s="152"/>
      <c r="H6" s="152"/>
      <c r="I6" s="152"/>
      <c r="J6" s="152"/>
      <c r="K6" s="152"/>
      <c r="L6" s="152"/>
      <c r="Q6" s="152"/>
      <c r="BB6" s="152"/>
      <c r="BK6" s="152"/>
      <c r="BT6" s="152"/>
      <c r="CC6" s="152"/>
      <c r="CI6" s="152"/>
      <c r="EC6" s="152"/>
      <c r="ED6" s="152"/>
      <c r="EE6" s="152"/>
      <c r="EF6" s="152"/>
      <c r="EG6" s="152"/>
      <c r="EH6" s="152"/>
      <c r="EI6" s="152"/>
      <c r="EJ6" s="152"/>
      <c r="EK6" s="152"/>
      <c r="EL6" s="152"/>
      <c r="EM6" s="152"/>
      <c r="EN6" s="152"/>
      <c r="EO6" s="152"/>
      <c r="EP6" s="152"/>
      <c r="EQ6" s="152"/>
      <c r="ER6" s="152"/>
    </row>
    <row r="7" ht="5.25" customHeight="1">
      <c r="A7" s="152"/>
      <c r="B7" s="152"/>
      <c r="C7" s="152"/>
      <c r="D7" s="152"/>
      <c r="E7" s="152"/>
      <c r="F7" s="152"/>
      <c r="G7" s="152"/>
      <c r="H7" s="152"/>
      <c r="I7" s="152"/>
      <c r="J7" s="152"/>
      <c r="K7" s="152"/>
      <c r="L7" s="152"/>
      <c r="Q7" s="152"/>
      <c r="BB7" s="152"/>
      <c r="BK7" s="152"/>
      <c r="BT7" s="152"/>
      <c r="CC7" s="152"/>
      <c r="CI7" s="152"/>
      <c r="EC7" s="152"/>
      <c r="ED7" s="152"/>
      <c r="EE7" s="152"/>
      <c r="EF7" s="152"/>
      <c r="EG7" s="152"/>
      <c r="EH7" s="152"/>
      <c r="EI7" s="152"/>
      <c r="EJ7" s="152"/>
      <c r="EK7" s="152"/>
      <c r="EL7" s="152"/>
      <c r="EM7" s="152"/>
      <c r="EN7" s="152"/>
      <c r="EO7" s="152"/>
      <c r="EP7" s="152"/>
      <c r="EQ7" s="152"/>
      <c r="ER7" s="152"/>
    </row>
    <row r="8" ht="5.25" customHeight="1">
      <c r="A8" s="152"/>
      <c r="B8" s="152"/>
      <c r="C8" s="152"/>
      <c r="D8" s="152"/>
      <c r="E8" s="152"/>
      <c r="F8" s="152"/>
      <c r="G8" s="152"/>
      <c r="H8" s="152"/>
      <c r="I8" s="152"/>
      <c r="J8" s="152"/>
      <c r="K8" s="152"/>
      <c r="L8" s="152"/>
      <c r="M8" s="152"/>
      <c r="N8" s="152"/>
      <c r="O8" s="152"/>
      <c r="P8" s="152"/>
      <c r="Q8" s="152"/>
      <c r="R8" s="152"/>
      <c r="S8" s="152"/>
      <c r="T8" s="152"/>
      <c r="U8" s="152"/>
      <c r="V8" s="152"/>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52"/>
      <c r="AU8" s="152"/>
      <c r="AV8" s="152"/>
      <c r="AW8" s="152"/>
      <c r="AX8" s="152"/>
      <c r="AY8" s="152"/>
      <c r="AZ8" s="152"/>
      <c r="BA8" s="152"/>
      <c r="BB8" s="152"/>
      <c r="BC8" s="152"/>
      <c r="BD8" s="152"/>
      <c r="BE8" s="152"/>
      <c r="BF8" s="152"/>
      <c r="BG8" s="152"/>
      <c r="BH8" s="152"/>
      <c r="BI8" s="152"/>
      <c r="BJ8" s="152"/>
      <c r="BK8" s="152"/>
      <c r="BL8" s="152"/>
      <c r="BM8" s="152"/>
      <c r="BN8" s="152"/>
      <c r="BO8" s="152"/>
      <c r="BP8" s="152"/>
      <c r="BQ8" s="152"/>
      <c r="BR8" s="152"/>
      <c r="BS8" s="152"/>
      <c r="BT8" s="152"/>
      <c r="BU8" s="152"/>
      <c r="BV8" s="152"/>
      <c r="BW8" s="152"/>
      <c r="BX8" s="152"/>
      <c r="BY8" s="152"/>
      <c r="BZ8" s="152"/>
      <c r="CA8" s="152"/>
      <c r="CB8" s="152"/>
      <c r="CC8" s="152"/>
      <c r="CD8" s="152"/>
      <c r="CE8" s="152"/>
      <c r="CF8" s="152"/>
      <c r="CG8" s="152"/>
      <c r="CH8" s="152"/>
      <c r="CI8" s="152"/>
      <c r="CJ8" s="152"/>
      <c r="CK8" s="152"/>
      <c r="CL8" s="152"/>
      <c r="CM8" s="152"/>
      <c r="CN8" s="152"/>
      <c r="CO8" s="152"/>
      <c r="CP8" s="152"/>
      <c r="CQ8" s="152"/>
      <c r="CR8" s="152"/>
      <c r="CS8" s="152"/>
      <c r="CT8" s="152"/>
      <c r="CU8" s="152"/>
      <c r="CV8" s="152"/>
      <c r="CW8" s="152"/>
      <c r="CX8" s="152"/>
      <c r="CY8" s="152"/>
      <c r="CZ8" s="152"/>
      <c r="DA8" s="152"/>
      <c r="DB8" s="152"/>
      <c r="DC8" s="152"/>
      <c r="DD8" s="152"/>
      <c r="DE8" s="152"/>
      <c r="DF8" s="152"/>
      <c r="DG8" s="152"/>
      <c r="DH8" s="152"/>
      <c r="DI8" s="152"/>
      <c r="DJ8" s="152"/>
      <c r="DK8" s="152"/>
      <c r="DL8" s="152"/>
      <c r="DM8" s="152"/>
      <c r="DN8" s="152"/>
      <c r="DO8" s="152"/>
      <c r="DP8" s="152"/>
      <c r="DQ8" s="152"/>
      <c r="DR8" s="152"/>
      <c r="DS8" s="152"/>
      <c r="DT8" s="152"/>
      <c r="DU8" s="152"/>
      <c r="DV8" s="152"/>
      <c r="DW8" s="152"/>
      <c r="DX8" s="152"/>
      <c r="DY8" s="152"/>
      <c r="DZ8" s="152"/>
      <c r="EA8" s="152"/>
      <c r="EB8" s="152"/>
      <c r="EC8" s="152"/>
      <c r="ED8" s="152"/>
      <c r="EE8" s="152"/>
      <c r="EF8" s="152"/>
      <c r="EG8" s="152"/>
      <c r="EH8" s="152"/>
      <c r="EI8" s="152"/>
      <c r="EJ8" s="152"/>
      <c r="EK8" s="152"/>
      <c r="EL8" s="152"/>
      <c r="EM8" s="152"/>
      <c r="EN8" s="152"/>
      <c r="EO8" s="152"/>
      <c r="EP8" s="152"/>
      <c r="EQ8" s="152"/>
      <c r="ER8" s="152"/>
    </row>
    <row r="9" ht="5.25" customHeight="1">
      <c r="A9" s="152"/>
      <c r="B9" s="152"/>
      <c r="C9" s="152"/>
      <c r="D9" s="152"/>
      <c r="E9" s="152"/>
      <c r="F9" s="152"/>
      <c r="G9" s="152"/>
      <c r="H9" s="152"/>
      <c r="I9" s="152"/>
      <c r="J9" s="152"/>
      <c r="K9" s="152"/>
      <c r="L9" s="152"/>
      <c r="M9" s="177" t="str">
        <f>Q9&amp;"."</f>
        <v>1.</v>
      </c>
      <c r="Q9" s="181">
        <v>1.0</v>
      </c>
      <c r="R9" s="182"/>
      <c r="S9" s="183"/>
      <c r="T9" s="183"/>
      <c r="U9" s="183"/>
      <c r="V9" s="183"/>
      <c r="W9" s="183"/>
      <c r="X9" s="183"/>
      <c r="Y9" s="183"/>
      <c r="Z9" s="183"/>
      <c r="AA9" s="183"/>
      <c r="AB9" s="183"/>
      <c r="AC9" s="183"/>
      <c r="AD9" s="183"/>
      <c r="AE9" s="183"/>
      <c r="AF9" s="183"/>
      <c r="AG9" s="183"/>
      <c r="AH9" s="183"/>
      <c r="AI9" s="183"/>
      <c r="AJ9" s="183"/>
      <c r="AK9" s="183"/>
      <c r="AL9" s="183"/>
      <c r="AM9" s="183"/>
      <c r="AN9" s="183"/>
      <c r="AO9" s="183"/>
      <c r="AP9" s="183"/>
      <c r="AQ9" s="183"/>
      <c r="AR9" s="183"/>
      <c r="AS9" s="183"/>
      <c r="AT9" s="183"/>
      <c r="AU9" s="183"/>
      <c r="AV9" s="183"/>
      <c r="AW9" s="183"/>
      <c r="AX9" s="183"/>
      <c r="AY9" s="183"/>
      <c r="AZ9" s="183"/>
      <c r="BA9" s="183"/>
      <c r="BB9" s="183"/>
      <c r="BC9" s="183"/>
      <c r="BD9" s="183"/>
      <c r="BE9" s="183"/>
      <c r="BF9" s="183"/>
      <c r="BG9" s="183"/>
      <c r="BH9" s="183"/>
      <c r="BI9" s="183"/>
      <c r="BJ9" s="183"/>
      <c r="BK9" s="183"/>
      <c r="BL9" s="183"/>
      <c r="BM9" s="183"/>
      <c r="BN9" s="183"/>
      <c r="BO9" s="183"/>
      <c r="BP9" s="183"/>
      <c r="BQ9" s="183"/>
      <c r="BR9" s="183"/>
      <c r="BS9" s="183"/>
      <c r="BT9" s="183"/>
      <c r="BU9" s="183"/>
      <c r="BV9" s="183"/>
      <c r="BW9" s="183"/>
      <c r="BX9" s="183"/>
      <c r="BY9" s="183"/>
      <c r="BZ9" s="183"/>
      <c r="CA9" s="183"/>
      <c r="CB9" s="183"/>
      <c r="CC9" s="183"/>
      <c r="CD9" s="183"/>
      <c r="CE9" s="183"/>
      <c r="CF9" s="183"/>
      <c r="CG9" s="183"/>
      <c r="CH9" s="183"/>
      <c r="CI9" s="184"/>
      <c r="CJ9" s="185" t="str">
        <f t="array" ref="CJ9">xlookup($Y10,data!$N$2:$N$17,xlookup("r1Ser",data!$P$1:$BR$1,data!$P$2:$BR$17,""))</f>
        <v/>
      </c>
      <c r="CK9" s="8"/>
      <c r="CL9" s="186" t="str">
        <f t="array" ref="CL9">xlookup(xlookup($Y10,data!$N$2:$N$17,xlookup("r1op",data!$P$1:$BR$1,data!$P$2:$BR$17,"")),data!$M$2:$M$17,data!$O$2:$O$17,"")</f>
        <v/>
      </c>
      <c r="CM9" s="8"/>
      <c r="CN9" s="8"/>
      <c r="CO9" s="8"/>
      <c r="CP9" s="8"/>
      <c r="CQ9" s="187"/>
      <c r="CR9" s="9"/>
      <c r="CS9" s="185" t="str">
        <f t="array" ref="CS9">xlookup($Y10,data!$N$2:$N$17,xlookup("r2Ser",data!$P$1:$BR$1,data!$P$2:$BR$17,""))</f>
        <v/>
      </c>
      <c r="CT9" s="8"/>
      <c r="CU9" s="186" t="str">
        <f t="array" ref="CU9">xlookup(xlookup($Y10,data!$N$2:$N$17,xlookup("r2op",data!$P$1:$BR$1,data!$P$2:$BR$17,"")),data!$M$2:$M$17,data!$O$2:$O$17,"")</f>
        <v/>
      </c>
      <c r="CV9" s="8"/>
      <c r="CW9" s="8"/>
      <c r="CX9" s="8"/>
      <c r="CY9" s="8"/>
      <c r="CZ9" s="187"/>
      <c r="DA9" s="9"/>
      <c r="DB9" s="185" t="str">
        <f t="array" ref="DB9">xlookup($Y10,data!$N$2:$N$17,xlookup("r3Ser",data!$P$1:$BR$1,data!$P$2:$BR$17,""))</f>
        <v/>
      </c>
      <c r="DC9" s="8"/>
      <c r="DD9" s="186" t="str">
        <f t="array" ref="DD9">xlookup(xlookup($Y10,data!$N$2:$N$17,xlookup("r3op",data!$P$1:$BR$1,data!$P$2:$BR$17,"")),data!$M$2:$M$17,data!$O$2:$O$17,"")</f>
        <v/>
      </c>
      <c r="DE9" s="8"/>
      <c r="DF9" s="8"/>
      <c r="DG9" s="8"/>
      <c r="DH9" s="8"/>
      <c r="DI9" s="187"/>
      <c r="DJ9" s="9"/>
      <c r="DK9" s="185" t="str">
        <f t="array" ref="DK9">xlookup($Y10,data!$N$2:$N$17,xlookup("r4Ser",data!$P$1:$BR$1,data!$P$2:$BR$17,""))</f>
        <v/>
      </c>
      <c r="DL9" s="8"/>
      <c r="DM9" s="186" t="str">
        <f t="array" ref="DM9">xlookup(xlookup($Y10,data!$N$2:$N$17,xlookup("r4op",data!$P$1:$BR$1,data!$P$2:$BR$17,"")),data!$M$2:$M$17,data!$O$2:$O$17,"")</f>
        <v/>
      </c>
      <c r="DN9" s="8"/>
      <c r="DO9" s="8"/>
      <c r="DP9" s="8"/>
      <c r="DQ9" s="8"/>
      <c r="DR9" s="187"/>
      <c r="DS9" s="9"/>
      <c r="DT9" s="185" t="str">
        <f t="array" ref="DT9">xlookup($Y10,data!$N$2:$N$17,xlookup("r5Ser",data!$P$1:$BR$1,data!$P$2:$BR$17,""))</f>
        <v/>
      </c>
      <c r="DU9" s="8"/>
      <c r="DV9" s="186" t="str">
        <f t="array" ref="DV9">xlookup(xlookup($Y10,data!$N$2:$N$17,xlookup("r5op",data!$P$1:$BR$1,data!$P$2:$BR$17,"")),data!$M$2:$M$17,data!$O$2:$O$17,"")</f>
        <v/>
      </c>
      <c r="DW9" s="8"/>
      <c r="DX9" s="8"/>
      <c r="DY9" s="8"/>
      <c r="DZ9" s="8"/>
      <c r="EA9" s="187"/>
      <c r="EB9" s="9"/>
      <c r="EC9" s="152"/>
      <c r="ED9" s="152"/>
      <c r="EE9" s="152"/>
      <c r="EF9" s="152"/>
      <c r="EG9" s="152"/>
      <c r="EH9" s="152"/>
      <c r="EI9" s="152"/>
      <c r="EJ9" s="152"/>
      <c r="EK9" s="152"/>
      <c r="EL9" s="152"/>
      <c r="EM9" s="152"/>
      <c r="EN9" s="152"/>
      <c r="EO9" s="152"/>
      <c r="EP9" s="152"/>
      <c r="EQ9" s="152"/>
      <c r="ER9" s="152"/>
    </row>
    <row r="10" ht="5.25" customHeight="1">
      <c r="A10" s="152"/>
      <c r="B10" s="152"/>
      <c r="C10" s="152"/>
      <c r="D10" s="152"/>
      <c r="E10" s="152"/>
      <c r="F10" s="152"/>
      <c r="G10" s="152"/>
      <c r="H10" s="152"/>
      <c r="I10" s="152"/>
      <c r="J10" s="152"/>
      <c r="K10" s="152"/>
      <c r="L10" s="152"/>
      <c r="Q10" s="152"/>
      <c r="R10" s="188" t="str">
        <f t="array" ref="R10">xlookup(Y10,data!$N$2:$N$17,data!$O$2:$O$17,"")</f>
        <v/>
      </c>
      <c r="X10" s="189"/>
      <c r="Y10" s="190" t="str">
        <f t="array" ref="Y10">xlookup(Q9,data!$G$24:$G$39,data!$A$24:$A$39,"")</f>
        <v>Team 1 (Group 2)</v>
      </c>
      <c r="BB10" s="189"/>
      <c r="BC10" s="191" t="str">
        <f t="array" ref="BC10">xlookup(Y10,data!$A$24:$A$39,data!$B$24:$B$39,"")</f>
        <v>0-0</v>
      </c>
      <c r="BK10" s="189"/>
      <c r="BL10" s="192" t="str">
        <f t="array" ref="BL10">xlookup(Y10,data!$A$24:$A$39,data!$C$24:$C$39,"")</f>
        <v>0-0</v>
      </c>
      <c r="BT10" s="189"/>
      <c r="BU10" s="193" t="str">
        <f t="array" ref="BU10">xlookup(Y10,data!$A$24:$A$39,data!$D$24:$D$39,"")</f>
        <v>0-0</v>
      </c>
      <c r="CC10" s="189"/>
      <c r="CD10" s="193">
        <f t="array" ref="CD10">xlookup(Y10,data!$A$24:$A$39,data!$F$24:$F$39,"")</f>
        <v>0</v>
      </c>
      <c r="CI10" s="194"/>
      <c r="CJ10" s="10"/>
      <c r="CR10" s="11"/>
      <c r="CS10" s="10"/>
      <c r="DA10" s="11"/>
      <c r="DB10" s="10"/>
      <c r="DJ10" s="11"/>
      <c r="DK10" s="10"/>
      <c r="DS10" s="11"/>
      <c r="DT10" s="10"/>
      <c r="EB10" s="11"/>
      <c r="EC10" s="152"/>
      <c r="ED10" s="152"/>
      <c r="EE10" s="152"/>
      <c r="EF10" s="152"/>
      <c r="EG10" s="152"/>
      <c r="EH10" s="152"/>
      <c r="EI10" s="152"/>
      <c r="EJ10" s="152"/>
      <c r="EK10" s="152"/>
      <c r="EL10" s="152"/>
      <c r="EM10" s="152"/>
      <c r="EN10" s="152"/>
      <c r="EO10" s="152"/>
      <c r="EP10" s="152"/>
      <c r="EQ10" s="152"/>
      <c r="ER10" s="152"/>
    </row>
    <row r="11" ht="5.25" customHeight="1">
      <c r="A11" s="152"/>
      <c r="B11" s="152"/>
      <c r="C11" s="152"/>
      <c r="D11" s="152"/>
      <c r="E11" s="152"/>
      <c r="F11" s="152"/>
      <c r="G11" s="152"/>
      <c r="H11" s="152"/>
      <c r="I11" s="152"/>
      <c r="J11" s="152"/>
      <c r="K11" s="152"/>
      <c r="L11" s="152"/>
      <c r="Q11" s="152"/>
      <c r="R11" s="10"/>
      <c r="X11" s="189"/>
      <c r="BB11" s="189"/>
      <c r="BK11" s="189"/>
      <c r="BT11" s="189"/>
      <c r="CC11" s="189"/>
      <c r="CI11" s="194"/>
      <c r="CJ11" s="10"/>
      <c r="CR11" s="11"/>
      <c r="CS11" s="10"/>
      <c r="DA11" s="11"/>
      <c r="DB11" s="10"/>
      <c r="DJ11" s="11"/>
      <c r="DK11" s="10"/>
      <c r="DS11" s="11"/>
      <c r="DT11" s="10"/>
      <c r="EB11" s="11"/>
      <c r="EC11" s="152"/>
      <c r="ED11" s="152"/>
      <c r="EE11" s="152"/>
      <c r="EF11" s="152"/>
      <c r="EG11" s="152"/>
      <c r="EH11" s="152"/>
      <c r="EI11" s="152"/>
      <c r="EJ11" s="152"/>
      <c r="EK11" s="152"/>
      <c r="EL11" s="152"/>
      <c r="EM11" s="152"/>
      <c r="EN11" s="152"/>
      <c r="EO11" s="152"/>
      <c r="EP11" s="152"/>
      <c r="EQ11" s="152"/>
      <c r="ER11" s="152"/>
    </row>
    <row r="12" ht="5.25" customHeight="1">
      <c r="A12" s="152"/>
      <c r="B12" s="152"/>
      <c r="C12" s="152"/>
      <c r="D12" s="152"/>
      <c r="E12" s="152"/>
      <c r="F12" s="152"/>
      <c r="G12" s="152"/>
      <c r="H12" s="152"/>
      <c r="I12" s="152"/>
      <c r="J12" s="152"/>
      <c r="K12" s="152"/>
      <c r="L12" s="152"/>
      <c r="Q12" s="152"/>
      <c r="R12" s="10"/>
      <c r="X12" s="189"/>
      <c r="BB12" s="189"/>
      <c r="BK12" s="189"/>
      <c r="BT12" s="189"/>
      <c r="CC12" s="189"/>
      <c r="CI12" s="194"/>
      <c r="CJ12" s="10"/>
      <c r="CR12" s="11"/>
      <c r="CS12" s="10"/>
      <c r="DA12" s="11"/>
      <c r="DB12" s="10"/>
      <c r="DJ12" s="11"/>
      <c r="DK12" s="10"/>
      <c r="DS12" s="11"/>
      <c r="DT12" s="10"/>
      <c r="EB12" s="11"/>
      <c r="EC12" s="152"/>
      <c r="ED12" s="152"/>
      <c r="EE12" s="152"/>
      <c r="EF12" s="152"/>
      <c r="EG12" s="152"/>
      <c r="EH12" s="152"/>
      <c r="EI12" s="152"/>
      <c r="EJ12" s="152"/>
      <c r="EK12" s="152"/>
      <c r="EL12" s="152"/>
      <c r="EM12" s="152"/>
      <c r="EN12" s="152"/>
      <c r="EO12" s="152"/>
      <c r="EP12" s="152"/>
      <c r="EQ12" s="152"/>
      <c r="ER12" s="152"/>
    </row>
    <row r="13" ht="5.25" customHeight="1">
      <c r="A13" s="152"/>
      <c r="B13" s="152"/>
      <c r="C13" s="152"/>
      <c r="D13" s="152"/>
      <c r="E13" s="152"/>
      <c r="F13" s="152"/>
      <c r="G13" s="152"/>
      <c r="H13" s="152"/>
      <c r="I13" s="152"/>
      <c r="J13" s="152"/>
      <c r="K13" s="152"/>
      <c r="L13" s="152"/>
      <c r="Q13" s="152"/>
      <c r="R13" s="10"/>
      <c r="X13" s="189"/>
      <c r="BB13" s="189"/>
      <c r="BK13" s="189"/>
      <c r="BT13" s="189"/>
      <c r="CC13" s="189"/>
      <c r="CI13" s="194"/>
      <c r="CJ13" s="10"/>
      <c r="CR13" s="11"/>
      <c r="CS13" s="10"/>
      <c r="DA13" s="11"/>
      <c r="DB13" s="10"/>
      <c r="DJ13" s="11"/>
      <c r="DK13" s="10"/>
      <c r="DS13" s="11"/>
      <c r="DT13" s="10"/>
      <c r="EB13" s="11"/>
      <c r="EC13" s="152"/>
      <c r="ED13" s="152"/>
      <c r="EE13" s="152"/>
      <c r="EF13" s="152"/>
      <c r="EG13" s="152"/>
      <c r="EH13" s="152"/>
      <c r="EI13" s="152"/>
      <c r="EJ13" s="152"/>
      <c r="EK13" s="152"/>
      <c r="EL13" s="152"/>
      <c r="EM13" s="152"/>
      <c r="EN13" s="152"/>
      <c r="EO13" s="152"/>
      <c r="EP13" s="152"/>
      <c r="EQ13" s="152"/>
      <c r="ER13" s="152"/>
    </row>
    <row r="14" ht="5.25" customHeight="1">
      <c r="A14" s="152"/>
      <c r="B14" s="152"/>
      <c r="C14" s="152"/>
      <c r="D14" s="152"/>
      <c r="E14" s="152"/>
      <c r="F14" s="152"/>
      <c r="G14" s="152"/>
      <c r="H14" s="152"/>
      <c r="I14" s="152"/>
      <c r="J14" s="152"/>
      <c r="K14" s="152"/>
      <c r="L14" s="152"/>
      <c r="Q14" s="152"/>
      <c r="R14" s="10"/>
      <c r="X14" s="189"/>
      <c r="BB14" s="189"/>
      <c r="BK14" s="189"/>
      <c r="BT14" s="189"/>
      <c r="CC14" s="189"/>
      <c r="CI14" s="194"/>
      <c r="CJ14" s="195" t="str">
        <f t="array" ref="CJ14">xlookup($Y10,teams,xlookup("r1gw",header,swissdata))&amp;"-"&amp;xlookup($Y10,teams,xlookup("r1gl",header,swissdata))</f>
        <v>-</v>
      </c>
      <c r="CN14" s="196"/>
      <c r="CO14" s="196">
        <f t="array" ref="CO14">if(xlookup($Y10,teams,xlookup("r1rd",header,swissdata))&gt;0,"+"&amp;xlookup($Y10,teams,xlookup("r1rd",header,swissdata)),xlookup($Y10,teams,xlookup("r1rd",header,swissdata)))</f>
        <v>0</v>
      </c>
      <c r="CR14" s="11"/>
      <c r="CS14" s="195" t="str">
        <f t="array" ref="CS14">xlookup($Y10,teams,xlookup("r2gw",header,swissdata))&amp;"-"&amp;xlookup($Y10,teams,xlookup("r2gl",header,swissdata))</f>
        <v>-</v>
      </c>
      <c r="CW14" s="196"/>
      <c r="CX14" s="196">
        <f t="array" ref="CX14">if(xlookup($Y10,teams,xlookup("r2rd",header,swissdata))&gt;0,"+"&amp;xlookup($Y10,teams,xlookup("r2rd",header,swissdata)),xlookup($Y10,teams,xlookup("r2rd",header,swissdata)))</f>
        <v>0</v>
      </c>
      <c r="DA14" s="11"/>
      <c r="DB14" s="195" t="str">
        <f t="array" ref="DB14">xlookup($Y10,teams,xlookup("r3gw",header,swissdata))&amp;"-"&amp;xlookup($Y10,teams,xlookup("r3gl",header,swissdata))</f>
        <v>-</v>
      </c>
      <c r="DF14" s="196"/>
      <c r="DG14" s="196">
        <f t="array" ref="DG14">if(xlookup($Y10,teams,xlookup("r3rd",header,swissdata))&gt;0,"+"&amp;xlookup($Y10,teams,xlookup("r3rd",header,swissdata)),xlookup($Y10,teams,xlookup("r3rd",header,swissdata)))</f>
        <v>0</v>
      </c>
      <c r="DJ14" s="11"/>
      <c r="DK14" s="195"/>
      <c r="DO14" s="196"/>
      <c r="DP14" s="196"/>
      <c r="DS14" s="11"/>
      <c r="DT14" s="195"/>
      <c r="DX14" s="196"/>
      <c r="DY14" s="196"/>
      <c r="EB14" s="11"/>
      <c r="EC14" s="152"/>
      <c r="ED14" s="152"/>
      <c r="EE14" s="152"/>
      <c r="EF14" s="152"/>
      <c r="EG14" s="152"/>
      <c r="EH14" s="152"/>
      <c r="EI14" s="152"/>
      <c r="EJ14" s="152"/>
      <c r="EK14" s="152"/>
      <c r="EL14" s="152"/>
      <c r="EM14" s="152"/>
      <c r="EN14" s="152"/>
      <c r="EO14" s="152"/>
      <c r="EP14" s="152"/>
      <c r="EQ14" s="152"/>
      <c r="ER14" s="152"/>
    </row>
    <row r="15" ht="5.25" customHeight="1">
      <c r="A15" s="152"/>
      <c r="B15" s="152"/>
      <c r="C15" s="152"/>
      <c r="D15" s="152"/>
      <c r="E15" s="152"/>
      <c r="F15" s="152"/>
      <c r="G15" s="152"/>
      <c r="H15" s="152"/>
      <c r="I15" s="152"/>
      <c r="J15" s="152"/>
      <c r="K15" s="152"/>
      <c r="L15" s="152"/>
      <c r="Q15" s="152"/>
      <c r="R15" s="10"/>
      <c r="X15" s="189"/>
      <c r="BB15" s="189"/>
      <c r="BK15" s="189"/>
      <c r="BT15" s="189"/>
      <c r="CC15" s="189"/>
      <c r="CI15" s="194"/>
      <c r="CJ15" s="10"/>
      <c r="CR15" s="11"/>
      <c r="CS15" s="10"/>
      <c r="DA15" s="11"/>
      <c r="DB15" s="10"/>
      <c r="DJ15" s="11"/>
      <c r="DK15" s="10"/>
      <c r="DS15" s="11"/>
      <c r="DT15" s="10"/>
      <c r="EB15" s="11"/>
      <c r="EC15" s="152"/>
      <c r="ED15" s="152"/>
      <c r="EE15" s="152"/>
      <c r="EF15" s="152"/>
      <c r="EG15" s="152"/>
      <c r="EH15" s="152"/>
      <c r="EI15" s="152"/>
      <c r="EJ15" s="152"/>
      <c r="EK15" s="152"/>
      <c r="EL15" s="152"/>
      <c r="EM15" s="152"/>
      <c r="EN15" s="152"/>
      <c r="EO15" s="152"/>
      <c r="EP15" s="152"/>
      <c r="EQ15" s="152"/>
      <c r="ER15" s="152"/>
    </row>
    <row r="16" ht="5.25" customHeight="1">
      <c r="A16" s="152"/>
      <c r="B16" s="152"/>
      <c r="C16" s="152"/>
      <c r="D16" s="152"/>
      <c r="E16" s="152"/>
      <c r="F16" s="152"/>
      <c r="G16" s="152"/>
      <c r="H16" s="152"/>
      <c r="I16" s="152"/>
      <c r="J16" s="152"/>
      <c r="K16" s="152"/>
      <c r="L16" s="152"/>
      <c r="Q16" s="152"/>
      <c r="R16" s="197"/>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98"/>
      <c r="AU16" s="198"/>
      <c r="AV16" s="198"/>
      <c r="AW16" s="198"/>
      <c r="AX16" s="198"/>
      <c r="AY16" s="198"/>
      <c r="AZ16" s="198"/>
      <c r="BA16" s="198"/>
      <c r="BB16" s="198"/>
      <c r="BC16" s="198"/>
      <c r="BD16" s="198"/>
      <c r="BE16" s="198"/>
      <c r="BF16" s="198"/>
      <c r="BG16" s="198"/>
      <c r="BH16" s="198"/>
      <c r="BI16" s="198"/>
      <c r="BJ16" s="198"/>
      <c r="BK16" s="198"/>
      <c r="BL16" s="198"/>
      <c r="BM16" s="198"/>
      <c r="BN16" s="198"/>
      <c r="BO16" s="198"/>
      <c r="BP16" s="198"/>
      <c r="BQ16" s="198"/>
      <c r="BR16" s="198"/>
      <c r="BS16" s="198"/>
      <c r="BT16" s="198"/>
      <c r="BU16" s="198"/>
      <c r="BV16" s="198"/>
      <c r="BW16" s="198"/>
      <c r="BX16" s="198"/>
      <c r="BY16" s="198"/>
      <c r="BZ16" s="198"/>
      <c r="CA16" s="198"/>
      <c r="CB16" s="198"/>
      <c r="CC16" s="198"/>
      <c r="CD16" s="198"/>
      <c r="CE16" s="198"/>
      <c r="CF16" s="198"/>
      <c r="CG16" s="198"/>
      <c r="CH16" s="198"/>
      <c r="CI16" s="199"/>
      <c r="CJ16" s="12"/>
      <c r="CK16" s="13"/>
      <c r="CL16" s="13"/>
      <c r="CM16" s="13"/>
      <c r="CN16" s="13"/>
      <c r="CO16" s="13"/>
      <c r="CP16" s="13"/>
      <c r="CQ16" s="13"/>
      <c r="CR16" s="14"/>
      <c r="CS16" s="12"/>
      <c r="CT16" s="13"/>
      <c r="CU16" s="13"/>
      <c r="CV16" s="13"/>
      <c r="CW16" s="13"/>
      <c r="CX16" s="13"/>
      <c r="CY16" s="13"/>
      <c r="CZ16" s="13"/>
      <c r="DA16" s="14"/>
      <c r="DB16" s="12"/>
      <c r="DC16" s="13"/>
      <c r="DD16" s="13"/>
      <c r="DE16" s="13"/>
      <c r="DF16" s="13"/>
      <c r="DG16" s="13"/>
      <c r="DH16" s="13"/>
      <c r="DI16" s="13"/>
      <c r="DJ16" s="14"/>
      <c r="DK16" s="12"/>
      <c r="DL16" s="13"/>
      <c r="DM16" s="13"/>
      <c r="DN16" s="13"/>
      <c r="DO16" s="13"/>
      <c r="DP16" s="13"/>
      <c r="DQ16" s="13"/>
      <c r="DR16" s="13"/>
      <c r="DS16" s="14"/>
      <c r="DT16" s="12"/>
      <c r="DU16" s="13"/>
      <c r="DV16" s="13"/>
      <c r="DW16" s="13"/>
      <c r="DX16" s="13"/>
      <c r="DY16" s="13"/>
      <c r="DZ16" s="13"/>
      <c r="EA16" s="13"/>
      <c r="EB16" s="14"/>
      <c r="EC16" s="152"/>
      <c r="ED16" s="152"/>
      <c r="EE16" s="152"/>
      <c r="EF16" s="152"/>
      <c r="EG16" s="152"/>
      <c r="EH16" s="152"/>
      <c r="EI16" s="152"/>
      <c r="EJ16" s="152"/>
      <c r="EK16" s="152"/>
      <c r="EL16" s="152"/>
      <c r="EM16" s="152"/>
      <c r="EN16" s="152"/>
      <c r="EO16" s="152"/>
      <c r="EP16" s="152"/>
      <c r="EQ16" s="152"/>
      <c r="ER16" s="152"/>
    </row>
    <row r="17" ht="5.25" customHeight="1">
      <c r="A17" s="152"/>
      <c r="B17" s="152"/>
      <c r="C17" s="152"/>
      <c r="D17" s="152"/>
      <c r="E17" s="152"/>
      <c r="F17" s="152"/>
      <c r="G17" s="152"/>
      <c r="H17" s="152"/>
      <c r="I17" s="152"/>
      <c r="J17" s="152"/>
      <c r="K17" s="152"/>
      <c r="L17" s="152"/>
      <c r="M17" s="177" t="str">
        <f>Q17&amp;"."</f>
        <v>2.</v>
      </c>
      <c r="Q17" s="181">
        <v>2.0</v>
      </c>
      <c r="R17" s="182"/>
      <c r="S17" s="183"/>
      <c r="T17" s="183"/>
      <c r="U17" s="183"/>
      <c r="V17" s="183"/>
      <c r="W17" s="183"/>
      <c r="X17" s="183"/>
      <c r="Y17" s="183"/>
      <c r="Z17" s="183"/>
      <c r="AA17" s="183"/>
      <c r="AB17" s="183"/>
      <c r="AC17" s="183"/>
      <c r="AD17" s="183"/>
      <c r="AE17" s="183"/>
      <c r="AF17" s="183"/>
      <c r="AG17" s="183"/>
      <c r="AH17" s="183"/>
      <c r="AI17" s="183"/>
      <c r="AJ17" s="183"/>
      <c r="AK17" s="183"/>
      <c r="AL17" s="183"/>
      <c r="AM17" s="183"/>
      <c r="AN17" s="183"/>
      <c r="AO17" s="183"/>
      <c r="AP17" s="183"/>
      <c r="AQ17" s="183"/>
      <c r="AR17" s="183"/>
      <c r="AS17" s="183"/>
      <c r="AT17" s="183"/>
      <c r="AU17" s="183"/>
      <c r="AV17" s="183"/>
      <c r="AW17" s="183"/>
      <c r="AX17" s="183"/>
      <c r="AY17" s="183"/>
      <c r="AZ17" s="183"/>
      <c r="BA17" s="183"/>
      <c r="BB17" s="183"/>
      <c r="BC17" s="183"/>
      <c r="BD17" s="183"/>
      <c r="BE17" s="183"/>
      <c r="BF17" s="183"/>
      <c r="BG17" s="183"/>
      <c r="BH17" s="183"/>
      <c r="BI17" s="183"/>
      <c r="BJ17" s="183"/>
      <c r="BK17" s="183"/>
      <c r="BL17" s="183"/>
      <c r="BM17" s="183"/>
      <c r="BN17" s="183"/>
      <c r="BO17" s="183"/>
      <c r="BP17" s="183"/>
      <c r="BQ17" s="183"/>
      <c r="BR17" s="183"/>
      <c r="BS17" s="183"/>
      <c r="BT17" s="183"/>
      <c r="BU17" s="183"/>
      <c r="BV17" s="183"/>
      <c r="BW17" s="183"/>
      <c r="BX17" s="183"/>
      <c r="BY17" s="183"/>
      <c r="BZ17" s="183"/>
      <c r="CA17" s="183"/>
      <c r="CB17" s="183"/>
      <c r="CC17" s="183"/>
      <c r="CD17" s="183"/>
      <c r="CE17" s="183"/>
      <c r="CF17" s="183"/>
      <c r="CG17" s="183"/>
      <c r="CH17" s="183"/>
      <c r="CI17" s="183"/>
      <c r="CJ17" s="185" t="str">
        <f t="array" ref="CJ17">xlookup($Y18,data!$N$2:$N$17,xlookup("r1Ser",data!$P$1:$BR$1,data!$P$2:$BR$17,""))</f>
        <v/>
      </c>
      <c r="CK17" s="8"/>
      <c r="CL17" s="186" t="str">
        <f t="array" ref="CL17">xlookup(xlookup($Y18,data!$N$2:$N$17,xlookup("r1op",data!$P$1:$BR$1,data!$P$2:$BR$17,"")),data!$M$2:$M$17,data!$O$2:$O$17,"")</f>
        <v/>
      </c>
      <c r="CM17" s="8"/>
      <c r="CN17" s="8"/>
      <c r="CO17" s="8"/>
      <c r="CP17" s="8"/>
      <c r="CQ17" s="187"/>
      <c r="CR17" s="9"/>
      <c r="CS17" s="185" t="str">
        <f t="array" ref="CS17">xlookup($Y18,data!$N$2:$N$17,xlookup("r2Ser",data!$P$1:$BR$1,data!$P$2:$BR$17,""))</f>
        <v/>
      </c>
      <c r="CT17" s="8"/>
      <c r="CU17" s="186" t="str">
        <f t="array" ref="CU17">xlookup(xlookup($Y18,data!$N$2:$N$17,xlookup("r2op",data!$P$1:$BR$1,data!$P$2:$BR$17,"")),data!$M$2:$M$17,data!$O$2:$O$17,"")</f>
        <v/>
      </c>
      <c r="CV17" s="8"/>
      <c r="CW17" s="8"/>
      <c r="CX17" s="8"/>
      <c r="CY17" s="8"/>
      <c r="CZ17" s="187"/>
      <c r="DA17" s="9"/>
      <c r="DB17" s="185" t="str">
        <f t="array" ref="DB17">xlookup($Y18,data!$N$2:$N$17,xlookup("r3Ser",data!$P$1:$BR$1,data!$P$2:$BR$17,""))</f>
        <v/>
      </c>
      <c r="DC17" s="8"/>
      <c r="DD17" s="186" t="str">
        <f t="array" ref="DD17">xlookup(xlookup($Y18,data!$N$2:$N$17,xlookup("r3op",data!$P$1:$BR$1,data!$P$2:$BR$17,"")),data!$M$2:$M$17,data!$O$2:$O$17,"")</f>
        <v/>
      </c>
      <c r="DE17" s="8"/>
      <c r="DF17" s="8"/>
      <c r="DG17" s="8"/>
      <c r="DH17" s="8"/>
      <c r="DI17" s="187"/>
      <c r="DJ17" s="9"/>
      <c r="DK17" s="185" t="str">
        <f t="array" ref="DK17">xlookup($Y18,data!$N$2:$N$17,xlookup("r4Ser",data!$P$1:$BR$1,data!$P$2:$BR$17,""))</f>
        <v/>
      </c>
      <c r="DL17" s="8"/>
      <c r="DM17" s="186" t="str">
        <f t="array" ref="DM17">xlookup(xlookup($Y18,data!$N$2:$N$17,xlookup("r4op",data!$P$1:$BR$1,data!$P$2:$BR$17,"")),data!$M$2:$M$17,data!$O$2:$O$17,"")</f>
        <v/>
      </c>
      <c r="DN17" s="8"/>
      <c r="DO17" s="8"/>
      <c r="DP17" s="8"/>
      <c r="DQ17" s="8"/>
      <c r="DR17" s="187"/>
      <c r="DS17" s="9"/>
      <c r="DT17" s="185" t="str">
        <f t="array" ref="DT17">xlookup($Y18,data!$N$2:$N$17,xlookup("r5Ser",data!$P$1:$BR$1,data!$P$2:$BR$17,""))</f>
        <v/>
      </c>
      <c r="DU17" s="8"/>
      <c r="DV17" s="186" t="str">
        <f t="array" ref="DV17">xlookup(xlookup($Y18,data!$N$2:$N$17,xlookup("r5op",data!$P$1:$BR$1,data!$P$2:$BR$17,"")),data!$M$2:$M$17,data!$O$2:$O$17,"")</f>
        <v/>
      </c>
      <c r="DW17" s="8"/>
      <c r="DX17" s="8"/>
      <c r="DY17" s="8"/>
      <c r="DZ17" s="8"/>
      <c r="EA17" s="187"/>
      <c r="EB17" s="9"/>
      <c r="EC17" s="152"/>
      <c r="ED17" s="152"/>
      <c r="EE17" s="152"/>
      <c r="EF17" s="152"/>
      <c r="EG17" s="152"/>
      <c r="EH17" s="152"/>
      <c r="EI17" s="152"/>
      <c r="EJ17" s="152"/>
      <c r="EK17" s="152"/>
      <c r="EL17" s="152"/>
      <c r="EM17" s="152"/>
      <c r="EN17" s="152"/>
      <c r="EO17" s="152"/>
      <c r="EP17" s="152"/>
      <c r="EQ17" s="152"/>
      <c r="ER17" s="152"/>
    </row>
    <row r="18" ht="5.25" customHeight="1">
      <c r="A18" s="152"/>
      <c r="B18" s="152"/>
      <c r="C18" s="152"/>
      <c r="D18" s="152"/>
      <c r="E18" s="152"/>
      <c r="F18" s="152"/>
      <c r="G18" s="152"/>
      <c r="H18" s="152"/>
      <c r="I18" s="152"/>
      <c r="J18" s="152"/>
      <c r="K18" s="152"/>
      <c r="L18" s="152"/>
      <c r="Q18" s="152"/>
      <c r="R18" s="188" t="str">
        <f t="array" ref="R18">xlookup(Y18,data!$N$2:$N$17,data!$O$2:$O$17,"")</f>
        <v/>
      </c>
      <c r="X18" s="189"/>
      <c r="Y18" s="190" t="str">
        <f t="array" ref="Y18">xlookup(Q17,data!$G$24:$G$39,data!$A$24:$A$39,"")</f>
        <v>Team 2 (Group 2)</v>
      </c>
      <c r="BB18" s="189"/>
      <c r="BC18" s="191" t="str">
        <f t="array" ref="BC18">xlookup(Y18,data!$A$24:$A$39,data!$B$24:$B$39,"")</f>
        <v>0-0</v>
      </c>
      <c r="BK18" s="189"/>
      <c r="BL18" s="192" t="str">
        <f t="array" ref="BL18">xlookup(Y18,data!$A$24:$A$39,data!$C$24:$C$39,"")</f>
        <v>0-0</v>
      </c>
      <c r="BT18" s="189"/>
      <c r="BU18" s="193" t="str">
        <f t="array" ref="BU18">xlookup(Y18,data!$A$24:$A$39,data!$D$24:$D$39,"")</f>
        <v>0-0</v>
      </c>
      <c r="CC18" s="189"/>
      <c r="CD18" s="193">
        <f t="array" ref="CD18">xlookup(Y18,data!$A$24:$A$39,data!$F$24:$F$39,"")</f>
        <v>0</v>
      </c>
      <c r="CI18" s="189"/>
      <c r="CJ18" s="10"/>
      <c r="CR18" s="11"/>
      <c r="CS18" s="10"/>
      <c r="DA18" s="11"/>
      <c r="DB18" s="10"/>
      <c r="DJ18" s="11"/>
      <c r="DK18" s="10"/>
      <c r="DS18" s="11"/>
      <c r="DT18" s="10"/>
      <c r="EB18" s="11"/>
      <c r="EC18" s="152"/>
      <c r="ED18" s="152"/>
      <c r="EE18" s="152"/>
      <c r="EF18" s="152"/>
      <c r="EG18" s="152"/>
      <c r="EH18" s="152"/>
      <c r="EI18" s="152"/>
      <c r="EJ18" s="152"/>
      <c r="EK18" s="152"/>
      <c r="EL18" s="152"/>
      <c r="EM18" s="152"/>
      <c r="EN18" s="152"/>
      <c r="EO18" s="152"/>
      <c r="EP18" s="152"/>
      <c r="EQ18" s="152"/>
      <c r="ER18" s="152"/>
    </row>
    <row r="19" ht="5.25" customHeight="1">
      <c r="A19" s="152"/>
      <c r="B19" s="152"/>
      <c r="C19" s="152"/>
      <c r="D19" s="152"/>
      <c r="E19" s="152"/>
      <c r="F19" s="152"/>
      <c r="G19" s="152"/>
      <c r="H19" s="152"/>
      <c r="I19" s="152"/>
      <c r="J19" s="152"/>
      <c r="K19" s="152"/>
      <c r="L19" s="152"/>
      <c r="Q19" s="152"/>
      <c r="R19" s="10"/>
      <c r="X19" s="189"/>
      <c r="BB19" s="189"/>
      <c r="BK19" s="189"/>
      <c r="BT19" s="189"/>
      <c r="CC19" s="189"/>
      <c r="CI19" s="189"/>
      <c r="CJ19" s="10"/>
      <c r="CR19" s="11"/>
      <c r="CS19" s="10"/>
      <c r="DA19" s="11"/>
      <c r="DB19" s="10"/>
      <c r="DJ19" s="11"/>
      <c r="DK19" s="10"/>
      <c r="DS19" s="11"/>
      <c r="DT19" s="10"/>
      <c r="EB19" s="11"/>
      <c r="EC19" s="152"/>
      <c r="ED19" s="152"/>
      <c r="EE19" s="152"/>
      <c r="EF19" s="152"/>
      <c r="EG19" s="152"/>
      <c r="EH19" s="152"/>
      <c r="EI19" s="152"/>
      <c r="EJ19" s="152"/>
      <c r="EK19" s="152"/>
      <c r="EL19" s="152"/>
      <c r="EM19" s="152"/>
      <c r="EN19" s="152"/>
      <c r="EO19" s="152"/>
      <c r="EP19" s="152"/>
      <c r="EQ19" s="152"/>
      <c r="ER19" s="152"/>
    </row>
    <row r="20" ht="5.25" customHeight="1">
      <c r="A20" s="152"/>
      <c r="B20" s="152"/>
      <c r="C20" s="152"/>
      <c r="D20" s="152"/>
      <c r="E20" s="152"/>
      <c r="F20" s="152"/>
      <c r="G20" s="152"/>
      <c r="H20" s="152"/>
      <c r="I20" s="152"/>
      <c r="J20" s="152"/>
      <c r="K20" s="152"/>
      <c r="L20" s="152"/>
      <c r="Q20" s="152"/>
      <c r="R20" s="10"/>
      <c r="X20" s="189"/>
      <c r="BB20" s="189"/>
      <c r="BK20" s="189"/>
      <c r="BT20" s="189"/>
      <c r="CC20" s="189"/>
      <c r="CI20" s="189"/>
      <c r="CJ20" s="10"/>
      <c r="CR20" s="11"/>
      <c r="CS20" s="10"/>
      <c r="DA20" s="11"/>
      <c r="DB20" s="10"/>
      <c r="DJ20" s="11"/>
      <c r="DK20" s="10"/>
      <c r="DS20" s="11"/>
      <c r="DT20" s="10"/>
      <c r="EB20" s="11"/>
      <c r="EC20" s="152"/>
      <c r="ED20" s="152"/>
      <c r="EE20" s="152"/>
      <c r="EF20" s="152"/>
      <c r="EG20" s="152"/>
      <c r="EH20" s="152"/>
      <c r="EI20" s="152"/>
      <c r="EJ20" s="152"/>
      <c r="EK20" s="152"/>
      <c r="EL20" s="152"/>
      <c r="EM20" s="152"/>
      <c r="EN20" s="152"/>
      <c r="EO20" s="152"/>
      <c r="EP20" s="152"/>
      <c r="EQ20" s="152"/>
      <c r="ER20" s="152"/>
    </row>
    <row r="21" ht="5.25" customHeight="1">
      <c r="A21" s="152"/>
      <c r="B21" s="152"/>
      <c r="C21" s="152"/>
      <c r="D21" s="152"/>
      <c r="E21" s="152"/>
      <c r="F21" s="152"/>
      <c r="G21" s="152"/>
      <c r="H21" s="152"/>
      <c r="I21" s="152"/>
      <c r="J21" s="152"/>
      <c r="K21" s="152"/>
      <c r="L21" s="152"/>
      <c r="Q21" s="152"/>
      <c r="R21" s="10"/>
      <c r="X21" s="189"/>
      <c r="BB21" s="189"/>
      <c r="BK21" s="189"/>
      <c r="BT21" s="189"/>
      <c r="CC21" s="189"/>
      <c r="CI21" s="189"/>
      <c r="CJ21" s="10"/>
      <c r="CR21" s="11"/>
      <c r="CS21" s="10"/>
      <c r="DA21" s="11"/>
      <c r="DB21" s="10"/>
      <c r="DJ21" s="11"/>
      <c r="DK21" s="10"/>
      <c r="DS21" s="11"/>
      <c r="DT21" s="10"/>
      <c r="EB21" s="11"/>
      <c r="EC21" s="152"/>
      <c r="ED21" s="152"/>
      <c r="EE21" s="152"/>
      <c r="EF21" s="152"/>
      <c r="EG21" s="152"/>
      <c r="EH21" s="152"/>
      <c r="EI21" s="152"/>
      <c r="EJ21" s="152"/>
      <c r="EK21" s="152"/>
      <c r="EL21" s="152"/>
      <c r="EM21" s="152"/>
      <c r="EN21" s="152"/>
      <c r="EO21" s="152"/>
      <c r="EP21" s="152"/>
      <c r="EQ21" s="152"/>
      <c r="ER21" s="152"/>
    </row>
    <row r="22" ht="5.25" customHeight="1">
      <c r="A22" s="152"/>
      <c r="B22" s="152"/>
      <c r="C22" s="152"/>
      <c r="D22" s="152"/>
      <c r="E22" s="152"/>
      <c r="F22" s="152"/>
      <c r="G22" s="152"/>
      <c r="H22" s="152"/>
      <c r="I22" s="152"/>
      <c r="J22" s="152"/>
      <c r="K22" s="152"/>
      <c r="L22" s="152"/>
      <c r="Q22" s="152"/>
      <c r="R22" s="10"/>
      <c r="X22" s="189"/>
      <c r="BB22" s="189"/>
      <c r="BK22" s="189"/>
      <c r="BT22" s="189"/>
      <c r="CC22" s="189"/>
      <c r="CI22" s="189"/>
      <c r="CJ22" s="195" t="str">
        <f t="array" ref="CJ22">xlookup($Y18,teams,xlookup("r1gw",header,swissdata))&amp;"-"&amp;xlookup($Y18,teams,xlookup("r1gl",header,swissdata))</f>
        <v>-</v>
      </c>
      <c r="CN22" s="196"/>
      <c r="CO22" s="196">
        <f t="array" ref="CO22">if(xlookup($Y18,teams,xlookup("r1rd",header,swissdata))&gt;0,"+"&amp;xlookup($Y18,teams,xlookup("r1rd",header,swissdata)),xlookup($Y18,teams,xlookup("r1rd",header,swissdata)))</f>
        <v>0</v>
      </c>
      <c r="CR22" s="11"/>
      <c r="CS22" s="195" t="str">
        <f t="array" ref="CS22">xlookup($Y18,teams,xlookup("r2gw",header,swissdata))&amp;"-"&amp;xlookup($Y18,teams,xlookup("r2gl",header,swissdata))</f>
        <v>-</v>
      </c>
      <c r="CW22" s="196"/>
      <c r="CX22" s="196">
        <f t="array" ref="CX22">if(xlookup($Y18,teams,xlookup("r2rd",header,swissdata))&gt;0,"+"&amp;xlookup($Y18,teams,xlookup("r2rd",header,swissdata)),xlookup($Y18,teams,xlookup("r2rd",header,swissdata)))</f>
        <v>0</v>
      </c>
      <c r="DA22" s="11"/>
      <c r="DB22" s="195" t="str">
        <f t="array" ref="DB22">xlookup($Y18,teams,xlookup("r3gw",header,swissdata))&amp;"-"&amp;xlookup($Y18,teams,xlookup("r3gl",header,swissdata))</f>
        <v>-</v>
      </c>
      <c r="DF22" s="196"/>
      <c r="DG22" s="196">
        <f t="array" ref="DG22">if(xlookup($Y18,teams,xlookup("r3rd",header,swissdata))&gt;0,"+"&amp;xlookup($Y18,teams,xlookup("r3rd",header,swissdata)),xlookup($Y18,teams,xlookup("r3rd",header,swissdata)))</f>
        <v>0</v>
      </c>
      <c r="DJ22" s="11"/>
      <c r="DK22" s="195"/>
      <c r="DO22" s="196"/>
      <c r="DP22" s="196"/>
      <c r="DS22" s="11"/>
      <c r="DT22" s="195"/>
      <c r="DX22" s="196"/>
      <c r="DY22" s="196"/>
      <c r="EB22" s="11"/>
      <c r="EC22" s="152"/>
      <c r="ED22" s="152"/>
      <c r="EE22" s="152"/>
      <c r="EF22" s="152"/>
      <c r="EG22" s="152"/>
      <c r="EH22" s="152"/>
      <c r="EI22" s="152"/>
      <c r="EJ22" s="152"/>
      <c r="EK22" s="152"/>
      <c r="EL22" s="152"/>
      <c r="EM22" s="152"/>
      <c r="EN22" s="152"/>
      <c r="EO22" s="152"/>
      <c r="EP22" s="152"/>
      <c r="EQ22" s="152"/>
      <c r="ER22" s="152"/>
    </row>
    <row r="23" ht="5.25" customHeight="1">
      <c r="A23" s="152"/>
      <c r="B23" s="152"/>
      <c r="C23" s="152"/>
      <c r="D23" s="152"/>
      <c r="E23" s="152"/>
      <c r="F23" s="152"/>
      <c r="G23" s="152"/>
      <c r="H23" s="152"/>
      <c r="I23" s="152"/>
      <c r="J23" s="152"/>
      <c r="K23" s="152"/>
      <c r="L23" s="152"/>
      <c r="Q23" s="152"/>
      <c r="R23" s="10"/>
      <c r="X23" s="189"/>
      <c r="BB23" s="189"/>
      <c r="BK23" s="189"/>
      <c r="BT23" s="189"/>
      <c r="CC23" s="189"/>
      <c r="CI23" s="189"/>
      <c r="CJ23" s="10"/>
      <c r="CR23" s="11"/>
      <c r="CS23" s="10"/>
      <c r="DA23" s="11"/>
      <c r="DB23" s="10"/>
      <c r="DJ23" s="11"/>
      <c r="DK23" s="10"/>
      <c r="DS23" s="11"/>
      <c r="DT23" s="10"/>
      <c r="EB23" s="11"/>
      <c r="EC23" s="152"/>
      <c r="ED23" s="152"/>
      <c r="EE23" s="152"/>
      <c r="EF23" s="152"/>
      <c r="EG23" s="152"/>
      <c r="EH23" s="152"/>
      <c r="EI23" s="152"/>
      <c r="EJ23" s="152"/>
      <c r="EK23" s="152"/>
      <c r="EL23" s="152"/>
      <c r="EM23" s="152"/>
      <c r="EN23" s="152"/>
      <c r="EO23" s="152"/>
      <c r="EP23" s="152"/>
      <c r="EQ23" s="152"/>
      <c r="ER23" s="152"/>
    </row>
    <row r="24" ht="5.25" customHeight="1">
      <c r="A24" s="152"/>
      <c r="B24" s="152"/>
      <c r="C24" s="152"/>
      <c r="D24" s="152"/>
      <c r="E24" s="152"/>
      <c r="F24" s="152"/>
      <c r="G24" s="152"/>
      <c r="H24" s="152"/>
      <c r="I24" s="152"/>
      <c r="J24" s="152"/>
      <c r="K24" s="152"/>
      <c r="L24" s="152"/>
      <c r="Q24" s="152"/>
      <c r="R24" s="197"/>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c r="BA24" s="198"/>
      <c r="BB24" s="198"/>
      <c r="BC24" s="198"/>
      <c r="BD24" s="198"/>
      <c r="BE24" s="198"/>
      <c r="BF24" s="198"/>
      <c r="BG24" s="198"/>
      <c r="BH24" s="198"/>
      <c r="BI24" s="198"/>
      <c r="BJ24" s="198"/>
      <c r="BK24" s="198"/>
      <c r="BL24" s="198"/>
      <c r="BM24" s="198"/>
      <c r="BN24" s="198"/>
      <c r="BO24" s="198"/>
      <c r="BP24" s="198"/>
      <c r="BQ24" s="198"/>
      <c r="BR24" s="198"/>
      <c r="BS24" s="198"/>
      <c r="BT24" s="198"/>
      <c r="BU24" s="198"/>
      <c r="BV24" s="198"/>
      <c r="BW24" s="198"/>
      <c r="BX24" s="198"/>
      <c r="BY24" s="198"/>
      <c r="BZ24" s="198"/>
      <c r="CA24" s="198"/>
      <c r="CB24" s="198"/>
      <c r="CC24" s="198"/>
      <c r="CD24" s="198"/>
      <c r="CE24" s="198"/>
      <c r="CF24" s="198"/>
      <c r="CG24" s="198"/>
      <c r="CH24" s="198"/>
      <c r="CI24" s="198"/>
      <c r="CJ24" s="12"/>
      <c r="CK24" s="13"/>
      <c r="CL24" s="13"/>
      <c r="CM24" s="13"/>
      <c r="CN24" s="13"/>
      <c r="CO24" s="13"/>
      <c r="CP24" s="13"/>
      <c r="CQ24" s="13"/>
      <c r="CR24" s="14"/>
      <c r="CS24" s="12"/>
      <c r="CT24" s="13"/>
      <c r="CU24" s="13"/>
      <c r="CV24" s="13"/>
      <c r="CW24" s="13"/>
      <c r="CX24" s="13"/>
      <c r="CY24" s="13"/>
      <c r="CZ24" s="13"/>
      <c r="DA24" s="14"/>
      <c r="DB24" s="12"/>
      <c r="DC24" s="13"/>
      <c r="DD24" s="13"/>
      <c r="DE24" s="13"/>
      <c r="DF24" s="13"/>
      <c r="DG24" s="13"/>
      <c r="DH24" s="13"/>
      <c r="DI24" s="13"/>
      <c r="DJ24" s="14"/>
      <c r="DK24" s="12"/>
      <c r="DL24" s="13"/>
      <c r="DM24" s="13"/>
      <c r="DN24" s="13"/>
      <c r="DO24" s="13"/>
      <c r="DP24" s="13"/>
      <c r="DQ24" s="13"/>
      <c r="DR24" s="13"/>
      <c r="DS24" s="14"/>
      <c r="DT24" s="12"/>
      <c r="DU24" s="13"/>
      <c r="DV24" s="13"/>
      <c r="DW24" s="13"/>
      <c r="DX24" s="13"/>
      <c r="DY24" s="13"/>
      <c r="DZ24" s="13"/>
      <c r="EA24" s="13"/>
      <c r="EB24" s="14"/>
      <c r="EC24" s="152"/>
      <c r="ED24" s="152"/>
      <c r="EE24" s="152"/>
      <c r="EF24" s="152"/>
      <c r="EG24" s="152"/>
      <c r="EH24" s="152"/>
      <c r="EI24" s="152"/>
      <c r="EJ24" s="152"/>
      <c r="EK24" s="152"/>
      <c r="EL24" s="152"/>
      <c r="EM24" s="152"/>
      <c r="EN24" s="152"/>
      <c r="EO24" s="152"/>
      <c r="EP24" s="152"/>
      <c r="EQ24" s="152"/>
      <c r="ER24" s="152"/>
    </row>
    <row r="25" ht="5.25" customHeight="1">
      <c r="A25" s="152"/>
      <c r="B25" s="152"/>
      <c r="C25" s="152"/>
      <c r="D25" s="152"/>
      <c r="E25" s="152"/>
      <c r="F25" s="152"/>
      <c r="G25" s="152"/>
      <c r="H25" s="152"/>
      <c r="I25" s="152"/>
      <c r="J25" s="152"/>
      <c r="K25" s="152"/>
      <c r="L25" s="152"/>
      <c r="M25" s="177" t="str">
        <f>Q25&amp;"."</f>
        <v>3.</v>
      </c>
      <c r="Q25" s="181">
        <v>3.0</v>
      </c>
      <c r="R25" s="182"/>
      <c r="S25" s="183"/>
      <c r="T25" s="183"/>
      <c r="U25" s="183"/>
      <c r="V25" s="183"/>
      <c r="W25" s="183"/>
      <c r="X25" s="183"/>
      <c r="Y25" s="183"/>
      <c r="Z25" s="183"/>
      <c r="AA25" s="183"/>
      <c r="AB25" s="183"/>
      <c r="AC25" s="183"/>
      <c r="AD25" s="183"/>
      <c r="AE25" s="183"/>
      <c r="AF25" s="183"/>
      <c r="AG25" s="183"/>
      <c r="AH25" s="183"/>
      <c r="AI25" s="183"/>
      <c r="AJ25" s="183"/>
      <c r="AK25" s="183"/>
      <c r="AL25" s="183"/>
      <c r="AM25" s="183"/>
      <c r="AN25" s="183"/>
      <c r="AO25" s="183"/>
      <c r="AP25" s="183"/>
      <c r="AQ25" s="183"/>
      <c r="AR25" s="183"/>
      <c r="AS25" s="183"/>
      <c r="AT25" s="183"/>
      <c r="AU25" s="183"/>
      <c r="AV25" s="183"/>
      <c r="AW25" s="183"/>
      <c r="AX25" s="183"/>
      <c r="AY25" s="183"/>
      <c r="AZ25" s="183"/>
      <c r="BA25" s="183"/>
      <c r="BB25" s="183"/>
      <c r="BC25" s="183"/>
      <c r="BD25" s="183"/>
      <c r="BE25" s="183"/>
      <c r="BF25" s="183"/>
      <c r="BG25" s="183"/>
      <c r="BH25" s="183"/>
      <c r="BI25" s="183"/>
      <c r="BJ25" s="183"/>
      <c r="BK25" s="183"/>
      <c r="BL25" s="183"/>
      <c r="BM25" s="183"/>
      <c r="BN25" s="183"/>
      <c r="BO25" s="183"/>
      <c r="BP25" s="183"/>
      <c r="BQ25" s="183"/>
      <c r="BR25" s="183"/>
      <c r="BS25" s="183"/>
      <c r="BT25" s="183"/>
      <c r="BU25" s="183"/>
      <c r="BV25" s="183"/>
      <c r="BW25" s="183"/>
      <c r="BX25" s="183"/>
      <c r="BY25" s="183"/>
      <c r="BZ25" s="183"/>
      <c r="CA25" s="183"/>
      <c r="CB25" s="183"/>
      <c r="CC25" s="183"/>
      <c r="CD25" s="183"/>
      <c r="CE25" s="183"/>
      <c r="CF25" s="183"/>
      <c r="CG25" s="183"/>
      <c r="CH25" s="183"/>
      <c r="CI25" s="183"/>
      <c r="CJ25" s="185" t="str">
        <f t="array" ref="CJ25">xlookup($Y26,data!$N$2:$N$17,xlookup("r1Ser",data!$P$1:$BR$1,data!$P$2:$BR$17,""))</f>
        <v/>
      </c>
      <c r="CK25" s="8"/>
      <c r="CL25" s="186" t="str">
        <f t="array" ref="CL25">xlookup(xlookup($Y26,data!$N$2:$N$17,xlookup("r1op",data!$P$1:$BR$1,data!$P$2:$BR$17,"")),data!$M$2:$M$17,data!$O$2:$O$17,"")</f>
        <v/>
      </c>
      <c r="CM25" s="8"/>
      <c r="CN25" s="8"/>
      <c r="CO25" s="8"/>
      <c r="CP25" s="8"/>
      <c r="CQ25" s="187"/>
      <c r="CR25" s="9"/>
      <c r="CS25" s="185" t="str">
        <f t="array" ref="CS25">xlookup($Y26,data!$N$2:$N$17,xlookup("r2Ser",data!$P$1:$BR$1,data!$P$2:$BR$17,""))</f>
        <v/>
      </c>
      <c r="CT25" s="8"/>
      <c r="CU25" s="186" t="str">
        <f t="array" ref="CU25">xlookup(xlookup($Y26,data!$N$2:$N$17,xlookup("r2op",data!$P$1:$BR$1,data!$P$2:$BR$17,"")),data!$M$2:$M$17,data!$O$2:$O$17,"")</f>
        <v/>
      </c>
      <c r="CV25" s="8"/>
      <c r="CW25" s="8"/>
      <c r="CX25" s="8"/>
      <c r="CY25" s="8"/>
      <c r="CZ25" s="187"/>
      <c r="DA25" s="9"/>
      <c r="DB25" s="185" t="str">
        <f t="array" ref="DB25">xlookup($Y26,data!$N$2:$N$17,xlookup("r3Ser",data!$P$1:$BR$1,data!$P$2:$BR$17,""))</f>
        <v/>
      </c>
      <c r="DC25" s="8"/>
      <c r="DD25" s="186" t="str">
        <f t="array" ref="DD25">xlookup(xlookup($Y26,data!$N$2:$N$17,xlookup("r3op",data!$P$1:$BR$1,data!$P$2:$BR$17,"")),data!$M$2:$M$17,data!$O$2:$O$17,"")</f>
        <v/>
      </c>
      <c r="DE25" s="8"/>
      <c r="DF25" s="8"/>
      <c r="DG25" s="8"/>
      <c r="DH25" s="8"/>
      <c r="DI25" s="187"/>
      <c r="DJ25" s="9"/>
      <c r="DK25" s="185" t="str">
        <f t="array" ref="DK25">xlookup($Y26,data!$N$2:$N$17,xlookup("r4Ser",data!$P$1:$BR$1,data!$P$2:$BR$17,""))</f>
        <v/>
      </c>
      <c r="DL25" s="8"/>
      <c r="DM25" s="186" t="str">
        <f t="array" ref="DM25">xlookup(xlookup($Y26,data!$N$2:$N$17,xlookup("r4op",data!$P$1:$BR$1,data!$P$2:$BR$17,"")),data!$M$2:$M$17,data!$O$2:$O$17,"")</f>
        <v/>
      </c>
      <c r="DN25" s="8"/>
      <c r="DO25" s="8"/>
      <c r="DP25" s="8"/>
      <c r="DQ25" s="8"/>
      <c r="DR25" s="187"/>
      <c r="DS25" s="9"/>
      <c r="DT25" s="185" t="str">
        <f t="array" ref="DT25">xlookup($Y26,data!$N$2:$N$17,xlookup("r5Ser",data!$P$1:$BR$1,data!$P$2:$BR$17,""))</f>
        <v/>
      </c>
      <c r="DU25" s="8"/>
      <c r="DV25" s="186" t="str">
        <f t="array" ref="DV25">xlookup(xlookup($Y26,data!$N$2:$N$17,xlookup("r5op",data!$P$1:$BR$1,data!$P$2:$BR$17,"")),data!$M$2:$M$17,data!$O$2:$O$17,"")</f>
        <v/>
      </c>
      <c r="DW25" s="8"/>
      <c r="DX25" s="8"/>
      <c r="DY25" s="8"/>
      <c r="DZ25" s="8"/>
      <c r="EA25" s="187"/>
      <c r="EB25" s="9"/>
      <c r="EC25" s="152"/>
      <c r="ED25" s="152"/>
      <c r="EE25" s="152"/>
      <c r="EF25" s="152"/>
      <c r="EG25" s="152"/>
      <c r="EH25" s="152"/>
      <c r="EI25" s="152"/>
      <c r="EJ25" s="152"/>
      <c r="EK25" s="152"/>
      <c r="EL25" s="152"/>
      <c r="EM25" s="152"/>
      <c r="EN25" s="152"/>
      <c r="EO25" s="152"/>
      <c r="EP25" s="152"/>
      <c r="EQ25" s="152"/>
      <c r="ER25" s="152"/>
    </row>
    <row r="26" ht="5.25" customHeight="1">
      <c r="A26" s="152"/>
      <c r="B26" s="152"/>
      <c r="C26" s="152"/>
      <c r="D26" s="152"/>
      <c r="E26" s="152"/>
      <c r="F26" s="152"/>
      <c r="G26" s="152"/>
      <c r="H26" s="152"/>
      <c r="I26" s="152"/>
      <c r="J26" s="152"/>
      <c r="K26" s="152"/>
      <c r="L26" s="152"/>
      <c r="Q26" s="152"/>
      <c r="R26" s="188" t="str">
        <f t="array" ref="R26">xlookup(Y26,data!$N$2:$N$17,data!$O$2:$O$17,"")</f>
        <v/>
      </c>
      <c r="X26" s="189"/>
      <c r="Y26" s="190" t="str">
        <f t="array" ref="Y26">xlookup(Q25,data!$G$24:$G$39,data!$A$24:$A$39,"")</f>
        <v>Team 3 (Group 2)</v>
      </c>
      <c r="BB26" s="189"/>
      <c r="BC26" s="191" t="str">
        <f t="array" ref="BC26">xlookup(Y26,data!$A$24:$A$39,data!$B$24:$B$39,"")</f>
        <v>0-0</v>
      </c>
      <c r="BK26" s="189"/>
      <c r="BL26" s="192" t="str">
        <f t="array" ref="BL26">xlookup(Y26,data!$A$24:$A$39,data!$C$24:$C$39,"")</f>
        <v>0-0</v>
      </c>
      <c r="BT26" s="189"/>
      <c r="BU26" s="193" t="str">
        <f t="array" ref="BU26">xlookup(Y26,data!$A$24:$A$39,data!$D$24:$D$39,"")</f>
        <v>0-0</v>
      </c>
      <c r="CC26" s="189"/>
      <c r="CD26" s="193">
        <f t="array" ref="CD26">xlookup(Y26,data!$A$24:$A$39,data!$F$24:$F$39,"")</f>
        <v>0</v>
      </c>
      <c r="CI26" s="189"/>
      <c r="CJ26" s="10"/>
      <c r="CR26" s="11"/>
      <c r="CS26" s="10"/>
      <c r="DA26" s="11"/>
      <c r="DB26" s="10"/>
      <c r="DJ26" s="11"/>
      <c r="DK26" s="10"/>
      <c r="DS26" s="11"/>
      <c r="DT26" s="10"/>
      <c r="EB26" s="11"/>
      <c r="EC26" s="152"/>
      <c r="ED26" s="152"/>
      <c r="EE26" s="152"/>
      <c r="EF26" s="152"/>
      <c r="EG26" s="152"/>
      <c r="EH26" s="152"/>
      <c r="EI26" s="152"/>
      <c r="EJ26" s="152"/>
      <c r="EK26" s="152"/>
      <c r="EL26" s="152"/>
      <c r="EM26" s="152"/>
      <c r="EN26" s="152"/>
      <c r="EO26" s="152"/>
      <c r="EP26" s="152"/>
      <c r="EQ26" s="152"/>
      <c r="ER26" s="152"/>
    </row>
    <row r="27" ht="5.25" customHeight="1">
      <c r="A27" s="152"/>
      <c r="B27" s="152"/>
      <c r="C27" s="152"/>
      <c r="D27" s="152"/>
      <c r="E27" s="152"/>
      <c r="F27" s="152"/>
      <c r="G27" s="152"/>
      <c r="H27" s="152"/>
      <c r="I27" s="152"/>
      <c r="J27" s="152"/>
      <c r="K27" s="152"/>
      <c r="L27" s="152"/>
      <c r="Q27" s="152"/>
      <c r="R27" s="10"/>
      <c r="X27" s="189"/>
      <c r="BB27" s="189"/>
      <c r="BK27" s="189"/>
      <c r="BT27" s="189"/>
      <c r="CC27" s="189"/>
      <c r="CI27" s="189"/>
      <c r="CJ27" s="10"/>
      <c r="CR27" s="11"/>
      <c r="CS27" s="10"/>
      <c r="DA27" s="11"/>
      <c r="DB27" s="10"/>
      <c r="DJ27" s="11"/>
      <c r="DK27" s="10"/>
      <c r="DS27" s="11"/>
      <c r="DT27" s="10"/>
      <c r="EB27" s="11"/>
      <c r="EC27" s="152"/>
      <c r="ED27" s="152"/>
      <c r="EE27" s="152"/>
      <c r="EF27" s="152"/>
      <c r="EG27" s="152"/>
      <c r="EH27" s="152"/>
      <c r="EI27" s="152"/>
      <c r="EJ27" s="152"/>
      <c r="EK27" s="152"/>
      <c r="EL27" s="152"/>
      <c r="EM27" s="152"/>
      <c r="EN27" s="152"/>
      <c r="EO27" s="152"/>
      <c r="EP27" s="152"/>
      <c r="EQ27" s="152"/>
      <c r="ER27" s="152"/>
    </row>
    <row r="28" ht="5.25" customHeight="1">
      <c r="A28" s="152"/>
      <c r="B28" s="152"/>
      <c r="C28" s="152"/>
      <c r="D28" s="152"/>
      <c r="E28" s="152"/>
      <c r="F28" s="152"/>
      <c r="G28" s="152"/>
      <c r="H28" s="152"/>
      <c r="I28" s="152"/>
      <c r="J28" s="152"/>
      <c r="K28" s="152"/>
      <c r="L28" s="152"/>
      <c r="Q28" s="152"/>
      <c r="R28" s="10"/>
      <c r="X28" s="189"/>
      <c r="BB28" s="189"/>
      <c r="BK28" s="189"/>
      <c r="BT28" s="189"/>
      <c r="CC28" s="189"/>
      <c r="CI28" s="189"/>
      <c r="CJ28" s="10"/>
      <c r="CR28" s="11"/>
      <c r="CS28" s="10"/>
      <c r="DA28" s="11"/>
      <c r="DB28" s="10"/>
      <c r="DJ28" s="11"/>
      <c r="DK28" s="10"/>
      <c r="DS28" s="11"/>
      <c r="DT28" s="10"/>
      <c r="EB28" s="11"/>
      <c r="EC28" s="152"/>
      <c r="ED28" s="152"/>
      <c r="EE28" s="152"/>
      <c r="EF28" s="152"/>
      <c r="EG28" s="152"/>
      <c r="EH28" s="152"/>
      <c r="EI28" s="152"/>
      <c r="EJ28" s="152"/>
      <c r="EK28" s="152"/>
      <c r="EL28" s="152"/>
      <c r="EM28" s="152"/>
      <c r="EN28" s="152"/>
      <c r="EO28" s="152"/>
      <c r="EP28" s="152"/>
      <c r="EQ28" s="152"/>
      <c r="ER28" s="152"/>
    </row>
    <row r="29" ht="5.25" customHeight="1">
      <c r="A29" s="152"/>
      <c r="B29" s="152"/>
      <c r="C29" s="152"/>
      <c r="D29" s="152"/>
      <c r="E29" s="152"/>
      <c r="F29" s="152"/>
      <c r="G29" s="152"/>
      <c r="H29" s="152"/>
      <c r="I29" s="152"/>
      <c r="J29" s="152"/>
      <c r="K29" s="152"/>
      <c r="L29" s="152"/>
      <c r="Q29" s="152"/>
      <c r="R29" s="10"/>
      <c r="X29" s="189"/>
      <c r="BB29" s="189"/>
      <c r="BK29" s="189"/>
      <c r="BT29" s="189"/>
      <c r="CC29" s="189"/>
      <c r="CI29" s="189"/>
      <c r="CJ29" s="10"/>
      <c r="CR29" s="11"/>
      <c r="CS29" s="10"/>
      <c r="DA29" s="11"/>
      <c r="DB29" s="10"/>
      <c r="DJ29" s="11"/>
      <c r="DK29" s="10"/>
      <c r="DS29" s="11"/>
      <c r="DT29" s="10"/>
      <c r="EB29" s="11"/>
      <c r="EC29" s="152"/>
      <c r="ED29" s="152"/>
      <c r="EE29" s="152"/>
      <c r="EF29" s="152"/>
      <c r="EG29" s="152"/>
      <c r="EH29" s="152"/>
      <c r="EI29" s="152"/>
      <c r="EJ29" s="152"/>
      <c r="EK29" s="152"/>
      <c r="EL29" s="152"/>
      <c r="EM29" s="152"/>
      <c r="EN29" s="152"/>
      <c r="EO29" s="152"/>
      <c r="EP29" s="152"/>
      <c r="EQ29" s="152"/>
      <c r="ER29" s="152"/>
    </row>
    <row r="30" ht="5.25" customHeight="1">
      <c r="A30" s="152"/>
      <c r="B30" s="152"/>
      <c r="C30" s="152"/>
      <c r="D30" s="152"/>
      <c r="E30" s="152"/>
      <c r="F30" s="152"/>
      <c r="G30" s="152"/>
      <c r="H30" s="152"/>
      <c r="I30" s="152"/>
      <c r="J30" s="152"/>
      <c r="K30" s="152"/>
      <c r="L30" s="152"/>
      <c r="Q30" s="152"/>
      <c r="R30" s="10"/>
      <c r="X30" s="189"/>
      <c r="BB30" s="189"/>
      <c r="BK30" s="189"/>
      <c r="BT30" s="189"/>
      <c r="CC30" s="189"/>
      <c r="CI30" s="189"/>
      <c r="CJ30" s="195" t="str">
        <f t="array" ref="CJ30">xlookup($Y26,teams,xlookup("r1gw",header,swissdata))&amp;"-"&amp;xlookup($Y26,teams,xlookup("r1gl",header,swissdata))</f>
        <v>-</v>
      </c>
      <c r="CN30" s="196"/>
      <c r="CO30" s="196">
        <f t="array" ref="CO30">if(xlookup($Y26,teams,xlookup("r1rd",header,swissdata))&gt;0,"+"&amp;xlookup($Y26,teams,xlookup("r1rd",header,swissdata)),xlookup($Y26,teams,xlookup("r1rd",header,swissdata)))</f>
        <v>0</v>
      </c>
      <c r="CR30" s="11"/>
      <c r="CS30" s="195" t="str">
        <f t="array" ref="CS30">xlookup($Y26,teams,xlookup("r2gw",header,swissdata))&amp;"-"&amp;xlookup($Y26,teams,xlookup("r2gl",header,swissdata))</f>
        <v>-</v>
      </c>
      <c r="CW30" s="196"/>
      <c r="CX30" s="196">
        <f t="array" ref="CX30">if(xlookup($Y26,teams,xlookup("r2rd",header,swissdata))&gt;0,"+"&amp;xlookup($Y26,teams,xlookup("r2rd",header,swissdata)),xlookup($Y26,teams,xlookup("r2rd",header,swissdata)))</f>
        <v>0</v>
      </c>
      <c r="DA30" s="11"/>
      <c r="DB30" s="195" t="str">
        <f t="array" ref="DB30">xlookup($Y26,teams,xlookup("r3gw",header,swissdata))&amp;"-"&amp;xlookup($Y26,teams,xlookup("r3gl",header,swissdata))</f>
        <v>-</v>
      </c>
      <c r="DF30" s="196"/>
      <c r="DG30" s="196">
        <f t="array" ref="DG30">if(xlookup($Y26,teams,xlookup("r3rd",header,swissdata))&gt;0,"+"&amp;xlookup($Y26,teams,xlookup("r3rd",header,swissdata)),xlookup($Y26,teams,xlookup("r3rd",header,swissdata)))</f>
        <v>0</v>
      </c>
      <c r="DJ30" s="11"/>
      <c r="DK30" s="195" t="str">
        <f t="array" ref="DK30">xlookup($Y26,teams,xlookup("r4gw",header,swissdata))&amp;"-"&amp;xlookup($Y26,teams,xlookup("r4gl",header,swissdata))</f>
        <v>-</v>
      </c>
      <c r="DO30" s="196"/>
      <c r="DP30" s="196">
        <f t="array" ref="DP30">if(xlookup($Y26,teams,xlookup("r4rd",header,swissdata))&gt;0,"+"&amp;xlookup($Y26,teams,xlookup("r4rd",header,swissdata)),xlookup($Y26,teams,xlookup("r4rd",header,swissdata)))</f>
        <v>0</v>
      </c>
      <c r="DS30" s="11"/>
      <c r="DT30" s="195"/>
      <c r="DX30" s="196"/>
      <c r="DY30" s="196"/>
      <c r="EB30" s="11"/>
      <c r="EC30" s="152"/>
      <c r="ED30" s="152"/>
      <c r="EE30" s="152"/>
      <c r="EF30" s="152"/>
      <c r="EG30" s="152"/>
      <c r="EH30" s="152"/>
      <c r="EI30" s="152"/>
      <c r="EJ30" s="152"/>
      <c r="EK30" s="152"/>
      <c r="EL30" s="152"/>
      <c r="EM30" s="152"/>
      <c r="EN30" s="152"/>
      <c r="EO30" s="152"/>
      <c r="EP30" s="152"/>
      <c r="EQ30" s="152"/>
      <c r="ER30" s="152"/>
    </row>
    <row r="31" ht="5.25" customHeight="1">
      <c r="A31" s="152"/>
      <c r="B31" s="152"/>
      <c r="C31" s="152"/>
      <c r="D31" s="152"/>
      <c r="E31" s="152"/>
      <c r="F31" s="152"/>
      <c r="G31" s="152"/>
      <c r="H31" s="152"/>
      <c r="I31" s="152"/>
      <c r="J31" s="152"/>
      <c r="K31" s="152"/>
      <c r="L31" s="152"/>
      <c r="Q31" s="152"/>
      <c r="R31" s="10"/>
      <c r="X31" s="189"/>
      <c r="BB31" s="189"/>
      <c r="BK31" s="189"/>
      <c r="BT31" s="189"/>
      <c r="CC31" s="189"/>
      <c r="CI31" s="189"/>
      <c r="CJ31" s="10"/>
      <c r="CR31" s="11"/>
      <c r="CS31" s="10"/>
      <c r="DA31" s="11"/>
      <c r="DB31" s="10"/>
      <c r="DJ31" s="11"/>
      <c r="DK31" s="10"/>
      <c r="DS31" s="11"/>
      <c r="DT31" s="10"/>
      <c r="EB31" s="11"/>
      <c r="EC31" s="152"/>
      <c r="ED31" s="152"/>
      <c r="EE31" s="152"/>
      <c r="EF31" s="152"/>
      <c r="EG31" s="152"/>
      <c r="EH31" s="152"/>
      <c r="EI31" s="152"/>
      <c r="EJ31" s="152"/>
      <c r="EK31" s="152"/>
      <c r="EL31" s="152"/>
      <c r="EM31" s="152"/>
      <c r="EN31" s="152"/>
      <c r="EO31" s="152"/>
      <c r="EP31" s="152"/>
      <c r="EQ31" s="152"/>
      <c r="ER31" s="152"/>
    </row>
    <row r="32" ht="5.25" customHeight="1">
      <c r="A32" s="152"/>
      <c r="B32" s="152"/>
      <c r="C32" s="152"/>
      <c r="D32" s="152"/>
      <c r="E32" s="152"/>
      <c r="F32" s="152"/>
      <c r="G32" s="152"/>
      <c r="H32" s="152"/>
      <c r="I32" s="152"/>
      <c r="J32" s="152"/>
      <c r="K32" s="152"/>
      <c r="L32" s="152"/>
      <c r="Q32" s="152"/>
      <c r="R32" s="197"/>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98"/>
      <c r="AW32" s="198"/>
      <c r="AX32" s="198"/>
      <c r="AY32" s="198"/>
      <c r="AZ32" s="198"/>
      <c r="BA32" s="198"/>
      <c r="BB32" s="198"/>
      <c r="BC32" s="198"/>
      <c r="BD32" s="198"/>
      <c r="BE32" s="198"/>
      <c r="BF32" s="198"/>
      <c r="BG32" s="198"/>
      <c r="BH32" s="198"/>
      <c r="BI32" s="198"/>
      <c r="BJ32" s="198"/>
      <c r="BK32" s="198"/>
      <c r="BL32" s="198"/>
      <c r="BM32" s="198"/>
      <c r="BN32" s="198"/>
      <c r="BO32" s="198"/>
      <c r="BP32" s="198"/>
      <c r="BQ32" s="198"/>
      <c r="BR32" s="198"/>
      <c r="BS32" s="198"/>
      <c r="BT32" s="198"/>
      <c r="BU32" s="198"/>
      <c r="BV32" s="198"/>
      <c r="BW32" s="198"/>
      <c r="BX32" s="198"/>
      <c r="BY32" s="198"/>
      <c r="BZ32" s="198"/>
      <c r="CA32" s="198"/>
      <c r="CB32" s="198"/>
      <c r="CC32" s="198"/>
      <c r="CD32" s="198"/>
      <c r="CE32" s="198"/>
      <c r="CF32" s="198"/>
      <c r="CG32" s="198"/>
      <c r="CH32" s="198"/>
      <c r="CI32" s="198"/>
      <c r="CJ32" s="12"/>
      <c r="CK32" s="13"/>
      <c r="CL32" s="13"/>
      <c r="CM32" s="13"/>
      <c r="CN32" s="13"/>
      <c r="CO32" s="13"/>
      <c r="CP32" s="13"/>
      <c r="CQ32" s="13"/>
      <c r="CR32" s="14"/>
      <c r="CS32" s="12"/>
      <c r="CT32" s="13"/>
      <c r="CU32" s="13"/>
      <c r="CV32" s="13"/>
      <c r="CW32" s="13"/>
      <c r="CX32" s="13"/>
      <c r="CY32" s="13"/>
      <c r="CZ32" s="13"/>
      <c r="DA32" s="14"/>
      <c r="DB32" s="12"/>
      <c r="DC32" s="13"/>
      <c r="DD32" s="13"/>
      <c r="DE32" s="13"/>
      <c r="DF32" s="13"/>
      <c r="DG32" s="13"/>
      <c r="DH32" s="13"/>
      <c r="DI32" s="13"/>
      <c r="DJ32" s="14"/>
      <c r="DK32" s="12"/>
      <c r="DL32" s="13"/>
      <c r="DM32" s="13"/>
      <c r="DN32" s="13"/>
      <c r="DO32" s="13"/>
      <c r="DP32" s="13"/>
      <c r="DQ32" s="13"/>
      <c r="DR32" s="13"/>
      <c r="DS32" s="14"/>
      <c r="DT32" s="12"/>
      <c r="DU32" s="13"/>
      <c r="DV32" s="13"/>
      <c r="DW32" s="13"/>
      <c r="DX32" s="13"/>
      <c r="DY32" s="13"/>
      <c r="DZ32" s="13"/>
      <c r="EA32" s="13"/>
      <c r="EB32" s="14"/>
      <c r="EC32" s="152"/>
      <c r="ED32" s="152"/>
      <c r="EE32" s="152"/>
      <c r="EF32" s="152"/>
      <c r="EG32" s="152"/>
      <c r="EH32" s="152"/>
      <c r="EI32" s="152"/>
      <c r="EJ32" s="152"/>
      <c r="EK32" s="152"/>
      <c r="EL32" s="152"/>
      <c r="EM32" s="152"/>
      <c r="EN32" s="152"/>
      <c r="EO32" s="152"/>
      <c r="EP32" s="152"/>
      <c r="EQ32" s="152"/>
      <c r="ER32" s="152"/>
    </row>
    <row r="33" ht="5.25" customHeight="1">
      <c r="A33" s="152"/>
      <c r="B33" s="152"/>
      <c r="C33" s="152"/>
      <c r="D33" s="152"/>
      <c r="E33" s="152"/>
      <c r="F33" s="152"/>
      <c r="G33" s="152"/>
      <c r="H33" s="152"/>
      <c r="I33" s="152"/>
      <c r="J33" s="152"/>
      <c r="K33" s="152"/>
      <c r="L33" s="152"/>
      <c r="M33" s="177" t="str">
        <f>Q33&amp;"."</f>
        <v>4.</v>
      </c>
      <c r="Q33" s="181">
        <v>4.0</v>
      </c>
      <c r="R33" s="182"/>
      <c r="S33" s="183"/>
      <c r="T33" s="183"/>
      <c r="U33" s="183"/>
      <c r="V33" s="183"/>
      <c r="W33" s="183"/>
      <c r="X33" s="183"/>
      <c r="Y33" s="183"/>
      <c r="Z33" s="183"/>
      <c r="AA33" s="183"/>
      <c r="AB33" s="183"/>
      <c r="AC33" s="183"/>
      <c r="AD33" s="183"/>
      <c r="AE33" s="183"/>
      <c r="AF33" s="183"/>
      <c r="AG33" s="183"/>
      <c r="AH33" s="183"/>
      <c r="AI33" s="183"/>
      <c r="AJ33" s="183"/>
      <c r="AK33" s="183"/>
      <c r="AL33" s="183"/>
      <c r="AM33" s="183"/>
      <c r="AN33" s="183"/>
      <c r="AO33" s="183"/>
      <c r="AP33" s="183"/>
      <c r="AQ33" s="183"/>
      <c r="AR33" s="183"/>
      <c r="AS33" s="183"/>
      <c r="AT33" s="183"/>
      <c r="AU33" s="183"/>
      <c r="AV33" s="183"/>
      <c r="AW33" s="183"/>
      <c r="AX33" s="183"/>
      <c r="AY33" s="183"/>
      <c r="AZ33" s="183"/>
      <c r="BA33" s="183"/>
      <c r="BB33" s="183"/>
      <c r="BC33" s="183"/>
      <c r="BD33" s="183"/>
      <c r="BE33" s="183"/>
      <c r="BF33" s="183"/>
      <c r="BG33" s="183"/>
      <c r="BH33" s="183"/>
      <c r="BI33" s="183"/>
      <c r="BJ33" s="183"/>
      <c r="BK33" s="183"/>
      <c r="BL33" s="183"/>
      <c r="BM33" s="183"/>
      <c r="BN33" s="183"/>
      <c r="BO33" s="183"/>
      <c r="BP33" s="183"/>
      <c r="BQ33" s="183"/>
      <c r="BR33" s="183"/>
      <c r="BS33" s="183"/>
      <c r="BT33" s="183"/>
      <c r="BU33" s="183"/>
      <c r="BV33" s="183"/>
      <c r="BW33" s="183"/>
      <c r="BX33" s="183"/>
      <c r="BY33" s="183"/>
      <c r="BZ33" s="183"/>
      <c r="CA33" s="183"/>
      <c r="CB33" s="183"/>
      <c r="CC33" s="183"/>
      <c r="CD33" s="183"/>
      <c r="CE33" s="183"/>
      <c r="CF33" s="183"/>
      <c r="CG33" s="183"/>
      <c r="CH33" s="183"/>
      <c r="CI33" s="183"/>
      <c r="CJ33" s="185" t="str">
        <f t="array" ref="CJ33">xlookup($Y34,data!$N$2:$N$17,xlookup("r1Ser",data!$P$1:$BR$1,data!$P$2:$BR$17,""))</f>
        <v/>
      </c>
      <c r="CK33" s="8"/>
      <c r="CL33" s="186" t="str">
        <f t="array" ref="CL33">xlookup(xlookup($Y34,data!$N$2:$N$17,xlookup("r1op",data!$P$1:$BR$1,data!$P$2:$BR$17,"")),data!$M$2:$M$17,data!$O$2:$O$17,"")</f>
        <v/>
      </c>
      <c r="CM33" s="8"/>
      <c r="CN33" s="8"/>
      <c r="CO33" s="8"/>
      <c r="CP33" s="8"/>
      <c r="CQ33" s="187"/>
      <c r="CR33" s="9"/>
      <c r="CS33" s="185" t="str">
        <f t="array" ref="CS33">xlookup($Y34,data!$N$2:$N$17,xlookup("r2Ser",data!$P$1:$BR$1,data!$P$2:$BR$17,""))</f>
        <v/>
      </c>
      <c r="CT33" s="8"/>
      <c r="CU33" s="186" t="str">
        <f t="array" ref="CU33">xlookup(xlookup($Y34,data!$N$2:$N$17,xlookup("r2op",data!$P$1:$BR$1,data!$P$2:$BR$17,"")),data!$M$2:$M$17,data!$O$2:$O$17,"")</f>
        <v/>
      </c>
      <c r="CV33" s="8"/>
      <c r="CW33" s="8"/>
      <c r="CX33" s="8"/>
      <c r="CY33" s="8"/>
      <c r="CZ33" s="187"/>
      <c r="DA33" s="9"/>
      <c r="DB33" s="185" t="str">
        <f t="array" ref="DB33">xlookup($Y34,data!$N$2:$N$17,xlookup("r3Ser",data!$P$1:$BR$1,data!$P$2:$BR$17,""))</f>
        <v/>
      </c>
      <c r="DC33" s="8"/>
      <c r="DD33" s="186" t="str">
        <f t="array" ref="DD33">xlookup(xlookup($Y34,data!$N$2:$N$17,xlookup("r3op",data!$P$1:$BR$1,data!$P$2:$BR$17,"")),data!$M$2:$M$17,data!$O$2:$O$17,"")</f>
        <v/>
      </c>
      <c r="DE33" s="8"/>
      <c r="DF33" s="8"/>
      <c r="DG33" s="8"/>
      <c r="DH33" s="8"/>
      <c r="DI33" s="187"/>
      <c r="DJ33" s="9"/>
      <c r="DK33" s="185" t="str">
        <f t="array" ref="DK33">xlookup($Y34,data!$N$2:$N$17,xlookup("r4Ser",data!$P$1:$BR$1,data!$P$2:$BR$17,""))</f>
        <v/>
      </c>
      <c r="DL33" s="8"/>
      <c r="DM33" s="186" t="str">
        <f t="array" ref="DM33">xlookup(xlookup($Y34,data!$N$2:$N$17,xlookup("r4op",data!$P$1:$BR$1,data!$P$2:$BR$17,"")),data!$M$2:$M$17,data!$O$2:$O$17,"")</f>
        <v/>
      </c>
      <c r="DN33" s="8"/>
      <c r="DO33" s="8"/>
      <c r="DP33" s="8"/>
      <c r="DQ33" s="8"/>
      <c r="DR33" s="187"/>
      <c r="DS33" s="9"/>
      <c r="DT33" s="185" t="str">
        <f t="array" ref="DT33">xlookup($Y34,data!$N$2:$N$17,xlookup("r5Ser",data!$P$1:$BR$1,data!$P$2:$BR$17,""))</f>
        <v/>
      </c>
      <c r="DU33" s="8"/>
      <c r="DV33" s="186" t="str">
        <f t="array" ref="DV33">xlookup(xlookup($Y34,data!$N$2:$N$17,xlookup("r5op",data!$P$1:$BR$1,data!$P$2:$BR$17,"")),data!$M$2:$M$17,data!$O$2:$O$17,"")</f>
        <v/>
      </c>
      <c r="DW33" s="8"/>
      <c r="DX33" s="8"/>
      <c r="DY33" s="8"/>
      <c r="DZ33" s="8"/>
      <c r="EA33" s="187"/>
      <c r="EB33" s="9"/>
      <c r="EC33" s="152"/>
      <c r="ED33" s="152"/>
      <c r="EE33" s="152"/>
      <c r="EF33" s="152"/>
      <c r="EG33" s="152"/>
      <c r="EH33" s="152"/>
      <c r="EI33" s="152"/>
      <c r="EJ33" s="152"/>
      <c r="EK33" s="152"/>
      <c r="EL33" s="152"/>
      <c r="EM33" s="152"/>
      <c r="EN33" s="152"/>
      <c r="EO33" s="152"/>
      <c r="EP33" s="152"/>
      <c r="EQ33" s="152"/>
      <c r="ER33" s="152"/>
    </row>
    <row r="34" ht="5.25" customHeight="1">
      <c r="A34" s="152"/>
      <c r="B34" s="152"/>
      <c r="C34" s="152"/>
      <c r="D34" s="152"/>
      <c r="E34" s="152"/>
      <c r="F34" s="152"/>
      <c r="G34" s="152"/>
      <c r="H34" s="152"/>
      <c r="I34" s="152"/>
      <c r="J34" s="152"/>
      <c r="K34" s="152"/>
      <c r="L34" s="152"/>
      <c r="Q34" s="152"/>
      <c r="R34" s="188" t="str">
        <f t="array" ref="R34">xlookup(Y34,data!$N$2:$N$17,data!$O$2:$O$17,"")</f>
        <v/>
      </c>
      <c r="X34" s="189"/>
      <c r="Y34" s="190" t="str">
        <f t="array" ref="Y34">xlookup(Q33,data!$G$24:$G$39,data!$A$24:$A$39,"")</f>
        <v>Team 4 (Group 2)</v>
      </c>
      <c r="BB34" s="189"/>
      <c r="BC34" s="191" t="str">
        <f t="array" ref="BC34">xlookup(Y34,data!$A$24:$A$39,data!$B$24:$B$39,"")</f>
        <v>0-0</v>
      </c>
      <c r="BK34" s="189"/>
      <c r="BL34" s="192" t="str">
        <f t="array" ref="BL34">xlookup(Y34,data!$A$24:$A$39,data!$C$24:$C$39,"")</f>
        <v>0-0</v>
      </c>
      <c r="BT34" s="189"/>
      <c r="BU34" s="193" t="str">
        <f t="array" ref="BU34">xlookup(Y34,data!$A$24:$A$39,data!$D$24:$D$39,"")</f>
        <v>0-0</v>
      </c>
      <c r="CC34" s="189"/>
      <c r="CD34" s="193">
        <f t="array" ref="CD34">xlookup(Y34,data!$A$24:$A$39,data!$F$24:$F$39,"")</f>
        <v>0</v>
      </c>
      <c r="CI34" s="189"/>
      <c r="CJ34" s="10"/>
      <c r="CR34" s="11"/>
      <c r="CS34" s="10"/>
      <c r="DA34" s="11"/>
      <c r="DB34" s="10"/>
      <c r="DJ34" s="11"/>
      <c r="DK34" s="10"/>
      <c r="DS34" s="11"/>
      <c r="DT34" s="10"/>
      <c r="EB34" s="11"/>
      <c r="EC34" s="152"/>
      <c r="ED34" s="152"/>
      <c r="EE34" s="152"/>
      <c r="EF34" s="152"/>
      <c r="EG34" s="152"/>
      <c r="EH34" s="152"/>
      <c r="EI34" s="152"/>
      <c r="EJ34" s="152"/>
      <c r="EK34" s="152"/>
      <c r="EL34" s="152"/>
      <c r="EM34" s="152"/>
      <c r="EN34" s="152"/>
      <c r="EO34" s="152"/>
      <c r="EP34" s="152"/>
      <c r="EQ34" s="152"/>
      <c r="ER34" s="152"/>
    </row>
    <row r="35" ht="5.25" customHeight="1">
      <c r="A35" s="152"/>
      <c r="B35" s="152"/>
      <c r="C35" s="152"/>
      <c r="D35" s="152"/>
      <c r="E35" s="152"/>
      <c r="F35" s="152"/>
      <c r="G35" s="152"/>
      <c r="H35" s="152"/>
      <c r="I35" s="152"/>
      <c r="J35" s="152"/>
      <c r="K35" s="152"/>
      <c r="L35" s="152"/>
      <c r="Q35" s="152"/>
      <c r="R35" s="10"/>
      <c r="X35" s="189"/>
      <c r="BB35" s="189"/>
      <c r="BK35" s="189"/>
      <c r="BT35" s="189"/>
      <c r="CC35" s="189"/>
      <c r="CI35" s="189"/>
      <c r="CJ35" s="10"/>
      <c r="CR35" s="11"/>
      <c r="CS35" s="10"/>
      <c r="DA35" s="11"/>
      <c r="DB35" s="10"/>
      <c r="DJ35" s="11"/>
      <c r="DK35" s="10"/>
      <c r="DS35" s="11"/>
      <c r="DT35" s="10"/>
      <c r="EB35" s="11"/>
      <c r="EC35" s="152"/>
      <c r="ED35" s="152"/>
      <c r="EE35" s="152"/>
      <c r="EF35" s="152"/>
      <c r="EG35" s="152"/>
      <c r="EH35" s="152"/>
      <c r="EI35" s="152"/>
      <c r="EJ35" s="152"/>
      <c r="EK35" s="152"/>
      <c r="EL35" s="152"/>
      <c r="EM35" s="152"/>
      <c r="EN35" s="152"/>
      <c r="EO35" s="152"/>
      <c r="EP35" s="152"/>
      <c r="EQ35" s="152"/>
      <c r="ER35" s="152"/>
    </row>
    <row r="36" ht="5.25" customHeight="1">
      <c r="A36" s="152"/>
      <c r="B36" s="152"/>
      <c r="C36" s="152"/>
      <c r="D36" s="152"/>
      <c r="E36" s="152"/>
      <c r="F36" s="152"/>
      <c r="G36" s="152"/>
      <c r="H36" s="152"/>
      <c r="I36" s="152"/>
      <c r="J36" s="152"/>
      <c r="K36" s="152"/>
      <c r="L36" s="152"/>
      <c r="Q36" s="152"/>
      <c r="R36" s="10"/>
      <c r="X36" s="189"/>
      <c r="BB36" s="189"/>
      <c r="BK36" s="189"/>
      <c r="BT36" s="189"/>
      <c r="CC36" s="189"/>
      <c r="CI36" s="189"/>
      <c r="CJ36" s="10"/>
      <c r="CR36" s="11"/>
      <c r="CS36" s="10"/>
      <c r="DA36" s="11"/>
      <c r="DB36" s="10"/>
      <c r="DJ36" s="11"/>
      <c r="DK36" s="10"/>
      <c r="DS36" s="11"/>
      <c r="DT36" s="10"/>
      <c r="EB36" s="11"/>
      <c r="EC36" s="152"/>
      <c r="ED36" s="152"/>
      <c r="EE36" s="152"/>
      <c r="EF36" s="152"/>
      <c r="EG36" s="152"/>
      <c r="EH36" s="152"/>
      <c r="EI36" s="152"/>
      <c r="EJ36" s="152"/>
      <c r="EK36" s="152"/>
      <c r="EL36" s="152"/>
      <c r="EM36" s="152"/>
      <c r="EN36" s="152"/>
      <c r="EO36" s="152"/>
      <c r="EP36" s="152"/>
      <c r="EQ36" s="152"/>
      <c r="ER36" s="152"/>
    </row>
    <row r="37" ht="5.25" customHeight="1">
      <c r="A37" s="152"/>
      <c r="B37" s="152"/>
      <c r="C37" s="152"/>
      <c r="D37" s="152"/>
      <c r="E37" s="152"/>
      <c r="F37" s="152"/>
      <c r="G37" s="152"/>
      <c r="H37" s="152"/>
      <c r="I37" s="152"/>
      <c r="J37" s="152"/>
      <c r="K37" s="152"/>
      <c r="L37" s="152"/>
      <c r="Q37" s="152"/>
      <c r="R37" s="10"/>
      <c r="X37" s="189"/>
      <c r="BB37" s="189"/>
      <c r="BK37" s="189"/>
      <c r="BT37" s="189"/>
      <c r="CC37" s="189"/>
      <c r="CI37" s="189"/>
      <c r="CJ37" s="10"/>
      <c r="CR37" s="11"/>
      <c r="CS37" s="10"/>
      <c r="DA37" s="11"/>
      <c r="DB37" s="10"/>
      <c r="DJ37" s="11"/>
      <c r="DK37" s="10"/>
      <c r="DS37" s="11"/>
      <c r="DT37" s="10"/>
      <c r="EB37" s="11"/>
      <c r="EC37" s="152"/>
      <c r="ED37" s="152"/>
      <c r="EE37" s="152"/>
      <c r="EF37" s="152"/>
      <c r="EG37" s="152"/>
      <c r="EH37" s="152"/>
      <c r="EI37" s="152"/>
      <c r="EJ37" s="152"/>
      <c r="EK37" s="152"/>
      <c r="EL37" s="152"/>
      <c r="EM37" s="152"/>
      <c r="EN37" s="152"/>
      <c r="EO37" s="152"/>
      <c r="EP37" s="152"/>
      <c r="EQ37" s="152"/>
      <c r="ER37" s="152"/>
    </row>
    <row r="38" ht="5.25" customHeight="1">
      <c r="A38" s="152"/>
      <c r="B38" s="152"/>
      <c r="C38" s="152"/>
      <c r="D38" s="152"/>
      <c r="E38" s="152"/>
      <c r="F38" s="152"/>
      <c r="G38" s="152"/>
      <c r="H38" s="152"/>
      <c r="I38" s="152"/>
      <c r="J38" s="152"/>
      <c r="K38" s="152"/>
      <c r="L38" s="152"/>
      <c r="Q38" s="152"/>
      <c r="R38" s="10"/>
      <c r="X38" s="189"/>
      <c r="BB38" s="189"/>
      <c r="BK38" s="189"/>
      <c r="BT38" s="189"/>
      <c r="CC38" s="189"/>
      <c r="CI38" s="189"/>
      <c r="CJ38" s="195" t="str">
        <f t="array" ref="CJ38">xlookup($Y34,teams,xlookup("r1gw",header,swissdata))&amp;"-"&amp;xlookup($Y34,teams,xlookup("r1gl",header,swissdata))</f>
        <v>-</v>
      </c>
      <c r="CN38" s="196"/>
      <c r="CO38" s="196">
        <f t="array" ref="CO38">if(xlookup($Y34,teams,xlookup("r1rd",header,swissdata))&gt;0,"+"&amp;xlookup($Y34,teams,xlookup("r1rd",header,swissdata)),xlookup($Y34,teams,xlookup("r1rd",header,swissdata)))</f>
        <v>0</v>
      </c>
      <c r="CR38" s="11"/>
      <c r="CS38" s="195" t="str">
        <f t="array" ref="CS38">xlookup($Y34,teams,xlookup("r2gw",header,swissdata))&amp;"-"&amp;xlookup($Y34,teams,xlookup("r2gl",header,swissdata))</f>
        <v>-</v>
      </c>
      <c r="CW38" s="196"/>
      <c r="CX38" s="196">
        <f t="array" ref="CX38">if(xlookup($Y34,teams,xlookup("r2rd",header,swissdata))&gt;0,"+"&amp;xlookup($Y34,teams,xlookup("r2rd",header,swissdata)),xlookup($Y34,teams,xlookup("r2rd",header,swissdata)))</f>
        <v>0</v>
      </c>
      <c r="DA38" s="11"/>
      <c r="DB38" s="195" t="str">
        <f t="array" ref="DB38">xlookup($Y34,teams,xlookup("r3gw",header,swissdata))&amp;"-"&amp;xlookup($Y34,teams,xlookup("r3gl",header,swissdata))</f>
        <v>-</v>
      </c>
      <c r="DF38" s="196"/>
      <c r="DG38" s="196">
        <f t="array" ref="DG38">if(xlookup($Y34,teams,xlookup("r3rd",header,swissdata))&gt;0,"+"&amp;xlookup($Y34,teams,xlookup("r3rd",header,swissdata)),xlookup($Y34,teams,xlookup("r3rd",header,swissdata)))</f>
        <v>0</v>
      </c>
      <c r="DJ38" s="11"/>
      <c r="DK38" s="195" t="str">
        <f t="array" ref="DK38">xlookup($Y34,teams,xlookup("r4gw",header,swissdata))&amp;"-"&amp;xlookup($Y34,teams,xlookup("r4gl",header,swissdata))</f>
        <v>-</v>
      </c>
      <c r="DO38" s="196"/>
      <c r="DP38" s="196">
        <f t="array" ref="DP38">if(xlookup($Y34,teams,xlookup("r4rd",header,swissdata))&gt;0,"+"&amp;xlookup($Y34,teams,xlookup("r4rd",header,swissdata)),xlookup($Y34,teams,xlookup("r4rd",header,swissdata)))</f>
        <v>0</v>
      </c>
      <c r="DS38" s="11"/>
      <c r="DT38" s="195"/>
      <c r="DX38" s="196"/>
      <c r="DY38" s="196"/>
      <c r="EB38" s="11"/>
      <c r="EC38" s="152"/>
      <c r="ED38" s="152"/>
      <c r="EE38" s="152"/>
      <c r="EF38" s="152"/>
      <c r="EG38" s="152"/>
      <c r="EH38" s="152"/>
      <c r="EI38" s="152"/>
      <c r="EJ38" s="152"/>
      <c r="EK38" s="152"/>
      <c r="EL38" s="152"/>
      <c r="EM38" s="152"/>
      <c r="EN38" s="152"/>
      <c r="EO38" s="152"/>
      <c r="EP38" s="152"/>
      <c r="EQ38" s="152"/>
      <c r="ER38" s="152"/>
    </row>
    <row r="39" ht="5.25" customHeight="1">
      <c r="A39" s="152"/>
      <c r="B39" s="152"/>
      <c r="C39" s="152"/>
      <c r="D39" s="152"/>
      <c r="E39" s="152"/>
      <c r="F39" s="152"/>
      <c r="G39" s="152"/>
      <c r="H39" s="152"/>
      <c r="I39" s="152"/>
      <c r="J39" s="152"/>
      <c r="K39" s="152"/>
      <c r="L39" s="152"/>
      <c r="Q39" s="152"/>
      <c r="R39" s="10"/>
      <c r="X39" s="189"/>
      <c r="BB39" s="189"/>
      <c r="BK39" s="189"/>
      <c r="BT39" s="189"/>
      <c r="CC39" s="189"/>
      <c r="CI39" s="189"/>
      <c r="CJ39" s="10"/>
      <c r="CR39" s="11"/>
      <c r="CS39" s="10"/>
      <c r="DA39" s="11"/>
      <c r="DB39" s="10"/>
      <c r="DJ39" s="11"/>
      <c r="DK39" s="10"/>
      <c r="DS39" s="11"/>
      <c r="DT39" s="10"/>
      <c r="EB39" s="11"/>
      <c r="EC39" s="152"/>
      <c r="ED39" s="152"/>
      <c r="EE39" s="152"/>
      <c r="EF39" s="152"/>
      <c r="EG39" s="152"/>
      <c r="EH39" s="152"/>
      <c r="EI39" s="152"/>
      <c r="EJ39" s="152"/>
      <c r="EK39" s="152"/>
      <c r="EL39" s="152"/>
      <c r="EM39" s="152"/>
      <c r="EN39" s="152"/>
      <c r="EO39" s="152"/>
      <c r="EP39" s="152"/>
      <c r="EQ39" s="152"/>
      <c r="ER39" s="152"/>
    </row>
    <row r="40" ht="5.25" customHeight="1">
      <c r="A40" s="152"/>
      <c r="B40" s="152"/>
      <c r="C40" s="152"/>
      <c r="D40" s="152"/>
      <c r="E40" s="152"/>
      <c r="F40" s="152"/>
      <c r="G40" s="152"/>
      <c r="H40" s="152"/>
      <c r="I40" s="152"/>
      <c r="J40" s="152"/>
      <c r="K40" s="152"/>
      <c r="L40" s="152"/>
      <c r="Q40" s="152"/>
      <c r="R40" s="197"/>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8"/>
      <c r="AX40" s="198"/>
      <c r="AY40" s="198"/>
      <c r="AZ40" s="198"/>
      <c r="BA40" s="198"/>
      <c r="BB40" s="198"/>
      <c r="BC40" s="198"/>
      <c r="BD40" s="198"/>
      <c r="BE40" s="198"/>
      <c r="BF40" s="198"/>
      <c r="BG40" s="198"/>
      <c r="BH40" s="198"/>
      <c r="BI40" s="198"/>
      <c r="BJ40" s="198"/>
      <c r="BK40" s="198"/>
      <c r="BL40" s="198"/>
      <c r="BM40" s="198"/>
      <c r="BN40" s="198"/>
      <c r="BO40" s="198"/>
      <c r="BP40" s="198"/>
      <c r="BQ40" s="198"/>
      <c r="BR40" s="198"/>
      <c r="BS40" s="198"/>
      <c r="BT40" s="198"/>
      <c r="BU40" s="198"/>
      <c r="BV40" s="198"/>
      <c r="BW40" s="198"/>
      <c r="BX40" s="198"/>
      <c r="BY40" s="198"/>
      <c r="BZ40" s="198"/>
      <c r="CA40" s="198"/>
      <c r="CB40" s="198"/>
      <c r="CC40" s="198"/>
      <c r="CD40" s="198"/>
      <c r="CE40" s="198"/>
      <c r="CF40" s="198"/>
      <c r="CG40" s="198"/>
      <c r="CH40" s="198"/>
      <c r="CI40" s="198"/>
      <c r="CJ40" s="12"/>
      <c r="CK40" s="13"/>
      <c r="CL40" s="13"/>
      <c r="CM40" s="13"/>
      <c r="CN40" s="13"/>
      <c r="CO40" s="13"/>
      <c r="CP40" s="13"/>
      <c r="CQ40" s="13"/>
      <c r="CR40" s="14"/>
      <c r="CS40" s="12"/>
      <c r="CT40" s="13"/>
      <c r="CU40" s="13"/>
      <c r="CV40" s="13"/>
      <c r="CW40" s="13"/>
      <c r="CX40" s="13"/>
      <c r="CY40" s="13"/>
      <c r="CZ40" s="13"/>
      <c r="DA40" s="14"/>
      <c r="DB40" s="12"/>
      <c r="DC40" s="13"/>
      <c r="DD40" s="13"/>
      <c r="DE40" s="13"/>
      <c r="DF40" s="13"/>
      <c r="DG40" s="13"/>
      <c r="DH40" s="13"/>
      <c r="DI40" s="13"/>
      <c r="DJ40" s="14"/>
      <c r="DK40" s="12"/>
      <c r="DL40" s="13"/>
      <c r="DM40" s="13"/>
      <c r="DN40" s="13"/>
      <c r="DO40" s="13"/>
      <c r="DP40" s="13"/>
      <c r="DQ40" s="13"/>
      <c r="DR40" s="13"/>
      <c r="DS40" s="14"/>
      <c r="DT40" s="12"/>
      <c r="DU40" s="13"/>
      <c r="DV40" s="13"/>
      <c r="DW40" s="13"/>
      <c r="DX40" s="13"/>
      <c r="DY40" s="13"/>
      <c r="DZ40" s="13"/>
      <c r="EA40" s="13"/>
      <c r="EB40" s="14"/>
      <c r="EC40" s="152"/>
      <c r="ED40" s="152"/>
      <c r="EE40" s="152"/>
      <c r="EF40" s="152"/>
      <c r="EG40" s="152"/>
      <c r="EH40" s="152"/>
      <c r="EI40" s="152"/>
      <c r="EJ40" s="152"/>
      <c r="EK40" s="152"/>
      <c r="EL40" s="152"/>
      <c r="EM40" s="152"/>
      <c r="EN40" s="152"/>
      <c r="EO40" s="152"/>
      <c r="EP40" s="152"/>
      <c r="EQ40" s="152"/>
      <c r="ER40" s="152"/>
    </row>
    <row r="41" ht="5.25" customHeight="1">
      <c r="A41" s="152"/>
      <c r="B41" s="152"/>
      <c r="C41" s="152"/>
      <c r="D41" s="152"/>
      <c r="E41" s="152"/>
      <c r="F41" s="152"/>
      <c r="G41" s="152"/>
      <c r="H41" s="152"/>
      <c r="I41" s="152"/>
      <c r="J41" s="152"/>
      <c r="K41" s="152"/>
      <c r="L41" s="152"/>
      <c r="M41" s="177" t="str">
        <f>Q41&amp;"."</f>
        <v>5.</v>
      </c>
      <c r="Q41" s="181">
        <v>5.0</v>
      </c>
      <c r="R41" s="182"/>
      <c r="S41" s="183"/>
      <c r="T41" s="183"/>
      <c r="U41" s="183"/>
      <c r="V41" s="183"/>
      <c r="W41" s="183"/>
      <c r="X41" s="183"/>
      <c r="Y41" s="183"/>
      <c r="Z41" s="183"/>
      <c r="AA41" s="183"/>
      <c r="AB41" s="183"/>
      <c r="AC41" s="183"/>
      <c r="AD41" s="183"/>
      <c r="AE41" s="183"/>
      <c r="AF41" s="183"/>
      <c r="AG41" s="183"/>
      <c r="AH41" s="183"/>
      <c r="AI41" s="183"/>
      <c r="AJ41" s="183"/>
      <c r="AK41" s="183"/>
      <c r="AL41" s="183"/>
      <c r="AM41" s="183"/>
      <c r="AN41" s="183"/>
      <c r="AO41" s="183"/>
      <c r="AP41" s="183"/>
      <c r="AQ41" s="183"/>
      <c r="AR41" s="183"/>
      <c r="AS41" s="183"/>
      <c r="AT41" s="183"/>
      <c r="AU41" s="183"/>
      <c r="AV41" s="183"/>
      <c r="AW41" s="183"/>
      <c r="AX41" s="183"/>
      <c r="AY41" s="183"/>
      <c r="AZ41" s="183"/>
      <c r="BA41" s="183"/>
      <c r="BB41" s="183"/>
      <c r="BC41" s="183"/>
      <c r="BD41" s="183"/>
      <c r="BE41" s="183"/>
      <c r="BF41" s="183"/>
      <c r="BG41" s="183"/>
      <c r="BH41" s="183"/>
      <c r="BI41" s="183"/>
      <c r="BJ41" s="183"/>
      <c r="BK41" s="183"/>
      <c r="BL41" s="183"/>
      <c r="BM41" s="183"/>
      <c r="BN41" s="183"/>
      <c r="BO41" s="183"/>
      <c r="BP41" s="183"/>
      <c r="BQ41" s="183"/>
      <c r="BR41" s="183"/>
      <c r="BS41" s="183"/>
      <c r="BT41" s="183"/>
      <c r="BU41" s="183"/>
      <c r="BV41" s="183"/>
      <c r="BW41" s="183"/>
      <c r="BX41" s="183"/>
      <c r="BY41" s="183"/>
      <c r="BZ41" s="183"/>
      <c r="CA41" s="183"/>
      <c r="CB41" s="183"/>
      <c r="CC41" s="183"/>
      <c r="CD41" s="183"/>
      <c r="CE41" s="183"/>
      <c r="CF41" s="183"/>
      <c r="CG41" s="183"/>
      <c r="CH41" s="183"/>
      <c r="CI41" s="183"/>
      <c r="CJ41" s="185" t="str">
        <f t="array" ref="CJ41">xlookup($Y42,data!$N$2:$N$17,xlookup("r1Ser",data!$P$1:$BR$1,data!$P$2:$BR$17,""))</f>
        <v/>
      </c>
      <c r="CK41" s="8"/>
      <c r="CL41" s="186" t="str">
        <f t="array" ref="CL41">xlookup(xlookup($Y42,data!$N$2:$N$17,xlookup("r1op",data!$P$1:$BR$1,data!$P$2:$BR$17,"")),data!$M$2:$M$17,data!$O$2:$O$17,"")</f>
        <v/>
      </c>
      <c r="CM41" s="8"/>
      <c r="CN41" s="8"/>
      <c r="CO41" s="8"/>
      <c r="CP41" s="8"/>
      <c r="CQ41" s="187"/>
      <c r="CR41" s="9"/>
      <c r="CS41" s="185" t="str">
        <f t="array" ref="CS41">xlookup($Y42,data!$N$2:$N$17,xlookup("r2Ser",data!$P$1:$BR$1,data!$P$2:$BR$17,""))</f>
        <v/>
      </c>
      <c r="CT41" s="8"/>
      <c r="CU41" s="186" t="str">
        <f t="array" ref="CU41">xlookup(xlookup($Y42,data!$N$2:$N$17,xlookup("r2op",data!$P$1:$BR$1,data!$P$2:$BR$17,"")),data!$M$2:$M$17,data!$O$2:$O$17,"")</f>
        <v/>
      </c>
      <c r="CV41" s="8"/>
      <c r="CW41" s="8"/>
      <c r="CX41" s="8"/>
      <c r="CY41" s="8"/>
      <c r="CZ41" s="187"/>
      <c r="DA41" s="9"/>
      <c r="DB41" s="185" t="str">
        <f t="array" ref="DB41">xlookup($Y42,data!$N$2:$N$17,xlookup("r3Ser",data!$P$1:$BR$1,data!$P$2:$BR$17,""))</f>
        <v/>
      </c>
      <c r="DC41" s="8"/>
      <c r="DD41" s="186" t="str">
        <f t="array" ref="DD41">xlookup(xlookup($Y42,data!$N$2:$N$17,xlookup("r3op",data!$P$1:$BR$1,data!$P$2:$BR$17,"")),data!$M$2:$M$17,data!$O$2:$O$17,"")</f>
        <v/>
      </c>
      <c r="DE41" s="8"/>
      <c r="DF41" s="8"/>
      <c r="DG41" s="8"/>
      <c r="DH41" s="8"/>
      <c r="DI41" s="187"/>
      <c r="DJ41" s="9"/>
      <c r="DK41" s="185" t="str">
        <f t="array" ref="DK41">xlookup($Y42,data!$N$2:$N$17,xlookup("r4Ser",data!$P$1:$BR$1,data!$P$2:$BR$17,""))</f>
        <v/>
      </c>
      <c r="DL41" s="8"/>
      <c r="DM41" s="186" t="str">
        <f t="array" ref="DM41">xlookup(xlookup($Y42,data!$N$2:$N$17,xlookup("r4op",data!$P$1:$BR$1,data!$P$2:$BR$17,"")),data!$M$2:$M$17,data!$O$2:$O$17,"")</f>
        <v/>
      </c>
      <c r="DN41" s="8"/>
      <c r="DO41" s="8"/>
      <c r="DP41" s="8"/>
      <c r="DQ41" s="8"/>
      <c r="DR41" s="187"/>
      <c r="DS41" s="9"/>
      <c r="DT41" s="185" t="str">
        <f t="array" ref="DT41">xlookup($Y42,data!$N$2:$N$17,xlookup("r5Ser",data!$P$1:$BR$1,data!$P$2:$BR$17,""))</f>
        <v/>
      </c>
      <c r="DU41" s="8"/>
      <c r="DV41" s="186" t="str">
        <f t="array" ref="DV41">xlookup(xlookup($Y42,data!$N$2:$N$17,xlookup("r5op",data!$P$1:$BR$1,data!$P$2:$BR$17,"")),data!$M$2:$M$17,data!$O$2:$O$17,"")</f>
        <v/>
      </c>
      <c r="DW41" s="8"/>
      <c r="DX41" s="8"/>
      <c r="DY41" s="8"/>
      <c r="DZ41" s="8"/>
      <c r="EA41" s="187"/>
      <c r="EB41" s="9"/>
      <c r="EC41" s="152"/>
      <c r="ED41" s="152"/>
      <c r="EE41" s="152"/>
      <c r="EF41" s="152"/>
      <c r="EG41" s="152"/>
      <c r="EH41" s="152"/>
      <c r="EI41" s="152"/>
      <c r="EJ41" s="152"/>
      <c r="EK41" s="152"/>
      <c r="EL41" s="152"/>
      <c r="EM41" s="152"/>
      <c r="EN41" s="152"/>
      <c r="EO41" s="152"/>
      <c r="EP41" s="152"/>
      <c r="EQ41" s="152"/>
      <c r="ER41" s="152"/>
    </row>
    <row r="42" ht="5.25" customHeight="1">
      <c r="A42" s="152"/>
      <c r="B42" s="152"/>
      <c r="C42" s="152"/>
      <c r="D42" s="152"/>
      <c r="E42" s="152"/>
      <c r="F42" s="152"/>
      <c r="G42" s="152"/>
      <c r="H42" s="152"/>
      <c r="I42" s="152"/>
      <c r="J42" s="152"/>
      <c r="K42" s="152"/>
      <c r="L42" s="152"/>
      <c r="Q42" s="152"/>
      <c r="R42" s="188" t="str">
        <f t="array" ref="R42">xlookup(Y42,data!$N$2:$N$17,data!$O$2:$O$17,"")</f>
        <v/>
      </c>
      <c r="X42" s="189"/>
      <c r="Y42" s="190" t="str">
        <f t="array" ref="Y42">xlookup(Q41,data!$G$24:$G$39,data!$A$24:$A$39,"")</f>
        <v>Team 5 (Group 2)</v>
      </c>
      <c r="BB42" s="189"/>
      <c r="BC42" s="191" t="str">
        <f t="array" ref="BC42">xlookup(Y42,data!$A$24:$A$39,data!$B$24:$B$39,"")</f>
        <v>0-0</v>
      </c>
      <c r="BK42" s="189"/>
      <c r="BL42" s="192" t="str">
        <f t="array" ref="BL42">xlookup(Y42,data!$A$24:$A$39,data!$C$24:$C$39,"")</f>
        <v>0-0</v>
      </c>
      <c r="BT42" s="189"/>
      <c r="BU42" s="193" t="str">
        <f t="array" ref="BU42">xlookup(Y42,data!$A$24:$A$39,data!$D$24:$D$39,"")</f>
        <v>0-0</v>
      </c>
      <c r="CC42" s="189"/>
      <c r="CD42" s="193">
        <f t="array" ref="CD42">xlookup(Y42,data!$A$24:$A$39,data!$F$24:$F$39,"")</f>
        <v>0</v>
      </c>
      <c r="CI42" s="189"/>
      <c r="CJ42" s="10"/>
      <c r="CR42" s="11"/>
      <c r="CS42" s="10"/>
      <c r="DA42" s="11"/>
      <c r="DB42" s="10"/>
      <c r="DJ42" s="11"/>
      <c r="DK42" s="10"/>
      <c r="DS42" s="11"/>
      <c r="DT42" s="10"/>
      <c r="EB42" s="11"/>
      <c r="EC42" s="152"/>
      <c r="ED42" s="152"/>
      <c r="EE42" s="152"/>
      <c r="EF42" s="152"/>
      <c r="EG42" s="152"/>
      <c r="EH42" s="152"/>
      <c r="EI42" s="152"/>
      <c r="EJ42" s="152"/>
      <c r="EK42" s="152"/>
      <c r="EL42" s="152"/>
      <c r="EM42" s="152"/>
      <c r="EN42" s="152"/>
      <c r="EO42" s="152"/>
      <c r="EP42" s="152"/>
      <c r="EQ42" s="152"/>
      <c r="ER42" s="152"/>
    </row>
    <row r="43" ht="5.25" customHeight="1">
      <c r="A43" s="152"/>
      <c r="B43" s="152"/>
      <c r="C43" s="152"/>
      <c r="D43" s="152"/>
      <c r="E43" s="152"/>
      <c r="F43" s="152"/>
      <c r="G43" s="152"/>
      <c r="H43" s="152"/>
      <c r="I43" s="152"/>
      <c r="J43" s="152"/>
      <c r="K43" s="152"/>
      <c r="L43" s="152"/>
      <c r="Q43" s="152"/>
      <c r="R43" s="10"/>
      <c r="X43" s="189"/>
      <c r="BB43" s="189"/>
      <c r="BK43" s="189"/>
      <c r="BT43" s="189"/>
      <c r="CC43" s="189"/>
      <c r="CI43" s="189"/>
      <c r="CJ43" s="10"/>
      <c r="CR43" s="11"/>
      <c r="CS43" s="10"/>
      <c r="DA43" s="11"/>
      <c r="DB43" s="10"/>
      <c r="DJ43" s="11"/>
      <c r="DK43" s="10"/>
      <c r="DS43" s="11"/>
      <c r="DT43" s="10"/>
      <c r="EB43" s="11"/>
      <c r="EC43" s="152"/>
      <c r="ED43" s="152"/>
      <c r="EE43" s="152"/>
      <c r="EF43" s="152"/>
      <c r="EG43" s="152"/>
      <c r="EH43" s="152"/>
      <c r="EI43" s="152"/>
      <c r="EJ43" s="152"/>
      <c r="EK43" s="152"/>
      <c r="EL43" s="152"/>
      <c r="EM43" s="152"/>
      <c r="EN43" s="152"/>
      <c r="EO43" s="152"/>
      <c r="EP43" s="152"/>
      <c r="EQ43" s="152"/>
      <c r="ER43" s="152"/>
    </row>
    <row r="44" ht="5.25" customHeight="1">
      <c r="A44" s="152"/>
      <c r="B44" s="152"/>
      <c r="C44" s="152"/>
      <c r="D44" s="152"/>
      <c r="E44" s="152"/>
      <c r="F44" s="152"/>
      <c r="G44" s="152"/>
      <c r="H44" s="152"/>
      <c r="I44" s="152"/>
      <c r="J44" s="152"/>
      <c r="K44" s="152"/>
      <c r="L44" s="152"/>
      <c r="Q44" s="152"/>
      <c r="R44" s="10"/>
      <c r="X44" s="189"/>
      <c r="BB44" s="189"/>
      <c r="BK44" s="189"/>
      <c r="BT44" s="189"/>
      <c r="CC44" s="189"/>
      <c r="CI44" s="189"/>
      <c r="CJ44" s="10"/>
      <c r="CR44" s="11"/>
      <c r="CS44" s="10"/>
      <c r="DA44" s="11"/>
      <c r="DB44" s="10"/>
      <c r="DJ44" s="11"/>
      <c r="DK44" s="10"/>
      <c r="DS44" s="11"/>
      <c r="DT44" s="10"/>
      <c r="EB44" s="11"/>
      <c r="EC44" s="152"/>
      <c r="ED44" s="152"/>
      <c r="EE44" s="152"/>
      <c r="EF44" s="152"/>
      <c r="EG44" s="152"/>
      <c r="EH44" s="152"/>
      <c r="EI44" s="152"/>
      <c r="EJ44" s="152"/>
      <c r="EK44" s="152"/>
      <c r="EL44" s="152"/>
      <c r="EM44" s="152"/>
      <c r="EN44" s="152"/>
      <c r="EO44" s="152"/>
      <c r="EP44" s="152"/>
      <c r="EQ44" s="152"/>
      <c r="ER44" s="152"/>
    </row>
    <row r="45" ht="5.25" customHeight="1">
      <c r="A45" s="152"/>
      <c r="B45" s="152"/>
      <c r="C45" s="152"/>
      <c r="D45" s="152"/>
      <c r="E45" s="152"/>
      <c r="F45" s="152"/>
      <c r="G45" s="152"/>
      <c r="H45" s="152"/>
      <c r="I45" s="152"/>
      <c r="J45" s="152"/>
      <c r="K45" s="152"/>
      <c r="L45" s="152"/>
      <c r="Q45" s="152"/>
      <c r="R45" s="10"/>
      <c r="X45" s="189"/>
      <c r="BB45" s="189"/>
      <c r="BK45" s="189"/>
      <c r="BT45" s="189"/>
      <c r="CC45" s="189"/>
      <c r="CI45" s="189"/>
      <c r="CJ45" s="10"/>
      <c r="CR45" s="11"/>
      <c r="CS45" s="10"/>
      <c r="DA45" s="11"/>
      <c r="DB45" s="10"/>
      <c r="DJ45" s="11"/>
      <c r="DK45" s="10"/>
      <c r="DS45" s="11"/>
      <c r="DT45" s="10"/>
      <c r="EB45" s="11"/>
      <c r="EC45" s="152"/>
      <c r="ED45" s="152"/>
      <c r="EE45" s="152"/>
      <c r="EF45" s="152"/>
      <c r="EG45" s="152"/>
      <c r="EH45" s="152"/>
      <c r="EI45" s="152"/>
      <c r="EJ45" s="152"/>
      <c r="EK45" s="152"/>
      <c r="EL45" s="152"/>
      <c r="EM45" s="152"/>
      <c r="EN45" s="152"/>
      <c r="EO45" s="152"/>
      <c r="EP45" s="152"/>
      <c r="EQ45" s="152"/>
      <c r="ER45" s="152"/>
    </row>
    <row r="46" ht="5.25" customHeight="1">
      <c r="A46" s="152"/>
      <c r="B46" s="152"/>
      <c r="C46" s="152"/>
      <c r="D46" s="152"/>
      <c r="E46" s="152"/>
      <c r="F46" s="152"/>
      <c r="G46" s="152"/>
      <c r="H46" s="152"/>
      <c r="I46" s="152"/>
      <c r="J46" s="152"/>
      <c r="K46" s="152"/>
      <c r="L46" s="152"/>
      <c r="Q46" s="152"/>
      <c r="R46" s="10"/>
      <c r="X46" s="189"/>
      <c r="BB46" s="189"/>
      <c r="BK46" s="189"/>
      <c r="BT46" s="189"/>
      <c r="CC46" s="189"/>
      <c r="CI46" s="189"/>
      <c r="CJ46" s="195" t="str">
        <f t="array" ref="CJ46">xlookup($Y42,teams,xlookup("r1gw",header,swissdata))&amp;"-"&amp;xlookup($Y42,teams,xlookup("r1gl",header,swissdata))</f>
        <v>-</v>
      </c>
      <c r="CN46" s="196"/>
      <c r="CO46" s="196">
        <f t="array" ref="CO46">if(xlookup($Y42,teams,xlookup("r1rd",header,swissdata))&gt;0,"+"&amp;xlookup($Y42,teams,xlookup("r1rd",header,swissdata)),xlookup($Y42,teams,xlookup("r1rd",header,swissdata)))</f>
        <v>0</v>
      </c>
      <c r="CR46" s="11"/>
      <c r="CS46" s="195" t="str">
        <f t="array" ref="CS46">xlookup($Y42,teams,xlookup("r2gw",header,swissdata))&amp;"-"&amp;xlookup($Y42,teams,xlookup("r2gl",header,swissdata))</f>
        <v>-</v>
      </c>
      <c r="CW46" s="196"/>
      <c r="CX46" s="196">
        <f t="array" ref="CX46">if(xlookup($Y42,teams,xlookup("r2rd",header,swissdata))&gt;0,"+"&amp;xlookup($Y42,teams,xlookup("r2rd",header,swissdata)),xlookup($Y42,teams,xlookup("r2rd",header,swissdata)))</f>
        <v>0</v>
      </c>
      <c r="DA46" s="11"/>
      <c r="DB46" s="195" t="str">
        <f t="array" ref="DB46">xlookup($Y42,teams,xlookup("r3gw",header,swissdata))&amp;"-"&amp;xlookup($Y42,teams,xlookup("r3gl",header,swissdata))</f>
        <v>-</v>
      </c>
      <c r="DF46" s="196"/>
      <c r="DG46" s="196">
        <f t="array" ref="DG46">if(xlookup($Y42,teams,xlookup("r3rd",header,swissdata))&gt;0,"+"&amp;xlookup($Y42,teams,xlookup("r3rd",header,swissdata)),xlookup($Y42,teams,xlookup("r3rd",header,swissdata)))</f>
        <v>0</v>
      </c>
      <c r="DJ46" s="11"/>
      <c r="DK46" s="195" t="str">
        <f t="array" ref="DK46">xlookup($Y42,teams,xlookup("r4gw",header,swissdata))&amp;"-"&amp;xlookup($Y42,teams,xlookup("r4gl",header,swissdata))</f>
        <v>-</v>
      </c>
      <c r="DO46" s="196"/>
      <c r="DP46" s="196">
        <f t="array" ref="DP46">if(xlookup($Y42,teams,xlookup("r4rd",header,swissdata))&gt;0,"+"&amp;xlookup($Y42,teams,xlookup("r4rd",header,swissdata)),xlookup($Y42,teams,xlookup("r4rd",header,swissdata)))</f>
        <v>0</v>
      </c>
      <c r="DS46" s="11"/>
      <c r="DT46" s="195"/>
      <c r="DX46" s="196"/>
      <c r="DY46" s="196"/>
      <c r="EB46" s="11"/>
      <c r="EC46" s="152"/>
      <c r="ED46" s="152"/>
      <c r="EE46" s="152"/>
      <c r="EF46" s="152"/>
      <c r="EG46" s="152"/>
      <c r="EH46" s="152"/>
      <c r="EI46" s="152"/>
      <c r="EJ46" s="152"/>
      <c r="EK46" s="152"/>
      <c r="EL46" s="152"/>
      <c r="EM46" s="152"/>
      <c r="EN46" s="152"/>
      <c r="EO46" s="152"/>
      <c r="EP46" s="152"/>
      <c r="EQ46" s="152"/>
      <c r="ER46" s="152"/>
    </row>
    <row r="47" ht="5.25" customHeight="1">
      <c r="A47" s="152"/>
      <c r="B47" s="152"/>
      <c r="C47" s="152"/>
      <c r="D47" s="152"/>
      <c r="E47" s="152"/>
      <c r="F47" s="152"/>
      <c r="G47" s="152"/>
      <c r="H47" s="152"/>
      <c r="I47" s="152"/>
      <c r="J47" s="152"/>
      <c r="K47" s="152"/>
      <c r="L47" s="152"/>
      <c r="Q47" s="152"/>
      <c r="R47" s="10"/>
      <c r="X47" s="189"/>
      <c r="BB47" s="189"/>
      <c r="BK47" s="189"/>
      <c r="BT47" s="189"/>
      <c r="CC47" s="189"/>
      <c r="CI47" s="189"/>
      <c r="CJ47" s="10"/>
      <c r="CR47" s="11"/>
      <c r="CS47" s="10"/>
      <c r="DA47" s="11"/>
      <c r="DB47" s="10"/>
      <c r="DJ47" s="11"/>
      <c r="DK47" s="10"/>
      <c r="DS47" s="11"/>
      <c r="DT47" s="10"/>
      <c r="EB47" s="11"/>
      <c r="EC47" s="152"/>
      <c r="ED47" s="152"/>
      <c r="EE47" s="152"/>
      <c r="EF47" s="152"/>
      <c r="EG47" s="152"/>
      <c r="EH47" s="152"/>
      <c r="EI47" s="152"/>
      <c r="EJ47" s="152"/>
      <c r="EK47" s="152"/>
      <c r="EL47" s="152"/>
      <c r="EM47" s="152"/>
      <c r="EN47" s="152"/>
      <c r="EO47" s="152"/>
      <c r="EP47" s="152"/>
      <c r="EQ47" s="152"/>
      <c r="ER47" s="152"/>
    </row>
    <row r="48" ht="5.25" customHeight="1">
      <c r="A48" s="152"/>
      <c r="B48" s="152"/>
      <c r="C48" s="152"/>
      <c r="D48" s="152"/>
      <c r="E48" s="152"/>
      <c r="F48" s="152"/>
      <c r="G48" s="152"/>
      <c r="H48" s="152"/>
      <c r="I48" s="152"/>
      <c r="J48" s="152"/>
      <c r="K48" s="152"/>
      <c r="L48" s="152"/>
      <c r="Q48" s="152"/>
      <c r="R48" s="197"/>
      <c r="S48" s="198"/>
      <c r="T48" s="198"/>
      <c r="U48" s="198"/>
      <c r="V48" s="198"/>
      <c r="W48" s="198"/>
      <c r="X48" s="198"/>
      <c r="Y48" s="198"/>
      <c r="Z48" s="198"/>
      <c r="AA48" s="198"/>
      <c r="AB48" s="198"/>
      <c r="AC48" s="198"/>
      <c r="AD48" s="198"/>
      <c r="AE48" s="198"/>
      <c r="AF48" s="198"/>
      <c r="AG48" s="198"/>
      <c r="AH48" s="198"/>
      <c r="AI48" s="198"/>
      <c r="AJ48" s="198"/>
      <c r="AK48" s="198"/>
      <c r="AL48" s="198"/>
      <c r="AM48" s="198"/>
      <c r="AN48" s="198"/>
      <c r="AO48" s="198"/>
      <c r="AP48" s="198"/>
      <c r="AQ48" s="198"/>
      <c r="AR48" s="198"/>
      <c r="AS48" s="198"/>
      <c r="AT48" s="198"/>
      <c r="AU48" s="198"/>
      <c r="AV48" s="198"/>
      <c r="AW48" s="198"/>
      <c r="AX48" s="198"/>
      <c r="AY48" s="198"/>
      <c r="AZ48" s="198"/>
      <c r="BA48" s="198"/>
      <c r="BB48" s="198"/>
      <c r="BC48" s="198"/>
      <c r="BD48" s="198"/>
      <c r="BE48" s="198"/>
      <c r="BF48" s="198"/>
      <c r="BG48" s="198"/>
      <c r="BH48" s="198"/>
      <c r="BI48" s="198"/>
      <c r="BJ48" s="198"/>
      <c r="BK48" s="198"/>
      <c r="BL48" s="198"/>
      <c r="BM48" s="198"/>
      <c r="BN48" s="198"/>
      <c r="BO48" s="198"/>
      <c r="BP48" s="198"/>
      <c r="BQ48" s="198"/>
      <c r="BR48" s="198"/>
      <c r="BS48" s="198"/>
      <c r="BT48" s="198"/>
      <c r="BU48" s="198"/>
      <c r="BV48" s="198"/>
      <c r="BW48" s="198"/>
      <c r="BX48" s="198"/>
      <c r="BY48" s="198"/>
      <c r="BZ48" s="198"/>
      <c r="CA48" s="198"/>
      <c r="CB48" s="198"/>
      <c r="CC48" s="198"/>
      <c r="CD48" s="198"/>
      <c r="CE48" s="198"/>
      <c r="CF48" s="198"/>
      <c r="CG48" s="198"/>
      <c r="CH48" s="198"/>
      <c r="CI48" s="198"/>
      <c r="CJ48" s="12"/>
      <c r="CK48" s="13"/>
      <c r="CL48" s="13"/>
      <c r="CM48" s="13"/>
      <c r="CN48" s="13"/>
      <c r="CO48" s="13"/>
      <c r="CP48" s="13"/>
      <c r="CQ48" s="13"/>
      <c r="CR48" s="14"/>
      <c r="CS48" s="12"/>
      <c r="CT48" s="13"/>
      <c r="CU48" s="13"/>
      <c r="CV48" s="13"/>
      <c r="CW48" s="13"/>
      <c r="CX48" s="13"/>
      <c r="CY48" s="13"/>
      <c r="CZ48" s="13"/>
      <c r="DA48" s="14"/>
      <c r="DB48" s="12"/>
      <c r="DC48" s="13"/>
      <c r="DD48" s="13"/>
      <c r="DE48" s="13"/>
      <c r="DF48" s="13"/>
      <c r="DG48" s="13"/>
      <c r="DH48" s="13"/>
      <c r="DI48" s="13"/>
      <c r="DJ48" s="14"/>
      <c r="DK48" s="12"/>
      <c r="DL48" s="13"/>
      <c r="DM48" s="13"/>
      <c r="DN48" s="13"/>
      <c r="DO48" s="13"/>
      <c r="DP48" s="13"/>
      <c r="DQ48" s="13"/>
      <c r="DR48" s="13"/>
      <c r="DS48" s="14"/>
      <c r="DT48" s="12"/>
      <c r="DU48" s="13"/>
      <c r="DV48" s="13"/>
      <c r="DW48" s="13"/>
      <c r="DX48" s="13"/>
      <c r="DY48" s="13"/>
      <c r="DZ48" s="13"/>
      <c r="EA48" s="13"/>
      <c r="EB48" s="14"/>
      <c r="EC48" s="152"/>
      <c r="ED48" s="152"/>
      <c r="EE48" s="152"/>
      <c r="EF48" s="152"/>
      <c r="EG48" s="152"/>
      <c r="EH48" s="152"/>
      <c r="EI48" s="152"/>
      <c r="EJ48" s="152"/>
      <c r="EK48" s="152"/>
      <c r="EL48" s="152"/>
      <c r="EM48" s="152"/>
      <c r="EN48" s="152"/>
      <c r="EO48" s="152"/>
      <c r="EP48" s="152"/>
      <c r="EQ48" s="152"/>
      <c r="ER48" s="152"/>
    </row>
    <row r="49" ht="5.25" customHeight="1">
      <c r="A49" s="152"/>
      <c r="B49" s="152"/>
      <c r="C49" s="152"/>
      <c r="D49" s="152"/>
      <c r="E49" s="152"/>
      <c r="F49" s="152"/>
      <c r="G49" s="152"/>
      <c r="H49" s="152"/>
      <c r="I49" s="152"/>
      <c r="J49" s="152"/>
      <c r="K49" s="152"/>
      <c r="L49" s="152"/>
      <c r="M49" s="177" t="str">
        <f>Q49&amp;"."</f>
        <v>6.</v>
      </c>
      <c r="Q49" s="181">
        <v>6.0</v>
      </c>
      <c r="R49" s="182"/>
      <c r="S49" s="183"/>
      <c r="T49" s="183"/>
      <c r="U49" s="183"/>
      <c r="V49" s="183"/>
      <c r="W49" s="183"/>
      <c r="X49" s="183"/>
      <c r="Y49" s="183"/>
      <c r="Z49" s="183"/>
      <c r="AA49" s="183"/>
      <c r="AB49" s="183"/>
      <c r="AC49" s="183"/>
      <c r="AD49" s="183"/>
      <c r="AE49" s="183"/>
      <c r="AF49" s="183"/>
      <c r="AG49" s="183"/>
      <c r="AH49" s="183"/>
      <c r="AI49" s="183"/>
      <c r="AJ49" s="183"/>
      <c r="AK49" s="183"/>
      <c r="AL49" s="183"/>
      <c r="AM49" s="183"/>
      <c r="AN49" s="183"/>
      <c r="AO49" s="183"/>
      <c r="AP49" s="183"/>
      <c r="AQ49" s="183"/>
      <c r="AR49" s="183"/>
      <c r="AS49" s="183"/>
      <c r="AT49" s="183"/>
      <c r="AU49" s="183"/>
      <c r="AV49" s="183"/>
      <c r="AW49" s="183"/>
      <c r="AX49" s="183"/>
      <c r="AY49" s="183"/>
      <c r="AZ49" s="183"/>
      <c r="BA49" s="183"/>
      <c r="BB49" s="183"/>
      <c r="BC49" s="183"/>
      <c r="BD49" s="183"/>
      <c r="BE49" s="183"/>
      <c r="BF49" s="183"/>
      <c r="BG49" s="183"/>
      <c r="BH49" s="183"/>
      <c r="BI49" s="183"/>
      <c r="BJ49" s="183"/>
      <c r="BK49" s="183"/>
      <c r="BL49" s="183"/>
      <c r="BM49" s="183"/>
      <c r="BN49" s="183"/>
      <c r="BO49" s="183"/>
      <c r="BP49" s="183"/>
      <c r="BQ49" s="183"/>
      <c r="BR49" s="183"/>
      <c r="BS49" s="183"/>
      <c r="BT49" s="183"/>
      <c r="BU49" s="183"/>
      <c r="BV49" s="183"/>
      <c r="BW49" s="183"/>
      <c r="BX49" s="183"/>
      <c r="BY49" s="183"/>
      <c r="BZ49" s="183"/>
      <c r="CA49" s="183"/>
      <c r="CB49" s="183"/>
      <c r="CC49" s="183"/>
      <c r="CD49" s="183"/>
      <c r="CE49" s="183"/>
      <c r="CF49" s="183"/>
      <c r="CG49" s="183"/>
      <c r="CH49" s="183"/>
      <c r="CI49" s="183"/>
      <c r="CJ49" s="185" t="str">
        <f t="array" ref="CJ49">xlookup($Y50,data!$N$2:$N$17,xlookup("r1Ser",data!$P$1:$BR$1,data!$P$2:$BR$17,""))</f>
        <v/>
      </c>
      <c r="CK49" s="8"/>
      <c r="CL49" s="186" t="str">
        <f t="array" ref="CL49">xlookup(xlookup($Y50,data!$N$2:$N$17,xlookup("r1op",data!$P$1:$BR$1,data!$P$2:$BR$17,"")),data!$M$2:$M$17,data!$O$2:$O$17,"")</f>
        <v/>
      </c>
      <c r="CM49" s="8"/>
      <c r="CN49" s="8"/>
      <c r="CO49" s="8"/>
      <c r="CP49" s="8"/>
      <c r="CQ49" s="187"/>
      <c r="CR49" s="9"/>
      <c r="CS49" s="185" t="str">
        <f t="array" ref="CS49">xlookup($Y50,data!$N$2:$N$17,xlookup("r2Ser",data!$P$1:$BR$1,data!$P$2:$BR$17,""))</f>
        <v/>
      </c>
      <c r="CT49" s="8"/>
      <c r="CU49" s="186" t="str">
        <f t="array" ref="CU49">xlookup(xlookup($Y50,data!$N$2:$N$17,xlookup("r2op",data!$P$1:$BR$1,data!$P$2:$BR$17,"")),data!$M$2:$M$17,data!$O$2:$O$17,"")</f>
        <v/>
      </c>
      <c r="CV49" s="8"/>
      <c r="CW49" s="8"/>
      <c r="CX49" s="8"/>
      <c r="CY49" s="8"/>
      <c r="CZ49" s="187"/>
      <c r="DA49" s="9"/>
      <c r="DB49" s="185" t="str">
        <f t="array" ref="DB49">xlookup($Y50,data!$N$2:$N$17,xlookup("r3Ser",data!$P$1:$BR$1,data!$P$2:$BR$17,""))</f>
        <v/>
      </c>
      <c r="DC49" s="8"/>
      <c r="DD49" s="186" t="str">
        <f t="array" ref="DD49">xlookup(xlookup($Y50,data!$N$2:$N$17,xlookup("r3op",data!$P$1:$BR$1,data!$P$2:$BR$17,"")),data!$M$2:$M$17,data!$O$2:$O$17,"")</f>
        <v/>
      </c>
      <c r="DE49" s="8"/>
      <c r="DF49" s="8"/>
      <c r="DG49" s="8"/>
      <c r="DH49" s="8"/>
      <c r="DI49" s="187"/>
      <c r="DJ49" s="9"/>
      <c r="DK49" s="185" t="str">
        <f t="array" ref="DK49">xlookup($Y50,data!$N$2:$N$17,xlookup("r4Ser",data!$P$1:$BR$1,data!$P$2:$BR$17,""))</f>
        <v/>
      </c>
      <c r="DL49" s="8"/>
      <c r="DM49" s="186" t="str">
        <f t="array" ref="DM49">xlookup(xlookup($Y50,data!$N$2:$N$17,xlookup("r4op",data!$P$1:$BR$1,data!$P$2:$BR$17,"")),data!$M$2:$M$17,data!$O$2:$O$17,"")</f>
        <v/>
      </c>
      <c r="DN49" s="8"/>
      <c r="DO49" s="8"/>
      <c r="DP49" s="8"/>
      <c r="DQ49" s="8"/>
      <c r="DR49" s="187"/>
      <c r="DS49" s="9"/>
      <c r="DT49" s="185" t="str">
        <f t="array" ref="DT49">xlookup($Y50,data!$N$2:$N$17,xlookup("r5Ser",data!$P$1:$BR$1,data!$P$2:$BR$17,""))</f>
        <v/>
      </c>
      <c r="DU49" s="8"/>
      <c r="DV49" s="186" t="str">
        <f t="array" ref="DV49">xlookup(xlookup($Y50,data!$N$2:$N$17,xlookup("r5op",data!$P$1:$BR$1,data!$P$2:$BR$17,"")),data!$M$2:$M$17,data!$O$2:$O$17,"")</f>
        <v/>
      </c>
      <c r="DW49" s="8"/>
      <c r="DX49" s="8"/>
      <c r="DY49" s="8"/>
      <c r="DZ49" s="8"/>
      <c r="EA49" s="187"/>
      <c r="EB49" s="9"/>
      <c r="EC49" s="152"/>
      <c r="ED49" s="152"/>
      <c r="EE49" s="152"/>
      <c r="EF49" s="152"/>
      <c r="EG49" s="152"/>
      <c r="EH49" s="152"/>
      <c r="EI49" s="152"/>
      <c r="EJ49" s="152"/>
      <c r="EK49" s="152"/>
      <c r="EL49" s="152"/>
      <c r="EM49" s="152"/>
      <c r="EN49" s="152"/>
      <c r="EO49" s="152"/>
      <c r="EP49" s="152"/>
      <c r="EQ49" s="152"/>
      <c r="ER49" s="152"/>
    </row>
    <row r="50" ht="5.25" customHeight="1">
      <c r="A50" s="152"/>
      <c r="B50" s="152"/>
      <c r="C50" s="152"/>
      <c r="D50" s="152"/>
      <c r="E50" s="152"/>
      <c r="F50" s="152"/>
      <c r="G50" s="152"/>
      <c r="H50" s="152"/>
      <c r="I50" s="152"/>
      <c r="J50" s="152"/>
      <c r="K50" s="152"/>
      <c r="L50" s="152"/>
      <c r="Q50" s="152"/>
      <c r="R50" s="188" t="str">
        <f t="array" ref="R50">xlookup(Y50,data!$N$2:$N$17,data!$O$2:$O$17,"")</f>
        <v/>
      </c>
      <c r="X50" s="189"/>
      <c r="Y50" s="190" t="str">
        <f t="array" ref="Y50">xlookup(Q49,data!$G$24:$G$39,data!$A$24:$A$39,"")</f>
        <v>Team 6 (Group 2)</v>
      </c>
      <c r="BB50" s="189"/>
      <c r="BC50" s="191" t="str">
        <f t="array" ref="BC50">xlookup(Y50,data!$A$24:$A$39,data!$B$24:$B$39,"")</f>
        <v>0-0</v>
      </c>
      <c r="BK50" s="189"/>
      <c r="BL50" s="192" t="str">
        <f t="array" ref="BL50">xlookup(Y50,data!$A$24:$A$39,data!$C$24:$C$39,"")</f>
        <v>0-0</v>
      </c>
      <c r="BT50" s="189"/>
      <c r="BU50" s="193" t="str">
        <f t="array" ref="BU50">xlookup(Y50,data!$A$24:$A$39,data!$D$24:$D$39,"")</f>
        <v>0-0</v>
      </c>
      <c r="CC50" s="189"/>
      <c r="CD50" s="193">
        <f t="array" ref="CD50">xlookup(Y50,data!$A$24:$A$39,data!$F$24:$F$39,"")</f>
        <v>0</v>
      </c>
      <c r="CI50" s="189"/>
      <c r="CJ50" s="10"/>
      <c r="CR50" s="11"/>
      <c r="CS50" s="10"/>
      <c r="DA50" s="11"/>
      <c r="DB50" s="10"/>
      <c r="DJ50" s="11"/>
      <c r="DK50" s="10"/>
      <c r="DS50" s="11"/>
      <c r="DT50" s="10"/>
      <c r="EB50" s="11"/>
      <c r="EC50" s="152"/>
      <c r="ED50" s="152"/>
      <c r="EE50" s="152"/>
      <c r="EF50" s="152"/>
      <c r="EG50" s="152"/>
      <c r="EH50" s="152"/>
      <c r="EI50" s="152"/>
      <c r="EJ50" s="152"/>
      <c r="EK50" s="152"/>
      <c r="EL50" s="152"/>
      <c r="EM50" s="152"/>
      <c r="EN50" s="152"/>
      <c r="EO50" s="152"/>
      <c r="EP50" s="152"/>
      <c r="EQ50" s="152"/>
      <c r="ER50" s="152"/>
    </row>
    <row r="51" ht="5.25" customHeight="1">
      <c r="A51" s="152"/>
      <c r="B51" s="152"/>
      <c r="C51" s="152"/>
      <c r="D51" s="152"/>
      <c r="E51" s="152"/>
      <c r="F51" s="152"/>
      <c r="G51" s="152"/>
      <c r="H51" s="152"/>
      <c r="I51" s="152"/>
      <c r="J51" s="152"/>
      <c r="K51" s="152"/>
      <c r="L51" s="152"/>
      <c r="Q51" s="152"/>
      <c r="R51" s="10"/>
      <c r="X51" s="189"/>
      <c r="BB51" s="189"/>
      <c r="BK51" s="189"/>
      <c r="BT51" s="189"/>
      <c r="CC51" s="189"/>
      <c r="CI51" s="189"/>
      <c r="CJ51" s="10"/>
      <c r="CR51" s="11"/>
      <c r="CS51" s="10"/>
      <c r="DA51" s="11"/>
      <c r="DB51" s="10"/>
      <c r="DJ51" s="11"/>
      <c r="DK51" s="10"/>
      <c r="DS51" s="11"/>
      <c r="DT51" s="10"/>
      <c r="EB51" s="11"/>
      <c r="EC51" s="152"/>
      <c r="ED51" s="152"/>
      <c r="EE51" s="152"/>
      <c r="EF51" s="152"/>
      <c r="EG51" s="152"/>
      <c r="EH51" s="152"/>
      <c r="EI51" s="152"/>
      <c r="EJ51" s="152"/>
      <c r="EK51" s="152"/>
      <c r="EL51" s="152"/>
      <c r="EM51" s="152"/>
      <c r="EN51" s="152"/>
      <c r="EO51" s="152"/>
      <c r="EP51" s="152"/>
      <c r="EQ51" s="152"/>
      <c r="ER51" s="152"/>
    </row>
    <row r="52" ht="5.25" customHeight="1">
      <c r="A52" s="152"/>
      <c r="B52" s="152"/>
      <c r="C52" s="152"/>
      <c r="D52" s="152"/>
      <c r="E52" s="152"/>
      <c r="F52" s="152"/>
      <c r="G52" s="152"/>
      <c r="H52" s="152"/>
      <c r="I52" s="152"/>
      <c r="J52" s="152"/>
      <c r="K52" s="152"/>
      <c r="L52" s="152"/>
      <c r="Q52" s="152"/>
      <c r="R52" s="10"/>
      <c r="X52" s="189"/>
      <c r="BB52" s="189"/>
      <c r="BK52" s="189"/>
      <c r="BT52" s="189"/>
      <c r="CC52" s="189"/>
      <c r="CI52" s="189"/>
      <c r="CJ52" s="10"/>
      <c r="CR52" s="11"/>
      <c r="CS52" s="10"/>
      <c r="DA52" s="11"/>
      <c r="DB52" s="10"/>
      <c r="DJ52" s="11"/>
      <c r="DK52" s="10"/>
      <c r="DS52" s="11"/>
      <c r="DT52" s="10"/>
      <c r="EB52" s="11"/>
      <c r="EC52" s="152"/>
      <c r="ED52" s="152"/>
      <c r="EE52" s="152"/>
      <c r="EF52" s="152"/>
      <c r="EG52" s="152"/>
      <c r="EH52" s="152"/>
      <c r="EI52" s="152"/>
      <c r="EJ52" s="152"/>
      <c r="EK52" s="152"/>
      <c r="EL52" s="152"/>
      <c r="EM52" s="152"/>
      <c r="EN52" s="152"/>
      <c r="EO52" s="152"/>
      <c r="EP52" s="152"/>
      <c r="EQ52" s="152"/>
      <c r="ER52" s="152"/>
    </row>
    <row r="53" ht="5.25" customHeight="1">
      <c r="A53" s="152"/>
      <c r="B53" s="152"/>
      <c r="C53" s="152"/>
      <c r="D53" s="152"/>
      <c r="E53" s="152"/>
      <c r="F53" s="152"/>
      <c r="G53" s="152"/>
      <c r="H53" s="152"/>
      <c r="I53" s="152"/>
      <c r="J53" s="152"/>
      <c r="K53" s="152"/>
      <c r="L53" s="152"/>
      <c r="Q53" s="152"/>
      <c r="R53" s="10"/>
      <c r="X53" s="189"/>
      <c r="BB53" s="189"/>
      <c r="BK53" s="189"/>
      <c r="BT53" s="189"/>
      <c r="CC53" s="189"/>
      <c r="CI53" s="189"/>
      <c r="CJ53" s="10"/>
      <c r="CR53" s="11"/>
      <c r="CS53" s="10"/>
      <c r="DA53" s="11"/>
      <c r="DB53" s="10"/>
      <c r="DJ53" s="11"/>
      <c r="DK53" s="10"/>
      <c r="DS53" s="11"/>
      <c r="DT53" s="10"/>
      <c r="EB53" s="11"/>
      <c r="EC53" s="152"/>
      <c r="ED53" s="152"/>
      <c r="EE53" s="152"/>
      <c r="EF53" s="152"/>
      <c r="EG53" s="152"/>
      <c r="EH53" s="152"/>
      <c r="EI53" s="152"/>
      <c r="EJ53" s="152"/>
      <c r="EK53" s="152"/>
      <c r="EL53" s="152"/>
      <c r="EM53" s="152"/>
      <c r="EN53" s="152"/>
      <c r="EO53" s="152"/>
      <c r="EP53" s="152"/>
      <c r="EQ53" s="152"/>
      <c r="ER53" s="152"/>
    </row>
    <row r="54" ht="5.25" customHeight="1">
      <c r="A54" s="152"/>
      <c r="B54" s="152"/>
      <c r="C54" s="152"/>
      <c r="D54" s="152"/>
      <c r="E54" s="152"/>
      <c r="F54" s="152"/>
      <c r="G54" s="152"/>
      <c r="H54" s="152"/>
      <c r="I54" s="152"/>
      <c r="J54" s="152"/>
      <c r="K54" s="152"/>
      <c r="L54" s="152"/>
      <c r="Q54" s="152"/>
      <c r="R54" s="10"/>
      <c r="X54" s="189"/>
      <c r="BB54" s="189"/>
      <c r="BK54" s="189"/>
      <c r="BT54" s="189"/>
      <c r="CC54" s="189"/>
      <c r="CI54" s="189"/>
      <c r="CJ54" s="195" t="str">
        <f t="array" ref="CJ54">xlookup($Y50,teams,xlookup("r1gw",header,swissdata))&amp;"-"&amp;xlookup($Y50,teams,xlookup("r1gl",header,swissdata))</f>
        <v>-</v>
      </c>
      <c r="CN54" s="196"/>
      <c r="CO54" s="196">
        <f t="array" ref="CO54">if(xlookup($Y50,teams,xlookup("r1rd",header,swissdata))&gt;0,"+"&amp;xlookup($Y50,teams,xlookup("r1rd",header,swissdata)),xlookup($Y50,teams,xlookup("r1rd",header,swissdata)))</f>
        <v>0</v>
      </c>
      <c r="CR54" s="11"/>
      <c r="CS54" s="195" t="str">
        <f t="array" ref="CS54">xlookup($Y50,teams,xlookup("r2gw",header,swissdata))&amp;"-"&amp;xlookup($Y50,teams,xlookup("r2gl",header,swissdata))</f>
        <v>-</v>
      </c>
      <c r="CW54" s="196"/>
      <c r="CX54" s="196">
        <f t="array" ref="CX54">if(xlookup($Y50,teams,xlookup("r2rd",header,swissdata))&gt;0,"+"&amp;xlookup($Y50,teams,xlookup("r2rd",header,swissdata)),xlookup($Y50,teams,xlookup("r2rd",header,swissdata)))</f>
        <v>0</v>
      </c>
      <c r="DA54" s="11"/>
      <c r="DB54" s="195" t="str">
        <f t="array" ref="DB54">xlookup($Y50,teams,xlookup("r3gw",header,swissdata))&amp;"-"&amp;xlookup($Y50,teams,xlookup("r3gl",header,swissdata))</f>
        <v>-</v>
      </c>
      <c r="DF54" s="196"/>
      <c r="DG54" s="196">
        <f t="array" ref="DG54">if(xlookup($Y50,teams,xlookup("r3rd",header,swissdata))&gt;0,"+"&amp;xlookup($Y50,teams,xlookup("r3rd",header,swissdata)),xlookup($Y50,teams,xlookup("r3rd",header,swissdata)))</f>
        <v>0</v>
      </c>
      <c r="DJ54" s="11"/>
      <c r="DK54" s="195" t="str">
        <f t="array" ref="DK54">xlookup($Y50,teams,xlookup("r4gw",header,swissdata))&amp;"-"&amp;xlookup($Y50,teams,xlookup("r4gl",header,swissdata))</f>
        <v>-</v>
      </c>
      <c r="DO54" s="196"/>
      <c r="DP54" s="196">
        <f t="array" ref="DP54">if(xlookup($Y50,teams,xlookup("r4rd",header,swissdata))&gt;0,"+"&amp;xlookup($Y50,teams,xlookup("r4rd",header,swissdata)),xlookup($Y50,teams,xlookup("r4rd",header,swissdata)))</f>
        <v>0</v>
      </c>
      <c r="DS54" s="11"/>
      <c r="DT54" s="195" t="str">
        <f t="array" ref="DT54">xlookup($Y50,teams,xlookup("r5gw",header,swissdata))&amp;"-"&amp;xlookup($Y50,teams,xlookup("r5gl",header,swissdata))</f>
        <v>-</v>
      </c>
      <c r="DX54" s="196"/>
      <c r="DY54" s="196">
        <f t="array" ref="DY54">if(xlookup($Y50,teams,xlookup("r5rd",header,swissdata))&gt;0,"+"&amp;xlookup($Y50,teams,xlookup("r5rd",header,swissdata)),xlookup($Y50,teams,xlookup("r5rd",header,swissdata)))</f>
        <v>0</v>
      </c>
      <c r="EB54" s="11"/>
      <c r="EC54" s="152"/>
      <c r="ED54" s="152"/>
      <c r="EE54" s="152"/>
      <c r="EF54" s="152"/>
      <c r="EG54" s="152"/>
      <c r="EH54" s="152"/>
      <c r="EI54" s="152"/>
      <c r="EJ54" s="152"/>
      <c r="EK54" s="152"/>
      <c r="EL54" s="152"/>
      <c r="EM54" s="152"/>
      <c r="EN54" s="152"/>
      <c r="EO54" s="152"/>
      <c r="EP54" s="152"/>
      <c r="EQ54" s="152"/>
      <c r="ER54" s="152"/>
    </row>
    <row r="55" ht="5.25" customHeight="1">
      <c r="A55" s="152"/>
      <c r="B55" s="152"/>
      <c r="C55" s="152"/>
      <c r="D55" s="152"/>
      <c r="E55" s="152"/>
      <c r="F55" s="152"/>
      <c r="G55" s="152"/>
      <c r="H55" s="152"/>
      <c r="I55" s="152"/>
      <c r="J55" s="152"/>
      <c r="K55" s="152"/>
      <c r="L55" s="152"/>
      <c r="Q55" s="152"/>
      <c r="R55" s="10"/>
      <c r="X55" s="189"/>
      <c r="BB55" s="189"/>
      <c r="BK55" s="189"/>
      <c r="BT55" s="189"/>
      <c r="CC55" s="189"/>
      <c r="CI55" s="189"/>
      <c r="CJ55" s="10"/>
      <c r="CR55" s="11"/>
      <c r="CS55" s="10"/>
      <c r="DA55" s="11"/>
      <c r="DB55" s="10"/>
      <c r="DJ55" s="11"/>
      <c r="DK55" s="10"/>
      <c r="DS55" s="11"/>
      <c r="DT55" s="10"/>
      <c r="EB55" s="11"/>
      <c r="EC55" s="152"/>
      <c r="ED55" s="152"/>
      <c r="EE55" s="152"/>
      <c r="EF55" s="152"/>
      <c r="EG55" s="152"/>
      <c r="EH55" s="152"/>
      <c r="EI55" s="152"/>
      <c r="EJ55" s="152"/>
      <c r="EK55" s="152"/>
      <c r="EL55" s="152"/>
      <c r="EM55" s="152"/>
      <c r="EN55" s="152"/>
      <c r="EO55" s="152"/>
      <c r="EP55" s="152"/>
      <c r="EQ55" s="152"/>
      <c r="ER55" s="152"/>
    </row>
    <row r="56" ht="5.25" customHeight="1">
      <c r="A56" s="152"/>
      <c r="B56" s="152"/>
      <c r="C56" s="152"/>
      <c r="D56" s="152"/>
      <c r="E56" s="152"/>
      <c r="F56" s="152"/>
      <c r="G56" s="152"/>
      <c r="H56" s="152"/>
      <c r="I56" s="152"/>
      <c r="J56" s="152"/>
      <c r="K56" s="152"/>
      <c r="L56" s="152"/>
      <c r="Q56" s="152"/>
      <c r="R56" s="197"/>
      <c r="S56" s="198"/>
      <c r="T56" s="198"/>
      <c r="U56" s="198"/>
      <c r="V56" s="198"/>
      <c r="W56" s="198"/>
      <c r="X56" s="198"/>
      <c r="Y56" s="198"/>
      <c r="Z56" s="198"/>
      <c r="AA56" s="198"/>
      <c r="AB56" s="198"/>
      <c r="AC56" s="198"/>
      <c r="AD56" s="198"/>
      <c r="AE56" s="198"/>
      <c r="AF56" s="198"/>
      <c r="AG56" s="198"/>
      <c r="AH56" s="198"/>
      <c r="AI56" s="198"/>
      <c r="AJ56" s="198"/>
      <c r="AK56" s="198"/>
      <c r="AL56" s="198"/>
      <c r="AM56" s="198"/>
      <c r="AN56" s="198"/>
      <c r="AO56" s="198"/>
      <c r="AP56" s="198"/>
      <c r="AQ56" s="198"/>
      <c r="AR56" s="198"/>
      <c r="AS56" s="198"/>
      <c r="AT56" s="198"/>
      <c r="AU56" s="198"/>
      <c r="AV56" s="198"/>
      <c r="AW56" s="198"/>
      <c r="AX56" s="198"/>
      <c r="AY56" s="198"/>
      <c r="AZ56" s="198"/>
      <c r="BA56" s="198"/>
      <c r="BB56" s="198"/>
      <c r="BC56" s="198"/>
      <c r="BD56" s="198"/>
      <c r="BE56" s="198"/>
      <c r="BF56" s="198"/>
      <c r="BG56" s="198"/>
      <c r="BH56" s="198"/>
      <c r="BI56" s="198"/>
      <c r="BJ56" s="198"/>
      <c r="BK56" s="198"/>
      <c r="BL56" s="198"/>
      <c r="BM56" s="198"/>
      <c r="BN56" s="198"/>
      <c r="BO56" s="198"/>
      <c r="BP56" s="198"/>
      <c r="BQ56" s="198"/>
      <c r="BR56" s="198"/>
      <c r="BS56" s="198"/>
      <c r="BT56" s="198"/>
      <c r="BU56" s="198"/>
      <c r="BV56" s="198"/>
      <c r="BW56" s="198"/>
      <c r="BX56" s="198"/>
      <c r="BY56" s="198"/>
      <c r="BZ56" s="198"/>
      <c r="CA56" s="198"/>
      <c r="CB56" s="198"/>
      <c r="CC56" s="198"/>
      <c r="CD56" s="198"/>
      <c r="CE56" s="198"/>
      <c r="CF56" s="198"/>
      <c r="CG56" s="198"/>
      <c r="CH56" s="198"/>
      <c r="CI56" s="198"/>
      <c r="CJ56" s="12"/>
      <c r="CK56" s="13"/>
      <c r="CL56" s="13"/>
      <c r="CM56" s="13"/>
      <c r="CN56" s="13"/>
      <c r="CO56" s="13"/>
      <c r="CP56" s="13"/>
      <c r="CQ56" s="13"/>
      <c r="CR56" s="14"/>
      <c r="CS56" s="12"/>
      <c r="CT56" s="13"/>
      <c r="CU56" s="13"/>
      <c r="CV56" s="13"/>
      <c r="CW56" s="13"/>
      <c r="CX56" s="13"/>
      <c r="CY56" s="13"/>
      <c r="CZ56" s="13"/>
      <c r="DA56" s="14"/>
      <c r="DB56" s="12"/>
      <c r="DC56" s="13"/>
      <c r="DD56" s="13"/>
      <c r="DE56" s="13"/>
      <c r="DF56" s="13"/>
      <c r="DG56" s="13"/>
      <c r="DH56" s="13"/>
      <c r="DI56" s="13"/>
      <c r="DJ56" s="14"/>
      <c r="DK56" s="12"/>
      <c r="DL56" s="13"/>
      <c r="DM56" s="13"/>
      <c r="DN56" s="13"/>
      <c r="DO56" s="13"/>
      <c r="DP56" s="13"/>
      <c r="DQ56" s="13"/>
      <c r="DR56" s="13"/>
      <c r="DS56" s="14"/>
      <c r="DT56" s="12"/>
      <c r="DU56" s="13"/>
      <c r="DV56" s="13"/>
      <c r="DW56" s="13"/>
      <c r="DX56" s="13"/>
      <c r="DY56" s="13"/>
      <c r="DZ56" s="13"/>
      <c r="EA56" s="13"/>
      <c r="EB56" s="14"/>
      <c r="EC56" s="152"/>
      <c r="ED56" s="152"/>
      <c r="EE56" s="152"/>
      <c r="EF56" s="152"/>
      <c r="EG56" s="152"/>
      <c r="EH56" s="152"/>
      <c r="EI56" s="152"/>
      <c r="EJ56" s="152"/>
      <c r="EK56" s="152"/>
      <c r="EL56" s="152"/>
      <c r="EM56" s="152"/>
      <c r="EN56" s="152"/>
      <c r="EO56" s="152"/>
      <c r="EP56" s="152"/>
      <c r="EQ56" s="152"/>
      <c r="ER56" s="152"/>
    </row>
    <row r="57" ht="5.25" customHeight="1">
      <c r="A57" s="152"/>
      <c r="B57" s="152"/>
      <c r="C57" s="152"/>
      <c r="D57" s="152"/>
      <c r="E57" s="152"/>
      <c r="F57" s="152"/>
      <c r="G57" s="152"/>
      <c r="H57" s="152"/>
      <c r="I57" s="152"/>
      <c r="J57" s="152"/>
      <c r="K57" s="152"/>
      <c r="L57" s="152"/>
      <c r="M57" s="177" t="str">
        <f>Q57&amp;"."</f>
        <v>7.</v>
      </c>
      <c r="Q57" s="181">
        <v>7.0</v>
      </c>
      <c r="R57" s="182"/>
      <c r="S57" s="183"/>
      <c r="T57" s="183"/>
      <c r="U57" s="183"/>
      <c r="V57" s="183"/>
      <c r="W57" s="183"/>
      <c r="X57" s="183"/>
      <c r="Y57" s="183"/>
      <c r="Z57" s="183"/>
      <c r="AA57" s="183"/>
      <c r="AB57" s="183"/>
      <c r="AC57" s="183"/>
      <c r="AD57" s="183"/>
      <c r="AE57" s="183"/>
      <c r="AF57" s="183"/>
      <c r="AG57" s="183"/>
      <c r="AH57" s="183"/>
      <c r="AI57" s="183"/>
      <c r="AJ57" s="183"/>
      <c r="AK57" s="183"/>
      <c r="AL57" s="183"/>
      <c r="AM57" s="183"/>
      <c r="AN57" s="183"/>
      <c r="AO57" s="183"/>
      <c r="AP57" s="183"/>
      <c r="AQ57" s="183"/>
      <c r="AR57" s="183"/>
      <c r="AS57" s="183"/>
      <c r="AT57" s="183"/>
      <c r="AU57" s="183"/>
      <c r="AV57" s="183"/>
      <c r="AW57" s="183"/>
      <c r="AX57" s="183"/>
      <c r="AY57" s="183"/>
      <c r="AZ57" s="183"/>
      <c r="BA57" s="183"/>
      <c r="BB57" s="183"/>
      <c r="BC57" s="183"/>
      <c r="BD57" s="183"/>
      <c r="BE57" s="183"/>
      <c r="BF57" s="183"/>
      <c r="BG57" s="183"/>
      <c r="BH57" s="183"/>
      <c r="BI57" s="183"/>
      <c r="BJ57" s="183"/>
      <c r="BK57" s="183"/>
      <c r="BL57" s="183"/>
      <c r="BM57" s="183"/>
      <c r="BN57" s="183"/>
      <c r="BO57" s="183"/>
      <c r="BP57" s="183"/>
      <c r="BQ57" s="183"/>
      <c r="BR57" s="183"/>
      <c r="BS57" s="183"/>
      <c r="BT57" s="183"/>
      <c r="BU57" s="183"/>
      <c r="BV57" s="183"/>
      <c r="BW57" s="183"/>
      <c r="BX57" s="183"/>
      <c r="BY57" s="183"/>
      <c r="BZ57" s="183"/>
      <c r="CA57" s="183"/>
      <c r="CB57" s="183"/>
      <c r="CC57" s="183"/>
      <c r="CD57" s="183"/>
      <c r="CE57" s="183"/>
      <c r="CF57" s="183"/>
      <c r="CG57" s="183"/>
      <c r="CH57" s="183"/>
      <c r="CI57" s="183"/>
      <c r="CJ57" s="185" t="str">
        <f t="array" ref="CJ57">xlookup($Y58,data!$N$2:$N$17,xlookup("r1Ser",data!$P$1:$BR$1,data!$P$2:$BR$17,""))</f>
        <v/>
      </c>
      <c r="CK57" s="8"/>
      <c r="CL57" s="186" t="str">
        <f t="array" ref="CL57">xlookup(xlookup($Y58,data!$N$2:$N$17,xlookup("r1op",data!$P$1:$BR$1,data!$P$2:$BR$17,"")),data!$M$2:$M$17,data!$O$2:$O$17,"")</f>
        <v/>
      </c>
      <c r="CM57" s="8"/>
      <c r="CN57" s="8"/>
      <c r="CO57" s="8"/>
      <c r="CP57" s="8"/>
      <c r="CQ57" s="187"/>
      <c r="CR57" s="9"/>
      <c r="CS57" s="185" t="str">
        <f t="array" ref="CS57">xlookup($Y58,data!$N$2:$N$17,xlookup("r2Ser",data!$P$1:$BR$1,data!$P$2:$BR$17,""))</f>
        <v/>
      </c>
      <c r="CT57" s="8"/>
      <c r="CU57" s="186" t="str">
        <f t="array" ref="CU57">xlookup(xlookup($Y58,data!$N$2:$N$17,xlookup("r2op",data!$P$1:$BR$1,data!$P$2:$BR$17,"")),data!$M$2:$M$17,data!$O$2:$O$17,"")</f>
        <v/>
      </c>
      <c r="CV57" s="8"/>
      <c r="CW57" s="8"/>
      <c r="CX57" s="8"/>
      <c r="CY57" s="8"/>
      <c r="CZ57" s="187"/>
      <c r="DA57" s="9"/>
      <c r="DB57" s="185" t="str">
        <f t="array" ref="DB57">xlookup($Y58,data!$N$2:$N$17,xlookup("r3Ser",data!$P$1:$BR$1,data!$P$2:$BR$17,""))</f>
        <v/>
      </c>
      <c r="DC57" s="8"/>
      <c r="DD57" s="186" t="str">
        <f t="array" ref="DD57">xlookup(xlookup($Y58,data!$N$2:$N$17,xlookup("r3op",data!$P$1:$BR$1,data!$P$2:$BR$17,"")),data!$M$2:$M$17,data!$O$2:$O$17,"")</f>
        <v/>
      </c>
      <c r="DE57" s="8"/>
      <c r="DF57" s="8"/>
      <c r="DG57" s="8"/>
      <c r="DH57" s="8"/>
      <c r="DI57" s="187"/>
      <c r="DJ57" s="9"/>
      <c r="DK57" s="185" t="str">
        <f t="array" ref="DK57">xlookup($Y58,data!$N$2:$N$17,xlookup("r4Ser",data!$P$1:$BR$1,data!$P$2:$BR$17,""))</f>
        <v/>
      </c>
      <c r="DL57" s="8"/>
      <c r="DM57" s="186" t="str">
        <f t="array" ref="DM57">xlookup(xlookup($Y58,data!$N$2:$N$17,xlookup("r4op",data!$P$1:$BR$1,data!$P$2:$BR$17,"")),data!$M$2:$M$17,data!$O$2:$O$17,"")</f>
        <v/>
      </c>
      <c r="DN57" s="8"/>
      <c r="DO57" s="8"/>
      <c r="DP57" s="8"/>
      <c r="DQ57" s="8"/>
      <c r="DR57" s="187"/>
      <c r="DS57" s="9"/>
      <c r="DT57" s="185" t="str">
        <f t="array" ref="DT57">xlookup($Y58,data!$N$2:$N$17,xlookup("r5Ser",data!$P$1:$BR$1,data!$P$2:$BR$17,""))</f>
        <v/>
      </c>
      <c r="DU57" s="8"/>
      <c r="DV57" s="186" t="str">
        <f t="array" ref="DV57">xlookup(xlookup($Y58,data!$N$2:$N$17,xlookup("r5op",data!$P$1:$BR$1,data!$P$2:$BR$17,"")),data!$M$2:$M$17,data!$O$2:$O$17,"")</f>
        <v/>
      </c>
      <c r="DW57" s="8"/>
      <c r="DX57" s="8"/>
      <c r="DY57" s="8"/>
      <c r="DZ57" s="8"/>
      <c r="EA57" s="187"/>
      <c r="EB57" s="9"/>
      <c r="EC57" s="152"/>
      <c r="ED57" s="152"/>
      <c r="EE57" s="152"/>
      <c r="EF57" s="152"/>
      <c r="EG57" s="152"/>
      <c r="EH57" s="152"/>
      <c r="EI57" s="152"/>
      <c r="EJ57" s="152"/>
      <c r="EK57" s="152"/>
      <c r="EL57" s="152"/>
      <c r="EM57" s="152"/>
      <c r="EN57" s="152"/>
      <c r="EO57" s="152"/>
      <c r="EP57" s="152"/>
      <c r="EQ57" s="152"/>
      <c r="ER57" s="152"/>
    </row>
    <row r="58" ht="5.25" customHeight="1">
      <c r="A58" s="152"/>
      <c r="B58" s="152"/>
      <c r="C58" s="152"/>
      <c r="D58" s="152"/>
      <c r="E58" s="152"/>
      <c r="F58" s="152"/>
      <c r="G58" s="152"/>
      <c r="H58" s="152"/>
      <c r="I58" s="152"/>
      <c r="J58" s="152"/>
      <c r="K58" s="152"/>
      <c r="L58" s="152"/>
      <c r="Q58" s="152"/>
      <c r="R58" s="188" t="str">
        <f t="array" ref="R58">xlookup(Y58,data!$N$2:$N$17,data!$O$2:$O$17,"")</f>
        <v/>
      </c>
      <c r="X58" s="189"/>
      <c r="Y58" s="190" t="str">
        <f t="array" ref="Y58">xlookup(Q57,data!$G$24:$G$39,data!$A$24:$A$39,"")</f>
        <v>Team 7 (Group 2)</v>
      </c>
      <c r="BB58" s="189"/>
      <c r="BC58" s="191" t="str">
        <f t="array" ref="BC58">xlookup(Y58,data!$A$24:$A$39,data!$B$24:$B$39,"")</f>
        <v>0-0</v>
      </c>
      <c r="BK58" s="189"/>
      <c r="BL58" s="192" t="str">
        <f t="array" ref="BL58">xlookup(Y58,data!$A$24:$A$39,data!$C$24:$C$39,"")</f>
        <v>0-0</v>
      </c>
      <c r="BT58" s="189"/>
      <c r="BU58" s="193" t="str">
        <f t="array" ref="BU58">xlookup(Y58,data!$A$24:$A$39,data!$D$24:$D$39,"")</f>
        <v>0-0</v>
      </c>
      <c r="CC58" s="189"/>
      <c r="CD58" s="193">
        <f t="array" ref="CD58">xlookup(Y58,data!$A$24:$A$39,data!$F$24:$F$39,"")</f>
        <v>0</v>
      </c>
      <c r="CI58" s="189"/>
      <c r="CJ58" s="10"/>
      <c r="CR58" s="11"/>
      <c r="CS58" s="10"/>
      <c r="DA58" s="11"/>
      <c r="DB58" s="10"/>
      <c r="DJ58" s="11"/>
      <c r="DK58" s="10"/>
      <c r="DS58" s="11"/>
      <c r="DT58" s="10"/>
      <c r="EB58" s="11"/>
      <c r="EC58" s="152"/>
      <c r="ED58" s="152"/>
      <c r="EE58" s="152"/>
      <c r="EF58" s="152"/>
      <c r="EG58" s="152"/>
      <c r="EH58" s="152"/>
      <c r="EI58" s="152"/>
      <c r="EJ58" s="152"/>
      <c r="EK58" s="152"/>
      <c r="EL58" s="152"/>
      <c r="EM58" s="152"/>
      <c r="EN58" s="152"/>
      <c r="EO58" s="152"/>
      <c r="EP58" s="152"/>
      <c r="EQ58" s="152"/>
      <c r="ER58" s="152"/>
    </row>
    <row r="59" ht="5.25" customHeight="1">
      <c r="A59" s="152"/>
      <c r="B59" s="152"/>
      <c r="C59" s="152"/>
      <c r="D59" s="152"/>
      <c r="E59" s="152"/>
      <c r="F59" s="152"/>
      <c r="G59" s="152"/>
      <c r="H59" s="152"/>
      <c r="I59" s="152"/>
      <c r="J59" s="152"/>
      <c r="K59" s="152"/>
      <c r="L59" s="152"/>
      <c r="Q59" s="152"/>
      <c r="R59" s="10"/>
      <c r="X59" s="189"/>
      <c r="BB59" s="189"/>
      <c r="BK59" s="189"/>
      <c r="BT59" s="189"/>
      <c r="CC59" s="189"/>
      <c r="CI59" s="189"/>
      <c r="CJ59" s="10"/>
      <c r="CR59" s="11"/>
      <c r="CS59" s="10"/>
      <c r="DA59" s="11"/>
      <c r="DB59" s="10"/>
      <c r="DJ59" s="11"/>
      <c r="DK59" s="10"/>
      <c r="DS59" s="11"/>
      <c r="DT59" s="10"/>
      <c r="EB59" s="11"/>
      <c r="EC59" s="152"/>
      <c r="ED59" s="152"/>
      <c r="EE59" s="152"/>
      <c r="EF59" s="152"/>
      <c r="EG59" s="152"/>
      <c r="EH59" s="152"/>
      <c r="EI59" s="152"/>
      <c r="EJ59" s="152"/>
      <c r="EK59" s="152"/>
      <c r="EL59" s="152"/>
      <c r="EM59" s="152"/>
      <c r="EN59" s="152"/>
      <c r="EO59" s="152"/>
      <c r="EP59" s="152"/>
      <c r="EQ59" s="152"/>
      <c r="ER59" s="152"/>
    </row>
    <row r="60" ht="5.25" customHeight="1">
      <c r="A60" s="152"/>
      <c r="B60" s="152"/>
      <c r="C60" s="152"/>
      <c r="D60" s="152"/>
      <c r="E60" s="152"/>
      <c r="F60" s="152"/>
      <c r="G60" s="152"/>
      <c r="H60" s="152"/>
      <c r="I60" s="152"/>
      <c r="J60" s="152"/>
      <c r="K60" s="152"/>
      <c r="L60" s="152"/>
      <c r="Q60" s="152"/>
      <c r="R60" s="10"/>
      <c r="X60" s="189"/>
      <c r="BB60" s="189"/>
      <c r="BK60" s="189"/>
      <c r="BT60" s="189"/>
      <c r="CC60" s="189"/>
      <c r="CI60" s="189"/>
      <c r="CJ60" s="10"/>
      <c r="CR60" s="11"/>
      <c r="CS60" s="10"/>
      <c r="DA60" s="11"/>
      <c r="DB60" s="10"/>
      <c r="DJ60" s="11"/>
      <c r="DK60" s="10"/>
      <c r="DS60" s="11"/>
      <c r="DT60" s="10"/>
      <c r="EB60" s="11"/>
      <c r="EC60" s="152"/>
      <c r="ED60" s="152"/>
      <c r="EE60" s="152"/>
      <c r="EF60" s="152"/>
      <c r="EG60" s="152"/>
      <c r="EH60" s="152"/>
      <c r="EI60" s="152"/>
      <c r="EJ60" s="152"/>
      <c r="EK60" s="152"/>
      <c r="EL60" s="152"/>
      <c r="EM60" s="152"/>
      <c r="EN60" s="152"/>
      <c r="EO60" s="152"/>
      <c r="EP60" s="152"/>
      <c r="EQ60" s="152"/>
      <c r="ER60" s="152"/>
    </row>
    <row r="61" ht="5.25" customHeight="1">
      <c r="A61" s="152"/>
      <c r="B61" s="152"/>
      <c r="C61" s="152"/>
      <c r="D61" s="152"/>
      <c r="E61" s="152"/>
      <c r="F61" s="152"/>
      <c r="G61" s="152"/>
      <c r="H61" s="152"/>
      <c r="I61" s="152"/>
      <c r="J61" s="152"/>
      <c r="K61" s="152"/>
      <c r="L61" s="152"/>
      <c r="Q61" s="152"/>
      <c r="R61" s="10"/>
      <c r="X61" s="189"/>
      <c r="BB61" s="189"/>
      <c r="BK61" s="189"/>
      <c r="BT61" s="189"/>
      <c r="CC61" s="189"/>
      <c r="CI61" s="189"/>
      <c r="CJ61" s="10"/>
      <c r="CR61" s="11"/>
      <c r="CS61" s="10"/>
      <c r="DA61" s="11"/>
      <c r="DB61" s="10"/>
      <c r="DJ61" s="11"/>
      <c r="DK61" s="10"/>
      <c r="DS61" s="11"/>
      <c r="DT61" s="10"/>
      <c r="EB61" s="11"/>
      <c r="EC61" s="152"/>
      <c r="ED61" s="152"/>
      <c r="EE61" s="152"/>
      <c r="EF61" s="152"/>
      <c r="EG61" s="152"/>
      <c r="EH61" s="152"/>
      <c r="EI61" s="152"/>
      <c r="EJ61" s="152"/>
      <c r="EK61" s="152"/>
      <c r="EL61" s="152"/>
      <c r="EM61" s="152"/>
      <c r="EN61" s="152"/>
      <c r="EO61" s="152"/>
      <c r="EP61" s="152"/>
      <c r="EQ61" s="152"/>
      <c r="ER61" s="152"/>
    </row>
    <row r="62" ht="5.25" customHeight="1">
      <c r="A62" s="152"/>
      <c r="B62" s="152"/>
      <c r="C62" s="152"/>
      <c r="D62" s="152"/>
      <c r="E62" s="152"/>
      <c r="F62" s="152"/>
      <c r="G62" s="152"/>
      <c r="H62" s="152"/>
      <c r="I62" s="152"/>
      <c r="J62" s="152"/>
      <c r="K62" s="152"/>
      <c r="L62" s="152"/>
      <c r="Q62" s="152"/>
      <c r="R62" s="10"/>
      <c r="X62" s="189"/>
      <c r="BB62" s="189"/>
      <c r="BK62" s="189"/>
      <c r="BT62" s="189"/>
      <c r="CC62" s="189"/>
      <c r="CI62" s="189"/>
      <c r="CJ62" s="195" t="str">
        <f t="array" ref="CJ62">xlookup($Y58,teams,xlookup("r1gw",header,swissdata))&amp;"-"&amp;xlookup($Y58,teams,xlookup("r1gl",header,swissdata))</f>
        <v>-</v>
      </c>
      <c r="CN62" s="196"/>
      <c r="CO62" s="196">
        <f t="array" ref="CO62">if(xlookup($Y58,teams,xlookup("r1rd",header,swissdata))&gt;0,"+"&amp;xlookup($Y58,teams,xlookup("r1rd",header,swissdata)),xlookup($Y58,teams,xlookup("r1rd",header,swissdata)))</f>
        <v>0</v>
      </c>
      <c r="CR62" s="11"/>
      <c r="CS62" s="195" t="str">
        <f t="array" ref="CS62">xlookup($Y58,teams,xlookup("r2gw",header,swissdata))&amp;"-"&amp;xlookup($Y58,teams,xlookup("r2gl",header,swissdata))</f>
        <v>-</v>
      </c>
      <c r="CW62" s="196"/>
      <c r="CX62" s="196">
        <f t="array" ref="CX62">if(xlookup($Y58,teams,xlookup("r2rd",header,swissdata))&gt;0,"+"&amp;xlookup($Y58,teams,xlookup("r2rd",header,swissdata)),xlookup($Y58,teams,xlookup("r2rd",header,swissdata)))</f>
        <v>0</v>
      </c>
      <c r="DA62" s="11"/>
      <c r="DB62" s="195" t="str">
        <f t="array" ref="DB62">xlookup($Y58,teams,xlookup("r3gw",header,swissdata))&amp;"-"&amp;xlookup($Y58,teams,xlookup("r3gl",header,swissdata))</f>
        <v>-</v>
      </c>
      <c r="DF62" s="196"/>
      <c r="DG62" s="196">
        <f t="array" ref="DG62">if(xlookup($Y58,teams,xlookup("r3rd",header,swissdata))&gt;0,"+"&amp;xlookup($Y58,teams,xlookup("r3rd",header,swissdata)),xlookup($Y58,teams,xlookup("r3rd",header,swissdata)))</f>
        <v>0</v>
      </c>
      <c r="DJ62" s="11"/>
      <c r="DK62" s="195" t="str">
        <f t="array" ref="DK62">xlookup($Y58,teams,xlookup("r4gw",header,swissdata))&amp;"-"&amp;xlookup($Y58,teams,xlookup("r4gl",header,swissdata))</f>
        <v>-</v>
      </c>
      <c r="DO62" s="196"/>
      <c r="DP62" s="196">
        <f t="array" ref="DP62">if(xlookup($Y58,teams,xlookup("r4rd",header,swissdata))&gt;0,"+"&amp;xlookup($Y58,teams,xlookup("r4rd",header,swissdata)),xlookup($Y58,teams,xlookup("r4rd",header,swissdata)))</f>
        <v>0</v>
      </c>
      <c r="DS62" s="11"/>
      <c r="DT62" s="195" t="str">
        <f t="array" ref="DT62">xlookup($Y58,teams,xlookup("r5gw",header,swissdata))&amp;"-"&amp;xlookup($Y58,teams,xlookup("r5gl",header,swissdata))</f>
        <v>-</v>
      </c>
      <c r="DX62" s="196"/>
      <c r="DY62" s="196">
        <f t="array" ref="DY62">if(xlookup($Y58,teams,xlookup("r5rd",header,swissdata))&gt;0,"+"&amp;xlookup($Y58,teams,xlookup("r5rd",header,swissdata)),xlookup($Y58,teams,xlookup("r5rd",header,swissdata)))</f>
        <v>0</v>
      </c>
      <c r="EB62" s="11"/>
      <c r="EC62" s="152"/>
      <c r="ED62" s="152"/>
      <c r="EE62" s="152"/>
      <c r="EF62" s="152"/>
      <c r="EG62" s="152"/>
      <c r="EH62" s="152"/>
      <c r="EI62" s="152"/>
      <c r="EJ62" s="152"/>
      <c r="EK62" s="152"/>
      <c r="EL62" s="152"/>
      <c r="EM62" s="152"/>
      <c r="EN62" s="152"/>
      <c r="EO62" s="152"/>
      <c r="EP62" s="152"/>
      <c r="EQ62" s="152"/>
      <c r="ER62" s="152"/>
    </row>
    <row r="63" ht="5.25" customHeight="1">
      <c r="A63" s="152"/>
      <c r="B63" s="152"/>
      <c r="C63" s="152"/>
      <c r="D63" s="152"/>
      <c r="E63" s="152"/>
      <c r="F63" s="152"/>
      <c r="G63" s="152"/>
      <c r="H63" s="152"/>
      <c r="I63" s="152"/>
      <c r="J63" s="152"/>
      <c r="K63" s="152"/>
      <c r="L63" s="152"/>
      <c r="Q63" s="152"/>
      <c r="R63" s="10"/>
      <c r="X63" s="189"/>
      <c r="BB63" s="189"/>
      <c r="BK63" s="189"/>
      <c r="BT63" s="189"/>
      <c r="CC63" s="189"/>
      <c r="CI63" s="189"/>
      <c r="CJ63" s="10"/>
      <c r="CR63" s="11"/>
      <c r="CS63" s="10"/>
      <c r="DA63" s="11"/>
      <c r="DB63" s="10"/>
      <c r="DJ63" s="11"/>
      <c r="DK63" s="10"/>
      <c r="DS63" s="11"/>
      <c r="DT63" s="10"/>
      <c r="EB63" s="11"/>
      <c r="EC63" s="152"/>
      <c r="ED63" s="152"/>
      <c r="EE63" s="152"/>
      <c r="EF63" s="152"/>
      <c r="EG63" s="152"/>
      <c r="EH63" s="152"/>
      <c r="EI63" s="152"/>
      <c r="EJ63" s="152"/>
      <c r="EK63" s="152"/>
      <c r="EL63" s="152"/>
      <c r="EM63" s="152"/>
      <c r="EN63" s="152"/>
      <c r="EO63" s="152"/>
      <c r="EP63" s="152"/>
      <c r="EQ63" s="152"/>
      <c r="ER63" s="152"/>
    </row>
    <row r="64" ht="5.25" customHeight="1">
      <c r="A64" s="152"/>
      <c r="B64" s="152"/>
      <c r="C64" s="152"/>
      <c r="D64" s="152"/>
      <c r="E64" s="152"/>
      <c r="F64" s="152"/>
      <c r="G64" s="152"/>
      <c r="H64" s="152"/>
      <c r="I64" s="152"/>
      <c r="J64" s="152"/>
      <c r="K64" s="152"/>
      <c r="L64" s="152"/>
      <c r="Q64" s="152"/>
      <c r="R64" s="197"/>
      <c r="S64" s="198"/>
      <c r="T64" s="198"/>
      <c r="U64" s="198"/>
      <c r="V64" s="198"/>
      <c r="W64" s="198"/>
      <c r="X64" s="198"/>
      <c r="Y64" s="198"/>
      <c r="Z64" s="198"/>
      <c r="AA64" s="198"/>
      <c r="AB64" s="198"/>
      <c r="AC64" s="198"/>
      <c r="AD64" s="198"/>
      <c r="AE64" s="198"/>
      <c r="AF64" s="198"/>
      <c r="AG64" s="198"/>
      <c r="AH64" s="198"/>
      <c r="AI64" s="198"/>
      <c r="AJ64" s="198"/>
      <c r="AK64" s="198"/>
      <c r="AL64" s="198"/>
      <c r="AM64" s="198"/>
      <c r="AN64" s="198"/>
      <c r="AO64" s="198"/>
      <c r="AP64" s="198"/>
      <c r="AQ64" s="198"/>
      <c r="AR64" s="198"/>
      <c r="AS64" s="198"/>
      <c r="AT64" s="198"/>
      <c r="AU64" s="198"/>
      <c r="AV64" s="198"/>
      <c r="AW64" s="198"/>
      <c r="AX64" s="198"/>
      <c r="AY64" s="198"/>
      <c r="AZ64" s="198"/>
      <c r="BA64" s="198"/>
      <c r="BB64" s="198"/>
      <c r="BC64" s="198"/>
      <c r="BD64" s="198"/>
      <c r="BE64" s="198"/>
      <c r="BF64" s="198"/>
      <c r="BG64" s="198"/>
      <c r="BH64" s="198"/>
      <c r="BI64" s="198"/>
      <c r="BJ64" s="198"/>
      <c r="BK64" s="198"/>
      <c r="BL64" s="198"/>
      <c r="BM64" s="198"/>
      <c r="BN64" s="198"/>
      <c r="BO64" s="198"/>
      <c r="BP64" s="198"/>
      <c r="BQ64" s="198"/>
      <c r="BR64" s="198"/>
      <c r="BS64" s="198"/>
      <c r="BT64" s="198"/>
      <c r="BU64" s="198"/>
      <c r="BV64" s="198"/>
      <c r="BW64" s="198"/>
      <c r="BX64" s="198"/>
      <c r="BY64" s="198"/>
      <c r="BZ64" s="198"/>
      <c r="CA64" s="198"/>
      <c r="CB64" s="198"/>
      <c r="CC64" s="198"/>
      <c r="CD64" s="198"/>
      <c r="CE64" s="198"/>
      <c r="CF64" s="198"/>
      <c r="CG64" s="198"/>
      <c r="CH64" s="198"/>
      <c r="CI64" s="198"/>
      <c r="CJ64" s="12"/>
      <c r="CK64" s="13"/>
      <c r="CL64" s="13"/>
      <c r="CM64" s="13"/>
      <c r="CN64" s="13"/>
      <c r="CO64" s="13"/>
      <c r="CP64" s="13"/>
      <c r="CQ64" s="13"/>
      <c r="CR64" s="14"/>
      <c r="CS64" s="12"/>
      <c r="CT64" s="13"/>
      <c r="CU64" s="13"/>
      <c r="CV64" s="13"/>
      <c r="CW64" s="13"/>
      <c r="CX64" s="13"/>
      <c r="CY64" s="13"/>
      <c r="CZ64" s="13"/>
      <c r="DA64" s="14"/>
      <c r="DB64" s="12"/>
      <c r="DC64" s="13"/>
      <c r="DD64" s="13"/>
      <c r="DE64" s="13"/>
      <c r="DF64" s="13"/>
      <c r="DG64" s="13"/>
      <c r="DH64" s="13"/>
      <c r="DI64" s="13"/>
      <c r="DJ64" s="14"/>
      <c r="DK64" s="12"/>
      <c r="DL64" s="13"/>
      <c r="DM64" s="13"/>
      <c r="DN64" s="13"/>
      <c r="DO64" s="13"/>
      <c r="DP64" s="13"/>
      <c r="DQ64" s="13"/>
      <c r="DR64" s="13"/>
      <c r="DS64" s="14"/>
      <c r="DT64" s="12"/>
      <c r="DU64" s="13"/>
      <c r="DV64" s="13"/>
      <c r="DW64" s="13"/>
      <c r="DX64" s="13"/>
      <c r="DY64" s="13"/>
      <c r="DZ64" s="13"/>
      <c r="EA64" s="13"/>
      <c r="EB64" s="14"/>
      <c r="EC64" s="152"/>
      <c r="ED64" s="152"/>
      <c r="EE64" s="152"/>
      <c r="EF64" s="152"/>
      <c r="EG64" s="152"/>
      <c r="EH64" s="152"/>
      <c r="EI64" s="152"/>
      <c r="EJ64" s="152"/>
      <c r="EK64" s="152"/>
      <c r="EL64" s="152"/>
      <c r="EM64" s="152"/>
      <c r="EN64" s="152"/>
      <c r="EO64" s="152"/>
      <c r="EP64" s="152"/>
      <c r="EQ64" s="152"/>
      <c r="ER64" s="152"/>
    </row>
    <row r="65" ht="5.25" customHeight="1">
      <c r="A65" s="152"/>
      <c r="B65" s="152"/>
      <c r="C65" s="152"/>
      <c r="D65" s="152"/>
      <c r="E65" s="152"/>
      <c r="F65" s="152"/>
      <c r="G65" s="152"/>
      <c r="H65" s="152"/>
      <c r="I65" s="152"/>
      <c r="J65" s="152"/>
      <c r="K65" s="152"/>
      <c r="L65" s="152"/>
      <c r="M65" s="177" t="str">
        <f>Q65&amp;"."</f>
        <v>8.</v>
      </c>
      <c r="Q65" s="181">
        <v>8.0</v>
      </c>
      <c r="R65" s="182"/>
      <c r="S65" s="183"/>
      <c r="T65" s="183"/>
      <c r="U65" s="183"/>
      <c r="V65" s="183"/>
      <c r="W65" s="183"/>
      <c r="X65" s="183"/>
      <c r="Y65" s="183"/>
      <c r="Z65" s="183"/>
      <c r="AA65" s="183"/>
      <c r="AB65" s="183"/>
      <c r="AC65" s="183"/>
      <c r="AD65" s="183"/>
      <c r="AE65" s="183"/>
      <c r="AF65" s="183"/>
      <c r="AG65" s="183"/>
      <c r="AH65" s="183"/>
      <c r="AI65" s="183"/>
      <c r="AJ65" s="183"/>
      <c r="AK65" s="183"/>
      <c r="AL65" s="183"/>
      <c r="AM65" s="183"/>
      <c r="AN65" s="183"/>
      <c r="AO65" s="183"/>
      <c r="AP65" s="183"/>
      <c r="AQ65" s="183"/>
      <c r="AR65" s="183"/>
      <c r="AS65" s="183"/>
      <c r="AT65" s="183"/>
      <c r="AU65" s="183"/>
      <c r="AV65" s="183"/>
      <c r="AW65" s="183"/>
      <c r="AX65" s="183"/>
      <c r="AY65" s="183"/>
      <c r="AZ65" s="183"/>
      <c r="BA65" s="183"/>
      <c r="BB65" s="183"/>
      <c r="BC65" s="183"/>
      <c r="BD65" s="183"/>
      <c r="BE65" s="183"/>
      <c r="BF65" s="183"/>
      <c r="BG65" s="183"/>
      <c r="BH65" s="183"/>
      <c r="BI65" s="183"/>
      <c r="BJ65" s="183"/>
      <c r="BK65" s="183"/>
      <c r="BL65" s="183"/>
      <c r="BM65" s="183"/>
      <c r="BN65" s="183"/>
      <c r="BO65" s="183"/>
      <c r="BP65" s="183"/>
      <c r="BQ65" s="183"/>
      <c r="BR65" s="183"/>
      <c r="BS65" s="183"/>
      <c r="BT65" s="183"/>
      <c r="BU65" s="183"/>
      <c r="BV65" s="183"/>
      <c r="BW65" s="183"/>
      <c r="BX65" s="183"/>
      <c r="BY65" s="183"/>
      <c r="BZ65" s="183"/>
      <c r="CA65" s="183"/>
      <c r="CB65" s="183"/>
      <c r="CC65" s="183"/>
      <c r="CD65" s="183"/>
      <c r="CE65" s="183"/>
      <c r="CF65" s="183"/>
      <c r="CG65" s="183"/>
      <c r="CH65" s="183"/>
      <c r="CI65" s="183"/>
      <c r="CJ65" s="185" t="str">
        <f t="array" ref="CJ65">xlookup($Y66,data!$N$2:$N$17,xlookup("r1Ser",data!$P$1:$BR$1,data!$P$2:$BR$17,""))</f>
        <v/>
      </c>
      <c r="CK65" s="8"/>
      <c r="CL65" s="186" t="str">
        <f t="array" ref="CL65">xlookup(xlookup($Y66,data!$N$2:$N$17,xlookup("r1op",data!$P$1:$BR$1,data!$P$2:$BR$17,"")),data!$M$2:$M$17,data!$O$2:$O$17,"")</f>
        <v/>
      </c>
      <c r="CM65" s="8"/>
      <c r="CN65" s="8"/>
      <c r="CO65" s="8"/>
      <c r="CP65" s="8"/>
      <c r="CQ65" s="187"/>
      <c r="CR65" s="9"/>
      <c r="CS65" s="185" t="str">
        <f t="array" ref="CS65">xlookup($Y66,data!$N$2:$N$17,xlookup("r2Ser",data!$P$1:$BR$1,data!$P$2:$BR$17,""))</f>
        <v/>
      </c>
      <c r="CT65" s="8"/>
      <c r="CU65" s="186" t="str">
        <f t="array" ref="CU65">xlookup(xlookup($Y66,data!$N$2:$N$17,xlookup("r2op",data!$P$1:$BR$1,data!$P$2:$BR$17,"")),data!$M$2:$M$17,data!$O$2:$O$17,"")</f>
        <v/>
      </c>
      <c r="CV65" s="8"/>
      <c r="CW65" s="8"/>
      <c r="CX65" s="8"/>
      <c r="CY65" s="8"/>
      <c r="CZ65" s="187"/>
      <c r="DA65" s="9"/>
      <c r="DB65" s="185" t="str">
        <f t="array" ref="DB65">xlookup($Y66,data!$N$2:$N$17,xlookup("r3Ser",data!$P$1:$BR$1,data!$P$2:$BR$17,""))</f>
        <v/>
      </c>
      <c r="DC65" s="8"/>
      <c r="DD65" s="186" t="str">
        <f t="array" ref="DD65">xlookup(xlookup($Y66,data!$N$2:$N$17,xlookup("r3op",data!$P$1:$BR$1,data!$P$2:$BR$17,"")),data!$M$2:$M$17,data!$O$2:$O$17,"")</f>
        <v/>
      </c>
      <c r="DE65" s="8"/>
      <c r="DF65" s="8"/>
      <c r="DG65" s="8"/>
      <c r="DH65" s="8"/>
      <c r="DI65" s="187"/>
      <c r="DJ65" s="9"/>
      <c r="DK65" s="185" t="str">
        <f t="array" ref="DK65">xlookup($Y66,data!$N$2:$N$17,xlookup("r4Ser",data!$P$1:$BR$1,data!$P$2:$BR$17,""))</f>
        <v/>
      </c>
      <c r="DL65" s="8"/>
      <c r="DM65" s="186" t="str">
        <f t="array" ref="DM65">xlookup(xlookup($Y66,data!$N$2:$N$17,xlookup("r4op",data!$P$1:$BR$1,data!$P$2:$BR$17,"")),data!$M$2:$M$17,data!$O$2:$O$17,"")</f>
        <v/>
      </c>
      <c r="DN65" s="8"/>
      <c r="DO65" s="8"/>
      <c r="DP65" s="8"/>
      <c r="DQ65" s="8"/>
      <c r="DR65" s="187"/>
      <c r="DS65" s="9"/>
      <c r="DT65" s="185" t="str">
        <f t="array" ref="DT65">xlookup($Y66,data!$N$2:$N$17,xlookup("r5Ser",data!$P$1:$BR$1,data!$P$2:$BR$17,""))</f>
        <v/>
      </c>
      <c r="DU65" s="8"/>
      <c r="DV65" s="186" t="str">
        <f t="array" ref="DV65">xlookup(xlookup($Y66,data!$N$2:$N$17,xlookup("r5op",data!$P$1:$BR$1,data!$P$2:$BR$17,"")),data!$M$2:$M$17,data!$O$2:$O$17,"")</f>
        <v/>
      </c>
      <c r="DW65" s="8"/>
      <c r="DX65" s="8"/>
      <c r="DY65" s="8"/>
      <c r="DZ65" s="8"/>
      <c r="EA65" s="187"/>
      <c r="EB65" s="9"/>
      <c r="EC65" s="152"/>
      <c r="ED65" s="152"/>
      <c r="EE65" s="152"/>
      <c r="EF65" s="152"/>
      <c r="EG65" s="152"/>
      <c r="EH65" s="152"/>
      <c r="EI65" s="152"/>
      <c r="EJ65" s="152"/>
      <c r="EK65" s="152"/>
      <c r="EL65" s="152"/>
      <c r="EM65" s="152"/>
      <c r="EN65" s="152"/>
      <c r="EO65" s="152"/>
      <c r="EP65" s="152"/>
      <c r="EQ65" s="152"/>
      <c r="ER65" s="152"/>
    </row>
    <row r="66" ht="5.25" customHeight="1">
      <c r="A66" s="152"/>
      <c r="B66" s="152"/>
      <c r="C66" s="152"/>
      <c r="D66" s="152"/>
      <c r="E66" s="152"/>
      <c r="F66" s="152"/>
      <c r="G66" s="152"/>
      <c r="H66" s="152"/>
      <c r="I66" s="152"/>
      <c r="J66" s="152"/>
      <c r="K66" s="152"/>
      <c r="L66" s="152"/>
      <c r="Q66" s="152"/>
      <c r="R66" s="188" t="str">
        <f t="array" ref="R66">xlookup(Y66,data!$N$2:$N$17,data!$O$2:$O$17,"")</f>
        <v/>
      </c>
      <c r="X66" s="189"/>
      <c r="Y66" s="190" t="str">
        <f t="array" ref="Y66">xlookup(Q65,data!$G$24:$G$39,data!$A$24:$A$39,"")</f>
        <v>Team 8 (Group 2)</v>
      </c>
      <c r="BB66" s="189"/>
      <c r="BC66" s="191" t="str">
        <f t="array" ref="BC66">xlookup(Y66,data!$A$24:$A$39,data!$B$24:$B$39,"")</f>
        <v>0-0</v>
      </c>
      <c r="BK66" s="189"/>
      <c r="BL66" s="192" t="str">
        <f t="array" ref="BL66">xlookup(Y66,data!$A$24:$A$39,data!$C$24:$C$39,"")</f>
        <v>0-0</v>
      </c>
      <c r="BT66" s="189"/>
      <c r="BU66" s="193" t="str">
        <f t="array" ref="BU66">xlookup(Y66,data!$A$24:$A$39,data!$D$24:$D$39,"")</f>
        <v>0-0</v>
      </c>
      <c r="CC66" s="189"/>
      <c r="CD66" s="193">
        <f t="array" ref="CD66">xlookup(Y66,data!$A$24:$A$39,data!$F$24:$F$39,"")</f>
        <v>0</v>
      </c>
      <c r="CI66" s="189"/>
      <c r="CJ66" s="10"/>
      <c r="CR66" s="11"/>
      <c r="CS66" s="10"/>
      <c r="DA66" s="11"/>
      <c r="DB66" s="10"/>
      <c r="DJ66" s="11"/>
      <c r="DK66" s="10"/>
      <c r="DS66" s="11"/>
      <c r="DT66" s="10"/>
      <c r="EB66" s="11"/>
      <c r="EC66" s="152"/>
      <c r="ED66" s="152"/>
      <c r="EE66" s="152"/>
      <c r="EF66" s="152"/>
      <c r="EG66" s="152"/>
      <c r="EH66" s="152"/>
      <c r="EI66" s="152"/>
      <c r="EJ66" s="152"/>
      <c r="EK66" s="152"/>
      <c r="EL66" s="152"/>
      <c r="EM66" s="152"/>
      <c r="EN66" s="152"/>
      <c r="EO66" s="152"/>
      <c r="EP66" s="152"/>
      <c r="EQ66" s="152"/>
      <c r="ER66" s="152"/>
    </row>
    <row r="67" ht="5.25" customHeight="1">
      <c r="A67" s="152"/>
      <c r="B67" s="152"/>
      <c r="C67" s="152"/>
      <c r="D67" s="152"/>
      <c r="E67" s="152"/>
      <c r="F67" s="152"/>
      <c r="G67" s="152"/>
      <c r="H67" s="152"/>
      <c r="I67" s="152"/>
      <c r="J67" s="152"/>
      <c r="K67" s="152"/>
      <c r="L67" s="152"/>
      <c r="Q67" s="152"/>
      <c r="R67" s="10"/>
      <c r="X67" s="189"/>
      <c r="BB67" s="189"/>
      <c r="BK67" s="189"/>
      <c r="BT67" s="189"/>
      <c r="CC67" s="189"/>
      <c r="CI67" s="189"/>
      <c r="CJ67" s="10"/>
      <c r="CR67" s="11"/>
      <c r="CS67" s="10"/>
      <c r="DA67" s="11"/>
      <c r="DB67" s="10"/>
      <c r="DJ67" s="11"/>
      <c r="DK67" s="10"/>
      <c r="DS67" s="11"/>
      <c r="DT67" s="10"/>
      <c r="EB67" s="11"/>
      <c r="EC67" s="152"/>
      <c r="ED67" s="152"/>
      <c r="EE67" s="152"/>
      <c r="EF67" s="152"/>
      <c r="EG67" s="152"/>
      <c r="EH67" s="152"/>
      <c r="EI67" s="152"/>
      <c r="EJ67" s="152"/>
      <c r="EK67" s="152"/>
      <c r="EL67" s="152"/>
      <c r="EM67" s="152"/>
      <c r="EN67" s="152"/>
      <c r="EO67" s="152"/>
      <c r="EP67" s="152"/>
      <c r="EQ67" s="152"/>
      <c r="ER67" s="152"/>
    </row>
    <row r="68" ht="5.25" customHeight="1">
      <c r="A68" s="152"/>
      <c r="B68" s="152"/>
      <c r="C68" s="152"/>
      <c r="D68" s="152"/>
      <c r="E68" s="152"/>
      <c r="F68" s="152"/>
      <c r="G68" s="152"/>
      <c r="H68" s="152"/>
      <c r="I68" s="152"/>
      <c r="J68" s="152"/>
      <c r="K68" s="152"/>
      <c r="L68" s="152"/>
      <c r="Q68" s="152"/>
      <c r="R68" s="10"/>
      <c r="X68" s="189"/>
      <c r="BB68" s="189"/>
      <c r="BK68" s="189"/>
      <c r="BT68" s="189"/>
      <c r="CC68" s="189"/>
      <c r="CI68" s="189"/>
      <c r="CJ68" s="10"/>
      <c r="CR68" s="11"/>
      <c r="CS68" s="10"/>
      <c r="DA68" s="11"/>
      <c r="DB68" s="10"/>
      <c r="DJ68" s="11"/>
      <c r="DK68" s="10"/>
      <c r="DS68" s="11"/>
      <c r="DT68" s="10"/>
      <c r="EB68" s="11"/>
      <c r="EC68" s="152"/>
      <c r="ED68" s="152"/>
      <c r="EE68" s="152"/>
      <c r="EF68" s="152"/>
      <c r="EG68" s="152"/>
      <c r="EH68" s="152"/>
      <c r="EI68" s="152"/>
      <c r="EJ68" s="152"/>
      <c r="EK68" s="152"/>
      <c r="EL68" s="152"/>
      <c r="EM68" s="152"/>
      <c r="EN68" s="152"/>
      <c r="EO68" s="152"/>
      <c r="EP68" s="152"/>
      <c r="EQ68" s="152"/>
      <c r="ER68" s="152"/>
    </row>
    <row r="69" ht="5.25" customHeight="1">
      <c r="A69" s="152"/>
      <c r="B69" s="152"/>
      <c r="C69" s="152"/>
      <c r="D69" s="152"/>
      <c r="E69" s="152"/>
      <c r="F69" s="152"/>
      <c r="G69" s="152"/>
      <c r="H69" s="152"/>
      <c r="I69" s="152"/>
      <c r="J69" s="152"/>
      <c r="K69" s="152"/>
      <c r="L69" s="152"/>
      <c r="Q69" s="152"/>
      <c r="R69" s="10"/>
      <c r="X69" s="189"/>
      <c r="BB69" s="189"/>
      <c r="BK69" s="189"/>
      <c r="BT69" s="189"/>
      <c r="CC69" s="189"/>
      <c r="CI69" s="189"/>
      <c r="CJ69" s="10"/>
      <c r="CR69" s="11"/>
      <c r="CS69" s="10"/>
      <c r="DA69" s="11"/>
      <c r="DB69" s="10"/>
      <c r="DJ69" s="11"/>
      <c r="DK69" s="10"/>
      <c r="DS69" s="11"/>
      <c r="DT69" s="10"/>
      <c r="EB69" s="11"/>
      <c r="EC69" s="152"/>
      <c r="ED69" s="152"/>
      <c r="EE69" s="152"/>
      <c r="EF69" s="152"/>
      <c r="EG69" s="152"/>
      <c r="EH69" s="152"/>
      <c r="EI69" s="152"/>
      <c r="EJ69" s="152"/>
      <c r="EK69" s="152"/>
      <c r="EL69" s="152"/>
      <c r="EM69" s="152"/>
      <c r="EN69" s="152"/>
      <c r="EO69" s="152"/>
      <c r="EP69" s="152"/>
      <c r="EQ69" s="152"/>
      <c r="ER69" s="152"/>
    </row>
    <row r="70" ht="5.25" customHeight="1">
      <c r="A70" s="152"/>
      <c r="B70" s="152"/>
      <c r="C70" s="152"/>
      <c r="D70" s="152"/>
      <c r="E70" s="152"/>
      <c r="F70" s="152"/>
      <c r="G70" s="152"/>
      <c r="H70" s="152"/>
      <c r="I70" s="152"/>
      <c r="J70" s="152"/>
      <c r="K70" s="152"/>
      <c r="L70" s="152"/>
      <c r="Q70" s="152"/>
      <c r="R70" s="10"/>
      <c r="X70" s="189"/>
      <c r="BB70" s="189"/>
      <c r="BK70" s="189"/>
      <c r="BT70" s="189"/>
      <c r="CC70" s="189"/>
      <c r="CI70" s="189"/>
      <c r="CJ70" s="195" t="str">
        <f t="array" ref="CJ70">xlookup($Y66,teams,xlookup("r1gw",header,swissdata))&amp;"-"&amp;xlookup($Y66,teams,xlookup("r1gl",header,swissdata))</f>
        <v>-</v>
      </c>
      <c r="CN70" s="196"/>
      <c r="CO70" s="196">
        <f t="array" ref="CO70">if(xlookup($Y66,teams,xlookup("r1rd",header,swissdata))&gt;0,"+"&amp;xlookup($Y66,teams,xlookup("r1rd",header,swissdata)),xlookup($Y66,teams,xlookup("r1rd",header,swissdata)))</f>
        <v>0</v>
      </c>
      <c r="CR70" s="11"/>
      <c r="CS70" s="195" t="str">
        <f t="array" ref="CS70">xlookup($Y66,teams,xlookup("r2gw",header,swissdata))&amp;"-"&amp;xlookup($Y66,teams,xlookup("r2gl",header,swissdata))</f>
        <v>-</v>
      </c>
      <c r="CW70" s="196"/>
      <c r="CX70" s="196">
        <f t="array" ref="CX70">if(xlookup($Y66,teams,xlookup("r2rd",header,swissdata))&gt;0,"+"&amp;xlookup($Y66,teams,xlookup("r2rd",header,swissdata)),xlookup($Y66,teams,xlookup("r2rd",header,swissdata)))</f>
        <v>0</v>
      </c>
      <c r="DA70" s="11"/>
      <c r="DB70" s="195" t="str">
        <f t="array" ref="DB70">xlookup($Y66,teams,xlookup("r3gw",header,swissdata))&amp;"-"&amp;xlookup($Y66,teams,xlookup("r3gl",header,swissdata))</f>
        <v>-</v>
      </c>
      <c r="DF70" s="196"/>
      <c r="DG70" s="196">
        <f t="array" ref="DG70">if(xlookup($Y66,teams,xlookup("r3rd",header,swissdata))&gt;0,"+"&amp;xlookup($Y66,teams,xlookup("r3rd",header,swissdata)),xlookup($Y66,teams,xlookup("r3rd",header,swissdata)))</f>
        <v>0</v>
      </c>
      <c r="DJ70" s="11"/>
      <c r="DK70" s="195" t="str">
        <f t="array" ref="DK70">xlookup($Y66,teams,xlookup("r4gw",header,swissdata))&amp;"-"&amp;xlookup($Y66,teams,xlookup("r4gl",header,swissdata))</f>
        <v>-</v>
      </c>
      <c r="DO70" s="196"/>
      <c r="DP70" s="196">
        <f t="array" ref="DP70">if(xlookup($Y66,teams,xlookup("r4rd",header,swissdata))&gt;0,"+"&amp;xlookup($Y66,teams,xlookup("r4rd",header,swissdata)),xlookup($Y66,teams,xlookup("r4rd",header,swissdata)))</f>
        <v>0</v>
      </c>
      <c r="DS70" s="11"/>
      <c r="DT70" s="195" t="str">
        <f t="array" ref="DT70">xlookup($Y66,teams,xlookup("r5gw",header,swissdata))&amp;"-"&amp;xlookup($Y66,teams,xlookup("r5gl",header,swissdata))</f>
        <v>-</v>
      </c>
      <c r="DX70" s="196"/>
      <c r="DY70" s="196">
        <f t="array" ref="DY70">if(xlookup($Y66,teams,xlookup("r5rd",header,swissdata))&gt;0,"+"&amp;xlookup($Y66,teams,xlookup("r5rd",header,swissdata)),xlookup($Y66,teams,xlookup("r5rd",header,swissdata)))</f>
        <v>0</v>
      </c>
      <c r="EB70" s="11"/>
      <c r="EC70" s="152"/>
      <c r="ED70" s="152"/>
      <c r="EE70" s="152"/>
      <c r="EF70" s="152"/>
      <c r="EG70" s="152"/>
      <c r="EH70" s="152"/>
      <c r="EI70" s="152"/>
      <c r="EJ70" s="152"/>
      <c r="EK70" s="152"/>
      <c r="EL70" s="152"/>
      <c r="EM70" s="152"/>
      <c r="EN70" s="152"/>
      <c r="EO70" s="152"/>
      <c r="EP70" s="152"/>
      <c r="EQ70" s="152"/>
      <c r="ER70" s="152"/>
    </row>
    <row r="71" ht="5.25" customHeight="1">
      <c r="A71" s="152"/>
      <c r="B71" s="152"/>
      <c r="C71" s="152"/>
      <c r="D71" s="152"/>
      <c r="E71" s="152"/>
      <c r="F71" s="152"/>
      <c r="G71" s="152"/>
      <c r="H71" s="152"/>
      <c r="I71" s="152"/>
      <c r="J71" s="152"/>
      <c r="K71" s="152"/>
      <c r="L71" s="152"/>
      <c r="Q71" s="152"/>
      <c r="R71" s="10"/>
      <c r="X71" s="189"/>
      <c r="BB71" s="189"/>
      <c r="BK71" s="189"/>
      <c r="BT71" s="189"/>
      <c r="CC71" s="189"/>
      <c r="CI71" s="189"/>
      <c r="CJ71" s="10"/>
      <c r="CR71" s="11"/>
      <c r="CS71" s="10"/>
      <c r="DA71" s="11"/>
      <c r="DB71" s="10"/>
      <c r="DJ71" s="11"/>
      <c r="DK71" s="10"/>
      <c r="DS71" s="11"/>
      <c r="DT71" s="10"/>
      <c r="EB71" s="11"/>
      <c r="EC71" s="152"/>
      <c r="ED71" s="152"/>
      <c r="EE71" s="152"/>
      <c r="EF71" s="152"/>
      <c r="EG71" s="152"/>
      <c r="EH71" s="152"/>
      <c r="EI71" s="152"/>
      <c r="EJ71" s="152"/>
      <c r="EK71" s="152"/>
      <c r="EL71" s="152"/>
      <c r="EM71" s="152"/>
      <c r="EN71" s="152"/>
      <c r="EO71" s="152"/>
      <c r="EP71" s="152"/>
      <c r="EQ71" s="152"/>
      <c r="ER71" s="152"/>
    </row>
    <row r="72" ht="5.25" customHeight="1">
      <c r="A72" s="152"/>
      <c r="B72" s="152"/>
      <c r="C72" s="152"/>
      <c r="D72" s="152"/>
      <c r="E72" s="152"/>
      <c r="F72" s="152"/>
      <c r="G72" s="152"/>
      <c r="H72" s="152"/>
      <c r="I72" s="152"/>
      <c r="J72" s="152"/>
      <c r="K72" s="152"/>
      <c r="L72" s="152"/>
      <c r="Q72" s="152"/>
      <c r="R72" s="197"/>
      <c r="S72" s="198"/>
      <c r="T72" s="198"/>
      <c r="U72" s="198"/>
      <c r="V72" s="198"/>
      <c r="W72" s="198"/>
      <c r="X72" s="198"/>
      <c r="Y72" s="198"/>
      <c r="Z72" s="198"/>
      <c r="AA72" s="198"/>
      <c r="AB72" s="198"/>
      <c r="AC72" s="198"/>
      <c r="AD72" s="198"/>
      <c r="AE72" s="198"/>
      <c r="AF72" s="198"/>
      <c r="AG72" s="198"/>
      <c r="AH72" s="198"/>
      <c r="AI72" s="198"/>
      <c r="AJ72" s="198"/>
      <c r="AK72" s="198"/>
      <c r="AL72" s="198"/>
      <c r="AM72" s="198"/>
      <c r="AN72" s="198"/>
      <c r="AO72" s="198"/>
      <c r="AP72" s="198"/>
      <c r="AQ72" s="198"/>
      <c r="AR72" s="198"/>
      <c r="AS72" s="198"/>
      <c r="AT72" s="198"/>
      <c r="AU72" s="198"/>
      <c r="AV72" s="198"/>
      <c r="AW72" s="198"/>
      <c r="AX72" s="198"/>
      <c r="AY72" s="198"/>
      <c r="AZ72" s="198"/>
      <c r="BA72" s="198"/>
      <c r="BB72" s="198"/>
      <c r="BC72" s="198"/>
      <c r="BD72" s="198"/>
      <c r="BE72" s="198"/>
      <c r="BF72" s="198"/>
      <c r="BG72" s="198"/>
      <c r="BH72" s="198"/>
      <c r="BI72" s="198"/>
      <c r="BJ72" s="198"/>
      <c r="BK72" s="198"/>
      <c r="BL72" s="198"/>
      <c r="BM72" s="198"/>
      <c r="BN72" s="198"/>
      <c r="BO72" s="198"/>
      <c r="BP72" s="198"/>
      <c r="BQ72" s="198"/>
      <c r="BR72" s="198"/>
      <c r="BS72" s="198"/>
      <c r="BT72" s="198"/>
      <c r="BU72" s="198"/>
      <c r="BV72" s="198"/>
      <c r="BW72" s="198"/>
      <c r="BX72" s="198"/>
      <c r="BY72" s="198"/>
      <c r="BZ72" s="198"/>
      <c r="CA72" s="198"/>
      <c r="CB72" s="198"/>
      <c r="CC72" s="198"/>
      <c r="CD72" s="198"/>
      <c r="CE72" s="198"/>
      <c r="CF72" s="198"/>
      <c r="CG72" s="198"/>
      <c r="CH72" s="198"/>
      <c r="CI72" s="198"/>
      <c r="CJ72" s="12"/>
      <c r="CK72" s="13"/>
      <c r="CL72" s="13"/>
      <c r="CM72" s="13"/>
      <c r="CN72" s="13"/>
      <c r="CO72" s="13"/>
      <c r="CP72" s="13"/>
      <c r="CQ72" s="13"/>
      <c r="CR72" s="14"/>
      <c r="CS72" s="12"/>
      <c r="CT72" s="13"/>
      <c r="CU72" s="13"/>
      <c r="CV72" s="13"/>
      <c r="CW72" s="13"/>
      <c r="CX72" s="13"/>
      <c r="CY72" s="13"/>
      <c r="CZ72" s="13"/>
      <c r="DA72" s="14"/>
      <c r="DB72" s="12"/>
      <c r="DC72" s="13"/>
      <c r="DD72" s="13"/>
      <c r="DE72" s="13"/>
      <c r="DF72" s="13"/>
      <c r="DG72" s="13"/>
      <c r="DH72" s="13"/>
      <c r="DI72" s="13"/>
      <c r="DJ72" s="14"/>
      <c r="DK72" s="12"/>
      <c r="DL72" s="13"/>
      <c r="DM72" s="13"/>
      <c r="DN72" s="13"/>
      <c r="DO72" s="13"/>
      <c r="DP72" s="13"/>
      <c r="DQ72" s="13"/>
      <c r="DR72" s="13"/>
      <c r="DS72" s="14"/>
      <c r="DT72" s="12"/>
      <c r="DU72" s="13"/>
      <c r="DV72" s="13"/>
      <c r="DW72" s="13"/>
      <c r="DX72" s="13"/>
      <c r="DY72" s="13"/>
      <c r="DZ72" s="13"/>
      <c r="EA72" s="13"/>
      <c r="EB72" s="14"/>
      <c r="EC72" s="152"/>
      <c r="ED72" s="152"/>
      <c r="EE72" s="152"/>
      <c r="EF72" s="152"/>
      <c r="EG72" s="152"/>
      <c r="EH72" s="152"/>
      <c r="EI72" s="152"/>
      <c r="EJ72" s="152"/>
      <c r="EK72" s="152"/>
      <c r="EL72" s="152"/>
      <c r="EM72" s="152"/>
      <c r="EN72" s="152"/>
      <c r="EO72" s="152"/>
      <c r="EP72" s="152"/>
      <c r="EQ72" s="152"/>
      <c r="ER72" s="152"/>
    </row>
    <row r="73" ht="5.25" customHeight="1">
      <c r="A73" s="152"/>
      <c r="B73" s="152"/>
      <c r="C73" s="152"/>
      <c r="D73" s="152"/>
      <c r="E73" s="152"/>
      <c r="F73" s="152"/>
      <c r="G73" s="152"/>
      <c r="H73" s="152"/>
      <c r="I73" s="152"/>
      <c r="J73" s="152"/>
      <c r="K73" s="152"/>
      <c r="L73" s="152"/>
      <c r="M73" s="177" t="str">
        <f>Q73&amp;"."</f>
        <v>9.</v>
      </c>
      <c r="Q73" s="181">
        <v>9.0</v>
      </c>
      <c r="R73" s="200"/>
      <c r="S73" s="201"/>
      <c r="T73" s="201"/>
      <c r="U73" s="201"/>
      <c r="V73" s="201"/>
      <c r="W73" s="201"/>
      <c r="X73" s="201"/>
      <c r="Y73" s="201"/>
      <c r="Z73" s="201"/>
      <c r="AA73" s="201"/>
      <c r="AB73" s="201"/>
      <c r="AC73" s="201"/>
      <c r="AD73" s="201"/>
      <c r="AE73" s="201"/>
      <c r="AF73" s="201"/>
      <c r="AG73" s="201"/>
      <c r="AH73" s="201"/>
      <c r="AI73" s="201"/>
      <c r="AJ73" s="201"/>
      <c r="AK73" s="201"/>
      <c r="AL73" s="201"/>
      <c r="AM73" s="201"/>
      <c r="AN73" s="201"/>
      <c r="AO73" s="201"/>
      <c r="AP73" s="201"/>
      <c r="AQ73" s="201"/>
      <c r="AR73" s="201"/>
      <c r="AS73" s="201"/>
      <c r="AT73" s="201"/>
      <c r="AU73" s="201"/>
      <c r="AV73" s="201"/>
      <c r="AW73" s="201"/>
      <c r="AX73" s="201"/>
      <c r="AY73" s="201"/>
      <c r="AZ73" s="201"/>
      <c r="BA73" s="201"/>
      <c r="BB73" s="201"/>
      <c r="BC73" s="201"/>
      <c r="BD73" s="201"/>
      <c r="BE73" s="201"/>
      <c r="BF73" s="201"/>
      <c r="BG73" s="201"/>
      <c r="BH73" s="201"/>
      <c r="BI73" s="201"/>
      <c r="BJ73" s="201"/>
      <c r="BK73" s="201"/>
      <c r="BL73" s="201"/>
      <c r="BM73" s="201"/>
      <c r="BN73" s="201"/>
      <c r="BO73" s="201"/>
      <c r="BP73" s="201"/>
      <c r="BQ73" s="201"/>
      <c r="BR73" s="201"/>
      <c r="BS73" s="201"/>
      <c r="BT73" s="201"/>
      <c r="BU73" s="201"/>
      <c r="BV73" s="201"/>
      <c r="BW73" s="201"/>
      <c r="BX73" s="201"/>
      <c r="BY73" s="201"/>
      <c r="BZ73" s="201"/>
      <c r="CA73" s="201"/>
      <c r="CB73" s="201"/>
      <c r="CC73" s="201"/>
      <c r="CD73" s="201"/>
      <c r="CE73" s="201"/>
      <c r="CF73" s="201"/>
      <c r="CG73" s="201"/>
      <c r="CH73" s="201"/>
      <c r="CI73" s="201"/>
      <c r="CJ73" s="185" t="str">
        <f t="array" ref="CJ73">xlookup($Y74,data!$N$2:$N$17,xlookup("r1Ser",data!$P$1:$BR$1,data!$P$2:$BR$17,""))</f>
        <v/>
      </c>
      <c r="CK73" s="8"/>
      <c r="CL73" s="186" t="str">
        <f t="array" ref="CL73">if(Y74="TBD","",xlookup(xlookup($Y74,data!$N$2:$N$17,xlookup("r1op",data!$P$1:$BR$1,data!$P$2:$BR$17,"")),data!$M$2:$M$17,data!$O$2:$O$17,""))</f>
        <v/>
      </c>
      <c r="CM73" s="8"/>
      <c r="CN73" s="8"/>
      <c r="CO73" s="8"/>
      <c r="CP73" s="8"/>
      <c r="CQ73" s="187"/>
      <c r="CR73" s="9"/>
      <c r="CS73" s="185" t="str">
        <f t="array" ref="CS73">xlookup($Y74,data!$N$2:$N$17,xlookup("r2Ser",data!$P$1:$BR$1,data!$P$2:$BR$17,""))</f>
        <v/>
      </c>
      <c r="CT73" s="8"/>
      <c r="CU73" s="186" t="str">
        <f t="array" ref="CU73">xlookup(xlookup($Y74,data!$N$2:$N$17,xlookup("r2op",data!$P$1:$BR$1,data!$P$2:$BR$17,"")),data!$M$2:$M$17,data!$O$2:$O$17,"")</f>
        <v/>
      </c>
      <c r="CV73" s="8"/>
      <c r="CW73" s="8"/>
      <c r="CX73" s="8"/>
      <c r="CY73" s="8"/>
      <c r="CZ73" s="187"/>
      <c r="DA73" s="9"/>
      <c r="DB73" s="185" t="str">
        <f t="array" ref="DB73">xlookup($Y74,data!$N$2:$N$17,xlookup("r3Ser",data!$P$1:$BR$1,data!$P$2:$BR$17,""))</f>
        <v/>
      </c>
      <c r="DC73" s="8"/>
      <c r="DD73" s="186" t="str">
        <f t="array" ref="DD73">xlookup(xlookup($Y74,data!$N$2:$N$17,xlookup("r3op",data!$P$1:$BR$1,data!$P$2:$BR$17,"")),data!$M$2:$M$17,data!$O$2:$O$17,"")</f>
        <v/>
      </c>
      <c r="DE73" s="8"/>
      <c r="DF73" s="8"/>
      <c r="DG73" s="8"/>
      <c r="DH73" s="8"/>
      <c r="DI73" s="187"/>
      <c r="DJ73" s="9"/>
      <c r="DK73" s="185" t="str">
        <f t="array" ref="DK73">xlookup($Y74,data!$N$2:$N$17,xlookup("r4Ser",data!$P$1:$BR$1,data!$P$2:$BR$17,""))</f>
        <v/>
      </c>
      <c r="DL73" s="8"/>
      <c r="DM73" s="186" t="str">
        <f t="array" ref="DM73">xlookup(xlookup($Y74,data!$N$2:$N$17,xlookup("r4op",data!$P$1:$BR$1,data!$P$2:$BR$17,"")),data!$M$2:$M$17,data!$O$2:$O$17,"")</f>
        <v/>
      </c>
      <c r="DN73" s="8"/>
      <c r="DO73" s="8"/>
      <c r="DP73" s="8"/>
      <c r="DQ73" s="8"/>
      <c r="DR73" s="187"/>
      <c r="DS73" s="9"/>
      <c r="DT73" s="185" t="str">
        <f t="array" ref="DT73">xlookup($Y74,data!$N$2:$N$17,xlookup("r5Ser",data!$P$1:$BR$1,data!$P$2:$BR$17,""))</f>
        <v/>
      </c>
      <c r="DU73" s="8"/>
      <c r="DV73" s="186" t="str">
        <f t="array" ref="DV73">xlookup(xlookup($Y74,data!$N$2:$N$17,xlookup("r5op",data!$P$1:$BR$1,data!$P$2:$BR$17,"")),data!$M$2:$M$17,data!$O$2:$O$17,"")</f>
        <v/>
      </c>
      <c r="DW73" s="8"/>
      <c r="DX73" s="8"/>
      <c r="DY73" s="8"/>
      <c r="DZ73" s="8"/>
      <c r="EA73" s="187"/>
      <c r="EB73" s="9"/>
      <c r="EC73" s="152"/>
      <c r="ED73" s="152"/>
      <c r="EE73" s="152"/>
      <c r="EF73" s="152"/>
      <c r="EG73" s="152"/>
      <c r="EH73" s="152"/>
      <c r="EI73" s="152"/>
      <c r="EJ73" s="152"/>
      <c r="EK73" s="152"/>
      <c r="EL73" s="152"/>
      <c r="EM73" s="152"/>
      <c r="EN73" s="152"/>
      <c r="EO73" s="152"/>
      <c r="EP73" s="152"/>
      <c r="EQ73" s="152"/>
      <c r="ER73" s="152"/>
    </row>
    <row r="74" ht="5.25" customHeight="1">
      <c r="A74" s="152"/>
      <c r="B74" s="152"/>
      <c r="C74" s="152"/>
      <c r="D74" s="152"/>
      <c r="E74" s="152"/>
      <c r="F74" s="152"/>
      <c r="G74" s="152"/>
      <c r="H74" s="152"/>
      <c r="I74" s="152"/>
      <c r="J74" s="152"/>
      <c r="K74" s="152"/>
      <c r="L74" s="152"/>
      <c r="Q74" s="152"/>
      <c r="R74" s="202" t="str">
        <f t="array" ref="R74">xlookup(Y74,data!$N$2:$N$17,data!$O$2:$O$17,"")</f>
        <v/>
      </c>
      <c r="X74" s="203"/>
      <c r="Y74" s="204" t="str">
        <f t="array" ref="Y74">xlookup(Q73,data!$G$24:$G$39,data!$A$24:$A$39,"")</f>
        <v>TBD</v>
      </c>
      <c r="BB74" s="203"/>
      <c r="BC74" s="205" t="str">
        <f t="array" ref="BC74">xlookup(Y74,data!$A$24:$A$39,data!$B$24:$B$39,"")</f>
        <v>0-0</v>
      </c>
      <c r="BK74" s="203"/>
      <c r="BL74" s="206" t="str">
        <f t="array" ref="BL74">xlookup(Y74,data!$A$24:$A$39,data!$C$24:$C$39,"")</f>
        <v>0-0</v>
      </c>
      <c r="BT74" s="203"/>
      <c r="BU74" s="207" t="str">
        <f t="array" ref="BU74">xlookup(Y74,data!$A$24:$A$39,data!$D$24:$D$39,"")</f>
        <v>0-0</v>
      </c>
      <c r="CC74" s="203"/>
      <c r="CD74" s="207">
        <f t="array" ref="CD74">xlookup(Y74,data!$A$24:$A$39,data!$F$24:$F$39,"")</f>
        <v>0</v>
      </c>
      <c r="CI74" s="203"/>
      <c r="CJ74" s="10"/>
      <c r="CR74" s="11"/>
      <c r="CS74" s="10"/>
      <c r="DA74" s="11"/>
      <c r="DB74" s="10"/>
      <c r="DJ74" s="11"/>
      <c r="DK74" s="10"/>
      <c r="DS74" s="11"/>
      <c r="DT74" s="10"/>
      <c r="EB74" s="11"/>
      <c r="EC74" s="152"/>
      <c r="ED74" s="152"/>
      <c r="EE74" s="152"/>
      <c r="EF74" s="152"/>
      <c r="EG74" s="152"/>
      <c r="EH74" s="152"/>
      <c r="EI74" s="152"/>
      <c r="EJ74" s="152"/>
      <c r="EK74" s="152"/>
      <c r="EL74" s="152"/>
      <c r="EM74" s="152"/>
      <c r="EN74" s="152"/>
      <c r="EO74" s="152"/>
      <c r="EP74" s="152"/>
      <c r="EQ74" s="152"/>
      <c r="ER74" s="152"/>
    </row>
    <row r="75" ht="5.25" customHeight="1">
      <c r="A75" s="152"/>
      <c r="B75" s="152"/>
      <c r="C75" s="152"/>
      <c r="D75" s="152"/>
      <c r="E75" s="152"/>
      <c r="F75" s="152"/>
      <c r="G75" s="152"/>
      <c r="H75" s="152"/>
      <c r="I75" s="152"/>
      <c r="J75" s="152"/>
      <c r="K75" s="152"/>
      <c r="L75" s="152"/>
      <c r="Q75" s="152"/>
      <c r="R75" s="10"/>
      <c r="X75" s="203"/>
      <c r="BB75" s="203"/>
      <c r="BK75" s="203"/>
      <c r="BT75" s="203"/>
      <c r="CC75" s="203"/>
      <c r="CI75" s="203"/>
      <c r="CJ75" s="10"/>
      <c r="CR75" s="11"/>
      <c r="CS75" s="10"/>
      <c r="DA75" s="11"/>
      <c r="DB75" s="10"/>
      <c r="DJ75" s="11"/>
      <c r="DK75" s="10"/>
      <c r="DS75" s="11"/>
      <c r="DT75" s="10"/>
      <c r="EB75" s="11"/>
      <c r="EC75" s="152"/>
      <c r="ED75" s="152"/>
      <c r="EE75" s="152"/>
      <c r="EF75" s="152"/>
      <c r="EG75" s="152"/>
      <c r="EH75" s="152"/>
      <c r="EI75" s="152"/>
      <c r="EJ75" s="152"/>
      <c r="EK75" s="152"/>
      <c r="EL75" s="152"/>
      <c r="EM75" s="152"/>
      <c r="EN75" s="152"/>
      <c r="EO75" s="152"/>
      <c r="EP75" s="152"/>
      <c r="EQ75" s="152"/>
      <c r="ER75" s="152"/>
    </row>
    <row r="76" ht="5.25" customHeight="1">
      <c r="A76" s="152"/>
      <c r="B76" s="152"/>
      <c r="C76" s="152"/>
      <c r="D76" s="152"/>
      <c r="E76" s="152"/>
      <c r="F76" s="152"/>
      <c r="G76" s="152"/>
      <c r="H76" s="152"/>
      <c r="I76" s="152"/>
      <c r="J76" s="152"/>
      <c r="K76" s="152"/>
      <c r="L76" s="152"/>
      <c r="Q76" s="152"/>
      <c r="R76" s="10"/>
      <c r="X76" s="203"/>
      <c r="BB76" s="203"/>
      <c r="BK76" s="203"/>
      <c r="BT76" s="203"/>
      <c r="CC76" s="203"/>
      <c r="CI76" s="203"/>
      <c r="CJ76" s="10"/>
      <c r="CR76" s="11"/>
      <c r="CS76" s="10"/>
      <c r="DA76" s="11"/>
      <c r="DB76" s="10"/>
      <c r="DJ76" s="11"/>
      <c r="DK76" s="10"/>
      <c r="DS76" s="11"/>
      <c r="DT76" s="10"/>
      <c r="EB76" s="11"/>
      <c r="EC76" s="152"/>
      <c r="ED76" s="152"/>
      <c r="EE76" s="152"/>
      <c r="EF76" s="152"/>
      <c r="EG76" s="152"/>
      <c r="EH76" s="152"/>
      <c r="EI76" s="152"/>
      <c r="EJ76" s="152"/>
      <c r="EK76" s="152"/>
      <c r="EL76" s="152"/>
      <c r="EM76" s="152"/>
      <c r="EN76" s="152"/>
      <c r="EO76" s="152"/>
      <c r="EP76" s="152"/>
      <c r="EQ76" s="152"/>
      <c r="ER76" s="152"/>
    </row>
    <row r="77" ht="5.25" customHeight="1">
      <c r="A77" s="152"/>
      <c r="B77" s="152"/>
      <c r="C77" s="152"/>
      <c r="D77" s="152"/>
      <c r="E77" s="152"/>
      <c r="F77" s="152"/>
      <c r="G77" s="152"/>
      <c r="H77" s="152"/>
      <c r="I77" s="152"/>
      <c r="J77" s="152"/>
      <c r="K77" s="152"/>
      <c r="L77" s="152"/>
      <c r="Q77" s="152"/>
      <c r="R77" s="10"/>
      <c r="X77" s="203"/>
      <c r="BB77" s="203"/>
      <c r="BK77" s="203"/>
      <c r="BT77" s="203"/>
      <c r="CC77" s="203"/>
      <c r="CI77" s="203"/>
      <c r="CJ77" s="10"/>
      <c r="CR77" s="11"/>
      <c r="CS77" s="10"/>
      <c r="DA77" s="11"/>
      <c r="DB77" s="10"/>
      <c r="DJ77" s="11"/>
      <c r="DK77" s="10"/>
      <c r="DS77" s="11"/>
      <c r="DT77" s="10"/>
      <c r="EB77" s="11"/>
      <c r="EC77" s="152"/>
      <c r="ED77" s="152"/>
      <c r="EE77" s="152"/>
      <c r="EF77" s="152"/>
      <c r="EG77" s="152"/>
      <c r="EH77" s="152"/>
      <c r="EI77" s="152"/>
      <c r="EJ77" s="152"/>
      <c r="EK77" s="152"/>
      <c r="EL77" s="152"/>
      <c r="EM77" s="152"/>
      <c r="EN77" s="152"/>
      <c r="EO77" s="152"/>
      <c r="EP77" s="152"/>
      <c r="EQ77" s="152"/>
      <c r="ER77" s="152"/>
    </row>
    <row r="78" ht="5.25" customHeight="1">
      <c r="A78" s="152"/>
      <c r="B78" s="152"/>
      <c r="C78" s="152"/>
      <c r="D78" s="152"/>
      <c r="E78" s="152"/>
      <c r="F78" s="152"/>
      <c r="G78" s="152"/>
      <c r="H78" s="152"/>
      <c r="I78" s="152"/>
      <c r="J78" s="152"/>
      <c r="K78" s="152"/>
      <c r="L78" s="152"/>
      <c r="Q78" s="152"/>
      <c r="R78" s="10"/>
      <c r="X78" s="203"/>
      <c r="BB78" s="203"/>
      <c r="BK78" s="203"/>
      <c r="BT78" s="203"/>
      <c r="CC78" s="203"/>
      <c r="CI78" s="203"/>
      <c r="CJ78" s="195" t="str">
        <f t="array" ref="CJ78">xlookup($Y74,teams,xlookup("r1gw",header,swissdata))&amp;"-"&amp;xlookup($Y74,teams,xlookup("r1gl",header,swissdata))</f>
        <v>-</v>
      </c>
      <c r="CN78" s="196"/>
      <c r="CO78" s="196">
        <f t="array" ref="CO78">if(xlookup($Y74,teams,xlookup("r1rd",header,swissdata))&gt;0,"+"&amp;xlookup($Y74,teams,xlookup("r1rd",header,swissdata)),xlookup($Y74,teams,xlookup("r1rd",header,swissdata)))</f>
        <v>0</v>
      </c>
      <c r="CR78" s="11"/>
      <c r="CS78" s="195" t="str">
        <f t="array" ref="CS78">xlookup($Y74,teams,xlookup("r2gw",header,swissdata))&amp;"-"&amp;xlookup($Y74,teams,xlookup("r2gl",header,swissdata))</f>
        <v>-</v>
      </c>
      <c r="CW78" s="196"/>
      <c r="CX78" s="196">
        <f t="array" ref="CX78">if(xlookup($Y74,teams,xlookup("r2rd",header,swissdata))&gt;0,"+"&amp;xlookup($Y74,teams,xlookup("r2rd",header,swissdata)),xlookup($Y74,teams,xlookup("r2rd",header,swissdata)))</f>
        <v>0</v>
      </c>
      <c r="DA78" s="11"/>
      <c r="DB78" s="195" t="str">
        <f t="array" ref="DB78">xlookup($Y74,teams,xlookup("r3gw",header,swissdata))&amp;"-"&amp;xlookup($Y74,teams,xlookup("r3gl",header,swissdata))</f>
        <v>-</v>
      </c>
      <c r="DF78" s="196"/>
      <c r="DG78" s="196">
        <f t="array" ref="DG78">if(xlookup($Y74,teams,xlookup("r3rd",header,swissdata))&gt;0,"+"&amp;xlookup($Y74,teams,xlookup("r3rd",header,swissdata)),xlookup($Y74,teams,xlookup("r3rd",header,swissdata)))</f>
        <v>0</v>
      </c>
      <c r="DJ78" s="11"/>
      <c r="DK78" s="195" t="str">
        <f t="array" ref="DK78">xlookup($Y74,teams,xlookup("r4gw",header,swissdata))&amp;"-"&amp;xlookup($Y74,teams,xlookup("r4gl",header,swissdata))</f>
        <v>-</v>
      </c>
      <c r="DO78" s="196"/>
      <c r="DP78" s="196">
        <f t="array" ref="DP78">if(xlookup($Y74,teams,xlookup("r4rd",header,swissdata))&gt;0,"+"&amp;xlookup($Y74,teams,xlookup("r4rd",header,swissdata)),xlookup($Y74,teams,xlookup("r4rd",header,swissdata)))</f>
        <v>0</v>
      </c>
      <c r="DS78" s="11"/>
      <c r="DT78" s="195" t="str">
        <f t="array" ref="DT78">xlookup($Y74,teams,xlookup("r5gw",header,swissdata))&amp;"-"&amp;xlookup($Y74,teams,xlookup("r5gl",header,swissdata))</f>
        <v>-</v>
      </c>
      <c r="DX78" s="196"/>
      <c r="DY78" s="196">
        <f t="array" ref="DY78">if(xlookup($Y74,teams,xlookup("r5rd",header,swissdata))&gt;0,"+"&amp;xlookup($Y74,teams,xlookup("r5rd",header,swissdata)),xlookup($Y74,teams,xlookup("r5rd",header,swissdata)))</f>
        <v>0</v>
      </c>
      <c r="EB78" s="11"/>
      <c r="EC78" s="152"/>
      <c r="ED78" s="152"/>
      <c r="EE78" s="152"/>
      <c r="EF78" s="152"/>
      <c r="EG78" s="152"/>
      <c r="EH78" s="152"/>
      <c r="EI78" s="152"/>
      <c r="EJ78" s="152"/>
      <c r="EK78" s="152"/>
      <c r="EL78" s="152"/>
      <c r="EM78" s="152"/>
      <c r="EN78" s="152"/>
      <c r="EO78" s="152"/>
      <c r="EP78" s="152"/>
      <c r="EQ78" s="152"/>
      <c r="ER78" s="152"/>
    </row>
    <row r="79" ht="5.25" customHeight="1">
      <c r="A79" s="152"/>
      <c r="B79" s="152"/>
      <c r="C79" s="152"/>
      <c r="D79" s="152"/>
      <c r="E79" s="152"/>
      <c r="F79" s="152"/>
      <c r="G79" s="152"/>
      <c r="H79" s="152"/>
      <c r="I79" s="152"/>
      <c r="J79" s="152"/>
      <c r="K79" s="152"/>
      <c r="L79" s="152"/>
      <c r="Q79" s="152"/>
      <c r="R79" s="10"/>
      <c r="X79" s="203"/>
      <c r="BB79" s="203"/>
      <c r="BK79" s="203"/>
      <c r="BT79" s="203"/>
      <c r="CC79" s="203"/>
      <c r="CI79" s="203"/>
      <c r="CJ79" s="10"/>
      <c r="CR79" s="11"/>
      <c r="CS79" s="10"/>
      <c r="DA79" s="11"/>
      <c r="DB79" s="10"/>
      <c r="DJ79" s="11"/>
      <c r="DK79" s="10"/>
      <c r="DS79" s="11"/>
      <c r="DT79" s="10"/>
      <c r="EB79" s="11"/>
      <c r="EC79" s="152"/>
      <c r="ED79" s="152"/>
      <c r="EE79" s="152"/>
      <c r="EF79" s="152"/>
      <c r="EG79" s="152"/>
      <c r="EH79" s="152"/>
      <c r="EI79" s="152"/>
      <c r="EJ79" s="152"/>
      <c r="EK79" s="152"/>
      <c r="EL79" s="152"/>
      <c r="EM79" s="152"/>
      <c r="EN79" s="152"/>
      <c r="EO79" s="152"/>
      <c r="EP79" s="152"/>
      <c r="EQ79" s="152"/>
      <c r="ER79" s="152"/>
    </row>
    <row r="80" ht="5.25" customHeight="1">
      <c r="A80" s="152"/>
      <c r="B80" s="152"/>
      <c r="C80" s="152"/>
      <c r="D80" s="152"/>
      <c r="E80" s="152"/>
      <c r="F80" s="152"/>
      <c r="G80" s="152"/>
      <c r="H80" s="152"/>
      <c r="I80" s="152"/>
      <c r="J80" s="152"/>
      <c r="K80" s="152"/>
      <c r="L80" s="152"/>
      <c r="Q80" s="152"/>
      <c r="R80" s="208"/>
      <c r="S80" s="209"/>
      <c r="T80" s="209"/>
      <c r="U80" s="209"/>
      <c r="V80" s="209"/>
      <c r="W80" s="209"/>
      <c r="X80" s="209"/>
      <c r="Y80" s="209"/>
      <c r="Z80" s="209"/>
      <c r="AA80" s="209"/>
      <c r="AB80" s="209"/>
      <c r="AC80" s="209"/>
      <c r="AD80" s="209"/>
      <c r="AE80" s="209"/>
      <c r="AF80" s="209"/>
      <c r="AG80" s="209"/>
      <c r="AH80" s="209"/>
      <c r="AI80" s="209"/>
      <c r="AJ80" s="209"/>
      <c r="AK80" s="209"/>
      <c r="AL80" s="209"/>
      <c r="AM80" s="209"/>
      <c r="AN80" s="209"/>
      <c r="AO80" s="209"/>
      <c r="AP80" s="209"/>
      <c r="AQ80" s="209"/>
      <c r="AR80" s="209"/>
      <c r="AS80" s="209"/>
      <c r="AT80" s="209"/>
      <c r="AU80" s="209"/>
      <c r="AV80" s="209"/>
      <c r="AW80" s="209"/>
      <c r="AX80" s="209"/>
      <c r="AY80" s="209"/>
      <c r="AZ80" s="209"/>
      <c r="BA80" s="209"/>
      <c r="BB80" s="209"/>
      <c r="BC80" s="209"/>
      <c r="BD80" s="209"/>
      <c r="BE80" s="209"/>
      <c r="BF80" s="209"/>
      <c r="BG80" s="209"/>
      <c r="BH80" s="209"/>
      <c r="BI80" s="209"/>
      <c r="BJ80" s="209"/>
      <c r="BK80" s="209"/>
      <c r="BL80" s="209"/>
      <c r="BM80" s="209"/>
      <c r="BN80" s="209"/>
      <c r="BO80" s="209"/>
      <c r="BP80" s="209"/>
      <c r="BQ80" s="209"/>
      <c r="BR80" s="209"/>
      <c r="BS80" s="209"/>
      <c r="BT80" s="209"/>
      <c r="BU80" s="209"/>
      <c r="BV80" s="209"/>
      <c r="BW80" s="209"/>
      <c r="BX80" s="209"/>
      <c r="BY80" s="209"/>
      <c r="BZ80" s="209"/>
      <c r="CA80" s="209"/>
      <c r="CB80" s="209"/>
      <c r="CC80" s="209"/>
      <c r="CD80" s="209"/>
      <c r="CE80" s="209"/>
      <c r="CF80" s="209"/>
      <c r="CG80" s="209"/>
      <c r="CH80" s="209"/>
      <c r="CI80" s="209"/>
      <c r="CJ80" s="12"/>
      <c r="CK80" s="13"/>
      <c r="CL80" s="13"/>
      <c r="CM80" s="13"/>
      <c r="CN80" s="13"/>
      <c r="CO80" s="13"/>
      <c r="CP80" s="13"/>
      <c r="CQ80" s="13"/>
      <c r="CR80" s="14"/>
      <c r="CS80" s="12"/>
      <c r="CT80" s="13"/>
      <c r="CU80" s="13"/>
      <c r="CV80" s="13"/>
      <c r="CW80" s="13"/>
      <c r="CX80" s="13"/>
      <c r="CY80" s="13"/>
      <c r="CZ80" s="13"/>
      <c r="DA80" s="14"/>
      <c r="DB80" s="12"/>
      <c r="DC80" s="13"/>
      <c r="DD80" s="13"/>
      <c r="DE80" s="13"/>
      <c r="DF80" s="13"/>
      <c r="DG80" s="13"/>
      <c r="DH80" s="13"/>
      <c r="DI80" s="13"/>
      <c r="DJ80" s="14"/>
      <c r="DK80" s="12"/>
      <c r="DL80" s="13"/>
      <c r="DM80" s="13"/>
      <c r="DN80" s="13"/>
      <c r="DO80" s="13"/>
      <c r="DP80" s="13"/>
      <c r="DQ80" s="13"/>
      <c r="DR80" s="13"/>
      <c r="DS80" s="14"/>
      <c r="DT80" s="12"/>
      <c r="DU80" s="13"/>
      <c r="DV80" s="13"/>
      <c r="DW80" s="13"/>
      <c r="DX80" s="13"/>
      <c r="DY80" s="13"/>
      <c r="DZ80" s="13"/>
      <c r="EA80" s="13"/>
      <c r="EB80" s="14"/>
      <c r="EC80" s="152"/>
      <c r="ED80" s="152"/>
      <c r="EE80" s="152"/>
      <c r="EF80" s="152"/>
      <c r="EG80" s="152"/>
      <c r="EH80" s="152"/>
      <c r="EI80" s="152"/>
      <c r="EJ80" s="152"/>
      <c r="EK80" s="152"/>
      <c r="EL80" s="152"/>
      <c r="EM80" s="152"/>
      <c r="EN80" s="152"/>
      <c r="EO80" s="152"/>
      <c r="EP80" s="152"/>
      <c r="EQ80" s="152"/>
      <c r="ER80" s="152"/>
    </row>
    <row r="81" ht="5.25" customHeight="1">
      <c r="A81" s="152"/>
      <c r="B81" s="152"/>
      <c r="C81" s="152"/>
      <c r="D81" s="152"/>
      <c r="E81" s="152"/>
      <c r="F81" s="152"/>
      <c r="G81" s="152"/>
      <c r="H81" s="152"/>
      <c r="I81" s="152"/>
      <c r="J81" s="152"/>
      <c r="K81" s="152"/>
      <c r="L81" s="152"/>
      <c r="M81" s="177" t="str">
        <f>Q81&amp;"."</f>
        <v>10.</v>
      </c>
      <c r="Q81" s="181">
        <v>10.0</v>
      </c>
      <c r="R81" s="200"/>
      <c r="S81" s="201"/>
      <c r="T81" s="201"/>
      <c r="U81" s="201"/>
      <c r="V81" s="201"/>
      <c r="W81" s="201"/>
      <c r="X81" s="201"/>
      <c r="Y81" s="201"/>
      <c r="Z81" s="201"/>
      <c r="AA81" s="201"/>
      <c r="AB81" s="201"/>
      <c r="AC81" s="201"/>
      <c r="AD81" s="201"/>
      <c r="AE81" s="201"/>
      <c r="AF81" s="201"/>
      <c r="AG81" s="201"/>
      <c r="AH81" s="201"/>
      <c r="AI81" s="201"/>
      <c r="AJ81" s="201"/>
      <c r="AK81" s="201"/>
      <c r="AL81" s="201"/>
      <c r="AM81" s="201"/>
      <c r="AN81" s="201"/>
      <c r="AO81" s="201"/>
      <c r="AP81" s="201"/>
      <c r="AQ81" s="201"/>
      <c r="AR81" s="201"/>
      <c r="AS81" s="201"/>
      <c r="AT81" s="201"/>
      <c r="AU81" s="201"/>
      <c r="AV81" s="201"/>
      <c r="AW81" s="201"/>
      <c r="AX81" s="201"/>
      <c r="AY81" s="201"/>
      <c r="AZ81" s="201"/>
      <c r="BA81" s="201"/>
      <c r="BB81" s="201"/>
      <c r="BC81" s="201"/>
      <c r="BD81" s="201"/>
      <c r="BE81" s="201"/>
      <c r="BF81" s="201"/>
      <c r="BG81" s="201"/>
      <c r="BH81" s="201"/>
      <c r="BI81" s="201"/>
      <c r="BJ81" s="201"/>
      <c r="BK81" s="201"/>
      <c r="BL81" s="201"/>
      <c r="BM81" s="201"/>
      <c r="BN81" s="201"/>
      <c r="BO81" s="201"/>
      <c r="BP81" s="201"/>
      <c r="BQ81" s="201"/>
      <c r="BR81" s="201"/>
      <c r="BS81" s="201"/>
      <c r="BT81" s="201"/>
      <c r="BU81" s="201"/>
      <c r="BV81" s="201"/>
      <c r="BW81" s="201"/>
      <c r="BX81" s="201"/>
      <c r="BY81" s="201"/>
      <c r="BZ81" s="201"/>
      <c r="CA81" s="201"/>
      <c r="CB81" s="201"/>
      <c r="CC81" s="201"/>
      <c r="CD81" s="201"/>
      <c r="CE81" s="201"/>
      <c r="CF81" s="201"/>
      <c r="CG81" s="201"/>
      <c r="CH81" s="201"/>
      <c r="CI81" s="201"/>
      <c r="CJ81" s="185" t="str">
        <f t="array" ref="CJ81">xlookup($Y82,data!$N$2:$N$17,xlookup("r1Ser",data!$P$1:$BR$1,data!$P$2:$BR$17,""))</f>
        <v/>
      </c>
      <c r="CK81" s="8"/>
      <c r="CL81" s="186" t="str">
        <f t="array" ref="CL81">if(Y82="TBD","",xlookup(xlookup($Y82,data!$N$2:$N$17,xlookup("r1op",data!$P$1:$BR$1,data!$P$2:$BR$17,"")),data!$M$2:$M$17,data!$O$2:$O$17,""))</f>
        <v/>
      </c>
      <c r="CM81" s="8"/>
      <c r="CN81" s="8"/>
      <c r="CO81" s="8"/>
      <c r="CP81" s="8"/>
      <c r="CQ81" s="187"/>
      <c r="CR81" s="9"/>
      <c r="CS81" s="185" t="str">
        <f t="array" ref="CS81">xlookup($Y82,data!$N$2:$N$17,xlookup("r2Ser",data!$P$1:$BR$1,data!$P$2:$BR$17,""))</f>
        <v/>
      </c>
      <c r="CT81" s="8"/>
      <c r="CU81" s="186" t="str">
        <f t="array" ref="CU81">xlookup(xlookup($Y82,data!$N$2:$N$17,xlookup("r2op",data!$P$1:$BR$1,data!$P$2:$BR$17,"")),data!$M$2:$M$17,data!$O$2:$O$17,"")</f>
        <v/>
      </c>
      <c r="CV81" s="8"/>
      <c r="CW81" s="8"/>
      <c r="CX81" s="8"/>
      <c r="CY81" s="8"/>
      <c r="CZ81" s="187"/>
      <c r="DA81" s="9"/>
      <c r="DB81" s="185" t="str">
        <f t="array" ref="DB81">xlookup($Y82,data!$N$2:$N$17,xlookup("r3Ser",data!$P$1:$BR$1,data!$P$2:$BR$17,""))</f>
        <v/>
      </c>
      <c r="DC81" s="8"/>
      <c r="DD81" s="186" t="str">
        <f t="array" ref="DD81">xlookup(xlookup($Y82,data!$N$2:$N$17,xlookup("r3op",data!$P$1:$BR$1,data!$P$2:$BR$17,"")),data!$M$2:$M$17,data!$O$2:$O$17,"")</f>
        <v/>
      </c>
      <c r="DE81" s="8"/>
      <c r="DF81" s="8"/>
      <c r="DG81" s="8"/>
      <c r="DH81" s="8"/>
      <c r="DI81" s="187"/>
      <c r="DJ81" s="9"/>
      <c r="DK81" s="185" t="str">
        <f t="array" ref="DK81">xlookup($Y82,data!$N$2:$N$17,xlookup("r4Ser",data!$P$1:$BR$1,data!$P$2:$BR$17,""))</f>
        <v/>
      </c>
      <c r="DL81" s="8"/>
      <c r="DM81" s="186" t="str">
        <f t="array" ref="DM81">xlookup(xlookup($Y82,data!$N$2:$N$17,xlookup("r4op",data!$P$1:$BR$1,data!$P$2:$BR$17,"")),data!$M$2:$M$17,data!$O$2:$O$17,"")</f>
        <v/>
      </c>
      <c r="DN81" s="8"/>
      <c r="DO81" s="8"/>
      <c r="DP81" s="8"/>
      <c r="DQ81" s="8"/>
      <c r="DR81" s="187"/>
      <c r="DS81" s="9"/>
      <c r="DT81" s="185" t="str">
        <f t="array" ref="DT81">xlookup($Y82,data!$N$2:$N$17,xlookup("r5Ser",data!$P$1:$BR$1,data!$P$2:$BR$17,""))</f>
        <v/>
      </c>
      <c r="DU81" s="8"/>
      <c r="DV81" s="186" t="str">
        <f t="array" ref="DV81">xlookup(xlookup($Y82,data!$N$2:$N$17,xlookup("r5op",data!$P$1:$BR$1,data!$P$2:$BR$17,"")),data!$M$2:$M$17,data!$O$2:$O$17,"")</f>
        <v/>
      </c>
      <c r="DW81" s="8"/>
      <c r="DX81" s="8"/>
      <c r="DY81" s="8"/>
      <c r="DZ81" s="8"/>
      <c r="EA81" s="187"/>
      <c r="EB81" s="9"/>
      <c r="EC81" s="152"/>
      <c r="ED81" s="152"/>
      <c r="EE81" s="152"/>
      <c r="EF81" s="152"/>
      <c r="EG81" s="152"/>
      <c r="EH81" s="152"/>
      <c r="EI81" s="152"/>
      <c r="EJ81" s="152"/>
      <c r="EK81" s="152"/>
      <c r="EL81" s="152"/>
      <c r="EM81" s="152"/>
      <c r="EN81" s="152"/>
      <c r="EO81" s="152"/>
      <c r="EP81" s="152"/>
      <c r="EQ81" s="152"/>
      <c r="ER81" s="152"/>
    </row>
    <row r="82" ht="5.25" customHeight="1">
      <c r="A82" s="152"/>
      <c r="B82" s="152"/>
      <c r="C82" s="152"/>
      <c r="D82" s="152"/>
      <c r="E82" s="152"/>
      <c r="F82" s="152"/>
      <c r="G82" s="152"/>
      <c r="H82" s="152"/>
      <c r="I82" s="152"/>
      <c r="J82" s="152"/>
      <c r="K82" s="152"/>
      <c r="L82" s="152"/>
      <c r="Q82" s="152"/>
      <c r="R82" s="202" t="str">
        <f t="array" ref="R82">xlookup(Y82,data!$N$2:$N$17,data!$O$2:$O$17,"")</f>
        <v/>
      </c>
      <c r="X82" s="203"/>
      <c r="Y82" s="204" t="str">
        <f t="array" ref="Y82">xlookup(Q81,data!$G$24:$G$39,data!$A$24:$A$39,"")</f>
        <v>TBD</v>
      </c>
      <c r="BB82" s="203"/>
      <c r="BC82" s="205" t="str">
        <f t="array" ref="BC82">xlookup(Y82,data!$A$24:$A$39,data!$B$24:$B$39,"")</f>
        <v>0-0</v>
      </c>
      <c r="BK82" s="203"/>
      <c r="BL82" s="206" t="str">
        <f t="array" ref="BL82">xlookup(Y82,data!$A$24:$A$39,data!$C$24:$C$39,"")</f>
        <v>0-0</v>
      </c>
      <c r="BT82" s="203"/>
      <c r="BU82" s="207" t="str">
        <f t="array" ref="BU82">xlookup(Y82,data!$A$24:$A$39,data!$D$24:$D$39,"")</f>
        <v>0-0</v>
      </c>
      <c r="CC82" s="203"/>
      <c r="CD82" s="207">
        <f t="array" ref="CD82">xlookup(Y82,data!$A$24:$A$39,data!$F$24:$F$39,"")</f>
        <v>0</v>
      </c>
      <c r="CI82" s="203"/>
      <c r="CJ82" s="10"/>
      <c r="CR82" s="11"/>
      <c r="CS82" s="10"/>
      <c r="DA82" s="11"/>
      <c r="DB82" s="10"/>
      <c r="DJ82" s="11"/>
      <c r="DK82" s="10"/>
      <c r="DS82" s="11"/>
      <c r="DT82" s="10"/>
      <c r="EB82" s="11"/>
      <c r="EC82" s="152"/>
      <c r="ED82" s="152"/>
      <c r="EE82" s="152"/>
      <c r="EF82" s="152"/>
      <c r="EG82" s="152"/>
      <c r="EH82" s="152"/>
      <c r="EI82" s="152"/>
      <c r="EJ82" s="152"/>
      <c r="EK82" s="152"/>
      <c r="EL82" s="152"/>
      <c r="EM82" s="152"/>
      <c r="EN82" s="152"/>
      <c r="EO82" s="152"/>
      <c r="EP82" s="152"/>
      <c r="EQ82" s="152"/>
      <c r="ER82" s="152"/>
    </row>
    <row r="83" ht="5.25" customHeight="1">
      <c r="A83" s="152"/>
      <c r="B83" s="152"/>
      <c r="C83" s="152"/>
      <c r="D83" s="152"/>
      <c r="E83" s="152"/>
      <c r="F83" s="152"/>
      <c r="G83" s="152"/>
      <c r="H83" s="152"/>
      <c r="I83" s="152"/>
      <c r="J83" s="152"/>
      <c r="K83" s="152"/>
      <c r="L83" s="152"/>
      <c r="Q83" s="152"/>
      <c r="R83" s="10"/>
      <c r="X83" s="203"/>
      <c r="BB83" s="203"/>
      <c r="BK83" s="203"/>
      <c r="BT83" s="203"/>
      <c r="CC83" s="203"/>
      <c r="CI83" s="203"/>
      <c r="CJ83" s="10"/>
      <c r="CR83" s="11"/>
      <c r="CS83" s="10"/>
      <c r="DA83" s="11"/>
      <c r="DB83" s="10"/>
      <c r="DJ83" s="11"/>
      <c r="DK83" s="10"/>
      <c r="DS83" s="11"/>
      <c r="DT83" s="10"/>
      <c r="EB83" s="11"/>
      <c r="EC83" s="152"/>
      <c r="ED83" s="152"/>
      <c r="EE83" s="152"/>
      <c r="EF83" s="152"/>
      <c r="EG83" s="152"/>
      <c r="EH83" s="152"/>
      <c r="EI83" s="152"/>
      <c r="EJ83" s="152"/>
      <c r="EK83" s="152"/>
      <c r="EL83" s="152"/>
      <c r="EM83" s="152"/>
      <c r="EN83" s="152"/>
      <c r="EO83" s="152"/>
      <c r="EP83" s="152"/>
      <c r="EQ83" s="152"/>
      <c r="ER83" s="152"/>
    </row>
    <row r="84" ht="5.25" customHeight="1">
      <c r="A84" s="152"/>
      <c r="B84" s="152"/>
      <c r="C84" s="152"/>
      <c r="D84" s="152"/>
      <c r="E84" s="152"/>
      <c r="F84" s="152"/>
      <c r="G84" s="152"/>
      <c r="H84" s="152"/>
      <c r="I84" s="152"/>
      <c r="J84" s="152"/>
      <c r="K84" s="152"/>
      <c r="L84" s="152"/>
      <c r="Q84" s="152"/>
      <c r="R84" s="10"/>
      <c r="X84" s="203"/>
      <c r="BB84" s="203"/>
      <c r="BK84" s="203"/>
      <c r="BT84" s="203"/>
      <c r="CC84" s="203"/>
      <c r="CI84" s="203"/>
      <c r="CJ84" s="10"/>
      <c r="CR84" s="11"/>
      <c r="CS84" s="10"/>
      <c r="DA84" s="11"/>
      <c r="DB84" s="10"/>
      <c r="DJ84" s="11"/>
      <c r="DK84" s="10"/>
      <c r="DS84" s="11"/>
      <c r="DT84" s="10"/>
      <c r="EB84" s="11"/>
      <c r="EC84" s="152"/>
      <c r="ED84" s="152"/>
      <c r="EE84" s="152"/>
      <c r="EF84" s="152"/>
      <c r="EG84" s="152"/>
      <c r="EH84" s="152"/>
      <c r="EI84" s="152"/>
      <c r="EJ84" s="152"/>
      <c r="EK84" s="152"/>
      <c r="EL84" s="152"/>
      <c r="EM84" s="152"/>
      <c r="EN84" s="152"/>
      <c r="EO84" s="152"/>
      <c r="EP84" s="152"/>
      <c r="EQ84" s="152"/>
      <c r="ER84" s="152"/>
    </row>
    <row r="85" ht="5.25" customHeight="1">
      <c r="A85" s="152"/>
      <c r="B85" s="152"/>
      <c r="C85" s="152"/>
      <c r="D85" s="152"/>
      <c r="E85" s="152"/>
      <c r="F85" s="152"/>
      <c r="G85" s="152"/>
      <c r="H85" s="152"/>
      <c r="I85" s="152"/>
      <c r="J85" s="152"/>
      <c r="K85" s="152"/>
      <c r="L85" s="152"/>
      <c r="Q85" s="152"/>
      <c r="R85" s="10"/>
      <c r="X85" s="203"/>
      <c r="BB85" s="203"/>
      <c r="BK85" s="203"/>
      <c r="BT85" s="203"/>
      <c r="CC85" s="203"/>
      <c r="CI85" s="203"/>
      <c r="CJ85" s="10"/>
      <c r="CR85" s="11"/>
      <c r="CS85" s="10"/>
      <c r="DA85" s="11"/>
      <c r="DB85" s="10"/>
      <c r="DJ85" s="11"/>
      <c r="DK85" s="10"/>
      <c r="DS85" s="11"/>
      <c r="DT85" s="10"/>
      <c r="EB85" s="11"/>
      <c r="EC85" s="152"/>
      <c r="ED85" s="152"/>
      <c r="EE85" s="152"/>
      <c r="EF85" s="152"/>
      <c r="EG85" s="152"/>
      <c r="EH85" s="152"/>
      <c r="EI85" s="152"/>
      <c r="EJ85" s="152"/>
      <c r="EK85" s="152"/>
      <c r="EL85" s="152"/>
      <c r="EM85" s="152"/>
      <c r="EN85" s="152"/>
      <c r="EO85" s="152"/>
      <c r="EP85" s="152"/>
      <c r="EQ85" s="152"/>
      <c r="ER85" s="152"/>
    </row>
    <row r="86" ht="5.25" customHeight="1">
      <c r="A86" s="152"/>
      <c r="B86" s="152"/>
      <c r="C86" s="152"/>
      <c r="D86" s="152"/>
      <c r="E86" s="152"/>
      <c r="F86" s="152"/>
      <c r="G86" s="152"/>
      <c r="H86" s="152"/>
      <c r="I86" s="152"/>
      <c r="J86" s="152"/>
      <c r="K86" s="152"/>
      <c r="L86" s="152"/>
      <c r="Q86" s="152"/>
      <c r="R86" s="10"/>
      <c r="X86" s="203"/>
      <c r="BB86" s="203"/>
      <c r="BK86" s="203"/>
      <c r="BT86" s="203"/>
      <c r="CC86" s="203"/>
      <c r="CI86" s="203"/>
      <c r="CJ86" s="195" t="str">
        <f t="array" ref="CJ86">xlookup($Y82,teams,xlookup("r1gw",header,swissdata))&amp;"-"&amp;xlookup($Y82,teams,xlookup("r1gl",header,swissdata))</f>
        <v>-</v>
      </c>
      <c r="CN86" s="196"/>
      <c r="CO86" s="196">
        <f t="array" ref="CO86">if(xlookup($Y82,teams,xlookup("r1rd",header,swissdata))&gt;0,"+"&amp;xlookup($Y82,teams,xlookup("r1rd",header,swissdata)),xlookup($Y82,teams,xlookup("r1rd",header,swissdata)))</f>
        <v>0</v>
      </c>
      <c r="CR86" s="11"/>
      <c r="CS86" s="195" t="str">
        <f t="array" ref="CS86">xlookup($Y82,teams,xlookup("r2gw",header,swissdata))&amp;"-"&amp;xlookup($Y82,teams,xlookup("r2gl",header,swissdata))</f>
        <v>-</v>
      </c>
      <c r="CW86" s="196"/>
      <c r="CX86" s="196">
        <f t="array" ref="CX86">if(xlookup($Y82,teams,xlookup("r2rd",header,swissdata))&gt;0,"+"&amp;xlookup($Y82,teams,xlookup("r2rd",header,swissdata)),xlookup($Y82,teams,xlookup("r2rd",header,swissdata)))</f>
        <v>0</v>
      </c>
      <c r="DA86" s="11"/>
      <c r="DB86" s="195" t="str">
        <f t="array" ref="DB86">xlookup($Y82,teams,xlookup("r3gw",header,swissdata))&amp;"-"&amp;xlookup($Y82,teams,xlookup("r3gl",header,swissdata))</f>
        <v>-</v>
      </c>
      <c r="DF86" s="196"/>
      <c r="DG86" s="196">
        <f t="array" ref="DG86">if(xlookup($Y82,teams,xlookup("r3rd",header,swissdata))&gt;0,"+"&amp;xlookup($Y82,teams,xlookup("r3rd",header,swissdata)),xlookup($Y82,teams,xlookup("r3rd",header,swissdata)))</f>
        <v>0</v>
      </c>
      <c r="DJ86" s="11"/>
      <c r="DK86" s="195" t="str">
        <f t="array" ref="DK86">xlookup($Y82,teams,xlookup("r4gw",header,swissdata))&amp;"-"&amp;xlookup($Y82,teams,xlookup("r4gl",header,swissdata))</f>
        <v>-</v>
      </c>
      <c r="DO86" s="196"/>
      <c r="DP86" s="196">
        <f t="array" ref="DP86">if(xlookup($Y82,teams,xlookup("r4rd",header,swissdata))&gt;0,"+"&amp;xlookup($Y82,teams,xlookup("r4rd",header,swissdata)),xlookup($Y82,teams,xlookup("r4rd",header,swissdata)))</f>
        <v>0</v>
      </c>
      <c r="DS86" s="11"/>
      <c r="DT86" s="195" t="str">
        <f t="array" ref="DT86">xlookup($Y82,teams,xlookup("r5gw",header,swissdata))&amp;"-"&amp;xlookup($Y82,teams,xlookup("r5gl",header,swissdata))</f>
        <v>-</v>
      </c>
      <c r="DX86" s="196"/>
      <c r="DY86" s="196">
        <f t="array" ref="DY86">if(xlookup($Y82,teams,xlookup("r5rd",header,swissdata))&gt;0,"+"&amp;xlookup($Y82,teams,xlookup("r5rd",header,swissdata)),xlookup($Y82,teams,xlookup("r5rd",header,swissdata)))</f>
        <v>0</v>
      </c>
      <c r="EB86" s="11"/>
      <c r="EC86" s="152"/>
      <c r="ED86" s="152"/>
      <c r="EE86" s="152"/>
      <c r="EF86" s="152"/>
      <c r="EG86" s="152"/>
      <c r="EH86" s="152"/>
      <c r="EI86" s="152"/>
      <c r="EJ86" s="152"/>
      <c r="EK86" s="152"/>
      <c r="EL86" s="152"/>
      <c r="EM86" s="152"/>
      <c r="EN86" s="152"/>
      <c r="EO86" s="152"/>
      <c r="EP86" s="152"/>
      <c r="EQ86" s="152"/>
      <c r="ER86" s="152"/>
    </row>
    <row r="87" ht="5.25" customHeight="1">
      <c r="A87" s="152"/>
      <c r="B87" s="152"/>
      <c r="C87" s="152"/>
      <c r="D87" s="152"/>
      <c r="E87" s="152"/>
      <c r="F87" s="152"/>
      <c r="G87" s="152"/>
      <c r="H87" s="152"/>
      <c r="I87" s="152"/>
      <c r="J87" s="152"/>
      <c r="K87" s="152"/>
      <c r="L87" s="152"/>
      <c r="Q87" s="152"/>
      <c r="R87" s="10"/>
      <c r="X87" s="203"/>
      <c r="BB87" s="203"/>
      <c r="BK87" s="203"/>
      <c r="BT87" s="203"/>
      <c r="CC87" s="203"/>
      <c r="CI87" s="203"/>
      <c r="CJ87" s="10"/>
      <c r="CR87" s="11"/>
      <c r="CS87" s="10"/>
      <c r="DA87" s="11"/>
      <c r="DB87" s="10"/>
      <c r="DJ87" s="11"/>
      <c r="DK87" s="10"/>
      <c r="DS87" s="11"/>
      <c r="DT87" s="10"/>
      <c r="EB87" s="11"/>
      <c r="EC87" s="152"/>
      <c r="ED87" s="152"/>
      <c r="EE87" s="152"/>
      <c r="EF87" s="152"/>
      <c r="EG87" s="152"/>
      <c r="EH87" s="152"/>
      <c r="EI87" s="152"/>
      <c r="EJ87" s="152"/>
      <c r="EK87" s="152"/>
      <c r="EL87" s="152"/>
      <c r="EM87" s="152"/>
      <c r="EN87" s="152"/>
      <c r="EO87" s="152"/>
      <c r="EP87" s="152"/>
      <c r="EQ87" s="152"/>
      <c r="ER87" s="152"/>
    </row>
    <row r="88" ht="5.25" customHeight="1">
      <c r="A88" s="152"/>
      <c r="B88" s="152"/>
      <c r="C88" s="152"/>
      <c r="D88" s="152"/>
      <c r="E88" s="152"/>
      <c r="F88" s="152"/>
      <c r="G88" s="152"/>
      <c r="H88" s="152"/>
      <c r="I88" s="152"/>
      <c r="J88" s="152"/>
      <c r="K88" s="152"/>
      <c r="L88" s="152"/>
      <c r="Q88" s="152"/>
      <c r="R88" s="208"/>
      <c r="S88" s="209"/>
      <c r="T88" s="209"/>
      <c r="U88" s="209"/>
      <c r="V88" s="209"/>
      <c r="W88" s="209"/>
      <c r="X88" s="209"/>
      <c r="Y88" s="209"/>
      <c r="Z88" s="209"/>
      <c r="AA88" s="209"/>
      <c r="AB88" s="209"/>
      <c r="AC88" s="209"/>
      <c r="AD88" s="209"/>
      <c r="AE88" s="209"/>
      <c r="AF88" s="209"/>
      <c r="AG88" s="209"/>
      <c r="AH88" s="209"/>
      <c r="AI88" s="209"/>
      <c r="AJ88" s="209"/>
      <c r="AK88" s="209"/>
      <c r="AL88" s="209"/>
      <c r="AM88" s="209"/>
      <c r="AN88" s="209"/>
      <c r="AO88" s="209"/>
      <c r="AP88" s="209"/>
      <c r="AQ88" s="209"/>
      <c r="AR88" s="209"/>
      <c r="AS88" s="209"/>
      <c r="AT88" s="209"/>
      <c r="AU88" s="209"/>
      <c r="AV88" s="209"/>
      <c r="AW88" s="209"/>
      <c r="AX88" s="209"/>
      <c r="AY88" s="209"/>
      <c r="AZ88" s="209"/>
      <c r="BA88" s="209"/>
      <c r="BB88" s="209"/>
      <c r="BC88" s="209"/>
      <c r="BD88" s="209"/>
      <c r="BE88" s="209"/>
      <c r="BF88" s="209"/>
      <c r="BG88" s="209"/>
      <c r="BH88" s="209"/>
      <c r="BI88" s="209"/>
      <c r="BJ88" s="209"/>
      <c r="BK88" s="209"/>
      <c r="BL88" s="209"/>
      <c r="BM88" s="209"/>
      <c r="BN88" s="209"/>
      <c r="BO88" s="209"/>
      <c r="BP88" s="209"/>
      <c r="BQ88" s="209"/>
      <c r="BR88" s="209"/>
      <c r="BS88" s="209"/>
      <c r="BT88" s="209"/>
      <c r="BU88" s="209"/>
      <c r="BV88" s="209"/>
      <c r="BW88" s="209"/>
      <c r="BX88" s="209"/>
      <c r="BY88" s="209"/>
      <c r="BZ88" s="209"/>
      <c r="CA88" s="209"/>
      <c r="CB88" s="209"/>
      <c r="CC88" s="209"/>
      <c r="CD88" s="209"/>
      <c r="CE88" s="209"/>
      <c r="CF88" s="209"/>
      <c r="CG88" s="209"/>
      <c r="CH88" s="209"/>
      <c r="CI88" s="209"/>
      <c r="CJ88" s="12"/>
      <c r="CK88" s="13"/>
      <c r="CL88" s="13"/>
      <c r="CM88" s="13"/>
      <c r="CN88" s="13"/>
      <c r="CO88" s="13"/>
      <c r="CP88" s="13"/>
      <c r="CQ88" s="13"/>
      <c r="CR88" s="14"/>
      <c r="CS88" s="12"/>
      <c r="CT88" s="13"/>
      <c r="CU88" s="13"/>
      <c r="CV88" s="13"/>
      <c r="CW88" s="13"/>
      <c r="CX88" s="13"/>
      <c r="CY88" s="13"/>
      <c r="CZ88" s="13"/>
      <c r="DA88" s="14"/>
      <c r="DB88" s="12"/>
      <c r="DC88" s="13"/>
      <c r="DD88" s="13"/>
      <c r="DE88" s="13"/>
      <c r="DF88" s="13"/>
      <c r="DG88" s="13"/>
      <c r="DH88" s="13"/>
      <c r="DI88" s="13"/>
      <c r="DJ88" s="14"/>
      <c r="DK88" s="12"/>
      <c r="DL88" s="13"/>
      <c r="DM88" s="13"/>
      <c r="DN88" s="13"/>
      <c r="DO88" s="13"/>
      <c r="DP88" s="13"/>
      <c r="DQ88" s="13"/>
      <c r="DR88" s="13"/>
      <c r="DS88" s="14"/>
      <c r="DT88" s="12"/>
      <c r="DU88" s="13"/>
      <c r="DV88" s="13"/>
      <c r="DW88" s="13"/>
      <c r="DX88" s="13"/>
      <c r="DY88" s="13"/>
      <c r="DZ88" s="13"/>
      <c r="EA88" s="13"/>
      <c r="EB88" s="14"/>
      <c r="EC88" s="152"/>
      <c r="ED88" s="152"/>
      <c r="EE88" s="152"/>
      <c r="EF88" s="152"/>
      <c r="EG88" s="152"/>
      <c r="EH88" s="152"/>
      <c r="EI88" s="152"/>
      <c r="EJ88" s="152"/>
      <c r="EK88" s="152"/>
      <c r="EL88" s="152"/>
      <c r="EM88" s="152"/>
      <c r="EN88" s="152"/>
      <c r="EO88" s="152"/>
      <c r="EP88" s="152"/>
      <c r="EQ88" s="152"/>
      <c r="ER88" s="152"/>
    </row>
    <row r="89" ht="5.25" customHeight="1">
      <c r="A89" s="152"/>
      <c r="B89" s="152"/>
      <c r="C89" s="152"/>
      <c r="D89" s="152"/>
      <c r="E89" s="152"/>
      <c r="F89" s="152"/>
      <c r="G89" s="152"/>
      <c r="H89" s="152"/>
      <c r="I89" s="152"/>
      <c r="J89" s="152"/>
      <c r="K89" s="152"/>
      <c r="L89" s="152"/>
      <c r="M89" s="177" t="str">
        <f>Q89&amp;"."</f>
        <v>11.</v>
      </c>
      <c r="Q89" s="181">
        <v>11.0</v>
      </c>
      <c r="R89" s="200"/>
      <c r="S89" s="201"/>
      <c r="T89" s="201"/>
      <c r="U89" s="201"/>
      <c r="V89" s="201"/>
      <c r="W89" s="201"/>
      <c r="X89" s="201"/>
      <c r="Y89" s="201"/>
      <c r="Z89" s="201"/>
      <c r="AA89" s="201"/>
      <c r="AB89" s="201"/>
      <c r="AC89" s="201"/>
      <c r="AD89" s="201"/>
      <c r="AE89" s="201"/>
      <c r="AF89" s="201"/>
      <c r="AG89" s="201"/>
      <c r="AH89" s="201"/>
      <c r="AI89" s="201"/>
      <c r="AJ89" s="201"/>
      <c r="AK89" s="201"/>
      <c r="AL89" s="201"/>
      <c r="AM89" s="201"/>
      <c r="AN89" s="201"/>
      <c r="AO89" s="201"/>
      <c r="AP89" s="201"/>
      <c r="AQ89" s="201"/>
      <c r="AR89" s="201"/>
      <c r="AS89" s="201"/>
      <c r="AT89" s="201"/>
      <c r="AU89" s="201"/>
      <c r="AV89" s="201"/>
      <c r="AW89" s="201"/>
      <c r="AX89" s="201"/>
      <c r="AY89" s="201"/>
      <c r="AZ89" s="201"/>
      <c r="BA89" s="201"/>
      <c r="BB89" s="201"/>
      <c r="BC89" s="201"/>
      <c r="BD89" s="201"/>
      <c r="BE89" s="201"/>
      <c r="BF89" s="201"/>
      <c r="BG89" s="201"/>
      <c r="BH89" s="201"/>
      <c r="BI89" s="201"/>
      <c r="BJ89" s="201"/>
      <c r="BK89" s="201"/>
      <c r="BL89" s="201"/>
      <c r="BM89" s="201"/>
      <c r="BN89" s="201"/>
      <c r="BO89" s="201"/>
      <c r="BP89" s="201"/>
      <c r="BQ89" s="201"/>
      <c r="BR89" s="201"/>
      <c r="BS89" s="201"/>
      <c r="BT89" s="201"/>
      <c r="BU89" s="201"/>
      <c r="BV89" s="201"/>
      <c r="BW89" s="201"/>
      <c r="BX89" s="201"/>
      <c r="BY89" s="201"/>
      <c r="BZ89" s="201"/>
      <c r="CA89" s="201"/>
      <c r="CB89" s="201"/>
      <c r="CC89" s="201"/>
      <c r="CD89" s="201"/>
      <c r="CE89" s="201"/>
      <c r="CF89" s="201"/>
      <c r="CG89" s="201"/>
      <c r="CH89" s="201"/>
      <c r="CI89" s="201"/>
      <c r="CJ89" s="185" t="str">
        <f t="array" ref="CJ89">xlookup($Y90,data!$N$2:$N$17,xlookup("r1Ser",data!$P$1:$BR$1,data!$P$2:$BR$17,""))</f>
        <v/>
      </c>
      <c r="CK89" s="8"/>
      <c r="CL89" s="186" t="str">
        <f t="array" ref="CL89">if(Y90="TBD","",xlookup(xlookup($Y90,data!$N$2:$N$17,xlookup("r1op",data!$P$1:$BR$1,data!$P$2:$BR$17,"")),data!$M$2:$M$17,data!$O$2:$O$17,""))</f>
        <v/>
      </c>
      <c r="CM89" s="8"/>
      <c r="CN89" s="8"/>
      <c r="CO89" s="8"/>
      <c r="CP89" s="8"/>
      <c r="CQ89" s="187"/>
      <c r="CR89" s="9"/>
      <c r="CS89" s="185" t="str">
        <f t="array" ref="CS89">xlookup($Y90,data!$N$2:$N$17,xlookup("r2Ser",data!$P$1:$BR$1,data!$P$2:$BR$17,""))</f>
        <v/>
      </c>
      <c r="CT89" s="8"/>
      <c r="CU89" s="186" t="str">
        <f t="array" ref="CU89">xlookup(xlookup($Y90,data!$N$2:$N$17,xlookup("r2op",data!$P$1:$BR$1,data!$P$2:$BR$17,"")),data!$M$2:$M$17,data!$O$2:$O$17,"")</f>
        <v/>
      </c>
      <c r="CV89" s="8"/>
      <c r="CW89" s="8"/>
      <c r="CX89" s="8"/>
      <c r="CY89" s="8"/>
      <c r="CZ89" s="187"/>
      <c r="DA89" s="9"/>
      <c r="DB89" s="185" t="str">
        <f t="array" ref="DB89">xlookup($Y90,data!$N$2:$N$17,xlookup("r3Ser",data!$P$1:$BR$1,data!$P$2:$BR$17,""))</f>
        <v/>
      </c>
      <c r="DC89" s="8"/>
      <c r="DD89" s="186" t="str">
        <f t="array" ref="DD89">xlookup(xlookup($Y90,data!$N$2:$N$17,xlookup("r3op",data!$P$1:$BR$1,data!$P$2:$BR$17,"")),data!$M$2:$M$17,data!$O$2:$O$17,"")</f>
        <v/>
      </c>
      <c r="DE89" s="8"/>
      <c r="DF89" s="8"/>
      <c r="DG89" s="8"/>
      <c r="DH89" s="8"/>
      <c r="DI89" s="187"/>
      <c r="DJ89" s="9"/>
      <c r="DK89" s="185" t="str">
        <f t="array" ref="DK89">xlookup($Y90,data!$N$2:$N$17,xlookup("r4Ser",data!$P$1:$BR$1,data!$P$2:$BR$17,""))</f>
        <v/>
      </c>
      <c r="DL89" s="8"/>
      <c r="DM89" s="186" t="str">
        <f t="array" ref="DM89">xlookup(xlookup($Y90,data!$N$2:$N$17,xlookup("r4op",data!$P$1:$BR$1,data!$P$2:$BR$17,"")),data!$M$2:$M$17,data!$O$2:$O$17,"")</f>
        <v/>
      </c>
      <c r="DN89" s="8"/>
      <c r="DO89" s="8"/>
      <c r="DP89" s="8"/>
      <c r="DQ89" s="8"/>
      <c r="DR89" s="187"/>
      <c r="DS89" s="9"/>
      <c r="DT89" s="185" t="str">
        <f t="array" ref="DT89">xlookup($Y90,data!$N$2:$N$17,xlookup("r5Ser",data!$P$1:$BR$1,data!$P$2:$BR$17,""))</f>
        <v/>
      </c>
      <c r="DU89" s="8"/>
      <c r="DV89" s="186" t="str">
        <f t="array" ref="DV89">xlookup(xlookup($Y90,data!$N$2:$N$17,xlookup("r5op",data!$P$1:$BR$1,data!$P$2:$BR$17,"")),data!$M$2:$M$17,data!$O$2:$O$17,"")</f>
        <v/>
      </c>
      <c r="DW89" s="8"/>
      <c r="DX89" s="8"/>
      <c r="DY89" s="8"/>
      <c r="DZ89" s="8"/>
      <c r="EA89" s="187"/>
      <c r="EB89" s="9"/>
      <c r="EC89" s="152"/>
      <c r="ED89" s="152"/>
      <c r="EE89" s="152"/>
      <c r="EF89" s="152"/>
      <c r="EG89" s="152"/>
      <c r="EH89" s="152"/>
      <c r="EI89" s="152"/>
      <c r="EJ89" s="152"/>
      <c r="EK89" s="152"/>
      <c r="EL89" s="152"/>
      <c r="EM89" s="152"/>
      <c r="EN89" s="152"/>
      <c r="EO89" s="152"/>
      <c r="EP89" s="152"/>
      <c r="EQ89" s="152"/>
      <c r="ER89" s="152"/>
    </row>
    <row r="90" ht="5.25" customHeight="1">
      <c r="A90" s="152"/>
      <c r="B90" s="152"/>
      <c r="C90" s="152"/>
      <c r="D90" s="152"/>
      <c r="E90" s="152"/>
      <c r="F90" s="152"/>
      <c r="G90" s="152"/>
      <c r="H90" s="152"/>
      <c r="I90" s="152"/>
      <c r="J90" s="152"/>
      <c r="K90" s="152"/>
      <c r="L90" s="152"/>
      <c r="Q90" s="152"/>
      <c r="R90" s="202" t="str">
        <f t="array" ref="R90">xlookup(Y90,data!$N$2:$N$17,data!$O$2:$O$17,"")</f>
        <v/>
      </c>
      <c r="X90" s="203"/>
      <c r="Y90" s="204" t="str">
        <f t="array" ref="Y90">xlookup(Q89,data!$G$24:$G$39,data!$A$24:$A$39,"")</f>
        <v>TBD</v>
      </c>
      <c r="BB90" s="203"/>
      <c r="BC90" s="205" t="str">
        <f t="array" ref="BC90">xlookup(Y90,data!$A$24:$A$39,data!$B$24:$B$39,"")</f>
        <v>0-0</v>
      </c>
      <c r="BK90" s="203"/>
      <c r="BL90" s="206" t="str">
        <f t="array" ref="BL90">xlookup(Y90,data!$A$24:$A$39,data!$C$24:$C$39,"")</f>
        <v>0-0</v>
      </c>
      <c r="BT90" s="203"/>
      <c r="BU90" s="207" t="str">
        <f t="array" ref="BU90">xlookup(Y90,data!$A$24:$A$39,data!$D$24:$D$39,"")</f>
        <v>0-0</v>
      </c>
      <c r="CC90" s="203"/>
      <c r="CD90" s="207">
        <f t="array" ref="CD90">xlookup(Y90,data!$A$24:$A$39,data!$F$24:$F$39,"")</f>
        <v>0</v>
      </c>
      <c r="CI90" s="203"/>
      <c r="CJ90" s="10"/>
      <c r="CR90" s="11"/>
      <c r="CS90" s="10"/>
      <c r="DA90" s="11"/>
      <c r="DB90" s="10"/>
      <c r="DJ90" s="11"/>
      <c r="DK90" s="10"/>
      <c r="DS90" s="11"/>
      <c r="DT90" s="10"/>
      <c r="EB90" s="11"/>
      <c r="EC90" s="152"/>
      <c r="ED90" s="152"/>
      <c r="EE90" s="152"/>
      <c r="EF90" s="152"/>
      <c r="EG90" s="152"/>
      <c r="EH90" s="152"/>
      <c r="EI90" s="152"/>
      <c r="EJ90" s="152"/>
      <c r="EK90" s="152"/>
      <c r="EL90" s="152"/>
      <c r="EM90" s="152"/>
      <c r="EN90" s="152"/>
      <c r="EO90" s="152"/>
      <c r="EP90" s="152"/>
      <c r="EQ90" s="152"/>
      <c r="ER90" s="152"/>
    </row>
    <row r="91" ht="5.25" customHeight="1">
      <c r="A91" s="152"/>
      <c r="B91" s="152"/>
      <c r="C91" s="152"/>
      <c r="D91" s="152"/>
      <c r="E91" s="152"/>
      <c r="F91" s="152"/>
      <c r="G91" s="152"/>
      <c r="H91" s="152"/>
      <c r="I91" s="152"/>
      <c r="J91" s="152"/>
      <c r="K91" s="152"/>
      <c r="L91" s="152"/>
      <c r="Q91" s="152"/>
      <c r="R91" s="10"/>
      <c r="X91" s="203"/>
      <c r="BB91" s="203"/>
      <c r="BK91" s="203"/>
      <c r="BT91" s="203"/>
      <c r="CC91" s="203"/>
      <c r="CI91" s="203"/>
      <c r="CJ91" s="10"/>
      <c r="CR91" s="11"/>
      <c r="CS91" s="10"/>
      <c r="DA91" s="11"/>
      <c r="DB91" s="10"/>
      <c r="DJ91" s="11"/>
      <c r="DK91" s="10"/>
      <c r="DS91" s="11"/>
      <c r="DT91" s="10"/>
      <c r="EB91" s="11"/>
      <c r="EC91" s="152"/>
      <c r="ED91" s="152"/>
      <c r="EE91" s="152"/>
      <c r="EF91" s="152"/>
      <c r="EG91" s="152"/>
      <c r="EH91" s="152"/>
      <c r="EI91" s="152"/>
      <c r="EJ91" s="152"/>
      <c r="EK91" s="152"/>
      <c r="EL91" s="152"/>
      <c r="EM91" s="152"/>
      <c r="EN91" s="152"/>
      <c r="EO91" s="152"/>
      <c r="EP91" s="152"/>
      <c r="EQ91" s="152"/>
      <c r="ER91" s="152"/>
    </row>
    <row r="92" ht="5.25" customHeight="1">
      <c r="A92" s="152"/>
      <c r="B92" s="152"/>
      <c r="C92" s="152"/>
      <c r="D92" s="152"/>
      <c r="E92" s="152"/>
      <c r="F92" s="152"/>
      <c r="G92" s="152"/>
      <c r="H92" s="152"/>
      <c r="I92" s="152"/>
      <c r="J92" s="152"/>
      <c r="K92" s="152"/>
      <c r="L92" s="152"/>
      <c r="Q92" s="152"/>
      <c r="R92" s="10"/>
      <c r="X92" s="203"/>
      <c r="BB92" s="203"/>
      <c r="BK92" s="203"/>
      <c r="BT92" s="203"/>
      <c r="CC92" s="203"/>
      <c r="CI92" s="203"/>
      <c r="CJ92" s="10"/>
      <c r="CR92" s="11"/>
      <c r="CS92" s="10"/>
      <c r="DA92" s="11"/>
      <c r="DB92" s="10"/>
      <c r="DJ92" s="11"/>
      <c r="DK92" s="10"/>
      <c r="DS92" s="11"/>
      <c r="DT92" s="10"/>
      <c r="EB92" s="11"/>
      <c r="EC92" s="152"/>
      <c r="ED92" s="152"/>
      <c r="EE92" s="152"/>
      <c r="EF92" s="152"/>
      <c r="EG92" s="152"/>
      <c r="EH92" s="152"/>
      <c r="EI92" s="152"/>
      <c r="EJ92" s="152"/>
      <c r="EK92" s="152"/>
      <c r="EL92" s="152"/>
      <c r="EM92" s="152"/>
      <c r="EN92" s="152"/>
      <c r="EO92" s="152"/>
      <c r="EP92" s="152"/>
      <c r="EQ92" s="152"/>
      <c r="ER92" s="152"/>
    </row>
    <row r="93" ht="5.25" customHeight="1">
      <c r="A93" s="152"/>
      <c r="B93" s="152"/>
      <c r="C93" s="152"/>
      <c r="D93" s="152"/>
      <c r="E93" s="152"/>
      <c r="F93" s="152"/>
      <c r="G93" s="152"/>
      <c r="H93" s="152"/>
      <c r="I93" s="152"/>
      <c r="J93" s="152"/>
      <c r="K93" s="152"/>
      <c r="L93" s="152"/>
      <c r="Q93" s="152"/>
      <c r="R93" s="10"/>
      <c r="X93" s="203"/>
      <c r="BB93" s="203"/>
      <c r="BK93" s="203"/>
      <c r="BT93" s="203"/>
      <c r="CC93" s="203"/>
      <c r="CI93" s="203"/>
      <c r="CJ93" s="10"/>
      <c r="CR93" s="11"/>
      <c r="CS93" s="10"/>
      <c r="DA93" s="11"/>
      <c r="DB93" s="10"/>
      <c r="DJ93" s="11"/>
      <c r="DK93" s="10"/>
      <c r="DS93" s="11"/>
      <c r="DT93" s="10"/>
      <c r="EB93" s="11"/>
      <c r="EC93" s="152"/>
      <c r="ED93" s="152"/>
      <c r="EE93" s="152"/>
      <c r="EF93" s="152"/>
      <c r="EG93" s="152"/>
      <c r="EH93" s="152"/>
      <c r="EI93" s="152"/>
      <c r="EJ93" s="152"/>
      <c r="EK93" s="152"/>
      <c r="EL93" s="152"/>
      <c r="EM93" s="152"/>
      <c r="EN93" s="152"/>
      <c r="EO93" s="152"/>
      <c r="EP93" s="152"/>
      <c r="EQ93" s="152"/>
      <c r="ER93" s="152"/>
    </row>
    <row r="94" ht="5.25" customHeight="1">
      <c r="A94" s="152"/>
      <c r="B94" s="152"/>
      <c r="C94" s="152"/>
      <c r="D94" s="152"/>
      <c r="E94" s="152"/>
      <c r="F94" s="152"/>
      <c r="G94" s="152"/>
      <c r="H94" s="152"/>
      <c r="I94" s="152"/>
      <c r="J94" s="152"/>
      <c r="K94" s="152"/>
      <c r="L94" s="152"/>
      <c r="Q94" s="152"/>
      <c r="R94" s="10"/>
      <c r="X94" s="203"/>
      <c r="BB94" s="203"/>
      <c r="BK94" s="203"/>
      <c r="BT94" s="203"/>
      <c r="CC94" s="203"/>
      <c r="CI94" s="203"/>
      <c r="CJ94" s="195" t="str">
        <f t="array" ref="CJ94">xlookup($Y90,teams,xlookup("r1gw",header,swissdata))&amp;"-"&amp;xlookup($Y90,teams,xlookup("r1gl",header,swissdata))</f>
        <v>-</v>
      </c>
      <c r="CN94" s="196"/>
      <c r="CO94" s="196">
        <f t="array" ref="CO94">if(xlookup($Y90,teams,xlookup("r1rd",header,swissdata))&gt;0,"+"&amp;xlookup($Y90,teams,xlookup("r1rd",header,swissdata)),xlookup($Y90,teams,xlookup("r1rd",header,swissdata)))</f>
        <v>0</v>
      </c>
      <c r="CR94" s="11"/>
      <c r="CS94" s="195" t="str">
        <f t="array" ref="CS94">xlookup($Y90,teams,xlookup("r2gw",header,swissdata))&amp;"-"&amp;xlookup($Y90,teams,xlookup("r2gl",header,swissdata))</f>
        <v>-</v>
      </c>
      <c r="CW94" s="196"/>
      <c r="CX94" s="196">
        <f t="array" ref="CX94">if(xlookup($Y90,teams,xlookup("r2rd",header,swissdata))&gt;0,"+"&amp;xlookup($Y90,teams,xlookup("r2rd",header,swissdata)),xlookup($Y90,teams,xlookup("r2rd",header,swissdata)))</f>
        <v>0</v>
      </c>
      <c r="DA94" s="11"/>
      <c r="DB94" s="195" t="str">
        <f t="array" ref="DB94">xlookup($Y90,teams,xlookup("r3gw",header,swissdata))&amp;"-"&amp;xlookup($Y90,teams,xlookup("r3gl",header,swissdata))</f>
        <v>-</v>
      </c>
      <c r="DF94" s="196"/>
      <c r="DG94" s="196">
        <f t="array" ref="DG94">if(xlookup($Y90,teams,xlookup("r3rd",header,swissdata))&gt;0,"+"&amp;xlookup($Y90,teams,xlookup("r3rd",header,swissdata)),xlookup($Y90,teams,xlookup("r3rd",header,swissdata)))</f>
        <v>0</v>
      </c>
      <c r="DJ94" s="11"/>
      <c r="DK94" s="195" t="str">
        <f t="array" ref="DK94">xlookup($Y90,teams,xlookup("r4gw",header,swissdata))&amp;"-"&amp;xlookup($Y90,teams,xlookup("r4gl",header,swissdata))</f>
        <v>-</v>
      </c>
      <c r="DO94" s="196"/>
      <c r="DP94" s="196">
        <f t="array" ref="DP94">if(xlookup($Y90,teams,xlookup("r4rd",header,swissdata))&gt;0,"+"&amp;xlookup($Y90,teams,xlookup("r4rd",header,swissdata)),xlookup($Y90,teams,xlookup("r4rd",header,swissdata)))</f>
        <v>0</v>
      </c>
      <c r="DS94" s="11"/>
      <c r="DT94" s="195" t="str">
        <f t="array" ref="DT94">xlookup($Y90,teams,xlookup("r5gw",header,swissdata))&amp;"-"&amp;xlookup($Y90,teams,xlookup("r5gl",header,swissdata))</f>
        <v>-</v>
      </c>
      <c r="DX94" s="196"/>
      <c r="DY94" s="196">
        <f t="array" ref="DY94">if(xlookup($Y90,teams,xlookup("r5rd",header,swissdata))&gt;0,"+"&amp;xlookup($Y90,teams,xlookup("r5rd",header,swissdata)),xlookup($Y90,teams,xlookup("r5rd",header,swissdata)))</f>
        <v>0</v>
      </c>
      <c r="EB94" s="11"/>
      <c r="EC94" s="152"/>
      <c r="ED94" s="152"/>
      <c r="EE94" s="152"/>
      <c r="EF94" s="152"/>
      <c r="EG94" s="152"/>
      <c r="EH94" s="152"/>
      <c r="EI94" s="152"/>
      <c r="EJ94" s="152"/>
      <c r="EK94" s="152"/>
      <c r="EL94" s="152"/>
      <c r="EM94" s="152"/>
      <c r="EN94" s="152"/>
      <c r="EO94" s="152"/>
      <c r="EP94" s="152"/>
      <c r="EQ94" s="152"/>
      <c r="ER94" s="152"/>
    </row>
    <row r="95" ht="5.25" customHeight="1">
      <c r="A95" s="152"/>
      <c r="B95" s="152"/>
      <c r="C95" s="152"/>
      <c r="D95" s="152"/>
      <c r="E95" s="152"/>
      <c r="F95" s="152"/>
      <c r="G95" s="152"/>
      <c r="H95" s="152"/>
      <c r="I95" s="152"/>
      <c r="J95" s="152"/>
      <c r="K95" s="152"/>
      <c r="L95" s="152"/>
      <c r="Q95" s="152"/>
      <c r="R95" s="10"/>
      <c r="X95" s="203"/>
      <c r="BB95" s="203"/>
      <c r="BK95" s="203"/>
      <c r="BT95" s="203"/>
      <c r="CC95" s="203"/>
      <c r="CI95" s="203"/>
      <c r="CJ95" s="10"/>
      <c r="CR95" s="11"/>
      <c r="CS95" s="10"/>
      <c r="DA95" s="11"/>
      <c r="DB95" s="10"/>
      <c r="DJ95" s="11"/>
      <c r="DK95" s="10"/>
      <c r="DS95" s="11"/>
      <c r="DT95" s="10"/>
      <c r="EB95" s="11"/>
      <c r="EC95" s="152"/>
      <c r="ED95" s="152"/>
      <c r="EE95" s="152"/>
      <c r="EF95" s="152"/>
      <c r="EG95" s="152"/>
      <c r="EH95" s="152"/>
      <c r="EI95" s="152"/>
      <c r="EJ95" s="152"/>
      <c r="EK95" s="152"/>
      <c r="EL95" s="152"/>
      <c r="EM95" s="152"/>
      <c r="EN95" s="152"/>
      <c r="EO95" s="152"/>
      <c r="EP95" s="152"/>
      <c r="EQ95" s="152"/>
      <c r="ER95" s="152"/>
    </row>
    <row r="96" ht="5.25" customHeight="1">
      <c r="A96" s="152"/>
      <c r="B96" s="152"/>
      <c r="C96" s="152"/>
      <c r="D96" s="152"/>
      <c r="E96" s="152"/>
      <c r="F96" s="152"/>
      <c r="G96" s="152"/>
      <c r="H96" s="152"/>
      <c r="I96" s="152"/>
      <c r="J96" s="152"/>
      <c r="K96" s="152"/>
      <c r="L96" s="152"/>
      <c r="Q96" s="152"/>
      <c r="R96" s="208"/>
      <c r="S96" s="209"/>
      <c r="T96" s="209"/>
      <c r="U96" s="209"/>
      <c r="V96" s="209"/>
      <c r="W96" s="209"/>
      <c r="X96" s="209"/>
      <c r="Y96" s="209"/>
      <c r="Z96" s="209"/>
      <c r="AA96" s="209"/>
      <c r="AB96" s="209"/>
      <c r="AC96" s="209"/>
      <c r="AD96" s="209"/>
      <c r="AE96" s="209"/>
      <c r="AF96" s="209"/>
      <c r="AG96" s="209"/>
      <c r="AH96" s="209"/>
      <c r="AI96" s="209"/>
      <c r="AJ96" s="209"/>
      <c r="AK96" s="209"/>
      <c r="AL96" s="209"/>
      <c r="AM96" s="209"/>
      <c r="AN96" s="209"/>
      <c r="AO96" s="209"/>
      <c r="AP96" s="209"/>
      <c r="AQ96" s="209"/>
      <c r="AR96" s="209"/>
      <c r="AS96" s="209"/>
      <c r="AT96" s="209"/>
      <c r="AU96" s="209"/>
      <c r="AV96" s="209"/>
      <c r="AW96" s="209"/>
      <c r="AX96" s="209"/>
      <c r="AY96" s="209"/>
      <c r="AZ96" s="209"/>
      <c r="BA96" s="209"/>
      <c r="BB96" s="209"/>
      <c r="BC96" s="209"/>
      <c r="BD96" s="209"/>
      <c r="BE96" s="209"/>
      <c r="BF96" s="209"/>
      <c r="BG96" s="209"/>
      <c r="BH96" s="209"/>
      <c r="BI96" s="209"/>
      <c r="BJ96" s="209"/>
      <c r="BK96" s="209"/>
      <c r="BL96" s="209"/>
      <c r="BM96" s="209"/>
      <c r="BN96" s="209"/>
      <c r="BO96" s="209"/>
      <c r="BP96" s="209"/>
      <c r="BQ96" s="209"/>
      <c r="BR96" s="209"/>
      <c r="BS96" s="209"/>
      <c r="BT96" s="209"/>
      <c r="BU96" s="209"/>
      <c r="BV96" s="209"/>
      <c r="BW96" s="209"/>
      <c r="BX96" s="209"/>
      <c r="BY96" s="209"/>
      <c r="BZ96" s="209"/>
      <c r="CA96" s="209"/>
      <c r="CB96" s="209"/>
      <c r="CC96" s="209"/>
      <c r="CD96" s="209"/>
      <c r="CE96" s="209"/>
      <c r="CF96" s="209"/>
      <c r="CG96" s="209"/>
      <c r="CH96" s="209"/>
      <c r="CI96" s="209"/>
      <c r="CJ96" s="12"/>
      <c r="CK96" s="13"/>
      <c r="CL96" s="13"/>
      <c r="CM96" s="13"/>
      <c r="CN96" s="13"/>
      <c r="CO96" s="13"/>
      <c r="CP96" s="13"/>
      <c r="CQ96" s="13"/>
      <c r="CR96" s="14"/>
      <c r="CS96" s="12"/>
      <c r="CT96" s="13"/>
      <c r="CU96" s="13"/>
      <c r="CV96" s="13"/>
      <c r="CW96" s="13"/>
      <c r="CX96" s="13"/>
      <c r="CY96" s="13"/>
      <c r="CZ96" s="13"/>
      <c r="DA96" s="14"/>
      <c r="DB96" s="12"/>
      <c r="DC96" s="13"/>
      <c r="DD96" s="13"/>
      <c r="DE96" s="13"/>
      <c r="DF96" s="13"/>
      <c r="DG96" s="13"/>
      <c r="DH96" s="13"/>
      <c r="DI96" s="13"/>
      <c r="DJ96" s="14"/>
      <c r="DK96" s="12"/>
      <c r="DL96" s="13"/>
      <c r="DM96" s="13"/>
      <c r="DN96" s="13"/>
      <c r="DO96" s="13"/>
      <c r="DP96" s="13"/>
      <c r="DQ96" s="13"/>
      <c r="DR96" s="13"/>
      <c r="DS96" s="14"/>
      <c r="DT96" s="12"/>
      <c r="DU96" s="13"/>
      <c r="DV96" s="13"/>
      <c r="DW96" s="13"/>
      <c r="DX96" s="13"/>
      <c r="DY96" s="13"/>
      <c r="DZ96" s="13"/>
      <c r="EA96" s="13"/>
      <c r="EB96" s="14"/>
      <c r="EC96" s="152"/>
      <c r="ED96" s="152"/>
      <c r="EE96" s="152"/>
      <c r="EF96" s="152"/>
      <c r="EG96" s="152"/>
      <c r="EH96" s="152"/>
      <c r="EI96" s="152"/>
      <c r="EJ96" s="152"/>
      <c r="EK96" s="152"/>
      <c r="EL96" s="152"/>
      <c r="EM96" s="152"/>
      <c r="EN96" s="152"/>
      <c r="EO96" s="152"/>
      <c r="EP96" s="152"/>
      <c r="EQ96" s="152"/>
      <c r="ER96" s="152"/>
    </row>
    <row r="97" ht="5.25" customHeight="1">
      <c r="A97" s="152"/>
      <c r="B97" s="152"/>
      <c r="C97" s="152"/>
      <c r="D97" s="152"/>
      <c r="E97" s="152"/>
      <c r="F97" s="152"/>
      <c r="G97" s="152"/>
      <c r="H97" s="152"/>
      <c r="I97" s="152"/>
      <c r="J97" s="152"/>
      <c r="K97" s="152"/>
      <c r="L97" s="152"/>
      <c r="M97" s="177" t="str">
        <f>Q97&amp;"."</f>
        <v>12.</v>
      </c>
      <c r="Q97" s="181">
        <v>12.0</v>
      </c>
      <c r="R97" s="200"/>
      <c r="S97" s="201"/>
      <c r="T97" s="201"/>
      <c r="U97" s="201"/>
      <c r="V97" s="201"/>
      <c r="W97" s="201"/>
      <c r="X97" s="201"/>
      <c r="Y97" s="201"/>
      <c r="Z97" s="201"/>
      <c r="AA97" s="201"/>
      <c r="AB97" s="201"/>
      <c r="AC97" s="201"/>
      <c r="AD97" s="201"/>
      <c r="AE97" s="201"/>
      <c r="AF97" s="201"/>
      <c r="AG97" s="201"/>
      <c r="AH97" s="201"/>
      <c r="AI97" s="201"/>
      <c r="AJ97" s="201"/>
      <c r="AK97" s="201"/>
      <c r="AL97" s="201"/>
      <c r="AM97" s="201"/>
      <c r="AN97" s="201"/>
      <c r="AO97" s="201"/>
      <c r="AP97" s="201"/>
      <c r="AQ97" s="201"/>
      <c r="AR97" s="201"/>
      <c r="AS97" s="201"/>
      <c r="AT97" s="201"/>
      <c r="AU97" s="201"/>
      <c r="AV97" s="201"/>
      <c r="AW97" s="201"/>
      <c r="AX97" s="201"/>
      <c r="AY97" s="201"/>
      <c r="AZ97" s="201"/>
      <c r="BA97" s="201"/>
      <c r="BB97" s="201"/>
      <c r="BC97" s="201"/>
      <c r="BD97" s="201"/>
      <c r="BE97" s="201"/>
      <c r="BF97" s="201"/>
      <c r="BG97" s="201"/>
      <c r="BH97" s="201"/>
      <c r="BI97" s="201"/>
      <c r="BJ97" s="201"/>
      <c r="BK97" s="201"/>
      <c r="BL97" s="201"/>
      <c r="BM97" s="201"/>
      <c r="BN97" s="201"/>
      <c r="BO97" s="201"/>
      <c r="BP97" s="201"/>
      <c r="BQ97" s="201"/>
      <c r="BR97" s="201"/>
      <c r="BS97" s="201"/>
      <c r="BT97" s="201"/>
      <c r="BU97" s="201"/>
      <c r="BV97" s="201"/>
      <c r="BW97" s="201"/>
      <c r="BX97" s="201"/>
      <c r="BY97" s="201"/>
      <c r="BZ97" s="201"/>
      <c r="CA97" s="201"/>
      <c r="CB97" s="201"/>
      <c r="CC97" s="201"/>
      <c r="CD97" s="201"/>
      <c r="CE97" s="201"/>
      <c r="CF97" s="201"/>
      <c r="CG97" s="201"/>
      <c r="CH97" s="201"/>
      <c r="CI97" s="201"/>
      <c r="CJ97" s="185" t="str">
        <f t="array" ref="CJ97">xlookup($Y98,data!$N$2:$N$17,xlookup("r1Ser",data!$P$1:$BR$1,data!$P$2:$BR$17,""))</f>
        <v/>
      </c>
      <c r="CK97" s="8"/>
      <c r="CL97" s="186" t="str">
        <f t="array" ref="CL97">if(Y98="TBD","",xlookup(xlookup($Y98,data!$N$2:$N$17,xlookup("r1op",data!$P$1:$BR$1,data!$P$2:$BR$17,"")),data!$M$2:$M$17,data!$O$2:$O$17,""))</f>
        <v/>
      </c>
      <c r="CM97" s="8"/>
      <c r="CN97" s="8"/>
      <c r="CO97" s="8"/>
      <c r="CP97" s="8"/>
      <c r="CQ97" s="187"/>
      <c r="CR97" s="9"/>
      <c r="CS97" s="185" t="str">
        <f t="array" ref="CS97">xlookup($Y98,data!$N$2:$N$17,xlookup("r2Ser",data!$P$1:$BR$1,data!$P$2:$BR$17,""))</f>
        <v/>
      </c>
      <c r="CT97" s="8"/>
      <c r="CU97" s="186" t="str">
        <f t="array" ref="CU97">xlookup(xlookup($Y98,data!$N$2:$N$17,xlookup("r2op",data!$P$1:$BR$1,data!$P$2:$BR$17,"")),data!$M$2:$M$17,data!$O$2:$O$17,"")</f>
        <v/>
      </c>
      <c r="CV97" s="8"/>
      <c r="CW97" s="8"/>
      <c r="CX97" s="8"/>
      <c r="CY97" s="8"/>
      <c r="CZ97" s="187"/>
      <c r="DA97" s="9"/>
      <c r="DB97" s="185" t="str">
        <f t="array" ref="DB97">xlookup($Y98,data!$N$2:$N$17,xlookup("r3Ser",data!$P$1:$BR$1,data!$P$2:$BR$17,""))</f>
        <v/>
      </c>
      <c r="DC97" s="8"/>
      <c r="DD97" s="186" t="str">
        <f t="array" ref="DD97">xlookup(xlookup($Y98,data!$N$2:$N$17,xlookup("r3op",data!$P$1:$BR$1,data!$P$2:$BR$17,"")),data!$M$2:$M$17,data!$O$2:$O$17,"")</f>
        <v/>
      </c>
      <c r="DE97" s="8"/>
      <c r="DF97" s="8"/>
      <c r="DG97" s="8"/>
      <c r="DH97" s="8"/>
      <c r="DI97" s="187"/>
      <c r="DJ97" s="9"/>
      <c r="DK97" s="185" t="str">
        <f t="array" ref="DK97">xlookup($Y98,data!$N$2:$N$17,xlookup("r4Ser",data!$P$1:$BR$1,data!$P$2:$BR$17,""))</f>
        <v/>
      </c>
      <c r="DL97" s="8"/>
      <c r="DM97" s="186" t="str">
        <f t="array" ref="DM97">xlookup(xlookup($Y98,data!$N$2:$N$17,xlookup("r4op",data!$P$1:$BR$1,data!$P$2:$BR$17,"")),data!$M$2:$M$17,data!$O$2:$O$17,"")</f>
        <v/>
      </c>
      <c r="DN97" s="8"/>
      <c r="DO97" s="8"/>
      <c r="DP97" s="8"/>
      <c r="DQ97" s="8"/>
      <c r="DR97" s="187"/>
      <c r="DS97" s="9"/>
      <c r="DT97" s="185" t="str">
        <f t="array" ref="DT97">xlookup($Y98,data!$N$2:$N$17,xlookup("r5Ser",data!$P$1:$BR$1,data!$P$2:$BR$17,""))</f>
        <v/>
      </c>
      <c r="DU97" s="8"/>
      <c r="DV97" s="186" t="str">
        <f t="array" ref="DV97">xlookup(xlookup($Y98,data!$N$2:$N$17,xlookup("r5op",data!$P$1:$BR$1,data!$P$2:$BR$17,"")),data!$M$2:$M$17,data!$O$2:$O$17,"")</f>
        <v/>
      </c>
      <c r="DW97" s="8"/>
      <c r="DX97" s="8"/>
      <c r="DY97" s="8"/>
      <c r="DZ97" s="8"/>
      <c r="EA97" s="187"/>
      <c r="EB97" s="9"/>
      <c r="EC97" s="152"/>
      <c r="ED97" s="152"/>
      <c r="EE97" s="152"/>
      <c r="EF97" s="152"/>
      <c r="EG97" s="152"/>
      <c r="EH97" s="152"/>
      <c r="EI97" s="152"/>
      <c r="EJ97" s="152"/>
      <c r="EK97" s="152"/>
      <c r="EL97" s="152"/>
      <c r="EM97" s="152"/>
      <c r="EN97" s="152"/>
      <c r="EO97" s="152"/>
      <c r="EP97" s="152"/>
      <c r="EQ97" s="152"/>
      <c r="ER97" s="152"/>
    </row>
    <row r="98" ht="5.25" customHeight="1">
      <c r="A98" s="152"/>
      <c r="B98" s="152"/>
      <c r="C98" s="152"/>
      <c r="D98" s="152"/>
      <c r="E98" s="152"/>
      <c r="F98" s="152"/>
      <c r="G98" s="152"/>
      <c r="H98" s="152"/>
      <c r="I98" s="152"/>
      <c r="J98" s="152"/>
      <c r="K98" s="152"/>
      <c r="L98" s="152"/>
      <c r="Q98" s="152"/>
      <c r="R98" s="202" t="str">
        <f t="array" ref="R98">xlookup(Y98,data!$N$2:$N$17,data!$O$2:$O$17,"")</f>
        <v/>
      </c>
      <c r="X98" s="203"/>
      <c r="Y98" s="204" t="str">
        <f t="array" ref="Y98">xlookup(Q97,data!$G$24:$G$39,data!$A$24:$A$39,"")</f>
        <v>TBD</v>
      </c>
      <c r="BB98" s="203"/>
      <c r="BC98" s="205" t="str">
        <f t="array" ref="BC98">xlookup(Y98,data!$A$24:$A$39,data!$B$24:$B$39,"")</f>
        <v>0-0</v>
      </c>
      <c r="BK98" s="203"/>
      <c r="BL98" s="206" t="str">
        <f t="array" ref="BL98">xlookup(Y98,data!$A$24:$A$39,data!$C$24:$C$39,"")</f>
        <v>0-0</v>
      </c>
      <c r="BT98" s="203"/>
      <c r="BU98" s="207" t="str">
        <f t="array" ref="BU98">xlookup(Y98,data!$A$24:$A$39,data!$D$24:$D$39,"")</f>
        <v>0-0</v>
      </c>
      <c r="CC98" s="203"/>
      <c r="CD98" s="207">
        <f t="array" ref="CD98">xlookup(Y98,data!$A$24:$A$39,data!$F$24:$F$39,"")</f>
        <v>0</v>
      </c>
      <c r="CI98" s="203"/>
      <c r="CJ98" s="10"/>
      <c r="CR98" s="11"/>
      <c r="CS98" s="10"/>
      <c r="DA98" s="11"/>
      <c r="DB98" s="10"/>
      <c r="DJ98" s="11"/>
      <c r="DK98" s="10"/>
      <c r="DS98" s="11"/>
      <c r="DT98" s="10"/>
      <c r="EB98" s="11"/>
      <c r="EC98" s="152"/>
      <c r="ED98" s="152"/>
      <c r="EE98" s="152"/>
      <c r="EF98" s="152"/>
      <c r="EG98" s="152"/>
      <c r="EH98" s="152"/>
      <c r="EI98" s="152"/>
      <c r="EJ98" s="152"/>
      <c r="EK98" s="152"/>
      <c r="EL98" s="152"/>
      <c r="EM98" s="152"/>
      <c r="EN98" s="152"/>
      <c r="EO98" s="152"/>
      <c r="EP98" s="152"/>
      <c r="EQ98" s="152"/>
      <c r="ER98" s="152"/>
    </row>
    <row r="99" ht="5.25" customHeight="1">
      <c r="A99" s="152"/>
      <c r="B99" s="152"/>
      <c r="C99" s="152"/>
      <c r="D99" s="152"/>
      <c r="E99" s="152"/>
      <c r="F99" s="152"/>
      <c r="G99" s="152"/>
      <c r="H99" s="152"/>
      <c r="I99" s="152"/>
      <c r="J99" s="152"/>
      <c r="K99" s="152"/>
      <c r="L99" s="152"/>
      <c r="Q99" s="152"/>
      <c r="R99" s="10"/>
      <c r="X99" s="203"/>
      <c r="BB99" s="203"/>
      <c r="BK99" s="203"/>
      <c r="BT99" s="203"/>
      <c r="CC99" s="203"/>
      <c r="CI99" s="203"/>
      <c r="CJ99" s="10"/>
      <c r="CR99" s="11"/>
      <c r="CS99" s="10"/>
      <c r="DA99" s="11"/>
      <c r="DB99" s="10"/>
      <c r="DJ99" s="11"/>
      <c r="DK99" s="10"/>
      <c r="DS99" s="11"/>
      <c r="DT99" s="10"/>
      <c r="EB99" s="11"/>
      <c r="EC99" s="152"/>
      <c r="ED99" s="152"/>
      <c r="EE99" s="152"/>
      <c r="EF99" s="152"/>
      <c r="EG99" s="152"/>
      <c r="EH99" s="152"/>
      <c r="EI99" s="152"/>
      <c r="EJ99" s="152"/>
      <c r="EK99" s="152"/>
      <c r="EL99" s="152"/>
      <c r="EM99" s="152"/>
      <c r="EN99" s="152"/>
      <c r="EO99" s="152"/>
      <c r="EP99" s="152"/>
      <c r="EQ99" s="152"/>
      <c r="ER99" s="152"/>
    </row>
    <row r="100" ht="5.25" customHeight="1">
      <c r="A100" s="152"/>
      <c r="B100" s="152"/>
      <c r="C100" s="152"/>
      <c r="D100" s="152"/>
      <c r="E100" s="152"/>
      <c r="F100" s="152"/>
      <c r="G100" s="152"/>
      <c r="H100" s="152"/>
      <c r="I100" s="152"/>
      <c r="J100" s="152"/>
      <c r="K100" s="152"/>
      <c r="L100" s="152"/>
      <c r="Q100" s="152"/>
      <c r="R100" s="10"/>
      <c r="X100" s="203"/>
      <c r="BB100" s="203"/>
      <c r="BK100" s="203"/>
      <c r="BT100" s="203"/>
      <c r="CC100" s="203"/>
      <c r="CI100" s="203"/>
      <c r="CJ100" s="10"/>
      <c r="CR100" s="11"/>
      <c r="CS100" s="10"/>
      <c r="DA100" s="11"/>
      <c r="DB100" s="10"/>
      <c r="DJ100" s="11"/>
      <c r="DK100" s="10"/>
      <c r="DS100" s="11"/>
      <c r="DT100" s="10"/>
      <c r="EB100" s="11"/>
      <c r="EC100" s="152"/>
      <c r="ED100" s="152"/>
      <c r="EE100" s="152"/>
      <c r="EF100" s="152"/>
      <c r="EG100" s="152"/>
      <c r="EH100" s="152"/>
      <c r="EI100" s="152"/>
      <c r="EJ100" s="152"/>
      <c r="EK100" s="152"/>
      <c r="EL100" s="152"/>
      <c r="EM100" s="152"/>
      <c r="EN100" s="152"/>
      <c r="EO100" s="152"/>
      <c r="EP100" s="152"/>
      <c r="EQ100" s="152"/>
      <c r="ER100" s="152"/>
    </row>
    <row r="101" ht="5.25" customHeight="1">
      <c r="A101" s="152"/>
      <c r="B101" s="152"/>
      <c r="C101" s="152"/>
      <c r="D101" s="152"/>
      <c r="E101" s="152"/>
      <c r="F101" s="152"/>
      <c r="G101" s="152"/>
      <c r="H101" s="152"/>
      <c r="I101" s="152"/>
      <c r="J101" s="152"/>
      <c r="K101" s="152"/>
      <c r="L101" s="152"/>
      <c r="Q101" s="152"/>
      <c r="R101" s="10"/>
      <c r="X101" s="203"/>
      <c r="BB101" s="203"/>
      <c r="BK101" s="203"/>
      <c r="BT101" s="203"/>
      <c r="CC101" s="203"/>
      <c r="CI101" s="203"/>
      <c r="CJ101" s="10"/>
      <c r="CR101" s="11"/>
      <c r="CS101" s="10"/>
      <c r="DA101" s="11"/>
      <c r="DB101" s="10"/>
      <c r="DJ101" s="11"/>
      <c r="DK101" s="10"/>
      <c r="DS101" s="11"/>
      <c r="DT101" s="10"/>
      <c r="EB101" s="11"/>
      <c r="EC101" s="152"/>
      <c r="ED101" s="152"/>
      <c r="EE101" s="152"/>
      <c r="EF101" s="152"/>
      <c r="EG101" s="152"/>
      <c r="EH101" s="152"/>
      <c r="EI101" s="152"/>
      <c r="EJ101" s="152"/>
      <c r="EK101" s="152"/>
      <c r="EL101" s="152"/>
      <c r="EM101" s="152"/>
      <c r="EN101" s="152"/>
      <c r="EO101" s="152"/>
      <c r="EP101" s="152"/>
      <c r="EQ101" s="152"/>
      <c r="ER101" s="152"/>
    </row>
    <row r="102" ht="5.25" customHeight="1">
      <c r="A102" s="152"/>
      <c r="B102" s="152"/>
      <c r="C102" s="152"/>
      <c r="D102" s="152"/>
      <c r="E102" s="152"/>
      <c r="F102" s="152"/>
      <c r="G102" s="152"/>
      <c r="H102" s="152"/>
      <c r="I102" s="152"/>
      <c r="J102" s="152"/>
      <c r="K102" s="152"/>
      <c r="L102" s="152"/>
      <c r="Q102" s="152"/>
      <c r="R102" s="10"/>
      <c r="X102" s="203"/>
      <c r="BB102" s="203"/>
      <c r="BK102" s="203"/>
      <c r="BT102" s="203"/>
      <c r="CC102" s="203"/>
      <c r="CI102" s="203"/>
      <c r="CJ102" s="195" t="str">
        <f t="array" ref="CJ102">xlookup($Y98,teams,xlookup("r1gw",header,swissdata))&amp;"-"&amp;xlookup($Y98,teams,xlookup("r1gl",header,swissdata))</f>
        <v>-</v>
      </c>
      <c r="CN102" s="196"/>
      <c r="CO102" s="196">
        <f t="array" ref="CO102">if(xlookup($Y98,teams,xlookup("r1rd",header,swissdata))&gt;0,"+"&amp;xlookup($Y98,teams,xlookup("r1rd",header,swissdata)),xlookup($Y98,teams,xlookup("r1rd",header,swissdata)))</f>
        <v>0</v>
      </c>
      <c r="CR102" s="11"/>
      <c r="CS102" s="195" t="str">
        <f t="array" ref="CS102">xlookup($Y98,teams,xlookup("r2gw",header,swissdata))&amp;"-"&amp;xlookup($Y98,teams,xlookup("r2gl",header,swissdata))</f>
        <v>-</v>
      </c>
      <c r="CW102" s="196"/>
      <c r="CX102" s="196">
        <f t="array" ref="CX102">if(xlookup($Y98,teams,xlookup("r2rd",header,swissdata))&gt;0,"+"&amp;xlookup($Y98,teams,xlookup("r2rd",header,swissdata)),xlookup($Y98,teams,xlookup("r2rd",header,swissdata)))</f>
        <v>0</v>
      </c>
      <c r="DA102" s="11"/>
      <c r="DB102" s="195" t="str">
        <f t="array" ref="DB102">xlookup($Y98,teams,xlookup("r3gw",header,swissdata))&amp;"-"&amp;xlookup($Y98,teams,xlookup("r3gl",header,swissdata))</f>
        <v>-</v>
      </c>
      <c r="DF102" s="196"/>
      <c r="DG102" s="196">
        <f t="array" ref="DG102">if(xlookup($Y98,teams,xlookup("r3rd",header,swissdata))&gt;0,"+"&amp;xlookup($Y98,teams,xlookup("r3rd",header,swissdata)),xlookup($Y98,teams,xlookup("r3rd",header,swissdata)))</f>
        <v>0</v>
      </c>
      <c r="DJ102" s="11"/>
      <c r="DK102" s="195" t="str">
        <f t="array" ref="DK102">xlookup($Y98,teams,xlookup("r4gw",header,swissdata))&amp;"-"&amp;xlookup($Y98,teams,xlookup("r4gl",header,swissdata))</f>
        <v>-</v>
      </c>
      <c r="DO102" s="196"/>
      <c r="DP102" s="196">
        <f t="array" ref="DP102">if(xlookup($Y98,teams,xlookup("r4rd",header,swissdata))&gt;0,"+"&amp;xlookup($Y98,teams,xlookup("r4rd",header,swissdata)),xlookup($Y98,teams,xlookup("r4rd",header,swissdata)))</f>
        <v>0</v>
      </c>
      <c r="DS102" s="11"/>
      <c r="DT102" s="195"/>
      <c r="DX102" s="196"/>
      <c r="DY102" s="196"/>
      <c r="EB102" s="11"/>
      <c r="EC102" s="152"/>
      <c r="ED102" s="152"/>
      <c r="EE102" s="152"/>
      <c r="EF102" s="152"/>
      <c r="EG102" s="152"/>
      <c r="EH102" s="152"/>
      <c r="EI102" s="152"/>
      <c r="EJ102" s="152"/>
      <c r="EK102" s="152"/>
      <c r="EL102" s="152"/>
      <c r="EM102" s="152"/>
      <c r="EN102" s="152"/>
      <c r="EO102" s="152"/>
      <c r="EP102" s="152"/>
      <c r="EQ102" s="152"/>
      <c r="ER102" s="152"/>
    </row>
    <row r="103" ht="5.25" customHeight="1">
      <c r="A103" s="152"/>
      <c r="B103" s="152"/>
      <c r="C103" s="152"/>
      <c r="D103" s="152"/>
      <c r="E103" s="152"/>
      <c r="F103" s="152"/>
      <c r="G103" s="152"/>
      <c r="H103" s="152"/>
      <c r="I103" s="152"/>
      <c r="J103" s="152"/>
      <c r="K103" s="152"/>
      <c r="L103" s="152"/>
      <c r="Q103" s="152"/>
      <c r="R103" s="10"/>
      <c r="X103" s="203"/>
      <c r="BB103" s="203"/>
      <c r="BK103" s="203"/>
      <c r="BT103" s="203"/>
      <c r="CC103" s="203"/>
      <c r="CI103" s="203"/>
      <c r="CJ103" s="10"/>
      <c r="CR103" s="11"/>
      <c r="CS103" s="10"/>
      <c r="DA103" s="11"/>
      <c r="DB103" s="10"/>
      <c r="DJ103" s="11"/>
      <c r="DK103" s="10"/>
      <c r="DS103" s="11"/>
      <c r="DT103" s="10"/>
      <c r="EB103" s="11"/>
      <c r="EC103" s="152"/>
      <c r="ED103" s="152"/>
      <c r="EE103" s="152"/>
      <c r="EF103" s="152"/>
      <c r="EG103" s="152"/>
      <c r="EH103" s="152"/>
      <c r="EI103" s="152"/>
      <c r="EJ103" s="152"/>
      <c r="EK103" s="152"/>
      <c r="EL103" s="152"/>
      <c r="EM103" s="152"/>
      <c r="EN103" s="152"/>
      <c r="EO103" s="152"/>
      <c r="EP103" s="152"/>
      <c r="EQ103" s="152"/>
      <c r="ER103" s="152"/>
    </row>
    <row r="104" ht="5.25" customHeight="1">
      <c r="A104" s="152"/>
      <c r="B104" s="152"/>
      <c r="C104" s="152"/>
      <c r="D104" s="152"/>
      <c r="E104" s="152"/>
      <c r="F104" s="152"/>
      <c r="G104" s="152"/>
      <c r="H104" s="152"/>
      <c r="I104" s="152"/>
      <c r="J104" s="152"/>
      <c r="K104" s="152"/>
      <c r="L104" s="152"/>
      <c r="Q104" s="152"/>
      <c r="R104" s="208"/>
      <c r="S104" s="209"/>
      <c r="T104" s="209"/>
      <c r="U104" s="209"/>
      <c r="V104" s="209"/>
      <c r="W104" s="209"/>
      <c r="X104" s="209"/>
      <c r="Y104" s="209"/>
      <c r="Z104" s="209"/>
      <c r="AA104" s="209"/>
      <c r="AB104" s="209"/>
      <c r="AC104" s="209"/>
      <c r="AD104" s="209"/>
      <c r="AE104" s="209"/>
      <c r="AF104" s="209"/>
      <c r="AG104" s="209"/>
      <c r="AH104" s="209"/>
      <c r="AI104" s="209"/>
      <c r="AJ104" s="209"/>
      <c r="AK104" s="209"/>
      <c r="AL104" s="209"/>
      <c r="AM104" s="209"/>
      <c r="AN104" s="209"/>
      <c r="AO104" s="209"/>
      <c r="AP104" s="209"/>
      <c r="AQ104" s="209"/>
      <c r="AR104" s="209"/>
      <c r="AS104" s="209"/>
      <c r="AT104" s="209"/>
      <c r="AU104" s="209"/>
      <c r="AV104" s="209"/>
      <c r="AW104" s="209"/>
      <c r="AX104" s="209"/>
      <c r="AY104" s="209"/>
      <c r="AZ104" s="209"/>
      <c r="BA104" s="209"/>
      <c r="BB104" s="209"/>
      <c r="BC104" s="209"/>
      <c r="BD104" s="209"/>
      <c r="BE104" s="209"/>
      <c r="BF104" s="209"/>
      <c r="BG104" s="209"/>
      <c r="BH104" s="209"/>
      <c r="BI104" s="209"/>
      <c r="BJ104" s="209"/>
      <c r="BK104" s="209"/>
      <c r="BL104" s="209"/>
      <c r="BM104" s="209"/>
      <c r="BN104" s="209"/>
      <c r="BO104" s="209"/>
      <c r="BP104" s="209"/>
      <c r="BQ104" s="209"/>
      <c r="BR104" s="209"/>
      <c r="BS104" s="209"/>
      <c r="BT104" s="209"/>
      <c r="BU104" s="209"/>
      <c r="BV104" s="209"/>
      <c r="BW104" s="209"/>
      <c r="BX104" s="209"/>
      <c r="BY104" s="209"/>
      <c r="BZ104" s="209"/>
      <c r="CA104" s="209"/>
      <c r="CB104" s="209"/>
      <c r="CC104" s="209"/>
      <c r="CD104" s="209"/>
      <c r="CE104" s="209"/>
      <c r="CF104" s="209"/>
      <c r="CG104" s="209"/>
      <c r="CH104" s="209"/>
      <c r="CI104" s="209"/>
      <c r="CJ104" s="12"/>
      <c r="CK104" s="13"/>
      <c r="CL104" s="13"/>
      <c r="CM104" s="13"/>
      <c r="CN104" s="13"/>
      <c r="CO104" s="13"/>
      <c r="CP104" s="13"/>
      <c r="CQ104" s="13"/>
      <c r="CR104" s="14"/>
      <c r="CS104" s="12"/>
      <c r="CT104" s="13"/>
      <c r="CU104" s="13"/>
      <c r="CV104" s="13"/>
      <c r="CW104" s="13"/>
      <c r="CX104" s="13"/>
      <c r="CY104" s="13"/>
      <c r="CZ104" s="13"/>
      <c r="DA104" s="14"/>
      <c r="DB104" s="12"/>
      <c r="DC104" s="13"/>
      <c r="DD104" s="13"/>
      <c r="DE104" s="13"/>
      <c r="DF104" s="13"/>
      <c r="DG104" s="13"/>
      <c r="DH104" s="13"/>
      <c r="DI104" s="13"/>
      <c r="DJ104" s="14"/>
      <c r="DK104" s="12"/>
      <c r="DL104" s="13"/>
      <c r="DM104" s="13"/>
      <c r="DN104" s="13"/>
      <c r="DO104" s="13"/>
      <c r="DP104" s="13"/>
      <c r="DQ104" s="13"/>
      <c r="DR104" s="13"/>
      <c r="DS104" s="14"/>
      <c r="DT104" s="12"/>
      <c r="DU104" s="13"/>
      <c r="DV104" s="13"/>
      <c r="DW104" s="13"/>
      <c r="DX104" s="13"/>
      <c r="DY104" s="13"/>
      <c r="DZ104" s="13"/>
      <c r="EA104" s="13"/>
      <c r="EB104" s="14"/>
      <c r="EC104" s="152"/>
      <c r="ED104" s="152"/>
      <c r="EE104" s="152"/>
      <c r="EF104" s="152"/>
      <c r="EG104" s="152"/>
      <c r="EH104" s="152"/>
      <c r="EI104" s="152"/>
      <c r="EJ104" s="152"/>
      <c r="EK104" s="152"/>
      <c r="EL104" s="152"/>
      <c r="EM104" s="152"/>
      <c r="EN104" s="152"/>
      <c r="EO104" s="152"/>
      <c r="EP104" s="152"/>
      <c r="EQ104" s="152"/>
      <c r="ER104" s="152"/>
    </row>
    <row r="105" ht="5.25" customHeight="1">
      <c r="A105" s="152"/>
      <c r="B105" s="152"/>
      <c r="C105" s="152"/>
      <c r="D105" s="152"/>
      <c r="E105" s="152"/>
      <c r="F105" s="152"/>
      <c r="G105" s="152"/>
      <c r="H105" s="152"/>
      <c r="I105" s="152"/>
      <c r="J105" s="152"/>
      <c r="K105" s="152"/>
      <c r="L105" s="152"/>
      <c r="M105" s="177" t="str">
        <f>Q105&amp;"."</f>
        <v>13.</v>
      </c>
      <c r="Q105" s="181">
        <v>13.0</v>
      </c>
      <c r="R105" s="200"/>
      <c r="S105" s="201"/>
      <c r="T105" s="201"/>
      <c r="U105" s="201"/>
      <c r="V105" s="201"/>
      <c r="W105" s="201"/>
      <c r="X105" s="201"/>
      <c r="Y105" s="201"/>
      <c r="Z105" s="201"/>
      <c r="AA105" s="201"/>
      <c r="AB105" s="201"/>
      <c r="AC105" s="201"/>
      <c r="AD105" s="201"/>
      <c r="AE105" s="201"/>
      <c r="AF105" s="201"/>
      <c r="AG105" s="201"/>
      <c r="AH105" s="201"/>
      <c r="AI105" s="201"/>
      <c r="AJ105" s="201"/>
      <c r="AK105" s="201"/>
      <c r="AL105" s="201"/>
      <c r="AM105" s="201"/>
      <c r="AN105" s="201"/>
      <c r="AO105" s="201"/>
      <c r="AP105" s="201"/>
      <c r="AQ105" s="201"/>
      <c r="AR105" s="201"/>
      <c r="AS105" s="201"/>
      <c r="AT105" s="201"/>
      <c r="AU105" s="201"/>
      <c r="AV105" s="201"/>
      <c r="AW105" s="201"/>
      <c r="AX105" s="201"/>
      <c r="AY105" s="201"/>
      <c r="AZ105" s="201"/>
      <c r="BA105" s="201"/>
      <c r="BB105" s="201"/>
      <c r="BC105" s="201"/>
      <c r="BD105" s="201"/>
      <c r="BE105" s="201"/>
      <c r="BF105" s="201"/>
      <c r="BG105" s="201"/>
      <c r="BH105" s="201"/>
      <c r="BI105" s="201"/>
      <c r="BJ105" s="201"/>
      <c r="BK105" s="201"/>
      <c r="BL105" s="201"/>
      <c r="BM105" s="201"/>
      <c r="BN105" s="201"/>
      <c r="BO105" s="201"/>
      <c r="BP105" s="201"/>
      <c r="BQ105" s="201"/>
      <c r="BR105" s="201"/>
      <c r="BS105" s="201"/>
      <c r="BT105" s="201"/>
      <c r="BU105" s="201"/>
      <c r="BV105" s="201"/>
      <c r="BW105" s="201"/>
      <c r="BX105" s="201"/>
      <c r="BY105" s="201"/>
      <c r="BZ105" s="201"/>
      <c r="CA105" s="201"/>
      <c r="CB105" s="201"/>
      <c r="CC105" s="201"/>
      <c r="CD105" s="201"/>
      <c r="CE105" s="201"/>
      <c r="CF105" s="201"/>
      <c r="CG105" s="201"/>
      <c r="CH105" s="201"/>
      <c r="CI105" s="201"/>
      <c r="CJ105" s="185" t="str">
        <f t="array" ref="CJ105">xlookup($Y106,data!$N$2:$N$17,xlookup("r1Ser",data!$P$1:$BR$1,data!$P$2:$BR$17,""))</f>
        <v/>
      </c>
      <c r="CK105" s="8"/>
      <c r="CL105" s="186" t="str">
        <f t="array" ref="CL105">if(Y106="TBD","",xlookup(xlookup($Y106,data!$N$2:$N$17,xlookup("r1op",data!$P$1:$BR$1,data!$P$2:$BR$17,"")),data!$M$2:$M$17,data!$O$2:$O$17,""))</f>
        <v/>
      </c>
      <c r="CM105" s="8"/>
      <c r="CN105" s="8"/>
      <c r="CO105" s="8"/>
      <c r="CP105" s="8"/>
      <c r="CQ105" s="187"/>
      <c r="CR105" s="9"/>
      <c r="CS105" s="185" t="str">
        <f t="array" ref="CS105">xlookup($Y106,data!$N$2:$N$17,xlookup("r2Ser",data!$P$1:$BR$1,data!$P$2:$BR$17,""))</f>
        <v/>
      </c>
      <c r="CT105" s="8"/>
      <c r="CU105" s="186" t="str">
        <f t="array" ref="CU105">xlookup(xlookup($Y106,data!$N$2:$N$17,xlookup("r2op",data!$P$1:$BR$1,data!$P$2:$BR$17,"")),data!$M$2:$M$17,data!$O$2:$O$17,"")</f>
        <v/>
      </c>
      <c r="CV105" s="8"/>
      <c r="CW105" s="8"/>
      <c r="CX105" s="8"/>
      <c r="CY105" s="8"/>
      <c r="CZ105" s="187"/>
      <c r="DA105" s="9"/>
      <c r="DB105" s="185" t="str">
        <f t="array" ref="DB105">xlookup($Y106,data!$N$2:$N$17,xlookup("r3Ser",data!$P$1:$BR$1,data!$P$2:$BR$17,""))</f>
        <v/>
      </c>
      <c r="DC105" s="8"/>
      <c r="DD105" s="186" t="str">
        <f t="array" ref="DD105">xlookup(xlookup($Y106,data!$N$2:$N$17,xlookup("r3op",data!$P$1:$BR$1,data!$P$2:$BR$17,"")),data!$M$2:$M$17,data!$O$2:$O$17,"")</f>
        <v/>
      </c>
      <c r="DE105" s="8"/>
      <c r="DF105" s="8"/>
      <c r="DG105" s="8"/>
      <c r="DH105" s="8"/>
      <c r="DI105" s="187"/>
      <c r="DJ105" s="9"/>
      <c r="DK105" s="185" t="str">
        <f t="array" ref="DK105">xlookup($Y106,data!$N$2:$N$17,xlookup("r4Ser",data!$P$1:$BR$1,data!$P$2:$BR$17,""))</f>
        <v/>
      </c>
      <c r="DL105" s="8"/>
      <c r="DM105" s="186" t="str">
        <f t="array" ref="DM105">xlookup(xlookup($Y106,data!$N$2:$N$17,xlookup("r4op",data!$P$1:$BR$1,data!$P$2:$BR$17,"")),data!$M$2:$M$17,data!$O$2:$O$17,"")</f>
        <v/>
      </c>
      <c r="DN105" s="8"/>
      <c r="DO105" s="8"/>
      <c r="DP105" s="8"/>
      <c r="DQ105" s="8"/>
      <c r="DR105" s="187"/>
      <c r="DS105" s="9"/>
      <c r="DT105" s="185" t="str">
        <f t="array" ref="DT105">xlookup($Y106,data!$N$2:$N$17,xlookup("r5Ser",data!$P$1:$BR$1,data!$P$2:$BR$17,""))</f>
        <v/>
      </c>
      <c r="DU105" s="8"/>
      <c r="DV105" s="186" t="str">
        <f t="array" ref="DV105">xlookup(xlookup($Y106,data!$N$2:$N$17,xlookup("r5op",data!$P$1:$BR$1,data!$P$2:$BR$17,"")),data!$M$2:$M$17,data!$O$2:$O$17,"")</f>
        <v/>
      </c>
      <c r="DW105" s="8"/>
      <c r="DX105" s="8"/>
      <c r="DY105" s="8"/>
      <c r="DZ105" s="8"/>
      <c r="EA105" s="187"/>
      <c r="EB105" s="9"/>
      <c r="EC105" s="152"/>
      <c r="ED105" s="152"/>
      <c r="EE105" s="152"/>
      <c r="EF105" s="152"/>
      <c r="EG105" s="152"/>
      <c r="EH105" s="152"/>
      <c r="EI105" s="152"/>
      <c r="EJ105" s="152"/>
      <c r="EK105" s="152"/>
      <c r="EL105" s="152"/>
      <c r="EM105" s="152"/>
      <c r="EN105" s="152"/>
      <c r="EO105" s="152"/>
      <c r="EP105" s="152"/>
      <c r="EQ105" s="152"/>
      <c r="ER105" s="152"/>
    </row>
    <row r="106" ht="5.25" customHeight="1">
      <c r="A106" s="152"/>
      <c r="B106" s="152"/>
      <c r="C106" s="152"/>
      <c r="D106" s="152"/>
      <c r="E106" s="152"/>
      <c r="F106" s="152"/>
      <c r="G106" s="152"/>
      <c r="H106" s="152"/>
      <c r="I106" s="152"/>
      <c r="J106" s="152"/>
      <c r="K106" s="152"/>
      <c r="L106" s="152"/>
      <c r="Q106" s="152"/>
      <c r="R106" s="202" t="str">
        <f t="array" ref="R106">xlookup(Y106,data!$N$2:$N$17,data!$O$2:$O$17,"")</f>
        <v/>
      </c>
      <c r="X106" s="203"/>
      <c r="Y106" s="204" t="str">
        <f t="array" ref="Y106">xlookup(Q105,data!$G$24:$G$39,data!$A$24:$A$39,"")</f>
        <v>TBD</v>
      </c>
      <c r="BB106" s="203"/>
      <c r="BC106" s="205" t="str">
        <f t="array" ref="BC106">xlookup(Y106,data!$A$24:$A$39,data!$B$24:$B$39,"")</f>
        <v>0-0</v>
      </c>
      <c r="BK106" s="203"/>
      <c r="BL106" s="206" t="str">
        <f t="array" ref="BL106">xlookup(Y106,data!$A$24:$A$39,data!$C$24:$C$39,"")</f>
        <v>0-0</v>
      </c>
      <c r="BT106" s="203"/>
      <c r="BU106" s="207" t="str">
        <f t="array" ref="BU106">xlookup(Y106,data!$A$24:$A$39,data!$D$24:$D$39,"")</f>
        <v>0-0</v>
      </c>
      <c r="CC106" s="203"/>
      <c r="CD106" s="207">
        <f t="array" ref="CD106">xlookup(Y106,data!$A$24:$A$39,data!$F$24:$F$39,"")</f>
        <v>0</v>
      </c>
      <c r="CI106" s="203"/>
      <c r="CJ106" s="10"/>
      <c r="CR106" s="11"/>
      <c r="CS106" s="10"/>
      <c r="DA106" s="11"/>
      <c r="DB106" s="10"/>
      <c r="DJ106" s="11"/>
      <c r="DK106" s="10"/>
      <c r="DS106" s="11"/>
      <c r="DT106" s="10"/>
      <c r="EB106" s="11"/>
      <c r="EC106" s="152"/>
      <c r="ED106" s="152"/>
      <c r="EE106" s="152"/>
      <c r="EF106" s="152"/>
      <c r="EG106" s="152"/>
      <c r="EH106" s="152"/>
      <c r="EI106" s="152"/>
      <c r="EJ106" s="152"/>
      <c r="EK106" s="152"/>
      <c r="EL106" s="152"/>
      <c r="EM106" s="152"/>
      <c r="EN106" s="152"/>
      <c r="EO106" s="152"/>
      <c r="EP106" s="152"/>
      <c r="EQ106" s="152"/>
      <c r="ER106" s="152"/>
    </row>
    <row r="107" ht="5.25" customHeight="1">
      <c r="A107" s="152"/>
      <c r="B107" s="152"/>
      <c r="C107" s="152"/>
      <c r="D107" s="152"/>
      <c r="E107" s="152"/>
      <c r="F107" s="152"/>
      <c r="G107" s="152"/>
      <c r="H107" s="152"/>
      <c r="I107" s="152"/>
      <c r="J107" s="152"/>
      <c r="K107" s="152"/>
      <c r="L107" s="152"/>
      <c r="Q107" s="152"/>
      <c r="R107" s="10"/>
      <c r="X107" s="203"/>
      <c r="BB107" s="203"/>
      <c r="BK107" s="203"/>
      <c r="BT107" s="203"/>
      <c r="CC107" s="203"/>
      <c r="CI107" s="203"/>
      <c r="CJ107" s="10"/>
      <c r="CR107" s="11"/>
      <c r="CS107" s="10"/>
      <c r="DA107" s="11"/>
      <c r="DB107" s="10"/>
      <c r="DJ107" s="11"/>
      <c r="DK107" s="10"/>
      <c r="DS107" s="11"/>
      <c r="DT107" s="10"/>
      <c r="EB107" s="11"/>
      <c r="EC107" s="152"/>
      <c r="ED107" s="152"/>
      <c r="EE107" s="152"/>
      <c r="EF107" s="152"/>
      <c r="EG107" s="152"/>
      <c r="EH107" s="152"/>
      <c r="EI107" s="152"/>
      <c r="EJ107" s="152"/>
      <c r="EK107" s="152"/>
      <c r="EL107" s="152"/>
      <c r="EM107" s="152"/>
      <c r="EN107" s="152"/>
      <c r="EO107" s="152"/>
      <c r="EP107" s="152"/>
      <c r="EQ107" s="152"/>
      <c r="ER107" s="152"/>
    </row>
    <row r="108" ht="5.25" customHeight="1">
      <c r="A108" s="152"/>
      <c r="B108" s="152"/>
      <c r="C108" s="152"/>
      <c r="D108" s="152"/>
      <c r="E108" s="152"/>
      <c r="F108" s="152"/>
      <c r="G108" s="152"/>
      <c r="H108" s="152"/>
      <c r="I108" s="152"/>
      <c r="J108" s="152"/>
      <c r="K108" s="152"/>
      <c r="L108" s="152"/>
      <c r="Q108" s="152"/>
      <c r="R108" s="10"/>
      <c r="X108" s="203"/>
      <c r="BB108" s="203"/>
      <c r="BK108" s="203"/>
      <c r="BT108" s="203"/>
      <c r="CC108" s="203"/>
      <c r="CI108" s="203"/>
      <c r="CJ108" s="10"/>
      <c r="CR108" s="11"/>
      <c r="CS108" s="10"/>
      <c r="DA108" s="11"/>
      <c r="DB108" s="10"/>
      <c r="DJ108" s="11"/>
      <c r="DK108" s="10"/>
      <c r="DS108" s="11"/>
      <c r="DT108" s="10"/>
      <c r="EB108" s="11"/>
      <c r="EC108" s="152"/>
      <c r="ED108" s="152"/>
      <c r="EE108" s="152"/>
      <c r="EF108" s="152"/>
      <c r="EG108" s="152"/>
      <c r="EH108" s="152"/>
      <c r="EI108" s="152"/>
      <c r="EJ108" s="152"/>
      <c r="EK108" s="152"/>
      <c r="EL108" s="152"/>
      <c r="EM108" s="152"/>
      <c r="EN108" s="152"/>
      <c r="EO108" s="152"/>
      <c r="EP108" s="152"/>
      <c r="EQ108" s="152"/>
      <c r="ER108" s="152"/>
    </row>
    <row r="109" ht="5.25" customHeight="1">
      <c r="A109" s="152"/>
      <c r="B109" s="152"/>
      <c r="C109" s="152"/>
      <c r="D109" s="152"/>
      <c r="E109" s="152"/>
      <c r="F109" s="152"/>
      <c r="G109" s="152"/>
      <c r="H109" s="152"/>
      <c r="I109" s="152"/>
      <c r="J109" s="152"/>
      <c r="K109" s="152"/>
      <c r="L109" s="152"/>
      <c r="Q109" s="152"/>
      <c r="R109" s="10"/>
      <c r="X109" s="203"/>
      <c r="BB109" s="203"/>
      <c r="BK109" s="203"/>
      <c r="BT109" s="203"/>
      <c r="CC109" s="203"/>
      <c r="CI109" s="203"/>
      <c r="CJ109" s="10"/>
      <c r="CR109" s="11"/>
      <c r="CS109" s="10"/>
      <c r="DA109" s="11"/>
      <c r="DB109" s="10"/>
      <c r="DJ109" s="11"/>
      <c r="DK109" s="10"/>
      <c r="DS109" s="11"/>
      <c r="DT109" s="10"/>
      <c r="EB109" s="11"/>
      <c r="EC109" s="152"/>
      <c r="ED109" s="152"/>
      <c r="EE109" s="152"/>
      <c r="EF109" s="152"/>
      <c r="EG109" s="152"/>
      <c r="EH109" s="152"/>
      <c r="EI109" s="152"/>
      <c r="EJ109" s="152"/>
      <c r="EK109" s="152"/>
      <c r="EL109" s="152"/>
      <c r="EM109" s="152"/>
      <c r="EN109" s="152"/>
      <c r="EO109" s="152"/>
      <c r="EP109" s="152"/>
      <c r="EQ109" s="152"/>
      <c r="ER109" s="152"/>
    </row>
    <row r="110" ht="5.25" customHeight="1">
      <c r="A110" s="152"/>
      <c r="B110" s="152"/>
      <c r="C110" s="152"/>
      <c r="D110" s="152"/>
      <c r="E110" s="152"/>
      <c r="F110" s="152"/>
      <c r="G110" s="152"/>
      <c r="H110" s="152"/>
      <c r="I110" s="152"/>
      <c r="J110" s="152"/>
      <c r="K110" s="152"/>
      <c r="L110" s="152"/>
      <c r="Q110" s="152"/>
      <c r="R110" s="10"/>
      <c r="X110" s="203"/>
      <c r="BB110" s="203"/>
      <c r="BK110" s="203"/>
      <c r="BT110" s="203"/>
      <c r="CC110" s="203"/>
      <c r="CI110" s="203"/>
      <c r="CJ110" s="195" t="str">
        <f t="array" ref="CJ110">xlookup($Y106,teams,xlookup("r1gw",header,swissdata))&amp;"-"&amp;xlookup($Y106,teams,xlookup("r1gl",header,swissdata))</f>
        <v>-</v>
      </c>
      <c r="CN110" s="196"/>
      <c r="CO110" s="196">
        <f t="array" ref="CO110">if(xlookup($Y106,teams,xlookup("r1rd",header,swissdata))&gt;0,"+"&amp;xlookup($Y106,teams,xlookup("r1rd",header,swissdata)),xlookup($Y106,teams,xlookup("r1rd",header,swissdata)))</f>
        <v>0</v>
      </c>
      <c r="CR110" s="11"/>
      <c r="CS110" s="195" t="str">
        <f t="array" ref="CS110">xlookup($Y106,teams,xlookup("r2gw",header,swissdata))&amp;"-"&amp;xlookup($Y106,teams,xlookup("r2gl",header,swissdata))</f>
        <v>-</v>
      </c>
      <c r="CW110" s="196"/>
      <c r="CX110" s="196">
        <f t="array" ref="CX110">if(xlookup($Y106,teams,xlookup("r2rd",header,swissdata))&gt;0,"+"&amp;xlookup($Y106,teams,xlookup("r2rd",header,swissdata)),xlookup($Y106,teams,xlookup("r2rd",header,swissdata)))</f>
        <v>0</v>
      </c>
      <c r="DA110" s="11"/>
      <c r="DB110" s="195" t="str">
        <f t="array" ref="DB110">xlookup($Y106,teams,xlookup("r3gw",header,swissdata))&amp;"-"&amp;xlookup($Y106,teams,xlookup("r3gl",header,swissdata))</f>
        <v>-</v>
      </c>
      <c r="DF110" s="196"/>
      <c r="DG110" s="196">
        <f t="array" ref="DG110">if(xlookup($Y106,teams,xlookup("r3rd",header,swissdata))&gt;0,"+"&amp;xlookup($Y106,teams,xlookup("r3rd",header,swissdata)),xlookup($Y106,teams,xlookup("r3rd",header,swissdata)))</f>
        <v>0</v>
      </c>
      <c r="DJ110" s="11"/>
      <c r="DK110" s="195" t="str">
        <f t="array" ref="DK110">xlookup($Y106,teams,xlookup("r4gw",header,swissdata))&amp;"-"&amp;xlookup($Y106,teams,xlookup("r4gl",header,swissdata))</f>
        <v>-</v>
      </c>
      <c r="DO110" s="196"/>
      <c r="DP110" s="196">
        <f t="array" ref="DP110">if(xlookup($Y106,teams,xlookup("r4rd",header,swissdata))&gt;0,"+"&amp;xlookup($Y106,teams,xlookup("r4rd",header,swissdata)),xlookup($Y106,teams,xlookup("r4rd",header,swissdata)))</f>
        <v>0</v>
      </c>
      <c r="DS110" s="11"/>
      <c r="DT110" s="195"/>
      <c r="DX110" s="196"/>
      <c r="DY110" s="196"/>
      <c r="EB110" s="11"/>
      <c r="EC110" s="152"/>
      <c r="ED110" s="152"/>
      <c r="EE110" s="152"/>
      <c r="EF110" s="152"/>
      <c r="EG110" s="152"/>
      <c r="EH110" s="152"/>
      <c r="EI110" s="152"/>
      <c r="EJ110" s="152"/>
      <c r="EK110" s="152"/>
      <c r="EL110" s="152"/>
      <c r="EM110" s="152"/>
      <c r="EN110" s="152"/>
      <c r="EO110" s="152"/>
      <c r="EP110" s="152"/>
      <c r="EQ110" s="152"/>
      <c r="ER110" s="152"/>
    </row>
    <row r="111" ht="5.25" customHeight="1">
      <c r="A111" s="152"/>
      <c r="B111" s="152"/>
      <c r="C111" s="152"/>
      <c r="D111" s="152"/>
      <c r="E111" s="152"/>
      <c r="F111" s="152"/>
      <c r="G111" s="152"/>
      <c r="H111" s="152"/>
      <c r="I111" s="152"/>
      <c r="J111" s="152"/>
      <c r="K111" s="152"/>
      <c r="L111" s="152"/>
      <c r="Q111" s="152"/>
      <c r="R111" s="10"/>
      <c r="X111" s="203"/>
      <c r="BB111" s="203"/>
      <c r="BK111" s="203"/>
      <c r="BT111" s="203"/>
      <c r="CC111" s="203"/>
      <c r="CI111" s="203"/>
      <c r="CJ111" s="10"/>
      <c r="CR111" s="11"/>
      <c r="CS111" s="10"/>
      <c r="DA111" s="11"/>
      <c r="DB111" s="10"/>
      <c r="DJ111" s="11"/>
      <c r="DK111" s="10"/>
      <c r="DS111" s="11"/>
      <c r="DT111" s="10"/>
      <c r="EB111" s="11"/>
      <c r="EC111" s="152"/>
      <c r="ED111" s="152"/>
      <c r="EE111" s="152"/>
      <c r="EF111" s="152"/>
      <c r="EG111" s="152"/>
      <c r="EH111" s="152"/>
      <c r="EI111" s="152"/>
      <c r="EJ111" s="152"/>
      <c r="EK111" s="152"/>
      <c r="EL111" s="152"/>
      <c r="EM111" s="152"/>
      <c r="EN111" s="152"/>
      <c r="EO111" s="152"/>
      <c r="EP111" s="152"/>
      <c r="EQ111" s="152"/>
      <c r="ER111" s="152"/>
    </row>
    <row r="112" ht="5.25" customHeight="1">
      <c r="A112" s="152"/>
      <c r="B112" s="152"/>
      <c r="C112" s="152"/>
      <c r="D112" s="152"/>
      <c r="E112" s="152"/>
      <c r="F112" s="152"/>
      <c r="G112" s="152"/>
      <c r="H112" s="152"/>
      <c r="I112" s="152"/>
      <c r="J112" s="152"/>
      <c r="K112" s="152"/>
      <c r="L112" s="152"/>
      <c r="Q112" s="152"/>
      <c r="R112" s="208"/>
      <c r="S112" s="209"/>
      <c r="T112" s="209"/>
      <c r="U112" s="209"/>
      <c r="V112" s="209"/>
      <c r="W112" s="209"/>
      <c r="X112" s="209"/>
      <c r="Y112" s="209"/>
      <c r="Z112" s="209"/>
      <c r="AA112" s="209"/>
      <c r="AB112" s="209"/>
      <c r="AC112" s="209"/>
      <c r="AD112" s="209"/>
      <c r="AE112" s="209"/>
      <c r="AF112" s="209"/>
      <c r="AG112" s="209"/>
      <c r="AH112" s="209"/>
      <c r="AI112" s="209"/>
      <c r="AJ112" s="209"/>
      <c r="AK112" s="209"/>
      <c r="AL112" s="209"/>
      <c r="AM112" s="209"/>
      <c r="AN112" s="209"/>
      <c r="AO112" s="209"/>
      <c r="AP112" s="209"/>
      <c r="AQ112" s="209"/>
      <c r="AR112" s="209"/>
      <c r="AS112" s="209"/>
      <c r="AT112" s="209"/>
      <c r="AU112" s="209"/>
      <c r="AV112" s="209"/>
      <c r="AW112" s="209"/>
      <c r="AX112" s="209"/>
      <c r="AY112" s="209"/>
      <c r="AZ112" s="209"/>
      <c r="BA112" s="209"/>
      <c r="BB112" s="209"/>
      <c r="BC112" s="209"/>
      <c r="BD112" s="209"/>
      <c r="BE112" s="209"/>
      <c r="BF112" s="209"/>
      <c r="BG112" s="209"/>
      <c r="BH112" s="209"/>
      <c r="BI112" s="209"/>
      <c r="BJ112" s="209"/>
      <c r="BK112" s="209"/>
      <c r="BL112" s="209"/>
      <c r="BM112" s="209"/>
      <c r="BN112" s="209"/>
      <c r="BO112" s="209"/>
      <c r="BP112" s="209"/>
      <c r="BQ112" s="209"/>
      <c r="BR112" s="209"/>
      <c r="BS112" s="209"/>
      <c r="BT112" s="209"/>
      <c r="BU112" s="209"/>
      <c r="BV112" s="209"/>
      <c r="BW112" s="209"/>
      <c r="BX112" s="209"/>
      <c r="BY112" s="209"/>
      <c r="BZ112" s="209"/>
      <c r="CA112" s="209"/>
      <c r="CB112" s="209"/>
      <c r="CC112" s="209"/>
      <c r="CD112" s="209"/>
      <c r="CE112" s="209"/>
      <c r="CF112" s="209"/>
      <c r="CG112" s="209"/>
      <c r="CH112" s="209"/>
      <c r="CI112" s="209"/>
      <c r="CJ112" s="12"/>
      <c r="CK112" s="13"/>
      <c r="CL112" s="13"/>
      <c r="CM112" s="13"/>
      <c r="CN112" s="13"/>
      <c r="CO112" s="13"/>
      <c r="CP112" s="13"/>
      <c r="CQ112" s="13"/>
      <c r="CR112" s="14"/>
      <c r="CS112" s="12"/>
      <c r="CT112" s="13"/>
      <c r="CU112" s="13"/>
      <c r="CV112" s="13"/>
      <c r="CW112" s="13"/>
      <c r="CX112" s="13"/>
      <c r="CY112" s="13"/>
      <c r="CZ112" s="13"/>
      <c r="DA112" s="14"/>
      <c r="DB112" s="12"/>
      <c r="DC112" s="13"/>
      <c r="DD112" s="13"/>
      <c r="DE112" s="13"/>
      <c r="DF112" s="13"/>
      <c r="DG112" s="13"/>
      <c r="DH112" s="13"/>
      <c r="DI112" s="13"/>
      <c r="DJ112" s="14"/>
      <c r="DK112" s="12"/>
      <c r="DL112" s="13"/>
      <c r="DM112" s="13"/>
      <c r="DN112" s="13"/>
      <c r="DO112" s="13"/>
      <c r="DP112" s="13"/>
      <c r="DQ112" s="13"/>
      <c r="DR112" s="13"/>
      <c r="DS112" s="14"/>
      <c r="DT112" s="12"/>
      <c r="DU112" s="13"/>
      <c r="DV112" s="13"/>
      <c r="DW112" s="13"/>
      <c r="DX112" s="13"/>
      <c r="DY112" s="13"/>
      <c r="DZ112" s="13"/>
      <c r="EA112" s="13"/>
      <c r="EB112" s="14"/>
      <c r="EC112" s="152"/>
      <c r="ED112" s="152"/>
      <c r="EE112" s="152"/>
      <c r="EF112" s="152"/>
      <c r="EG112" s="152"/>
      <c r="EH112" s="152"/>
      <c r="EI112" s="152"/>
      <c r="EJ112" s="152"/>
      <c r="EK112" s="152"/>
      <c r="EL112" s="152"/>
      <c r="EM112" s="152"/>
      <c r="EN112" s="152"/>
      <c r="EO112" s="152"/>
      <c r="EP112" s="152"/>
      <c r="EQ112" s="152"/>
      <c r="ER112" s="152"/>
    </row>
    <row r="113" ht="5.25" customHeight="1">
      <c r="A113" s="152"/>
      <c r="B113" s="152"/>
      <c r="C113" s="152"/>
      <c r="D113" s="152"/>
      <c r="E113" s="152"/>
      <c r="F113" s="152"/>
      <c r="G113" s="152"/>
      <c r="H113" s="152"/>
      <c r="I113" s="152"/>
      <c r="J113" s="152"/>
      <c r="K113" s="152"/>
      <c r="L113" s="152"/>
      <c r="M113" s="177" t="str">
        <f>Q113&amp;"."</f>
        <v>14.</v>
      </c>
      <c r="Q113" s="181">
        <v>14.0</v>
      </c>
      <c r="R113" s="200"/>
      <c r="S113" s="201"/>
      <c r="T113" s="201"/>
      <c r="U113" s="201"/>
      <c r="V113" s="201"/>
      <c r="W113" s="201"/>
      <c r="X113" s="201"/>
      <c r="Y113" s="201"/>
      <c r="Z113" s="201"/>
      <c r="AA113" s="201"/>
      <c r="AB113" s="201"/>
      <c r="AC113" s="201"/>
      <c r="AD113" s="201"/>
      <c r="AE113" s="201"/>
      <c r="AF113" s="201"/>
      <c r="AG113" s="201"/>
      <c r="AH113" s="201"/>
      <c r="AI113" s="201"/>
      <c r="AJ113" s="201"/>
      <c r="AK113" s="201"/>
      <c r="AL113" s="201"/>
      <c r="AM113" s="201"/>
      <c r="AN113" s="201"/>
      <c r="AO113" s="201"/>
      <c r="AP113" s="201"/>
      <c r="AQ113" s="201"/>
      <c r="AR113" s="201"/>
      <c r="AS113" s="201"/>
      <c r="AT113" s="201"/>
      <c r="AU113" s="201"/>
      <c r="AV113" s="201"/>
      <c r="AW113" s="201"/>
      <c r="AX113" s="201"/>
      <c r="AY113" s="201"/>
      <c r="AZ113" s="201"/>
      <c r="BA113" s="201"/>
      <c r="BB113" s="201"/>
      <c r="BC113" s="201"/>
      <c r="BD113" s="201"/>
      <c r="BE113" s="201"/>
      <c r="BF113" s="201"/>
      <c r="BG113" s="201"/>
      <c r="BH113" s="201"/>
      <c r="BI113" s="201"/>
      <c r="BJ113" s="201"/>
      <c r="BK113" s="201"/>
      <c r="BL113" s="201"/>
      <c r="BM113" s="201"/>
      <c r="BN113" s="201"/>
      <c r="BO113" s="201"/>
      <c r="BP113" s="201"/>
      <c r="BQ113" s="201"/>
      <c r="BR113" s="201"/>
      <c r="BS113" s="201"/>
      <c r="BT113" s="201"/>
      <c r="BU113" s="201"/>
      <c r="BV113" s="201"/>
      <c r="BW113" s="201"/>
      <c r="BX113" s="201"/>
      <c r="BY113" s="201"/>
      <c r="BZ113" s="201"/>
      <c r="CA113" s="201"/>
      <c r="CB113" s="201"/>
      <c r="CC113" s="201"/>
      <c r="CD113" s="201"/>
      <c r="CE113" s="201"/>
      <c r="CF113" s="201"/>
      <c r="CG113" s="201"/>
      <c r="CH113" s="201"/>
      <c r="CI113" s="201"/>
      <c r="CJ113" s="185" t="str">
        <f t="array" ref="CJ113">xlookup($Y114,data!$N$2:$N$17,xlookup("r1Ser",data!$P$1:$BR$1,data!$P$2:$BR$17,""))</f>
        <v/>
      </c>
      <c r="CK113" s="8"/>
      <c r="CL113" s="186" t="str">
        <f t="array" ref="CL113">if(Y114="TBD","",xlookup(xlookup($Y114,data!$N$2:$N$17,xlookup("r1op",data!$P$1:$BR$1,data!$P$2:$BR$17,"")),data!$M$2:$M$17,data!$O$2:$O$17,""))</f>
        <v/>
      </c>
      <c r="CM113" s="8"/>
      <c r="CN113" s="8"/>
      <c r="CO113" s="8"/>
      <c r="CP113" s="8"/>
      <c r="CQ113" s="187"/>
      <c r="CR113" s="9"/>
      <c r="CS113" s="185" t="str">
        <f t="array" ref="CS113">xlookup($Y114,data!$N$2:$N$17,xlookup("r2Ser",data!$P$1:$BR$1,data!$P$2:$BR$17,""))</f>
        <v/>
      </c>
      <c r="CT113" s="8"/>
      <c r="CU113" s="186" t="str">
        <f t="array" ref="CU113">xlookup(xlookup($Y114,data!$N$2:$N$17,xlookup("r2op",data!$P$1:$BR$1,data!$P$2:$BR$17,"")),data!$M$2:$M$17,data!$O$2:$O$17,"")</f>
        <v/>
      </c>
      <c r="CV113" s="8"/>
      <c r="CW113" s="8"/>
      <c r="CX113" s="8"/>
      <c r="CY113" s="8"/>
      <c r="CZ113" s="187"/>
      <c r="DA113" s="9"/>
      <c r="DB113" s="185" t="str">
        <f t="array" ref="DB113">xlookup($Y114,data!$N$2:$N$17,xlookup("r3Ser",data!$P$1:$BR$1,data!$P$2:$BR$17,""))</f>
        <v/>
      </c>
      <c r="DC113" s="8"/>
      <c r="DD113" s="186" t="str">
        <f t="array" ref="DD113">xlookup(xlookup($Y114,data!$N$2:$N$17,xlookup("r3op",data!$P$1:$BR$1,data!$P$2:$BR$17,"")),data!$M$2:$M$17,data!$O$2:$O$17,"")</f>
        <v/>
      </c>
      <c r="DE113" s="8"/>
      <c r="DF113" s="8"/>
      <c r="DG113" s="8"/>
      <c r="DH113" s="8"/>
      <c r="DI113" s="187"/>
      <c r="DJ113" s="9"/>
      <c r="DK113" s="185" t="str">
        <f t="array" ref="DK113">xlookup($Y114,data!$N$2:$N$17,xlookup("r4Ser",data!$P$1:$BR$1,data!$P$2:$BR$17,""))</f>
        <v/>
      </c>
      <c r="DL113" s="8"/>
      <c r="DM113" s="186" t="str">
        <f t="array" ref="DM113">xlookup(xlookup($Y114,data!$N$2:$N$17,xlookup("r4op",data!$P$1:$BR$1,data!$P$2:$BR$17,"")),data!$M$2:$M$17,data!$O$2:$O$17,"")</f>
        <v/>
      </c>
      <c r="DN113" s="8"/>
      <c r="DO113" s="8"/>
      <c r="DP113" s="8"/>
      <c r="DQ113" s="8"/>
      <c r="DR113" s="187"/>
      <c r="DS113" s="9"/>
      <c r="DT113" s="185" t="str">
        <f t="array" ref="DT113">xlookup($Y114,data!$N$2:$N$17,xlookup("r5Ser",data!$P$1:$BR$1,data!$P$2:$BR$17,""))</f>
        <v/>
      </c>
      <c r="DU113" s="8"/>
      <c r="DV113" s="186" t="str">
        <f t="array" ref="DV113">xlookup(xlookup($Y114,data!$N$2:$N$17,xlookup("r5op",data!$P$1:$BR$1,data!$P$2:$BR$17,"")),data!$M$2:$M$17,data!$O$2:$O$17,"")</f>
        <v/>
      </c>
      <c r="DW113" s="8"/>
      <c r="DX113" s="8"/>
      <c r="DY113" s="8"/>
      <c r="DZ113" s="8"/>
      <c r="EA113" s="187"/>
      <c r="EB113" s="9"/>
      <c r="EC113" s="152"/>
      <c r="ED113" s="152"/>
      <c r="EE113" s="152"/>
      <c r="EF113" s="152"/>
      <c r="EG113" s="152"/>
      <c r="EH113" s="152"/>
      <c r="EI113" s="152"/>
      <c r="EJ113" s="152"/>
      <c r="EK113" s="152"/>
      <c r="EL113" s="152"/>
      <c r="EM113" s="152"/>
      <c r="EN113" s="152"/>
      <c r="EO113" s="152"/>
      <c r="EP113" s="152"/>
      <c r="EQ113" s="152"/>
      <c r="ER113" s="152"/>
    </row>
    <row r="114" ht="5.25" customHeight="1">
      <c r="A114" s="152"/>
      <c r="B114" s="152"/>
      <c r="C114" s="152"/>
      <c r="D114" s="152"/>
      <c r="E114" s="152"/>
      <c r="F114" s="152"/>
      <c r="G114" s="152"/>
      <c r="H114" s="152"/>
      <c r="I114" s="152"/>
      <c r="J114" s="152"/>
      <c r="K114" s="152"/>
      <c r="L114" s="152"/>
      <c r="Q114" s="152"/>
      <c r="R114" s="202" t="str">
        <f t="array" ref="R114">xlookup(Y114,data!$N$2:$N$17,data!$O$2:$O$17,"")</f>
        <v/>
      </c>
      <c r="X114" s="203"/>
      <c r="Y114" s="204" t="str">
        <f t="array" ref="Y114">xlookup(Q113,data!$G$24:$G$39,data!$A$24:$A$39,"")</f>
        <v>TBD</v>
      </c>
      <c r="BB114" s="203"/>
      <c r="BC114" s="205" t="str">
        <f t="array" ref="BC114">xlookup(Y114,data!$A$24:$A$39,data!$B$24:$B$39,"")</f>
        <v>0-0</v>
      </c>
      <c r="BK114" s="203"/>
      <c r="BL114" s="206" t="str">
        <f t="array" ref="BL114">xlookup(Y114,data!$A$24:$A$39,data!$C$24:$C$39,"")</f>
        <v>0-0</v>
      </c>
      <c r="BT114" s="203"/>
      <c r="BU114" s="207" t="str">
        <f t="array" ref="BU114">xlookup(Y114,data!$A$24:$A$39,data!$D$24:$D$39,"")</f>
        <v>0-0</v>
      </c>
      <c r="CC114" s="203"/>
      <c r="CD114" s="207">
        <f t="array" ref="CD114">xlookup(Y114,data!$A$24:$A$39,data!$F$24:$F$39,"")</f>
        <v>0</v>
      </c>
      <c r="CI114" s="203"/>
      <c r="CJ114" s="10"/>
      <c r="CR114" s="11"/>
      <c r="CS114" s="10"/>
      <c r="DA114" s="11"/>
      <c r="DB114" s="10"/>
      <c r="DJ114" s="11"/>
      <c r="DK114" s="10"/>
      <c r="DS114" s="11"/>
      <c r="DT114" s="10"/>
      <c r="EB114" s="11"/>
      <c r="EC114" s="152"/>
      <c r="ED114" s="152"/>
      <c r="EE114" s="152"/>
      <c r="EF114" s="152"/>
      <c r="EG114" s="152"/>
      <c r="EH114" s="152"/>
      <c r="EI114" s="152"/>
      <c r="EJ114" s="152"/>
      <c r="EK114" s="152"/>
      <c r="EL114" s="152"/>
      <c r="EM114" s="152"/>
      <c r="EN114" s="152"/>
      <c r="EO114" s="152"/>
      <c r="EP114" s="152"/>
      <c r="EQ114" s="152"/>
      <c r="ER114" s="152"/>
    </row>
    <row r="115" ht="5.25" customHeight="1">
      <c r="A115" s="152"/>
      <c r="B115" s="152"/>
      <c r="C115" s="152"/>
      <c r="D115" s="152"/>
      <c r="E115" s="152"/>
      <c r="F115" s="152"/>
      <c r="G115" s="152"/>
      <c r="H115" s="152"/>
      <c r="I115" s="152"/>
      <c r="J115" s="152"/>
      <c r="K115" s="152"/>
      <c r="L115" s="152"/>
      <c r="Q115" s="152"/>
      <c r="R115" s="10"/>
      <c r="X115" s="203"/>
      <c r="BB115" s="203"/>
      <c r="BK115" s="203"/>
      <c r="BT115" s="203"/>
      <c r="CC115" s="203"/>
      <c r="CI115" s="203"/>
      <c r="CJ115" s="10"/>
      <c r="CR115" s="11"/>
      <c r="CS115" s="10"/>
      <c r="DA115" s="11"/>
      <c r="DB115" s="10"/>
      <c r="DJ115" s="11"/>
      <c r="DK115" s="10"/>
      <c r="DS115" s="11"/>
      <c r="DT115" s="10"/>
      <c r="EB115" s="11"/>
      <c r="EC115" s="152"/>
      <c r="ED115" s="152"/>
      <c r="EE115" s="152"/>
      <c r="EF115" s="152"/>
      <c r="EG115" s="152"/>
      <c r="EH115" s="152"/>
      <c r="EI115" s="152"/>
      <c r="EJ115" s="152"/>
      <c r="EK115" s="152"/>
      <c r="EL115" s="152"/>
      <c r="EM115" s="152"/>
      <c r="EN115" s="152"/>
      <c r="EO115" s="152"/>
      <c r="EP115" s="152"/>
      <c r="EQ115" s="152"/>
      <c r="ER115" s="152"/>
    </row>
    <row r="116" ht="5.25" customHeight="1">
      <c r="A116" s="152"/>
      <c r="B116" s="152"/>
      <c r="C116" s="152"/>
      <c r="D116" s="152"/>
      <c r="E116" s="152"/>
      <c r="F116" s="152"/>
      <c r="G116" s="152"/>
      <c r="H116" s="152"/>
      <c r="I116" s="152"/>
      <c r="J116" s="152"/>
      <c r="K116" s="152"/>
      <c r="L116" s="152"/>
      <c r="Q116" s="152"/>
      <c r="R116" s="10"/>
      <c r="X116" s="203"/>
      <c r="BB116" s="203"/>
      <c r="BK116" s="203"/>
      <c r="BT116" s="203"/>
      <c r="CC116" s="203"/>
      <c r="CI116" s="203"/>
      <c r="CJ116" s="10"/>
      <c r="CR116" s="11"/>
      <c r="CS116" s="10"/>
      <c r="DA116" s="11"/>
      <c r="DB116" s="10"/>
      <c r="DJ116" s="11"/>
      <c r="DK116" s="10"/>
      <c r="DS116" s="11"/>
      <c r="DT116" s="10"/>
      <c r="EB116" s="11"/>
      <c r="EC116" s="152"/>
      <c r="ED116" s="152"/>
      <c r="EE116" s="152"/>
      <c r="EF116" s="152"/>
      <c r="EG116" s="152"/>
      <c r="EH116" s="152"/>
      <c r="EI116" s="152"/>
      <c r="EJ116" s="152"/>
      <c r="EK116" s="152"/>
      <c r="EL116" s="152"/>
      <c r="EM116" s="152"/>
      <c r="EN116" s="152"/>
      <c r="EO116" s="152"/>
      <c r="EP116" s="152"/>
      <c r="EQ116" s="152"/>
      <c r="ER116" s="152"/>
    </row>
    <row r="117" ht="5.25" customHeight="1">
      <c r="A117" s="152"/>
      <c r="B117" s="152"/>
      <c r="C117" s="152"/>
      <c r="D117" s="152"/>
      <c r="E117" s="152"/>
      <c r="F117" s="152"/>
      <c r="G117" s="152"/>
      <c r="H117" s="152"/>
      <c r="I117" s="152"/>
      <c r="J117" s="152"/>
      <c r="K117" s="152"/>
      <c r="L117" s="152"/>
      <c r="Q117" s="152"/>
      <c r="R117" s="10"/>
      <c r="X117" s="203"/>
      <c r="BB117" s="203"/>
      <c r="BK117" s="203"/>
      <c r="BT117" s="203"/>
      <c r="CC117" s="203"/>
      <c r="CI117" s="203"/>
      <c r="CJ117" s="10"/>
      <c r="CR117" s="11"/>
      <c r="CS117" s="10"/>
      <c r="DA117" s="11"/>
      <c r="DB117" s="10"/>
      <c r="DJ117" s="11"/>
      <c r="DK117" s="10"/>
      <c r="DS117" s="11"/>
      <c r="DT117" s="10"/>
      <c r="EB117" s="11"/>
      <c r="EC117" s="152"/>
      <c r="ED117" s="152"/>
      <c r="EE117" s="152"/>
      <c r="EF117" s="152"/>
      <c r="EG117" s="152"/>
      <c r="EH117" s="152"/>
      <c r="EI117" s="152"/>
      <c r="EJ117" s="152"/>
      <c r="EK117" s="152"/>
      <c r="EL117" s="152"/>
      <c r="EM117" s="152"/>
      <c r="EN117" s="152"/>
      <c r="EO117" s="152"/>
      <c r="EP117" s="152"/>
      <c r="EQ117" s="152"/>
      <c r="ER117" s="152"/>
    </row>
    <row r="118" ht="5.25" customHeight="1">
      <c r="A118" s="152"/>
      <c r="B118" s="152"/>
      <c r="C118" s="152"/>
      <c r="D118" s="152"/>
      <c r="E118" s="152"/>
      <c r="F118" s="152"/>
      <c r="G118" s="152"/>
      <c r="H118" s="152"/>
      <c r="I118" s="152"/>
      <c r="J118" s="152"/>
      <c r="K118" s="152"/>
      <c r="L118" s="152"/>
      <c r="Q118" s="152"/>
      <c r="R118" s="10"/>
      <c r="X118" s="203"/>
      <c r="BB118" s="203"/>
      <c r="BK118" s="203"/>
      <c r="BT118" s="203"/>
      <c r="CC118" s="203"/>
      <c r="CI118" s="203"/>
      <c r="CJ118" s="195" t="str">
        <f t="array" ref="CJ118">xlookup($Y114,teams,xlookup("r1gw",header,swissdata))&amp;"-"&amp;xlookup($Y114,teams,xlookup("r1gl",header,swissdata))</f>
        <v>-</v>
      </c>
      <c r="CN118" s="196"/>
      <c r="CO118" s="196">
        <f t="array" ref="CO118">if(xlookup($Y114,teams,xlookup("r1rd",header,swissdata))&gt;0,"+"&amp;xlookup($Y114,teams,xlookup("r1rd",header,swissdata)),xlookup($Y114,teams,xlookup("r1rd",header,swissdata)))</f>
        <v>0</v>
      </c>
      <c r="CR118" s="11"/>
      <c r="CS118" s="195" t="str">
        <f t="array" ref="CS118">xlookup($Y114,teams,xlookup("r2gw",header,swissdata))&amp;"-"&amp;xlookup($Y114,teams,xlookup("r2gl",header,swissdata))</f>
        <v>-</v>
      </c>
      <c r="CW118" s="196"/>
      <c r="CX118" s="196">
        <f t="array" ref="CX118">if(xlookup($Y114,teams,xlookup("r2rd",header,swissdata))&gt;0,"+"&amp;xlookup($Y114,teams,xlookup("r2rd",header,swissdata)),xlookup($Y114,teams,xlookup("r2rd",header,swissdata)))</f>
        <v>0</v>
      </c>
      <c r="DA118" s="11"/>
      <c r="DB118" s="195" t="str">
        <f t="array" ref="DB118">xlookup($Y114,teams,xlookup("r3gw",header,swissdata))&amp;"-"&amp;xlookup($Y114,teams,xlookup("r3gl",header,swissdata))</f>
        <v>-</v>
      </c>
      <c r="DF118" s="196"/>
      <c r="DG118" s="196">
        <f t="array" ref="DG118">if(xlookup($Y114,teams,xlookup("r3rd",header,swissdata))&gt;0,"+"&amp;xlookup($Y114,teams,xlookup("r3rd",header,swissdata)),xlookup($Y114,teams,xlookup("r3rd",header,swissdata)))</f>
        <v>0</v>
      </c>
      <c r="DJ118" s="11"/>
      <c r="DK118" s="195" t="str">
        <f t="array" ref="DK118">xlookup($Y114,teams,xlookup("r4gw",header,swissdata))&amp;"-"&amp;xlookup($Y114,teams,xlookup("r4gl",header,swissdata))</f>
        <v>-</v>
      </c>
      <c r="DO118" s="196"/>
      <c r="DP118" s="196">
        <f t="array" ref="DP118">if(xlookup($Y114,teams,xlookup("r4rd",header,swissdata))&gt;0,"+"&amp;xlookup($Y114,teams,xlookup("r4rd",header,swissdata)),xlookup($Y114,teams,xlookup("r4rd",header,swissdata)))</f>
        <v>0</v>
      </c>
      <c r="DS118" s="11"/>
      <c r="DT118" s="195"/>
      <c r="DX118" s="196"/>
      <c r="DY118" s="196"/>
      <c r="EB118" s="11"/>
      <c r="EC118" s="152"/>
      <c r="ED118" s="152"/>
      <c r="EE118" s="152"/>
      <c r="EF118" s="152"/>
      <c r="EG118" s="152"/>
      <c r="EH118" s="152"/>
      <c r="EI118" s="152"/>
      <c r="EJ118" s="152"/>
      <c r="EK118" s="152"/>
      <c r="EL118" s="152"/>
      <c r="EM118" s="152"/>
      <c r="EN118" s="152"/>
      <c r="EO118" s="152"/>
      <c r="EP118" s="152"/>
      <c r="EQ118" s="152"/>
      <c r="ER118" s="152"/>
    </row>
    <row r="119" ht="5.25" customHeight="1">
      <c r="A119" s="152"/>
      <c r="B119" s="152"/>
      <c r="C119" s="152"/>
      <c r="D119" s="152"/>
      <c r="E119" s="152"/>
      <c r="F119" s="152"/>
      <c r="G119" s="152"/>
      <c r="H119" s="152"/>
      <c r="I119" s="152"/>
      <c r="J119" s="152"/>
      <c r="K119" s="152"/>
      <c r="L119" s="152"/>
      <c r="Q119" s="152"/>
      <c r="R119" s="10"/>
      <c r="X119" s="203"/>
      <c r="BB119" s="203"/>
      <c r="BK119" s="203"/>
      <c r="BT119" s="203"/>
      <c r="CC119" s="203"/>
      <c r="CI119" s="203"/>
      <c r="CJ119" s="10"/>
      <c r="CR119" s="11"/>
      <c r="CS119" s="10"/>
      <c r="DA119" s="11"/>
      <c r="DB119" s="10"/>
      <c r="DJ119" s="11"/>
      <c r="DK119" s="10"/>
      <c r="DS119" s="11"/>
      <c r="DT119" s="10"/>
      <c r="EB119" s="11"/>
      <c r="EC119" s="152"/>
      <c r="ED119" s="152"/>
      <c r="EE119" s="152"/>
      <c r="EF119" s="152"/>
      <c r="EG119" s="152"/>
      <c r="EH119" s="152"/>
      <c r="EI119" s="152"/>
      <c r="EJ119" s="152"/>
      <c r="EK119" s="152"/>
      <c r="EL119" s="152"/>
      <c r="EM119" s="152"/>
      <c r="EN119" s="152"/>
      <c r="EO119" s="152"/>
      <c r="EP119" s="152"/>
      <c r="EQ119" s="152"/>
      <c r="ER119" s="152"/>
    </row>
    <row r="120" ht="5.25" customHeight="1">
      <c r="A120" s="152"/>
      <c r="B120" s="152"/>
      <c r="C120" s="152"/>
      <c r="D120" s="152"/>
      <c r="E120" s="152"/>
      <c r="F120" s="152"/>
      <c r="G120" s="152"/>
      <c r="H120" s="152"/>
      <c r="I120" s="152"/>
      <c r="J120" s="152"/>
      <c r="K120" s="152"/>
      <c r="L120" s="152"/>
      <c r="Q120" s="152"/>
      <c r="R120" s="208"/>
      <c r="S120" s="209"/>
      <c r="T120" s="209"/>
      <c r="U120" s="209"/>
      <c r="V120" s="209"/>
      <c r="W120" s="209"/>
      <c r="X120" s="209"/>
      <c r="Y120" s="209"/>
      <c r="Z120" s="209"/>
      <c r="AA120" s="209"/>
      <c r="AB120" s="209"/>
      <c r="AC120" s="209"/>
      <c r="AD120" s="209"/>
      <c r="AE120" s="209"/>
      <c r="AF120" s="209"/>
      <c r="AG120" s="209"/>
      <c r="AH120" s="209"/>
      <c r="AI120" s="209"/>
      <c r="AJ120" s="209"/>
      <c r="AK120" s="209"/>
      <c r="AL120" s="209"/>
      <c r="AM120" s="209"/>
      <c r="AN120" s="209"/>
      <c r="AO120" s="209"/>
      <c r="AP120" s="209"/>
      <c r="AQ120" s="209"/>
      <c r="AR120" s="209"/>
      <c r="AS120" s="209"/>
      <c r="AT120" s="209"/>
      <c r="AU120" s="209"/>
      <c r="AV120" s="209"/>
      <c r="AW120" s="209"/>
      <c r="AX120" s="209"/>
      <c r="AY120" s="209"/>
      <c r="AZ120" s="209"/>
      <c r="BA120" s="209"/>
      <c r="BB120" s="209"/>
      <c r="BC120" s="209"/>
      <c r="BD120" s="209"/>
      <c r="BE120" s="209"/>
      <c r="BF120" s="209"/>
      <c r="BG120" s="209"/>
      <c r="BH120" s="209"/>
      <c r="BI120" s="209"/>
      <c r="BJ120" s="209"/>
      <c r="BK120" s="209"/>
      <c r="BL120" s="209"/>
      <c r="BM120" s="209"/>
      <c r="BN120" s="209"/>
      <c r="BO120" s="209"/>
      <c r="BP120" s="209"/>
      <c r="BQ120" s="209"/>
      <c r="BR120" s="209"/>
      <c r="BS120" s="209"/>
      <c r="BT120" s="209"/>
      <c r="BU120" s="209"/>
      <c r="BV120" s="209"/>
      <c r="BW120" s="209"/>
      <c r="BX120" s="209"/>
      <c r="BY120" s="209"/>
      <c r="BZ120" s="209"/>
      <c r="CA120" s="209"/>
      <c r="CB120" s="209"/>
      <c r="CC120" s="209"/>
      <c r="CD120" s="209"/>
      <c r="CE120" s="209"/>
      <c r="CF120" s="209"/>
      <c r="CG120" s="209"/>
      <c r="CH120" s="209"/>
      <c r="CI120" s="209"/>
      <c r="CJ120" s="12"/>
      <c r="CK120" s="13"/>
      <c r="CL120" s="13"/>
      <c r="CM120" s="13"/>
      <c r="CN120" s="13"/>
      <c r="CO120" s="13"/>
      <c r="CP120" s="13"/>
      <c r="CQ120" s="13"/>
      <c r="CR120" s="14"/>
      <c r="CS120" s="12"/>
      <c r="CT120" s="13"/>
      <c r="CU120" s="13"/>
      <c r="CV120" s="13"/>
      <c r="CW120" s="13"/>
      <c r="CX120" s="13"/>
      <c r="CY120" s="13"/>
      <c r="CZ120" s="13"/>
      <c r="DA120" s="14"/>
      <c r="DB120" s="12"/>
      <c r="DC120" s="13"/>
      <c r="DD120" s="13"/>
      <c r="DE120" s="13"/>
      <c r="DF120" s="13"/>
      <c r="DG120" s="13"/>
      <c r="DH120" s="13"/>
      <c r="DI120" s="13"/>
      <c r="DJ120" s="14"/>
      <c r="DK120" s="12"/>
      <c r="DL120" s="13"/>
      <c r="DM120" s="13"/>
      <c r="DN120" s="13"/>
      <c r="DO120" s="13"/>
      <c r="DP120" s="13"/>
      <c r="DQ120" s="13"/>
      <c r="DR120" s="13"/>
      <c r="DS120" s="14"/>
      <c r="DT120" s="12"/>
      <c r="DU120" s="13"/>
      <c r="DV120" s="13"/>
      <c r="DW120" s="13"/>
      <c r="DX120" s="13"/>
      <c r="DY120" s="13"/>
      <c r="DZ120" s="13"/>
      <c r="EA120" s="13"/>
      <c r="EB120" s="14"/>
      <c r="EC120" s="152"/>
      <c r="ED120" s="152"/>
      <c r="EE120" s="152"/>
      <c r="EF120" s="152"/>
      <c r="EG120" s="152"/>
      <c r="EH120" s="152"/>
      <c r="EI120" s="152"/>
      <c r="EJ120" s="152"/>
      <c r="EK120" s="152"/>
      <c r="EL120" s="152"/>
      <c r="EM120" s="152"/>
      <c r="EN120" s="152"/>
      <c r="EO120" s="152"/>
      <c r="EP120" s="152"/>
      <c r="EQ120" s="152"/>
      <c r="ER120" s="152"/>
    </row>
    <row r="121" ht="5.25" customHeight="1">
      <c r="A121" s="152"/>
      <c r="B121" s="152"/>
      <c r="C121" s="152"/>
      <c r="D121" s="152"/>
      <c r="E121" s="152"/>
      <c r="F121" s="152"/>
      <c r="G121" s="152"/>
      <c r="H121" s="152"/>
      <c r="I121" s="152"/>
      <c r="J121" s="152"/>
      <c r="K121" s="152"/>
      <c r="L121" s="152"/>
      <c r="M121" s="177" t="str">
        <f>Q121&amp;"."</f>
        <v>15.</v>
      </c>
      <c r="Q121" s="181">
        <v>15.0</v>
      </c>
      <c r="R121" s="200"/>
      <c r="S121" s="201"/>
      <c r="T121" s="201"/>
      <c r="U121" s="201"/>
      <c r="V121" s="201"/>
      <c r="W121" s="201"/>
      <c r="X121" s="201"/>
      <c r="Y121" s="201"/>
      <c r="Z121" s="201"/>
      <c r="AA121" s="201"/>
      <c r="AB121" s="201"/>
      <c r="AC121" s="201"/>
      <c r="AD121" s="201"/>
      <c r="AE121" s="201"/>
      <c r="AF121" s="201"/>
      <c r="AG121" s="201"/>
      <c r="AH121" s="201"/>
      <c r="AI121" s="201"/>
      <c r="AJ121" s="201"/>
      <c r="AK121" s="201"/>
      <c r="AL121" s="201"/>
      <c r="AM121" s="201"/>
      <c r="AN121" s="201"/>
      <c r="AO121" s="201"/>
      <c r="AP121" s="201"/>
      <c r="AQ121" s="201"/>
      <c r="AR121" s="201"/>
      <c r="AS121" s="201"/>
      <c r="AT121" s="201"/>
      <c r="AU121" s="201"/>
      <c r="AV121" s="201"/>
      <c r="AW121" s="201"/>
      <c r="AX121" s="201"/>
      <c r="AY121" s="201"/>
      <c r="AZ121" s="201"/>
      <c r="BA121" s="201"/>
      <c r="BB121" s="201"/>
      <c r="BC121" s="201"/>
      <c r="BD121" s="201"/>
      <c r="BE121" s="201"/>
      <c r="BF121" s="201"/>
      <c r="BG121" s="201"/>
      <c r="BH121" s="201"/>
      <c r="BI121" s="201"/>
      <c r="BJ121" s="201"/>
      <c r="BK121" s="201"/>
      <c r="BL121" s="201"/>
      <c r="BM121" s="201"/>
      <c r="BN121" s="201"/>
      <c r="BO121" s="201"/>
      <c r="BP121" s="201"/>
      <c r="BQ121" s="201"/>
      <c r="BR121" s="201"/>
      <c r="BS121" s="201"/>
      <c r="BT121" s="201"/>
      <c r="BU121" s="201"/>
      <c r="BV121" s="201"/>
      <c r="BW121" s="201"/>
      <c r="BX121" s="201"/>
      <c r="BY121" s="201"/>
      <c r="BZ121" s="201"/>
      <c r="CA121" s="201"/>
      <c r="CB121" s="201"/>
      <c r="CC121" s="201"/>
      <c r="CD121" s="201"/>
      <c r="CE121" s="201"/>
      <c r="CF121" s="201"/>
      <c r="CG121" s="201"/>
      <c r="CH121" s="201"/>
      <c r="CI121" s="201"/>
      <c r="CJ121" s="185" t="str">
        <f t="array" ref="CJ121">xlookup($Y122,data!$N$2:$N$17,xlookup("r1Ser",data!$P$1:$BR$1,data!$P$2:$BR$17,""))</f>
        <v/>
      </c>
      <c r="CK121" s="8"/>
      <c r="CL121" s="186" t="str">
        <f t="array" ref="CL121">if(Y122="TBD","",xlookup(xlookup($Y122,data!$N$2:$N$17,xlookup("r1op",data!$P$1:$BR$1,data!$P$2:$BR$17,"")),data!$M$2:$M$17,data!$O$2:$O$17,""))</f>
        <v/>
      </c>
      <c r="CM121" s="8"/>
      <c r="CN121" s="8"/>
      <c r="CO121" s="8"/>
      <c r="CP121" s="8"/>
      <c r="CQ121" s="187"/>
      <c r="CR121" s="9"/>
      <c r="CS121" s="185" t="str">
        <f t="array" ref="CS121">xlookup($Y122,data!$N$2:$N$17,xlookup("r2Ser",data!$P$1:$BR$1,data!$P$2:$BR$17,""))</f>
        <v/>
      </c>
      <c r="CT121" s="8"/>
      <c r="CU121" s="186" t="str">
        <f t="array" ref="CU121">xlookup(xlookup($Y122,data!$N$2:$N$17,xlookup("r2op",data!$P$1:$BR$1,data!$P$2:$BR$17,"")),data!$M$2:$M$17,data!$O$2:$O$17,"")</f>
        <v/>
      </c>
      <c r="CV121" s="8"/>
      <c r="CW121" s="8"/>
      <c r="CX121" s="8"/>
      <c r="CY121" s="8"/>
      <c r="CZ121" s="187"/>
      <c r="DA121" s="9"/>
      <c r="DB121" s="185" t="str">
        <f t="array" ref="DB121">xlookup($Y122,data!$N$2:$N$17,xlookup("r3Ser",data!$P$1:$BR$1,data!$P$2:$BR$17,""))</f>
        <v/>
      </c>
      <c r="DC121" s="8"/>
      <c r="DD121" s="186" t="str">
        <f t="array" ref="DD121">xlookup(xlookup($Y122,data!$N$2:$N$17,xlookup("r3op",data!$P$1:$BR$1,data!$P$2:$BR$17,"")),data!$M$2:$M$17,data!$O$2:$O$17,"")</f>
        <v/>
      </c>
      <c r="DE121" s="8"/>
      <c r="DF121" s="8"/>
      <c r="DG121" s="8"/>
      <c r="DH121" s="8"/>
      <c r="DI121" s="187"/>
      <c r="DJ121" s="9"/>
      <c r="DK121" s="185" t="str">
        <f t="array" ref="DK121">xlookup($Y122,data!$N$2:$N$17,xlookup("r4Ser",data!$P$1:$BR$1,data!$P$2:$BR$17,""))</f>
        <v/>
      </c>
      <c r="DL121" s="8"/>
      <c r="DM121" s="186" t="str">
        <f t="array" ref="DM121">xlookup(xlookup($Y122,data!$N$2:$N$17,xlookup("r4op",data!$P$1:$BR$1,data!$P$2:$BR$17,"")),data!$M$2:$M$17,data!$O$2:$O$17,"")</f>
        <v/>
      </c>
      <c r="DN121" s="8"/>
      <c r="DO121" s="8"/>
      <c r="DP121" s="8"/>
      <c r="DQ121" s="8"/>
      <c r="DR121" s="187"/>
      <c r="DS121" s="9"/>
      <c r="DT121" s="185" t="str">
        <f t="array" ref="DT121">xlookup($Y122,data!$N$2:$N$17,xlookup("r5Ser",data!$P$1:$BR$1,data!$P$2:$BR$17,""))</f>
        <v/>
      </c>
      <c r="DU121" s="8"/>
      <c r="DV121" s="186" t="str">
        <f t="array" ref="DV121">xlookup(xlookup($Y122,data!$N$2:$N$17,xlookup("r5op",data!$P$1:$BR$1,data!$P$2:$BR$17,"")),data!$M$2:$M$17,data!$O$2:$O$17,"")</f>
        <v/>
      </c>
      <c r="DW121" s="8"/>
      <c r="DX121" s="8"/>
      <c r="DY121" s="8"/>
      <c r="DZ121" s="8"/>
      <c r="EA121" s="187"/>
      <c r="EB121" s="9"/>
      <c r="EC121" s="152"/>
      <c r="ED121" s="152"/>
      <c r="EE121" s="152"/>
      <c r="EF121" s="152"/>
      <c r="EG121" s="152"/>
      <c r="EH121" s="152"/>
      <c r="EI121" s="152"/>
      <c r="EJ121" s="152"/>
      <c r="EK121" s="152"/>
      <c r="EL121" s="152"/>
      <c r="EM121" s="152"/>
      <c r="EN121" s="152"/>
      <c r="EO121" s="152"/>
      <c r="EP121" s="152"/>
      <c r="EQ121" s="152"/>
      <c r="ER121" s="152"/>
    </row>
    <row r="122" ht="5.25" customHeight="1">
      <c r="A122" s="152"/>
      <c r="B122" s="152"/>
      <c r="C122" s="152"/>
      <c r="D122" s="152"/>
      <c r="E122" s="152"/>
      <c r="F122" s="152"/>
      <c r="G122" s="152"/>
      <c r="H122" s="152"/>
      <c r="I122" s="152"/>
      <c r="J122" s="152"/>
      <c r="K122" s="152"/>
      <c r="L122" s="152"/>
      <c r="Q122" s="152"/>
      <c r="R122" s="202" t="str">
        <f t="array" ref="R122">xlookup(Y122,data!$N$2:$N$17,data!$O$2:$O$17,"")</f>
        <v/>
      </c>
      <c r="X122" s="203"/>
      <c r="Y122" s="204" t="str">
        <f t="array" ref="Y122">xlookup(Q121,data!$G$24:$G$39,data!$A$24:$A$39,"")</f>
        <v>TBD</v>
      </c>
      <c r="BB122" s="203"/>
      <c r="BC122" s="205" t="str">
        <f t="array" ref="BC122">xlookup(Y122,data!$A$24:$A$39,data!$B$24:$B$39,"")</f>
        <v>0-0</v>
      </c>
      <c r="BK122" s="203"/>
      <c r="BL122" s="206" t="str">
        <f t="array" ref="BL122">xlookup(Y122,data!$A$24:$A$39,data!$C$24:$C$39,"")</f>
        <v>0-0</v>
      </c>
      <c r="BT122" s="203"/>
      <c r="BU122" s="207" t="str">
        <f t="array" ref="BU122">xlookup(Y122,data!$A$24:$A$39,data!$D$24:$D$39,"")</f>
        <v>0-0</v>
      </c>
      <c r="CC122" s="203"/>
      <c r="CD122" s="207">
        <f t="array" ref="CD122">xlookup(Y122,data!$A$24:$A$39,data!$F$24:$F$39,"")</f>
        <v>0</v>
      </c>
      <c r="CI122" s="203"/>
      <c r="CJ122" s="10"/>
      <c r="CR122" s="11"/>
      <c r="CS122" s="10"/>
      <c r="DA122" s="11"/>
      <c r="DB122" s="10"/>
      <c r="DJ122" s="11"/>
      <c r="DK122" s="10"/>
      <c r="DS122" s="11"/>
      <c r="DT122" s="10"/>
      <c r="EB122" s="11"/>
      <c r="EC122" s="152"/>
      <c r="ED122" s="152"/>
      <c r="EE122" s="152"/>
      <c r="EF122" s="152"/>
      <c r="EG122" s="152"/>
      <c r="EH122" s="152"/>
      <c r="EI122" s="152"/>
      <c r="EJ122" s="152"/>
      <c r="EK122" s="152"/>
      <c r="EL122" s="152"/>
      <c r="EM122" s="152"/>
      <c r="EN122" s="152"/>
      <c r="EO122" s="152"/>
      <c r="EP122" s="152"/>
      <c r="EQ122" s="152"/>
      <c r="ER122" s="152"/>
    </row>
    <row r="123" ht="5.25" customHeight="1">
      <c r="A123" s="152"/>
      <c r="B123" s="152"/>
      <c r="C123" s="152"/>
      <c r="D123" s="152"/>
      <c r="E123" s="152"/>
      <c r="F123" s="152"/>
      <c r="G123" s="152"/>
      <c r="H123" s="152"/>
      <c r="I123" s="152"/>
      <c r="J123" s="152"/>
      <c r="K123" s="152"/>
      <c r="L123" s="152"/>
      <c r="Q123" s="152"/>
      <c r="R123" s="10"/>
      <c r="X123" s="203"/>
      <c r="BB123" s="203"/>
      <c r="BK123" s="203"/>
      <c r="BT123" s="203"/>
      <c r="CC123" s="203"/>
      <c r="CI123" s="203"/>
      <c r="CJ123" s="10"/>
      <c r="CR123" s="11"/>
      <c r="CS123" s="10"/>
      <c r="DA123" s="11"/>
      <c r="DB123" s="10"/>
      <c r="DJ123" s="11"/>
      <c r="DK123" s="10"/>
      <c r="DS123" s="11"/>
      <c r="DT123" s="10"/>
      <c r="EB123" s="11"/>
      <c r="EC123" s="152"/>
      <c r="ED123" s="152"/>
      <c r="EE123" s="152"/>
      <c r="EF123" s="152"/>
      <c r="EG123" s="152"/>
      <c r="EH123" s="152"/>
      <c r="EI123" s="152"/>
      <c r="EJ123" s="152"/>
      <c r="EK123" s="152"/>
      <c r="EL123" s="152"/>
      <c r="EM123" s="152"/>
      <c r="EN123" s="152"/>
      <c r="EO123" s="152"/>
      <c r="EP123" s="152"/>
      <c r="EQ123" s="152"/>
      <c r="ER123" s="152"/>
    </row>
    <row r="124" ht="5.25" customHeight="1">
      <c r="A124" s="152"/>
      <c r="B124" s="152"/>
      <c r="C124" s="152"/>
      <c r="D124" s="152"/>
      <c r="E124" s="152"/>
      <c r="F124" s="152"/>
      <c r="G124" s="152"/>
      <c r="H124" s="152"/>
      <c r="I124" s="152"/>
      <c r="J124" s="152"/>
      <c r="K124" s="152"/>
      <c r="L124" s="152"/>
      <c r="Q124" s="152"/>
      <c r="R124" s="10"/>
      <c r="X124" s="203"/>
      <c r="BB124" s="203"/>
      <c r="BK124" s="203"/>
      <c r="BT124" s="203"/>
      <c r="CC124" s="203"/>
      <c r="CI124" s="203"/>
      <c r="CJ124" s="10"/>
      <c r="CR124" s="11"/>
      <c r="CS124" s="10"/>
      <c r="DA124" s="11"/>
      <c r="DB124" s="10"/>
      <c r="DJ124" s="11"/>
      <c r="DK124" s="10"/>
      <c r="DS124" s="11"/>
      <c r="DT124" s="10"/>
      <c r="EB124" s="11"/>
      <c r="EC124" s="152"/>
      <c r="ED124" s="152"/>
      <c r="EE124" s="152"/>
      <c r="EF124" s="152"/>
      <c r="EG124" s="152"/>
      <c r="EH124" s="152"/>
      <c r="EI124" s="152"/>
      <c r="EJ124" s="152"/>
      <c r="EK124" s="152"/>
      <c r="EL124" s="152"/>
      <c r="EM124" s="152"/>
      <c r="EN124" s="152"/>
      <c r="EO124" s="152"/>
      <c r="EP124" s="152"/>
      <c r="EQ124" s="152"/>
      <c r="ER124" s="152"/>
    </row>
    <row r="125" ht="5.25" customHeight="1">
      <c r="A125" s="152"/>
      <c r="B125" s="152"/>
      <c r="C125" s="152"/>
      <c r="D125" s="152"/>
      <c r="E125" s="152"/>
      <c r="F125" s="152"/>
      <c r="G125" s="152"/>
      <c r="H125" s="152"/>
      <c r="I125" s="152"/>
      <c r="J125" s="152"/>
      <c r="K125" s="152"/>
      <c r="L125" s="152"/>
      <c r="Q125" s="152"/>
      <c r="R125" s="10"/>
      <c r="X125" s="203"/>
      <c r="BB125" s="203"/>
      <c r="BK125" s="203"/>
      <c r="BT125" s="203"/>
      <c r="CC125" s="203"/>
      <c r="CI125" s="203"/>
      <c r="CJ125" s="10"/>
      <c r="CR125" s="11"/>
      <c r="CS125" s="10"/>
      <c r="DA125" s="11"/>
      <c r="DB125" s="10"/>
      <c r="DJ125" s="11"/>
      <c r="DK125" s="10"/>
      <c r="DS125" s="11"/>
      <c r="DT125" s="10"/>
      <c r="EB125" s="11"/>
      <c r="EC125" s="152"/>
      <c r="ED125" s="152"/>
      <c r="EE125" s="152"/>
      <c r="EF125" s="152"/>
      <c r="EG125" s="152"/>
      <c r="EH125" s="152"/>
      <c r="EI125" s="152"/>
      <c r="EJ125" s="152"/>
      <c r="EK125" s="152"/>
      <c r="EL125" s="152"/>
      <c r="EM125" s="152"/>
      <c r="EN125" s="152"/>
      <c r="EO125" s="152"/>
      <c r="EP125" s="152"/>
      <c r="EQ125" s="152"/>
      <c r="ER125" s="152"/>
    </row>
    <row r="126" ht="5.25" customHeight="1">
      <c r="A126" s="152"/>
      <c r="B126" s="152"/>
      <c r="C126" s="152"/>
      <c r="D126" s="152"/>
      <c r="E126" s="152"/>
      <c r="F126" s="152"/>
      <c r="G126" s="152"/>
      <c r="H126" s="152"/>
      <c r="I126" s="152"/>
      <c r="J126" s="152"/>
      <c r="K126" s="152"/>
      <c r="L126" s="152"/>
      <c r="Q126" s="152"/>
      <c r="R126" s="10"/>
      <c r="X126" s="203"/>
      <c r="BB126" s="203"/>
      <c r="BK126" s="203"/>
      <c r="BT126" s="203"/>
      <c r="CC126" s="203"/>
      <c r="CI126" s="203"/>
      <c r="CJ126" s="195" t="str">
        <f t="array" ref="CJ126">xlookup($Y122,teams,xlookup("r1gw",header,swissdata))&amp;"-"&amp;xlookup($Y122,teams,xlookup("r1gl",header,swissdata))</f>
        <v>-</v>
      </c>
      <c r="CN126" s="196"/>
      <c r="CO126" s="196">
        <f t="array" ref="CO126">if(xlookup($Y122,teams,xlookup("r1rd",header,swissdata))&gt;0,"+"&amp;xlookup($Y122,teams,xlookup("r1rd",header,swissdata)),xlookup($Y122,teams,xlookup("r1rd",header,swissdata)))</f>
        <v>0</v>
      </c>
      <c r="CR126" s="11"/>
      <c r="CS126" s="195" t="str">
        <f t="array" ref="CS126">xlookup($Y122,teams,xlookup("r2gw",header,swissdata))&amp;"-"&amp;xlookup($Y122,teams,xlookup("r2gl",header,swissdata))</f>
        <v>-</v>
      </c>
      <c r="CW126" s="196"/>
      <c r="CX126" s="196">
        <f t="array" ref="CX126">if(xlookup($Y122,teams,xlookup("r2rd",header,swissdata))&gt;0,"+"&amp;xlookup($Y122,teams,xlookup("r2rd",header,swissdata)),xlookup($Y122,teams,xlookup("r2rd",header,swissdata)))</f>
        <v>0</v>
      </c>
      <c r="DA126" s="11"/>
      <c r="DB126" s="195" t="str">
        <f t="array" ref="DB126">xlookup($Y122,teams,xlookup("r3gw",header,swissdata))&amp;"-"&amp;xlookup($Y122,teams,xlookup("r3gl",header,swissdata))</f>
        <v>-</v>
      </c>
      <c r="DF126" s="196"/>
      <c r="DG126" s="196">
        <f t="array" ref="DG126">if(xlookup($Y122,teams,xlookup("r3rd",header,swissdata))&gt;0,"+"&amp;xlookup($Y122,teams,xlookup("r3rd",header,swissdata)),xlookup($Y122,teams,xlookup("r3rd",header,swissdata)))</f>
        <v>0</v>
      </c>
      <c r="DJ126" s="11"/>
      <c r="DK126" s="195"/>
      <c r="DO126" s="196"/>
      <c r="DP126" s="196"/>
      <c r="DS126" s="11"/>
      <c r="DT126" s="195"/>
      <c r="DX126" s="196"/>
      <c r="DY126" s="196"/>
      <c r="EB126" s="11"/>
      <c r="EC126" s="152"/>
      <c r="ED126" s="152"/>
      <c r="EE126" s="152"/>
      <c r="EF126" s="152"/>
      <c r="EG126" s="152"/>
      <c r="EH126" s="152"/>
      <c r="EI126" s="152"/>
      <c r="EJ126" s="152"/>
      <c r="EK126" s="152"/>
      <c r="EL126" s="152"/>
      <c r="EM126" s="152"/>
      <c r="EN126" s="152"/>
      <c r="EO126" s="152"/>
      <c r="EP126" s="152"/>
      <c r="EQ126" s="152"/>
      <c r="ER126" s="152"/>
    </row>
    <row r="127" ht="5.25" customHeight="1">
      <c r="A127" s="152"/>
      <c r="B127" s="152"/>
      <c r="C127" s="152"/>
      <c r="D127" s="152"/>
      <c r="E127" s="152"/>
      <c r="F127" s="152"/>
      <c r="G127" s="152"/>
      <c r="H127" s="152"/>
      <c r="I127" s="152"/>
      <c r="J127" s="152"/>
      <c r="K127" s="152"/>
      <c r="L127" s="152"/>
      <c r="Q127" s="152"/>
      <c r="R127" s="10"/>
      <c r="X127" s="203"/>
      <c r="BB127" s="203"/>
      <c r="BK127" s="203"/>
      <c r="BT127" s="203"/>
      <c r="CC127" s="203"/>
      <c r="CI127" s="203"/>
      <c r="CJ127" s="10"/>
      <c r="CR127" s="11"/>
      <c r="CS127" s="10"/>
      <c r="DA127" s="11"/>
      <c r="DB127" s="10"/>
      <c r="DJ127" s="11"/>
      <c r="DK127" s="10"/>
      <c r="DS127" s="11"/>
      <c r="DT127" s="10"/>
      <c r="EB127" s="11"/>
      <c r="EC127" s="152"/>
      <c r="ED127" s="152"/>
      <c r="EE127" s="152"/>
      <c r="EF127" s="152"/>
      <c r="EG127" s="152"/>
      <c r="EH127" s="152"/>
      <c r="EI127" s="152"/>
      <c r="EJ127" s="152"/>
      <c r="EK127" s="152"/>
      <c r="EL127" s="152"/>
      <c r="EM127" s="152"/>
      <c r="EN127" s="152"/>
      <c r="EO127" s="152"/>
      <c r="EP127" s="152"/>
      <c r="EQ127" s="152"/>
      <c r="ER127" s="152"/>
    </row>
    <row r="128" ht="5.25" customHeight="1">
      <c r="A128" s="152"/>
      <c r="B128" s="152"/>
      <c r="C128" s="152"/>
      <c r="D128" s="152"/>
      <c r="E128" s="152"/>
      <c r="F128" s="152"/>
      <c r="G128" s="152"/>
      <c r="H128" s="152"/>
      <c r="I128" s="152"/>
      <c r="J128" s="152"/>
      <c r="K128" s="152"/>
      <c r="L128" s="152"/>
      <c r="Q128" s="152"/>
      <c r="R128" s="208"/>
      <c r="S128" s="209"/>
      <c r="T128" s="209"/>
      <c r="U128" s="209"/>
      <c r="V128" s="209"/>
      <c r="W128" s="209"/>
      <c r="X128" s="209"/>
      <c r="Y128" s="209"/>
      <c r="Z128" s="209"/>
      <c r="AA128" s="209"/>
      <c r="AB128" s="209"/>
      <c r="AC128" s="209"/>
      <c r="AD128" s="209"/>
      <c r="AE128" s="209"/>
      <c r="AF128" s="209"/>
      <c r="AG128" s="209"/>
      <c r="AH128" s="209"/>
      <c r="AI128" s="209"/>
      <c r="AJ128" s="209"/>
      <c r="AK128" s="209"/>
      <c r="AL128" s="209"/>
      <c r="AM128" s="209"/>
      <c r="AN128" s="209"/>
      <c r="AO128" s="209"/>
      <c r="AP128" s="209"/>
      <c r="AQ128" s="209"/>
      <c r="AR128" s="209"/>
      <c r="AS128" s="209"/>
      <c r="AT128" s="209"/>
      <c r="AU128" s="209"/>
      <c r="AV128" s="209"/>
      <c r="AW128" s="209"/>
      <c r="AX128" s="209"/>
      <c r="AY128" s="209"/>
      <c r="AZ128" s="209"/>
      <c r="BA128" s="209"/>
      <c r="BB128" s="209"/>
      <c r="BC128" s="209"/>
      <c r="BD128" s="209"/>
      <c r="BE128" s="209"/>
      <c r="BF128" s="209"/>
      <c r="BG128" s="209"/>
      <c r="BH128" s="209"/>
      <c r="BI128" s="209"/>
      <c r="BJ128" s="209"/>
      <c r="BK128" s="209"/>
      <c r="BL128" s="209"/>
      <c r="BM128" s="209"/>
      <c r="BN128" s="209"/>
      <c r="BO128" s="209"/>
      <c r="BP128" s="209"/>
      <c r="BQ128" s="209"/>
      <c r="BR128" s="209"/>
      <c r="BS128" s="209"/>
      <c r="BT128" s="209"/>
      <c r="BU128" s="209"/>
      <c r="BV128" s="209"/>
      <c r="BW128" s="209"/>
      <c r="BX128" s="209"/>
      <c r="BY128" s="209"/>
      <c r="BZ128" s="209"/>
      <c r="CA128" s="209"/>
      <c r="CB128" s="209"/>
      <c r="CC128" s="209"/>
      <c r="CD128" s="209"/>
      <c r="CE128" s="209"/>
      <c r="CF128" s="209"/>
      <c r="CG128" s="209"/>
      <c r="CH128" s="209"/>
      <c r="CI128" s="209"/>
      <c r="CJ128" s="12"/>
      <c r="CK128" s="13"/>
      <c r="CL128" s="13"/>
      <c r="CM128" s="13"/>
      <c r="CN128" s="13"/>
      <c r="CO128" s="13"/>
      <c r="CP128" s="13"/>
      <c r="CQ128" s="13"/>
      <c r="CR128" s="14"/>
      <c r="CS128" s="12"/>
      <c r="CT128" s="13"/>
      <c r="CU128" s="13"/>
      <c r="CV128" s="13"/>
      <c r="CW128" s="13"/>
      <c r="CX128" s="13"/>
      <c r="CY128" s="13"/>
      <c r="CZ128" s="13"/>
      <c r="DA128" s="14"/>
      <c r="DB128" s="12"/>
      <c r="DC128" s="13"/>
      <c r="DD128" s="13"/>
      <c r="DE128" s="13"/>
      <c r="DF128" s="13"/>
      <c r="DG128" s="13"/>
      <c r="DH128" s="13"/>
      <c r="DI128" s="13"/>
      <c r="DJ128" s="14"/>
      <c r="DK128" s="12"/>
      <c r="DL128" s="13"/>
      <c r="DM128" s="13"/>
      <c r="DN128" s="13"/>
      <c r="DO128" s="13"/>
      <c r="DP128" s="13"/>
      <c r="DQ128" s="13"/>
      <c r="DR128" s="13"/>
      <c r="DS128" s="14"/>
      <c r="DT128" s="12"/>
      <c r="DU128" s="13"/>
      <c r="DV128" s="13"/>
      <c r="DW128" s="13"/>
      <c r="DX128" s="13"/>
      <c r="DY128" s="13"/>
      <c r="DZ128" s="13"/>
      <c r="EA128" s="13"/>
      <c r="EB128" s="14"/>
      <c r="EC128" s="152"/>
      <c r="ED128" s="152"/>
      <c r="EE128" s="152"/>
      <c r="EF128" s="152"/>
      <c r="EG128" s="152"/>
      <c r="EH128" s="152"/>
      <c r="EI128" s="152"/>
      <c r="EJ128" s="152"/>
      <c r="EK128" s="152"/>
      <c r="EL128" s="152"/>
      <c r="EM128" s="152"/>
      <c r="EN128" s="152"/>
      <c r="EO128" s="152"/>
      <c r="EP128" s="152"/>
      <c r="EQ128" s="152"/>
      <c r="ER128" s="152"/>
    </row>
    <row r="129" ht="5.25" customHeight="1">
      <c r="A129" s="152"/>
      <c r="B129" s="152"/>
      <c r="C129" s="152"/>
      <c r="D129" s="152"/>
      <c r="E129" s="152"/>
      <c r="F129" s="152"/>
      <c r="G129" s="152"/>
      <c r="H129" s="152"/>
      <c r="I129" s="152"/>
      <c r="J129" s="152"/>
      <c r="K129" s="152"/>
      <c r="L129" s="152"/>
      <c r="M129" s="177" t="str">
        <f>Q129&amp;"."</f>
        <v>16.</v>
      </c>
      <c r="Q129" s="181">
        <v>16.0</v>
      </c>
      <c r="R129" s="200"/>
      <c r="S129" s="201"/>
      <c r="T129" s="201"/>
      <c r="U129" s="201"/>
      <c r="V129" s="201"/>
      <c r="W129" s="201"/>
      <c r="X129" s="201"/>
      <c r="Y129" s="201"/>
      <c r="Z129" s="201"/>
      <c r="AA129" s="201"/>
      <c r="AB129" s="201"/>
      <c r="AC129" s="201"/>
      <c r="AD129" s="201"/>
      <c r="AE129" s="201"/>
      <c r="AF129" s="201"/>
      <c r="AG129" s="201"/>
      <c r="AH129" s="201"/>
      <c r="AI129" s="201"/>
      <c r="AJ129" s="201"/>
      <c r="AK129" s="201"/>
      <c r="AL129" s="201"/>
      <c r="AM129" s="201"/>
      <c r="AN129" s="201"/>
      <c r="AO129" s="201"/>
      <c r="AP129" s="201"/>
      <c r="AQ129" s="201"/>
      <c r="AR129" s="201"/>
      <c r="AS129" s="201"/>
      <c r="AT129" s="201"/>
      <c r="AU129" s="201"/>
      <c r="AV129" s="201"/>
      <c r="AW129" s="201"/>
      <c r="AX129" s="201"/>
      <c r="AY129" s="201"/>
      <c r="AZ129" s="201"/>
      <c r="BA129" s="201"/>
      <c r="BB129" s="201"/>
      <c r="BC129" s="201"/>
      <c r="BD129" s="201"/>
      <c r="BE129" s="201"/>
      <c r="BF129" s="201"/>
      <c r="BG129" s="201"/>
      <c r="BH129" s="201"/>
      <c r="BI129" s="201"/>
      <c r="BJ129" s="201"/>
      <c r="BK129" s="201"/>
      <c r="BL129" s="201"/>
      <c r="BM129" s="201"/>
      <c r="BN129" s="201"/>
      <c r="BO129" s="201"/>
      <c r="BP129" s="201"/>
      <c r="BQ129" s="201"/>
      <c r="BR129" s="201"/>
      <c r="BS129" s="201"/>
      <c r="BT129" s="201"/>
      <c r="BU129" s="201"/>
      <c r="BV129" s="201"/>
      <c r="BW129" s="201"/>
      <c r="BX129" s="201"/>
      <c r="BY129" s="201"/>
      <c r="BZ129" s="201"/>
      <c r="CA129" s="201"/>
      <c r="CB129" s="201"/>
      <c r="CC129" s="201"/>
      <c r="CD129" s="201"/>
      <c r="CE129" s="201"/>
      <c r="CF129" s="201"/>
      <c r="CG129" s="201"/>
      <c r="CH129" s="201"/>
      <c r="CI129" s="201"/>
      <c r="CJ129" s="185" t="str">
        <f t="array" ref="CJ129">xlookup($Y130,data!$N$2:$N$17,xlookup("r1Ser",data!$P$1:$BR$1,data!$P$2:$BR$17,""))</f>
        <v/>
      </c>
      <c r="CK129" s="8"/>
      <c r="CL129" s="186" t="str">
        <f t="array" ref="CL129">if(Y130="TBD","",xlookup(xlookup($Y130,data!$N$2:$N$17,xlookup("r1op",data!$P$1:$BR$1,data!$P$2:$BR$17,"")),data!$M$2:$M$17,data!$O$2:$O$17,""))</f>
        <v/>
      </c>
      <c r="CM129" s="8"/>
      <c r="CN129" s="8"/>
      <c r="CO129" s="8"/>
      <c r="CP129" s="8"/>
      <c r="CQ129" s="187"/>
      <c r="CR129" s="9"/>
      <c r="CS129" s="185" t="str">
        <f t="array" ref="CS129">xlookup($Y130,data!$N$2:$N$17,xlookup("r2Ser",data!$P$1:$BR$1,data!$P$2:$BR$17,""))</f>
        <v/>
      </c>
      <c r="CT129" s="8"/>
      <c r="CU129" s="186" t="str">
        <f t="array" ref="CU129">xlookup(xlookup($Y130,data!$N$2:$N$17,xlookup("r2op",data!$P$1:$BR$1,data!$P$2:$BR$17,"")),data!$M$2:$M$17,data!$O$2:$O$17,"")</f>
        <v/>
      </c>
      <c r="CV129" s="8"/>
      <c r="CW129" s="8"/>
      <c r="CX129" s="8"/>
      <c r="CY129" s="8"/>
      <c r="CZ129" s="187"/>
      <c r="DA129" s="9"/>
      <c r="DB129" s="185" t="str">
        <f t="array" ref="DB129">xlookup($Y130,data!$N$2:$N$17,xlookup("r3Ser",data!$P$1:$BR$1,data!$P$2:$BR$17,""))</f>
        <v/>
      </c>
      <c r="DC129" s="8"/>
      <c r="DD129" s="186" t="str">
        <f t="array" ref="DD129">xlookup(xlookup($Y130,data!$N$2:$N$17,xlookup("r3op",data!$P$1:$BR$1,data!$P$2:$BR$17,"")),data!$M$2:$M$17,data!$O$2:$O$17,"")</f>
        <v/>
      </c>
      <c r="DE129" s="8"/>
      <c r="DF129" s="8"/>
      <c r="DG129" s="8"/>
      <c r="DH129" s="8"/>
      <c r="DI129" s="187"/>
      <c r="DJ129" s="9"/>
      <c r="DK129" s="185" t="str">
        <f t="array" ref="DK129">xlookup($Y130,data!$N$2:$N$17,xlookup("r4Ser",data!$P$1:$BR$1,data!$P$2:$BR$17,""))</f>
        <v/>
      </c>
      <c r="DL129" s="8"/>
      <c r="DM129" s="186" t="str">
        <f t="array" ref="DM129">xlookup(xlookup($Y130,data!$N$2:$N$17,xlookup("r4op",data!$P$1:$BR$1,data!$P$2:$BR$17,"")),data!$M$2:$M$17,data!$O$2:$O$17,"")</f>
        <v/>
      </c>
      <c r="DN129" s="8"/>
      <c r="DO129" s="8"/>
      <c r="DP129" s="8"/>
      <c r="DQ129" s="8"/>
      <c r="DR129" s="187"/>
      <c r="DS129" s="9"/>
      <c r="DT129" s="185" t="str">
        <f t="array" ref="DT129">xlookup($Y130,data!$N$2:$N$17,xlookup("r5Ser",data!$P$1:$BR$1,data!$P$2:$BR$17,""))</f>
        <v/>
      </c>
      <c r="DU129" s="8"/>
      <c r="DV129" s="186" t="str">
        <f t="array" ref="DV129">xlookup(xlookup($Y130,data!$N$2:$N$17,xlookup("r5op",data!$P$1:$BR$1,data!$P$2:$BR$17,"")),data!$M$2:$M$17,data!$O$2:$O$17,"")</f>
        <v/>
      </c>
      <c r="DW129" s="8"/>
      <c r="DX129" s="8"/>
      <c r="DY129" s="8"/>
      <c r="DZ129" s="8"/>
      <c r="EA129" s="187"/>
      <c r="EB129" s="9"/>
      <c r="EC129" s="152"/>
      <c r="ED129" s="152"/>
      <c r="EE129" s="152"/>
      <c r="EF129" s="152"/>
      <c r="EG129" s="152"/>
      <c r="EH129" s="152"/>
      <c r="EI129" s="152"/>
      <c r="EJ129" s="152"/>
      <c r="EK129" s="152"/>
      <c r="EL129" s="152"/>
      <c r="EM129" s="152"/>
      <c r="EN129" s="152"/>
      <c r="EO129" s="152"/>
      <c r="EP129" s="152"/>
      <c r="EQ129" s="152"/>
      <c r="ER129" s="152"/>
    </row>
    <row r="130" ht="5.25" customHeight="1">
      <c r="A130" s="152"/>
      <c r="B130" s="152"/>
      <c r="C130" s="152"/>
      <c r="D130" s="152"/>
      <c r="E130" s="152"/>
      <c r="F130" s="152"/>
      <c r="G130" s="152"/>
      <c r="H130" s="152"/>
      <c r="I130" s="152"/>
      <c r="J130" s="152"/>
      <c r="K130" s="152"/>
      <c r="L130" s="152"/>
      <c r="Q130" s="152"/>
      <c r="R130" s="202" t="str">
        <f t="array" ref="R130">xlookup(Y130,data!$N$2:$N$17,data!$O$2:$O$17,"")</f>
        <v/>
      </c>
      <c r="X130" s="203"/>
      <c r="Y130" s="204" t="str">
        <f t="array" ref="Y130">xlookup(Q129,data!$G$24:$G$39,data!$A$24:$A$39,"")</f>
        <v>TBD</v>
      </c>
      <c r="BB130" s="203"/>
      <c r="BC130" s="205" t="str">
        <f t="array" ref="BC130">xlookup(Y130,data!$A$24:$A$39,data!$B$24:$B$39,"")</f>
        <v>0-0</v>
      </c>
      <c r="BK130" s="203"/>
      <c r="BL130" s="206" t="str">
        <f t="array" ref="BL130">xlookup(Y130,data!$A$24:$A$39,data!$C$24:$C$39,"")</f>
        <v>0-0</v>
      </c>
      <c r="BT130" s="203"/>
      <c r="BU130" s="207" t="str">
        <f t="array" ref="BU130">xlookup(Y130,data!$A$24:$A$39,data!$D$24:$D$39,"")</f>
        <v>0-0</v>
      </c>
      <c r="CC130" s="203"/>
      <c r="CD130" s="207">
        <f t="array" ref="CD130">xlookup(Y130,data!$A$24:$A$39,data!$F$24:$F$39,"")</f>
        <v>0</v>
      </c>
      <c r="CI130" s="203"/>
      <c r="CJ130" s="10"/>
      <c r="CR130" s="11"/>
      <c r="CS130" s="10"/>
      <c r="DA130" s="11"/>
      <c r="DB130" s="10"/>
      <c r="DJ130" s="11"/>
      <c r="DK130" s="10"/>
      <c r="DS130" s="11"/>
      <c r="DT130" s="10"/>
      <c r="EB130" s="11"/>
      <c r="EC130" s="152"/>
      <c r="ED130" s="152"/>
      <c r="EE130" s="152"/>
      <c r="EF130" s="152"/>
      <c r="EG130" s="152"/>
      <c r="EH130" s="152"/>
      <c r="EI130" s="152"/>
      <c r="EJ130" s="152"/>
      <c r="EK130" s="152"/>
      <c r="EL130" s="152"/>
      <c r="EM130" s="152"/>
      <c r="EN130" s="152"/>
      <c r="EO130" s="152"/>
      <c r="EP130" s="152"/>
      <c r="EQ130" s="152"/>
      <c r="ER130" s="152"/>
    </row>
    <row r="131" ht="5.25" customHeight="1">
      <c r="A131" s="152"/>
      <c r="B131" s="152"/>
      <c r="C131" s="152"/>
      <c r="D131" s="152"/>
      <c r="E131" s="152"/>
      <c r="F131" s="152"/>
      <c r="G131" s="152"/>
      <c r="H131" s="152"/>
      <c r="I131" s="152"/>
      <c r="J131" s="152"/>
      <c r="K131" s="152"/>
      <c r="L131" s="152"/>
      <c r="Q131" s="152"/>
      <c r="R131" s="10"/>
      <c r="X131" s="203"/>
      <c r="BB131" s="203"/>
      <c r="BK131" s="203"/>
      <c r="BT131" s="203"/>
      <c r="CC131" s="203"/>
      <c r="CI131" s="203"/>
      <c r="CJ131" s="10"/>
      <c r="CR131" s="11"/>
      <c r="CS131" s="10"/>
      <c r="DA131" s="11"/>
      <c r="DB131" s="10"/>
      <c r="DJ131" s="11"/>
      <c r="DK131" s="10"/>
      <c r="DS131" s="11"/>
      <c r="DT131" s="10"/>
      <c r="EB131" s="11"/>
      <c r="EC131" s="152"/>
      <c r="ED131" s="152"/>
      <c r="EE131" s="152"/>
      <c r="EF131" s="152"/>
      <c r="EG131" s="152"/>
      <c r="EH131" s="152"/>
      <c r="EI131" s="152"/>
      <c r="EJ131" s="152"/>
      <c r="EK131" s="152"/>
      <c r="EL131" s="152"/>
      <c r="EM131" s="152"/>
      <c r="EN131" s="152"/>
      <c r="EO131" s="152"/>
      <c r="EP131" s="152"/>
      <c r="EQ131" s="152"/>
      <c r="ER131" s="152"/>
    </row>
    <row r="132" ht="5.25" customHeight="1">
      <c r="A132" s="152"/>
      <c r="B132" s="152"/>
      <c r="C132" s="152"/>
      <c r="D132" s="152"/>
      <c r="E132" s="152"/>
      <c r="F132" s="152"/>
      <c r="G132" s="152"/>
      <c r="H132" s="152"/>
      <c r="I132" s="152"/>
      <c r="J132" s="152"/>
      <c r="K132" s="152"/>
      <c r="L132" s="152"/>
      <c r="Q132" s="152"/>
      <c r="R132" s="10"/>
      <c r="X132" s="203"/>
      <c r="BB132" s="203"/>
      <c r="BK132" s="203"/>
      <c r="BT132" s="203"/>
      <c r="CC132" s="203"/>
      <c r="CI132" s="203"/>
      <c r="CJ132" s="10"/>
      <c r="CR132" s="11"/>
      <c r="CS132" s="10"/>
      <c r="DA132" s="11"/>
      <c r="DB132" s="10"/>
      <c r="DJ132" s="11"/>
      <c r="DK132" s="10"/>
      <c r="DS132" s="11"/>
      <c r="DT132" s="10"/>
      <c r="EB132" s="11"/>
      <c r="EC132" s="152"/>
      <c r="ED132" s="152"/>
      <c r="EE132" s="152"/>
      <c r="EF132" s="152"/>
      <c r="EG132" s="152"/>
      <c r="EH132" s="152"/>
      <c r="EI132" s="152"/>
      <c r="EJ132" s="152"/>
      <c r="EK132" s="152"/>
      <c r="EL132" s="152"/>
      <c r="EM132" s="152"/>
      <c r="EN132" s="152"/>
      <c r="EO132" s="152"/>
      <c r="EP132" s="152"/>
      <c r="EQ132" s="152"/>
      <c r="ER132" s="152"/>
    </row>
    <row r="133" ht="5.25" customHeight="1">
      <c r="A133" s="152"/>
      <c r="B133" s="152"/>
      <c r="C133" s="152"/>
      <c r="D133" s="152"/>
      <c r="E133" s="152"/>
      <c r="F133" s="152"/>
      <c r="G133" s="152"/>
      <c r="H133" s="152"/>
      <c r="I133" s="152"/>
      <c r="J133" s="152"/>
      <c r="K133" s="152"/>
      <c r="L133" s="152"/>
      <c r="Q133" s="152"/>
      <c r="R133" s="10"/>
      <c r="X133" s="203"/>
      <c r="BB133" s="203"/>
      <c r="BK133" s="203"/>
      <c r="BT133" s="203"/>
      <c r="CC133" s="203"/>
      <c r="CI133" s="203"/>
      <c r="CJ133" s="10"/>
      <c r="CR133" s="11"/>
      <c r="CS133" s="10"/>
      <c r="DA133" s="11"/>
      <c r="DB133" s="10"/>
      <c r="DJ133" s="11"/>
      <c r="DK133" s="10"/>
      <c r="DS133" s="11"/>
      <c r="DT133" s="10"/>
      <c r="EB133" s="11"/>
      <c r="EC133" s="152"/>
      <c r="ED133" s="152"/>
      <c r="EE133" s="152"/>
      <c r="EF133" s="152"/>
      <c r="EG133" s="152"/>
      <c r="EH133" s="152"/>
      <c r="EI133" s="152"/>
      <c r="EJ133" s="152"/>
      <c r="EK133" s="152"/>
      <c r="EL133" s="152"/>
      <c r="EM133" s="152"/>
      <c r="EN133" s="152"/>
      <c r="EO133" s="152"/>
      <c r="EP133" s="152"/>
      <c r="EQ133" s="152"/>
      <c r="ER133" s="152"/>
    </row>
    <row r="134" ht="5.25" customHeight="1">
      <c r="A134" s="152"/>
      <c r="B134" s="152"/>
      <c r="C134" s="152"/>
      <c r="D134" s="152"/>
      <c r="E134" s="152"/>
      <c r="F134" s="152"/>
      <c r="G134" s="152"/>
      <c r="H134" s="152"/>
      <c r="I134" s="152"/>
      <c r="J134" s="152"/>
      <c r="K134" s="152"/>
      <c r="L134" s="152"/>
      <c r="Q134" s="152"/>
      <c r="R134" s="10"/>
      <c r="X134" s="203"/>
      <c r="BB134" s="203"/>
      <c r="BK134" s="203"/>
      <c r="BT134" s="203"/>
      <c r="CC134" s="203"/>
      <c r="CI134" s="203"/>
      <c r="CJ134" s="195" t="str">
        <f t="array" ref="CJ134">xlookup($Y130,teams,xlookup("r1gw",header,swissdata))&amp;"-"&amp;xlookup($Y130,teams,xlookup("r1gl",header,swissdata))</f>
        <v>-</v>
      </c>
      <c r="CN134" s="196"/>
      <c r="CO134" s="196">
        <f t="array" ref="CO134">if(xlookup($Y130,teams,xlookup("r1rd",header,swissdata))&gt;0,"+"&amp;xlookup($Y130,teams,xlookup("r1rd",header,swissdata)),xlookup($Y130,teams,xlookup("r1rd",header,swissdata)))</f>
        <v>0</v>
      </c>
      <c r="CR134" s="11"/>
      <c r="CS134" s="195" t="str">
        <f t="array" ref="CS134">xlookup($Y130,teams,xlookup("r2gw",header,swissdata))&amp;"-"&amp;xlookup($Y130,teams,xlookup("r2gl",header,swissdata))</f>
        <v>-</v>
      </c>
      <c r="CW134" s="196"/>
      <c r="CX134" s="196">
        <f t="array" ref="CX134">if(xlookup($Y130,teams,xlookup("r2rd",header,swissdata))&gt;0,"+"&amp;xlookup($Y130,teams,xlookup("r2rd",header,swissdata)),xlookup($Y130,teams,xlookup("r2rd",header,swissdata)))</f>
        <v>0</v>
      </c>
      <c r="DA134" s="11"/>
      <c r="DB134" s="195" t="str">
        <f t="array" ref="DB134">xlookup($Y130,teams,xlookup("r3gw",header,swissdata))&amp;"-"&amp;xlookup($Y130,teams,xlookup("r3gl",header,swissdata))</f>
        <v>-</v>
      </c>
      <c r="DF134" s="196"/>
      <c r="DG134" s="196">
        <f t="array" ref="DG134">if(xlookup($Y130,teams,xlookup("r3rd",header,swissdata))&gt;0,"+"&amp;xlookup($Y130,teams,xlookup("r3rd",header,swissdata)),xlookup($Y130,teams,xlookup("r3rd",header,swissdata)))</f>
        <v>0</v>
      </c>
      <c r="DJ134" s="11"/>
      <c r="DK134" s="195"/>
      <c r="DO134" s="196"/>
      <c r="DP134" s="196"/>
      <c r="DS134" s="11"/>
      <c r="DT134" s="195"/>
      <c r="DX134" s="196"/>
      <c r="DY134" s="196"/>
      <c r="EB134" s="11"/>
      <c r="EC134" s="152"/>
      <c r="ED134" s="152"/>
      <c r="EE134" s="152"/>
      <c r="EF134" s="152"/>
      <c r="EG134" s="152"/>
      <c r="EH134" s="152"/>
      <c r="EI134" s="152"/>
      <c r="EJ134" s="152"/>
      <c r="EK134" s="152"/>
      <c r="EL134" s="152"/>
      <c r="EM134" s="152"/>
      <c r="EN134" s="152"/>
      <c r="EO134" s="152"/>
      <c r="EP134" s="152"/>
      <c r="EQ134" s="152"/>
      <c r="ER134" s="152"/>
    </row>
    <row r="135" ht="5.25" customHeight="1">
      <c r="A135" s="152"/>
      <c r="B135" s="152"/>
      <c r="C135" s="152"/>
      <c r="D135" s="152"/>
      <c r="E135" s="152"/>
      <c r="F135" s="152"/>
      <c r="G135" s="152"/>
      <c r="H135" s="152"/>
      <c r="I135" s="152"/>
      <c r="J135" s="152"/>
      <c r="K135" s="152"/>
      <c r="L135" s="152"/>
      <c r="Q135" s="152"/>
      <c r="R135" s="10"/>
      <c r="X135" s="203"/>
      <c r="BB135" s="203"/>
      <c r="BK135" s="203"/>
      <c r="BT135" s="203"/>
      <c r="CC135" s="203"/>
      <c r="CI135" s="203"/>
      <c r="CJ135" s="10"/>
      <c r="CR135" s="11"/>
      <c r="CS135" s="10"/>
      <c r="DA135" s="11"/>
      <c r="DB135" s="10"/>
      <c r="DJ135" s="11"/>
      <c r="DK135" s="10"/>
      <c r="DS135" s="11"/>
      <c r="DT135" s="10"/>
      <c r="EB135" s="11"/>
      <c r="EC135" s="152"/>
      <c r="ED135" s="152"/>
      <c r="EE135" s="152"/>
      <c r="EF135" s="152"/>
      <c r="EG135" s="152"/>
      <c r="EH135" s="152"/>
      <c r="EI135" s="152"/>
      <c r="EJ135" s="152"/>
      <c r="EK135" s="152"/>
      <c r="EL135" s="152"/>
      <c r="EM135" s="152"/>
      <c r="EN135" s="152"/>
      <c r="EO135" s="152"/>
      <c r="EP135" s="152"/>
      <c r="EQ135" s="152"/>
      <c r="ER135" s="152"/>
    </row>
    <row r="136" ht="5.25" customHeight="1">
      <c r="A136" s="152"/>
      <c r="B136" s="152"/>
      <c r="C136" s="152"/>
      <c r="D136" s="152"/>
      <c r="E136" s="152"/>
      <c r="F136" s="152"/>
      <c r="G136" s="152"/>
      <c r="H136" s="152"/>
      <c r="I136" s="152"/>
      <c r="J136" s="152"/>
      <c r="K136" s="152"/>
      <c r="L136" s="152"/>
      <c r="Q136" s="152"/>
      <c r="R136" s="208"/>
      <c r="S136" s="209"/>
      <c r="T136" s="209"/>
      <c r="U136" s="209"/>
      <c r="V136" s="209"/>
      <c r="W136" s="209"/>
      <c r="X136" s="209"/>
      <c r="Y136" s="209"/>
      <c r="Z136" s="209"/>
      <c r="AA136" s="209"/>
      <c r="AB136" s="209"/>
      <c r="AC136" s="209"/>
      <c r="AD136" s="209"/>
      <c r="AE136" s="209"/>
      <c r="AF136" s="209"/>
      <c r="AG136" s="209"/>
      <c r="AH136" s="209"/>
      <c r="AI136" s="209"/>
      <c r="AJ136" s="209"/>
      <c r="AK136" s="209"/>
      <c r="AL136" s="209"/>
      <c r="AM136" s="209"/>
      <c r="AN136" s="209"/>
      <c r="AO136" s="209"/>
      <c r="AP136" s="209"/>
      <c r="AQ136" s="209"/>
      <c r="AR136" s="209"/>
      <c r="AS136" s="209"/>
      <c r="AT136" s="209"/>
      <c r="AU136" s="209"/>
      <c r="AV136" s="209"/>
      <c r="AW136" s="209"/>
      <c r="AX136" s="209"/>
      <c r="AY136" s="209"/>
      <c r="AZ136" s="209"/>
      <c r="BA136" s="209"/>
      <c r="BB136" s="209"/>
      <c r="BC136" s="209"/>
      <c r="BD136" s="209"/>
      <c r="BE136" s="209"/>
      <c r="BF136" s="209"/>
      <c r="BG136" s="209"/>
      <c r="BH136" s="209"/>
      <c r="BI136" s="209"/>
      <c r="BJ136" s="209"/>
      <c r="BK136" s="209"/>
      <c r="BL136" s="209"/>
      <c r="BM136" s="209"/>
      <c r="BN136" s="209"/>
      <c r="BO136" s="209"/>
      <c r="BP136" s="209"/>
      <c r="BQ136" s="209"/>
      <c r="BR136" s="209"/>
      <c r="BS136" s="209"/>
      <c r="BT136" s="209"/>
      <c r="BU136" s="209"/>
      <c r="BV136" s="209"/>
      <c r="BW136" s="209"/>
      <c r="BX136" s="209"/>
      <c r="BY136" s="209"/>
      <c r="BZ136" s="209"/>
      <c r="CA136" s="209"/>
      <c r="CB136" s="209"/>
      <c r="CC136" s="209"/>
      <c r="CD136" s="209"/>
      <c r="CE136" s="209"/>
      <c r="CF136" s="209"/>
      <c r="CG136" s="209"/>
      <c r="CH136" s="209"/>
      <c r="CI136" s="209"/>
      <c r="CJ136" s="12"/>
      <c r="CK136" s="13"/>
      <c r="CL136" s="13"/>
      <c r="CM136" s="13"/>
      <c r="CN136" s="13"/>
      <c r="CO136" s="13"/>
      <c r="CP136" s="13"/>
      <c r="CQ136" s="13"/>
      <c r="CR136" s="14"/>
      <c r="CS136" s="12"/>
      <c r="CT136" s="13"/>
      <c r="CU136" s="13"/>
      <c r="CV136" s="13"/>
      <c r="CW136" s="13"/>
      <c r="CX136" s="13"/>
      <c r="CY136" s="13"/>
      <c r="CZ136" s="13"/>
      <c r="DA136" s="14"/>
      <c r="DB136" s="12"/>
      <c r="DC136" s="13"/>
      <c r="DD136" s="13"/>
      <c r="DE136" s="13"/>
      <c r="DF136" s="13"/>
      <c r="DG136" s="13"/>
      <c r="DH136" s="13"/>
      <c r="DI136" s="13"/>
      <c r="DJ136" s="14"/>
      <c r="DK136" s="12"/>
      <c r="DL136" s="13"/>
      <c r="DM136" s="13"/>
      <c r="DN136" s="13"/>
      <c r="DO136" s="13"/>
      <c r="DP136" s="13"/>
      <c r="DQ136" s="13"/>
      <c r="DR136" s="13"/>
      <c r="DS136" s="14"/>
      <c r="DT136" s="12"/>
      <c r="DU136" s="13"/>
      <c r="DV136" s="13"/>
      <c r="DW136" s="13"/>
      <c r="DX136" s="13"/>
      <c r="DY136" s="13"/>
      <c r="DZ136" s="13"/>
      <c r="EA136" s="13"/>
      <c r="EB136" s="14"/>
      <c r="EC136" s="152"/>
      <c r="ED136" s="152"/>
      <c r="EE136" s="152"/>
      <c r="EF136" s="152"/>
      <c r="EG136" s="152"/>
      <c r="EH136" s="152"/>
      <c r="EI136" s="152"/>
      <c r="EJ136" s="152"/>
      <c r="EK136" s="152"/>
      <c r="EL136" s="152"/>
      <c r="EM136" s="152"/>
      <c r="EN136" s="152"/>
      <c r="EO136" s="152"/>
      <c r="EP136" s="152"/>
      <c r="EQ136" s="152"/>
      <c r="ER136" s="152"/>
    </row>
    <row r="137" ht="5.25" customHeight="1">
      <c r="A137" s="152"/>
      <c r="B137" s="152"/>
      <c r="C137" s="152"/>
      <c r="D137" s="152"/>
      <c r="E137" s="152"/>
      <c r="F137" s="152"/>
      <c r="G137" s="152"/>
      <c r="H137" s="152"/>
      <c r="I137" s="152"/>
      <c r="J137" s="152"/>
      <c r="K137" s="152"/>
      <c r="L137" s="152"/>
      <c r="M137" s="152"/>
      <c r="N137" s="152"/>
      <c r="O137" s="152"/>
      <c r="P137" s="152"/>
      <c r="Q137" s="181">
        <v>17.0</v>
      </c>
      <c r="R137" s="152"/>
      <c r="S137" s="152"/>
      <c r="T137" s="152"/>
      <c r="U137" s="152"/>
      <c r="V137" s="152"/>
      <c r="W137" s="152"/>
      <c r="X137" s="152"/>
      <c r="Y137" s="152"/>
      <c r="Z137" s="152"/>
      <c r="AA137" s="152"/>
      <c r="AB137" s="152"/>
      <c r="AC137" s="152"/>
      <c r="AD137" s="152"/>
      <c r="AE137" s="152"/>
      <c r="AF137" s="152"/>
      <c r="AG137" s="152"/>
      <c r="AH137" s="152"/>
      <c r="AI137" s="152"/>
      <c r="AJ137" s="152"/>
      <c r="AK137" s="152"/>
      <c r="AL137" s="152"/>
      <c r="AM137" s="152"/>
      <c r="AN137" s="152"/>
      <c r="AO137" s="152"/>
      <c r="AP137" s="152"/>
      <c r="AQ137" s="152"/>
      <c r="AR137" s="152"/>
      <c r="AS137" s="152"/>
      <c r="AT137" s="152"/>
      <c r="AU137" s="152"/>
      <c r="AV137" s="152"/>
      <c r="AW137" s="152"/>
      <c r="AX137" s="152"/>
      <c r="AY137" s="152"/>
      <c r="AZ137" s="152"/>
      <c r="BA137" s="152"/>
      <c r="BB137" s="152"/>
      <c r="BC137" s="152"/>
      <c r="BD137" s="152"/>
      <c r="BE137" s="152"/>
      <c r="BF137" s="152"/>
      <c r="BG137" s="152"/>
      <c r="BH137" s="152"/>
      <c r="BI137" s="152"/>
      <c r="BJ137" s="152"/>
      <c r="BK137" s="152"/>
      <c r="BL137" s="152"/>
      <c r="BM137" s="152"/>
      <c r="BN137" s="152"/>
      <c r="BO137" s="152"/>
      <c r="BP137" s="152"/>
      <c r="BQ137" s="152"/>
      <c r="BR137" s="152"/>
      <c r="BS137" s="152"/>
      <c r="BT137" s="152"/>
      <c r="BU137" s="152"/>
      <c r="BV137" s="152"/>
      <c r="BW137" s="152"/>
      <c r="BX137" s="152"/>
      <c r="BY137" s="152"/>
      <c r="BZ137" s="152"/>
      <c r="CA137" s="152"/>
      <c r="CB137" s="152"/>
      <c r="CC137" s="152"/>
      <c r="CD137" s="152"/>
      <c r="CE137" s="152"/>
      <c r="CF137" s="152"/>
      <c r="CG137" s="152"/>
      <c r="CH137" s="152"/>
      <c r="CI137" s="152"/>
      <c r="CJ137" s="152"/>
      <c r="CK137" s="152"/>
      <c r="CL137" s="152"/>
      <c r="CM137" s="152"/>
      <c r="CN137" s="152"/>
      <c r="CO137" s="152"/>
      <c r="CP137" s="152"/>
      <c r="CQ137" s="152"/>
      <c r="CR137" s="152"/>
      <c r="CS137" s="152"/>
      <c r="CT137" s="152"/>
      <c r="CU137" s="152"/>
      <c r="CV137" s="152"/>
      <c r="CW137" s="152"/>
      <c r="CX137" s="152"/>
      <c r="CY137" s="152"/>
      <c r="CZ137" s="152"/>
      <c r="DA137" s="152"/>
      <c r="DB137" s="152"/>
      <c r="DC137" s="152"/>
      <c r="DD137" s="152"/>
      <c r="DE137" s="152"/>
      <c r="DF137" s="152"/>
      <c r="DG137" s="152"/>
      <c r="DH137" s="152"/>
      <c r="DI137" s="152"/>
      <c r="DJ137" s="152"/>
      <c r="DK137" s="152"/>
      <c r="DL137" s="152"/>
      <c r="DM137" s="152"/>
      <c r="DN137" s="152"/>
      <c r="DO137" s="152"/>
      <c r="DP137" s="152"/>
      <c r="DQ137" s="152"/>
      <c r="DR137" s="152"/>
      <c r="DS137" s="152"/>
      <c r="DT137" s="152"/>
      <c r="DU137" s="152"/>
      <c r="DV137" s="152"/>
      <c r="DW137" s="152"/>
      <c r="DX137" s="152"/>
      <c r="DY137" s="152"/>
      <c r="DZ137" s="152"/>
      <c r="EA137" s="152"/>
      <c r="EB137" s="152"/>
      <c r="EC137" s="152"/>
      <c r="ED137" s="152"/>
      <c r="EE137" s="152"/>
      <c r="EF137" s="152"/>
      <c r="EG137" s="152"/>
      <c r="EH137" s="152"/>
      <c r="EI137" s="152"/>
      <c r="EJ137" s="152"/>
      <c r="EK137" s="152"/>
      <c r="EL137" s="152"/>
      <c r="EM137" s="152"/>
      <c r="EN137" s="152"/>
      <c r="EO137" s="152"/>
      <c r="EP137" s="152"/>
      <c r="EQ137" s="152"/>
      <c r="ER137" s="152"/>
    </row>
    <row r="138" ht="5.25" customHeight="1">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c r="AA138" s="152"/>
      <c r="AB138" s="152"/>
      <c r="AC138" s="152"/>
      <c r="AD138" s="152"/>
      <c r="AE138" s="152"/>
      <c r="AF138" s="152"/>
      <c r="AG138" s="152"/>
      <c r="AH138" s="152"/>
      <c r="AI138" s="152"/>
      <c r="AJ138" s="152"/>
      <c r="AK138" s="152"/>
      <c r="AL138" s="152"/>
      <c r="AM138" s="152"/>
      <c r="AN138" s="152"/>
      <c r="AO138" s="152"/>
      <c r="AP138" s="152"/>
      <c r="AQ138" s="152"/>
      <c r="AR138" s="152"/>
      <c r="AS138" s="152"/>
      <c r="AT138" s="152"/>
      <c r="AU138" s="152"/>
      <c r="AV138" s="152"/>
      <c r="AW138" s="152"/>
      <c r="AX138" s="152"/>
      <c r="AY138" s="152"/>
      <c r="AZ138" s="152"/>
      <c r="BA138" s="152"/>
      <c r="BB138" s="152"/>
      <c r="BC138" s="152"/>
      <c r="BD138" s="152"/>
      <c r="BE138" s="152"/>
      <c r="BF138" s="152"/>
      <c r="BG138" s="152"/>
      <c r="BH138" s="152"/>
      <c r="BI138" s="152"/>
      <c r="BJ138" s="152"/>
      <c r="BK138" s="152"/>
      <c r="BL138" s="152"/>
      <c r="BM138" s="152"/>
      <c r="BN138" s="152"/>
      <c r="BO138" s="152"/>
      <c r="BP138" s="152"/>
      <c r="BQ138" s="152"/>
      <c r="BR138" s="152"/>
      <c r="BS138" s="152"/>
      <c r="BT138" s="152"/>
      <c r="BU138" s="152"/>
      <c r="BV138" s="152"/>
      <c r="BW138" s="152"/>
      <c r="BX138" s="152"/>
      <c r="BY138" s="152"/>
      <c r="BZ138" s="152"/>
      <c r="CA138" s="152"/>
      <c r="CB138" s="152"/>
      <c r="CC138" s="152"/>
      <c r="CD138" s="152"/>
      <c r="CE138" s="152"/>
      <c r="CF138" s="152"/>
      <c r="CG138" s="152"/>
      <c r="CH138" s="152"/>
      <c r="CI138" s="152"/>
      <c r="CJ138" s="152"/>
      <c r="CK138" s="152"/>
      <c r="CL138" s="152"/>
      <c r="CM138" s="152"/>
      <c r="CN138" s="152"/>
      <c r="CO138" s="152"/>
      <c r="CP138" s="152"/>
      <c r="CQ138" s="152"/>
      <c r="CR138" s="152"/>
      <c r="CS138" s="152"/>
      <c r="CT138" s="152"/>
      <c r="CU138" s="152"/>
      <c r="CV138" s="152"/>
      <c r="CW138" s="152"/>
      <c r="CX138" s="152"/>
      <c r="CY138" s="152"/>
      <c r="CZ138" s="152"/>
      <c r="DA138" s="152"/>
      <c r="DB138" s="152"/>
      <c r="DC138" s="152"/>
      <c r="DD138" s="152"/>
      <c r="DE138" s="152"/>
      <c r="DF138" s="152"/>
      <c r="DG138" s="152"/>
      <c r="DH138" s="152"/>
      <c r="DI138" s="152"/>
      <c r="DJ138" s="152"/>
      <c r="DK138" s="152"/>
      <c r="DL138" s="152"/>
      <c r="DM138" s="152"/>
      <c r="DN138" s="152"/>
      <c r="DO138" s="152"/>
      <c r="DP138" s="152"/>
      <c r="DQ138" s="152"/>
      <c r="DR138" s="152"/>
      <c r="DS138" s="152"/>
      <c r="DT138" s="152"/>
      <c r="DU138" s="152"/>
      <c r="DV138" s="152"/>
      <c r="DW138" s="152"/>
      <c r="DX138" s="152"/>
      <c r="DY138" s="152"/>
      <c r="DZ138" s="152"/>
      <c r="EA138" s="152"/>
      <c r="EB138" s="152"/>
      <c r="EC138" s="152"/>
      <c r="ED138" s="152"/>
      <c r="EE138" s="152"/>
      <c r="EF138" s="152"/>
      <c r="EG138" s="152"/>
      <c r="EH138" s="152"/>
      <c r="EI138" s="152"/>
      <c r="EJ138" s="152"/>
      <c r="EK138" s="152"/>
      <c r="EL138" s="152"/>
      <c r="EM138" s="152"/>
      <c r="EN138" s="152"/>
      <c r="EO138" s="152"/>
      <c r="EP138" s="152"/>
      <c r="EQ138" s="152"/>
      <c r="ER138" s="152"/>
    </row>
    <row r="139" ht="5.25" customHeight="1">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c r="AA139" s="152"/>
      <c r="AB139" s="152"/>
      <c r="AC139" s="152"/>
      <c r="AD139" s="152"/>
      <c r="AE139" s="152"/>
      <c r="AF139" s="152"/>
      <c r="AG139" s="152"/>
      <c r="AH139" s="152"/>
      <c r="AI139" s="152"/>
      <c r="AJ139" s="152"/>
      <c r="AK139" s="152"/>
      <c r="AL139" s="152"/>
      <c r="AM139" s="152"/>
      <c r="AN139" s="152"/>
      <c r="AO139" s="152"/>
      <c r="AP139" s="152"/>
      <c r="AQ139" s="152"/>
      <c r="AR139" s="152"/>
      <c r="AS139" s="152"/>
      <c r="AT139" s="152"/>
      <c r="AU139" s="152"/>
      <c r="AV139" s="152"/>
      <c r="AW139" s="152"/>
      <c r="AX139" s="152"/>
      <c r="AY139" s="152"/>
      <c r="AZ139" s="152"/>
      <c r="BA139" s="152"/>
      <c r="BB139" s="152"/>
      <c r="BC139" s="152"/>
      <c r="BD139" s="152"/>
      <c r="BE139" s="152"/>
      <c r="BF139" s="152"/>
      <c r="BG139" s="152"/>
      <c r="BH139" s="152"/>
      <c r="BI139" s="152"/>
      <c r="BJ139" s="152"/>
      <c r="BK139" s="152"/>
      <c r="BL139" s="152"/>
      <c r="BM139" s="152"/>
      <c r="BN139" s="152"/>
      <c r="BO139" s="152"/>
      <c r="BP139" s="152"/>
      <c r="BQ139" s="152"/>
      <c r="BR139" s="152"/>
      <c r="BS139" s="152"/>
      <c r="BT139" s="152"/>
      <c r="BU139" s="152"/>
      <c r="BV139" s="152"/>
      <c r="BW139" s="152"/>
      <c r="BX139" s="152"/>
      <c r="BY139" s="152"/>
      <c r="BZ139" s="152"/>
      <c r="CA139" s="152"/>
      <c r="CB139" s="152"/>
      <c r="CC139" s="152"/>
      <c r="CD139" s="152"/>
      <c r="CE139" s="152"/>
      <c r="CF139" s="152"/>
      <c r="CG139" s="152"/>
      <c r="CH139" s="152"/>
      <c r="CI139" s="152"/>
      <c r="CJ139" s="152"/>
      <c r="CK139" s="152"/>
      <c r="CL139" s="152"/>
      <c r="CM139" s="152"/>
      <c r="CN139" s="152"/>
      <c r="CO139" s="152"/>
      <c r="CP139" s="152"/>
      <c r="CQ139" s="152"/>
      <c r="CR139" s="152"/>
      <c r="CS139" s="152"/>
      <c r="CT139" s="152"/>
      <c r="CU139" s="152"/>
      <c r="CV139" s="152"/>
      <c r="CW139" s="152"/>
      <c r="CX139" s="152"/>
      <c r="CY139" s="152"/>
      <c r="CZ139" s="152"/>
      <c r="DA139" s="152"/>
      <c r="DB139" s="152"/>
      <c r="DC139" s="152"/>
      <c r="DD139" s="152"/>
      <c r="DE139" s="152"/>
      <c r="DF139" s="152"/>
      <c r="DG139" s="152"/>
      <c r="DH139" s="152"/>
      <c r="DI139" s="152"/>
      <c r="DJ139" s="152"/>
      <c r="DK139" s="152"/>
      <c r="DL139" s="152"/>
      <c r="DM139" s="152"/>
      <c r="DN139" s="152"/>
      <c r="DO139" s="152"/>
      <c r="DP139" s="152"/>
      <c r="DQ139" s="152"/>
      <c r="DR139" s="152"/>
      <c r="DS139" s="152"/>
      <c r="DT139" s="152"/>
      <c r="DU139" s="152"/>
      <c r="DV139" s="152"/>
      <c r="DW139" s="152"/>
      <c r="DX139" s="152"/>
      <c r="DY139" s="152"/>
      <c r="DZ139" s="152"/>
      <c r="EA139" s="152"/>
      <c r="EB139" s="152"/>
      <c r="EC139" s="152"/>
      <c r="ED139" s="152"/>
      <c r="EE139" s="152"/>
      <c r="EF139" s="152"/>
      <c r="EG139" s="152"/>
      <c r="EH139" s="152"/>
      <c r="EI139" s="152"/>
      <c r="EJ139" s="152"/>
      <c r="EK139" s="152"/>
      <c r="EL139" s="152"/>
      <c r="EM139" s="152"/>
      <c r="EN139" s="152"/>
      <c r="EO139" s="152"/>
      <c r="EP139" s="152"/>
      <c r="EQ139" s="152"/>
      <c r="ER139" s="152"/>
    </row>
  </sheetData>
  <mergeCells count="603">
    <mergeCell ref="CS2:DA7"/>
    <mergeCell ref="DB2:DJ7"/>
    <mergeCell ref="DK2:DS7"/>
    <mergeCell ref="DT2:EB7"/>
    <mergeCell ref="CJ2:CR7"/>
    <mergeCell ref="CJ9:CK13"/>
    <mergeCell ref="CL9:CP13"/>
    <mergeCell ref="CQ9:CR13"/>
    <mergeCell ref="CS9:CT13"/>
    <mergeCell ref="CU9:CY13"/>
    <mergeCell ref="CZ9:DA13"/>
    <mergeCell ref="DV9:DZ13"/>
    <mergeCell ref="EA9:EB13"/>
    <mergeCell ref="DB9:DC13"/>
    <mergeCell ref="DD9:DH13"/>
    <mergeCell ref="DI9:DJ13"/>
    <mergeCell ref="DK9:DL13"/>
    <mergeCell ref="DM9:DQ13"/>
    <mergeCell ref="DR9:DS13"/>
    <mergeCell ref="DT9:DU13"/>
    <mergeCell ref="R10:W15"/>
    <mergeCell ref="Y10:BA15"/>
    <mergeCell ref="BC10:BJ15"/>
    <mergeCell ref="BL10:BS15"/>
    <mergeCell ref="DT14:DW16"/>
    <mergeCell ref="DX14:DX16"/>
    <mergeCell ref="DY14:EB16"/>
    <mergeCell ref="CX14:DA16"/>
    <mergeCell ref="DB14:DE16"/>
    <mergeCell ref="DF14:DF16"/>
    <mergeCell ref="DG14:DJ16"/>
    <mergeCell ref="DK14:DN16"/>
    <mergeCell ref="DO14:DO16"/>
    <mergeCell ref="DP14:DS16"/>
    <mergeCell ref="CJ17:CK21"/>
    <mergeCell ref="CJ22:CM24"/>
    <mergeCell ref="CN22:CN24"/>
    <mergeCell ref="CW22:CW24"/>
    <mergeCell ref="CX22:DA24"/>
    <mergeCell ref="CD2:CH7"/>
    <mergeCell ref="CL17:CP21"/>
    <mergeCell ref="CQ17:CR21"/>
    <mergeCell ref="CS17:CT21"/>
    <mergeCell ref="CU17:CY21"/>
    <mergeCell ref="CZ17:DA21"/>
    <mergeCell ref="CD18:CH23"/>
    <mergeCell ref="DP22:DS24"/>
    <mergeCell ref="DT22:DW24"/>
    <mergeCell ref="DX22:DX24"/>
    <mergeCell ref="DY22:EB24"/>
    <mergeCell ref="CO22:CR24"/>
    <mergeCell ref="CS22:CV24"/>
    <mergeCell ref="DB22:DE24"/>
    <mergeCell ref="DF22:DF24"/>
    <mergeCell ref="DG22:DJ24"/>
    <mergeCell ref="DK22:DN24"/>
    <mergeCell ref="DO22:DO24"/>
    <mergeCell ref="CJ25:CK29"/>
    <mergeCell ref="CJ30:CM32"/>
    <mergeCell ref="CN30:CN32"/>
    <mergeCell ref="CO30:CR32"/>
    <mergeCell ref="CS30:CV32"/>
    <mergeCell ref="CW30:CW32"/>
    <mergeCell ref="CX30:DA32"/>
    <mergeCell ref="CL25:CP29"/>
    <mergeCell ref="CQ25:CR29"/>
    <mergeCell ref="CS25:CT29"/>
    <mergeCell ref="CU25:CY29"/>
    <mergeCell ref="CZ25:DA29"/>
    <mergeCell ref="DB25:DC29"/>
    <mergeCell ref="CD26:CH31"/>
    <mergeCell ref="DI25:DJ29"/>
    <mergeCell ref="DK25:DL29"/>
    <mergeCell ref="DM25:DQ29"/>
    <mergeCell ref="DR25:DS29"/>
    <mergeCell ref="DT25:DU29"/>
    <mergeCell ref="DV25:DZ29"/>
    <mergeCell ref="EA25:EB29"/>
    <mergeCell ref="DY30:EB32"/>
    <mergeCell ref="DD25:DH29"/>
    <mergeCell ref="DB30:DE32"/>
    <mergeCell ref="DF30:DF32"/>
    <mergeCell ref="DG30:DJ32"/>
    <mergeCell ref="DK30:DN32"/>
    <mergeCell ref="DO30:DO32"/>
    <mergeCell ref="DP30:DS32"/>
    <mergeCell ref="CZ33:DA37"/>
    <mergeCell ref="DB33:DC37"/>
    <mergeCell ref="DD33:DH37"/>
    <mergeCell ref="DI33:DJ37"/>
    <mergeCell ref="DK33:DL37"/>
    <mergeCell ref="DM33:DQ37"/>
    <mergeCell ref="DR33:DS37"/>
    <mergeCell ref="DT33:DU37"/>
    <mergeCell ref="DT30:DW32"/>
    <mergeCell ref="DX30:DX32"/>
    <mergeCell ref="CJ33:CK37"/>
    <mergeCell ref="CL33:CP37"/>
    <mergeCell ref="CQ33:CR37"/>
    <mergeCell ref="CS33:CT37"/>
    <mergeCell ref="CU33:CY37"/>
    <mergeCell ref="DB38:DE40"/>
    <mergeCell ref="DF38:DF40"/>
    <mergeCell ref="CD34:CH39"/>
    <mergeCell ref="CJ38:CM40"/>
    <mergeCell ref="CN38:CN40"/>
    <mergeCell ref="CO38:CR40"/>
    <mergeCell ref="CS38:CV40"/>
    <mergeCell ref="CW38:CW40"/>
    <mergeCell ref="CX38:DA40"/>
    <mergeCell ref="CJ65:CK69"/>
    <mergeCell ref="CL65:CP69"/>
    <mergeCell ref="CQ65:CR69"/>
    <mergeCell ref="CS65:CT69"/>
    <mergeCell ref="CU65:CY69"/>
    <mergeCell ref="CZ65:DA69"/>
    <mergeCell ref="DB65:DC69"/>
    <mergeCell ref="BU66:CB71"/>
    <mergeCell ref="CD66:CH71"/>
    <mergeCell ref="CJ70:CM72"/>
    <mergeCell ref="CN70:CN72"/>
    <mergeCell ref="CO70:CR72"/>
    <mergeCell ref="CS70:CV72"/>
    <mergeCell ref="CW70:CW72"/>
    <mergeCell ref="DT78:DW80"/>
    <mergeCell ref="DX78:DX80"/>
    <mergeCell ref="DY78:EB80"/>
    <mergeCell ref="CX78:DA80"/>
    <mergeCell ref="DB78:DE80"/>
    <mergeCell ref="DF78:DF80"/>
    <mergeCell ref="DG78:DJ80"/>
    <mergeCell ref="DK78:DN80"/>
    <mergeCell ref="DO78:DO80"/>
    <mergeCell ref="DP78:DS80"/>
    <mergeCell ref="BU74:CB79"/>
    <mergeCell ref="CD74:CH79"/>
    <mergeCell ref="CJ78:CM80"/>
    <mergeCell ref="CN78:CN80"/>
    <mergeCell ref="CO78:CR80"/>
    <mergeCell ref="CS78:CV80"/>
    <mergeCell ref="CW78:CW80"/>
    <mergeCell ref="DD81:DH85"/>
    <mergeCell ref="DI81:DJ85"/>
    <mergeCell ref="DK81:DL85"/>
    <mergeCell ref="DM81:DQ85"/>
    <mergeCell ref="DR81:DS85"/>
    <mergeCell ref="DT81:DU85"/>
    <mergeCell ref="DV81:DZ85"/>
    <mergeCell ref="EA81:EB85"/>
    <mergeCell ref="DT86:DW88"/>
    <mergeCell ref="DX86:DX88"/>
    <mergeCell ref="DY86:EB88"/>
    <mergeCell ref="CX86:DA88"/>
    <mergeCell ref="DB86:DE88"/>
    <mergeCell ref="DF86:DF88"/>
    <mergeCell ref="DG86:DJ88"/>
    <mergeCell ref="DK86:DN88"/>
    <mergeCell ref="DO86:DO88"/>
    <mergeCell ref="DP86:DS88"/>
    <mergeCell ref="CJ81:CK85"/>
    <mergeCell ref="CL81:CP85"/>
    <mergeCell ref="CQ81:CR85"/>
    <mergeCell ref="CS81:CT85"/>
    <mergeCell ref="CU81:CY85"/>
    <mergeCell ref="CZ81:DA85"/>
    <mergeCell ref="DB81:DC85"/>
    <mergeCell ref="BU82:CB87"/>
    <mergeCell ref="CD82:CH87"/>
    <mergeCell ref="CJ86:CM88"/>
    <mergeCell ref="CN86:CN88"/>
    <mergeCell ref="CO86:CR88"/>
    <mergeCell ref="CS86:CV88"/>
    <mergeCell ref="CW86:CW88"/>
    <mergeCell ref="DD89:DH93"/>
    <mergeCell ref="DI89:DJ93"/>
    <mergeCell ref="DK89:DL93"/>
    <mergeCell ref="DM89:DQ93"/>
    <mergeCell ref="DR89:DS93"/>
    <mergeCell ref="DT89:DU93"/>
    <mergeCell ref="DV89:DZ93"/>
    <mergeCell ref="EA89:EB93"/>
    <mergeCell ref="CJ89:CK93"/>
    <mergeCell ref="CL89:CP93"/>
    <mergeCell ref="CQ89:CR93"/>
    <mergeCell ref="CS89:CT93"/>
    <mergeCell ref="CU89:CY93"/>
    <mergeCell ref="CZ89:DA93"/>
    <mergeCell ref="DB89:DC93"/>
    <mergeCell ref="DT94:DW96"/>
    <mergeCell ref="DX94:DX96"/>
    <mergeCell ref="DY94:EB96"/>
    <mergeCell ref="CX94:DA96"/>
    <mergeCell ref="DB94:DE96"/>
    <mergeCell ref="DF94:DF96"/>
    <mergeCell ref="DG94:DJ96"/>
    <mergeCell ref="DK94:DN96"/>
    <mergeCell ref="DO94:DO96"/>
    <mergeCell ref="DP94:DS96"/>
    <mergeCell ref="BU90:CB95"/>
    <mergeCell ref="CD90:CH95"/>
    <mergeCell ref="CJ94:CM96"/>
    <mergeCell ref="CN94:CN96"/>
    <mergeCell ref="CO94:CR96"/>
    <mergeCell ref="CS94:CV96"/>
    <mergeCell ref="CW94:CW96"/>
    <mergeCell ref="CJ105:CK109"/>
    <mergeCell ref="CL105:CP109"/>
    <mergeCell ref="CQ105:CR109"/>
    <mergeCell ref="CS105:CT109"/>
    <mergeCell ref="CU105:CY109"/>
    <mergeCell ref="CZ105:DA109"/>
    <mergeCell ref="DB105:DC109"/>
    <mergeCell ref="BU106:CB111"/>
    <mergeCell ref="CD106:CH111"/>
    <mergeCell ref="CJ110:CM112"/>
    <mergeCell ref="CN110:CN112"/>
    <mergeCell ref="CO110:CR112"/>
    <mergeCell ref="CS110:CV112"/>
    <mergeCell ref="CW110:CW112"/>
    <mergeCell ref="DD97:DH101"/>
    <mergeCell ref="DI97:DJ101"/>
    <mergeCell ref="DK97:DL101"/>
    <mergeCell ref="DM97:DQ101"/>
    <mergeCell ref="DR97:DS101"/>
    <mergeCell ref="DT97:DU101"/>
    <mergeCell ref="DV97:DZ101"/>
    <mergeCell ref="EA97:EB101"/>
    <mergeCell ref="CJ97:CK101"/>
    <mergeCell ref="CL97:CP101"/>
    <mergeCell ref="CQ97:CR101"/>
    <mergeCell ref="CS97:CT101"/>
    <mergeCell ref="CU97:CY101"/>
    <mergeCell ref="CZ97:DA101"/>
    <mergeCell ref="DB97:DC101"/>
    <mergeCell ref="DT102:DW104"/>
    <mergeCell ref="DX102:DX104"/>
    <mergeCell ref="DY102:EB104"/>
    <mergeCell ref="CX102:DA104"/>
    <mergeCell ref="DB102:DE104"/>
    <mergeCell ref="DF102:DF104"/>
    <mergeCell ref="DG102:DJ104"/>
    <mergeCell ref="DK102:DN104"/>
    <mergeCell ref="DO102:DO104"/>
    <mergeCell ref="DP102:DS104"/>
    <mergeCell ref="BU98:CB103"/>
    <mergeCell ref="CD98:CH103"/>
    <mergeCell ref="CJ102:CM104"/>
    <mergeCell ref="CN102:CN104"/>
    <mergeCell ref="CO102:CR104"/>
    <mergeCell ref="CS102:CV104"/>
    <mergeCell ref="CW102:CW104"/>
    <mergeCell ref="DD105:DH109"/>
    <mergeCell ref="DI105:DJ109"/>
    <mergeCell ref="DK105:DL109"/>
    <mergeCell ref="DM105:DQ109"/>
    <mergeCell ref="DR105:DS109"/>
    <mergeCell ref="DT105:DU109"/>
    <mergeCell ref="DV105:DZ109"/>
    <mergeCell ref="EA105:EB109"/>
    <mergeCell ref="DT110:DW112"/>
    <mergeCell ref="DX110:DX112"/>
    <mergeCell ref="DY110:EB112"/>
    <mergeCell ref="CX110:DA112"/>
    <mergeCell ref="DB110:DE112"/>
    <mergeCell ref="DF110:DF112"/>
    <mergeCell ref="DG110:DJ112"/>
    <mergeCell ref="DK110:DN112"/>
    <mergeCell ref="DO110:DO112"/>
    <mergeCell ref="DP110:DS112"/>
    <mergeCell ref="CS46:CV48"/>
    <mergeCell ref="CW46:CW48"/>
    <mergeCell ref="CJ49:CK53"/>
    <mergeCell ref="CL49:CP53"/>
    <mergeCell ref="CQ49:CR53"/>
    <mergeCell ref="CS49:CT53"/>
    <mergeCell ref="CU49:CY53"/>
    <mergeCell ref="DD57:DH61"/>
    <mergeCell ref="DI57:DJ61"/>
    <mergeCell ref="DK57:DL61"/>
    <mergeCell ref="DM57:DQ61"/>
    <mergeCell ref="DR57:DS61"/>
    <mergeCell ref="DT57:DU61"/>
    <mergeCell ref="DV57:DZ61"/>
    <mergeCell ref="EA57:EB61"/>
    <mergeCell ref="CN54:CN56"/>
    <mergeCell ref="CO54:CR56"/>
    <mergeCell ref="CS54:CV56"/>
    <mergeCell ref="CW54:CW56"/>
    <mergeCell ref="CX54:DA56"/>
    <mergeCell ref="DB54:DE56"/>
    <mergeCell ref="DF54:DF56"/>
    <mergeCell ref="CJ54:CM56"/>
    <mergeCell ref="CL57:CP61"/>
    <mergeCell ref="CQ57:CR61"/>
    <mergeCell ref="CS57:CT61"/>
    <mergeCell ref="CU57:CY61"/>
    <mergeCell ref="CZ57:DA61"/>
    <mergeCell ref="DB57:DC61"/>
    <mergeCell ref="DG62:DJ64"/>
    <mergeCell ref="DK62:DN64"/>
    <mergeCell ref="DO62:DO64"/>
    <mergeCell ref="DP62:DS64"/>
    <mergeCell ref="DT62:DW64"/>
    <mergeCell ref="DX62:DX64"/>
    <mergeCell ref="DY62:EB64"/>
    <mergeCell ref="CJ57:CK61"/>
    <mergeCell ref="CJ62:CM64"/>
    <mergeCell ref="CN62:CN64"/>
    <mergeCell ref="CO62:CR64"/>
    <mergeCell ref="CS62:CV64"/>
    <mergeCell ref="CW62:CW64"/>
    <mergeCell ref="CX62:DA64"/>
    <mergeCell ref="DD65:DH69"/>
    <mergeCell ref="DI65:DJ69"/>
    <mergeCell ref="DK65:DL69"/>
    <mergeCell ref="DM65:DQ69"/>
    <mergeCell ref="DR65:DS69"/>
    <mergeCell ref="DT65:DU69"/>
    <mergeCell ref="DV65:DZ69"/>
    <mergeCell ref="EA65:EB69"/>
    <mergeCell ref="DT70:DW72"/>
    <mergeCell ref="DX70:DX72"/>
    <mergeCell ref="DY70:EB72"/>
    <mergeCell ref="CX70:DA72"/>
    <mergeCell ref="DB70:DE72"/>
    <mergeCell ref="DF70:DF72"/>
    <mergeCell ref="DG70:DJ72"/>
    <mergeCell ref="DK70:DN72"/>
    <mergeCell ref="DO70:DO72"/>
    <mergeCell ref="DP70:DS72"/>
    <mergeCell ref="DD113:DH117"/>
    <mergeCell ref="DI113:DJ117"/>
    <mergeCell ref="DK113:DL117"/>
    <mergeCell ref="DM113:DQ117"/>
    <mergeCell ref="DR113:DS117"/>
    <mergeCell ref="DT113:DU117"/>
    <mergeCell ref="DV113:DZ117"/>
    <mergeCell ref="EA113:EB117"/>
    <mergeCell ref="DK126:DN128"/>
    <mergeCell ref="DO126:DO128"/>
    <mergeCell ref="CO126:CR128"/>
    <mergeCell ref="CS126:CV128"/>
    <mergeCell ref="CW126:CW128"/>
    <mergeCell ref="CX126:DA128"/>
    <mergeCell ref="DB126:DE128"/>
    <mergeCell ref="DF126:DF128"/>
    <mergeCell ref="DG126:DJ128"/>
    <mergeCell ref="CL113:CP117"/>
    <mergeCell ref="CQ113:CR117"/>
    <mergeCell ref="CS113:CT117"/>
    <mergeCell ref="CU113:CY117"/>
    <mergeCell ref="CZ113:DA117"/>
    <mergeCell ref="DB113:DC117"/>
    <mergeCell ref="CD114:CH119"/>
    <mergeCell ref="DK118:DN120"/>
    <mergeCell ref="DO118:DO120"/>
    <mergeCell ref="DP118:DS120"/>
    <mergeCell ref="DT118:DW120"/>
    <mergeCell ref="DX118:DX120"/>
    <mergeCell ref="DY118:EB120"/>
    <mergeCell ref="CO118:CR120"/>
    <mergeCell ref="CS118:CV120"/>
    <mergeCell ref="CW118:CW120"/>
    <mergeCell ref="CX118:DA120"/>
    <mergeCell ref="DB118:DE120"/>
    <mergeCell ref="DF118:DF120"/>
    <mergeCell ref="DG118:DJ120"/>
    <mergeCell ref="DR121:DS125"/>
    <mergeCell ref="DT121:DU125"/>
    <mergeCell ref="DV121:DZ125"/>
    <mergeCell ref="EA121:EB125"/>
    <mergeCell ref="DP126:DS128"/>
    <mergeCell ref="DT126:DW128"/>
    <mergeCell ref="DX126:DX128"/>
    <mergeCell ref="DY126:EB128"/>
    <mergeCell ref="CU121:CY125"/>
    <mergeCell ref="CZ121:DA125"/>
    <mergeCell ref="DB121:DC125"/>
    <mergeCell ref="DD121:DH125"/>
    <mergeCell ref="DI121:DJ125"/>
    <mergeCell ref="DK121:DL125"/>
    <mergeCell ref="DM121:DQ125"/>
    <mergeCell ref="CJ121:CK125"/>
    <mergeCell ref="CJ126:CM128"/>
    <mergeCell ref="CN126:CN128"/>
    <mergeCell ref="CJ113:CK117"/>
    <mergeCell ref="CJ118:CM120"/>
    <mergeCell ref="CN118:CN120"/>
    <mergeCell ref="CL121:CP125"/>
    <mergeCell ref="CQ121:CR125"/>
    <mergeCell ref="CS121:CT125"/>
    <mergeCell ref="CD122:CH127"/>
    <mergeCell ref="DV41:DZ45"/>
    <mergeCell ref="EA41:EB45"/>
    <mergeCell ref="DB41:DC45"/>
    <mergeCell ref="DD41:DH45"/>
    <mergeCell ref="DI41:DJ45"/>
    <mergeCell ref="DK41:DL45"/>
    <mergeCell ref="DM41:DQ45"/>
    <mergeCell ref="DR41:DS45"/>
    <mergeCell ref="DT41:DU45"/>
    <mergeCell ref="DT46:DW48"/>
    <mergeCell ref="DX46:DX48"/>
    <mergeCell ref="DY46:EB48"/>
    <mergeCell ref="CX46:DA48"/>
    <mergeCell ref="DB46:DE48"/>
    <mergeCell ref="DF46:DF48"/>
    <mergeCell ref="DG46:DJ48"/>
    <mergeCell ref="DK46:DN48"/>
    <mergeCell ref="DO46:DO48"/>
    <mergeCell ref="DP46:DS48"/>
    <mergeCell ref="DI49:DJ53"/>
    <mergeCell ref="DG54:DJ56"/>
    <mergeCell ref="DK54:DN56"/>
    <mergeCell ref="DO54:DO56"/>
    <mergeCell ref="DP54:DS56"/>
    <mergeCell ref="DT54:DW56"/>
    <mergeCell ref="DX54:DX56"/>
    <mergeCell ref="DY54:EB56"/>
    <mergeCell ref="DD49:DH53"/>
    <mergeCell ref="DK49:DL53"/>
    <mergeCell ref="DM49:DQ53"/>
    <mergeCell ref="DR49:DS53"/>
    <mergeCell ref="DT49:DU53"/>
    <mergeCell ref="DV49:DZ53"/>
    <mergeCell ref="EA49:EB53"/>
    <mergeCell ref="BU10:CB15"/>
    <mergeCell ref="CD10:CH15"/>
    <mergeCell ref="CJ14:CM16"/>
    <mergeCell ref="CN14:CN16"/>
    <mergeCell ref="CO14:CR16"/>
    <mergeCell ref="CS14:CV16"/>
    <mergeCell ref="CW14:CW16"/>
    <mergeCell ref="DV17:DZ21"/>
    <mergeCell ref="EA17:EB21"/>
    <mergeCell ref="DV33:DZ37"/>
    <mergeCell ref="EA33:EB37"/>
    <mergeCell ref="BC18:BJ23"/>
    <mergeCell ref="BL18:BS23"/>
    <mergeCell ref="M2:P7"/>
    <mergeCell ref="R2:BA7"/>
    <mergeCell ref="BC2:BJ7"/>
    <mergeCell ref="BL2:BS7"/>
    <mergeCell ref="BU2:CB7"/>
    <mergeCell ref="M9:P16"/>
    <mergeCell ref="M17:P24"/>
    <mergeCell ref="BU18:CB23"/>
    <mergeCell ref="DG38:DJ40"/>
    <mergeCell ref="DK38:DN40"/>
    <mergeCell ref="DO38:DO40"/>
    <mergeCell ref="DP38:DS40"/>
    <mergeCell ref="DT38:DW40"/>
    <mergeCell ref="DX38:DX40"/>
    <mergeCell ref="DY38:EB40"/>
    <mergeCell ref="DB17:DC21"/>
    <mergeCell ref="DD17:DH21"/>
    <mergeCell ref="DI17:DJ21"/>
    <mergeCell ref="DK17:DL21"/>
    <mergeCell ref="DM17:DQ21"/>
    <mergeCell ref="DR17:DS21"/>
    <mergeCell ref="DT17:DU21"/>
    <mergeCell ref="BU34:CB39"/>
    <mergeCell ref="CJ41:CK45"/>
    <mergeCell ref="CL41:CP45"/>
    <mergeCell ref="CQ41:CR45"/>
    <mergeCell ref="CS41:CT45"/>
    <mergeCell ref="CU41:CY45"/>
    <mergeCell ref="CZ41:DA45"/>
    <mergeCell ref="R18:W23"/>
    <mergeCell ref="Y18:BA23"/>
    <mergeCell ref="R26:W31"/>
    <mergeCell ref="Y26:BA31"/>
    <mergeCell ref="BC26:BJ31"/>
    <mergeCell ref="BL26:BS31"/>
    <mergeCell ref="BU26:CB31"/>
    <mergeCell ref="BC42:BJ47"/>
    <mergeCell ref="BL42:BS47"/>
    <mergeCell ref="BU42:CB47"/>
    <mergeCell ref="CD42:CH47"/>
    <mergeCell ref="CJ46:CM48"/>
    <mergeCell ref="CN46:CN48"/>
    <mergeCell ref="CO46:CR48"/>
    <mergeCell ref="CZ49:DA53"/>
    <mergeCell ref="DB49:DC53"/>
    <mergeCell ref="BU50:CB55"/>
    <mergeCell ref="CD50:CH55"/>
    <mergeCell ref="R50:W55"/>
    <mergeCell ref="R58:W63"/>
    <mergeCell ref="Y58:BA63"/>
    <mergeCell ref="BC58:BJ63"/>
    <mergeCell ref="BU58:CB63"/>
    <mergeCell ref="CD58:CH63"/>
    <mergeCell ref="DB62:DE64"/>
    <mergeCell ref="DF62:DF64"/>
    <mergeCell ref="R82:W87"/>
    <mergeCell ref="R90:W95"/>
    <mergeCell ref="M113:P120"/>
    <mergeCell ref="R114:W119"/>
    <mergeCell ref="M121:P128"/>
    <mergeCell ref="R122:W127"/>
    <mergeCell ref="M129:P136"/>
    <mergeCell ref="R130:W135"/>
    <mergeCell ref="M57:P64"/>
    <mergeCell ref="M65:P72"/>
    <mergeCell ref="R66:W71"/>
    <mergeCell ref="M73:P80"/>
    <mergeCell ref="R74:W79"/>
    <mergeCell ref="M81:P88"/>
    <mergeCell ref="M89:P96"/>
    <mergeCell ref="DD73:DH77"/>
    <mergeCell ref="DI73:DJ77"/>
    <mergeCell ref="DK73:DL77"/>
    <mergeCell ref="DM73:DQ77"/>
    <mergeCell ref="DR73:DS77"/>
    <mergeCell ref="DT73:DU77"/>
    <mergeCell ref="DV73:DZ77"/>
    <mergeCell ref="EA73:EB77"/>
    <mergeCell ref="CJ73:CK77"/>
    <mergeCell ref="CL73:CP77"/>
    <mergeCell ref="CQ73:CR77"/>
    <mergeCell ref="CS73:CT77"/>
    <mergeCell ref="CU73:CY77"/>
    <mergeCell ref="CZ73:DA77"/>
    <mergeCell ref="DB73:DC77"/>
    <mergeCell ref="M97:P104"/>
    <mergeCell ref="R98:W103"/>
    <mergeCell ref="Y98:BA103"/>
    <mergeCell ref="BC98:BJ103"/>
    <mergeCell ref="BL98:BS103"/>
    <mergeCell ref="M105:P112"/>
    <mergeCell ref="R106:W111"/>
    <mergeCell ref="Y106:BA111"/>
    <mergeCell ref="BC106:BJ111"/>
    <mergeCell ref="BL106:BS111"/>
    <mergeCell ref="Y114:BA119"/>
    <mergeCell ref="BC114:BJ119"/>
    <mergeCell ref="DT129:DU133"/>
    <mergeCell ref="DV129:DZ133"/>
    <mergeCell ref="EA129:EB133"/>
    <mergeCell ref="CZ129:DA133"/>
    <mergeCell ref="DB129:DC133"/>
    <mergeCell ref="DD129:DH133"/>
    <mergeCell ref="DI129:DJ133"/>
    <mergeCell ref="DK129:DL133"/>
    <mergeCell ref="DM129:DQ133"/>
    <mergeCell ref="DR129:DS133"/>
    <mergeCell ref="DT134:DW136"/>
    <mergeCell ref="DX134:DX136"/>
    <mergeCell ref="DY134:EB136"/>
    <mergeCell ref="CX134:DA136"/>
    <mergeCell ref="DB134:DE136"/>
    <mergeCell ref="DF134:DF136"/>
    <mergeCell ref="DG134:DJ136"/>
    <mergeCell ref="DK134:DN136"/>
    <mergeCell ref="DO134:DO136"/>
    <mergeCell ref="DP134:DS136"/>
    <mergeCell ref="M25:P32"/>
    <mergeCell ref="M33:P40"/>
    <mergeCell ref="R34:W39"/>
    <mergeCell ref="Y34:BA39"/>
    <mergeCell ref="BC34:BJ39"/>
    <mergeCell ref="BL34:BS39"/>
    <mergeCell ref="M41:P48"/>
    <mergeCell ref="R42:W47"/>
    <mergeCell ref="Y42:BA47"/>
    <mergeCell ref="M49:P56"/>
    <mergeCell ref="Y50:BA55"/>
    <mergeCell ref="BC50:BJ55"/>
    <mergeCell ref="BL50:BS55"/>
    <mergeCell ref="BL58:BS63"/>
    <mergeCell ref="BC82:BJ87"/>
    <mergeCell ref="BL82:BS87"/>
    <mergeCell ref="Y90:BA95"/>
    <mergeCell ref="BC90:BJ95"/>
    <mergeCell ref="BL90:BS95"/>
    <mergeCell ref="Y66:BA71"/>
    <mergeCell ref="BC66:BJ71"/>
    <mergeCell ref="BL66:BS71"/>
    <mergeCell ref="Y74:BA79"/>
    <mergeCell ref="BC74:BJ79"/>
    <mergeCell ref="BL74:BS79"/>
    <mergeCell ref="Y82:BA87"/>
    <mergeCell ref="Y122:BA127"/>
    <mergeCell ref="BC122:BJ127"/>
    <mergeCell ref="BL122:BS127"/>
    <mergeCell ref="BU122:CB127"/>
    <mergeCell ref="Y130:BA135"/>
    <mergeCell ref="BC130:BJ135"/>
    <mergeCell ref="BL130:BS135"/>
    <mergeCell ref="BU130:CB135"/>
    <mergeCell ref="CJ129:CK133"/>
    <mergeCell ref="CJ134:CM136"/>
    <mergeCell ref="CN134:CN136"/>
    <mergeCell ref="CO134:CR136"/>
    <mergeCell ref="CS134:CV136"/>
    <mergeCell ref="CW134:CW136"/>
    <mergeCell ref="BL114:BS119"/>
    <mergeCell ref="BU114:CB119"/>
    <mergeCell ref="CL129:CP133"/>
    <mergeCell ref="CQ129:CR133"/>
    <mergeCell ref="CS129:CT133"/>
    <mergeCell ref="CU129:CY133"/>
    <mergeCell ref="CD130:CH135"/>
  </mergeCells>
  <conditionalFormatting sqref="CJ9 CS9 DB9 DK9 DT9 CJ17 CS17 DB17 DK17 DT17 CJ25 CS25 DB25 DK25 DT25 CJ33 CS33 DB33 DK33 DT33 CJ41 CS41 DB41 DK41 DT41 CJ49 CS49 DB49 DK49 DT49 CJ57 CS57 DB57 DK57 DT57 CJ65 CS65 DB65 DK65 DT65 CJ73 CS73 DB73 DK73 DT73 CJ81 CS81 DB81 DK81 DT81 CJ89 CS89 DB89 DK89 DT89 CJ97 CS97 DB97 DK97 DT97 CJ105 CS105 DB105 DK105 DT105 CJ113 CS113 DB113 DK113 DT113 CJ121 CS121 DB121 DK121 DT121 CJ129 CS129 DB129 DK129 DT129">
    <cfRule type="expression" dxfId="10" priority="1">
      <formula>CJ9="W"</formula>
    </cfRule>
  </conditionalFormatting>
  <conditionalFormatting sqref="CQ9:CR13 CZ9:DA13 DI9:DJ13 DR9:DS13 EA9:EB13 CQ17:CR21 CZ17:DA21 DI17:DJ21 DR17:DS21 EA17:EB21 CQ25:CR29 CZ25:DA29 DI25:DJ29 DR25:DS29 EA25:EB29 CQ33:CR37 CZ33:DA37 DI33:DJ37 DR33:DS37 EA33:EB37 CQ41:CR45 CZ41:DA45 DI41:DJ45 DR41:DS45 EA41:EB45 CQ49:CR53 CZ49:DA53 DI49:DJ53 DR49:DS53 EA49:EB53 CQ57:CR61 CZ57:DA61 DI57:DJ61 DR57:DS61 EA57:EB61 CQ65:CR69 CZ65:DA69 DI65:DJ69 DR65:DS69 EA65:EB69 CQ73:CR77 CZ73:DA77 DI73:DJ77 DR73:DS77 EA73:EB77 CQ81:CR85 CZ81:DA85 DI81:DJ85 DR81:DS85 EA81:EB85 CQ89:CR93 CZ89:DA93 DI89:DJ93 DR89:DS93 EA89:EB93 CQ97:CR101 CZ97:DA101 DI97:DJ101 DR97:DS101 EA97:EB101 CQ105:CR109 CZ105:DA109 DI105:DJ109 DR105:DS109 EA105:EB109 CQ113:CR117 CZ113:DA117 DI113:DJ117 DR113:DS117 EA113:EB117 CQ121:CR125 CZ121:DA125 DI121:DJ125 DR121:DS125 EA121:EB125 CQ129:CR133 CZ129:DA133 DI129:DJ133 DR129:DS133 EA129:EB133">
    <cfRule type="expression" dxfId="11" priority="2">
      <formula>CJ9="W"</formula>
    </cfRule>
  </conditionalFormatting>
  <conditionalFormatting sqref="CL9:CP13 CU9:CY13 DD9:DH13 DM9:DQ13 DV9:DZ13 CL17:CP21 CU17:CY21 DD17:DH21 DM17:DQ21 DV17:DZ21 CL25:CP29 CU25:CY29 DD25:DH29 DM25:DQ29 DV25:DZ29 CL33:CP37 CU33:CY37 DD33:DH37 DM33:DQ37 DV33:DZ37 CL41:CP45 CU41:CY45 DD41:DH45 DM41:DQ45 DV41:DZ45 CL49:CP53 CU49:CY53 DD49:DH53 DM49:DQ53 DV49:DZ53 CL57:CP61 CU57:CY61 DD57:DH61 DM57:DQ61 DV57:DZ61 CL65:CP69 CU65:CY69 DD65:DH69 DM65:DQ69 DV65:DZ69 CL73:CP77 CU73:CY77 DD73:DH77 DM73:DQ77 DV73:DZ77 CL81:CP85 CU81:CY85 DD81:DH85 DM81:DQ85 DV81:DZ85 CL89:CP93 CU89:CY93 DD89:DH93 DM89:DQ93 DV89:DZ93 CL97:CP101 CU97:CY101 DD97:DH101 DM97:DQ101 DV97:DZ101 CL105:CP109 CU105:CY109 DD105:DH109 DM105:DQ109 DV105:DZ109 CL113:CP117 CU113:CY117 DD113:DH117 DM113:DQ117 DV113:DZ117 CL121:CP125 CU121:CY125 DD121:DH125 DM121:DQ125 DV121:DZ125 CL129:CP133 CU129:CY133 DD129:DH133 DM129:DQ133 DV129:DZ133">
    <cfRule type="expression" dxfId="11" priority="3">
      <formula>CJ9="W"</formula>
    </cfRule>
  </conditionalFormatting>
  <conditionalFormatting sqref="CJ14:CM16 CS14:CV16 DB14:DE16 DK14:DN16 DT14:DW16 CJ22:CM24 CS22:CV24 DB22:DE24 DK22:DN24 DT22:DW24 CJ30:CM32 CS30:CV32 DB30:DE32 DK30:DN32 DT30:DW32 CJ38:CM40 CS38:CV40 DB38:DE40 DK38:DN40 DT38:DW40 CJ46:CM48 CS46:CV48 DB46:DE48 DK46:DN48 DT46:DW48 CJ54:CM56 CS54:CV56 DB54:DE56 DK54:DN56 DT54:DW56 CJ62:CM64 CS62:CV64 DB62:DE64 DK62:DN64 DT62:DW64 CJ70:CM72 CS70:CV72 DB70:DE72 DK70:DN72 DT70:DW72 CJ78:CM80 CS78:CV80 DB78:DE80 DK78:DN80 DT78:DW80 CJ86:CM88 CS86:CV88 DB86:DE88 DK86:DN88 DT86:DW88 CJ94:CM96 CS94:CV96 DB94:DE96 DK94:DN96 DT94:DW96 CJ102:CM104 CS102:CV104 DB102:DE104 DK102:DN104 DT102:DW104 CJ110:CM112 CS110:CV112 DB110:DE112 DK110:DN112 DT110:DW112 CJ118:CM120 CS118:CV120 DB118:DE120 DK118:DN120 DT118:DW120 CJ126:CM128 CS126:CV128 DB126:DE128 DK126:DN128 DT126:DW128 CJ134:CM136 CS134:CV136 DB134:DE136 DK134:DN136 DT134:DW136">
    <cfRule type="expression" dxfId="11" priority="4">
      <formula>CJ9="W"</formula>
    </cfRule>
  </conditionalFormatting>
  <conditionalFormatting sqref="CO14:CR16 CX14:DA16 DG14:DJ16 DP14:DS16 DY14:EB16 CO22:CR24 CX22:DA24 DG22:DJ24 DP22:DS24 DY22:EB24 CO30:CR32 CX30:DA32 DG30:DJ32 DP30:DS32 DY30:EB32 CO38:CR40 CX38:DA40 DG38:DJ40 DP38:DS40 DY38:EB40 CO46:CR48 CX46:DA48 DG46:DJ48 DP46:DS48 DY46:EB48 CO54:CR56 CX54:DA56 DG54:DJ56 DP54:DS56 DY54:EB56 CO62:CR64 CX62:DA64 DG62:DJ64 DP62:DS64 DY62:EB64 CO70:CR72 CX70:DA72 DG70:DJ72 DP70:DS72 DY70:EB72 CO78:CR80 CX78:DA80 DG78:DJ80 DP78:DS80 DY78:EB80 CO86:CR88 CX86:DA88 DG86:DJ88 DP86:DS88 DY86:EB88 CO94:CR96 CX94:DA96 DG94:DJ96 DP94:DS96 DY94:EB96 CO102:CR104 CX102:DA104 DG102:DJ104 DP102:DS104 DY102:EB104 CO110:CR112 CX110:DA112 DG110:DJ112 DP110:DS112 DY110:EB112 CO118:CR120 CX118:DA120 DG118:DJ120 DP118:DS120 DY118:EB120 CO126:CR128 CX126:DA128 DG126:DJ128 DP126:DS128 DY126:EB128 CO134:CR136 CX134:DA136 DG134:DJ136 DP134:DS136 DY134:EB136">
    <cfRule type="expression" dxfId="11" priority="5">
      <formula>CJ9="W"</formula>
    </cfRule>
  </conditionalFormatting>
  <conditionalFormatting sqref="CN14:CN16 CW14:CW16 DF14:DF16 DO14:DO16 DX14:DX16 CN22:CN24 CW22:CW24 DF22:DF24 DO22:DO24 DX22:DX24 CN30:CN32 CW30:CW32 DF30:DF32 DO30:DO32 DX30:DX32 CN38:CN40 CW38:CW40 DF38:DF40 DO38:DO40 DX38:DX40 CN46:CN48 CW46:CW48 DF46:DF48 DO46:DO48 DX46:DX48 CN54:CN56 CW54:CW56 DF54:DF56 DO54:DO56 DX54:DX56 CN62:CN64 CW62:CW64 DF62:DF64 DO62:DO64 DX62:DX64 CN70:CN72 CW70:CW72 DF70:DF72 DO70:DO72 DX70:DX72 CN78:CN80 CW78:CW80 DF78:DF80 DO78:DO80 DX78:DX80 CN86:CN88 CW86:CW88 DF86:DF88 DO86:DO88 DX86:DX88 CN94:CN96 CW94:CW96 DF94:DF96 DO94:DO96 DX94:DX96 CN102:CN104 CW102:CW104 DF102:DF104 DO102:DO104 DX102:DX104 CN110:CN112 CW110:CW112 DF110:DF112 DO110:DO112 DX110:DX112 CN118:CN120 CW118:CW120 DF118:DF120 DO118:DO120 DX118:DX120 CN126:CN128 CW126:CW128 DF126:DF128 DO126:DO128 DX126:DX128 CN134:CN136 CW134:CW136 DF134:DF136 DO134:DO136 DX134:DX136">
    <cfRule type="expression" dxfId="11" priority="6">
      <formula>CJ9="W"</formula>
    </cfRule>
  </conditionalFormatting>
  <conditionalFormatting sqref="CJ9:CK13 CS9:CT13 DB9:DC13 DK9:DL13 DT9:DU13 CJ17:CK21 CS17:CT21 DB17:DC21 DK17:DL21 DT17:DU21 CJ25:CK29 CS25:CT29 DB25:DC29 DK25:DL29 DT25:DU29 CJ33:CK37 CS33:CT37 DB33:DC37 DK33:DL37 DT33:DU37 CJ41:CK45 CS41:CT45 DB41:DC45 DK41:DL45 DT41:DU45 CJ49:CK53 CS49:CT53 DB49:DC53 DK49:DL53 DT49:DU53 CJ57:CK61 CS57:CT61 DB57:DC61 DK57:DL61 DT57:DU61 CJ65:CK69 CS65:CT69 DB65:DC69 DK65:DL69 DT65:DU69 CJ73:CK77 CS73:CT77 DB73:DC77 DK73:DL77 DT73:DU77 CJ81:CK85 CS81:CT85 DB81:DC85 DK81:DL85 DT81:DU85 CJ89:CK93 CS89:CT93 DB89:DC93 DK89:DL93 DT89:DU93 CJ97:CK101 CS97:CT101 DB97:DC101 DK97:DL101 DT97:DU101 CJ105:CK109 CS105:CT109 DB105:DC109 DK105:DL109 DT105:DU109 CJ113:CK117 CS113:CT117 DB113:DC117 DK113:DL117 DT113:DU117 CJ121:CK125 CS121:CT125 DB121:DC125 DK121:DL125 DT121:DU125 CJ129:CK133 CS129:CT133 DB129:DC133 DK129:DL133 DT129:DU133">
    <cfRule type="expression" dxfId="12" priority="7">
      <formula>CJ9="L"</formula>
    </cfRule>
  </conditionalFormatting>
  <conditionalFormatting sqref="CL9:CP13 CU9:CY13 DD9:DH13 DM9:DQ13 DV9:DZ13 CL17:CP21 CU17:CY21 DD17:DH21 DM17:DQ21 DV17:DZ21 CL25:CP29 CU25:CY29 DD25:DH29 DM25:DQ29 DV25:DZ29 CL33:CP37 CU33:CY37 DD33:DH37 DM33:DQ37 DV33:DZ37 CL41:CP45 CU41:CY45 DD41:DH45 DM41:DQ45 DV41:DZ45 CL49:CP53 CU49:CY53 DD49:DH53 DM49:DQ53 DV49:DZ53 CL57:CP61 CU57:CY61 DD57:DH61 DM57:DQ61 DV57:DZ61 CL65:CP69 CU65:CY69 DD65:DH69 DM65:DQ69 DV65:DZ69 CL73:CP77 CU73:CY77 DD73:DH77 DM73:DQ77 DV73:DZ77 CL81:CP85 CU81:CY85 DD81:DH85 DM81:DQ85 DV81:DZ85 CL89:CP93 CU89:CY93 DD89:DH93 DM89:DQ93 DV89:DZ93 CL97:CP101 CU97:CY101 DD97:DH101 DM97:DQ101 DV97:DZ101 CL105:CP109 CU105:CY109 DD105:DH109 DM105:DQ109 DV105:DZ109 CL113:CP117 CU113:CY117 DD113:DH117 DM113:DQ117 DV113:DZ117 CL121:CP125 CU121:CY125 DD121:DH125 DM121:DQ125 DV121:DZ125 CL129:CP133 CU129:CY133 DD129:DH133 DM129:DQ133 DV129:DZ133">
    <cfRule type="expression" dxfId="13" priority="8">
      <formula>CJ9="L"</formula>
    </cfRule>
  </conditionalFormatting>
  <conditionalFormatting sqref="CQ9:CR13 CZ9:DA13 DI9:DJ13 DR9:DS13 EA9:EB13 CQ17:CR21 CZ17:DA21 DI17:DJ21 DR17:DS21 EA17:EB21 CQ25:CR29 CZ25:DA29 DI25:DJ29 DR25:DS29 EA25:EB29 CQ33:CR37 CZ33:DA37 DI33:DJ37 DR33:DS37 EA33:EB37 CQ41:CR45 CZ41:DA45 DI41:DJ45 DR41:DS45 EA41:EB45 CQ49:CR53 CZ49:DA53 DI49:DJ53 DR49:DS53 EA49:EB53 CQ57:CR61 CZ57:DA61 DI57:DJ61 DR57:DS61 EA57:EB61 CQ65:CR69 CZ65:DA69 DI65:DJ69 DR65:DS69 EA65:EB69 CQ73:CR77 CZ73:DA77 DI73:DJ77 DR73:DS77 EA73:EB77 CQ81:CR85 CZ81:DA85 DI81:DJ85 DR81:DS85 EA81:EB85 CQ89:CR93 CZ89:DA93 DI89:DJ93 DR89:DS93 EA89:EB93 CQ97:CR101 CZ97:DA101 DI97:DJ101 DR97:DS101 EA97:EB101 CQ105:CR109 CZ105:DA109 DI105:DJ109 DR105:DS109 EA105:EB109 CQ113:CR117 CZ113:DA117 DI113:DJ117 DR113:DS117 EA113:EB117 CQ121:CR125 CZ121:DA125 DI121:DJ125 DR121:DS125 EA121:EB125 CQ129:CR133 CZ129:DA133 DI129:DJ133 DR129:DS133 EA129:EB133">
    <cfRule type="expression" dxfId="13" priority="9">
      <formula>CJ9="L"</formula>
    </cfRule>
  </conditionalFormatting>
  <conditionalFormatting sqref="CJ14:CM16 CS14:CV16 DB14:DE16 DK14:DN16 DT14:DW16 CJ22:CM24 CS22:CV24 DB22:DE24 DK22:DN24 DT22:DW24 CJ30:CM32 CS30:CV32 DB30:DE32 DK30:DN32 DT30:DW32 CJ38:CM40 CS38:CV40 DB38:DE40 DK38:DN40 DT38:DW40 CJ46:CM48 CS46:CV48 DB46:DE48 DK46:DN48 DT46:DW48 CJ54:CM56 CS54:CV56 DB54:DE56 DK54:DN56 DT54:DW56 CJ62:CM64 CS62:CV64 DB62:DE64 DK62:DN64 DT62:DW64 CJ70:CM72 CS70:CV72 DB70:DE72 DK70:DN72 DT70:DW72 CJ78:CM80 CS78:CV80 DB78:DE80 DK78:DN80 DT78:DW80 CJ86:CM88 CS86:CV88 DB86:DE88 DK86:DN88 DT86:DW88 CJ94:CM96 CS94:CV96 DB94:DE96 DK94:DN96 DT94:DW96 CJ102:CM104 CS102:CV104 DB102:DE104 DK102:DN104 DT102:DW104 CJ110:CM112 CS110:CV112 DB110:DE112 DK110:DN112 DT110:DW112 CJ118:CM120 CS118:CV120 DB118:DE120 DK118:DN120 DT118:DW120 CJ126:CM128 CS126:CV128 DB126:DE128 DK126:DN128 DT126:DW128 CJ134:CM136 CS134:CV136 DB134:DE136 DK134:DN136 DT134:DW136">
    <cfRule type="expression" dxfId="13" priority="10">
      <formula>CJ9="L"</formula>
    </cfRule>
  </conditionalFormatting>
  <conditionalFormatting sqref="CN14:CN16 CW14:CW16 DF14:DF16 DO14:DO16 DX14:DX16 CN22:CN24 CW22:CW24 DF22:DF24 DO22:DO24 DX22:DX24 CN30:CN32 CW30:CW32 DF30:DF32 DO30:DO32 DX30:DX32 CN38:CN40 CW38:CW40 DF38:DF40 DO38:DO40 DX38:DX40 CN46:CN48 CW46:CW48 DF46:DF48 DO46:DO48 DX46:DX48 CN54:CN56 CW54:CW56 DF54:DF56 DO54:DO56 DX54:DX56 CN62:CN64 CW62:CW64 DF62:DF64 DO62:DO64 DX62:DX64 CN70:CN72 CW70:CW72 DF70:DF72 DO70:DO72 DX70:DX72 CN78:CN80 CW78:CW80 DF78:DF80 DO78:DO80 DX78:DX80 CN86:CN88 CW86:CW88 DF86:DF88 DO86:DO88 DX86:DX88 CN94:CN96 CW94:CW96 DF94:DF96 DO94:DO96 DX94:DX96 CN102:CN104 CW102:CW104 DF102:DF104 DO102:DO104 DX102:DX104 CN110:CN112 CW110:CW112 DF110:DF112 DO110:DO112 DX110:DX112 CN118:CN120 CW118:CW120 DF118:DF120 DO118:DO120 DX118:DX120 CN126:CN128 CW126:CW128 DF126:DF128 DO126:DO128 DX126:DX128 CN134:CN136 CW134:CW136 DF134:DF136 DO134:DO136 DX134:DX136">
    <cfRule type="expression" dxfId="13" priority="11">
      <formula>CJ9="L"</formula>
    </cfRule>
  </conditionalFormatting>
  <conditionalFormatting sqref="CO14:CR16 CX14:DA16 DG14:DJ16 DP14:DS16 DY14:EB16 CO22:CR24 CX22:DA24 DG22:DJ24 DP22:DS24 DY22:EB24 CO30:CR32 CX30:DA32 DG30:DJ32 DP30:DS32 DY30:EB32 CO38:CR40 CX38:DA40 DG38:DJ40 DP38:DS40 DY38:EB40 CO46:CR48 CX46:DA48 DG46:DJ48 DP46:DS48 DY46:EB48 CO54:CR56 CX54:DA56 DG54:DJ56 DP54:DS56 DY54:EB56 CO62:CR64 CX62:DA64 DG62:DJ64 DP62:DS64 DY62:EB64 CO70:CR72 CX70:DA72 DG70:DJ72 DP70:DS72 DY70:EB72 CO78:CR80 CX78:DA80 DG78:DJ80 DP78:DS80 DY78:EB80 CO86:CR88 CX86:DA88 DG86:DJ88 DP86:DS88 DY86:EB88 CO94:CR96 CX94:DA96 DG94:DJ96 DP94:DS96 DY94:EB96 CO102:CR104 CX102:DA104 DG102:DJ104 DP102:DS104 DY102:EB104 CO110:CR112 CX110:DA112 DG110:DJ112 DP110:DS112 DY110:EB112 CO118:CR120 CX118:DA120 DG118:DJ120 DP118:DS120 DY118:EB120 CO126:CR128 CX126:DA128 DG126:DJ128 DP126:DS128 DY126:EB128 CO134:CR136 CX134:DA136 DG134:DJ136 DP134:DS136 DY134:EB136">
    <cfRule type="expression" dxfId="13" priority="12">
      <formula>CJ9="L"</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hidden="1" min="1" max="1" width="2.0"/>
    <col customWidth="1" min="2" max="99" width="2.0"/>
  </cols>
  <sheetData>
    <row r="1" ht="11.25" customHeight="1">
      <c r="C1" s="1" t="s">
        <v>0</v>
      </c>
      <c r="I1" s="2" t="s">
        <v>98</v>
      </c>
      <c r="N1" s="2" t="s">
        <v>99</v>
      </c>
      <c r="T1" s="1" t="s">
        <v>2</v>
      </c>
      <c r="AH1" s="3" t="s">
        <v>3</v>
      </c>
      <c r="AL1" s="1" t="s">
        <v>4</v>
      </c>
      <c r="BA1" s="4" t="s">
        <v>5</v>
      </c>
      <c r="BF1" s="1" t="s">
        <v>6</v>
      </c>
      <c r="BY1" s="5" t="s">
        <v>7</v>
      </c>
      <c r="CK1" s="5" t="s">
        <v>8</v>
      </c>
    </row>
    <row r="2" ht="11.25" customHeight="1"/>
    <row r="3" ht="11.25" customHeight="1"/>
    <row r="4" ht="11.25" customHeight="1">
      <c r="BA4" s="6"/>
      <c r="BB4" s="6"/>
      <c r="BC4" s="6"/>
      <c r="BD4" s="6"/>
    </row>
    <row r="5" ht="11.25" customHeight="1">
      <c r="A5" s="47">
        <v>1.0</v>
      </c>
      <c r="C5" s="16" t="s">
        <v>100</v>
      </c>
      <c r="D5" s="17"/>
      <c r="E5" s="17"/>
      <c r="F5" s="17"/>
      <c r="G5" s="18"/>
      <c r="H5" s="19"/>
      <c r="I5" s="210">
        <v>0.4791666666666667</v>
      </c>
      <c r="J5" s="17"/>
      <c r="K5" s="17"/>
      <c r="L5" s="18"/>
      <c r="M5" s="19"/>
      <c r="N5" s="20">
        <f>I5 + TIME(1, 0, 0)</f>
        <v>0.5208333333</v>
      </c>
      <c r="O5" s="17"/>
      <c r="P5" s="17"/>
      <c r="Q5" s="18"/>
      <c r="T5" s="21" t="str">
        <f t="array" ref="T5">xlookup(V5,qualdata!$N$2:$N$17,qualdata!$O$2:$O$17,"")</f>
        <v/>
      </c>
      <c r="U5" s="22"/>
      <c r="V5" s="23" t="str">
        <f t="array" ref="V5">xlookup(A5,qualmatchups!$I:$I,qualmatchups!$B:$B,"")</f>
        <v>Team 1 (Group 1)</v>
      </c>
      <c r="W5" s="22"/>
      <c r="X5" s="22"/>
      <c r="Y5" s="22"/>
      <c r="Z5" s="22"/>
      <c r="AA5" s="22"/>
      <c r="AB5" s="22"/>
      <c r="AC5" s="22"/>
      <c r="AD5" s="22"/>
      <c r="AE5" s="22"/>
      <c r="AF5" s="22"/>
      <c r="AG5" s="22"/>
      <c r="AH5" s="24" t="str">
        <f t="array" ref="AH5">xlookup(A5,qualmatchups!$I:$I,qualmatchups!$D:$D,"")</f>
        <v/>
      </c>
      <c r="AI5" s="9"/>
      <c r="AJ5" s="24" t="str">
        <f t="array" ref="AJ5">xlookup(A5,qualmatchups!$I:$I,qualmatchups!$E:$E,"")</f>
        <v/>
      </c>
      <c r="AK5" s="9"/>
      <c r="AL5" s="23" t="str">
        <f t="array" ref="AL5">xlookup(A5,qualmatchups!$I:$I,qualmatchups!$C:$C,"")</f>
        <v>Team 16 (Group 1)</v>
      </c>
      <c r="AM5" s="22"/>
      <c r="AN5" s="22"/>
      <c r="AO5" s="22"/>
      <c r="AP5" s="22"/>
      <c r="AQ5" s="22"/>
      <c r="AR5" s="22"/>
      <c r="AS5" s="22"/>
      <c r="AT5" s="22"/>
      <c r="AU5" s="22"/>
      <c r="AV5" s="22"/>
      <c r="AW5" s="22"/>
      <c r="AX5" s="25" t="str">
        <f t="array" ref="AX5">xlookup(AL5,qualdata!$N$2:$N$17,qualdata!$O$2:$O$17,"")</f>
        <v/>
      </c>
      <c r="AY5" s="26"/>
      <c r="BA5" s="27" t="s">
        <v>11</v>
      </c>
      <c r="BB5" s="17"/>
      <c r="BC5" s="17"/>
      <c r="BD5" s="18"/>
      <c r="BF5" s="27" t="s">
        <v>30</v>
      </c>
      <c r="BG5" s="17"/>
      <c r="BH5" s="17"/>
      <c r="BI5" s="17"/>
      <c r="BJ5" s="17"/>
      <c r="BK5" s="17"/>
      <c r="BL5" s="17"/>
      <c r="BM5" s="17"/>
      <c r="BN5" s="17"/>
      <c r="BO5" s="17"/>
      <c r="BP5" s="17"/>
      <c r="BQ5" s="17"/>
      <c r="BR5" s="17"/>
      <c r="BS5" s="17"/>
      <c r="BT5" s="17"/>
      <c r="BU5" s="17"/>
      <c r="BV5" s="18"/>
      <c r="BY5" s="28" t="s">
        <v>100</v>
      </c>
      <c r="BZ5" s="17"/>
      <c r="CA5" s="17"/>
      <c r="CB5" s="17"/>
      <c r="CC5" s="17"/>
      <c r="CD5" s="17"/>
      <c r="CE5" s="17"/>
      <c r="CF5" s="17"/>
      <c r="CG5" s="17"/>
      <c r="CH5" s="17"/>
      <c r="CI5" s="18"/>
      <c r="CK5" s="211" t="s">
        <v>14</v>
      </c>
      <c r="CL5" s="17"/>
      <c r="CM5" s="17"/>
      <c r="CN5" s="17"/>
      <c r="CO5" s="17"/>
      <c r="CP5" s="17"/>
      <c r="CQ5" s="17"/>
      <c r="CR5" s="17"/>
      <c r="CS5" s="18"/>
    </row>
    <row r="6" ht="11.25" customHeight="1">
      <c r="C6" s="30"/>
      <c r="D6" s="31"/>
      <c r="E6" s="31"/>
      <c r="F6" s="31"/>
      <c r="G6" s="32"/>
      <c r="H6" s="19"/>
      <c r="I6" s="30"/>
      <c r="J6" s="31"/>
      <c r="K6" s="31"/>
      <c r="L6" s="32"/>
      <c r="M6" s="19"/>
      <c r="N6" s="30"/>
      <c r="O6" s="31"/>
      <c r="P6" s="31"/>
      <c r="Q6" s="32"/>
      <c r="T6" s="33"/>
      <c r="U6" s="34"/>
      <c r="V6" s="34"/>
      <c r="W6" s="34"/>
      <c r="X6" s="34"/>
      <c r="Y6" s="34"/>
      <c r="Z6" s="34"/>
      <c r="AA6" s="34"/>
      <c r="AB6" s="34"/>
      <c r="AC6" s="34"/>
      <c r="AD6" s="34"/>
      <c r="AE6" s="34"/>
      <c r="AF6" s="34"/>
      <c r="AG6" s="34"/>
      <c r="AH6" s="12"/>
      <c r="AI6" s="14"/>
      <c r="AJ6" s="12"/>
      <c r="AK6" s="14"/>
      <c r="AL6" s="34"/>
      <c r="AM6" s="34"/>
      <c r="AN6" s="34"/>
      <c r="AO6" s="34"/>
      <c r="AP6" s="34"/>
      <c r="AQ6" s="34"/>
      <c r="AR6" s="34"/>
      <c r="AS6" s="34"/>
      <c r="AT6" s="34"/>
      <c r="AU6" s="34"/>
      <c r="AV6" s="34"/>
      <c r="AW6" s="34"/>
      <c r="AX6" s="34"/>
      <c r="AY6" s="35"/>
      <c r="BA6" s="30"/>
      <c r="BB6" s="31"/>
      <c r="BC6" s="31"/>
      <c r="BD6" s="32"/>
      <c r="BF6" s="30"/>
      <c r="BG6" s="31"/>
      <c r="BH6" s="31"/>
      <c r="BI6" s="31"/>
      <c r="BJ6" s="31"/>
      <c r="BK6" s="31"/>
      <c r="BL6" s="31"/>
      <c r="BM6" s="31"/>
      <c r="BN6" s="31"/>
      <c r="BO6" s="31"/>
      <c r="BP6" s="31"/>
      <c r="BQ6" s="31"/>
      <c r="BR6" s="31"/>
      <c r="BS6" s="31"/>
      <c r="BT6" s="31"/>
      <c r="BU6" s="31"/>
      <c r="BV6" s="32"/>
      <c r="BY6" s="30"/>
      <c r="BZ6" s="31"/>
      <c r="CA6" s="31"/>
      <c r="CB6" s="31"/>
      <c r="CC6" s="31"/>
      <c r="CD6" s="31"/>
      <c r="CE6" s="31"/>
      <c r="CF6" s="31"/>
      <c r="CG6" s="31"/>
      <c r="CH6" s="31"/>
      <c r="CI6" s="32"/>
      <c r="CK6" s="30"/>
      <c r="CL6" s="31"/>
      <c r="CM6" s="31"/>
      <c r="CN6" s="31"/>
      <c r="CO6" s="31"/>
      <c r="CP6" s="31"/>
      <c r="CQ6" s="31"/>
      <c r="CR6" s="31"/>
      <c r="CS6" s="32"/>
    </row>
    <row r="7" ht="11.25" customHeight="1">
      <c r="A7" s="47">
        <f>A5+1</f>
        <v>2</v>
      </c>
      <c r="C7" s="16" t="s">
        <v>100</v>
      </c>
      <c r="D7" s="17"/>
      <c r="E7" s="17"/>
      <c r="F7" s="17"/>
      <c r="G7" s="18"/>
      <c r="H7" s="19"/>
      <c r="I7" s="210">
        <v>0.6041666666666666</v>
      </c>
      <c r="J7" s="17"/>
      <c r="K7" s="17"/>
      <c r="L7" s="18"/>
      <c r="M7" s="19"/>
      <c r="N7" s="20">
        <f>I7 + TIME(1, 0, 0)</f>
        <v>0.6458333333</v>
      </c>
      <c r="O7" s="17"/>
      <c r="P7" s="17"/>
      <c r="Q7" s="18"/>
      <c r="T7" s="21" t="str">
        <f t="array" ref="T7">xlookup(V7,qualdata!$N$2:$N$17,qualdata!$O$2:$O$17,"")</f>
        <v/>
      </c>
      <c r="U7" s="22"/>
      <c r="V7" s="23" t="str">
        <f t="array" ref="V7">xlookup(A7,qualmatchups!$I:$I,qualmatchups!$B:$B,"")</f>
        <v>Team 2 (Group 1)</v>
      </c>
      <c r="W7" s="22"/>
      <c r="X7" s="22"/>
      <c r="Y7" s="22"/>
      <c r="Z7" s="22"/>
      <c r="AA7" s="22"/>
      <c r="AB7" s="22"/>
      <c r="AC7" s="22"/>
      <c r="AD7" s="22"/>
      <c r="AE7" s="22"/>
      <c r="AF7" s="22"/>
      <c r="AG7" s="22"/>
      <c r="AH7" s="24" t="str">
        <f t="array" ref="AH7">xlookup(A7,qualmatchups!$I:$I,qualmatchups!$D:$D,"")</f>
        <v/>
      </c>
      <c r="AI7" s="9"/>
      <c r="AJ7" s="24" t="str">
        <f t="array" ref="AJ7">xlookup(A7,qualmatchups!$I:$I,qualmatchups!$E:$E,"")</f>
        <v/>
      </c>
      <c r="AK7" s="9"/>
      <c r="AL7" s="23" t="str">
        <f t="array" ref="AL7">xlookup(A7,qualmatchups!$I:$I,qualmatchups!$C:$C,"")</f>
        <v>Team 15 (Group 1)</v>
      </c>
      <c r="AM7" s="22"/>
      <c r="AN7" s="22"/>
      <c r="AO7" s="22"/>
      <c r="AP7" s="22"/>
      <c r="AQ7" s="22"/>
      <c r="AR7" s="22"/>
      <c r="AS7" s="22"/>
      <c r="AT7" s="22"/>
      <c r="AU7" s="22"/>
      <c r="AV7" s="22"/>
      <c r="AW7" s="22"/>
      <c r="AX7" s="25" t="str">
        <f t="array" ref="AX7">xlookup(AL7,qualdata!$N$2:$N$17,qualdata!$O$2:$O$17,"")</f>
        <v/>
      </c>
      <c r="AY7" s="26"/>
      <c r="BA7" s="27" t="s">
        <v>11</v>
      </c>
      <c r="BB7" s="17"/>
      <c r="BC7" s="17"/>
      <c r="BD7" s="18"/>
      <c r="BF7" s="27" t="s">
        <v>30</v>
      </c>
      <c r="BG7" s="17"/>
      <c r="BH7" s="17"/>
      <c r="BI7" s="17"/>
      <c r="BJ7" s="17"/>
      <c r="BK7" s="17"/>
      <c r="BL7" s="17"/>
      <c r="BM7" s="17"/>
      <c r="BN7" s="17"/>
      <c r="BO7" s="17"/>
      <c r="BP7" s="17"/>
      <c r="BQ7" s="17"/>
      <c r="BR7" s="17"/>
      <c r="BS7" s="17"/>
      <c r="BT7" s="17"/>
      <c r="BU7" s="17"/>
      <c r="BV7" s="18"/>
      <c r="BY7" s="28" t="s">
        <v>100</v>
      </c>
      <c r="BZ7" s="17"/>
      <c r="CA7" s="17"/>
      <c r="CB7" s="17"/>
      <c r="CC7" s="17"/>
      <c r="CD7" s="17"/>
      <c r="CE7" s="17"/>
      <c r="CF7" s="17"/>
      <c r="CG7" s="17"/>
      <c r="CH7" s="17"/>
      <c r="CI7" s="18"/>
      <c r="CK7" s="211" t="s">
        <v>14</v>
      </c>
      <c r="CL7" s="17"/>
      <c r="CM7" s="17"/>
      <c r="CN7" s="17"/>
      <c r="CO7" s="17"/>
      <c r="CP7" s="17"/>
      <c r="CQ7" s="17"/>
      <c r="CR7" s="17"/>
      <c r="CS7" s="18"/>
    </row>
    <row r="8" ht="11.25" customHeight="1">
      <c r="C8" s="30"/>
      <c r="D8" s="31"/>
      <c r="E8" s="31"/>
      <c r="F8" s="31"/>
      <c r="G8" s="32"/>
      <c r="H8" s="19"/>
      <c r="I8" s="30"/>
      <c r="J8" s="31"/>
      <c r="K8" s="31"/>
      <c r="L8" s="32"/>
      <c r="M8" s="19"/>
      <c r="N8" s="30"/>
      <c r="O8" s="31"/>
      <c r="P8" s="31"/>
      <c r="Q8" s="32"/>
      <c r="T8" s="33"/>
      <c r="U8" s="34"/>
      <c r="V8" s="34"/>
      <c r="W8" s="34"/>
      <c r="X8" s="34"/>
      <c r="Y8" s="34"/>
      <c r="Z8" s="34"/>
      <c r="AA8" s="34"/>
      <c r="AB8" s="34"/>
      <c r="AC8" s="34"/>
      <c r="AD8" s="34"/>
      <c r="AE8" s="34"/>
      <c r="AF8" s="34"/>
      <c r="AG8" s="34"/>
      <c r="AH8" s="12"/>
      <c r="AI8" s="14"/>
      <c r="AJ8" s="12"/>
      <c r="AK8" s="14"/>
      <c r="AL8" s="34"/>
      <c r="AM8" s="34"/>
      <c r="AN8" s="34"/>
      <c r="AO8" s="34"/>
      <c r="AP8" s="34"/>
      <c r="AQ8" s="34"/>
      <c r="AR8" s="34"/>
      <c r="AS8" s="34"/>
      <c r="AT8" s="34"/>
      <c r="AU8" s="34"/>
      <c r="AV8" s="34"/>
      <c r="AW8" s="34"/>
      <c r="AX8" s="34"/>
      <c r="AY8" s="35"/>
      <c r="BA8" s="30"/>
      <c r="BB8" s="31"/>
      <c r="BC8" s="31"/>
      <c r="BD8" s="32"/>
      <c r="BF8" s="30"/>
      <c r="BG8" s="31"/>
      <c r="BH8" s="31"/>
      <c r="BI8" s="31"/>
      <c r="BJ8" s="31"/>
      <c r="BK8" s="31"/>
      <c r="BL8" s="31"/>
      <c r="BM8" s="31"/>
      <c r="BN8" s="31"/>
      <c r="BO8" s="31"/>
      <c r="BP8" s="31"/>
      <c r="BQ8" s="31"/>
      <c r="BR8" s="31"/>
      <c r="BS8" s="31"/>
      <c r="BT8" s="31"/>
      <c r="BU8" s="31"/>
      <c r="BV8" s="32"/>
      <c r="BY8" s="30"/>
      <c r="BZ8" s="31"/>
      <c r="CA8" s="31"/>
      <c r="CB8" s="31"/>
      <c r="CC8" s="31"/>
      <c r="CD8" s="31"/>
      <c r="CE8" s="31"/>
      <c r="CF8" s="31"/>
      <c r="CG8" s="31"/>
      <c r="CH8" s="31"/>
      <c r="CI8" s="32"/>
      <c r="CK8" s="30"/>
      <c r="CL8" s="31"/>
      <c r="CM8" s="31"/>
      <c r="CN8" s="31"/>
      <c r="CO8" s="31"/>
      <c r="CP8" s="31"/>
      <c r="CQ8" s="31"/>
      <c r="CR8" s="31"/>
      <c r="CS8" s="32"/>
    </row>
    <row r="9" ht="11.25" customHeight="1">
      <c r="A9" s="47">
        <f>A7+1</f>
        <v>3</v>
      </c>
      <c r="C9" s="16" t="s">
        <v>100</v>
      </c>
      <c r="D9" s="17"/>
      <c r="E9" s="17"/>
      <c r="F9" s="17"/>
      <c r="G9" s="18"/>
      <c r="H9" s="19"/>
      <c r="I9" s="210">
        <v>0.7291666666666666</v>
      </c>
      <c r="J9" s="17"/>
      <c r="K9" s="17"/>
      <c r="L9" s="18"/>
      <c r="M9" s="19"/>
      <c r="N9" s="20">
        <f>I9 + TIME(1, 0, 0)</f>
        <v>0.7708333333</v>
      </c>
      <c r="O9" s="17"/>
      <c r="P9" s="17"/>
      <c r="Q9" s="18"/>
      <c r="T9" s="21" t="str">
        <f t="array" ref="T9">xlookup(V9,qualdata!$N$2:$N$17,qualdata!$O$2:$O$17,"")</f>
        <v/>
      </c>
      <c r="U9" s="22"/>
      <c r="V9" s="23" t="str">
        <f t="array" ref="V9">xlookup(A9,qualmatchups!$I:$I,qualmatchups!$B:$B,"")</f>
        <v>Team 3 (Group 1)</v>
      </c>
      <c r="W9" s="22"/>
      <c r="X9" s="22"/>
      <c r="Y9" s="22"/>
      <c r="Z9" s="22"/>
      <c r="AA9" s="22"/>
      <c r="AB9" s="22"/>
      <c r="AC9" s="22"/>
      <c r="AD9" s="22"/>
      <c r="AE9" s="22"/>
      <c r="AF9" s="22"/>
      <c r="AG9" s="22"/>
      <c r="AH9" s="24" t="str">
        <f t="array" ref="AH9">xlookup(A9,qualmatchups!$I:$I,qualmatchups!$D:$D,"")</f>
        <v/>
      </c>
      <c r="AI9" s="9"/>
      <c r="AJ9" s="24" t="str">
        <f t="array" ref="AJ9">xlookup(A9,qualmatchups!$I:$I,qualmatchups!$E:$E,"")</f>
        <v/>
      </c>
      <c r="AK9" s="9"/>
      <c r="AL9" s="23" t="str">
        <f t="array" ref="AL9">xlookup(A9,qualmatchups!$I:$I,qualmatchups!$C:$C,"")</f>
        <v>Team 14 (Group 1)</v>
      </c>
      <c r="AM9" s="22"/>
      <c r="AN9" s="22"/>
      <c r="AO9" s="22"/>
      <c r="AP9" s="22"/>
      <c r="AQ9" s="22"/>
      <c r="AR9" s="22"/>
      <c r="AS9" s="22"/>
      <c r="AT9" s="22"/>
      <c r="AU9" s="22"/>
      <c r="AV9" s="22"/>
      <c r="AW9" s="22"/>
      <c r="AX9" s="25" t="str">
        <f t="array" ref="AX9">xlookup(AL9,qualdata!$N$2:$N$17,qualdata!$O$2:$O$17,"")</f>
        <v/>
      </c>
      <c r="AY9" s="26"/>
      <c r="BA9" s="27" t="s">
        <v>11</v>
      </c>
      <c r="BB9" s="17"/>
      <c r="BC9" s="17"/>
      <c r="BD9" s="18"/>
      <c r="BF9" s="27" t="s">
        <v>30</v>
      </c>
      <c r="BG9" s="17"/>
      <c r="BH9" s="17"/>
      <c r="BI9" s="17"/>
      <c r="BJ9" s="17"/>
      <c r="BK9" s="17"/>
      <c r="BL9" s="17"/>
      <c r="BM9" s="17"/>
      <c r="BN9" s="17"/>
      <c r="BO9" s="17"/>
      <c r="BP9" s="17"/>
      <c r="BQ9" s="17"/>
      <c r="BR9" s="17"/>
      <c r="BS9" s="17"/>
      <c r="BT9" s="17"/>
      <c r="BU9" s="17"/>
      <c r="BV9" s="18"/>
      <c r="BY9" s="28" t="s">
        <v>100</v>
      </c>
      <c r="BZ9" s="17"/>
      <c r="CA9" s="17"/>
      <c r="CB9" s="17"/>
      <c r="CC9" s="17"/>
      <c r="CD9" s="17"/>
      <c r="CE9" s="17"/>
      <c r="CF9" s="17"/>
      <c r="CG9" s="17"/>
      <c r="CH9" s="17"/>
      <c r="CI9" s="18"/>
      <c r="CK9" s="211" t="s">
        <v>14</v>
      </c>
      <c r="CL9" s="17"/>
      <c r="CM9" s="17"/>
      <c r="CN9" s="17"/>
      <c r="CO9" s="17"/>
      <c r="CP9" s="17"/>
      <c r="CQ9" s="17"/>
      <c r="CR9" s="17"/>
      <c r="CS9" s="18"/>
    </row>
    <row r="10" ht="11.25" customHeight="1">
      <c r="C10" s="30"/>
      <c r="D10" s="31"/>
      <c r="E10" s="31"/>
      <c r="F10" s="31"/>
      <c r="G10" s="32"/>
      <c r="H10" s="19"/>
      <c r="I10" s="30"/>
      <c r="J10" s="31"/>
      <c r="K10" s="31"/>
      <c r="L10" s="32"/>
      <c r="M10" s="19"/>
      <c r="N10" s="30"/>
      <c r="O10" s="31"/>
      <c r="P10" s="31"/>
      <c r="Q10" s="32"/>
      <c r="T10" s="33"/>
      <c r="U10" s="34"/>
      <c r="V10" s="34"/>
      <c r="W10" s="34"/>
      <c r="X10" s="34"/>
      <c r="Y10" s="34"/>
      <c r="Z10" s="34"/>
      <c r="AA10" s="34"/>
      <c r="AB10" s="34"/>
      <c r="AC10" s="34"/>
      <c r="AD10" s="34"/>
      <c r="AE10" s="34"/>
      <c r="AF10" s="34"/>
      <c r="AG10" s="34"/>
      <c r="AH10" s="12"/>
      <c r="AI10" s="14"/>
      <c r="AJ10" s="12"/>
      <c r="AK10" s="14"/>
      <c r="AL10" s="34"/>
      <c r="AM10" s="34"/>
      <c r="AN10" s="34"/>
      <c r="AO10" s="34"/>
      <c r="AP10" s="34"/>
      <c r="AQ10" s="34"/>
      <c r="AR10" s="34"/>
      <c r="AS10" s="34"/>
      <c r="AT10" s="34"/>
      <c r="AU10" s="34"/>
      <c r="AV10" s="34"/>
      <c r="AW10" s="34"/>
      <c r="AX10" s="34"/>
      <c r="AY10" s="35"/>
      <c r="BA10" s="30"/>
      <c r="BB10" s="31"/>
      <c r="BC10" s="31"/>
      <c r="BD10" s="32"/>
      <c r="BF10" s="30"/>
      <c r="BG10" s="31"/>
      <c r="BH10" s="31"/>
      <c r="BI10" s="31"/>
      <c r="BJ10" s="31"/>
      <c r="BK10" s="31"/>
      <c r="BL10" s="31"/>
      <c r="BM10" s="31"/>
      <c r="BN10" s="31"/>
      <c r="BO10" s="31"/>
      <c r="BP10" s="31"/>
      <c r="BQ10" s="31"/>
      <c r="BR10" s="31"/>
      <c r="BS10" s="31"/>
      <c r="BT10" s="31"/>
      <c r="BU10" s="31"/>
      <c r="BV10" s="32"/>
      <c r="BY10" s="30"/>
      <c r="BZ10" s="31"/>
      <c r="CA10" s="31"/>
      <c r="CB10" s="31"/>
      <c r="CC10" s="31"/>
      <c r="CD10" s="31"/>
      <c r="CE10" s="31"/>
      <c r="CF10" s="31"/>
      <c r="CG10" s="31"/>
      <c r="CH10" s="31"/>
      <c r="CI10" s="32"/>
      <c r="CK10" s="30"/>
      <c r="CL10" s="31"/>
      <c r="CM10" s="31"/>
      <c r="CN10" s="31"/>
      <c r="CO10" s="31"/>
      <c r="CP10" s="31"/>
      <c r="CQ10" s="31"/>
      <c r="CR10" s="31"/>
      <c r="CS10" s="32"/>
    </row>
    <row r="11" ht="11.25" customHeight="1">
      <c r="A11" s="47">
        <f>A9+1</f>
        <v>4</v>
      </c>
      <c r="C11" s="16" t="s">
        <v>100</v>
      </c>
      <c r="D11" s="17"/>
      <c r="E11" s="17"/>
      <c r="F11" s="17"/>
      <c r="G11" s="18"/>
      <c r="H11" s="19"/>
      <c r="I11" s="210">
        <v>0.8541666666666666</v>
      </c>
      <c r="J11" s="17"/>
      <c r="K11" s="17"/>
      <c r="L11" s="18"/>
      <c r="M11" s="19"/>
      <c r="N11" s="20">
        <f>I11 + TIME(1, 0, 0)</f>
        <v>0.8958333333</v>
      </c>
      <c r="O11" s="17"/>
      <c r="P11" s="17"/>
      <c r="Q11" s="18"/>
      <c r="T11" s="21" t="str">
        <f t="array" ref="T11">xlookup(V11,qualdata!$N$2:$N$17,qualdata!$O$2:$O$17,"")</f>
        <v/>
      </c>
      <c r="U11" s="22"/>
      <c r="V11" s="23" t="str">
        <f t="array" ref="V11">xlookup(A11,qualmatchups!$I:$I,qualmatchups!$B:$B,"")</f>
        <v>Team 4 (Group 1)</v>
      </c>
      <c r="W11" s="22"/>
      <c r="X11" s="22"/>
      <c r="Y11" s="22"/>
      <c r="Z11" s="22"/>
      <c r="AA11" s="22"/>
      <c r="AB11" s="22"/>
      <c r="AC11" s="22"/>
      <c r="AD11" s="22"/>
      <c r="AE11" s="22"/>
      <c r="AF11" s="22"/>
      <c r="AG11" s="22"/>
      <c r="AH11" s="24" t="str">
        <f t="array" ref="AH11">xlookup(A11,qualmatchups!$I:$I,qualmatchups!$D:$D,"")</f>
        <v/>
      </c>
      <c r="AI11" s="9"/>
      <c r="AJ11" s="24" t="str">
        <f t="array" ref="AJ11">xlookup(A11,qualmatchups!$I:$I,qualmatchups!$E:$E,"")</f>
        <v/>
      </c>
      <c r="AK11" s="9"/>
      <c r="AL11" s="23" t="str">
        <f t="array" ref="AL11">xlookup(A11,qualmatchups!$I:$I,qualmatchups!$C:$C,"")</f>
        <v>Team 13 (Group 1)</v>
      </c>
      <c r="AM11" s="22"/>
      <c r="AN11" s="22"/>
      <c r="AO11" s="22"/>
      <c r="AP11" s="22"/>
      <c r="AQ11" s="22"/>
      <c r="AR11" s="22"/>
      <c r="AS11" s="22"/>
      <c r="AT11" s="22"/>
      <c r="AU11" s="22"/>
      <c r="AV11" s="22"/>
      <c r="AW11" s="22"/>
      <c r="AX11" s="25" t="str">
        <f t="array" ref="AX11">xlookup(AL11,qualdata!$N$2:$N$17,qualdata!$O$2:$O$17,"")</f>
        <v/>
      </c>
      <c r="AY11" s="26"/>
      <c r="BA11" s="27" t="s">
        <v>11</v>
      </c>
      <c r="BB11" s="17"/>
      <c r="BC11" s="17"/>
      <c r="BD11" s="18"/>
      <c r="BF11" s="27" t="s">
        <v>30</v>
      </c>
      <c r="BG11" s="17"/>
      <c r="BH11" s="17"/>
      <c r="BI11" s="17"/>
      <c r="BJ11" s="17"/>
      <c r="BK11" s="17"/>
      <c r="BL11" s="17"/>
      <c r="BM11" s="17"/>
      <c r="BN11" s="17"/>
      <c r="BO11" s="17"/>
      <c r="BP11" s="17"/>
      <c r="BQ11" s="17"/>
      <c r="BR11" s="17"/>
      <c r="BS11" s="17"/>
      <c r="BT11" s="17"/>
      <c r="BU11" s="17"/>
      <c r="BV11" s="18"/>
      <c r="BY11" s="28" t="s">
        <v>100</v>
      </c>
      <c r="BZ11" s="17"/>
      <c r="CA11" s="17"/>
      <c r="CB11" s="17"/>
      <c r="CC11" s="17"/>
      <c r="CD11" s="17"/>
      <c r="CE11" s="17"/>
      <c r="CF11" s="17"/>
      <c r="CG11" s="17"/>
      <c r="CH11" s="17"/>
      <c r="CI11" s="18"/>
      <c r="CK11" s="211" t="s">
        <v>14</v>
      </c>
      <c r="CL11" s="17"/>
      <c r="CM11" s="17"/>
      <c r="CN11" s="17"/>
      <c r="CO11" s="17"/>
      <c r="CP11" s="17"/>
      <c r="CQ11" s="17"/>
      <c r="CR11" s="17"/>
      <c r="CS11" s="18"/>
    </row>
    <row r="12" ht="11.25" customHeight="1">
      <c r="C12" s="30"/>
      <c r="D12" s="31"/>
      <c r="E12" s="31"/>
      <c r="F12" s="31"/>
      <c r="G12" s="32"/>
      <c r="H12" s="19"/>
      <c r="I12" s="30"/>
      <c r="J12" s="31"/>
      <c r="K12" s="31"/>
      <c r="L12" s="32"/>
      <c r="M12" s="19"/>
      <c r="N12" s="30"/>
      <c r="O12" s="31"/>
      <c r="P12" s="31"/>
      <c r="Q12" s="32"/>
      <c r="T12" s="33"/>
      <c r="U12" s="34"/>
      <c r="V12" s="34"/>
      <c r="W12" s="34"/>
      <c r="X12" s="34"/>
      <c r="Y12" s="34"/>
      <c r="Z12" s="34"/>
      <c r="AA12" s="34"/>
      <c r="AB12" s="34"/>
      <c r="AC12" s="34"/>
      <c r="AD12" s="34"/>
      <c r="AE12" s="34"/>
      <c r="AF12" s="34"/>
      <c r="AG12" s="34"/>
      <c r="AH12" s="12"/>
      <c r="AI12" s="14"/>
      <c r="AJ12" s="12"/>
      <c r="AK12" s="14"/>
      <c r="AL12" s="34"/>
      <c r="AM12" s="34"/>
      <c r="AN12" s="34"/>
      <c r="AO12" s="34"/>
      <c r="AP12" s="34"/>
      <c r="AQ12" s="34"/>
      <c r="AR12" s="34"/>
      <c r="AS12" s="34"/>
      <c r="AT12" s="34"/>
      <c r="AU12" s="34"/>
      <c r="AV12" s="34"/>
      <c r="AW12" s="34"/>
      <c r="AX12" s="34"/>
      <c r="AY12" s="35"/>
      <c r="BA12" s="30"/>
      <c r="BB12" s="31"/>
      <c r="BC12" s="31"/>
      <c r="BD12" s="32"/>
      <c r="BF12" s="30"/>
      <c r="BG12" s="31"/>
      <c r="BH12" s="31"/>
      <c r="BI12" s="31"/>
      <c r="BJ12" s="31"/>
      <c r="BK12" s="31"/>
      <c r="BL12" s="31"/>
      <c r="BM12" s="31"/>
      <c r="BN12" s="31"/>
      <c r="BO12" s="31"/>
      <c r="BP12" s="31"/>
      <c r="BQ12" s="31"/>
      <c r="BR12" s="31"/>
      <c r="BS12" s="31"/>
      <c r="BT12" s="31"/>
      <c r="BU12" s="31"/>
      <c r="BV12" s="32"/>
      <c r="BY12" s="30"/>
      <c r="BZ12" s="31"/>
      <c r="CA12" s="31"/>
      <c r="CB12" s="31"/>
      <c r="CC12" s="31"/>
      <c r="CD12" s="31"/>
      <c r="CE12" s="31"/>
      <c r="CF12" s="31"/>
      <c r="CG12" s="31"/>
      <c r="CH12" s="31"/>
      <c r="CI12" s="32"/>
      <c r="CK12" s="30"/>
      <c r="CL12" s="31"/>
      <c r="CM12" s="31"/>
      <c r="CN12" s="31"/>
      <c r="CO12" s="31"/>
      <c r="CP12" s="31"/>
      <c r="CQ12" s="31"/>
      <c r="CR12" s="31"/>
      <c r="CS12" s="32"/>
    </row>
    <row r="13" ht="11.25" customHeight="1">
      <c r="A13" s="47">
        <f>A11+1</f>
        <v>5</v>
      </c>
      <c r="C13" s="16" t="s">
        <v>100</v>
      </c>
      <c r="D13" s="17"/>
      <c r="E13" s="17"/>
      <c r="F13" s="17"/>
      <c r="G13" s="18"/>
      <c r="H13" s="19"/>
      <c r="I13" s="210">
        <v>0.4791666666666667</v>
      </c>
      <c r="J13" s="17"/>
      <c r="K13" s="17"/>
      <c r="L13" s="18"/>
      <c r="M13" s="19"/>
      <c r="N13" s="20">
        <f>I13 + TIME(1, 0, 0)</f>
        <v>0.5208333333</v>
      </c>
      <c r="O13" s="17"/>
      <c r="P13" s="17"/>
      <c r="Q13" s="18"/>
      <c r="T13" s="21" t="str">
        <f t="array" ref="T13">xlookup(V13,qualdata!$N$2:$N$17,qualdata!$O$2:$O$17,"")</f>
        <v/>
      </c>
      <c r="U13" s="22"/>
      <c r="V13" s="23" t="str">
        <f t="array" ref="V13">xlookup(A13,qualmatchups!$I:$I,qualmatchups!$B:$B,"")</f>
        <v>Team 5 (Group 1)</v>
      </c>
      <c r="W13" s="22"/>
      <c r="X13" s="22"/>
      <c r="Y13" s="22"/>
      <c r="Z13" s="22"/>
      <c r="AA13" s="22"/>
      <c r="AB13" s="22"/>
      <c r="AC13" s="22"/>
      <c r="AD13" s="22"/>
      <c r="AE13" s="22"/>
      <c r="AF13" s="22"/>
      <c r="AG13" s="22"/>
      <c r="AH13" s="24" t="str">
        <f t="array" ref="AH13">xlookup(A13,qualmatchups!$I:$I,qualmatchups!$D:$D,"")</f>
        <v/>
      </c>
      <c r="AI13" s="9"/>
      <c r="AJ13" s="24" t="str">
        <f t="array" ref="AJ13">xlookup(A13,qualmatchups!$I:$I,qualmatchups!$E:$E,"")</f>
        <v/>
      </c>
      <c r="AK13" s="9"/>
      <c r="AL13" s="23" t="str">
        <f t="array" ref="AL13">xlookup(A13,qualmatchups!$I:$I,qualmatchups!$C:$C,"")</f>
        <v>Team 12 (Group 1)</v>
      </c>
      <c r="AM13" s="22"/>
      <c r="AN13" s="22"/>
      <c r="AO13" s="22"/>
      <c r="AP13" s="22"/>
      <c r="AQ13" s="22"/>
      <c r="AR13" s="22"/>
      <c r="AS13" s="22"/>
      <c r="AT13" s="22"/>
      <c r="AU13" s="22"/>
      <c r="AV13" s="22"/>
      <c r="AW13" s="22"/>
      <c r="AX13" s="25" t="str">
        <f t="array" ref="AX13">xlookup(AL13,qualdata!$N$2:$N$17,qualdata!$O$2:$O$17,"")</f>
        <v/>
      </c>
      <c r="AY13" s="26"/>
      <c r="BA13" s="27" t="s">
        <v>11</v>
      </c>
      <c r="BB13" s="17"/>
      <c r="BC13" s="17"/>
      <c r="BD13" s="18"/>
      <c r="BF13" s="27" t="s">
        <v>30</v>
      </c>
      <c r="BG13" s="17"/>
      <c r="BH13" s="17"/>
      <c r="BI13" s="17"/>
      <c r="BJ13" s="17"/>
      <c r="BK13" s="17"/>
      <c r="BL13" s="17"/>
      <c r="BM13" s="17"/>
      <c r="BN13" s="17"/>
      <c r="BO13" s="17"/>
      <c r="BP13" s="17"/>
      <c r="BQ13" s="17"/>
      <c r="BR13" s="17"/>
      <c r="BS13" s="17"/>
      <c r="BT13" s="17"/>
      <c r="BU13" s="17"/>
      <c r="BV13" s="18"/>
      <c r="BY13" s="28" t="s">
        <v>100</v>
      </c>
      <c r="BZ13" s="17"/>
      <c r="CA13" s="17"/>
      <c r="CB13" s="17"/>
      <c r="CC13" s="17"/>
      <c r="CD13" s="17"/>
      <c r="CE13" s="17"/>
      <c r="CF13" s="17"/>
      <c r="CG13" s="17"/>
      <c r="CH13" s="17"/>
      <c r="CI13" s="18"/>
      <c r="CK13" s="211" t="s">
        <v>14</v>
      </c>
      <c r="CL13" s="17"/>
      <c r="CM13" s="17"/>
      <c r="CN13" s="17"/>
      <c r="CO13" s="17"/>
      <c r="CP13" s="17"/>
      <c r="CQ13" s="17"/>
      <c r="CR13" s="17"/>
      <c r="CS13" s="18"/>
    </row>
    <row r="14" ht="11.25" customHeight="1">
      <c r="C14" s="30"/>
      <c r="D14" s="31"/>
      <c r="E14" s="31"/>
      <c r="F14" s="31"/>
      <c r="G14" s="32"/>
      <c r="H14" s="19"/>
      <c r="I14" s="30"/>
      <c r="J14" s="31"/>
      <c r="K14" s="31"/>
      <c r="L14" s="32"/>
      <c r="M14" s="19"/>
      <c r="N14" s="30"/>
      <c r="O14" s="31"/>
      <c r="P14" s="31"/>
      <c r="Q14" s="32"/>
      <c r="T14" s="33"/>
      <c r="U14" s="34"/>
      <c r="V14" s="34"/>
      <c r="W14" s="34"/>
      <c r="X14" s="34"/>
      <c r="Y14" s="34"/>
      <c r="Z14" s="34"/>
      <c r="AA14" s="34"/>
      <c r="AB14" s="34"/>
      <c r="AC14" s="34"/>
      <c r="AD14" s="34"/>
      <c r="AE14" s="34"/>
      <c r="AF14" s="34"/>
      <c r="AG14" s="34"/>
      <c r="AH14" s="12"/>
      <c r="AI14" s="14"/>
      <c r="AJ14" s="12"/>
      <c r="AK14" s="14"/>
      <c r="AL14" s="34"/>
      <c r="AM14" s="34"/>
      <c r="AN14" s="34"/>
      <c r="AO14" s="34"/>
      <c r="AP14" s="34"/>
      <c r="AQ14" s="34"/>
      <c r="AR14" s="34"/>
      <c r="AS14" s="34"/>
      <c r="AT14" s="34"/>
      <c r="AU14" s="34"/>
      <c r="AV14" s="34"/>
      <c r="AW14" s="34"/>
      <c r="AX14" s="34"/>
      <c r="AY14" s="35"/>
      <c r="BA14" s="30"/>
      <c r="BB14" s="31"/>
      <c r="BC14" s="31"/>
      <c r="BD14" s="32"/>
      <c r="BF14" s="30"/>
      <c r="BG14" s="31"/>
      <c r="BH14" s="31"/>
      <c r="BI14" s="31"/>
      <c r="BJ14" s="31"/>
      <c r="BK14" s="31"/>
      <c r="BL14" s="31"/>
      <c r="BM14" s="31"/>
      <c r="BN14" s="31"/>
      <c r="BO14" s="31"/>
      <c r="BP14" s="31"/>
      <c r="BQ14" s="31"/>
      <c r="BR14" s="31"/>
      <c r="BS14" s="31"/>
      <c r="BT14" s="31"/>
      <c r="BU14" s="31"/>
      <c r="BV14" s="32"/>
      <c r="BY14" s="30"/>
      <c r="BZ14" s="31"/>
      <c r="CA14" s="31"/>
      <c r="CB14" s="31"/>
      <c r="CC14" s="31"/>
      <c r="CD14" s="31"/>
      <c r="CE14" s="31"/>
      <c r="CF14" s="31"/>
      <c r="CG14" s="31"/>
      <c r="CH14" s="31"/>
      <c r="CI14" s="32"/>
      <c r="CK14" s="30"/>
      <c r="CL14" s="31"/>
      <c r="CM14" s="31"/>
      <c r="CN14" s="31"/>
      <c r="CO14" s="31"/>
      <c r="CP14" s="31"/>
      <c r="CQ14" s="31"/>
      <c r="CR14" s="31"/>
      <c r="CS14" s="32"/>
    </row>
    <row r="15" ht="11.25" customHeight="1">
      <c r="A15" s="47">
        <f>A13+1</f>
        <v>6</v>
      </c>
      <c r="C15" s="16" t="s">
        <v>100</v>
      </c>
      <c r="D15" s="17"/>
      <c r="E15" s="17"/>
      <c r="F15" s="17"/>
      <c r="G15" s="18"/>
      <c r="H15" s="19"/>
      <c r="I15" s="210">
        <v>0.6041666666666666</v>
      </c>
      <c r="J15" s="17"/>
      <c r="K15" s="17"/>
      <c r="L15" s="18"/>
      <c r="M15" s="19"/>
      <c r="N15" s="20">
        <f>I15 + TIME(1, 0, 0)</f>
        <v>0.6458333333</v>
      </c>
      <c r="O15" s="17"/>
      <c r="P15" s="17"/>
      <c r="Q15" s="18"/>
      <c r="T15" s="21" t="str">
        <f t="array" ref="T15">xlookup(V15,qualdata!$N$2:$N$17,qualdata!$O$2:$O$17,"")</f>
        <v/>
      </c>
      <c r="U15" s="22"/>
      <c r="V15" s="23" t="str">
        <f t="array" ref="V15">xlookup(A15,qualmatchups!$I:$I,qualmatchups!$B:$B,"")</f>
        <v>Team 6 (Group 1)</v>
      </c>
      <c r="W15" s="22"/>
      <c r="X15" s="22"/>
      <c r="Y15" s="22"/>
      <c r="Z15" s="22"/>
      <c r="AA15" s="22"/>
      <c r="AB15" s="22"/>
      <c r="AC15" s="22"/>
      <c r="AD15" s="22"/>
      <c r="AE15" s="22"/>
      <c r="AF15" s="22"/>
      <c r="AG15" s="22"/>
      <c r="AH15" s="24" t="str">
        <f t="array" ref="AH15">xlookup(A15,qualmatchups!$I:$I,qualmatchups!$D:$D,"")</f>
        <v/>
      </c>
      <c r="AI15" s="9"/>
      <c r="AJ15" s="24" t="str">
        <f t="array" ref="AJ15">xlookup(A15,qualmatchups!$I:$I,qualmatchups!$E:$E,"")</f>
        <v/>
      </c>
      <c r="AK15" s="9"/>
      <c r="AL15" s="23" t="str">
        <f t="array" ref="AL15">xlookup(A15,qualmatchups!$I:$I,qualmatchups!$C:$C,"")</f>
        <v>Team 11 (Group 1)</v>
      </c>
      <c r="AM15" s="22"/>
      <c r="AN15" s="22"/>
      <c r="AO15" s="22"/>
      <c r="AP15" s="22"/>
      <c r="AQ15" s="22"/>
      <c r="AR15" s="22"/>
      <c r="AS15" s="22"/>
      <c r="AT15" s="22"/>
      <c r="AU15" s="22"/>
      <c r="AV15" s="22"/>
      <c r="AW15" s="22"/>
      <c r="AX15" s="25" t="str">
        <f t="array" ref="AX15">xlookup(AL15,qualdata!$N$2:$N$17,qualdata!$O$2:$O$17,"")</f>
        <v/>
      </c>
      <c r="AY15" s="26"/>
      <c r="BA15" s="27" t="s">
        <v>11</v>
      </c>
      <c r="BB15" s="17"/>
      <c r="BC15" s="17"/>
      <c r="BD15" s="18"/>
      <c r="BF15" s="27" t="s">
        <v>30</v>
      </c>
      <c r="BG15" s="17"/>
      <c r="BH15" s="17"/>
      <c r="BI15" s="17"/>
      <c r="BJ15" s="17"/>
      <c r="BK15" s="17"/>
      <c r="BL15" s="17"/>
      <c r="BM15" s="17"/>
      <c r="BN15" s="17"/>
      <c r="BO15" s="17"/>
      <c r="BP15" s="17"/>
      <c r="BQ15" s="17"/>
      <c r="BR15" s="17"/>
      <c r="BS15" s="17"/>
      <c r="BT15" s="17"/>
      <c r="BU15" s="17"/>
      <c r="BV15" s="18"/>
      <c r="BY15" s="28" t="s">
        <v>100</v>
      </c>
      <c r="BZ15" s="17"/>
      <c r="CA15" s="17"/>
      <c r="CB15" s="17"/>
      <c r="CC15" s="17"/>
      <c r="CD15" s="17"/>
      <c r="CE15" s="17"/>
      <c r="CF15" s="17"/>
      <c r="CG15" s="17"/>
      <c r="CH15" s="17"/>
      <c r="CI15" s="18"/>
      <c r="CK15" s="211" t="s">
        <v>14</v>
      </c>
      <c r="CL15" s="17"/>
      <c r="CM15" s="17"/>
      <c r="CN15" s="17"/>
      <c r="CO15" s="17"/>
      <c r="CP15" s="17"/>
      <c r="CQ15" s="17"/>
      <c r="CR15" s="17"/>
      <c r="CS15" s="18"/>
    </row>
    <row r="16" ht="11.25" customHeight="1">
      <c r="C16" s="30"/>
      <c r="D16" s="31"/>
      <c r="E16" s="31"/>
      <c r="F16" s="31"/>
      <c r="G16" s="32"/>
      <c r="H16" s="19"/>
      <c r="I16" s="30"/>
      <c r="J16" s="31"/>
      <c r="K16" s="31"/>
      <c r="L16" s="32"/>
      <c r="M16" s="19"/>
      <c r="N16" s="30"/>
      <c r="O16" s="31"/>
      <c r="P16" s="31"/>
      <c r="Q16" s="32"/>
      <c r="T16" s="33"/>
      <c r="U16" s="34"/>
      <c r="V16" s="34"/>
      <c r="W16" s="34"/>
      <c r="X16" s="34"/>
      <c r="Y16" s="34"/>
      <c r="Z16" s="34"/>
      <c r="AA16" s="34"/>
      <c r="AB16" s="34"/>
      <c r="AC16" s="34"/>
      <c r="AD16" s="34"/>
      <c r="AE16" s="34"/>
      <c r="AF16" s="34"/>
      <c r="AG16" s="34"/>
      <c r="AH16" s="12"/>
      <c r="AI16" s="14"/>
      <c r="AJ16" s="12"/>
      <c r="AK16" s="14"/>
      <c r="AL16" s="34"/>
      <c r="AM16" s="34"/>
      <c r="AN16" s="34"/>
      <c r="AO16" s="34"/>
      <c r="AP16" s="34"/>
      <c r="AQ16" s="34"/>
      <c r="AR16" s="34"/>
      <c r="AS16" s="34"/>
      <c r="AT16" s="34"/>
      <c r="AU16" s="34"/>
      <c r="AV16" s="34"/>
      <c r="AW16" s="34"/>
      <c r="AX16" s="34"/>
      <c r="AY16" s="35"/>
      <c r="BA16" s="30"/>
      <c r="BB16" s="31"/>
      <c r="BC16" s="31"/>
      <c r="BD16" s="32"/>
      <c r="BF16" s="30"/>
      <c r="BG16" s="31"/>
      <c r="BH16" s="31"/>
      <c r="BI16" s="31"/>
      <c r="BJ16" s="31"/>
      <c r="BK16" s="31"/>
      <c r="BL16" s="31"/>
      <c r="BM16" s="31"/>
      <c r="BN16" s="31"/>
      <c r="BO16" s="31"/>
      <c r="BP16" s="31"/>
      <c r="BQ16" s="31"/>
      <c r="BR16" s="31"/>
      <c r="BS16" s="31"/>
      <c r="BT16" s="31"/>
      <c r="BU16" s="31"/>
      <c r="BV16" s="32"/>
      <c r="BY16" s="30"/>
      <c r="BZ16" s="31"/>
      <c r="CA16" s="31"/>
      <c r="CB16" s="31"/>
      <c r="CC16" s="31"/>
      <c r="CD16" s="31"/>
      <c r="CE16" s="31"/>
      <c r="CF16" s="31"/>
      <c r="CG16" s="31"/>
      <c r="CH16" s="31"/>
      <c r="CI16" s="32"/>
      <c r="CK16" s="30"/>
      <c r="CL16" s="31"/>
      <c r="CM16" s="31"/>
      <c r="CN16" s="31"/>
      <c r="CO16" s="31"/>
      <c r="CP16" s="31"/>
      <c r="CQ16" s="31"/>
      <c r="CR16" s="31"/>
      <c r="CS16" s="32"/>
    </row>
    <row r="17" ht="11.25" customHeight="1">
      <c r="A17" s="47">
        <f>A15+1</f>
        <v>7</v>
      </c>
      <c r="C17" s="16" t="s">
        <v>100</v>
      </c>
      <c r="D17" s="17"/>
      <c r="E17" s="17"/>
      <c r="F17" s="17"/>
      <c r="G17" s="18"/>
      <c r="H17" s="19"/>
      <c r="I17" s="210">
        <v>0.7291666666666666</v>
      </c>
      <c r="J17" s="17"/>
      <c r="K17" s="17"/>
      <c r="L17" s="18"/>
      <c r="M17" s="19"/>
      <c r="N17" s="20">
        <f>I17 + TIME(1, 0, 0)</f>
        <v>0.7708333333</v>
      </c>
      <c r="O17" s="17"/>
      <c r="P17" s="17"/>
      <c r="Q17" s="18"/>
      <c r="T17" s="21" t="str">
        <f t="array" ref="T17">xlookup(V17,qualdata!$N$2:$N$17,qualdata!$O$2:$O$17,"")</f>
        <v/>
      </c>
      <c r="U17" s="22"/>
      <c r="V17" s="23" t="str">
        <f t="array" ref="V17">xlookup(A17,qualmatchups!$I:$I,qualmatchups!$B:$B,"")</f>
        <v>Team 7 (Group 1)</v>
      </c>
      <c r="W17" s="22"/>
      <c r="X17" s="22"/>
      <c r="Y17" s="22"/>
      <c r="Z17" s="22"/>
      <c r="AA17" s="22"/>
      <c r="AB17" s="22"/>
      <c r="AC17" s="22"/>
      <c r="AD17" s="22"/>
      <c r="AE17" s="22"/>
      <c r="AF17" s="22"/>
      <c r="AG17" s="22"/>
      <c r="AH17" s="24" t="str">
        <f t="array" ref="AH17">xlookup(A17,qualmatchups!$I:$I,qualmatchups!$D:$D,"")</f>
        <v/>
      </c>
      <c r="AI17" s="9"/>
      <c r="AJ17" s="24" t="str">
        <f t="array" ref="AJ17">xlookup(A17,qualmatchups!$I:$I,qualmatchups!$E:$E,"")</f>
        <v/>
      </c>
      <c r="AK17" s="9"/>
      <c r="AL17" s="23" t="str">
        <f t="array" ref="AL17">xlookup(A17,qualmatchups!$I:$I,qualmatchups!$C:$C,"")</f>
        <v>Team 10 (Group 1)</v>
      </c>
      <c r="AM17" s="22"/>
      <c r="AN17" s="22"/>
      <c r="AO17" s="22"/>
      <c r="AP17" s="22"/>
      <c r="AQ17" s="22"/>
      <c r="AR17" s="22"/>
      <c r="AS17" s="22"/>
      <c r="AT17" s="22"/>
      <c r="AU17" s="22"/>
      <c r="AV17" s="22"/>
      <c r="AW17" s="22"/>
      <c r="AX17" s="25" t="str">
        <f t="array" ref="AX17">xlookup(AL17,qualdata!$N$2:$N$17,qualdata!$O$2:$O$17,"")</f>
        <v/>
      </c>
      <c r="AY17" s="26"/>
      <c r="BA17" s="27" t="s">
        <v>11</v>
      </c>
      <c r="BB17" s="17"/>
      <c r="BC17" s="17"/>
      <c r="BD17" s="18"/>
      <c r="BF17" s="27" t="s">
        <v>30</v>
      </c>
      <c r="BG17" s="17"/>
      <c r="BH17" s="17"/>
      <c r="BI17" s="17"/>
      <c r="BJ17" s="17"/>
      <c r="BK17" s="17"/>
      <c r="BL17" s="17"/>
      <c r="BM17" s="17"/>
      <c r="BN17" s="17"/>
      <c r="BO17" s="17"/>
      <c r="BP17" s="17"/>
      <c r="BQ17" s="17"/>
      <c r="BR17" s="17"/>
      <c r="BS17" s="17"/>
      <c r="BT17" s="17"/>
      <c r="BU17" s="17"/>
      <c r="BV17" s="18"/>
      <c r="BY17" s="28" t="s">
        <v>100</v>
      </c>
      <c r="BZ17" s="17"/>
      <c r="CA17" s="17"/>
      <c r="CB17" s="17"/>
      <c r="CC17" s="17"/>
      <c r="CD17" s="17"/>
      <c r="CE17" s="17"/>
      <c r="CF17" s="17"/>
      <c r="CG17" s="17"/>
      <c r="CH17" s="17"/>
      <c r="CI17" s="18"/>
      <c r="CK17" s="211" t="s">
        <v>14</v>
      </c>
      <c r="CL17" s="17"/>
      <c r="CM17" s="17"/>
      <c r="CN17" s="17"/>
      <c r="CO17" s="17"/>
      <c r="CP17" s="17"/>
      <c r="CQ17" s="17"/>
      <c r="CR17" s="17"/>
      <c r="CS17" s="18"/>
    </row>
    <row r="18" ht="11.25" customHeight="1">
      <c r="C18" s="30"/>
      <c r="D18" s="31"/>
      <c r="E18" s="31"/>
      <c r="F18" s="31"/>
      <c r="G18" s="32"/>
      <c r="H18" s="19"/>
      <c r="I18" s="30"/>
      <c r="J18" s="31"/>
      <c r="K18" s="31"/>
      <c r="L18" s="32"/>
      <c r="M18" s="19"/>
      <c r="N18" s="30"/>
      <c r="O18" s="31"/>
      <c r="P18" s="31"/>
      <c r="Q18" s="32"/>
      <c r="T18" s="33"/>
      <c r="U18" s="34"/>
      <c r="V18" s="34"/>
      <c r="W18" s="34"/>
      <c r="X18" s="34"/>
      <c r="Y18" s="34"/>
      <c r="Z18" s="34"/>
      <c r="AA18" s="34"/>
      <c r="AB18" s="34"/>
      <c r="AC18" s="34"/>
      <c r="AD18" s="34"/>
      <c r="AE18" s="34"/>
      <c r="AF18" s="34"/>
      <c r="AG18" s="34"/>
      <c r="AH18" s="12"/>
      <c r="AI18" s="14"/>
      <c r="AJ18" s="12"/>
      <c r="AK18" s="14"/>
      <c r="AL18" s="34"/>
      <c r="AM18" s="34"/>
      <c r="AN18" s="34"/>
      <c r="AO18" s="34"/>
      <c r="AP18" s="34"/>
      <c r="AQ18" s="34"/>
      <c r="AR18" s="34"/>
      <c r="AS18" s="34"/>
      <c r="AT18" s="34"/>
      <c r="AU18" s="34"/>
      <c r="AV18" s="34"/>
      <c r="AW18" s="34"/>
      <c r="AX18" s="34"/>
      <c r="AY18" s="35"/>
      <c r="BA18" s="30"/>
      <c r="BB18" s="31"/>
      <c r="BC18" s="31"/>
      <c r="BD18" s="32"/>
      <c r="BF18" s="30"/>
      <c r="BG18" s="31"/>
      <c r="BH18" s="31"/>
      <c r="BI18" s="31"/>
      <c r="BJ18" s="31"/>
      <c r="BK18" s="31"/>
      <c r="BL18" s="31"/>
      <c r="BM18" s="31"/>
      <c r="BN18" s="31"/>
      <c r="BO18" s="31"/>
      <c r="BP18" s="31"/>
      <c r="BQ18" s="31"/>
      <c r="BR18" s="31"/>
      <c r="BS18" s="31"/>
      <c r="BT18" s="31"/>
      <c r="BU18" s="31"/>
      <c r="BV18" s="32"/>
      <c r="BY18" s="30"/>
      <c r="BZ18" s="31"/>
      <c r="CA18" s="31"/>
      <c r="CB18" s="31"/>
      <c r="CC18" s="31"/>
      <c r="CD18" s="31"/>
      <c r="CE18" s="31"/>
      <c r="CF18" s="31"/>
      <c r="CG18" s="31"/>
      <c r="CH18" s="31"/>
      <c r="CI18" s="32"/>
      <c r="CK18" s="30"/>
      <c r="CL18" s="31"/>
      <c r="CM18" s="31"/>
      <c r="CN18" s="31"/>
      <c r="CO18" s="31"/>
      <c r="CP18" s="31"/>
      <c r="CQ18" s="31"/>
      <c r="CR18" s="31"/>
      <c r="CS18" s="32"/>
    </row>
    <row r="19" ht="11.25" customHeight="1">
      <c r="A19" s="47">
        <f>A17+1</f>
        <v>8</v>
      </c>
      <c r="C19" s="16" t="s">
        <v>100</v>
      </c>
      <c r="D19" s="17"/>
      <c r="E19" s="17"/>
      <c r="F19" s="17"/>
      <c r="G19" s="18"/>
      <c r="H19" s="19"/>
      <c r="I19" s="210">
        <v>0.8541666666666666</v>
      </c>
      <c r="J19" s="17"/>
      <c r="K19" s="17"/>
      <c r="L19" s="18"/>
      <c r="M19" s="19"/>
      <c r="N19" s="20">
        <f>I19 + TIME(1, 0, 0)</f>
        <v>0.8958333333</v>
      </c>
      <c r="O19" s="17"/>
      <c r="P19" s="17"/>
      <c r="Q19" s="18"/>
      <c r="T19" s="21" t="str">
        <f t="array" ref="T19">xlookup(V19,qualdata!$N$2:$N$17,qualdata!$O$2:$O$17,"")</f>
        <v/>
      </c>
      <c r="U19" s="22"/>
      <c r="V19" s="23" t="str">
        <f t="array" ref="V19">xlookup(A19,qualmatchups!$I:$I,qualmatchups!$B:$B,"")</f>
        <v>Team 8 (Group 1)</v>
      </c>
      <c r="W19" s="22"/>
      <c r="X19" s="22"/>
      <c r="Y19" s="22"/>
      <c r="Z19" s="22"/>
      <c r="AA19" s="22"/>
      <c r="AB19" s="22"/>
      <c r="AC19" s="22"/>
      <c r="AD19" s="22"/>
      <c r="AE19" s="22"/>
      <c r="AF19" s="22"/>
      <c r="AG19" s="22"/>
      <c r="AH19" s="24" t="str">
        <f t="array" ref="AH19">xlookup(A19,qualmatchups!$I:$I,qualmatchups!$D:$D,"")</f>
        <v/>
      </c>
      <c r="AI19" s="9"/>
      <c r="AJ19" s="24" t="str">
        <f t="array" ref="AJ19">xlookup(A19,qualmatchups!$I:$I,qualmatchups!$E:$E,"")</f>
        <v/>
      </c>
      <c r="AK19" s="9"/>
      <c r="AL19" s="23" t="str">
        <f t="array" ref="AL19">xlookup(A19,qualmatchups!$I:$I,qualmatchups!$C:$C,"")</f>
        <v>Team 9 (Group 1)</v>
      </c>
      <c r="AM19" s="22"/>
      <c r="AN19" s="22"/>
      <c r="AO19" s="22"/>
      <c r="AP19" s="22"/>
      <c r="AQ19" s="22"/>
      <c r="AR19" s="22"/>
      <c r="AS19" s="22"/>
      <c r="AT19" s="22"/>
      <c r="AU19" s="22"/>
      <c r="AV19" s="22"/>
      <c r="AW19" s="22"/>
      <c r="AX19" s="25" t="str">
        <f t="array" ref="AX19">xlookup(AL19,qualdata!$N$2:$N$17,qualdata!$O$2:$O$17,"")</f>
        <v/>
      </c>
      <c r="AY19" s="26"/>
      <c r="BA19" s="27" t="s">
        <v>11</v>
      </c>
      <c r="BB19" s="17"/>
      <c r="BC19" s="17"/>
      <c r="BD19" s="18"/>
      <c r="BF19" s="27" t="s">
        <v>30</v>
      </c>
      <c r="BG19" s="17"/>
      <c r="BH19" s="17"/>
      <c r="BI19" s="17"/>
      <c r="BJ19" s="17"/>
      <c r="BK19" s="17"/>
      <c r="BL19" s="17"/>
      <c r="BM19" s="17"/>
      <c r="BN19" s="17"/>
      <c r="BO19" s="17"/>
      <c r="BP19" s="17"/>
      <c r="BQ19" s="17"/>
      <c r="BR19" s="17"/>
      <c r="BS19" s="17"/>
      <c r="BT19" s="17"/>
      <c r="BU19" s="17"/>
      <c r="BV19" s="18"/>
      <c r="BY19" s="28" t="s">
        <v>100</v>
      </c>
      <c r="BZ19" s="17"/>
      <c r="CA19" s="17"/>
      <c r="CB19" s="17"/>
      <c r="CC19" s="17"/>
      <c r="CD19" s="17"/>
      <c r="CE19" s="17"/>
      <c r="CF19" s="17"/>
      <c r="CG19" s="17"/>
      <c r="CH19" s="17"/>
      <c r="CI19" s="18"/>
      <c r="CK19" s="211" t="s">
        <v>14</v>
      </c>
      <c r="CL19" s="17"/>
      <c r="CM19" s="17"/>
      <c r="CN19" s="17"/>
      <c r="CO19" s="17"/>
      <c r="CP19" s="17"/>
      <c r="CQ19" s="17"/>
      <c r="CR19" s="17"/>
      <c r="CS19" s="18"/>
    </row>
    <row r="20" ht="11.25" customHeight="1">
      <c r="C20" s="30"/>
      <c r="D20" s="31"/>
      <c r="E20" s="31"/>
      <c r="F20" s="31"/>
      <c r="G20" s="32"/>
      <c r="H20" s="19"/>
      <c r="I20" s="30"/>
      <c r="J20" s="31"/>
      <c r="K20" s="31"/>
      <c r="L20" s="32"/>
      <c r="M20" s="19"/>
      <c r="N20" s="30"/>
      <c r="O20" s="31"/>
      <c r="P20" s="31"/>
      <c r="Q20" s="32"/>
      <c r="T20" s="33"/>
      <c r="U20" s="34"/>
      <c r="V20" s="34"/>
      <c r="W20" s="34"/>
      <c r="X20" s="34"/>
      <c r="Y20" s="34"/>
      <c r="Z20" s="34"/>
      <c r="AA20" s="34"/>
      <c r="AB20" s="34"/>
      <c r="AC20" s="34"/>
      <c r="AD20" s="34"/>
      <c r="AE20" s="34"/>
      <c r="AF20" s="34"/>
      <c r="AG20" s="34"/>
      <c r="AH20" s="12"/>
      <c r="AI20" s="14"/>
      <c r="AJ20" s="12"/>
      <c r="AK20" s="14"/>
      <c r="AL20" s="34"/>
      <c r="AM20" s="34"/>
      <c r="AN20" s="34"/>
      <c r="AO20" s="34"/>
      <c r="AP20" s="34"/>
      <c r="AQ20" s="34"/>
      <c r="AR20" s="34"/>
      <c r="AS20" s="34"/>
      <c r="AT20" s="34"/>
      <c r="AU20" s="34"/>
      <c r="AV20" s="34"/>
      <c r="AW20" s="34"/>
      <c r="AX20" s="34"/>
      <c r="AY20" s="35"/>
      <c r="BA20" s="30"/>
      <c r="BB20" s="31"/>
      <c r="BC20" s="31"/>
      <c r="BD20" s="32"/>
      <c r="BF20" s="30"/>
      <c r="BG20" s="31"/>
      <c r="BH20" s="31"/>
      <c r="BI20" s="31"/>
      <c r="BJ20" s="31"/>
      <c r="BK20" s="31"/>
      <c r="BL20" s="31"/>
      <c r="BM20" s="31"/>
      <c r="BN20" s="31"/>
      <c r="BO20" s="31"/>
      <c r="BP20" s="31"/>
      <c r="BQ20" s="31"/>
      <c r="BR20" s="31"/>
      <c r="BS20" s="31"/>
      <c r="BT20" s="31"/>
      <c r="BU20" s="31"/>
      <c r="BV20" s="32"/>
      <c r="BY20" s="30"/>
      <c r="BZ20" s="31"/>
      <c r="CA20" s="31"/>
      <c r="CB20" s="31"/>
      <c r="CC20" s="31"/>
      <c r="CD20" s="31"/>
      <c r="CE20" s="31"/>
      <c r="CF20" s="31"/>
      <c r="CG20" s="31"/>
      <c r="CH20" s="31"/>
      <c r="CI20" s="32"/>
      <c r="CK20" s="30"/>
      <c r="CL20" s="31"/>
      <c r="CM20" s="31"/>
      <c r="CN20" s="31"/>
      <c r="CO20" s="31"/>
      <c r="CP20" s="31"/>
      <c r="CQ20" s="31"/>
      <c r="CR20" s="31"/>
      <c r="CS20" s="32"/>
    </row>
    <row r="21" ht="11.25" customHeight="1">
      <c r="BY21" s="37"/>
      <c r="BZ21" s="37"/>
      <c r="CA21" s="37"/>
      <c r="CB21" s="37"/>
      <c r="CC21" s="37"/>
      <c r="CD21" s="37"/>
      <c r="CE21" s="37"/>
      <c r="CF21" s="37"/>
      <c r="CG21" s="37"/>
      <c r="CH21" s="37"/>
      <c r="CI21" s="37"/>
    </row>
    <row r="22" ht="11.25" customHeight="1">
      <c r="BY22" s="37"/>
      <c r="BZ22" s="37"/>
      <c r="CA22" s="37"/>
      <c r="CB22" s="37"/>
      <c r="CC22" s="37"/>
      <c r="CD22" s="37"/>
      <c r="CE22" s="37"/>
      <c r="CF22" s="37"/>
      <c r="CG22" s="37"/>
      <c r="CH22" s="37"/>
      <c r="CI22" s="37"/>
    </row>
    <row r="23" ht="11.25" customHeight="1">
      <c r="A23" s="48">
        <f>A19+1</f>
        <v>9</v>
      </c>
      <c r="C23" s="16" t="s">
        <v>100</v>
      </c>
      <c r="D23" s="17"/>
      <c r="E23" s="17"/>
      <c r="F23" s="17"/>
      <c r="G23" s="18"/>
      <c r="H23" s="19"/>
      <c r="I23" s="210">
        <v>0.4791666666666667</v>
      </c>
      <c r="J23" s="17"/>
      <c r="K23" s="17"/>
      <c r="L23" s="18"/>
      <c r="M23" s="19"/>
      <c r="N23" s="20">
        <f>I23 + TIME(1, 0, 0)</f>
        <v>0.5208333333</v>
      </c>
      <c r="O23" s="17"/>
      <c r="P23" s="17"/>
      <c r="Q23" s="18"/>
      <c r="T23" s="21" t="str">
        <f t="array" ref="T23">xlookup(V23,qualdata!$N$2:$N$17,qualdata!$O$2:$O$17,"")</f>
        <v/>
      </c>
      <c r="U23" s="22"/>
      <c r="V23" s="23" t="str">
        <f t="array" ref="V23">xlookup(A23,qualmatchups!$I:$I,qualmatchups!$B:$B,"")</f>
        <v/>
      </c>
      <c r="W23" s="22"/>
      <c r="X23" s="22"/>
      <c r="Y23" s="22"/>
      <c r="Z23" s="22"/>
      <c r="AA23" s="22"/>
      <c r="AB23" s="22"/>
      <c r="AC23" s="22"/>
      <c r="AD23" s="22"/>
      <c r="AE23" s="22"/>
      <c r="AF23" s="22"/>
      <c r="AG23" s="22"/>
      <c r="AH23" s="24" t="str">
        <f t="array" ref="AH23">xlookup(A23,qualmatchups!$I:$I,qualmatchups!$D:$D,"")</f>
        <v/>
      </c>
      <c r="AI23" s="9"/>
      <c r="AJ23" s="24" t="str">
        <f t="array" ref="AJ23">xlookup(A23,qualmatchups!$I:$I,qualmatchups!$E:$E,"")</f>
        <v/>
      </c>
      <c r="AK23" s="9"/>
      <c r="AL23" s="23" t="str">
        <f t="array" ref="AL23">xlookup(A23,qualmatchups!$I:$I,qualmatchups!$C:$C,"")</f>
        <v/>
      </c>
      <c r="AM23" s="22"/>
      <c r="AN23" s="22"/>
      <c r="AO23" s="22"/>
      <c r="AP23" s="22"/>
      <c r="AQ23" s="22"/>
      <c r="AR23" s="22"/>
      <c r="AS23" s="22"/>
      <c r="AT23" s="22"/>
      <c r="AU23" s="22"/>
      <c r="AV23" s="22"/>
      <c r="AW23" s="22"/>
      <c r="AX23" s="25" t="str">
        <f t="array" ref="AX23">xlookup(AL23,qualdata!$N$2:$N$17,qualdata!$O$2:$O$17,"")</f>
        <v/>
      </c>
      <c r="AY23" s="26"/>
      <c r="BA23" s="27" t="s">
        <v>11</v>
      </c>
      <c r="BB23" s="17"/>
      <c r="BC23" s="17"/>
      <c r="BD23" s="18"/>
      <c r="BF23" s="27" t="s">
        <v>31</v>
      </c>
      <c r="BG23" s="17"/>
      <c r="BH23" s="17"/>
      <c r="BI23" s="17"/>
      <c r="BJ23" s="17"/>
      <c r="BK23" s="17"/>
      <c r="BL23" s="17"/>
      <c r="BM23" s="17"/>
      <c r="BN23" s="17"/>
      <c r="BO23" s="17"/>
      <c r="BP23" s="17"/>
      <c r="BQ23" s="17"/>
      <c r="BR23" s="17"/>
      <c r="BS23" s="17"/>
      <c r="BT23" s="17"/>
      <c r="BU23" s="17"/>
      <c r="BV23" s="18"/>
      <c r="BY23" s="28" t="s">
        <v>100</v>
      </c>
      <c r="BZ23" s="17"/>
      <c r="CA23" s="17"/>
      <c r="CB23" s="17"/>
      <c r="CC23" s="17"/>
      <c r="CD23" s="17"/>
      <c r="CE23" s="17"/>
      <c r="CF23" s="17"/>
      <c r="CG23" s="17"/>
      <c r="CH23" s="17"/>
      <c r="CI23" s="18"/>
      <c r="CK23" s="211" t="s">
        <v>14</v>
      </c>
      <c r="CL23" s="17"/>
      <c r="CM23" s="17"/>
      <c r="CN23" s="17"/>
      <c r="CO23" s="17"/>
      <c r="CP23" s="17"/>
      <c r="CQ23" s="17"/>
      <c r="CR23" s="17"/>
      <c r="CS23" s="18"/>
    </row>
    <row r="24" ht="11.25" customHeight="1">
      <c r="C24" s="30"/>
      <c r="D24" s="31"/>
      <c r="E24" s="31"/>
      <c r="F24" s="31"/>
      <c r="G24" s="32"/>
      <c r="H24" s="19"/>
      <c r="I24" s="30"/>
      <c r="J24" s="31"/>
      <c r="K24" s="31"/>
      <c r="L24" s="32"/>
      <c r="M24" s="19"/>
      <c r="N24" s="30"/>
      <c r="O24" s="31"/>
      <c r="P24" s="31"/>
      <c r="Q24" s="32"/>
      <c r="T24" s="33"/>
      <c r="U24" s="34"/>
      <c r="V24" s="34"/>
      <c r="W24" s="34"/>
      <c r="X24" s="34"/>
      <c r="Y24" s="34"/>
      <c r="Z24" s="34"/>
      <c r="AA24" s="34"/>
      <c r="AB24" s="34"/>
      <c r="AC24" s="34"/>
      <c r="AD24" s="34"/>
      <c r="AE24" s="34"/>
      <c r="AF24" s="34"/>
      <c r="AG24" s="34"/>
      <c r="AH24" s="12"/>
      <c r="AI24" s="14"/>
      <c r="AJ24" s="12"/>
      <c r="AK24" s="14"/>
      <c r="AL24" s="34"/>
      <c r="AM24" s="34"/>
      <c r="AN24" s="34"/>
      <c r="AO24" s="34"/>
      <c r="AP24" s="34"/>
      <c r="AQ24" s="34"/>
      <c r="AR24" s="34"/>
      <c r="AS24" s="34"/>
      <c r="AT24" s="34"/>
      <c r="AU24" s="34"/>
      <c r="AV24" s="34"/>
      <c r="AW24" s="34"/>
      <c r="AX24" s="34"/>
      <c r="AY24" s="35"/>
      <c r="BA24" s="30"/>
      <c r="BB24" s="31"/>
      <c r="BC24" s="31"/>
      <c r="BD24" s="32"/>
      <c r="BF24" s="30"/>
      <c r="BG24" s="31"/>
      <c r="BH24" s="31"/>
      <c r="BI24" s="31"/>
      <c r="BJ24" s="31"/>
      <c r="BK24" s="31"/>
      <c r="BL24" s="31"/>
      <c r="BM24" s="31"/>
      <c r="BN24" s="31"/>
      <c r="BO24" s="31"/>
      <c r="BP24" s="31"/>
      <c r="BQ24" s="31"/>
      <c r="BR24" s="31"/>
      <c r="BS24" s="31"/>
      <c r="BT24" s="31"/>
      <c r="BU24" s="31"/>
      <c r="BV24" s="32"/>
      <c r="BY24" s="30"/>
      <c r="BZ24" s="31"/>
      <c r="CA24" s="31"/>
      <c r="CB24" s="31"/>
      <c r="CC24" s="31"/>
      <c r="CD24" s="31"/>
      <c r="CE24" s="31"/>
      <c r="CF24" s="31"/>
      <c r="CG24" s="31"/>
      <c r="CH24" s="31"/>
      <c r="CI24" s="32"/>
      <c r="CK24" s="30"/>
      <c r="CL24" s="31"/>
      <c r="CM24" s="31"/>
      <c r="CN24" s="31"/>
      <c r="CO24" s="31"/>
      <c r="CP24" s="31"/>
      <c r="CQ24" s="31"/>
      <c r="CR24" s="31"/>
      <c r="CS24" s="32"/>
    </row>
    <row r="25" ht="11.25" customHeight="1">
      <c r="A25" s="48">
        <f>A23+1</f>
        <v>10</v>
      </c>
      <c r="C25" s="16" t="s">
        <v>100</v>
      </c>
      <c r="D25" s="17"/>
      <c r="E25" s="17"/>
      <c r="F25" s="17"/>
      <c r="G25" s="18"/>
      <c r="H25" s="19"/>
      <c r="I25" s="210">
        <v>0.7291666666666666</v>
      </c>
      <c r="J25" s="17"/>
      <c r="K25" s="17"/>
      <c r="L25" s="18"/>
      <c r="M25" s="19"/>
      <c r="N25" s="20">
        <f>I25 + TIME(1, 0, 0)</f>
        <v>0.7708333333</v>
      </c>
      <c r="O25" s="17"/>
      <c r="P25" s="17"/>
      <c r="Q25" s="18"/>
      <c r="T25" s="21" t="str">
        <f t="array" ref="T25">xlookup(V25,qualdata!$N$2:$N$17,qualdata!$O$2:$O$17,"")</f>
        <v/>
      </c>
      <c r="U25" s="22"/>
      <c r="V25" s="23" t="str">
        <f t="array" ref="V25">xlookup(A25,qualmatchups!$I:$I,qualmatchups!$B:$B,"")</f>
        <v/>
      </c>
      <c r="W25" s="22"/>
      <c r="X25" s="22"/>
      <c r="Y25" s="22"/>
      <c r="Z25" s="22"/>
      <c r="AA25" s="22"/>
      <c r="AB25" s="22"/>
      <c r="AC25" s="22"/>
      <c r="AD25" s="22"/>
      <c r="AE25" s="22"/>
      <c r="AF25" s="22"/>
      <c r="AG25" s="22"/>
      <c r="AH25" s="24" t="str">
        <f t="array" ref="AH25">xlookup(A25,qualmatchups!$I:$I,qualmatchups!$D:$D,"")</f>
        <v/>
      </c>
      <c r="AI25" s="9"/>
      <c r="AJ25" s="24" t="str">
        <f t="array" ref="AJ25">xlookup(A25,qualmatchups!$I:$I,qualmatchups!$E:$E,"")</f>
        <v/>
      </c>
      <c r="AK25" s="9"/>
      <c r="AL25" s="23" t="str">
        <f t="array" ref="AL25">xlookup(A25,qualmatchups!$I:$I,qualmatchups!$C:$C,"")</f>
        <v/>
      </c>
      <c r="AM25" s="22"/>
      <c r="AN25" s="22"/>
      <c r="AO25" s="22"/>
      <c r="AP25" s="22"/>
      <c r="AQ25" s="22"/>
      <c r="AR25" s="22"/>
      <c r="AS25" s="22"/>
      <c r="AT25" s="22"/>
      <c r="AU25" s="22"/>
      <c r="AV25" s="22"/>
      <c r="AW25" s="22"/>
      <c r="AX25" s="25" t="str">
        <f t="array" ref="AX25">xlookup(AL25,qualdata!$N$2:$N$17,qualdata!$O$2:$O$17,"")</f>
        <v/>
      </c>
      <c r="AY25" s="26"/>
      <c r="BA25" s="27" t="s">
        <v>11</v>
      </c>
      <c r="BB25" s="17"/>
      <c r="BC25" s="17"/>
      <c r="BD25" s="18"/>
      <c r="BF25" s="27" t="s">
        <v>31</v>
      </c>
      <c r="BG25" s="17"/>
      <c r="BH25" s="17"/>
      <c r="BI25" s="17"/>
      <c r="BJ25" s="17"/>
      <c r="BK25" s="17"/>
      <c r="BL25" s="17"/>
      <c r="BM25" s="17"/>
      <c r="BN25" s="17"/>
      <c r="BO25" s="17"/>
      <c r="BP25" s="17"/>
      <c r="BQ25" s="17"/>
      <c r="BR25" s="17"/>
      <c r="BS25" s="17"/>
      <c r="BT25" s="17"/>
      <c r="BU25" s="17"/>
      <c r="BV25" s="18"/>
      <c r="BY25" s="28" t="s">
        <v>100</v>
      </c>
      <c r="BZ25" s="17"/>
      <c r="CA25" s="17"/>
      <c r="CB25" s="17"/>
      <c r="CC25" s="17"/>
      <c r="CD25" s="17"/>
      <c r="CE25" s="17"/>
      <c r="CF25" s="17"/>
      <c r="CG25" s="17"/>
      <c r="CH25" s="17"/>
      <c r="CI25" s="18"/>
      <c r="CK25" s="211" t="s">
        <v>14</v>
      </c>
      <c r="CL25" s="17"/>
      <c r="CM25" s="17"/>
      <c r="CN25" s="17"/>
      <c r="CO25" s="17"/>
      <c r="CP25" s="17"/>
      <c r="CQ25" s="17"/>
      <c r="CR25" s="17"/>
      <c r="CS25" s="18"/>
    </row>
    <row r="26" ht="11.25" customHeight="1">
      <c r="C26" s="30"/>
      <c r="D26" s="31"/>
      <c r="E26" s="31"/>
      <c r="F26" s="31"/>
      <c r="G26" s="32"/>
      <c r="H26" s="19"/>
      <c r="I26" s="30"/>
      <c r="J26" s="31"/>
      <c r="K26" s="31"/>
      <c r="L26" s="32"/>
      <c r="M26" s="19"/>
      <c r="N26" s="30"/>
      <c r="O26" s="31"/>
      <c r="P26" s="31"/>
      <c r="Q26" s="32"/>
      <c r="T26" s="33"/>
      <c r="U26" s="34"/>
      <c r="V26" s="34"/>
      <c r="W26" s="34"/>
      <c r="X26" s="34"/>
      <c r="Y26" s="34"/>
      <c r="Z26" s="34"/>
      <c r="AA26" s="34"/>
      <c r="AB26" s="34"/>
      <c r="AC26" s="34"/>
      <c r="AD26" s="34"/>
      <c r="AE26" s="34"/>
      <c r="AF26" s="34"/>
      <c r="AG26" s="34"/>
      <c r="AH26" s="12"/>
      <c r="AI26" s="14"/>
      <c r="AJ26" s="12"/>
      <c r="AK26" s="14"/>
      <c r="AL26" s="34"/>
      <c r="AM26" s="34"/>
      <c r="AN26" s="34"/>
      <c r="AO26" s="34"/>
      <c r="AP26" s="34"/>
      <c r="AQ26" s="34"/>
      <c r="AR26" s="34"/>
      <c r="AS26" s="34"/>
      <c r="AT26" s="34"/>
      <c r="AU26" s="34"/>
      <c r="AV26" s="34"/>
      <c r="AW26" s="34"/>
      <c r="AX26" s="34"/>
      <c r="AY26" s="35"/>
      <c r="BA26" s="30"/>
      <c r="BB26" s="31"/>
      <c r="BC26" s="31"/>
      <c r="BD26" s="32"/>
      <c r="BF26" s="30"/>
      <c r="BG26" s="31"/>
      <c r="BH26" s="31"/>
      <c r="BI26" s="31"/>
      <c r="BJ26" s="31"/>
      <c r="BK26" s="31"/>
      <c r="BL26" s="31"/>
      <c r="BM26" s="31"/>
      <c r="BN26" s="31"/>
      <c r="BO26" s="31"/>
      <c r="BP26" s="31"/>
      <c r="BQ26" s="31"/>
      <c r="BR26" s="31"/>
      <c r="BS26" s="31"/>
      <c r="BT26" s="31"/>
      <c r="BU26" s="31"/>
      <c r="BV26" s="32"/>
      <c r="BY26" s="30"/>
      <c r="BZ26" s="31"/>
      <c r="CA26" s="31"/>
      <c r="CB26" s="31"/>
      <c r="CC26" s="31"/>
      <c r="CD26" s="31"/>
      <c r="CE26" s="31"/>
      <c r="CF26" s="31"/>
      <c r="CG26" s="31"/>
      <c r="CH26" s="31"/>
      <c r="CI26" s="32"/>
      <c r="CK26" s="30"/>
      <c r="CL26" s="31"/>
      <c r="CM26" s="31"/>
      <c r="CN26" s="31"/>
      <c r="CO26" s="31"/>
      <c r="CP26" s="31"/>
      <c r="CQ26" s="31"/>
      <c r="CR26" s="31"/>
      <c r="CS26" s="32"/>
    </row>
    <row r="27" ht="11.25" customHeight="1">
      <c r="A27" s="48">
        <f>A25+1</f>
        <v>11</v>
      </c>
      <c r="C27" s="16" t="s">
        <v>100</v>
      </c>
      <c r="D27" s="17"/>
      <c r="E27" s="17"/>
      <c r="F27" s="17"/>
      <c r="G27" s="18"/>
      <c r="H27" s="19"/>
      <c r="I27" s="210">
        <v>0.6041666666666666</v>
      </c>
      <c r="J27" s="17"/>
      <c r="K27" s="17"/>
      <c r="L27" s="18"/>
      <c r="M27" s="19"/>
      <c r="N27" s="20">
        <f>I27 + TIME(1, 0, 0)</f>
        <v>0.6458333333</v>
      </c>
      <c r="O27" s="17"/>
      <c r="P27" s="17"/>
      <c r="Q27" s="18"/>
      <c r="T27" s="21" t="str">
        <f t="array" ref="T27">xlookup(V27,qualdata!$N$2:$N$17,qualdata!$O$2:$O$17,"")</f>
        <v/>
      </c>
      <c r="U27" s="22"/>
      <c r="V27" s="23" t="str">
        <f t="array" ref="V27">xlookup(A27,qualmatchups!$I:$I,qualmatchups!$B:$B,"")</f>
        <v/>
      </c>
      <c r="W27" s="22"/>
      <c r="X27" s="22"/>
      <c r="Y27" s="22"/>
      <c r="Z27" s="22"/>
      <c r="AA27" s="22"/>
      <c r="AB27" s="22"/>
      <c r="AC27" s="22"/>
      <c r="AD27" s="22"/>
      <c r="AE27" s="22"/>
      <c r="AF27" s="22"/>
      <c r="AG27" s="22"/>
      <c r="AH27" s="24" t="str">
        <f t="array" ref="AH27">xlookup(A27,qualmatchups!$I:$I,qualmatchups!$D:$D,"")</f>
        <v/>
      </c>
      <c r="AI27" s="9"/>
      <c r="AJ27" s="24" t="str">
        <f t="array" ref="AJ27">xlookup(A27,qualmatchups!$I:$I,qualmatchups!$E:$E,"")</f>
        <v/>
      </c>
      <c r="AK27" s="9"/>
      <c r="AL27" s="23" t="str">
        <f t="array" ref="AL27">xlookup(A27,qualmatchups!$I:$I,qualmatchups!$C:$C,"")</f>
        <v/>
      </c>
      <c r="AM27" s="22"/>
      <c r="AN27" s="22"/>
      <c r="AO27" s="22"/>
      <c r="AP27" s="22"/>
      <c r="AQ27" s="22"/>
      <c r="AR27" s="22"/>
      <c r="AS27" s="22"/>
      <c r="AT27" s="22"/>
      <c r="AU27" s="22"/>
      <c r="AV27" s="22"/>
      <c r="AW27" s="22"/>
      <c r="AX27" s="25" t="str">
        <f t="array" ref="AX27">xlookup(AL27,qualdata!$N$2:$N$17,qualdata!$O$2:$O$17,"")</f>
        <v/>
      </c>
      <c r="AY27" s="26"/>
      <c r="BA27" s="27" t="s">
        <v>11</v>
      </c>
      <c r="BB27" s="17"/>
      <c r="BC27" s="17"/>
      <c r="BD27" s="18"/>
      <c r="BF27" s="27" t="s">
        <v>31</v>
      </c>
      <c r="BG27" s="17"/>
      <c r="BH27" s="17"/>
      <c r="BI27" s="17"/>
      <c r="BJ27" s="17"/>
      <c r="BK27" s="17"/>
      <c r="BL27" s="17"/>
      <c r="BM27" s="17"/>
      <c r="BN27" s="17"/>
      <c r="BO27" s="17"/>
      <c r="BP27" s="17"/>
      <c r="BQ27" s="17"/>
      <c r="BR27" s="17"/>
      <c r="BS27" s="17"/>
      <c r="BT27" s="17"/>
      <c r="BU27" s="17"/>
      <c r="BV27" s="18"/>
      <c r="BY27" s="28" t="s">
        <v>100</v>
      </c>
      <c r="BZ27" s="17"/>
      <c r="CA27" s="17"/>
      <c r="CB27" s="17"/>
      <c r="CC27" s="17"/>
      <c r="CD27" s="17"/>
      <c r="CE27" s="17"/>
      <c r="CF27" s="17"/>
      <c r="CG27" s="17"/>
      <c r="CH27" s="17"/>
      <c r="CI27" s="18"/>
      <c r="CK27" s="211" t="s">
        <v>14</v>
      </c>
      <c r="CL27" s="17"/>
      <c r="CM27" s="17"/>
      <c r="CN27" s="17"/>
      <c r="CO27" s="17"/>
      <c r="CP27" s="17"/>
      <c r="CQ27" s="17"/>
      <c r="CR27" s="17"/>
      <c r="CS27" s="18"/>
    </row>
    <row r="28" ht="11.25" customHeight="1">
      <c r="C28" s="30"/>
      <c r="D28" s="31"/>
      <c r="E28" s="31"/>
      <c r="F28" s="31"/>
      <c r="G28" s="32"/>
      <c r="H28" s="19"/>
      <c r="I28" s="30"/>
      <c r="J28" s="31"/>
      <c r="K28" s="31"/>
      <c r="L28" s="32"/>
      <c r="M28" s="19"/>
      <c r="N28" s="30"/>
      <c r="O28" s="31"/>
      <c r="P28" s="31"/>
      <c r="Q28" s="32"/>
      <c r="T28" s="33"/>
      <c r="U28" s="34"/>
      <c r="V28" s="34"/>
      <c r="W28" s="34"/>
      <c r="X28" s="34"/>
      <c r="Y28" s="34"/>
      <c r="Z28" s="34"/>
      <c r="AA28" s="34"/>
      <c r="AB28" s="34"/>
      <c r="AC28" s="34"/>
      <c r="AD28" s="34"/>
      <c r="AE28" s="34"/>
      <c r="AF28" s="34"/>
      <c r="AG28" s="34"/>
      <c r="AH28" s="12"/>
      <c r="AI28" s="14"/>
      <c r="AJ28" s="12"/>
      <c r="AK28" s="14"/>
      <c r="AL28" s="34"/>
      <c r="AM28" s="34"/>
      <c r="AN28" s="34"/>
      <c r="AO28" s="34"/>
      <c r="AP28" s="34"/>
      <c r="AQ28" s="34"/>
      <c r="AR28" s="34"/>
      <c r="AS28" s="34"/>
      <c r="AT28" s="34"/>
      <c r="AU28" s="34"/>
      <c r="AV28" s="34"/>
      <c r="AW28" s="34"/>
      <c r="AX28" s="34"/>
      <c r="AY28" s="35"/>
      <c r="BA28" s="30"/>
      <c r="BB28" s="31"/>
      <c r="BC28" s="31"/>
      <c r="BD28" s="32"/>
      <c r="BF28" s="30"/>
      <c r="BG28" s="31"/>
      <c r="BH28" s="31"/>
      <c r="BI28" s="31"/>
      <c r="BJ28" s="31"/>
      <c r="BK28" s="31"/>
      <c r="BL28" s="31"/>
      <c r="BM28" s="31"/>
      <c r="BN28" s="31"/>
      <c r="BO28" s="31"/>
      <c r="BP28" s="31"/>
      <c r="BQ28" s="31"/>
      <c r="BR28" s="31"/>
      <c r="BS28" s="31"/>
      <c r="BT28" s="31"/>
      <c r="BU28" s="31"/>
      <c r="BV28" s="32"/>
      <c r="BY28" s="30"/>
      <c r="BZ28" s="31"/>
      <c r="CA28" s="31"/>
      <c r="CB28" s="31"/>
      <c r="CC28" s="31"/>
      <c r="CD28" s="31"/>
      <c r="CE28" s="31"/>
      <c r="CF28" s="31"/>
      <c r="CG28" s="31"/>
      <c r="CH28" s="31"/>
      <c r="CI28" s="32"/>
      <c r="CK28" s="30"/>
      <c r="CL28" s="31"/>
      <c r="CM28" s="31"/>
      <c r="CN28" s="31"/>
      <c r="CO28" s="31"/>
      <c r="CP28" s="31"/>
      <c r="CQ28" s="31"/>
      <c r="CR28" s="31"/>
      <c r="CS28" s="32"/>
    </row>
    <row r="29" ht="11.25" customHeight="1">
      <c r="A29" s="48">
        <f>A27+1</f>
        <v>12</v>
      </c>
      <c r="C29" s="16" t="s">
        <v>100</v>
      </c>
      <c r="D29" s="17"/>
      <c r="E29" s="17"/>
      <c r="F29" s="17"/>
      <c r="G29" s="18"/>
      <c r="H29" s="19"/>
      <c r="I29" s="210">
        <v>0.8541666666666666</v>
      </c>
      <c r="J29" s="17"/>
      <c r="K29" s="17"/>
      <c r="L29" s="18"/>
      <c r="M29" s="19"/>
      <c r="N29" s="20">
        <f>I29 + TIME(1, 0, 0)</f>
        <v>0.8958333333</v>
      </c>
      <c r="O29" s="17"/>
      <c r="P29" s="17"/>
      <c r="Q29" s="18"/>
      <c r="T29" s="21" t="str">
        <f t="array" ref="T29">xlookup(V29,qualdata!$N$2:$N$17,qualdata!$O$2:$O$17,"")</f>
        <v/>
      </c>
      <c r="U29" s="22"/>
      <c r="V29" s="23" t="str">
        <f t="array" ref="V29">xlookup(A29,qualmatchups!$I:$I,qualmatchups!$B:$B,"")</f>
        <v/>
      </c>
      <c r="W29" s="22"/>
      <c r="X29" s="22"/>
      <c r="Y29" s="22"/>
      <c r="Z29" s="22"/>
      <c r="AA29" s="22"/>
      <c r="AB29" s="22"/>
      <c r="AC29" s="22"/>
      <c r="AD29" s="22"/>
      <c r="AE29" s="22"/>
      <c r="AF29" s="22"/>
      <c r="AG29" s="22"/>
      <c r="AH29" s="24" t="str">
        <f t="array" ref="AH29">xlookup(A29,qualmatchups!$I:$I,qualmatchups!$D:$D,"")</f>
        <v/>
      </c>
      <c r="AI29" s="9"/>
      <c r="AJ29" s="24" t="str">
        <f t="array" ref="AJ29">xlookup(A29,qualmatchups!$I:$I,qualmatchups!$E:$E,"")</f>
        <v/>
      </c>
      <c r="AK29" s="9"/>
      <c r="AL29" s="23" t="str">
        <f t="array" ref="AL29">xlookup(A29,qualmatchups!$I:$I,qualmatchups!$C:$C,"")</f>
        <v/>
      </c>
      <c r="AM29" s="22"/>
      <c r="AN29" s="22"/>
      <c r="AO29" s="22"/>
      <c r="AP29" s="22"/>
      <c r="AQ29" s="22"/>
      <c r="AR29" s="22"/>
      <c r="AS29" s="22"/>
      <c r="AT29" s="22"/>
      <c r="AU29" s="22"/>
      <c r="AV29" s="22"/>
      <c r="AW29" s="22"/>
      <c r="AX29" s="25" t="str">
        <f t="array" ref="AX29">xlookup(AL29,qualdata!$N$2:$N$17,qualdata!$O$2:$O$17,"")</f>
        <v/>
      </c>
      <c r="AY29" s="26"/>
      <c r="BA29" s="27" t="s">
        <v>11</v>
      </c>
      <c r="BB29" s="17"/>
      <c r="BC29" s="17"/>
      <c r="BD29" s="18"/>
      <c r="BF29" s="27" t="s">
        <v>31</v>
      </c>
      <c r="BG29" s="17"/>
      <c r="BH29" s="17"/>
      <c r="BI29" s="17"/>
      <c r="BJ29" s="17"/>
      <c r="BK29" s="17"/>
      <c r="BL29" s="17"/>
      <c r="BM29" s="17"/>
      <c r="BN29" s="17"/>
      <c r="BO29" s="17"/>
      <c r="BP29" s="17"/>
      <c r="BQ29" s="17"/>
      <c r="BR29" s="17"/>
      <c r="BS29" s="17"/>
      <c r="BT29" s="17"/>
      <c r="BU29" s="17"/>
      <c r="BV29" s="18"/>
      <c r="BY29" s="28" t="s">
        <v>100</v>
      </c>
      <c r="BZ29" s="17"/>
      <c r="CA29" s="17"/>
      <c r="CB29" s="17"/>
      <c r="CC29" s="17"/>
      <c r="CD29" s="17"/>
      <c r="CE29" s="17"/>
      <c r="CF29" s="17"/>
      <c r="CG29" s="17"/>
      <c r="CH29" s="17"/>
      <c r="CI29" s="18"/>
      <c r="CK29" s="211" t="s">
        <v>14</v>
      </c>
      <c r="CL29" s="17"/>
      <c r="CM29" s="17"/>
      <c r="CN29" s="17"/>
      <c r="CO29" s="17"/>
      <c r="CP29" s="17"/>
      <c r="CQ29" s="17"/>
      <c r="CR29" s="17"/>
      <c r="CS29" s="18"/>
    </row>
    <row r="30" ht="11.25" customHeight="1">
      <c r="C30" s="30"/>
      <c r="D30" s="31"/>
      <c r="E30" s="31"/>
      <c r="F30" s="31"/>
      <c r="G30" s="32"/>
      <c r="H30" s="19"/>
      <c r="I30" s="30"/>
      <c r="J30" s="31"/>
      <c r="K30" s="31"/>
      <c r="L30" s="32"/>
      <c r="M30" s="19"/>
      <c r="N30" s="30"/>
      <c r="O30" s="31"/>
      <c r="P30" s="31"/>
      <c r="Q30" s="32"/>
      <c r="T30" s="33"/>
      <c r="U30" s="34"/>
      <c r="V30" s="34"/>
      <c r="W30" s="34"/>
      <c r="X30" s="34"/>
      <c r="Y30" s="34"/>
      <c r="Z30" s="34"/>
      <c r="AA30" s="34"/>
      <c r="AB30" s="34"/>
      <c r="AC30" s="34"/>
      <c r="AD30" s="34"/>
      <c r="AE30" s="34"/>
      <c r="AF30" s="34"/>
      <c r="AG30" s="34"/>
      <c r="AH30" s="12"/>
      <c r="AI30" s="14"/>
      <c r="AJ30" s="12"/>
      <c r="AK30" s="14"/>
      <c r="AL30" s="34"/>
      <c r="AM30" s="34"/>
      <c r="AN30" s="34"/>
      <c r="AO30" s="34"/>
      <c r="AP30" s="34"/>
      <c r="AQ30" s="34"/>
      <c r="AR30" s="34"/>
      <c r="AS30" s="34"/>
      <c r="AT30" s="34"/>
      <c r="AU30" s="34"/>
      <c r="AV30" s="34"/>
      <c r="AW30" s="34"/>
      <c r="AX30" s="34"/>
      <c r="AY30" s="35"/>
      <c r="BA30" s="30"/>
      <c r="BB30" s="31"/>
      <c r="BC30" s="31"/>
      <c r="BD30" s="32"/>
      <c r="BF30" s="30"/>
      <c r="BG30" s="31"/>
      <c r="BH30" s="31"/>
      <c r="BI30" s="31"/>
      <c r="BJ30" s="31"/>
      <c r="BK30" s="31"/>
      <c r="BL30" s="31"/>
      <c r="BM30" s="31"/>
      <c r="BN30" s="31"/>
      <c r="BO30" s="31"/>
      <c r="BP30" s="31"/>
      <c r="BQ30" s="31"/>
      <c r="BR30" s="31"/>
      <c r="BS30" s="31"/>
      <c r="BT30" s="31"/>
      <c r="BU30" s="31"/>
      <c r="BV30" s="32"/>
      <c r="BY30" s="30"/>
      <c r="BZ30" s="31"/>
      <c r="CA30" s="31"/>
      <c r="CB30" s="31"/>
      <c r="CC30" s="31"/>
      <c r="CD30" s="31"/>
      <c r="CE30" s="31"/>
      <c r="CF30" s="31"/>
      <c r="CG30" s="31"/>
      <c r="CH30" s="31"/>
      <c r="CI30" s="32"/>
      <c r="CK30" s="30"/>
      <c r="CL30" s="31"/>
      <c r="CM30" s="31"/>
      <c r="CN30" s="31"/>
      <c r="CO30" s="31"/>
      <c r="CP30" s="31"/>
      <c r="CQ30" s="31"/>
      <c r="CR30" s="31"/>
      <c r="CS30" s="32"/>
    </row>
    <row r="31" ht="11.25" customHeight="1">
      <c r="C31" s="19"/>
      <c r="D31" s="19"/>
      <c r="E31" s="19"/>
      <c r="F31" s="19"/>
      <c r="G31" s="19"/>
      <c r="H31" s="19"/>
      <c r="I31" s="19"/>
      <c r="J31" s="19"/>
      <c r="K31" s="19"/>
      <c r="L31" s="19"/>
      <c r="M31" s="19"/>
      <c r="N31" s="19"/>
      <c r="O31" s="19"/>
      <c r="P31" s="19"/>
      <c r="Q31" s="19"/>
      <c r="T31" s="39"/>
      <c r="U31" s="39"/>
      <c r="V31" s="40"/>
      <c r="W31" s="40"/>
      <c r="X31" s="40"/>
      <c r="Y31" s="40"/>
      <c r="Z31" s="40"/>
      <c r="AA31" s="40"/>
      <c r="AB31" s="40"/>
      <c r="AC31" s="40"/>
      <c r="AD31" s="40"/>
      <c r="AE31" s="40"/>
      <c r="AF31" s="40"/>
      <c r="AG31" s="41"/>
      <c r="AH31" s="41"/>
      <c r="AI31" s="41"/>
      <c r="AJ31" s="41"/>
      <c r="AK31" s="41"/>
      <c r="AL31" s="41"/>
      <c r="AM31" s="40"/>
      <c r="AN31" s="40"/>
      <c r="AO31" s="40"/>
      <c r="AP31" s="40"/>
      <c r="AQ31" s="40"/>
      <c r="AR31" s="40"/>
      <c r="AS31" s="40"/>
      <c r="AT31" s="40"/>
      <c r="AU31" s="40"/>
      <c r="AV31" s="40"/>
      <c r="AW31" s="40"/>
      <c r="AX31" s="42"/>
      <c r="AY31" s="42"/>
      <c r="BA31" s="43"/>
      <c r="BB31" s="43"/>
      <c r="BC31" s="43"/>
      <c r="BD31" s="43"/>
      <c r="BF31" s="43"/>
      <c r="BG31" s="43"/>
      <c r="BH31" s="43"/>
      <c r="BI31" s="43"/>
      <c r="BJ31" s="43"/>
      <c r="BK31" s="43"/>
      <c r="BL31" s="43"/>
      <c r="BM31" s="43"/>
      <c r="BN31" s="43"/>
      <c r="BO31" s="43"/>
      <c r="BP31" s="43"/>
      <c r="BQ31" s="43"/>
      <c r="BR31" s="43"/>
      <c r="BS31" s="43"/>
      <c r="BT31" s="43"/>
      <c r="BU31" s="43"/>
      <c r="BV31" s="43"/>
      <c r="BY31" s="44"/>
      <c r="BZ31" s="44"/>
      <c r="CA31" s="44"/>
      <c r="CB31" s="44"/>
      <c r="CC31" s="44"/>
      <c r="CD31" s="44"/>
      <c r="CE31" s="44"/>
      <c r="CF31" s="44"/>
      <c r="CG31" s="44"/>
      <c r="CH31" s="44"/>
      <c r="CI31" s="44"/>
      <c r="CK31" s="45"/>
      <c r="CL31" s="45"/>
      <c r="CM31" s="45"/>
      <c r="CN31" s="45"/>
      <c r="CO31" s="45"/>
      <c r="CP31" s="45"/>
      <c r="CQ31" s="45"/>
      <c r="CR31" s="45"/>
      <c r="CS31" s="45"/>
    </row>
    <row r="32" ht="11.25" customHeight="1">
      <c r="A32" s="48">
        <f>A29+1</f>
        <v>13</v>
      </c>
      <c r="C32" s="16" t="s">
        <v>100</v>
      </c>
      <c r="D32" s="17"/>
      <c r="E32" s="17"/>
      <c r="F32" s="17"/>
      <c r="G32" s="18"/>
      <c r="H32" s="19"/>
      <c r="I32" s="210">
        <v>0.5625</v>
      </c>
      <c r="J32" s="17"/>
      <c r="K32" s="17"/>
      <c r="L32" s="18"/>
      <c r="M32" s="19"/>
      <c r="N32" s="20">
        <f>I32 + TIME(1, 0, 0)</f>
        <v>0.6041666667</v>
      </c>
      <c r="O32" s="17"/>
      <c r="P32" s="17"/>
      <c r="Q32" s="18"/>
      <c r="T32" s="21" t="str">
        <f t="array" ref="T32">xlookup(V32,qualdata!$N$2:$N$17,qualdata!$O$2:$O$17,"")</f>
        <v/>
      </c>
      <c r="U32" s="22"/>
      <c r="V32" s="23" t="str">
        <f t="array" ref="V32">xlookup(A32,qualmatchups!$I:$I,qualmatchups!$B:$B,"")</f>
        <v/>
      </c>
      <c r="W32" s="22"/>
      <c r="X32" s="22"/>
      <c r="Y32" s="22"/>
      <c r="Z32" s="22"/>
      <c r="AA32" s="22"/>
      <c r="AB32" s="22"/>
      <c r="AC32" s="22"/>
      <c r="AD32" s="22"/>
      <c r="AE32" s="22"/>
      <c r="AF32" s="22"/>
      <c r="AG32" s="22"/>
      <c r="AH32" s="24" t="str">
        <f t="array" ref="AH32">xlookup(A32,qualmatchups!$I:$I,qualmatchups!$D:$D,"")</f>
        <v/>
      </c>
      <c r="AI32" s="9"/>
      <c r="AJ32" s="24" t="str">
        <f t="array" ref="AJ32">xlookup(A32,qualmatchups!$I:$I,qualmatchups!$E:$E,"")</f>
        <v/>
      </c>
      <c r="AK32" s="9"/>
      <c r="AL32" s="41" t="str">
        <f t="array" ref="AL32">xlookup(A32,qualmatchups!$I:$I,qualmatchups!$C:$C,"")</f>
        <v/>
      </c>
      <c r="AX32" s="25" t="str">
        <f t="array" ref="AX32">xlookup(AL32,qualdata!$N$2:$N$17,qualdata!$O$2:$O$17,"")</f>
        <v/>
      </c>
      <c r="AY32" s="26"/>
      <c r="BA32" s="27" t="s">
        <v>11</v>
      </c>
      <c r="BB32" s="17"/>
      <c r="BC32" s="17"/>
      <c r="BD32" s="18"/>
      <c r="BF32" s="27" t="s">
        <v>32</v>
      </c>
      <c r="BG32" s="17"/>
      <c r="BH32" s="17"/>
      <c r="BI32" s="17"/>
      <c r="BJ32" s="17"/>
      <c r="BK32" s="17"/>
      <c r="BL32" s="17"/>
      <c r="BM32" s="17"/>
      <c r="BN32" s="17"/>
      <c r="BO32" s="17"/>
      <c r="BP32" s="17"/>
      <c r="BQ32" s="17"/>
      <c r="BR32" s="17"/>
      <c r="BS32" s="17"/>
      <c r="BT32" s="17"/>
      <c r="BU32" s="17"/>
      <c r="BV32" s="18"/>
      <c r="BY32" s="28" t="s">
        <v>100</v>
      </c>
      <c r="BZ32" s="17"/>
      <c r="CA32" s="17"/>
      <c r="CB32" s="17"/>
      <c r="CC32" s="17"/>
      <c r="CD32" s="17"/>
      <c r="CE32" s="17"/>
      <c r="CF32" s="17"/>
      <c r="CG32" s="17"/>
      <c r="CH32" s="17"/>
      <c r="CI32" s="18"/>
      <c r="CK32" s="211" t="s">
        <v>14</v>
      </c>
      <c r="CL32" s="17"/>
      <c r="CM32" s="17"/>
      <c r="CN32" s="17"/>
      <c r="CO32" s="17"/>
      <c r="CP32" s="17"/>
      <c r="CQ32" s="17"/>
      <c r="CR32" s="17"/>
      <c r="CS32" s="18"/>
    </row>
    <row r="33" ht="11.25" customHeight="1">
      <c r="C33" s="30"/>
      <c r="D33" s="31"/>
      <c r="E33" s="31"/>
      <c r="F33" s="31"/>
      <c r="G33" s="32"/>
      <c r="H33" s="19"/>
      <c r="I33" s="30"/>
      <c r="J33" s="31"/>
      <c r="K33" s="31"/>
      <c r="L33" s="32"/>
      <c r="M33" s="19"/>
      <c r="N33" s="30"/>
      <c r="O33" s="31"/>
      <c r="P33" s="31"/>
      <c r="Q33" s="32"/>
      <c r="T33" s="33"/>
      <c r="U33" s="34"/>
      <c r="V33" s="34"/>
      <c r="W33" s="34"/>
      <c r="X33" s="34"/>
      <c r="Y33" s="34"/>
      <c r="Z33" s="34"/>
      <c r="AA33" s="34"/>
      <c r="AB33" s="34"/>
      <c r="AC33" s="34"/>
      <c r="AD33" s="34"/>
      <c r="AE33" s="34"/>
      <c r="AF33" s="34"/>
      <c r="AG33" s="34"/>
      <c r="AH33" s="12"/>
      <c r="AI33" s="14"/>
      <c r="AJ33" s="12"/>
      <c r="AK33" s="14"/>
      <c r="AL33" s="34"/>
      <c r="AM33" s="34"/>
      <c r="AN33" s="34"/>
      <c r="AO33" s="34"/>
      <c r="AP33" s="34"/>
      <c r="AQ33" s="34"/>
      <c r="AR33" s="34"/>
      <c r="AS33" s="34"/>
      <c r="AT33" s="34"/>
      <c r="AU33" s="34"/>
      <c r="AV33" s="34"/>
      <c r="AW33" s="34"/>
      <c r="AX33" s="34"/>
      <c r="AY33" s="35"/>
      <c r="BA33" s="30"/>
      <c r="BB33" s="31"/>
      <c r="BC33" s="31"/>
      <c r="BD33" s="32"/>
      <c r="BF33" s="30"/>
      <c r="BG33" s="31"/>
      <c r="BH33" s="31"/>
      <c r="BI33" s="31"/>
      <c r="BJ33" s="31"/>
      <c r="BK33" s="31"/>
      <c r="BL33" s="31"/>
      <c r="BM33" s="31"/>
      <c r="BN33" s="31"/>
      <c r="BO33" s="31"/>
      <c r="BP33" s="31"/>
      <c r="BQ33" s="31"/>
      <c r="BR33" s="31"/>
      <c r="BS33" s="31"/>
      <c r="BT33" s="31"/>
      <c r="BU33" s="31"/>
      <c r="BV33" s="32"/>
      <c r="BY33" s="30"/>
      <c r="BZ33" s="31"/>
      <c r="CA33" s="31"/>
      <c r="CB33" s="31"/>
      <c r="CC33" s="31"/>
      <c r="CD33" s="31"/>
      <c r="CE33" s="31"/>
      <c r="CF33" s="31"/>
      <c r="CG33" s="31"/>
      <c r="CH33" s="31"/>
      <c r="CI33" s="32"/>
      <c r="CK33" s="30"/>
      <c r="CL33" s="31"/>
      <c r="CM33" s="31"/>
      <c r="CN33" s="31"/>
      <c r="CO33" s="31"/>
      <c r="CP33" s="31"/>
      <c r="CQ33" s="31"/>
      <c r="CR33" s="31"/>
      <c r="CS33" s="32"/>
    </row>
    <row r="34" ht="11.25" customHeight="1">
      <c r="A34" s="48">
        <f>A32+1</f>
        <v>14</v>
      </c>
      <c r="C34" s="16" t="s">
        <v>100</v>
      </c>
      <c r="D34" s="17"/>
      <c r="E34" s="17"/>
      <c r="F34" s="17"/>
      <c r="G34" s="18"/>
      <c r="H34" s="19"/>
      <c r="I34" s="210">
        <v>0.6041666666666666</v>
      </c>
      <c r="J34" s="17"/>
      <c r="K34" s="17"/>
      <c r="L34" s="18"/>
      <c r="M34" s="19"/>
      <c r="N34" s="20">
        <f>I34 + TIME(1, 0, 0)</f>
        <v>0.6458333333</v>
      </c>
      <c r="O34" s="17"/>
      <c r="P34" s="17"/>
      <c r="Q34" s="18"/>
      <c r="T34" s="21" t="str">
        <f t="array" ref="T34">xlookup(V34,qualdata!$N$2:$N$17,qualdata!$O$2:$O$17,"")</f>
        <v/>
      </c>
      <c r="U34" s="22"/>
      <c r="V34" s="23" t="str">
        <f t="array" ref="V34">xlookup(A34,qualmatchups!$I:$I,qualmatchups!$B:$B,"")</f>
        <v/>
      </c>
      <c r="W34" s="22"/>
      <c r="X34" s="22"/>
      <c r="Y34" s="22"/>
      <c r="Z34" s="22"/>
      <c r="AA34" s="22"/>
      <c r="AB34" s="22"/>
      <c r="AC34" s="22"/>
      <c r="AD34" s="22"/>
      <c r="AE34" s="22"/>
      <c r="AF34" s="22"/>
      <c r="AG34" s="22"/>
      <c r="AH34" s="24" t="str">
        <f t="array" ref="AH34">xlookup(A34,qualmatchups!$I:$I,qualmatchups!$D:$D,"")</f>
        <v/>
      </c>
      <c r="AI34" s="9"/>
      <c r="AJ34" s="24" t="str">
        <f t="array" ref="AJ34">xlookup(A34,qualmatchups!$I:$I,qualmatchups!$E:$E,"")</f>
        <v/>
      </c>
      <c r="AK34" s="9"/>
      <c r="AL34" s="23" t="str">
        <f t="array" ref="AL34">xlookup(A34,qualmatchups!$I:$I,qualmatchups!$C:$C,"")</f>
        <v/>
      </c>
      <c r="AM34" s="22"/>
      <c r="AN34" s="22"/>
      <c r="AO34" s="22"/>
      <c r="AP34" s="22"/>
      <c r="AQ34" s="22"/>
      <c r="AR34" s="22"/>
      <c r="AS34" s="22"/>
      <c r="AT34" s="22"/>
      <c r="AU34" s="22"/>
      <c r="AV34" s="22"/>
      <c r="AW34" s="22"/>
      <c r="AX34" s="25" t="str">
        <f t="array" ref="AX34">xlookup(AL34,qualdata!$N$2:$N$17,qualdata!$O$2:$O$17,"")</f>
        <v/>
      </c>
      <c r="AY34" s="26"/>
      <c r="BA34" s="27" t="s">
        <v>11</v>
      </c>
      <c r="BB34" s="17"/>
      <c r="BC34" s="17"/>
      <c r="BD34" s="18"/>
      <c r="BF34" s="27" t="s">
        <v>32</v>
      </c>
      <c r="BG34" s="17"/>
      <c r="BH34" s="17"/>
      <c r="BI34" s="17"/>
      <c r="BJ34" s="17"/>
      <c r="BK34" s="17"/>
      <c r="BL34" s="17"/>
      <c r="BM34" s="17"/>
      <c r="BN34" s="17"/>
      <c r="BO34" s="17"/>
      <c r="BP34" s="17"/>
      <c r="BQ34" s="17"/>
      <c r="BR34" s="17"/>
      <c r="BS34" s="17"/>
      <c r="BT34" s="17"/>
      <c r="BU34" s="17"/>
      <c r="BV34" s="18"/>
      <c r="BY34" s="28" t="s">
        <v>100</v>
      </c>
      <c r="BZ34" s="17"/>
      <c r="CA34" s="17"/>
      <c r="CB34" s="17"/>
      <c r="CC34" s="17"/>
      <c r="CD34" s="17"/>
      <c r="CE34" s="17"/>
      <c r="CF34" s="17"/>
      <c r="CG34" s="17"/>
      <c r="CH34" s="17"/>
      <c r="CI34" s="18"/>
      <c r="CK34" s="211" t="s">
        <v>14</v>
      </c>
      <c r="CL34" s="17"/>
      <c r="CM34" s="17"/>
      <c r="CN34" s="17"/>
      <c r="CO34" s="17"/>
      <c r="CP34" s="17"/>
      <c r="CQ34" s="17"/>
      <c r="CR34" s="17"/>
      <c r="CS34" s="18"/>
    </row>
    <row r="35" ht="11.25" customHeight="1">
      <c r="C35" s="30"/>
      <c r="D35" s="31"/>
      <c r="E35" s="31"/>
      <c r="F35" s="31"/>
      <c r="G35" s="32"/>
      <c r="H35" s="19"/>
      <c r="I35" s="30"/>
      <c r="J35" s="31"/>
      <c r="K35" s="31"/>
      <c r="L35" s="32"/>
      <c r="M35" s="19"/>
      <c r="N35" s="30"/>
      <c r="O35" s="31"/>
      <c r="P35" s="31"/>
      <c r="Q35" s="32"/>
      <c r="T35" s="33"/>
      <c r="U35" s="34"/>
      <c r="V35" s="34"/>
      <c r="W35" s="34"/>
      <c r="X35" s="34"/>
      <c r="Y35" s="34"/>
      <c r="Z35" s="34"/>
      <c r="AA35" s="34"/>
      <c r="AB35" s="34"/>
      <c r="AC35" s="34"/>
      <c r="AD35" s="34"/>
      <c r="AE35" s="34"/>
      <c r="AF35" s="34"/>
      <c r="AG35" s="34"/>
      <c r="AH35" s="12"/>
      <c r="AI35" s="14"/>
      <c r="AJ35" s="12"/>
      <c r="AK35" s="14"/>
      <c r="AL35" s="34"/>
      <c r="AM35" s="34"/>
      <c r="AN35" s="34"/>
      <c r="AO35" s="34"/>
      <c r="AP35" s="34"/>
      <c r="AQ35" s="34"/>
      <c r="AR35" s="34"/>
      <c r="AS35" s="34"/>
      <c r="AT35" s="34"/>
      <c r="AU35" s="34"/>
      <c r="AV35" s="34"/>
      <c r="AW35" s="34"/>
      <c r="AX35" s="34"/>
      <c r="AY35" s="35"/>
      <c r="BA35" s="30"/>
      <c r="BB35" s="31"/>
      <c r="BC35" s="31"/>
      <c r="BD35" s="32"/>
      <c r="BF35" s="30"/>
      <c r="BG35" s="31"/>
      <c r="BH35" s="31"/>
      <c r="BI35" s="31"/>
      <c r="BJ35" s="31"/>
      <c r="BK35" s="31"/>
      <c r="BL35" s="31"/>
      <c r="BM35" s="31"/>
      <c r="BN35" s="31"/>
      <c r="BO35" s="31"/>
      <c r="BP35" s="31"/>
      <c r="BQ35" s="31"/>
      <c r="BR35" s="31"/>
      <c r="BS35" s="31"/>
      <c r="BT35" s="31"/>
      <c r="BU35" s="31"/>
      <c r="BV35" s="32"/>
      <c r="BY35" s="30"/>
      <c r="BZ35" s="31"/>
      <c r="CA35" s="31"/>
      <c r="CB35" s="31"/>
      <c r="CC35" s="31"/>
      <c r="CD35" s="31"/>
      <c r="CE35" s="31"/>
      <c r="CF35" s="31"/>
      <c r="CG35" s="31"/>
      <c r="CH35" s="31"/>
      <c r="CI35" s="32"/>
      <c r="CK35" s="30"/>
      <c r="CL35" s="31"/>
      <c r="CM35" s="31"/>
      <c r="CN35" s="31"/>
      <c r="CO35" s="31"/>
      <c r="CP35" s="31"/>
      <c r="CQ35" s="31"/>
      <c r="CR35" s="31"/>
      <c r="CS35" s="32"/>
    </row>
    <row r="36" ht="11.25" customHeight="1">
      <c r="A36" s="48">
        <f>A34+1</f>
        <v>15</v>
      </c>
      <c r="C36" s="16" t="s">
        <v>100</v>
      </c>
      <c r="D36" s="17"/>
      <c r="E36" s="17"/>
      <c r="F36" s="17"/>
      <c r="G36" s="18"/>
      <c r="H36" s="19"/>
      <c r="I36" s="210">
        <v>0.4791666666666667</v>
      </c>
      <c r="J36" s="17"/>
      <c r="K36" s="17"/>
      <c r="L36" s="18"/>
      <c r="M36" s="19"/>
      <c r="N36" s="20">
        <f>I36 + TIME(1, 0, 0)</f>
        <v>0.5208333333</v>
      </c>
      <c r="O36" s="17"/>
      <c r="P36" s="17"/>
      <c r="Q36" s="18"/>
      <c r="T36" s="21" t="str">
        <f t="array" ref="T36">xlookup(V36,qualdata!$N$2:$N$17,qualdata!$O$2:$O$17,"")</f>
        <v/>
      </c>
      <c r="U36" s="22"/>
      <c r="V36" s="23" t="str">
        <f t="array" ref="V36">xlookup(A36,qualmatchups!$I:$I,qualmatchups!$B:$B,"")</f>
        <v/>
      </c>
      <c r="W36" s="22"/>
      <c r="X36" s="22"/>
      <c r="Y36" s="22"/>
      <c r="Z36" s="22"/>
      <c r="AA36" s="22"/>
      <c r="AB36" s="22"/>
      <c r="AC36" s="22"/>
      <c r="AD36" s="22"/>
      <c r="AE36" s="22"/>
      <c r="AF36" s="22"/>
      <c r="AG36" s="22"/>
      <c r="AH36" s="24" t="str">
        <f t="array" ref="AH36">xlookup(A36,qualmatchups!$I:$I,qualmatchups!$D:$D,"")</f>
        <v/>
      </c>
      <c r="AI36" s="9"/>
      <c r="AJ36" s="24" t="str">
        <f t="array" ref="AJ36">xlookup(A36,qualmatchups!$I:$I,qualmatchups!$E:$E,"")</f>
        <v/>
      </c>
      <c r="AK36" s="9"/>
      <c r="AL36" s="23" t="str">
        <f t="array" ref="AL36">xlookup(A36,qualmatchups!$I:$I,qualmatchups!$C:$C,"")</f>
        <v/>
      </c>
      <c r="AM36" s="22"/>
      <c r="AN36" s="22"/>
      <c r="AO36" s="22"/>
      <c r="AP36" s="22"/>
      <c r="AQ36" s="22"/>
      <c r="AR36" s="22"/>
      <c r="AS36" s="22"/>
      <c r="AT36" s="22"/>
      <c r="AU36" s="22"/>
      <c r="AV36" s="22"/>
      <c r="AW36" s="22"/>
      <c r="AX36" s="25" t="str">
        <f t="array" ref="AX36">xlookup(AL36,qualdata!$N$2:$N$17,qualdata!$O$2:$O$17,"")</f>
        <v/>
      </c>
      <c r="AY36" s="26"/>
      <c r="BA36" s="27" t="s">
        <v>11</v>
      </c>
      <c r="BB36" s="17"/>
      <c r="BC36" s="17"/>
      <c r="BD36" s="18"/>
      <c r="BF36" s="27" t="s">
        <v>32</v>
      </c>
      <c r="BG36" s="17"/>
      <c r="BH36" s="17"/>
      <c r="BI36" s="17"/>
      <c r="BJ36" s="17"/>
      <c r="BK36" s="17"/>
      <c r="BL36" s="17"/>
      <c r="BM36" s="17"/>
      <c r="BN36" s="17"/>
      <c r="BO36" s="17"/>
      <c r="BP36" s="17"/>
      <c r="BQ36" s="17"/>
      <c r="BR36" s="17"/>
      <c r="BS36" s="17"/>
      <c r="BT36" s="17"/>
      <c r="BU36" s="17"/>
      <c r="BV36" s="18"/>
      <c r="BY36" s="28" t="s">
        <v>100</v>
      </c>
      <c r="BZ36" s="17"/>
      <c r="CA36" s="17"/>
      <c r="CB36" s="17"/>
      <c r="CC36" s="17"/>
      <c r="CD36" s="17"/>
      <c r="CE36" s="17"/>
      <c r="CF36" s="17"/>
      <c r="CG36" s="17"/>
      <c r="CH36" s="17"/>
      <c r="CI36" s="18"/>
      <c r="CK36" s="211" t="s">
        <v>14</v>
      </c>
      <c r="CL36" s="17"/>
      <c r="CM36" s="17"/>
      <c r="CN36" s="17"/>
      <c r="CO36" s="17"/>
      <c r="CP36" s="17"/>
      <c r="CQ36" s="17"/>
      <c r="CR36" s="17"/>
      <c r="CS36" s="18"/>
    </row>
    <row r="37" ht="11.25" customHeight="1">
      <c r="C37" s="30"/>
      <c r="D37" s="31"/>
      <c r="E37" s="31"/>
      <c r="F37" s="31"/>
      <c r="G37" s="32"/>
      <c r="H37" s="19"/>
      <c r="I37" s="30"/>
      <c r="J37" s="31"/>
      <c r="K37" s="31"/>
      <c r="L37" s="32"/>
      <c r="M37" s="19"/>
      <c r="N37" s="30"/>
      <c r="O37" s="31"/>
      <c r="P37" s="31"/>
      <c r="Q37" s="32"/>
      <c r="T37" s="33"/>
      <c r="U37" s="34"/>
      <c r="V37" s="34"/>
      <c r="W37" s="34"/>
      <c r="X37" s="34"/>
      <c r="Y37" s="34"/>
      <c r="Z37" s="34"/>
      <c r="AA37" s="34"/>
      <c r="AB37" s="34"/>
      <c r="AC37" s="34"/>
      <c r="AD37" s="34"/>
      <c r="AE37" s="34"/>
      <c r="AF37" s="34"/>
      <c r="AG37" s="34"/>
      <c r="AH37" s="12"/>
      <c r="AI37" s="14"/>
      <c r="AJ37" s="12"/>
      <c r="AK37" s="14"/>
      <c r="AL37" s="34"/>
      <c r="AM37" s="34"/>
      <c r="AN37" s="34"/>
      <c r="AO37" s="34"/>
      <c r="AP37" s="34"/>
      <c r="AQ37" s="34"/>
      <c r="AR37" s="34"/>
      <c r="AS37" s="34"/>
      <c r="AT37" s="34"/>
      <c r="AU37" s="34"/>
      <c r="AV37" s="34"/>
      <c r="AW37" s="34"/>
      <c r="AX37" s="34"/>
      <c r="AY37" s="35"/>
      <c r="BA37" s="30"/>
      <c r="BB37" s="31"/>
      <c r="BC37" s="31"/>
      <c r="BD37" s="32"/>
      <c r="BF37" s="30"/>
      <c r="BG37" s="31"/>
      <c r="BH37" s="31"/>
      <c r="BI37" s="31"/>
      <c r="BJ37" s="31"/>
      <c r="BK37" s="31"/>
      <c r="BL37" s="31"/>
      <c r="BM37" s="31"/>
      <c r="BN37" s="31"/>
      <c r="BO37" s="31"/>
      <c r="BP37" s="31"/>
      <c r="BQ37" s="31"/>
      <c r="BR37" s="31"/>
      <c r="BS37" s="31"/>
      <c r="BT37" s="31"/>
      <c r="BU37" s="31"/>
      <c r="BV37" s="32"/>
      <c r="BY37" s="30"/>
      <c r="BZ37" s="31"/>
      <c r="CA37" s="31"/>
      <c r="CB37" s="31"/>
      <c r="CC37" s="31"/>
      <c r="CD37" s="31"/>
      <c r="CE37" s="31"/>
      <c r="CF37" s="31"/>
      <c r="CG37" s="31"/>
      <c r="CH37" s="31"/>
      <c r="CI37" s="32"/>
      <c r="CK37" s="30"/>
      <c r="CL37" s="31"/>
      <c r="CM37" s="31"/>
      <c r="CN37" s="31"/>
      <c r="CO37" s="31"/>
      <c r="CP37" s="31"/>
      <c r="CQ37" s="31"/>
      <c r="CR37" s="31"/>
      <c r="CS37" s="32"/>
    </row>
    <row r="38" ht="11.25" customHeight="1">
      <c r="A38" s="48">
        <f>A36+1</f>
        <v>16</v>
      </c>
      <c r="C38" s="16" t="s">
        <v>100</v>
      </c>
      <c r="D38" s="17"/>
      <c r="E38" s="17"/>
      <c r="F38" s="17"/>
      <c r="G38" s="18"/>
      <c r="H38" s="19"/>
      <c r="I38" s="210">
        <v>0.8541666666666666</v>
      </c>
      <c r="J38" s="17"/>
      <c r="K38" s="17"/>
      <c r="L38" s="18"/>
      <c r="M38" s="19"/>
      <c r="N38" s="20">
        <f>I38 + TIME(1, 0, 0)</f>
        <v>0.8958333333</v>
      </c>
      <c r="O38" s="17"/>
      <c r="P38" s="17"/>
      <c r="Q38" s="18"/>
      <c r="T38" s="21" t="str">
        <f t="array" ref="T38">xlookup(V38,qualdata!$N$2:$N$17,qualdata!$O$2:$O$17,"")</f>
        <v/>
      </c>
      <c r="U38" s="22"/>
      <c r="V38" s="23" t="str">
        <f t="array" ref="V38">xlookup(A38,qualmatchups!$I:$I,qualmatchups!$B:$B,"")</f>
        <v/>
      </c>
      <c r="W38" s="22"/>
      <c r="X38" s="22"/>
      <c r="Y38" s="22"/>
      <c r="Z38" s="22"/>
      <c r="AA38" s="22"/>
      <c r="AB38" s="22"/>
      <c r="AC38" s="22"/>
      <c r="AD38" s="22"/>
      <c r="AE38" s="22"/>
      <c r="AF38" s="22"/>
      <c r="AG38" s="22"/>
      <c r="AH38" s="24" t="str">
        <f t="array" ref="AH38">xlookup(A38,qualmatchups!$I:$I,qualmatchups!$D:$D,"")</f>
        <v/>
      </c>
      <c r="AI38" s="9"/>
      <c r="AJ38" s="24" t="str">
        <f t="array" ref="AJ38">xlookup(A38,qualmatchups!$I:$I,qualmatchups!$E:$E,"")</f>
        <v/>
      </c>
      <c r="AK38" s="9"/>
      <c r="AL38" s="23" t="str">
        <f t="array" ref="AL38">xlookup(A38,qualmatchups!$I:$I,qualmatchups!$C:$C,"")</f>
        <v/>
      </c>
      <c r="AM38" s="22"/>
      <c r="AN38" s="22"/>
      <c r="AO38" s="22"/>
      <c r="AP38" s="22"/>
      <c r="AQ38" s="22"/>
      <c r="AR38" s="22"/>
      <c r="AS38" s="22"/>
      <c r="AT38" s="22"/>
      <c r="AU38" s="22"/>
      <c r="AV38" s="22"/>
      <c r="AW38" s="22"/>
      <c r="AX38" s="25" t="str">
        <f t="array" ref="AX38">xlookup(AL38,qualdata!$N$2:$N$17,qualdata!$O$2:$O$17,"")</f>
        <v/>
      </c>
      <c r="AY38" s="26"/>
      <c r="BA38" s="27" t="s">
        <v>11</v>
      </c>
      <c r="BB38" s="17"/>
      <c r="BC38" s="17"/>
      <c r="BD38" s="18"/>
      <c r="BF38" s="27" t="s">
        <v>32</v>
      </c>
      <c r="BG38" s="17"/>
      <c r="BH38" s="17"/>
      <c r="BI38" s="17"/>
      <c r="BJ38" s="17"/>
      <c r="BK38" s="17"/>
      <c r="BL38" s="17"/>
      <c r="BM38" s="17"/>
      <c r="BN38" s="17"/>
      <c r="BO38" s="17"/>
      <c r="BP38" s="17"/>
      <c r="BQ38" s="17"/>
      <c r="BR38" s="17"/>
      <c r="BS38" s="17"/>
      <c r="BT38" s="17"/>
      <c r="BU38" s="17"/>
      <c r="BV38" s="18"/>
      <c r="BY38" s="28" t="s">
        <v>100</v>
      </c>
      <c r="BZ38" s="17"/>
      <c r="CA38" s="17"/>
      <c r="CB38" s="17"/>
      <c r="CC38" s="17"/>
      <c r="CD38" s="17"/>
      <c r="CE38" s="17"/>
      <c r="CF38" s="17"/>
      <c r="CG38" s="17"/>
      <c r="CH38" s="17"/>
      <c r="CI38" s="18"/>
      <c r="CK38" s="211" t="s">
        <v>14</v>
      </c>
      <c r="CL38" s="17"/>
      <c r="CM38" s="17"/>
      <c r="CN38" s="17"/>
      <c r="CO38" s="17"/>
      <c r="CP38" s="17"/>
      <c r="CQ38" s="17"/>
      <c r="CR38" s="17"/>
      <c r="CS38" s="18"/>
    </row>
    <row r="39" ht="11.25" customHeight="1">
      <c r="C39" s="30"/>
      <c r="D39" s="31"/>
      <c r="E39" s="31"/>
      <c r="F39" s="31"/>
      <c r="G39" s="32"/>
      <c r="H39" s="19"/>
      <c r="I39" s="30"/>
      <c r="J39" s="31"/>
      <c r="K39" s="31"/>
      <c r="L39" s="32"/>
      <c r="M39" s="19"/>
      <c r="N39" s="30"/>
      <c r="O39" s="31"/>
      <c r="P39" s="31"/>
      <c r="Q39" s="32"/>
      <c r="T39" s="33"/>
      <c r="U39" s="34"/>
      <c r="V39" s="34"/>
      <c r="W39" s="34"/>
      <c r="X39" s="34"/>
      <c r="Y39" s="34"/>
      <c r="Z39" s="34"/>
      <c r="AA39" s="34"/>
      <c r="AB39" s="34"/>
      <c r="AC39" s="34"/>
      <c r="AD39" s="34"/>
      <c r="AE39" s="34"/>
      <c r="AF39" s="34"/>
      <c r="AG39" s="34"/>
      <c r="AH39" s="12"/>
      <c r="AI39" s="14"/>
      <c r="AJ39" s="12"/>
      <c r="AK39" s="14"/>
      <c r="AL39" s="34"/>
      <c r="AM39" s="34"/>
      <c r="AN39" s="34"/>
      <c r="AO39" s="34"/>
      <c r="AP39" s="34"/>
      <c r="AQ39" s="34"/>
      <c r="AR39" s="34"/>
      <c r="AS39" s="34"/>
      <c r="AT39" s="34"/>
      <c r="AU39" s="34"/>
      <c r="AV39" s="34"/>
      <c r="AW39" s="34"/>
      <c r="AX39" s="34"/>
      <c r="AY39" s="35"/>
      <c r="BA39" s="30"/>
      <c r="BB39" s="31"/>
      <c r="BC39" s="31"/>
      <c r="BD39" s="32"/>
      <c r="BF39" s="30"/>
      <c r="BG39" s="31"/>
      <c r="BH39" s="31"/>
      <c r="BI39" s="31"/>
      <c r="BJ39" s="31"/>
      <c r="BK39" s="31"/>
      <c r="BL39" s="31"/>
      <c r="BM39" s="31"/>
      <c r="BN39" s="31"/>
      <c r="BO39" s="31"/>
      <c r="BP39" s="31"/>
      <c r="BQ39" s="31"/>
      <c r="BR39" s="31"/>
      <c r="BS39" s="31"/>
      <c r="BT39" s="31"/>
      <c r="BU39" s="31"/>
      <c r="BV39" s="32"/>
      <c r="BY39" s="30"/>
      <c r="BZ39" s="31"/>
      <c r="CA39" s="31"/>
      <c r="CB39" s="31"/>
      <c r="CC39" s="31"/>
      <c r="CD39" s="31"/>
      <c r="CE39" s="31"/>
      <c r="CF39" s="31"/>
      <c r="CG39" s="31"/>
      <c r="CH39" s="31"/>
      <c r="CI39" s="32"/>
      <c r="CK39" s="30"/>
      <c r="CL39" s="31"/>
      <c r="CM39" s="31"/>
      <c r="CN39" s="31"/>
      <c r="CO39" s="31"/>
      <c r="CP39" s="31"/>
      <c r="CQ39" s="31"/>
      <c r="CR39" s="31"/>
      <c r="CS39" s="32"/>
    </row>
    <row r="40" ht="11.25" customHeight="1">
      <c r="BY40" s="37"/>
      <c r="BZ40" s="37"/>
      <c r="CA40" s="37"/>
      <c r="CB40" s="37"/>
      <c r="CC40" s="37"/>
      <c r="CD40" s="37"/>
      <c r="CE40" s="37"/>
      <c r="CF40" s="37"/>
      <c r="CG40" s="37"/>
      <c r="CH40" s="37"/>
      <c r="CI40" s="37"/>
    </row>
    <row r="41" ht="11.25" customHeight="1">
      <c r="BY41" s="37"/>
      <c r="BZ41" s="37"/>
      <c r="CA41" s="37"/>
      <c r="CB41" s="37"/>
      <c r="CC41" s="37"/>
      <c r="CD41" s="37"/>
      <c r="CE41" s="37"/>
      <c r="CF41" s="37"/>
      <c r="CG41" s="37"/>
      <c r="CH41" s="37"/>
      <c r="CI41" s="37"/>
    </row>
    <row r="42" ht="11.25" customHeight="1">
      <c r="A42" s="48">
        <f>A38+1</f>
        <v>17</v>
      </c>
      <c r="C42" s="16" t="s">
        <v>100</v>
      </c>
      <c r="D42" s="17"/>
      <c r="E42" s="17"/>
      <c r="F42" s="17"/>
      <c r="G42" s="18"/>
      <c r="H42" s="19"/>
      <c r="I42" s="210">
        <v>0.4791666666666667</v>
      </c>
      <c r="J42" s="17"/>
      <c r="K42" s="17"/>
      <c r="L42" s="18"/>
      <c r="M42" s="19"/>
      <c r="N42" s="20">
        <f>I42 + TIME(1, 0, 0)</f>
        <v>0.5208333333</v>
      </c>
      <c r="O42" s="17"/>
      <c r="P42" s="17"/>
      <c r="Q42" s="18"/>
      <c r="T42" s="21" t="str">
        <f t="array" ref="T42">xlookup(V42,qualdata!$N$2:$N$17,qualdata!$O$2:$O$17,"")</f>
        <v/>
      </c>
      <c r="U42" s="22"/>
      <c r="V42" s="23" t="str">
        <f>'Contender Stage'!AV132</f>
        <v/>
      </c>
      <c r="W42" s="22"/>
      <c r="X42" s="22"/>
      <c r="Y42" s="22"/>
      <c r="Z42" s="22"/>
      <c r="AA42" s="22"/>
      <c r="AB42" s="22"/>
      <c r="AC42" s="22"/>
      <c r="AD42" s="22"/>
      <c r="AE42" s="22"/>
      <c r="AF42" s="22"/>
      <c r="AG42" s="22"/>
      <c r="AH42" s="24" t="str">
        <f t="array" ref="AH42">xlookup(A42,qualmatchups!$I:$I,qualmatchups!$D:$D,"")</f>
        <v/>
      </c>
      <c r="AI42" s="9"/>
      <c r="AJ42" s="24" t="str">
        <f t="array" ref="AJ42">xlookup(A42,qualmatchups!$I:$I,qualmatchups!$E:$E,"")</f>
        <v/>
      </c>
      <c r="AK42" s="9"/>
      <c r="AL42" s="41" t="str">
        <f>'Contender Stage'!BZ132</f>
        <v/>
      </c>
      <c r="AX42" s="25" t="str">
        <f t="array" ref="AX42">xlookup(AL42,qualdata!$N$2:$N$17,qualdata!$O$2:$O$17,"")</f>
        <v/>
      </c>
      <c r="AY42" s="26"/>
      <c r="BA42" s="27" t="s">
        <v>11</v>
      </c>
      <c r="BB42" s="17"/>
      <c r="BC42" s="17"/>
      <c r="BD42" s="18"/>
      <c r="BF42" s="27" t="s">
        <v>33</v>
      </c>
      <c r="BG42" s="17"/>
      <c r="BH42" s="17"/>
      <c r="BI42" s="17"/>
      <c r="BJ42" s="17"/>
      <c r="BK42" s="17"/>
      <c r="BL42" s="17"/>
      <c r="BM42" s="17"/>
      <c r="BN42" s="17"/>
      <c r="BO42" s="17"/>
      <c r="BP42" s="17"/>
      <c r="BQ42" s="17"/>
      <c r="BR42" s="17"/>
      <c r="BS42" s="17"/>
      <c r="BT42" s="17"/>
      <c r="BU42" s="17"/>
      <c r="BV42" s="18"/>
      <c r="BY42" s="28" t="s">
        <v>100</v>
      </c>
      <c r="BZ42" s="17"/>
      <c r="CA42" s="17"/>
      <c r="CB42" s="17"/>
      <c r="CC42" s="17"/>
      <c r="CD42" s="17"/>
      <c r="CE42" s="17"/>
      <c r="CF42" s="17"/>
      <c r="CG42" s="17"/>
      <c r="CH42" s="17"/>
      <c r="CI42" s="18"/>
      <c r="CK42" s="211" t="s">
        <v>14</v>
      </c>
      <c r="CL42" s="17"/>
      <c r="CM42" s="17"/>
      <c r="CN42" s="17"/>
      <c r="CO42" s="17"/>
      <c r="CP42" s="17"/>
      <c r="CQ42" s="17"/>
      <c r="CR42" s="17"/>
      <c r="CS42" s="18"/>
    </row>
    <row r="43" ht="11.25" customHeight="1">
      <c r="C43" s="30"/>
      <c r="D43" s="31"/>
      <c r="E43" s="31"/>
      <c r="F43" s="31"/>
      <c r="G43" s="32"/>
      <c r="H43" s="19"/>
      <c r="I43" s="30"/>
      <c r="J43" s="31"/>
      <c r="K43" s="31"/>
      <c r="L43" s="32"/>
      <c r="M43" s="19"/>
      <c r="N43" s="30"/>
      <c r="O43" s="31"/>
      <c r="P43" s="31"/>
      <c r="Q43" s="32"/>
      <c r="T43" s="33"/>
      <c r="U43" s="34"/>
      <c r="V43" s="34"/>
      <c r="W43" s="34"/>
      <c r="X43" s="34"/>
      <c r="Y43" s="34"/>
      <c r="Z43" s="34"/>
      <c r="AA43" s="34"/>
      <c r="AB43" s="34"/>
      <c r="AC43" s="34"/>
      <c r="AD43" s="34"/>
      <c r="AE43" s="34"/>
      <c r="AF43" s="34"/>
      <c r="AG43" s="34"/>
      <c r="AH43" s="12"/>
      <c r="AI43" s="14"/>
      <c r="AJ43" s="12"/>
      <c r="AK43" s="14"/>
      <c r="AL43" s="34"/>
      <c r="AM43" s="34"/>
      <c r="AN43" s="34"/>
      <c r="AO43" s="34"/>
      <c r="AP43" s="34"/>
      <c r="AQ43" s="34"/>
      <c r="AR43" s="34"/>
      <c r="AS43" s="34"/>
      <c r="AT43" s="34"/>
      <c r="AU43" s="34"/>
      <c r="AV43" s="34"/>
      <c r="AW43" s="34"/>
      <c r="AX43" s="34"/>
      <c r="AY43" s="35"/>
      <c r="BA43" s="30"/>
      <c r="BB43" s="31"/>
      <c r="BC43" s="31"/>
      <c r="BD43" s="32"/>
      <c r="BF43" s="30"/>
      <c r="BG43" s="31"/>
      <c r="BH43" s="31"/>
      <c r="BI43" s="31"/>
      <c r="BJ43" s="31"/>
      <c r="BK43" s="31"/>
      <c r="BL43" s="31"/>
      <c r="BM43" s="31"/>
      <c r="BN43" s="31"/>
      <c r="BO43" s="31"/>
      <c r="BP43" s="31"/>
      <c r="BQ43" s="31"/>
      <c r="BR43" s="31"/>
      <c r="BS43" s="31"/>
      <c r="BT43" s="31"/>
      <c r="BU43" s="31"/>
      <c r="BV43" s="32"/>
      <c r="BY43" s="30"/>
      <c r="BZ43" s="31"/>
      <c r="CA43" s="31"/>
      <c r="CB43" s="31"/>
      <c r="CC43" s="31"/>
      <c r="CD43" s="31"/>
      <c r="CE43" s="31"/>
      <c r="CF43" s="31"/>
      <c r="CG43" s="31"/>
      <c r="CH43" s="31"/>
      <c r="CI43" s="32"/>
      <c r="CK43" s="30"/>
      <c r="CL43" s="31"/>
      <c r="CM43" s="31"/>
      <c r="CN43" s="31"/>
      <c r="CO43" s="31"/>
      <c r="CP43" s="31"/>
      <c r="CQ43" s="31"/>
      <c r="CR43" s="31"/>
      <c r="CS43" s="32"/>
    </row>
    <row r="44" ht="11.25" customHeight="1">
      <c r="A44" s="48">
        <f>A42+1</f>
        <v>18</v>
      </c>
      <c r="C44" s="16" t="s">
        <v>100</v>
      </c>
      <c r="D44" s="17"/>
      <c r="E44" s="17"/>
      <c r="F44" s="17"/>
      <c r="G44" s="18"/>
      <c r="H44" s="19"/>
      <c r="I44" s="210">
        <v>0.6041666666666666</v>
      </c>
      <c r="J44" s="17"/>
      <c r="K44" s="17"/>
      <c r="L44" s="18"/>
      <c r="M44" s="19"/>
      <c r="N44" s="20">
        <f>I44 + TIME(1, 0, 0)</f>
        <v>0.6458333333</v>
      </c>
      <c r="O44" s="17"/>
      <c r="P44" s="17"/>
      <c r="Q44" s="18"/>
      <c r="T44" s="21" t="str">
        <f t="array" ref="T44">xlookup(V44,qualdata!$N$2:$N$17,qualdata!$O$2:$O$17,"")</f>
        <v/>
      </c>
      <c r="U44" s="22"/>
      <c r="V44" s="23" t="str">
        <f>'Contender Stage'!AV139</f>
        <v/>
      </c>
      <c r="W44" s="22"/>
      <c r="X44" s="22"/>
      <c r="Y44" s="22"/>
      <c r="Z44" s="22"/>
      <c r="AA44" s="22"/>
      <c r="AB44" s="22"/>
      <c r="AC44" s="22"/>
      <c r="AD44" s="22"/>
      <c r="AE44" s="22"/>
      <c r="AF44" s="22"/>
      <c r="AG44" s="22"/>
      <c r="AH44" s="24" t="str">
        <f t="array" ref="AH44">xlookup(A44,qualmatchups!$I:$I,qualmatchups!$D:$D,"")</f>
        <v/>
      </c>
      <c r="AI44" s="9"/>
      <c r="AJ44" s="24" t="str">
        <f t="array" ref="AJ44">xlookup(A44,qualmatchups!$I:$I,qualmatchups!$E:$E,"")</f>
        <v/>
      </c>
      <c r="AK44" s="9"/>
      <c r="AL44" s="23" t="str">
        <f>'Contender Stage'!BZ139</f>
        <v/>
      </c>
      <c r="AM44" s="22"/>
      <c r="AN44" s="22"/>
      <c r="AO44" s="22"/>
      <c r="AP44" s="22"/>
      <c r="AQ44" s="22"/>
      <c r="AR44" s="22"/>
      <c r="AS44" s="22"/>
      <c r="AT44" s="22"/>
      <c r="AU44" s="22"/>
      <c r="AV44" s="22"/>
      <c r="AW44" s="22"/>
      <c r="AX44" s="25" t="str">
        <f t="array" ref="AX44">xlookup(AL44,qualdata!$N$2:$N$17,qualdata!$O$2:$O$17,"")</f>
        <v/>
      </c>
      <c r="AY44" s="26"/>
      <c r="BA44" s="27" t="s">
        <v>11</v>
      </c>
      <c r="BB44" s="17"/>
      <c r="BC44" s="17"/>
      <c r="BD44" s="18"/>
      <c r="BF44" s="27" t="s">
        <v>33</v>
      </c>
      <c r="BG44" s="17"/>
      <c r="BH44" s="17"/>
      <c r="BI44" s="17"/>
      <c r="BJ44" s="17"/>
      <c r="BK44" s="17"/>
      <c r="BL44" s="17"/>
      <c r="BM44" s="17"/>
      <c r="BN44" s="17"/>
      <c r="BO44" s="17"/>
      <c r="BP44" s="17"/>
      <c r="BQ44" s="17"/>
      <c r="BR44" s="17"/>
      <c r="BS44" s="17"/>
      <c r="BT44" s="17"/>
      <c r="BU44" s="17"/>
      <c r="BV44" s="18"/>
      <c r="BY44" s="28" t="s">
        <v>100</v>
      </c>
      <c r="BZ44" s="17"/>
      <c r="CA44" s="17"/>
      <c r="CB44" s="17"/>
      <c r="CC44" s="17"/>
      <c r="CD44" s="17"/>
      <c r="CE44" s="17"/>
      <c r="CF44" s="17"/>
      <c r="CG44" s="17"/>
      <c r="CH44" s="17"/>
      <c r="CI44" s="18"/>
      <c r="CK44" s="211" t="s">
        <v>14</v>
      </c>
      <c r="CL44" s="17"/>
      <c r="CM44" s="17"/>
      <c r="CN44" s="17"/>
      <c r="CO44" s="17"/>
      <c r="CP44" s="17"/>
      <c r="CQ44" s="17"/>
      <c r="CR44" s="17"/>
      <c r="CS44" s="18"/>
    </row>
    <row r="45" ht="11.25" customHeight="1">
      <c r="C45" s="30"/>
      <c r="D45" s="31"/>
      <c r="E45" s="31"/>
      <c r="F45" s="31"/>
      <c r="G45" s="32"/>
      <c r="H45" s="19"/>
      <c r="I45" s="30"/>
      <c r="J45" s="31"/>
      <c r="K45" s="31"/>
      <c r="L45" s="32"/>
      <c r="M45" s="19"/>
      <c r="N45" s="30"/>
      <c r="O45" s="31"/>
      <c r="P45" s="31"/>
      <c r="Q45" s="32"/>
      <c r="T45" s="33"/>
      <c r="U45" s="34"/>
      <c r="V45" s="34"/>
      <c r="W45" s="34"/>
      <c r="X45" s="34"/>
      <c r="Y45" s="34"/>
      <c r="Z45" s="34"/>
      <c r="AA45" s="34"/>
      <c r="AB45" s="34"/>
      <c r="AC45" s="34"/>
      <c r="AD45" s="34"/>
      <c r="AE45" s="34"/>
      <c r="AF45" s="34"/>
      <c r="AG45" s="34"/>
      <c r="AH45" s="12"/>
      <c r="AI45" s="14"/>
      <c r="AJ45" s="12"/>
      <c r="AK45" s="14"/>
      <c r="AL45" s="34"/>
      <c r="AM45" s="34"/>
      <c r="AN45" s="34"/>
      <c r="AO45" s="34"/>
      <c r="AP45" s="34"/>
      <c r="AQ45" s="34"/>
      <c r="AR45" s="34"/>
      <c r="AS45" s="34"/>
      <c r="AT45" s="34"/>
      <c r="AU45" s="34"/>
      <c r="AV45" s="34"/>
      <c r="AW45" s="34"/>
      <c r="AX45" s="34"/>
      <c r="AY45" s="35"/>
      <c r="BA45" s="30"/>
      <c r="BB45" s="31"/>
      <c r="BC45" s="31"/>
      <c r="BD45" s="32"/>
      <c r="BF45" s="30"/>
      <c r="BG45" s="31"/>
      <c r="BH45" s="31"/>
      <c r="BI45" s="31"/>
      <c r="BJ45" s="31"/>
      <c r="BK45" s="31"/>
      <c r="BL45" s="31"/>
      <c r="BM45" s="31"/>
      <c r="BN45" s="31"/>
      <c r="BO45" s="31"/>
      <c r="BP45" s="31"/>
      <c r="BQ45" s="31"/>
      <c r="BR45" s="31"/>
      <c r="BS45" s="31"/>
      <c r="BT45" s="31"/>
      <c r="BU45" s="31"/>
      <c r="BV45" s="32"/>
      <c r="BY45" s="30"/>
      <c r="BZ45" s="31"/>
      <c r="CA45" s="31"/>
      <c r="CB45" s="31"/>
      <c r="CC45" s="31"/>
      <c r="CD45" s="31"/>
      <c r="CE45" s="31"/>
      <c r="CF45" s="31"/>
      <c r="CG45" s="31"/>
      <c r="CH45" s="31"/>
      <c r="CI45" s="32"/>
      <c r="CK45" s="30"/>
      <c r="CL45" s="31"/>
      <c r="CM45" s="31"/>
      <c r="CN45" s="31"/>
      <c r="CO45" s="31"/>
      <c r="CP45" s="31"/>
      <c r="CQ45" s="31"/>
      <c r="CR45" s="31"/>
      <c r="CS45" s="32"/>
    </row>
    <row r="46" ht="11.25" customHeight="1">
      <c r="BY46" s="37"/>
      <c r="BZ46" s="37"/>
      <c r="CA46" s="37"/>
      <c r="CB46" s="37"/>
      <c r="CC46" s="37"/>
      <c r="CD46" s="37"/>
      <c r="CE46" s="37"/>
      <c r="CF46" s="37"/>
      <c r="CG46" s="37"/>
      <c r="CH46" s="37"/>
      <c r="CI46" s="37"/>
    </row>
    <row r="47" ht="11.25" customHeight="1">
      <c r="A47" s="47">
        <v>21.0</v>
      </c>
      <c r="C47" s="16" t="s">
        <v>100</v>
      </c>
      <c r="D47" s="17"/>
      <c r="E47" s="17"/>
      <c r="F47" s="17"/>
      <c r="G47" s="18"/>
      <c r="H47" s="19"/>
      <c r="I47" s="210">
        <v>0.625</v>
      </c>
      <c r="J47" s="17"/>
      <c r="K47" s="17"/>
      <c r="L47" s="18"/>
      <c r="M47" s="19"/>
      <c r="N47" s="20">
        <f>I47 + TIME(1, 0, 0)</f>
        <v>0.6666666667</v>
      </c>
      <c r="O47" s="17"/>
      <c r="P47" s="17"/>
      <c r="Q47" s="18"/>
      <c r="T47" s="21" t="str">
        <f t="array" ref="T47">xlookup(V47,qualdata!$N$2:$N$17,qualdata!$O$2:$O$17,"")</f>
        <v/>
      </c>
      <c r="U47" s="22"/>
      <c r="V47" s="23" t="str">
        <f t="array" ref="V47">xlookup(A47,qualmatchups!$I:$I,qualmatchups!$B:$B,"")</f>
        <v/>
      </c>
      <c r="W47" s="22"/>
      <c r="X47" s="22"/>
      <c r="Y47" s="22"/>
      <c r="Z47" s="22"/>
      <c r="AA47" s="22"/>
      <c r="AB47" s="22"/>
      <c r="AC47" s="22"/>
      <c r="AD47" s="22"/>
      <c r="AE47" s="22"/>
      <c r="AF47" s="22"/>
      <c r="AG47" s="22"/>
      <c r="AH47" s="24" t="str">
        <f t="array" ref="AH47">xlookup(A47,qualmatchups!$I:$I,qualmatchups!$D:$D,"")</f>
        <v/>
      </c>
      <c r="AI47" s="9"/>
      <c r="AJ47" s="24" t="str">
        <f t="array" ref="AJ47">xlookup(A47,qualmatchups!$I:$I,qualmatchups!$E:$E,"")</f>
        <v/>
      </c>
      <c r="AK47" s="9"/>
      <c r="AL47" s="41" t="str">
        <f t="array" ref="AL47">xlookup(A47,qualmatchups!$I:$I,qualmatchups!$C:$C,"")</f>
        <v/>
      </c>
      <c r="AX47" s="25" t="str">
        <f t="array" ref="AX47">xlookup(AL47,qualdata!$N$2:$N$17,qualdata!$O$2:$O$17,"")</f>
        <v/>
      </c>
      <c r="AY47" s="26"/>
      <c r="BA47" s="27" t="s">
        <v>11</v>
      </c>
      <c r="BB47" s="17"/>
      <c r="BC47" s="17"/>
      <c r="BD47" s="18"/>
      <c r="BF47" s="27" t="s">
        <v>34</v>
      </c>
      <c r="BG47" s="17"/>
      <c r="BH47" s="17"/>
      <c r="BI47" s="17"/>
      <c r="BJ47" s="17"/>
      <c r="BK47" s="17"/>
      <c r="BL47" s="17"/>
      <c r="BM47" s="17"/>
      <c r="BN47" s="17"/>
      <c r="BO47" s="17"/>
      <c r="BP47" s="17"/>
      <c r="BQ47" s="17"/>
      <c r="BR47" s="17"/>
      <c r="BS47" s="17"/>
      <c r="BT47" s="17"/>
      <c r="BU47" s="17"/>
      <c r="BV47" s="18"/>
      <c r="BY47" s="28" t="s">
        <v>100</v>
      </c>
      <c r="BZ47" s="17"/>
      <c r="CA47" s="17"/>
      <c r="CB47" s="17"/>
      <c r="CC47" s="17"/>
      <c r="CD47" s="17"/>
      <c r="CE47" s="17"/>
      <c r="CF47" s="17"/>
      <c r="CG47" s="17"/>
      <c r="CH47" s="17"/>
      <c r="CI47" s="18"/>
      <c r="CK47" s="211" t="s">
        <v>14</v>
      </c>
      <c r="CL47" s="17"/>
      <c r="CM47" s="17"/>
      <c r="CN47" s="17"/>
      <c r="CO47" s="17"/>
      <c r="CP47" s="17"/>
      <c r="CQ47" s="17"/>
      <c r="CR47" s="17"/>
      <c r="CS47" s="18"/>
    </row>
    <row r="48" ht="11.25" customHeight="1">
      <c r="C48" s="30"/>
      <c r="D48" s="31"/>
      <c r="E48" s="31"/>
      <c r="F48" s="31"/>
      <c r="G48" s="32"/>
      <c r="H48" s="19"/>
      <c r="I48" s="30"/>
      <c r="J48" s="31"/>
      <c r="K48" s="31"/>
      <c r="L48" s="32"/>
      <c r="M48" s="19"/>
      <c r="N48" s="30"/>
      <c r="O48" s="31"/>
      <c r="P48" s="31"/>
      <c r="Q48" s="32"/>
      <c r="T48" s="33"/>
      <c r="U48" s="34"/>
      <c r="V48" s="34"/>
      <c r="W48" s="34"/>
      <c r="X48" s="34"/>
      <c r="Y48" s="34"/>
      <c r="Z48" s="34"/>
      <c r="AA48" s="34"/>
      <c r="AB48" s="34"/>
      <c r="AC48" s="34"/>
      <c r="AD48" s="34"/>
      <c r="AE48" s="34"/>
      <c r="AF48" s="34"/>
      <c r="AG48" s="34"/>
      <c r="AH48" s="12"/>
      <c r="AI48" s="14"/>
      <c r="AJ48" s="12"/>
      <c r="AK48" s="14"/>
      <c r="AL48" s="34"/>
      <c r="AM48" s="34"/>
      <c r="AN48" s="34"/>
      <c r="AO48" s="34"/>
      <c r="AP48" s="34"/>
      <c r="AQ48" s="34"/>
      <c r="AR48" s="34"/>
      <c r="AS48" s="34"/>
      <c r="AT48" s="34"/>
      <c r="AU48" s="34"/>
      <c r="AV48" s="34"/>
      <c r="AW48" s="34"/>
      <c r="AX48" s="34"/>
      <c r="AY48" s="35"/>
      <c r="BA48" s="30"/>
      <c r="BB48" s="31"/>
      <c r="BC48" s="31"/>
      <c r="BD48" s="32"/>
      <c r="BF48" s="30"/>
      <c r="BG48" s="31"/>
      <c r="BH48" s="31"/>
      <c r="BI48" s="31"/>
      <c r="BJ48" s="31"/>
      <c r="BK48" s="31"/>
      <c r="BL48" s="31"/>
      <c r="BM48" s="31"/>
      <c r="BN48" s="31"/>
      <c r="BO48" s="31"/>
      <c r="BP48" s="31"/>
      <c r="BQ48" s="31"/>
      <c r="BR48" s="31"/>
      <c r="BS48" s="31"/>
      <c r="BT48" s="31"/>
      <c r="BU48" s="31"/>
      <c r="BV48" s="32"/>
      <c r="BY48" s="30"/>
      <c r="BZ48" s="31"/>
      <c r="CA48" s="31"/>
      <c r="CB48" s="31"/>
      <c r="CC48" s="31"/>
      <c r="CD48" s="31"/>
      <c r="CE48" s="31"/>
      <c r="CF48" s="31"/>
      <c r="CG48" s="31"/>
      <c r="CH48" s="31"/>
      <c r="CI48" s="32"/>
      <c r="CK48" s="30"/>
      <c r="CL48" s="31"/>
      <c r="CM48" s="31"/>
      <c r="CN48" s="31"/>
      <c r="CO48" s="31"/>
      <c r="CP48" s="31"/>
      <c r="CQ48" s="31"/>
      <c r="CR48" s="31"/>
      <c r="CS48" s="32"/>
    </row>
    <row r="49" ht="11.25" customHeight="1">
      <c r="A49" s="48">
        <f>A47+1</f>
        <v>22</v>
      </c>
      <c r="C49" s="16" t="s">
        <v>100</v>
      </c>
      <c r="D49" s="17"/>
      <c r="E49" s="17"/>
      <c r="F49" s="17"/>
      <c r="G49" s="18"/>
      <c r="H49" s="19"/>
      <c r="I49" s="210">
        <v>0.7291666666666666</v>
      </c>
      <c r="J49" s="17"/>
      <c r="K49" s="17"/>
      <c r="L49" s="18"/>
      <c r="M49" s="19"/>
      <c r="N49" s="20">
        <f>I49 + TIME(1, 0, 0)</f>
        <v>0.7708333333</v>
      </c>
      <c r="O49" s="17"/>
      <c r="P49" s="17"/>
      <c r="Q49" s="18"/>
      <c r="T49" s="21" t="str">
        <f t="array" ref="T49">xlookup(V49,qualdata!$N$2:$N$17,qualdata!$O$2:$O$17,"")</f>
        <v/>
      </c>
      <c r="U49" s="22"/>
      <c r="V49" s="23" t="str">
        <f t="array" ref="V49">xlookup(A49,qualmatchups!$I:$I,qualmatchups!$B:$B,"")</f>
        <v/>
      </c>
      <c r="W49" s="22"/>
      <c r="X49" s="22"/>
      <c r="Y49" s="22"/>
      <c r="Z49" s="22"/>
      <c r="AA49" s="22"/>
      <c r="AB49" s="22"/>
      <c r="AC49" s="22"/>
      <c r="AD49" s="22"/>
      <c r="AE49" s="22"/>
      <c r="AF49" s="22"/>
      <c r="AG49" s="22"/>
      <c r="AH49" s="24" t="str">
        <f t="array" ref="AH49">xlookup(A49,qualmatchups!$I:$I,qualmatchups!$D:$D,"")</f>
        <v/>
      </c>
      <c r="AI49" s="9"/>
      <c r="AJ49" s="24" t="str">
        <f t="array" ref="AJ49">xlookup(A49,qualmatchups!$I:$I,qualmatchups!$E:$E,"")</f>
        <v/>
      </c>
      <c r="AK49" s="9"/>
      <c r="AL49" s="23" t="str">
        <f t="array" ref="AL49">xlookup(A49,qualmatchups!$I:$I,qualmatchups!$C:$C,"")</f>
        <v/>
      </c>
      <c r="AM49" s="22"/>
      <c r="AN49" s="22"/>
      <c r="AO49" s="22"/>
      <c r="AP49" s="22"/>
      <c r="AQ49" s="22"/>
      <c r="AR49" s="22"/>
      <c r="AS49" s="22"/>
      <c r="AT49" s="22"/>
      <c r="AU49" s="22"/>
      <c r="AV49" s="22"/>
      <c r="AW49" s="22"/>
      <c r="AX49" s="25" t="str">
        <f t="array" ref="AX49">xlookup(AL49,qualdata!$N$2:$N$17,qualdata!$O$2:$O$17,"")</f>
        <v/>
      </c>
      <c r="AY49" s="26"/>
      <c r="BA49" s="27" t="s">
        <v>11</v>
      </c>
      <c r="BB49" s="17"/>
      <c r="BC49" s="17"/>
      <c r="BD49" s="18"/>
      <c r="BF49" s="27" t="s">
        <v>34</v>
      </c>
      <c r="BG49" s="17"/>
      <c r="BH49" s="17"/>
      <c r="BI49" s="17"/>
      <c r="BJ49" s="17"/>
      <c r="BK49" s="17"/>
      <c r="BL49" s="17"/>
      <c r="BM49" s="17"/>
      <c r="BN49" s="17"/>
      <c r="BO49" s="17"/>
      <c r="BP49" s="17"/>
      <c r="BQ49" s="17"/>
      <c r="BR49" s="17"/>
      <c r="BS49" s="17"/>
      <c r="BT49" s="17"/>
      <c r="BU49" s="17"/>
      <c r="BV49" s="18"/>
      <c r="BY49" s="28" t="s">
        <v>100</v>
      </c>
      <c r="BZ49" s="17"/>
      <c r="CA49" s="17"/>
      <c r="CB49" s="17"/>
      <c r="CC49" s="17"/>
      <c r="CD49" s="17"/>
      <c r="CE49" s="17"/>
      <c r="CF49" s="17"/>
      <c r="CG49" s="17"/>
      <c r="CH49" s="17"/>
      <c r="CI49" s="18"/>
      <c r="CK49" s="211" t="s">
        <v>14</v>
      </c>
      <c r="CL49" s="17"/>
      <c r="CM49" s="17"/>
      <c r="CN49" s="17"/>
      <c r="CO49" s="17"/>
      <c r="CP49" s="17"/>
      <c r="CQ49" s="17"/>
      <c r="CR49" s="17"/>
      <c r="CS49" s="18"/>
    </row>
    <row r="50" ht="11.25" customHeight="1">
      <c r="C50" s="30"/>
      <c r="D50" s="31"/>
      <c r="E50" s="31"/>
      <c r="F50" s="31"/>
      <c r="G50" s="32"/>
      <c r="H50" s="19"/>
      <c r="I50" s="30"/>
      <c r="J50" s="31"/>
      <c r="K50" s="31"/>
      <c r="L50" s="32"/>
      <c r="M50" s="19"/>
      <c r="N50" s="30"/>
      <c r="O50" s="31"/>
      <c r="P50" s="31"/>
      <c r="Q50" s="32"/>
      <c r="T50" s="33"/>
      <c r="U50" s="34"/>
      <c r="V50" s="34"/>
      <c r="W50" s="34"/>
      <c r="X50" s="34"/>
      <c r="Y50" s="34"/>
      <c r="Z50" s="34"/>
      <c r="AA50" s="34"/>
      <c r="AB50" s="34"/>
      <c r="AC50" s="34"/>
      <c r="AD50" s="34"/>
      <c r="AE50" s="34"/>
      <c r="AF50" s="34"/>
      <c r="AG50" s="34"/>
      <c r="AH50" s="12"/>
      <c r="AI50" s="14"/>
      <c r="AJ50" s="12"/>
      <c r="AK50" s="14"/>
      <c r="AL50" s="34"/>
      <c r="AM50" s="34"/>
      <c r="AN50" s="34"/>
      <c r="AO50" s="34"/>
      <c r="AP50" s="34"/>
      <c r="AQ50" s="34"/>
      <c r="AR50" s="34"/>
      <c r="AS50" s="34"/>
      <c r="AT50" s="34"/>
      <c r="AU50" s="34"/>
      <c r="AV50" s="34"/>
      <c r="AW50" s="34"/>
      <c r="AX50" s="34"/>
      <c r="AY50" s="35"/>
      <c r="BA50" s="30"/>
      <c r="BB50" s="31"/>
      <c r="BC50" s="31"/>
      <c r="BD50" s="32"/>
      <c r="BF50" s="30"/>
      <c r="BG50" s="31"/>
      <c r="BH50" s="31"/>
      <c r="BI50" s="31"/>
      <c r="BJ50" s="31"/>
      <c r="BK50" s="31"/>
      <c r="BL50" s="31"/>
      <c r="BM50" s="31"/>
      <c r="BN50" s="31"/>
      <c r="BO50" s="31"/>
      <c r="BP50" s="31"/>
      <c r="BQ50" s="31"/>
      <c r="BR50" s="31"/>
      <c r="BS50" s="31"/>
      <c r="BT50" s="31"/>
      <c r="BU50" s="31"/>
      <c r="BV50" s="32"/>
      <c r="BY50" s="30"/>
      <c r="BZ50" s="31"/>
      <c r="CA50" s="31"/>
      <c r="CB50" s="31"/>
      <c r="CC50" s="31"/>
      <c r="CD50" s="31"/>
      <c r="CE50" s="31"/>
      <c r="CF50" s="31"/>
      <c r="CG50" s="31"/>
      <c r="CH50" s="31"/>
      <c r="CI50" s="32"/>
      <c r="CK50" s="30"/>
      <c r="CL50" s="31"/>
      <c r="CM50" s="31"/>
      <c r="CN50" s="31"/>
      <c r="CO50" s="31"/>
      <c r="CP50" s="31"/>
      <c r="CQ50" s="31"/>
      <c r="CR50" s="31"/>
      <c r="CS50" s="32"/>
    </row>
    <row r="51" ht="11.25" customHeight="1">
      <c r="A51" s="48">
        <f>A49+1</f>
        <v>23</v>
      </c>
      <c r="C51" s="16" t="s">
        <v>100</v>
      </c>
      <c r="D51" s="17"/>
      <c r="E51" s="17"/>
      <c r="F51" s="17"/>
      <c r="G51" s="18"/>
      <c r="H51" s="19"/>
      <c r="I51" s="210">
        <v>0.6041666666666666</v>
      </c>
      <c r="J51" s="17"/>
      <c r="K51" s="17"/>
      <c r="L51" s="18"/>
      <c r="M51" s="19"/>
      <c r="N51" s="20">
        <f>I51 + TIME(1, 0, 0)</f>
        <v>0.6458333333</v>
      </c>
      <c r="O51" s="17"/>
      <c r="P51" s="17"/>
      <c r="Q51" s="18"/>
      <c r="T51" s="21" t="str">
        <f t="array" ref="T51">xlookup(V51,qualdata!$N$2:$N$17,qualdata!$O$2:$O$17,"")</f>
        <v/>
      </c>
      <c r="U51" s="22"/>
      <c r="V51" s="23" t="str">
        <f t="array" ref="V51">xlookup(A51,qualmatchups!$I:$I,qualmatchups!$B:$B,"")</f>
        <v/>
      </c>
      <c r="W51" s="22"/>
      <c r="X51" s="22"/>
      <c r="Y51" s="22"/>
      <c r="Z51" s="22"/>
      <c r="AA51" s="22"/>
      <c r="AB51" s="22"/>
      <c r="AC51" s="22"/>
      <c r="AD51" s="22"/>
      <c r="AE51" s="22"/>
      <c r="AF51" s="22"/>
      <c r="AG51" s="22"/>
      <c r="AH51" s="24" t="str">
        <f t="array" ref="AH51">xlookup(A51,qualmatchups!$I:$I,qualmatchups!$D:$D,"")</f>
        <v/>
      </c>
      <c r="AI51" s="9"/>
      <c r="AJ51" s="24" t="str">
        <f t="array" ref="AJ51">xlookup(A51,qualmatchups!$I:$I,qualmatchups!$E:$E,"")</f>
        <v/>
      </c>
      <c r="AK51" s="9"/>
      <c r="AL51" s="23" t="str">
        <f t="array" ref="AL51">xlookup(A51,qualmatchups!$I:$I,qualmatchups!$C:$C,"")</f>
        <v/>
      </c>
      <c r="AM51" s="22"/>
      <c r="AN51" s="22"/>
      <c r="AO51" s="22"/>
      <c r="AP51" s="22"/>
      <c r="AQ51" s="22"/>
      <c r="AR51" s="22"/>
      <c r="AS51" s="22"/>
      <c r="AT51" s="22"/>
      <c r="AU51" s="22"/>
      <c r="AV51" s="22"/>
      <c r="AW51" s="22"/>
      <c r="AX51" s="25" t="str">
        <f t="array" ref="AX51">xlookup(AL51,qualdata!$N$2:$N$17,qualdata!$O$2:$O$17,"")</f>
        <v/>
      </c>
      <c r="AY51" s="26"/>
      <c r="BA51" s="27" t="s">
        <v>11</v>
      </c>
      <c r="BB51" s="17"/>
      <c r="BC51" s="17"/>
      <c r="BD51" s="18"/>
      <c r="BF51" s="27" t="s">
        <v>34</v>
      </c>
      <c r="BG51" s="17"/>
      <c r="BH51" s="17"/>
      <c r="BI51" s="17"/>
      <c r="BJ51" s="17"/>
      <c r="BK51" s="17"/>
      <c r="BL51" s="17"/>
      <c r="BM51" s="17"/>
      <c r="BN51" s="17"/>
      <c r="BO51" s="17"/>
      <c r="BP51" s="17"/>
      <c r="BQ51" s="17"/>
      <c r="BR51" s="17"/>
      <c r="BS51" s="17"/>
      <c r="BT51" s="17"/>
      <c r="BU51" s="17"/>
      <c r="BV51" s="18"/>
      <c r="BY51" s="28" t="s">
        <v>100</v>
      </c>
      <c r="BZ51" s="17"/>
      <c r="CA51" s="17"/>
      <c r="CB51" s="17"/>
      <c r="CC51" s="17"/>
      <c r="CD51" s="17"/>
      <c r="CE51" s="17"/>
      <c r="CF51" s="17"/>
      <c r="CG51" s="17"/>
      <c r="CH51" s="17"/>
      <c r="CI51" s="18"/>
      <c r="CK51" s="211" t="s">
        <v>14</v>
      </c>
      <c r="CL51" s="17"/>
      <c r="CM51" s="17"/>
      <c r="CN51" s="17"/>
      <c r="CO51" s="17"/>
      <c r="CP51" s="17"/>
      <c r="CQ51" s="17"/>
      <c r="CR51" s="17"/>
      <c r="CS51" s="18"/>
    </row>
    <row r="52" ht="11.25" customHeight="1">
      <c r="C52" s="30"/>
      <c r="D52" s="31"/>
      <c r="E52" s="31"/>
      <c r="F52" s="31"/>
      <c r="G52" s="32"/>
      <c r="H52" s="19"/>
      <c r="I52" s="30"/>
      <c r="J52" s="31"/>
      <c r="K52" s="31"/>
      <c r="L52" s="32"/>
      <c r="M52" s="19"/>
      <c r="N52" s="30"/>
      <c r="O52" s="31"/>
      <c r="P52" s="31"/>
      <c r="Q52" s="32"/>
      <c r="T52" s="33"/>
      <c r="U52" s="34"/>
      <c r="V52" s="34"/>
      <c r="W52" s="34"/>
      <c r="X52" s="34"/>
      <c r="Y52" s="34"/>
      <c r="Z52" s="34"/>
      <c r="AA52" s="34"/>
      <c r="AB52" s="34"/>
      <c r="AC52" s="34"/>
      <c r="AD52" s="34"/>
      <c r="AE52" s="34"/>
      <c r="AF52" s="34"/>
      <c r="AG52" s="34"/>
      <c r="AH52" s="12"/>
      <c r="AI52" s="14"/>
      <c r="AJ52" s="12"/>
      <c r="AK52" s="14"/>
      <c r="AL52" s="34"/>
      <c r="AM52" s="34"/>
      <c r="AN52" s="34"/>
      <c r="AO52" s="34"/>
      <c r="AP52" s="34"/>
      <c r="AQ52" s="34"/>
      <c r="AR52" s="34"/>
      <c r="AS52" s="34"/>
      <c r="AT52" s="34"/>
      <c r="AU52" s="34"/>
      <c r="AV52" s="34"/>
      <c r="AW52" s="34"/>
      <c r="AX52" s="34"/>
      <c r="AY52" s="35"/>
      <c r="BA52" s="30"/>
      <c r="BB52" s="31"/>
      <c r="BC52" s="31"/>
      <c r="BD52" s="32"/>
      <c r="BF52" s="30"/>
      <c r="BG52" s="31"/>
      <c r="BH52" s="31"/>
      <c r="BI52" s="31"/>
      <c r="BJ52" s="31"/>
      <c r="BK52" s="31"/>
      <c r="BL52" s="31"/>
      <c r="BM52" s="31"/>
      <c r="BN52" s="31"/>
      <c r="BO52" s="31"/>
      <c r="BP52" s="31"/>
      <c r="BQ52" s="31"/>
      <c r="BR52" s="31"/>
      <c r="BS52" s="31"/>
      <c r="BT52" s="31"/>
      <c r="BU52" s="31"/>
      <c r="BV52" s="32"/>
      <c r="BY52" s="30"/>
      <c r="BZ52" s="31"/>
      <c r="CA52" s="31"/>
      <c r="CB52" s="31"/>
      <c r="CC52" s="31"/>
      <c r="CD52" s="31"/>
      <c r="CE52" s="31"/>
      <c r="CF52" s="31"/>
      <c r="CG52" s="31"/>
      <c r="CH52" s="31"/>
      <c r="CI52" s="32"/>
      <c r="CK52" s="30"/>
      <c r="CL52" s="31"/>
      <c r="CM52" s="31"/>
      <c r="CN52" s="31"/>
      <c r="CO52" s="31"/>
      <c r="CP52" s="31"/>
      <c r="CQ52" s="31"/>
      <c r="CR52" s="31"/>
      <c r="CS52" s="32"/>
    </row>
    <row r="53" ht="11.25" customHeight="1">
      <c r="A53" s="48">
        <f>A51+1</f>
        <v>24</v>
      </c>
      <c r="C53" s="16" t="s">
        <v>100</v>
      </c>
      <c r="D53" s="17"/>
      <c r="E53" s="17"/>
      <c r="F53" s="17"/>
      <c r="G53" s="18"/>
      <c r="H53" s="19"/>
      <c r="I53" s="210">
        <v>0.8541666666666666</v>
      </c>
      <c r="J53" s="17"/>
      <c r="K53" s="17"/>
      <c r="L53" s="18"/>
      <c r="M53" s="19"/>
      <c r="N53" s="20">
        <f>I53 + TIME(1, 0, 0)</f>
        <v>0.8958333333</v>
      </c>
      <c r="O53" s="17"/>
      <c r="P53" s="17"/>
      <c r="Q53" s="18"/>
      <c r="T53" s="21" t="str">
        <f t="array" ref="T53">xlookup(V53,qualdata!$N$2:$N$17,qualdata!$O$2:$O$17,"")</f>
        <v/>
      </c>
      <c r="U53" s="22"/>
      <c r="V53" s="23" t="str">
        <f t="array" ref="V53">xlookup(A53,qualmatchups!$I:$I,qualmatchups!$B:$B,"")</f>
        <v/>
      </c>
      <c r="W53" s="22"/>
      <c r="X53" s="22"/>
      <c r="Y53" s="22"/>
      <c r="Z53" s="22"/>
      <c r="AA53" s="22"/>
      <c r="AB53" s="22"/>
      <c r="AC53" s="22"/>
      <c r="AD53" s="22"/>
      <c r="AE53" s="22"/>
      <c r="AF53" s="22"/>
      <c r="AG53" s="22"/>
      <c r="AH53" s="24" t="str">
        <f t="array" ref="AH53">xlookup(A53,qualmatchups!$I:$I,qualmatchups!$D:$D,"")</f>
        <v/>
      </c>
      <c r="AI53" s="9"/>
      <c r="AJ53" s="24" t="str">
        <f t="array" ref="AJ53">xlookup(A53,qualmatchups!$I:$I,qualmatchups!$E:$E,"")</f>
        <v/>
      </c>
      <c r="AK53" s="9"/>
      <c r="AL53" s="23" t="str">
        <f t="array" ref="AL53">xlookup(A53,qualmatchups!$I:$I,qualmatchups!$C:$C,"")</f>
        <v/>
      </c>
      <c r="AM53" s="22"/>
      <c r="AN53" s="22"/>
      <c r="AO53" s="22"/>
      <c r="AP53" s="22"/>
      <c r="AQ53" s="22"/>
      <c r="AR53" s="22"/>
      <c r="AS53" s="22"/>
      <c r="AT53" s="22"/>
      <c r="AU53" s="22"/>
      <c r="AV53" s="22"/>
      <c r="AW53" s="22"/>
      <c r="AX53" s="25" t="str">
        <f t="array" ref="AX53">xlookup(AL53,qualdata!$N$2:$N$17,qualdata!$O$2:$O$17,"")</f>
        <v/>
      </c>
      <c r="AY53" s="26"/>
      <c r="BA53" s="27" t="s">
        <v>11</v>
      </c>
      <c r="BB53" s="17"/>
      <c r="BC53" s="17"/>
      <c r="BD53" s="18"/>
      <c r="BF53" s="27" t="s">
        <v>34</v>
      </c>
      <c r="BG53" s="17"/>
      <c r="BH53" s="17"/>
      <c r="BI53" s="17"/>
      <c r="BJ53" s="17"/>
      <c r="BK53" s="17"/>
      <c r="BL53" s="17"/>
      <c r="BM53" s="17"/>
      <c r="BN53" s="17"/>
      <c r="BO53" s="17"/>
      <c r="BP53" s="17"/>
      <c r="BQ53" s="17"/>
      <c r="BR53" s="17"/>
      <c r="BS53" s="17"/>
      <c r="BT53" s="17"/>
      <c r="BU53" s="17"/>
      <c r="BV53" s="18"/>
      <c r="BY53" s="28" t="s">
        <v>100</v>
      </c>
      <c r="BZ53" s="17"/>
      <c r="CA53" s="17"/>
      <c r="CB53" s="17"/>
      <c r="CC53" s="17"/>
      <c r="CD53" s="17"/>
      <c r="CE53" s="17"/>
      <c r="CF53" s="17"/>
      <c r="CG53" s="17"/>
      <c r="CH53" s="17"/>
      <c r="CI53" s="18"/>
      <c r="CK53" s="211" t="s">
        <v>14</v>
      </c>
      <c r="CL53" s="17"/>
      <c r="CM53" s="17"/>
      <c r="CN53" s="17"/>
      <c r="CO53" s="17"/>
      <c r="CP53" s="17"/>
      <c r="CQ53" s="17"/>
      <c r="CR53" s="17"/>
      <c r="CS53" s="18"/>
    </row>
    <row r="54" ht="11.25" customHeight="1">
      <c r="C54" s="30"/>
      <c r="D54" s="31"/>
      <c r="E54" s="31"/>
      <c r="F54" s="31"/>
      <c r="G54" s="32"/>
      <c r="H54" s="19"/>
      <c r="I54" s="30"/>
      <c r="J54" s="31"/>
      <c r="K54" s="31"/>
      <c r="L54" s="32"/>
      <c r="M54" s="19"/>
      <c r="N54" s="30"/>
      <c r="O54" s="31"/>
      <c r="P54" s="31"/>
      <c r="Q54" s="32"/>
      <c r="T54" s="33"/>
      <c r="U54" s="34"/>
      <c r="V54" s="34"/>
      <c r="W54" s="34"/>
      <c r="X54" s="34"/>
      <c r="Y54" s="34"/>
      <c r="Z54" s="34"/>
      <c r="AA54" s="34"/>
      <c r="AB54" s="34"/>
      <c r="AC54" s="34"/>
      <c r="AD54" s="34"/>
      <c r="AE54" s="34"/>
      <c r="AF54" s="34"/>
      <c r="AG54" s="34"/>
      <c r="AH54" s="12"/>
      <c r="AI54" s="14"/>
      <c r="AJ54" s="12"/>
      <c r="AK54" s="14"/>
      <c r="AL54" s="34"/>
      <c r="AM54" s="34"/>
      <c r="AN54" s="34"/>
      <c r="AO54" s="34"/>
      <c r="AP54" s="34"/>
      <c r="AQ54" s="34"/>
      <c r="AR54" s="34"/>
      <c r="AS54" s="34"/>
      <c r="AT54" s="34"/>
      <c r="AU54" s="34"/>
      <c r="AV54" s="34"/>
      <c r="AW54" s="34"/>
      <c r="AX54" s="34"/>
      <c r="AY54" s="35"/>
      <c r="BA54" s="30"/>
      <c r="BB54" s="31"/>
      <c r="BC54" s="31"/>
      <c r="BD54" s="32"/>
      <c r="BF54" s="30"/>
      <c r="BG54" s="31"/>
      <c r="BH54" s="31"/>
      <c r="BI54" s="31"/>
      <c r="BJ54" s="31"/>
      <c r="BK54" s="31"/>
      <c r="BL54" s="31"/>
      <c r="BM54" s="31"/>
      <c r="BN54" s="31"/>
      <c r="BO54" s="31"/>
      <c r="BP54" s="31"/>
      <c r="BQ54" s="31"/>
      <c r="BR54" s="31"/>
      <c r="BS54" s="31"/>
      <c r="BT54" s="31"/>
      <c r="BU54" s="31"/>
      <c r="BV54" s="32"/>
      <c r="BY54" s="30"/>
      <c r="BZ54" s="31"/>
      <c r="CA54" s="31"/>
      <c r="CB54" s="31"/>
      <c r="CC54" s="31"/>
      <c r="CD54" s="31"/>
      <c r="CE54" s="31"/>
      <c r="CF54" s="31"/>
      <c r="CG54" s="31"/>
      <c r="CH54" s="31"/>
      <c r="CI54" s="32"/>
      <c r="CK54" s="30"/>
      <c r="CL54" s="31"/>
      <c r="CM54" s="31"/>
      <c r="CN54" s="31"/>
      <c r="CO54" s="31"/>
      <c r="CP54" s="31"/>
      <c r="CQ54" s="31"/>
      <c r="CR54" s="31"/>
      <c r="CS54" s="32"/>
    </row>
    <row r="55" ht="11.25" customHeight="1">
      <c r="BY55" s="37"/>
      <c r="BZ55" s="37"/>
      <c r="CA55" s="37"/>
      <c r="CB55" s="37"/>
      <c r="CC55" s="37"/>
      <c r="CD55" s="37"/>
      <c r="CE55" s="37"/>
      <c r="CF55" s="37"/>
      <c r="CG55" s="37"/>
      <c r="CH55" s="37"/>
      <c r="CI55" s="37"/>
    </row>
    <row r="56" ht="11.25" customHeight="1">
      <c r="A56" s="47">
        <v>19.0</v>
      </c>
      <c r="C56" s="16" t="s">
        <v>100</v>
      </c>
      <c r="D56" s="17"/>
      <c r="E56" s="17"/>
      <c r="F56" s="17"/>
      <c r="G56" s="18"/>
      <c r="H56" s="19"/>
      <c r="I56" s="210">
        <v>0.7291666666666666</v>
      </c>
      <c r="J56" s="17"/>
      <c r="K56" s="17"/>
      <c r="L56" s="18"/>
      <c r="M56" s="19"/>
      <c r="N56" s="20">
        <f>I56 + TIME(1, 0, 0)</f>
        <v>0.7708333333</v>
      </c>
      <c r="O56" s="17"/>
      <c r="P56" s="17"/>
      <c r="Q56" s="18"/>
      <c r="T56" s="21" t="str">
        <f t="array" ref="T56">xlookup(V56,qualdata!$N$2:$N$17,qualdata!$O$2:$O$17,"")</f>
        <v/>
      </c>
      <c r="U56" s="22"/>
      <c r="V56" s="23" t="str">
        <f>'Contender Stage'!FT132</f>
        <v/>
      </c>
      <c r="W56" s="22"/>
      <c r="X56" s="22"/>
      <c r="Y56" s="22"/>
      <c r="Z56" s="22"/>
      <c r="AA56" s="22"/>
      <c r="AB56" s="22"/>
      <c r="AC56" s="22"/>
      <c r="AD56" s="22"/>
      <c r="AE56" s="22"/>
      <c r="AF56" s="22"/>
      <c r="AG56" s="22"/>
      <c r="AH56" s="24" t="str">
        <f t="array" ref="AH56">xlookup(A56,qualmatchups!$I:$I,qualmatchups!$D:$D,"")</f>
        <v/>
      </c>
      <c r="AI56" s="9"/>
      <c r="AJ56" s="24" t="str">
        <f t="array" ref="AJ56">xlookup(A56,qualmatchups!$I:$I,qualmatchups!$E:$E,"")</f>
        <v/>
      </c>
      <c r="AK56" s="9"/>
      <c r="AL56" s="41" t="str">
        <f>'Contender Stage'!GX132</f>
        <v/>
      </c>
      <c r="AX56" s="25" t="str">
        <f t="array" ref="AX56">xlookup(AL56,qualdata!$N$2:$N$17,qualdata!$O$2:$O$17,"")</f>
        <v/>
      </c>
      <c r="AY56" s="26"/>
      <c r="BA56" s="27" t="s">
        <v>11</v>
      </c>
      <c r="BB56" s="17"/>
      <c r="BC56" s="17"/>
      <c r="BD56" s="18"/>
      <c r="BF56" s="27" t="s">
        <v>101</v>
      </c>
      <c r="BG56" s="17"/>
      <c r="BH56" s="17"/>
      <c r="BI56" s="17"/>
      <c r="BJ56" s="17"/>
      <c r="BK56" s="17"/>
      <c r="BL56" s="17"/>
      <c r="BM56" s="17"/>
      <c r="BN56" s="17"/>
      <c r="BO56" s="17"/>
      <c r="BP56" s="17"/>
      <c r="BQ56" s="17"/>
      <c r="BR56" s="17"/>
      <c r="BS56" s="17"/>
      <c r="BT56" s="17"/>
      <c r="BU56" s="17"/>
      <c r="BV56" s="18"/>
      <c r="BY56" s="28" t="s">
        <v>100</v>
      </c>
      <c r="BZ56" s="17"/>
      <c r="CA56" s="17"/>
      <c r="CB56" s="17"/>
      <c r="CC56" s="17"/>
      <c r="CD56" s="17"/>
      <c r="CE56" s="17"/>
      <c r="CF56" s="17"/>
      <c r="CG56" s="17"/>
      <c r="CH56" s="17"/>
      <c r="CI56" s="18"/>
      <c r="CK56" s="211" t="s">
        <v>14</v>
      </c>
      <c r="CL56" s="17"/>
      <c r="CM56" s="17"/>
      <c r="CN56" s="17"/>
      <c r="CO56" s="17"/>
      <c r="CP56" s="17"/>
      <c r="CQ56" s="17"/>
      <c r="CR56" s="17"/>
      <c r="CS56" s="18"/>
    </row>
    <row r="57" ht="11.25" customHeight="1">
      <c r="C57" s="30"/>
      <c r="D57" s="31"/>
      <c r="E57" s="31"/>
      <c r="F57" s="31"/>
      <c r="G57" s="32"/>
      <c r="H57" s="19"/>
      <c r="I57" s="30"/>
      <c r="J57" s="31"/>
      <c r="K57" s="31"/>
      <c r="L57" s="32"/>
      <c r="M57" s="19"/>
      <c r="N57" s="30"/>
      <c r="O57" s="31"/>
      <c r="P57" s="31"/>
      <c r="Q57" s="32"/>
      <c r="T57" s="33"/>
      <c r="U57" s="34"/>
      <c r="V57" s="34"/>
      <c r="W57" s="34"/>
      <c r="X57" s="34"/>
      <c r="Y57" s="34"/>
      <c r="Z57" s="34"/>
      <c r="AA57" s="34"/>
      <c r="AB57" s="34"/>
      <c r="AC57" s="34"/>
      <c r="AD57" s="34"/>
      <c r="AE57" s="34"/>
      <c r="AF57" s="34"/>
      <c r="AG57" s="34"/>
      <c r="AH57" s="12"/>
      <c r="AI57" s="14"/>
      <c r="AJ57" s="12"/>
      <c r="AK57" s="14"/>
      <c r="AL57" s="34"/>
      <c r="AM57" s="34"/>
      <c r="AN57" s="34"/>
      <c r="AO57" s="34"/>
      <c r="AP57" s="34"/>
      <c r="AQ57" s="34"/>
      <c r="AR57" s="34"/>
      <c r="AS57" s="34"/>
      <c r="AT57" s="34"/>
      <c r="AU57" s="34"/>
      <c r="AV57" s="34"/>
      <c r="AW57" s="34"/>
      <c r="AX57" s="34"/>
      <c r="AY57" s="35"/>
      <c r="BA57" s="30"/>
      <c r="BB57" s="31"/>
      <c r="BC57" s="31"/>
      <c r="BD57" s="32"/>
      <c r="BF57" s="30"/>
      <c r="BG57" s="31"/>
      <c r="BH57" s="31"/>
      <c r="BI57" s="31"/>
      <c r="BJ57" s="31"/>
      <c r="BK57" s="31"/>
      <c r="BL57" s="31"/>
      <c r="BM57" s="31"/>
      <c r="BN57" s="31"/>
      <c r="BO57" s="31"/>
      <c r="BP57" s="31"/>
      <c r="BQ57" s="31"/>
      <c r="BR57" s="31"/>
      <c r="BS57" s="31"/>
      <c r="BT57" s="31"/>
      <c r="BU57" s="31"/>
      <c r="BV57" s="32"/>
      <c r="BY57" s="30"/>
      <c r="BZ57" s="31"/>
      <c r="CA57" s="31"/>
      <c r="CB57" s="31"/>
      <c r="CC57" s="31"/>
      <c r="CD57" s="31"/>
      <c r="CE57" s="31"/>
      <c r="CF57" s="31"/>
      <c r="CG57" s="31"/>
      <c r="CH57" s="31"/>
      <c r="CI57" s="32"/>
      <c r="CK57" s="30"/>
      <c r="CL57" s="31"/>
      <c r="CM57" s="31"/>
      <c r="CN57" s="31"/>
      <c r="CO57" s="31"/>
      <c r="CP57" s="31"/>
      <c r="CQ57" s="31"/>
      <c r="CR57" s="31"/>
      <c r="CS57" s="32"/>
    </row>
    <row r="58" ht="11.25" customHeight="1">
      <c r="A58" s="48">
        <f>A56+1</f>
        <v>20</v>
      </c>
      <c r="C58" s="16" t="s">
        <v>100</v>
      </c>
      <c r="D58" s="17"/>
      <c r="E58" s="17"/>
      <c r="F58" s="17"/>
      <c r="G58" s="18"/>
      <c r="H58" s="19"/>
      <c r="I58" s="210">
        <v>0.8541666666666666</v>
      </c>
      <c r="J58" s="17"/>
      <c r="K58" s="17"/>
      <c r="L58" s="18"/>
      <c r="M58" s="19"/>
      <c r="N58" s="20">
        <f>I58 + TIME(1, 0, 0)</f>
        <v>0.8958333333</v>
      </c>
      <c r="O58" s="17"/>
      <c r="P58" s="17"/>
      <c r="Q58" s="18"/>
      <c r="T58" s="21" t="str">
        <f t="array" ref="T58">xlookup(V58,qualdata!$N$2:$N$17,qualdata!$O$2:$O$17,"")</f>
        <v/>
      </c>
      <c r="U58" s="22"/>
      <c r="V58" s="23" t="str">
        <f>'Contender Stage'!FT139</f>
        <v/>
      </c>
      <c r="W58" s="22"/>
      <c r="X58" s="22"/>
      <c r="Y58" s="22"/>
      <c r="Z58" s="22"/>
      <c r="AA58" s="22"/>
      <c r="AB58" s="22"/>
      <c r="AC58" s="22"/>
      <c r="AD58" s="22"/>
      <c r="AE58" s="22"/>
      <c r="AF58" s="22"/>
      <c r="AG58" s="22"/>
      <c r="AH58" s="24" t="str">
        <f t="array" ref="AH58">xlookup(A58,qualmatchups!$I:$I,qualmatchups!$D:$D,"")</f>
        <v/>
      </c>
      <c r="AI58" s="9"/>
      <c r="AJ58" s="24" t="str">
        <f t="array" ref="AJ58">xlookup(A58,qualmatchups!$I:$I,qualmatchups!$E:$E,"")</f>
        <v/>
      </c>
      <c r="AK58" s="9"/>
      <c r="AL58" s="23" t="str">
        <f>'Contender Stage'!GX139</f>
        <v/>
      </c>
      <c r="AM58" s="22"/>
      <c r="AN58" s="22"/>
      <c r="AO58" s="22"/>
      <c r="AP58" s="22"/>
      <c r="AQ58" s="22"/>
      <c r="AR58" s="22"/>
      <c r="AS58" s="22"/>
      <c r="AT58" s="22"/>
      <c r="AU58" s="22"/>
      <c r="AV58" s="22"/>
      <c r="AW58" s="22"/>
      <c r="AX58" s="25" t="str">
        <f t="array" ref="AX58">xlookup(AL58,qualdata!$N$2:$N$17,qualdata!$O$2:$O$17,"")</f>
        <v/>
      </c>
      <c r="AY58" s="26"/>
      <c r="BA58" s="27" t="s">
        <v>11</v>
      </c>
      <c r="BB58" s="17"/>
      <c r="BC58" s="17"/>
      <c r="BD58" s="18"/>
      <c r="BF58" s="27" t="s">
        <v>102</v>
      </c>
      <c r="BG58" s="17"/>
      <c r="BH58" s="17"/>
      <c r="BI58" s="17"/>
      <c r="BJ58" s="17"/>
      <c r="BK58" s="17"/>
      <c r="BL58" s="17"/>
      <c r="BM58" s="17"/>
      <c r="BN58" s="17"/>
      <c r="BO58" s="17"/>
      <c r="BP58" s="17"/>
      <c r="BQ58" s="17"/>
      <c r="BR58" s="17"/>
      <c r="BS58" s="17"/>
      <c r="BT58" s="17"/>
      <c r="BU58" s="17"/>
      <c r="BV58" s="18"/>
      <c r="BY58" s="28" t="s">
        <v>100</v>
      </c>
      <c r="BZ58" s="17"/>
      <c r="CA58" s="17"/>
      <c r="CB58" s="17"/>
      <c r="CC58" s="17"/>
      <c r="CD58" s="17"/>
      <c r="CE58" s="17"/>
      <c r="CF58" s="17"/>
      <c r="CG58" s="17"/>
      <c r="CH58" s="17"/>
      <c r="CI58" s="18"/>
      <c r="CK58" s="211" t="s">
        <v>14</v>
      </c>
      <c r="CL58" s="17"/>
      <c r="CM58" s="17"/>
      <c r="CN58" s="17"/>
      <c r="CO58" s="17"/>
      <c r="CP58" s="17"/>
      <c r="CQ58" s="17"/>
      <c r="CR58" s="17"/>
      <c r="CS58" s="18"/>
    </row>
    <row r="59" ht="11.25" customHeight="1">
      <c r="C59" s="30"/>
      <c r="D59" s="31"/>
      <c r="E59" s="31"/>
      <c r="F59" s="31"/>
      <c r="G59" s="32"/>
      <c r="H59" s="19"/>
      <c r="I59" s="30"/>
      <c r="J59" s="31"/>
      <c r="K59" s="31"/>
      <c r="L59" s="32"/>
      <c r="M59" s="19"/>
      <c r="N59" s="30"/>
      <c r="O59" s="31"/>
      <c r="P59" s="31"/>
      <c r="Q59" s="32"/>
      <c r="T59" s="33"/>
      <c r="U59" s="34"/>
      <c r="V59" s="34"/>
      <c r="W59" s="34"/>
      <c r="X59" s="34"/>
      <c r="Y59" s="34"/>
      <c r="Z59" s="34"/>
      <c r="AA59" s="34"/>
      <c r="AB59" s="34"/>
      <c r="AC59" s="34"/>
      <c r="AD59" s="34"/>
      <c r="AE59" s="34"/>
      <c r="AF59" s="34"/>
      <c r="AG59" s="34"/>
      <c r="AH59" s="12"/>
      <c r="AI59" s="14"/>
      <c r="AJ59" s="12"/>
      <c r="AK59" s="14"/>
      <c r="AL59" s="34"/>
      <c r="AM59" s="34"/>
      <c r="AN59" s="34"/>
      <c r="AO59" s="34"/>
      <c r="AP59" s="34"/>
      <c r="AQ59" s="34"/>
      <c r="AR59" s="34"/>
      <c r="AS59" s="34"/>
      <c r="AT59" s="34"/>
      <c r="AU59" s="34"/>
      <c r="AV59" s="34"/>
      <c r="AW59" s="34"/>
      <c r="AX59" s="34"/>
      <c r="AY59" s="35"/>
      <c r="BA59" s="30"/>
      <c r="BB59" s="31"/>
      <c r="BC59" s="31"/>
      <c r="BD59" s="32"/>
      <c r="BF59" s="30"/>
      <c r="BG59" s="31"/>
      <c r="BH59" s="31"/>
      <c r="BI59" s="31"/>
      <c r="BJ59" s="31"/>
      <c r="BK59" s="31"/>
      <c r="BL59" s="31"/>
      <c r="BM59" s="31"/>
      <c r="BN59" s="31"/>
      <c r="BO59" s="31"/>
      <c r="BP59" s="31"/>
      <c r="BQ59" s="31"/>
      <c r="BR59" s="31"/>
      <c r="BS59" s="31"/>
      <c r="BT59" s="31"/>
      <c r="BU59" s="31"/>
      <c r="BV59" s="32"/>
      <c r="BY59" s="30"/>
      <c r="BZ59" s="31"/>
      <c r="CA59" s="31"/>
      <c r="CB59" s="31"/>
      <c r="CC59" s="31"/>
      <c r="CD59" s="31"/>
      <c r="CE59" s="31"/>
      <c r="CF59" s="31"/>
      <c r="CG59" s="31"/>
      <c r="CH59" s="31"/>
      <c r="CI59" s="32"/>
      <c r="CK59" s="30"/>
      <c r="CL59" s="31"/>
      <c r="CM59" s="31"/>
      <c r="CN59" s="31"/>
      <c r="CO59" s="31"/>
      <c r="CP59" s="31"/>
      <c r="CQ59" s="31"/>
      <c r="CR59" s="31"/>
      <c r="CS59" s="32"/>
    </row>
    <row r="60" ht="11.25" customHeight="1">
      <c r="BY60" s="37"/>
      <c r="BZ60" s="37"/>
      <c r="CA60" s="37"/>
      <c r="CB60" s="37"/>
      <c r="CC60" s="37"/>
      <c r="CD60" s="37"/>
      <c r="CE60" s="37"/>
      <c r="CF60" s="37"/>
      <c r="CG60" s="37"/>
      <c r="CH60" s="37"/>
      <c r="CI60" s="37"/>
    </row>
    <row r="61" ht="11.25" customHeight="1">
      <c r="BY61" s="37"/>
      <c r="BZ61" s="37"/>
      <c r="CA61" s="37"/>
      <c r="CB61" s="37"/>
      <c r="CC61" s="37"/>
      <c r="CD61" s="37"/>
      <c r="CE61" s="37"/>
      <c r="CF61" s="37"/>
      <c r="CG61" s="37"/>
      <c r="CH61" s="37"/>
      <c r="CI61" s="37"/>
    </row>
    <row r="62" ht="11.25" customHeight="1">
      <c r="A62" s="47">
        <v>25.0</v>
      </c>
      <c r="C62" s="16" t="s">
        <v>100</v>
      </c>
      <c r="D62" s="17"/>
      <c r="E62" s="17"/>
      <c r="F62" s="17"/>
      <c r="G62" s="18"/>
      <c r="H62" s="19"/>
      <c r="I62" s="210">
        <v>0.6041666666666666</v>
      </c>
      <c r="J62" s="17"/>
      <c r="K62" s="17"/>
      <c r="L62" s="18"/>
      <c r="M62" s="19"/>
      <c r="N62" s="20">
        <f>I62 + TIME(1, 0, 0)</f>
        <v>0.6458333333</v>
      </c>
      <c r="O62" s="17"/>
      <c r="P62" s="17"/>
      <c r="Q62" s="18"/>
      <c r="T62" s="21" t="str">
        <f t="array" ref="T62">xlookup(V62,qualdata!$N$2:$N$17,qualdata!$O$2:$O$17,"")</f>
        <v/>
      </c>
      <c r="U62" s="22"/>
      <c r="V62" s="23" t="str">
        <f>'Contender Stage'!CB175</f>
        <v/>
      </c>
      <c r="W62" s="22"/>
      <c r="X62" s="22"/>
      <c r="Y62" s="22"/>
      <c r="Z62" s="22"/>
      <c r="AA62" s="22"/>
      <c r="AB62" s="22"/>
      <c r="AC62" s="22"/>
      <c r="AD62" s="22"/>
      <c r="AE62" s="22"/>
      <c r="AF62" s="22"/>
      <c r="AG62" s="22"/>
      <c r="AH62" s="24" t="str">
        <f t="array" ref="AH62">xlookup(A62,qualmatchups!$I:$I,qualmatchups!$D:$D,"")</f>
        <v/>
      </c>
      <c r="AI62" s="9"/>
      <c r="AJ62" s="24" t="str">
        <f t="array" ref="AJ62">xlookup(A62,qualmatchups!$I:$I,qualmatchups!$E:$E,"")</f>
        <v/>
      </c>
      <c r="AK62" s="9"/>
      <c r="AL62" s="41" t="str">
        <f>'Contender Stage'!DF175</f>
        <v/>
      </c>
      <c r="AX62" s="25" t="str">
        <f t="array" ref="AX62">xlookup(AL62,qualdata!$N$2:$N$17,qualdata!$O$2:$O$17,"")</f>
        <v/>
      </c>
      <c r="AY62" s="26"/>
      <c r="BA62" s="27" t="s">
        <v>11</v>
      </c>
      <c r="BB62" s="17"/>
      <c r="BC62" s="17"/>
      <c r="BD62" s="18"/>
      <c r="BF62" s="27" t="s">
        <v>37</v>
      </c>
      <c r="BG62" s="17"/>
      <c r="BH62" s="17"/>
      <c r="BI62" s="17"/>
      <c r="BJ62" s="17"/>
      <c r="BK62" s="17"/>
      <c r="BL62" s="17"/>
      <c r="BM62" s="17"/>
      <c r="BN62" s="17"/>
      <c r="BO62" s="17"/>
      <c r="BP62" s="17"/>
      <c r="BQ62" s="17"/>
      <c r="BR62" s="17"/>
      <c r="BS62" s="17"/>
      <c r="BT62" s="17"/>
      <c r="BU62" s="17"/>
      <c r="BV62" s="18"/>
      <c r="BY62" s="28" t="s">
        <v>100</v>
      </c>
      <c r="BZ62" s="17"/>
      <c r="CA62" s="17"/>
      <c r="CB62" s="17"/>
      <c r="CC62" s="17"/>
      <c r="CD62" s="17"/>
      <c r="CE62" s="17"/>
      <c r="CF62" s="17"/>
      <c r="CG62" s="17"/>
      <c r="CH62" s="17"/>
      <c r="CI62" s="18"/>
      <c r="CK62" s="211" t="s">
        <v>14</v>
      </c>
      <c r="CL62" s="17"/>
      <c r="CM62" s="17"/>
      <c r="CN62" s="17"/>
      <c r="CO62" s="17"/>
      <c r="CP62" s="17"/>
      <c r="CQ62" s="17"/>
      <c r="CR62" s="17"/>
      <c r="CS62" s="18"/>
    </row>
    <row r="63" ht="11.25" customHeight="1">
      <c r="C63" s="30"/>
      <c r="D63" s="31"/>
      <c r="E63" s="31"/>
      <c r="F63" s="31"/>
      <c r="G63" s="32"/>
      <c r="H63" s="19"/>
      <c r="I63" s="30"/>
      <c r="J63" s="31"/>
      <c r="K63" s="31"/>
      <c r="L63" s="32"/>
      <c r="M63" s="19"/>
      <c r="N63" s="30"/>
      <c r="O63" s="31"/>
      <c r="P63" s="31"/>
      <c r="Q63" s="32"/>
      <c r="T63" s="33"/>
      <c r="U63" s="34"/>
      <c r="V63" s="34"/>
      <c r="W63" s="34"/>
      <c r="X63" s="34"/>
      <c r="Y63" s="34"/>
      <c r="Z63" s="34"/>
      <c r="AA63" s="34"/>
      <c r="AB63" s="34"/>
      <c r="AC63" s="34"/>
      <c r="AD63" s="34"/>
      <c r="AE63" s="34"/>
      <c r="AF63" s="34"/>
      <c r="AG63" s="34"/>
      <c r="AH63" s="12"/>
      <c r="AI63" s="14"/>
      <c r="AJ63" s="12"/>
      <c r="AK63" s="14"/>
      <c r="AL63" s="34"/>
      <c r="AM63" s="34"/>
      <c r="AN63" s="34"/>
      <c r="AO63" s="34"/>
      <c r="AP63" s="34"/>
      <c r="AQ63" s="34"/>
      <c r="AR63" s="34"/>
      <c r="AS63" s="34"/>
      <c r="AT63" s="34"/>
      <c r="AU63" s="34"/>
      <c r="AV63" s="34"/>
      <c r="AW63" s="34"/>
      <c r="AX63" s="34"/>
      <c r="AY63" s="35"/>
      <c r="BA63" s="30"/>
      <c r="BB63" s="31"/>
      <c r="BC63" s="31"/>
      <c r="BD63" s="32"/>
      <c r="BF63" s="30"/>
      <c r="BG63" s="31"/>
      <c r="BH63" s="31"/>
      <c r="BI63" s="31"/>
      <c r="BJ63" s="31"/>
      <c r="BK63" s="31"/>
      <c r="BL63" s="31"/>
      <c r="BM63" s="31"/>
      <c r="BN63" s="31"/>
      <c r="BO63" s="31"/>
      <c r="BP63" s="31"/>
      <c r="BQ63" s="31"/>
      <c r="BR63" s="31"/>
      <c r="BS63" s="31"/>
      <c r="BT63" s="31"/>
      <c r="BU63" s="31"/>
      <c r="BV63" s="32"/>
      <c r="BY63" s="30"/>
      <c r="BZ63" s="31"/>
      <c r="CA63" s="31"/>
      <c r="CB63" s="31"/>
      <c r="CC63" s="31"/>
      <c r="CD63" s="31"/>
      <c r="CE63" s="31"/>
      <c r="CF63" s="31"/>
      <c r="CG63" s="31"/>
      <c r="CH63" s="31"/>
      <c r="CI63" s="32"/>
      <c r="CK63" s="30"/>
      <c r="CL63" s="31"/>
      <c r="CM63" s="31"/>
      <c r="CN63" s="31"/>
      <c r="CO63" s="31"/>
      <c r="CP63" s="31"/>
      <c r="CQ63" s="31"/>
      <c r="CR63" s="31"/>
      <c r="CS63" s="32"/>
    </row>
    <row r="64" ht="11.25" customHeight="1">
      <c r="A64" s="48">
        <f>A62+1</f>
        <v>26</v>
      </c>
      <c r="C64" s="16" t="s">
        <v>100</v>
      </c>
      <c r="D64" s="17"/>
      <c r="E64" s="17"/>
      <c r="F64" s="17"/>
      <c r="G64" s="18"/>
      <c r="H64" s="19"/>
      <c r="I64" s="210">
        <v>0.5625</v>
      </c>
      <c r="J64" s="17"/>
      <c r="K64" s="17"/>
      <c r="L64" s="18"/>
      <c r="M64" s="19"/>
      <c r="N64" s="20">
        <f>I64 + TIME(1, 0, 0)</f>
        <v>0.6041666667</v>
      </c>
      <c r="O64" s="17"/>
      <c r="P64" s="17"/>
      <c r="Q64" s="18"/>
      <c r="T64" s="21" t="str">
        <f t="array" ref="T64">xlookup(V64,qualdata!$N$2:$N$17,qualdata!$O$2:$O$17,"")</f>
        <v/>
      </c>
      <c r="U64" s="22"/>
      <c r="V64" s="23" t="str">
        <f>'Contender Stage'!CB182</f>
        <v/>
      </c>
      <c r="W64" s="22"/>
      <c r="X64" s="22"/>
      <c r="Y64" s="22"/>
      <c r="Z64" s="22"/>
      <c r="AA64" s="22"/>
      <c r="AB64" s="22"/>
      <c r="AC64" s="22"/>
      <c r="AD64" s="22"/>
      <c r="AE64" s="22"/>
      <c r="AF64" s="22"/>
      <c r="AG64" s="22"/>
      <c r="AH64" s="24" t="str">
        <f t="array" ref="AH64">xlookup(A64,qualmatchups!$I:$I,qualmatchups!$D:$D,"")</f>
        <v/>
      </c>
      <c r="AI64" s="9"/>
      <c r="AJ64" s="24" t="str">
        <f t="array" ref="AJ64">xlookup(A64,qualmatchups!$I:$I,qualmatchups!$E:$E,"")</f>
        <v/>
      </c>
      <c r="AK64" s="9"/>
      <c r="AL64" s="23" t="str">
        <f>'Contender Stage'!DF182</f>
        <v/>
      </c>
      <c r="AM64" s="22"/>
      <c r="AN64" s="22"/>
      <c r="AO64" s="22"/>
      <c r="AP64" s="22"/>
      <c r="AQ64" s="22"/>
      <c r="AR64" s="22"/>
      <c r="AS64" s="22"/>
      <c r="AT64" s="22"/>
      <c r="AU64" s="22"/>
      <c r="AV64" s="22"/>
      <c r="AW64" s="22"/>
      <c r="AX64" s="25" t="str">
        <f t="array" ref="AX64">xlookup(AL64,qualdata!$N$2:$N$17,qualdata!$O$2:$O$17,"")</f>
        <v/>
      </c>
      <c r="AY64" s="26"/>
      <c r="BA64" s="27" t="s">
        <v>11</v>
      </c>
      <c r="BB64" s="17"/>
      <c r="BC64" s="17"/>
      <c r="BD64" s="18"/>
      <c r="BF64" s="27" t="s">
        <v>37</v>
      </c>
      <c r="BG64" s="17"/>
      <c r="BH64" s="17"/>
      <c r="BI64" s="17"/>
      <c r="BJ64" s="17"/>
      <c r="BK64" s="17"/>
      <c r="BL64" s="17"/>
      <c r="BM64" s="17"/>
      <c r="BN64" s="17"/>
      <c r="BO64" s="17"/>
      <c r="BP64" s="17"/>
      <c r="BQ64" s="17"/>
      <c r="BR64" s="17"/>
      <c r="BS64" s="17"/>
      <c r="BT64" s="17"/>
      <c r="BU64" s="17"/>
      <c r="BV64" s="18"/>
      <c r="BY64" s="28" t="s">
        <v>100</v>
      </c>
      <c r="BZ64" s="17"/>
      <c r="CA64" s="17"/>
      <c r="CB64" s="17"/>
      <c r="CC64" s="17"/>
      <c r="CD64" s="17"/>
      <c r="CE64" s="17"/>
      <c r="CF64" s="17"/>
      <c r="CG64" s="17"/>
      <c r="CH64" s="17"/>
      <c r="CI64" s="18"/>
      <c r="CK64" s="211" t="s">
        <v>14</v>
      </c>
      <c r="CL64" s="17"/>
      <c r="CM64" s="17"/>
      <c r="CN64" s="17"/>
      <c r="CO64" s="17"/>
      <c r="CP64" s="17"/>
      <c r="CQ64" s="17"/>
      <c r="CR64" s="17"/>
      <c r="CS64" s="18"/>
    </row>
    <row r="65" ht="11.25" customHeight="1">
      <c r="C65" s="30"/>
      <c r="D65" s="31"/>
      <c r="E65" s="31"/>
      <c r="F65" s="31"/>
      <c r="G65" s="32"/>
      <c r="H65" s="19"/>
      <c r="I65" s="30"/>
      <c r="J65" s="31"/>
      <c r="K65" s="31"/>
      <c r="L65" s="32"/>
      <c r="M65" s="19"/>
      <c r="N65" s="30"/>
      <c r="O65" s="31"/>
      <c r="P65" s="31"/>
      <c r="Q65" s="32"/>
      <c r="T65" s="33"/>
      <c r="U65" s="34"/>
      <c r="V65" s="34"/>
      <c r="W65" s="34"/>
      <c r="X65" s="34"/>
      <c r="Y65" s="34"/>
      <c r="Z65" s="34"/>
      <c r="AA65" s="34"/>
      <c r="AB65" s="34"/>
      <c r="AC65" s="34"/>
      <c r="AD65" s="34"/>
      <c r="AE65" s="34"/>
      <c r="AF65" s="34"/>
      <c r="AG65" s="34"/>
      <c r="AH65" s="12"/>
      <c r="AI65" s="14"/>
      <c r="AJ65" s="12"/>
      <c r="AK65" s="14"/>
      <c r="AL65" s="34"/>
      <c r="AM65" s="34"/>
      <c r="AN65" s="34"/>
      <c r="AO65" s="34"/>
      <c r="AP65" s="34"/>
      <c r="AQ65" s="34"/>
      <c r="AR65" s="34"/>
      <c r="AS65" s="34"/>
      <c r="AT65" s="34"/>
      <c r="AU65" s="34"/>
      <c r="AV65" s="34"/>
      <c r="AW65" s="34"/>
      <c r="AX65" s="34"/>
      <c r="AY65" s="35"/>
      <c r="BA65" s="30"/>
      <c r="BB65" s="31"/>
      <c r="BC65" s="31"/>
      <c r="BD65" s="32"/>
      <c r="BF65" s="30"/>
      <c r="BG65" s="31"/>
      <c r="BH65" s="31"/>
      <c r="BI65" s="31"/>
      <c r="BJ65" s="31"/>
      <c r="BK65" s="31"/>
      <c r="BL65" s="31"/>
      <c r="BM65" s="31"/>
      <c r="BN65" s="31"/>
      <c r="BO65" s="31"/>
      <c r="BP65" s="31"/>
      <c r="BQ65" s="31"/>
      <c r="BR65" s="31"/>
      <c r="BS65" s="31"/>
      <c r="BT65" s="31"/>
      <c r="BU65" s="31"/>
      <c r="BV65" s="32"/>
      <c r="BY65" s="30"/>
      <c r="BZ65" s="31"/>
      <c r="CA65" s="31"/>
      <c r="CB65" s="31"/>
      <c r="CC65" s="31"/>
      <c r="CD65" s="31"/>
      <c r="CE65" s="31"/>
      <c r="CF65" s="31"/>
      <c r="CG65" s="31"/>
      <c r="CH65" s="31"/>
      <c r="CI65" s="32"/>
      <c r="CK65" s="30"/>
      <c r="CL65" s="31"/>
      <c r="CM65" s="31"/>
      <c r="CN65" s="31"/>
      <c r="CO65" s="31"/>
      <c r="CP65" s="31"/>
      <c r="CQ65" s="31"/>
      <c r="CR65" s="31"/>
      <c r="CS65" s="32"/>
    </row>
    <row r="66" ht="11.25" customHeight="1">
      <c r="A66" s="48">
        <f>A64+1</f>
        <v>27</v>
      </c>
      <c r="C66" s="16" t="s">
        <v>100</v>
      </c>
      <c r="D66" s="17"/>
      <c r="E66" s="17"/>
      <c r="F66" s="17"/>
      <c r="G66" s="18"/>
      <c r="H66" s="19"/>
      <c r="I66" s="210">
        <v>0.7291666666666666</v>
      </c>
      <c r="J66" s="17"/>
      <c r="K66" s="17"/>
      <c r="L66" s="18"/>
      <c r="M66" s="19"/>
      <c r="N66" s="20">
        <f>I66 + TIME(1, 0, 0)</f>
        <v>0.7708333333</v>
      </c>
      <c r="O66" s="17"/>
      <c r="P66" s="17"/>
      <c r="Q66" s="18"/>
      <c r="T66" s="21" t="str">
        <f t="array" ref="T66">xlookup(V66,qualdata!$N$2:$N$17,qualdata!$O$2:$O$17,"")</f>
        <v/>
      </c>
      <c r="U66" s="22"/>
      <c r="V66" s="23" t="str">
        <f>'Contender Stage'!CB189</f>
        <v/>
      </c>
      <c r="W66" s="22"/>
      <c r="X66" s="22"/>
      <c r="Y66" s="22"/>
      <c r="Z66" s="22"/>
      <c r="AA66" s="22"/>
      <c r="AB66" s="22"/>
      <c r="AC66" s="22"/>
      <c r="AD66" s="22"/>
      <c r="AE66" s="22"/>
      <c r="AF66" s="22"/>
      <c r="AG66" s="22"/>
      <c r="AH66" s="24" t="str">
        <f t="array" ref="AH66">xlookup(A66,qualmatchups!$I:$I,qualmatchups!$D:$D,"")</f>
        <v/>
      </c>
      <c r="AI66" s="9"/>
      <c r="AJ66" s="24" t="str">
        <f t="array" ref="AJ66">xlookup(A66,qualmatchups!$I:$I,qualmatchups!$E:$E,"")</f>
        <v/>
      </c>
      <c r="AK66" s="9"/>
      <c r="AL66" s="23" t="str">
        <f>'Contender Stage'!DF189</f>
        <v/>
      </c>
      <c r="AM66" s="22"/>
      <c r="AN66" s="22"/>
      <c r="AO66" s="22"/>
      <c r="AP66" s="22"/>
      <c r="AQ66" s="22"/>
      <c r="AR66" s="22"/>
      <c r="AS66" s="22"/>
      <c r="AT66" s="22"/>
      <c r="AU66" s="22"/>
      <c r="AV66" s="22"/>
      <c r="AW66" s="22"/>
      <c r="AX66" s="25" t="str">
        <f t="array" ref="AX66">xlookup(AL66,qualdata!$N$2:$N$17,qualdata!$O$2:$O$17,"")</f>
        <v/>
      </c>
      <c r="AY66" s="26"/>
      <c r="BA66" s="27" t="s">
        <v>11</v>
      </c>
      <c r="BB66" s="17"/>
      <c r="BC66" s="17"/>
      <c r="BD66" s="18"/>
      <c r="BF66" s="27" t="s">
        <v>37</v>
      </c>
      <c r="BG66" s="17"/>
      <c r="BH66" s="17"/>
      <c r="BI66" s="17"/>
      <c r="BJ66" s="17"/>
      <c r="BK66" s="17"/>
      <c r="BL66" s="17"/>
      <c r="BM66" s="17"/>
      <c r="BN66" s="17"/>
      <c r="BO66" s="17"/>
      <c r="BP66" s="17"/>
      <c r="BQ66" s="17"/>
      <c r="BR66" s="17"/>
      <c r="BS66" s="17"/>
      <c r="BT66" s="17"/>
      <c r="BU66" s="17"/>
      <c r="BV66" s="18"/>
      <c r="BY66" s="28" t="s">
        <v>100</v>
      </c>
      <c r="BZ66" s="17"/>
      <c r="CA66" s="17"/>
      <c r="CB66" s="17"/>
      <c r="CC66" s="17"/>
      <c r="CD66" s="17"/>
      <c r="CE66" s="17"/>
      <c r="CF66" s="17"/>
      <c r="CG66" s="17"/>
      <c r="CH66" s="17"/>
      <c r="CI66" s="18"/>
      <c r="CK66" s="211" t="s">
        <v>14</v>
      </c>
      <c r="CL66" s="17"/>
      <c r="CM66" s="17"/>
      <c r="CN66" s="17"/>
      <c r="CO66" s="17"/>
      <c r="CP66" s="17"/>
      <c r="CQ66" s="17"/>
      <c r="CR66" s="17"/>
      <c r="CS66" s="18"/>
    </row>
    <row r="67" ht="11.25" customHeight="1">
      <c r="C67" s="30"/>
      <c r="D67" s="31"/>
      <c r="E67" s="31"/>
      <c r="F67" s="31"/>
      <c r="G67" s="32"/>
      <c r="H67" s="19"/>
      <c r="I67" s="30"/>
      <c r="J67" s="31"/>
      <c r="K67" s="31"/>
      <c r="L67" s="32"/>
      <c r="M67" s="19"/>
      <c r="N67" s="30"/>
      <c r="O67" s="31"/>
      <c r="P67" s="31"/>
      <c r="Q67" s="32"/>
      <c r="T67" s="33"/>
      <c r="U67" s="34"/>
      <c r="V67" s="34"/>
      <c r="W67" s="34"/>
      <c r="X67" s="34"/>
      <c r="Y67" s="34"/>
      <c r="Z67" s="34"/>
      <c r="AA67" s="34"/>
      <c r="AB67" s="34"/>
      <c r="AC67" s="34"/>
      <c r="AD67" s="34"/>
      <c r="AE67" s="34"/>
      <c r="AF67" s="34"/>
      <c r="AG67" s="34"/>
      <c r="AH67" s="12"/>
      <c r="AI67" s="14"/>
      <c r="AJ67" s="12"/>
      <c r="AK67" s="14"/>
      <c r="AL67" s="34"/>
      <c r="AM67" s="34"/>
      <c r="AN67" s="34"/>
      <c r="AO67" s="34"/>
      <c r="AP67" s="34"/>
      <c r="AQ67" s="34"/>
      <c r="AR67" s="34"/>
      <c r="AS67" s="34"/>
      <c r="AT67" s="34"/>
      <c r="AU67" s="34"/>
      <c r="AV67" s="34"/>
      <c r="AW67" s="34"/>
      <c r="AX67" s="34"/>
      <c r="AY67" s="35"/>
      <c r="BA67" s="30"/>
      <c r="BB67" s="31"/>
      <c r="BC67" s="31"/>
      <c r="BD67" s="32"/>
      <c r="BF67" s="30"/>
      <c r="BG67" s="31"/>
      <c r="BH67" s="31"/>
      <c r="BI67" s="31"/>
      <c r="BJ67" s="31"/>
      <c r="BK67" s="31"/>
      <c r="BL67" s="31"/>
      <c r="BM67" s="31"/>
      <c r="BN67" s="31"/>
      <c r="BO67" s="31"/>
      <c r="BP67" s="31"/>
      <c r="BQ67" s="31"/>
      <c r="BR67" s="31"/>
      <c r="BS67" s="31"/>
      <c r="BT67" s="31"/>
      <c r="BU67" s="31"/>
      <c r="BV67" s="32"/>
      <c r="BY67" s="30"/>
      <c r="BZ67" s="31"/>
      <c r="CA67" s="31"/>
      <c r="CB67" s="31"/>
      <c r="CC67" s="31"/>
      <c r="CD67" s="31"/>
      <c r="CE67" s="31"/>
      <c r="CF67" s="31"/>
      <c r="CG67" s="31"/>
      <c r="CH67" s="31"/>
      <c r="CI67" s="32"/>
      <c r="CK67" s="30"/>
      <c r="CL67" s="31"/>
      <c r="CM67" s="31"/>
      <c r="CN67" s="31"/>
      <c r="CO67" s="31"/>
      <c r="CP67" s="31"/>
      <c r="CQ67" s="31"/>
      <c r="CR67" s="31"/>
      <c r="CS67" s="32"/>
    </row>
    <row r="68" ht="11.25" customHeight="1">
      <c r="BY68" s="37"/>
      <c r="BZ68" s="37"/>
      <c r="CA68" s="37"/>
      <c r="CB68" s="37"/>
      <c r="CC68" s="37"/>
      <c r="CD68" s="37"/>
      <c r="CE68" s="37"/>
      <c r="CF68" s="37"/>
      <c r="CG68" s="37"/>
      <c r="CH68" s="37"/>
      <c r="CI68" s="37"/>
    </row>
    <row r="69" ht="11.25" customHeight="1">
      <c r="A69" s="47">
        <v>28.0</v>
      </c>
      <c r="C69" s="16" t="s">
        <v>100</v>
      </c>
      <c r="D69" s="17"/>
      <c r="E69" s="17"/>
      <c r="F69" s="17"/>
      <c r="G69" s="18"/>
      <c r="H69" s="19"/>
      <c r="I69" s="210">
        <v>0.4791666666666667</v>
      </c>
      <c r="J69" s="17"/>
      <c r="K69" s="17"/>
      <c r="L69" s="18"/>
      <c r="M69" s="19"/>
      <c r="N69" s="20">
        <f>I69 + TIME(1, 0, 0)</f>
        <v>0.5208333333</v>
      </c>
      <c r="O69" s="17"/>
      <c r="P69" s="17"/>
      <c r="Q69" s="18"/>
      <c r="T69" s="21" t="str">
        <f t="array" ref="T69">xlookup(V69,qualdata!$N$2:$N$17,qualdata!$O$2:$O$17,"")</f>
        <v/>
      </c>
      <c r="U69" s="22"/>
      <c r="V69" s="23" t="str">
        <f>'Contender Stage'!EN175</f>
        <v/>
      </c>
      <c r="W69" s="22"/>
      <c r="X69" s="22"/>
      <c r="Y69" s="22"/>
      <c r="Z69" s="22"/>
      <c r="AA69" s="22"/>
      <c r="AB69" s="22"/>
      <c r="AC69" s="22"/>
      <c r="AD69" s="22"/>
      <c r="AE69" s="22"/>
      <c r="AF69" s="22"/>
      <c r="AG69" s="22"/>
      <c r="AH69" s="24" t="str">
        <f t="array" ref="AH69">xlookup(A69,qualmatchups!$I:$I,qualmatchups!$D:$D,"")</f>
        <v/>
      </c>
      <c r="AI69" s="9"/>
      <c r="AJ69" s="24" t="str">
        <f t="array" ref="AJ69">xlookup(A69,qualmatchups!$I:$I,qualmatchups!$E:$E,"")</f>
        <v/>
      </c>
      <c r="AK69" s="9"/>
      <c r="AL69" s="41" t="str">
        <f>'Contender Stage'!FR175</f>
        <v/>
      </c>
      <c r="AX69" s="25" t="str">
        <f t="array" ref="AX69">xlookup(AL69,qualdata!$N$2:$N$17,qualdata!$O$2:$O$17,"")</f>
        <v/>
      </c>
      <c r="AY69" s="26"/>
      <c r="BA69" s="27" t="s">
        <v>11</v>
      </c>
      <c r="BB69" s="17"/>
      <c r="BC69" s="17"/>
      <c r="BD69" s="18"/>
      <c r="BF69" s="27" t="s">
        <v>103</v>
      </c>
      <c r="BG69" s="17"/>
      <c r="BH69" s="17"/>
      <c r="BI69" s="17"/>
      <c r="BJ69" s="17"/>
      <c r="BK69" s="17"/>
      <c r="BL69" s="17"/>
      <c r="BM69" s="17"/>
      <c r="BN69" s="17"/>
      <c r="BO69" s="17"/>
      <c r="BP69" s="17"/>
      <c r="BQ69" s="17"/>
      <c r="BR69" s="17"/>
      <c r="BS69" s="17"/>
      <c r="BT69" s="17"/>
      <c r="BU69" s="17"/>
      <c r="BV69" s="18"/>
      <c r="BY69" s="28" t="s">
        <v>100</v>
      </c>
      <c r="BZ69" s="17"/>
      <c r="CA69" s="17"/>
      <c r="CB69" s="17"/>
      <c r="CC69" s="17"/>
      <c r="CD69" s="17"/>
      <c r="CE69" s="17"/>
      <c r="CF69" s="17"/>
      <c r="CG69" s="17"/>
      <c r="CH69" s="17"/>
      <c r="CI69" s="18"/>
      <c r="CK69" s="211" t="s">
        <v>14</v>
      </c>
      <c r="CL69" s="17"/>
      <c r="CM69" s="17"/>
      <c r="CN69" s="17"/>
      <c r="CO69" s="17"/>
      <c r="CP69" s="17"/>
      <c r="CQ69" s="17"/>
      <c r="CR69" s="17"/>
      <c r="CS69" s="18"/>
    </row>
    <row r="70" ht="11.25" customHeight="1">
      <c r="C70" s="30"/>
      <c r="D70" s="31"/>
      <c r="E70" s="31"/>
      <c r="F70" s="31"/>
      <c r="G70" s="32"/>
      <c r="H70" s="19"/>
      <c r="I70" s="30"/>
      <c r="J70" s="31"/>
      <c r="K70" s="31"/>
      <c r="L70" s="32"/>
      <c r="M70" s="19"/>
      <c r="N70" s="30"/>
      <c r="O70" s="31"/>
      <c r="P70" s="31"/>
      <c r="Q70" s="32"/>
      <c r="T70" s="33"/>
      <c r="U70" s="34"/>
      <c r="V70" s="34"/>
      <c r="W70" s="34"/>
      <c r="X70" s="34"/>
      <c r="Y70" s="34"/>
      <c r="Z70" s="34"/>
      <c r="AA70" s="34"/>
      <c r="AB70" s="34"/>
      <c r="AC70" s="34"/>
      <c r="AD70" s="34"/>
      <c r="AE70" s="34"/>
      <c r="AF70" s="34"/>
      <c r="AG70" s="34"/>
      <c r="AH70" s="12"/>
      <c r="AI70" s="14"/>
      <c r="AJ70" s="12"/>
      <c r="AK70" s="14"/>
      <c r="AL70" s="34"/>
      <c r="AM70" s="34"/>
      <c r="AN70" s="34"/>
      <c r="AO70" s="34"/>
      <c r="AP70" s="34"/>
      <c r="AQ70" s="34"/>
      <c r="AR70" s="34"/>
      <c r="AS70" s="34"/>
      <c r="AT70" s="34"/>
      <c r="AU70" s="34"/>
      <c r="AV70" s="34"/>
      <c r="AW70" s="34"/>
      <c r="AX70" s="34"/>
      <c r="AY70" s="35"/>
      <c r="BA70" s="30"/>
      <c r="BB70" s="31"/>
      <c r="BC70" s="31"/>
      <c r="BD70" s="32"/>
      <c r="BF70" s="30"/>
      <c r="BG70" s="31"/>
      <c r="BH70" s="31"/>
      <c r="BI70" s="31"/>
      <c r="BJ70" s="31"/>
      <c r="BK70" s="31"/>
      <c r="BL70" s="31"/>
      <c r="BM70" s="31"/>
      <c r="BN70" s="31"/>
      <c r="BO70" s="31"/>
      <c r="BP70" s="31"/>
      <c r="BQ70" s="31"/>
      <c r="BR70" s="31"/>
      <c r="BS70" s="31"/>
      <c r="BT70" s="31"/>
      <c r="BU70" s="31"/>
      <c r="BV70" s="32"/>
      <c r="BY70" s="30"/>
      <c r="BZ70" s="31"/>
      <c r="CA70" s="31"/>
      <c r="CB70" s="31"/>
      <c r="CC70" s="31"/>
      <c r="CD70" s="31"/>
      <c r="CE70" s="31"/>
      <c r="CF70" s="31"/>
      <c r="CG70" s="31"/>
      <c r="CH70" s="31"/>
      <c r="CI70" s="32"/>
      <c r="CK70" s="30"/>
      <c r="CL70" s="31"/>
      <c r="CM70" s="31"/>
      <c r="CN70" s="31"/>
      <c r="CO70" s="31"/>
      <c r="CP70" s="31"/>
      <c r="CQ70" s="31"/>
      <c r="CR70" s="31"/>
      <c r="CS70" s="32"/>
    </row>
    <row r="71" ht="11.25" customHeight="1">
      <c r="A71" s="48">
        <f>A69+1</f>
        <v>29</v>
      </c>
      <c r="C71" s="16" t="s">
        <v>100</v>
      </c>
      <c r="D71" s="17"/>
      <c r="E71" s="17"/>
      <c r="F71" s="17"/>
      <c r="G71" s="18"/>
      <c r="H71" s="19"/>
      <c r="I71" s="210">
        <v>0.8125</v>
      </c>
      <c r="J71" s="17"/>
      <c r="K71" s="17"/>
      <c r="L71" s="18"/>
      <c r="M71" s="19"/>
      <c r="N71" s="20">
        <f>I71 + TIME(1, 0, 0)</f>
        <v>0.8541666667</v>
      </c>
      <c r="O71" s="17"/>
      <c r="P71" s="17"/>
      <c r="Q71" s="18"/>
      <c r="T71" s="21" t="str">
        <f t="array" ref="T71">xlookup(V71,qualdata!$N$2:$N$17,qualdata!$O$2:$O$17,"")</f>
        <v/>
      </c>
      <c r="U71" s="22"/>
      <c r="V71" s="23" t="str">
        <f>'Contender Stage'!EN182</f>
        <v/>
      </c>
      <c r="W71" s="22"/>
      <c r="X71" s="22"/>
      <c r="Y71" s="22"/>
      <c r="Z71" s="22"/>
      <c r="AA71" s="22"/>
      <c r="AB71" s="22"/>
      <c r="AC71" s="22"/>
      <c r="AD71" s="22"/>
      <c r="AE71" s="22"/>
      <c r="AF71" s="22"/>
      <c r="AG71" s="22"/>
      <c r="AH71" s="24" t="str">
        <f t="array" ref="AH71">xlookup(A71,qualmatchups!$I:$I,qualmatchups!$D:$D,"")</f>
        <v/>
      </c>
      <c r="AI71" s="9"/>
      <c r="AJ71" s="24" t="str">
        <f t="array" ref="AJ71">xlookup(A71,qualmatchups!$I:$I,qualmatchups!$E:$E,"")</f>
        <v/>
      </c>
      <c r="AK71" s="9"/>
      <c r="AL71" s="23" t="str">
        <f>'Contender Stage'!FR182</f>
        <v/>
      </c>
      <c r="AM71" s="22"/>
      <c r="AN71" s="22"/>
      <c r="AO71" s="22"/>
      <c r="AP71" s="22"/>
      <c r="AQ71" s="22"/>
      <c r="AR71" s="22"/>
      <c r="AS71" s="22"/>
      <c r="AT71" s="22"/>
      <c r="AU71" s="22"/>
      <c r="AV71" s="22"/>
      <c r="AW71" s="22"/>
      <c r="AX71" s="25" t="str">
        <f t="array" ref="AX71">xlookup(AL71,qualdata!$N$2:$N$17,qualdata!$O$2:$O$17,"")</f>
        <v/>
      </c>
      <c r="AY71" s="26"/>
      <c r="BA71" s="27" t="s">
        <v>11</v>
      </c>
      <c r="BB71" s="17"/>
      <c r="BC71" s="17"/>
      <c r="BD71" s="18"/>
      <c r="BF71" s="27" t="s">
        <v>104</v>
      </c>
      <c r="BG71" s="17"/>
      <c r="BH71" s="17"/>
      <c r="BI71" s="17"/>
      <c r="BJ71" s="17"/>
      <c r="BK71" s="17"/>
      <c r="BL71" s="17"/>
      <c r="BM71" s="17"/>
      <c r="BN71" s="17"/>
      <c r="BO71" s="17"/>
      <c r="BP71" s="17"/>
      <c r="BQ71" s="17"/>
      <c r="BR71" s="17"/>
      <c r="BS71" s="17"/>
      <c r="BT71" s="17"/>
      <c r="BU71" s="17"/>
      <c r="BV71" s="18"/>
      <c r="BY71" s="28" t="s">
        <v>100</v>
      </c>
      <c r="BZ71" s="17"/>
      <c r="CA71" s="17"/>
      <c r="CB71" s="17"/>
      <c r="CC71" s="17"/>
      <c r="CD71" s="17"/>
      <c r="CE71" s="17"/>
      <c r="CF71" s="17"/>
      <c r="CG71" s="17"/>
      <c r="CH71" s="17"/>
      <c r="CI71" s="18"/>
      <c r="CK71" s="211" t="s">
        <v>14</v>
      </c>
      <c r="CL71" s="17"/>
      <c r="CM71" s="17"/>
      <c r="CN71" s="17"/>
      <c r="CO71" s="17"/>
      <c r="CP71" s="17"/>
      <c r="CQ71" s="17"/>
      <c r="CR71" s="17"/>
      <c r="CS71" s="18"/>
    </row>
    <row r="72" ht="11.25" customHeight="1">
      <c r="C72" s="30"/>
      <c r="D72" s="31"/>
      <c r="E72" s="31"/>
      <c r="F72" s="31"/>
      <c r="G72" s="32"/>
      <c r="H72" s="19"/>
      <c r="I72" s="30"/>
      <c r="J72" s="31"/>
      <c r="K72" s="31"/>
      <c r="L72" s="32"/>
      <c r="M72" s="19"/>
      <c r="N72" s="30"/>
      <c r="O72" s="31"/>
      <c r="P72" s="31"/>
      <c r="Q72" s="32"/>
      <c r="T72" s="33"/>
      <c r="U72" s="34"/>
      <c r="V72" s="34"/>
      <c r="W72" s="34"/>
      <c r="X72" s="34"/>
      <c r="Y72" s="34"/>
      <c r="Z72" s="34"/>
      <c r="AA72" s="34"/>
      <c r="AB72" s="34"/>
      <c r="AC72" s="34"/>
      <c r="AD72" s="34"/>
      <c r="AE72" s="34"/>
      <c r="AF72" s="34"/>
      <c r="AG72" s="34"/>
      <c r="AH72" s="12"/>
      <c r="AI72" s="14"/>
      <c r="AJ72" s="12"/>
      <c r="AK72" s="14"/>
      <c r="AL72" s="34"/>
      <c r="AM72" s="34"/>
      <c r="AN72" s="34"/>
      <c r="AO72" s="34"/>
      <c r="AP72" s="34"/>
      <c r="AQ72" s="34"/>
      <c r="AR72" s="34"/>
      <c r="AS72" s="34"/>
      <c r="AT72" s="34"/>
      <c r="AU72" s="34"/>
      <c r="AV72" s="34"/>
      <c r="AW72" s="34"/>
      <c r="AX72" s="34"/>
      <c r="AY72" s="35"/>
      <c r="BA72" s="30"/>
      <c r="BB72" s="31"/>
      <c r="BC72" s="31"/>
      <c r="BD72" s="32"/>
      <c r="BF72" s="30"/>
      <c r="BG72" s="31"/>
      <c r="BH72" s="31"/>
      <c r="BI72" s="31"/>
      <c r="BJ72" s="31"/>
      <c r="BK72" s="31"/>
      <c r="BL72" s="31"/>
      <c r="BM72" s="31"/>
      <c r="BN72" s="31"/>
      <c r="BO72" s="31"/>
      <c r="BP72" s="31"/>
      <c r="BQ72" s="31"/>
      <c r="BR72" s="31"/>
      <c r="BS72" s="31"/>
      <c r="BT72" s="31"/>
      <c r="BU72" s="31"/>
      <c r="BV72" s="32"/>
      <c r="BY72" s="30"/>
      <c r="BZ72" s="31"/>
      <c r="CA72" s="31"/>
      <c r="CB72" s="31"/>
      <c r="CC72" s="31"/>
      <c r="CD72" s="31"/>
      <c r="CE72" s="31"/>
      <c r="CF72" s="31"/>
      <c r="CG72" s="31"/>
      <c r="CH72" s="31"/>
      <c r="CI72" s="32"/>
      <c r="CK72" s="30"/>
      <c r="CL72" s="31"/>
      <c r="CM72" s="31"/>
      <c r="CN72" s="31"/>
      <c r="CO72" s="31"/>
      <c r="CP72" s="31"/>
      <c r="CQ72" s="31"/>
      <c r="CR72" s="31"/>
      <c r="CS72" s="32"/>
    </row>
    <row r="73" ht="11.25" customHeight="1">
      <c r="A73" s="48">
        <f>A71+1</f>
        <v>30</v>
      </c>
      <c r="C73" s="16" t="s">
        <v>100</v>
      </c>
      <c r="D73" s="17"/>
      <c r="E73" s="17"/>
      <c r="F73" s="17"/>
      <c r="G73" s="18"/>
      <c r="H73" s="19"/>
      <c r="I73" s="210">
        <v>0.6041666666666666</v>
      </c>
      <c r="J73" s="17"/>
      <c r="K73" s="17"/>
      <c r="L73" s="18"/>
      <c r="M73" s="19"/>
      <c r="N73" s="20">
        <f>I73 + TIME(1, 0, 0)</f>
        <v>0.6458333333</v>
      </c>
      <c r="O73" s="17"/>
      <c r="P73" s="17"/>
      <c r="Q73" s="18"/>
      <c r="T73" s="21" t="str">
        <f t="array" ref="T73">xlookup(V73,qualdata!$N$2:$N$17,qualdata!$O$2:$O$17,"")</f>
        <v/>
      </c>
      <c r="U73" s="22"/>
      <c r="V73" s="23" t="str">
        <f>'Contender Stage'!EN189</f>
        <v/>
      </c>
      <c r="W73" s="22"/>
      <c r="X73" s="22"/>
      <c r="Y73" s="22"/>
      <c r="Z73" s="22"/>
      <c r="AA73" s="22"/>
      <c r="AB73" s="22"/>
      <c r="AC73" s="22"/>
      <c r="AD73" s="22"/>
      <c r="AE73" s="22"/>
      <c r="AF73" s="22"/>
      <c r="AG73" s="22"/>
      <c r="AH73" s="24" t="str">
        <f t="array" ref="AH73">xlookup(A73,qualmatchups!$I:$I,qualmatchups!$D:$D,"")</f>
        <v/>
      </c>
      <c r="AI73" s="9"/>
      <c r="AJ73" s="24" t="str">
        <f t="array" ref="AJ73">xlookup(A73,qualmatchups!$I:$I,qualmatchups!$E:$E,"")</f>
        <v/>
      </c>
      <c r="AK73" s="9"/>
      <c r="AL73" s="23" t="str">
        <f>'Contender Stage'!FR189</f>
        <v/>
      </c>
      <c r="AM73" s="22"/>
      <c r="AN73" s="22"/>
      <c r="AO73" s="22"/>
      <c r="AP73" s="22"/>
      <c r="AQ73" s="22"/>
      <c r="AR73" s="22"/>
      <c r="AS73" s="22"/>
      <c r="AT73" s="22"/>
      <c r="AU73" s="22"/>
      <c r="AV73" s="22"/>
      <c r="AW73" s="22"/>
      <c r="AX73" s="25" t="str">
        <f t="array" ref="AX73">xlookup(AL73,qualdata!$N$2:$N$17,qualdata!$O$2:$O$17,"")</f>
        <v/>
      </c>
      <c r="AY73" s="26"/>
      <c r="BA73" s="27" t="s">
        <v>11</v>
      </c>
      <c r="BB73" s="17"/>
      <c r="BC73" s="17"/>
      <c r="BD73" s="18"/>
      <c r="BF73" s="27" t="s">
        <v>105</v>
      </c>
      <c r="BG73" s="17"/>
      <c r="BH73" s="17"/>
      <c r="BI73" s="17"/>
      <c r="BJ73" s="17"/>
      <c r="BK73" s="17"/>
      <c r="BL73" s="17"/>
      <c r="BM73" s="17"/>
      <c r="BN73" s="17"/>
      <c r="BO73" s="17"/>
      <c r="BP73" s="17"/>
      <c r="BQ73" s="17"/>
      <c r="BR73" s="17"/>
      <c r="BS73" s="17"/>
      <c r="BT73" s="17"/>
      <c r="BU73" s="17"/>
      <c r="BV73" s="18"/>
      <c r="BY73" s="28" t="s">
        <v>100</v>
      </c>
      <c r="BZ73" s="17"/>
      <c r="CA73" s="17"/>
      <c r="CB73" s="17"/>
      <c r="CC73" s="17"/>
      <c r="CD73" s="17"/>
      <c r="CE73" s="17"/>
      <c r="CF73" s="17"/>
      <c r="CG73" s="17"/>
      <c r="CH73" s="17"/>
      <c r="CI73" s="18"/>
      <c r="CK73" s="211" t="s">
        <v>14</v>
      </c>
      <c r="CL73" s="17"/>
      <c r="CM73" s="17"/>
      <c r="CN73" s="17"/>
      <c r="CO73" s="17"/>
      <c r="CP73" s="17"/>
      <c r="CQ73" s="17"/>
      <c r="CR73" s="17"/>
      <c r="CS73" s="18"/>
    </row>
    <row r="74" ht="11.25" customHeight="1">
      <c r="C74" s="30"/>
      <c r="D74" s="31"/>
      <c r="E74" s="31"/>
      <c r="F74" s="31"/>
      <c r="G74" s="32"/>
      <c r="H74" s="19"/>
      <c r="I74" s="30"/>
      <c r="J74" s="31"/>
      <c r="K74" s="31"/>
      <c r="L74" s="32"/>
      <c r="M74" s="19"/>
      <c r="N74" s="30"/>
      <c r="O74" s="31"/>
      <c r="P74" s="31"/>
      <c r="Q74" s="32"/>
      <c r="T74" s="33"/>
      <c r="U74" s="34"/>
      <c r="V74" s="34"/>
      <c r="W74" s="34"/>
      <c r="X74" s="34"/>
      <c r="Y74" s="34"/>
      <c r="Z74" s="34"/>
      <c r="AA74" s="34"/>
      <c r="AB74" s="34"/>
      <c r="AC74" s="34"/>
      <c r="AD74" s="34"/>
      <c r="AE74" s="34"/>
      <c r="AF74" s="34"/>
      <c r="AG74" s="34"/>
      <c r="AH74" s="12"/>
      <c r="AI74" s="14"/>
      <c r="AJ74" s="12"/>
      <c r="AK74" s="14"/>
      <c r="AL74" s="34"/>
      <c r="AM74" s="34"/>
      <c r="AN74" s="34"/>
      <c r="AO74" s="34"/>
      <c r="AP74" s="34"/>
      <c r="AQ74" s="34"/>
      <c r="AR74" s="34"/>
      <c r="AS74" s="34"/>
      <c r="AT74" s="34"/>
      <c r="AU74" s="34"/>
      <c r="AV74" s="34"/>
      <c r="AW74" s="34"/>
      <c r="AX74" s="34"/>
      <c r="AY74" s="35"/>
      <c r="BA74" s="30"/>
      <c r="BB74" s="31"/>
      <c r="BC74" s="31"/>
      <c r="BD74" s="32"/>
      <c r="BF74" s="30"/>
      <c r="BG74" s="31"/>
      <c r="BH74" s="31"/>
      <c r="BI74" s="31"/>
      <c r="BJ74" s="31"/>
      <c r="BK74" s="31"/>
      <c r="BL74" s="31"/>
      <c r="BM74" s="31"/>
      <c r="BN74" s="31"/>
      <c r="BO74" s="31"/>
      <c r="BP74" s="31"/>
      <c r="BQ74" s="31"/>
      <c r="BR74" s="31"/>
      <c r="BS74" s="31"/>
      <c r="BT74" s="31"/>
      <c r="BU74" s="31"/>
      <c r="BV74" s="32"/>
      <c r="BY74" s="30"/>
      <c r="BZ74" s="31"/>
      <c r="CA74" s="31"/>
      <c r="CB74" s="31"/>
      <c r="CC74" s="31"/>
      <c r="CD74" s="31"/>
      <c r="CE74" s="31"/>
      <c r="CF74" s="31"/>
      <c r="CG74" s="31"/>
      <c r="CH74" s="31"/>
      <c r="CI74" s="32"/>
      <c r="CK74" s="30"/>
      <c r="CL74" s="31"/>
      <c r="CM74" s="31"/>
      <c r="CN74" s="31"/>
      <c r="CO74" s="31"/>
      <c r="CP74" s="31"/>
      <c r="CQ74" s="31"/>
      <c r="CR74" s="31"/>
      <c r="CS74" s="32"/>
    </row>
    <row r="75" ht="11.25" customHeight="1">
      <c r="BY75" s="37"/>
      <c r="BZ75" s="37"/>
      <c r="CA75" s="37"/>
      <c r="CB75" s="37"/>
      <c r="CC75" s="37"/>
      <c r="CD75" s="37"/>
      <c r="CE75" s="37"/>
      <c r="CF75" s="37"/>
      <c r="CG75" s="37"/>
      <c r="CH75" s="37"/>
      <c r="CI75" s="37"/>
    </row>
    <row r="76" ht="11.25" customHeight="1">
      <c r="BY76" s="37"/>
      <c r="BZ76" s="37"/>
      <c r="CA76" s="37"/>
      <c r="CB76" s="37"/>
      <c r="CC76" s="37"/>
      <c r="CD76" s="37"/>
      <c r="CE76" s="37"/>
      <c r="CF76" s="37"/>
      <c r="CG76" s="37"/>
      <c r="CH76" s="37"/>
      <c r="CI76" s="37"/>
    </row>
    <row r="77" ht="11.25" customHeight="1">
      <c r="A77" s="47">
        <v>31.0</v>
      </c>
      <c r="C77" s="16" t="s">
        <v>100</v>
      </c>
      <c r="D77" s="17"/>
      <c r="E77" s="17"/>
      <c r="F77" s="17"/>
      <c r="G77" s="18"/>
      <c r="H77" s="19"/>
      <c r="I77" s="210">
        <v>0.7291666666666666</v>
      </c>
      <c r="J77" s="17"/>
      <c r="K77" s="17"/>
      <c r="L77" s="18"/>
      <c r="M77" s="19"/>
      <c r="N77" s="20">
        <f>I77 + TIME(1, 0, 0)</f>
        <v>0.7708333333</v>
      </c>
      <c r="O77" s="17"/>
      <c r="P77" s="17"/>
      <c r="Q77" s="18"/>
      <c r="T77" s="21" t="str">
        <f t="array" ref="T77">xlookup(V77,qualdata!$N$2:$N$17,qualdata!$O$2:$O$17,"")</f>
        <v/>
      </c>
      <c r="U77" s="22"/>
      <c r="V77" s="23" t="str">
        <f t="array" ref="V77">xlookup(A77,qualmatchups!$I:$I,qualmatchups!$B:$B,"")</f>
        <v/>
      </c>
      <c r="W77" s="22"/>
      <c r="X77" s="22"/>
      <c r="Y77" s="22"/>
      <c r="Z77" s="22"/>
      <c r="AA77" s="22"/>
      <c r="AB77" s="22"/>
      <c r="AC77" s="22"/>
      <c r="AD77" s="22"/>
      <c r="AE77" s="22"/>
      <c r="AF77" s="22"/>
      <c r="AG77" s="22"/>
      <c r="AH77" s="24" t="str">
        <f t="array" ref="AH77">xlookup(A77,qualmatchups!$I:$I,qualmatchups!$D:$D,"")</f>
        <v/>
      </c>
      <c r="AI77" s="9"/>
      <c r="AJ77" s="24" t="str">
        <f t="array" ref="AJ77">xlookup(A77,qualmatchups!$I:$I,qualmatchups!$E:$E,"")</f>
        <v/>
      </c>
      <c r="AK77" s="9"/>
      <c r="AL77" s="41" t="str">
        <f t="array" ref="AL77">xlookup(A77,qualmatchups!$I:$I,qualmatchups!$C:$C,"")</f>
        <v/>
      </c>
      <c r="AX77" s="25" t="str">
        <f t="array" ref="AX77">xlookup(AL77,qualdata!$N$2:$N$17,qualdata!$O$2:$O$17,"")</f>
        <v/>
      </c>
      <c r="AY77" s="26"/>
      <c r="BA77" s="27" t="s">
        <v>11</v>
      </c>
      <c r="BB77" s="17"/>
      <c r="BC77" s="17"/>
      <c r="BD77" s="18"/>
      <c r="BF77" s="27" t="s">
        <v>106</v>
      </c>
      <c r="BG77" s="17"/>
      <c r="BH77" s="17"/>
      <c r="BI77" s="17"/>
      <c r="BJ77" s="17"/>
      <c r="BK77" s="17"/>
      <c r="BL77" s="17"/>
      <c r="BM77" s="17"/>
      <c r="BN77" s="17"/>
      <c r="BO77" s="17"/>
      <c r="BP77" s="17"/>
      <c r="BQ77" s="17"/>
      <c r="BR77" s="17"/>
      <c r="BS77" s="17"/>
      <c r="BT77" s="17"/>
      <c r="BU77" s="17"/>
      <c r="BV77" s="18"/>
      <c r="BY77" s="28" t="s">
        <v>100</v>
      </c>
      <c r="BZ77" s="17"/>
      <c r="CA77" s="17"/>
      <c r="CB77" s="17"/>
      <c r="CC77" s="17"/>
      <c r="CD77" s="17"/>
      <c r="CE77" s="17"/>
      <c r="CF77" s="17"/>
      <c r="CG77" s="17"/>
      <c r="CH77" s="17"/>
      <c r="CI77" s="18"/>
      <c r="CK77" s="211" t="s">
        <v>14</v>
      </c>
      <c r="CL77" s="17"/>
      <c r="CM77" s="17"/>
      <c r="CN77" s="17"/>
      <c r="CO77" s="17"/>
      <c r="CP77" s="17"/>
      <c r="CQ77" s="17"/>
      <c r="CR77" s="17"/>
      <c r="CS77" s="18"/>
    </row>
    <row r="78" ht="11.25" customHeight="1">
      <c r="C78" s="30"/>
      <c r="D78" s="31"/>
      <c r="E78" s="31"/>
      <c r="F78" s="31"/>
      <c r="G78" s="32"/>
      <c r="H78" s="19"/>
      <c r="I78" s="30"/>
      <c r="J78" s="31"/>
      <c r="K78" s="31"/>
      <c r="L78" s="32"/>
      <c r="M78" s="19"/>
      <c r="N78" s="30"/>
      <c r="O78" s="31"/>
      <c r="P78" s="31"/>
      <c r="Q78" s="32"/>
      <c r="T78" s="33"/>
      <c r="U78" s="34"/>
      <c r="V78" s="34"/>
      <c r="W78" s="34"/>
      <c r="X78" s="34"/>
      <c r="Y78" s="34"/>
      <c r="Z78" s="34"/>
      <c r="AA78" s="34"/>
      <c r="AB78" s="34"/>
      <c r="AC78" s="34"/>
      <c r="AD78" s="34"/>
      <c r="AE78" s="34"/>
      <c r="AF78" s="34"/>
      <c r="AG78" s="34"/>
      <c r="AH78" s="12"/>
      <c r="AI78" s="14"/>
      <c r="AJ78" s="12"/>
      <c r="AK78" s="14"/>
      <c r="AL78" s="34"/>
      <c r="AM78" s="34"/>
      <c r="AN78" s="34"/>
      <c r="AO78" s="34"/>
      <c r="AP78" s="34"/>
      <c r="AQ78" s="34"/>
      <c r="AR78" s="34"/>
      <c r="AS78" s="34"/>
      <c r="AT78" s="34"/>
      <c r="AU78" s="34"/>
      <c r="AV78" s="34"/>
      <c r="AW78" s="34"/>
      <c r="AX78" s="34"/>
      <c r="AY78" s="35"/>
      <c r="BA78" s="30"/>
      <c r="BB78" s="31"/>
      <c r="BC78" s="31"/>
      <c r="BD78" s="32"/>
      <c r="BF78" s="30"/>
      <c r="BG78" s="31"/>
      <c r="BH78" s="31"/>
      <c r="BI78" s="31"/>
      <c r="BJ78" s="31"/>
      <c r="BK78" s="31"/>
      <c r="BL78" s="31"/>
      <c r="BM78" s="31"/>
      <c r="BN78" s="31"/>
      <c r="BO78" s="31"/>
      <c r="BP78" s="31"/>
      <c r="BQ78" s="31"/>
      <c r="BR78" s="31"/>
      <c r="BS78" s="31"/>
      <c r="BT78" s="31"/>
      <c r="BU78" s="31"/>
      <c r="BV78" s="32"/>
      <c r="BY78" s="30"/>
      <c r="BZ78" s="31"/>
      <c r="CA78" s="31"/>
      <c r="CB78" s="31"/>
      <c r="CC78" s="31"/>
      <c r="CD78" s="31"/>
      <c r="CE78" s="31"/>
      <c r="CF78" s="31"/>
      <c r="CG78" s="31"/>
      <c r="CH78" s="31"/>
      <c r="CI78" s="32"/>
      <c r="CK78" s="30"/>
      <c r="CL78" s="31"/>
      <c r="CM78" s="31"/>
      <c r="CN78" s="31"/>
      <c r="CO78" s="31"/>
      <c r="CP78" s="31"/>
      <c r="CQ78" s="31"/>
      <c r="CR78" s="31"/>
      <c r="CS78" s="32"/>
    </row>
    <row r="79" ht="11.25" customHeight="1">
      <c r="A79" s="48">
        <f>A77+1</f>
        <v>32</v>
      </c>
      <c r="C79" s="16" t="s">
        <v>100</v>
      </c>
      <c r="D79" s="17"/>
      <c r="E79" s="17"/>
      <c r="F79" s="17"/>
      <c r="G79" s="18"/>
      <c r="H79" s="19"/>
      <c r="I79" s="210">
        <v>0.8541666666666666</v>
      </c>
      <c r="J79" s="17"/>
      <c r="K79" s="17"/>
      <c r="L79" s="18"/>
      <c r="M79" s="19"/>
      <c r="N79" s="20">
        <f>I79 + TIME(1, 0, 0)</f>
        <v>0.8958333333</v>
      </c>
      <c r="O79" s="17"/>
      <c r="P79" s="17"/>
      <c r="Q79" s="18"/>
      <c r="T79" s="21" t="str">
        <f t="array" ref="T79">xlookup(V79,qualdata!$N$2:$N$17,qualdata!$O$2:$O$17,"")</f>
        <v/>
      </c>
      <c r="U79" s="22"/>
      <c r="V79" s="23" t="str">
        <f t="array" ref="V79">xlookup(A79,qualmatchups!$I:$I,qualmatchups!$B:$B,"")</f>
        <v/>
      </c>
      <c r="W79" s="22"/>
      <c r="X79" s="22"/>
      <c r="Y79" s="22"/>
      <c r="Z79" s="22"/>
      <c r="AA79" s="22"/>
      <c r="AB79" s="22"/>
      <c r="AC79" s="22"/>
      <c r="AD79" s="22"/>
      <c r="AE79" s="22"/>
      <c r="AF79" s="22"/>
      <c r="AG79" s="22"/>
      <c r="AH79" s="24" t="str">
        <f t="array" ref="AH79">xlookup(A79,qualmatchups!$I:$I,qualmatchups!$D:$D,"")</f>
        <v/>
      </c>
      <c r="AI79" s="9"/>
      <c r="AJ79" s="24" t="str">
        <f t="array" ref="AJ79">xlookup(A79,qualmatchups!$I:$I,qualmatchups!$E:$E,"")</f>
        <v/>
      </c>
      <c r="AK79" s="9"/>
      <c r="AL79" s="23" t="str">
        <f t="array" ref="AL79">xlookup(A79,qualmatchups!$I:$I,qualmatchups!$C:$C,"")</f>
        <v/>
      </c>
      <c r="AM79" s="22"/>
      <c r="AN79" s="22"/>
      <c r="AO79" s="22"/>
      <c r="AP79" s="22"/>
      <c r="AQ79" s="22"/>
      <c r="AR79" s="22"/>
      <c r="AS79" s="22"/>
      <c r="AT79" s="22"/>
      <c r="AU79" s="22"/>
      <c r="AV79" s="22"/>
      <c r="AW79" s="22"/>
      <c r="AX79" s="25" t="str">
        <f t="array" ref="AX79">xlookup(AL79,qualdata!$N$2:$N$17,qualdata!$O$2:$O$17,"")</f>
        <v/>
      </c>
      <c r="AY79" s="26"/>
      <c r="BA79" s="27" t="s">
        <v>11</v>
      </c>
      <c r="BB79" s="17"/>
      <c r="BC79" s="17"/>
      <c r="BD79" s="18"/>
      <c r="BF79" s="27" t="s">
        <v>107</v>
      </c>
      <c r="BG79" s="17"/>
      <c r="BH79" s="17"/>
      <c r="BI79" s="17"/>
      <c r="BJ79" s="17"/>
      <c r="BK79" s="17"/>
      <c r="BL79" s="17"/>
      <c r="BM79" s="17"/>
      <c r="BN79" s="17"/>
      <c r="BO79" s="17"/>
      <c r="BP79" s="17"/>
      <c r="BQ79" s="17"/>
      <c r="BR79" s="17"/>
      <c r="BS79" s="17"/>
      <c r="BT79" s="17"/>
      <c r="BU79" s="17"/>
      <c r="BV79" s="18"/>
      <c r="BY79" s="28" t="s">
        <v>100</v>
      </c>
      <c r="BZ79" s="17"/>
      <c r="CA79" s="17"/>
      <c r="CB79" s="17"/>
      <c r="CC79" s="17"/>
      <c r="CD79" s="17"/>
      <c r="CE79" s="17"/>
      <c r="CF79" s="17"/>
      <c r="CG79" s="17"/>
      <c r="CH79" s="17"/>
      <c r="CI79" s="18"/>
      <c r="CK79" s="211" t="s">
        <v>14</v>
      </c>
      <c r="CL79" s="17"/>
      <c r="CM79" s="17"/>
      <c r="CN79" s="17"/>
      <c r="CO79" s="17"/>
      <c r="CP79" s="17"/>
      <c r="CQ79" s="17"/>
      <c r="CR79" s="17"/>
      <c r="CS79" s="18"/>
    </row>
    <row r="80" ht="11.25" customHeight="1">
      <c r="C80" s="30"/>
      <c r="D80" s="31"/>
      <c r="E80" s="31"/>
      <c r="F80" s="31"/>
      <c r="G80" s="32"/>
      <c r="H80" s="19"/>
      <c r="I80" s="30"/>
      <c r="J80" s="31"/>
      <c r="K80" s="31"/>
      <c r="L80" s="32"/>
      <c r="M80" s="19"/>
      <c r="N80" s="30"/>
      <c r="O80" s="31"/>
      <c r="P80" s="31"/>
      <c r="Q80" s="32"/>
      <c r="T80" s="33"/>
      <c r="U80" s="34"/>
      <c r="V80" s="34"/>
      <c r="W80" s="34"/>
      <c r="X80" s="34"/>
      <c r="Y80" s="34"/>
      <c r="Z80" s="34"/>
      <c r="AA80" s="34"/>
      <c r="AB80" s="34"/>
      <c r="AC80" s="34"/>
      <c r="AD80" s="34"/>
      <c r="AE80" s="34"/>
      <c r="AF80" s="34"/>
      <c r="AG80" s="34"/>
      <c r="AH80" s="12"/>
      <c r="AI80" s="14"/>
      <c r="AJ80" s="12"/>
      <c r="AK80" s="14"/>
      <c r="AL80" s="34"/>
      <c r="AM80" s="34"/>
      <c r="AN80" s="34"/>
      <c r="AO80" s="34"/>
      <c r="AP80" s="34"/>
      <c r="AQ80" s="34"/>
      <c r="AR80" s="34"/>
      <c r="AS80" s="34"/>
      <c r="AT80" s="34"/>
      <c r="AU80" s="34"/>
      <c r="AV80" s="34"/>
      <c r="AW80" s="34"/>
      <c r="AX80" s="34"/>
      <c r="AY80" s="35"/>
      <c r="BA80" s="30"/>
      <c r="BB80" s="31"/>
      <c r="BC80" s="31"/>
      <c r="BD80" s="32"/>
      <c r="BF80" s="30"/>
      <c r="BG80" s="31"/>
      <c r="BH80" s="31"/>
      <c r="BI80" s="31"/>
      <c r="BJ80" s="31"/>
      <c r="BK80" s="31"/>
      <c r="BL80" s="31"/>
      <c r="BM80" s="31"/>
      <c r="BN80" s="31"/>
      <c r="BO80" s="31"/>
      <c r="BP80" s="31"/>
      <c r="BQ80" s="31"/>
      <c r="BR80" s="31"/>
      <c r="BS80" s="31"/>
      <c r="BT80" s="31"/>
      <c r="BU80" s="31"/>
      <c r="BV80" s="32"/>
      <c r="BY80" s="30"/>
      <c r="BZ80" s="31"/>
      <c r="CA80" s="31"/>
      <c r="CB80" s="31"/>
      <c r="CC80" s="31"/>
      <c r="CD80" s="31"/>
      <c r="CE80" s="31"/>
      <c r="CF80" s="31"/>
      <c r="CG80" s="31"/>
      <c r="CH80" s="31"/>
      <c r="CI80" s="32"/>
      <c r="CK80" s="30"/>
      <c r="CL80" s="31"/>
      <c r="CM80" s="31"/>
      <c r="CN80" s="31"/>
      <c r="CO80" s="31"/>
      <c r="CP80" s="31"/>
      <c r="CQ80" s="31"/>
      <c r="CR80" s="31"/>
      <c r="CS80" s="32"/>
    </row>
    <row r="81" ht="11.25" customHeight="1">
      <c r="A81" s="48">
        <f>A79+1</f>
        <v>33</v>
      </c>
      <c r="C81" s="16" t="s">
        <v>100</v>
      </c>
      <c r="D81" s="17"/>
      <c r="E81" s="17"/>
      <c r="F81" s="17"/>
      <c r="G81" s="18"/>
      <c r="H81" s="19"/>
      <c r="I81" s="210">
        <v>0.6041666666666666</v>
      </c>
      <c r="J81" s="17"/>
      <c r="K81" s="17"/>
      <c r="L81" s="18"/>
      <c r="M81" s="19"/>
      <c r="N81" s="20">
        <f>I81 + TIME(1, 0, 0)</f>
        <v>0.6458333333</v>
      </c>
      <c r="O81" s="17"/>
      <c r="P81" s="17"/>
      <c r="Q81" s="18"/>
      <c r="T81" s="21" t="str">
        <f t="array" ref="T81">xlookup(V81,qualdata!$N$2:$N$17,qualdata!$O$2:$O$17,"")</f>
        <v/>
      </c>
      <c r="U81" s="22"/>
      <c r="V81" s="23" t="str">
        <f t="array" ref="V81">xlookup(A81,qualmatchups!$I:$I,qualmatchups!$B:$B,"")</f>
        <v/>
      </c>
      <c r="W81" s="22"/>
      <c r="X81" s="22"/>
      <c r="Y81" s="22"/>
      <c r="Z81" s="22"/>
      <c r="AA81" s="22"/>
      <c r="AB81" s="22"/>
      <c r="AC81" s="22"/>
      <c r="AD81" s="22"/>
      <c r="AE81" s="22"/>
      <c r="AF81" s="22"/>
      <c r="AG81" s="22"/>
      <c r="AH81" s="24" t="str">
        <f t="array" ref="AH81">xlookup(A81,qualmatchups!$I:$I,qualmatchups!$D:$D,"")</f>
        <v/>
      </c>
      <c r="AI81" s="9"/>
      <c r="AJ81" s="24" t="str">
        <f t="array" ref="AJ81">xlookup(A81,qualmatchups!$I:$I,qualmatchups!$E:$E,"")</f>
        <v/>
      </c>
      <c r="AK81" s="9"/>
      <c r="AL81" s="23" t="str">
        <f t="array" ref="AL81">xlookup(A81,qualmatchups!$I:$I,qualmatchups!$C:$C,"")</f>
        <v/>
      </c>
      <c r="AM81" s="22"/>
      <c r="AN81" s="22"/>
      <c r="AO81" s="22"/>
      <c r="AP81" s="22"/>
      <c r="AQ81" s="22"/>
      <c r="AR81" s="22"/>
      <c r="AS81" s="22"/>
      <c r="AT81" s="22"/>
      <c r="AU81" s="22"/>
      <c r="AV81" s="22"/>
      <c r="AW81" s="22"/>
      <c r="AX81" s="25" t="str">
        <f t="array" ref="AX81">xlookup(AL81,qualdata!$N$2:$N$17,qualdata!$O$2:$O$17,"")</f>
        <v/>
      </c>
      <c r="AY81" s="26"/>
      <c r="BA81" s="27" t="s">
        <v>11</v>
      </c>
      <c r="BB81" s="17"/>
      <c r="BC81" s="17"/>
      <c r="BD81" s="18"/>
      <c r="BF81" s="27" t="s">
        <v>108</v>
      </c>
      <c r="BG81" s="17"/>
      <c r="BH81" s="17"/>
      <c r="BI81" s="17"/>
      <c r="BJ81" s="17"/>
      <c r="BK81" s="17"/>
      <c r="BL81" s="17"/>
      <c r="BM81" s="17"/>
      <c r="BN81" s="17"/>
      <c r="BO81" s="17"/>
      <c r="BP81" s="17"/>
      <c r="BQ81" s="17"/>
      <c r="BR81" s="17"/>
      <c r="BS81" s="17"/>
      <c r="BT81" s="17"/>
      <c r="BU81" s="17"/>
      <c r="BV81" s="18"/>
      <c r="BY81" s="28" t="s">
        <v>100</v>
      </c>
      <c r="BZ81" s="17"/>
      <c r="CA81" s="17"/>
      <c r="CB81" s="17"/>
      <c r="CC81" s="17"/>
      <c r="CD81" s="17"/>
      <c r="CE81" s="17"/>
      <c r="CF81" s="17"/>
      <c r="CG81" s="17"/>
      <c r="CH81" s="17"/>
      <c r="CI81" s="18"/>
      <c r="CK81" s="211" t="s">
        <v>14</v>
      </c>
      <c r="CL81" s="17"/>
      <c r="CM81" s="17"/>
      <c r="CN81" s="17"/>
      <c r="CO81" s="17"/>
      <c r="CP81" s="17"/>
      <c r="CQ81" s="17"/>
      <c r="CR81" s="17"/>
      <c r="CS81" s="18"/>
    </row>
    <row r="82" ht="11.25" customHeight="1">
      <c r="C82" s="30"/>
      <c r="D82" s="31"/>
      <c r="E82" s="31"/>
      <c r="F82" s="31"/>
      <c r="G82" s="32"/>
      <c r="H82" s="19"/>
      <c r="I82" s="30"/>
      <c r="J82" s="31"/>
      <c r="K82" s="31"/>
      <c r="L82" s="32"/>
      <c r="M82" s="19"/>
      <c r="N82" s="30"/>
      <c r="O82" s="31"/>
      <c r="P82" s="31"/>
      <c r="Q82" s="32"/>
      <c r="T82" s="33"/>
      <c r="U82" s="34"/>
      <c r="V82" s="34"/>
      <c r="W82" s="34"/>
      <c r="X82" s="34"/>
      <c r="Y82" s="34"/>
      <c r="Z82" s="34"/>
      <c r="AA82" s="34"/>
      <c r="AB82" s="34"/>
      <c r="AC82" s="34"/>
      <c r="AD82" s="34"/>
      <c r="AE82" s="34"/>
      <c r="AF82" s="34"/>
      <c r="AG82" s="34"/>
      <c r="AH82" s="12"/>
      <c r="AI82" s="14"/>
      <c r="AJ82" s="12"/>
      <c r="AK82" s="14"/>
      <c r="AL82" s="34"/>
      <c r="AM82" s="34"/>
      <c r="AN82" s="34"/>
      <c r="AO82" s="34"/>
      <c r="AP82" s="34"/>
      <c r="AQ82" s="34"/>
      <c r="AR82" s="34"/>
      <c r="AS82" s="34"/>
      <c r="AT82" s="34"/>
      <c r="AU82" s="34"/>
      <c r="AV82" s="34"/>
      <c r="AW82" s="34"/>
      <c r="AX82" s="34"/>
      <c r="AY82" s="35"/>
      <c r="BA82" s="30"/>
      <c r="BB82" s="31"/>
      <c r="BC82" s="31"/>
      <c r="BD82" s="32"/>
      <c r="BF82" s="30"/>
      <c r="BG82" s="31"/>
      <c r="BH82" s="31"/>
      <c r="BI82" s="31"/>
      <c r="BJ82" s="31"/>
      <c r="BK82" s="31"/>
      <c r="BL82" s="31"/>
      <c r="BM82" s="31"/>
      <c r="BN82" s="31"/>
      <c r="BO82" s="31"/>
      <c r="BP82" s="31"/>
      <c r="BQ82" s="31"/>
      <c r="BR82" s="31"/>
      <c r="BS82" s="31"/>
      <c r="BT82" s="31"/>
      <c r="BU82" s="31"/>
      <c r="BV82" s="32"/>
      <c r="BY82" s="30"/>
      <c r="BZ82" s="31"/>
      <c r="CA82" s="31"/>
      <c r="CB82" s="31"/>
      <c r="CC82" s="31"/>
      <c r="CD82" s="31"/>
      <c r="CE82" s="31"/>
      <c r="CF82" s="31"/>
      <c r="CG82" s="31"/>
      <c r="CH82" s="31"/>
      <c r="CI82" s="32"/>
      <c r="CK82" s="30"/>
      <c r="CL82" s="31"/>
      <c r="CM82" s="31"/>
      <c r="CN82" s="31"/>
      <c r="CO82" s="31"/>
      <c r="CP82" s="31"/>
      <c r="CQ82" s="31"/>
      <c r="CR82" s="31"/>
      <c r="CS82" s="32"/>
    </row>
    <row r="83" ht="11.25" customHeight="1">
      <c r="BY83" s="37"/>
      <c r="BZ83" s="37"/>
      <c r="CA83" s="37"/>
      <c r="CB83" s="37"/>
      <c r="CC83" s="37"/>
      <c r="CD83" s="37"/>
      <c r="CE83" s="37"/>
      <c r="CF83" s="37"/>
      <c r="CG83" s="37"/>
      <c r="CH83" s="37"/>
      <c r="CI83" s="37"/>
    </row>
    <row r="84" ht="11.25" customHeight="1">
      <c r="BY84" s="37"/>
      <c r="BZ84" s="37"/>
      <c r="CA84" s="37"/>
      <c r="CB84" s="37"/>
      <c r="CC84" s="37"/>
      <c r="CD84" s="37"/>
      <c r="CE84" s="37"/>
      <c r="CF84" s="37"/>
      <c r="CG84" s="37"/>
      <c r="CH84" s="37"/>
      <c r="CI84" s="37"/>
    </row>
    <row r="85" ht="11.25" customHeight="1"/>
  </sheetData>
  <mergeCells count="439">
    <mergeCell ref="V49:AG50"/>
    <mergeCell ref="AH49:AI50"/>
    <mergeCell ref="AJ49:AK50"/>
    <mergeCell ref="AL49:AW50"/>
    <mergeCell ref="AX49:AY50"/>
    <mergeCell ref="BA49:BD50"/>
    <mergeCell ref="BF49:BV50"/>
    <mergeCell ref="AJ51:AK52"/>
    <mergeCell ref="AL51:AW52"/>
    <mergeCell ref="AX51:AY52"/>
    <mergeCell ref="BA51:BD52"/>
    <mergeCell ref="BF51:BV52"/>
    <mergeCell ref="BY51:CI52"/>
    <mergeCell ref="CK51:CS52"/>
    <mergeCell ref="AL42:AW43"/>
    <mergeCell ref="AX42:AY43"/>
    <mergeCell ref="V44:AG45"/>
    <mergeCell ref="AH44:AI45"/>
    <mergeCell ref="AL44:AW45"/>
    <mergeCell ref="AX44:AY45"/>
    <mergeCell ref="BA44:BD45"/>
    <mergeCell ref="BF44:BV45"/>
    <mergeCell ref="BY44:CI45"/>
    <mergeCell ref="CK44:CS45"/>
    <mergeCell ref="AL47:AW48"/>
    <mergeCell ref="AX47:AY48"/>
    <mergeCell ref="BA47:BD48"/>
    <mergeCell ref="BF47:BV48"/>
    <mergeCell ref="BY47:CI48"/>
    <mergeCell ref="CK47:CS48"/>
    <mergeCell ref="N44:Q45"/>
    <mergeCell ref="T44:U45"/>
    <mergeCell ref="N47:Q48"/>
    <mergeCell ref="T47:U48"/>
    <mergeCell ref="V47:AG48"/>
    <mergeCell ref="AH47:AI48"/>
    <mergeCell ref="AJ47:AK48"/>
    <mergeCell ref="BY49:CI50"/>
    <mergeCell ref="CK49:CS50"/>
    <mergeCell ref="C49:G50"/>
    <mergeCell ref="C51:G52"/>
    <mergeCell ref="I51:L52"/>
    <mergeCell ref="N51:Q52"/>
    <mergeCell ref="T51:U52"/>
    <mergeCell ref="V51:AG52"/>
    <mergeCell ref="AH51:AI52"/>
    <mergeCell ref="AL53:AW54"/>
    <mergeCell ref="AX53:AY54"/>
    <mergeCell ref="BA53:BD54"/>
    <mergeCell ref="BF53:BV54"/>
    <mergeCell ref="BY53:CI54"/>
    <mergeCell ref="CK53:CS54"/>
    <mergeCell ref="C38:G39"/>
    <mergeCell ref="C42:G43"/>
    <mergeCell ref="N42:Q43"/>
    <mergeCell ref="V42:AG43"/>
    <mergeCell ref="AH42:AI43"/>
    <mergeCell ref="AJ42:AK43"/>
    <mergeCell ref="C44:G45"/>
    <mergeCell ref="AJ44:AK45"/>
    <mergeCell ref="I42:L43"/>
    <mergeCell ref="I44:L45"/>
    <mergeCell ref="C47:G48"/>
    <mergeCell ref="I47:L48"/>
    <mergeCell ref="I49:L50"/>
    <mergeCell ref="N49:Q50"/>
    <mergeCell ref="T49:U50"/>
    <mergeCell ref="C53:G54"/>
    <mergeCell ref="I53:L54"/>
    <mergeCell ref="N53:Q54"/>
    <mergeCell ref="T53:U54"/>
    <mergeCell ref="V53:AG54"/>
    <mergeCell ref="AH53:AI54"/>
    <mergeCell ref="AJ53:AK54"/>
    <mergeCell ref="AL56:AW57"/>
    <mergeCell ref="AX56:AY57"/>
    <mergeCell ref="BA56:BD57"/>
    <mergeCell ref="BF56:BV57"/>
    <mergeCell ref="BY56:CI57"/>
    <mergeCell ref="CK56:CS57"/>
    <mergeCell ref="I56:L57"/>
    <mergeCell ref="I58:L59"/>
    <mergeCell ref="C62:G63"/>
    <mergeCell ref="I62:L63"/>
    <mergeCell ref="N62:Q63"/>
    <mergeCell ref="V58:AG59"/>
    <mergeCell ref="AH58:AI59"/>
    <mergeCell ref="AL58:AW59"/>
    <mergeCell ref="AX58:AY59"/>
    <mergeCell ref="BA58:BD59"/>
    <mergeCell ref="BF58:BV59"/>
    <mergeCell ref="BY58:CI59"/>
    <mergeCell ref="CK58:CS59"/>
    <mergeCell ref="AX62:AY63"/>
    <mergeCell ref="BA62:BD63"/>
    <mergeCell ref="BF62:BV63"/>
    <mergeCell ref="BY62:CI63"/>
    <mergeCell ref="CK62:CS63"/>
    <mergeCell ref="C56:G57"/>
    <mergeCell ref="N56:Q57"/>
    <mergeCell ref="V56:AG57"/>
    <mergeCell ref="AH56:AI57"/>
    <mergeCell ref="AJ56:AK57"/>
    <mergeCell ref="N58:Q59"/>
    <mergeCell ref="AJ58:AK59"/>
    <mergeCell ref="T56:U57"/>
    <mergeCell ref="T58:U59"/>
    <mergeCell ref="T62:U63"/>
    <mergeCell ref="V62:AG63"/>
    <mergeCell ref="AH62:AI63"/>
    <mergeCell ref="AJ62:AK63"/>
    <mergeCell ref="AL62:AW63"/>
    <mergeCell ref="BY64:CI65"/>
    <mergeCell ref="CK64:CS65"/>
    <mergeCell ref="V64:AG65"/>
    <mergeCell ref="AH64:AI65"/>
    <mergeCell ref="AJ64:AK65"/>
    <mergeCell ref="AL64:AW65"/>
    <mergeCell ref="AX64:AY65"/>
    <mergeCell ref="BA64:BD65"/>
    <mergeCell ref="BF64:BV65"/>
    <mergeCell ref="BA66:BD67"/>
    <mergeCell ref="BF66:BV67"/>
    <mergeCell ref="BY66:CI67"/>
    <mergeCell ref="CK66:CS67"/>
    <mergeCell ref="T64:U65"/>
    <mergeCell ref="T66:U67"/>
    <mergeCell ref="V66:AG67"/>
    <mergeCell ref="AH66:AI67"/>
    <mergeCell ref="AJ66:AK67"/>
    <mergeCell ref="AL66:AW67"/>
    <mergeCell ref="AX66:AY67"/>
    <mergeCell ref="C58:G59"/>
    <mergeCell ref="C64:G65"/>
    <mergeCell ref="I64:L65"/>
    <mergeCell ref="N64:Q65"/>
    <mergeCell ref="C66:G67"/>
    <mergeCell ref="I66:L67"/>
    <mergeCell ref="N66:Q67"/>
    <mergeCell ref="AJ79:AK80"/>
    <mergeCell ref="AL79:AW80"/>
    <mergeCell ref="AX79:AY80"/>
    <mergeCell ref="BA79:BD80"/>
    <mergeCell ref="C77:G78"/>
    <mergeCell ref="C79:G80"/>
    <mergeCell ref="I79:L80"/>
    <mergeCell ref="N79:Q80"/>
    <mergeCell ref="T79:U80"/>
    <mergeCell ref="V79:AG80"/>
    <mergeCell ref="AH79:AI80"/>
    <mergeCell ref="I69:L70"/>
    <mergeCell ref="I71:L72"/>
    <mergeCell ref="C73:G74"/>
    <mergeCell ref="I73:L74"/>
    <mergeCell ref="N73:Q74"/>
    <mergeCell ref="I77:L78"/>
    <mergeCell ref="N77:Q78"/>
    <mergeCell ref="AL81:AW82"/>
    <mergeCell ref="AX81:AY82"/>
    <mergeCell ref="BA81:BD82"/>
    <mergeCell ref="C81:G82"/>
    <mergeCell ref="I81:L82"/>
    <mergeCell ref="N81:Q82"/>
    <mergeCell ref="T81:U82"/>
    <mergeCell ref="V81:AG82"/>
    <mergeCell ref="AH81:AI82"/>
    <mergeCell ref="AJ81:AK82"/>
    <mergeCell ref="AL69:AW70"/>
    <mergeCell ref="AX69:AY70"/>
    <mergeCell ref="BA69:BD70"/>
    <mergeCell ref="BF69:BV70"/>
    <mergeCell ref="BY69:CI70"/>
    <mergeCell ref="CK69:CS70"/>
    <mergeCell ref="V71:AG72"/>
    <mergeCell ref="AH71:AI72"/>
    <mergeCell ref="AL71:AW72"/>
    <mergeCell ref="AX71:AY72"/>
    <mergeCell ref="BA71:BD72"/>
    <mergeCell ref="BF71:BV72"/>
    <mergeCell ref="BY71:CI72"/>
    <mergeCell ref="CK71:CS72"/>
    <mergeCell ref="C69:G70"/>
    <mergeCell ref="N69:Q70"/>
    <mergeCell ref="AH69:AI70"/>
    <mergeCell ref="AJ69:AK70"/>
    <mergeCell ref="C71:G72"/>
    <mergeCell ref="N71:Q72"/>
    <mergeCell ref="AJ71:AK72"/>
    <mergeCell ref="BF73:BV74"/>
    <mergeCell ref="BY73:CI74"/>
    <mergeCell ref="CK73:CS74"/>
    <mergeCell ref="V69:AG70"/>
    <mergeCell ref="V73:AG74"/>
    <mergeCell ref="AH73:AI74"/>
    <mergeCell ref="AJ73:AK74"/>
    <mergeCell ref="AL73:AW74"/>
    <mergeCell ref="AX73:AY74"/>
    <mergeCell ref="BA73:BD74"/>
    <mergeCell ref="T69:U70"/>
    <mergeCell ref="T71:U72"/>
    <mergeCell ref="T73:U74"/>
    <mergeCell ref="T77:U78"/>
    <mergeCell ref="V77:AG78"/>
    <mergeCell ref="AH77:AI78"/>
    <mergeCell ref="AJ77:AK78"/>
    <mergeCell ref="CK77:CS78"/>
    <mergeCell ref="CK79:CS80"/>
    <mergeCell ref="CK81:CS82"/>
    <mergeCell ref="BF1:BV3"/>
    <mergeCell ref="BY1:CI3"/>
    <mergeCell ref="CK1:CS3"/>
    <mergeCell ref="C1:G3"/>
    <mergeCell ref="I1:L3"/>
    <mergeCell ref="N1:Q3"/>
    <mergeCell ref="T1:AG3"/>
    <mergeCell ref="AH1:AK3"/>
    <mergeCell ref="AL1:AY3"/>
    <mergeCell ref="BA1:BD3"/>
    <mergeCell ref="AL5:AW6"/>
    <mergeCell ref="AX5:AY6"/>
    <mergeCell ref="BA5:BD6"/>
    <mergeCell ref="BF5:BV6"/>
    <mergeCell ref="BY5:CI6"/>
    <mergeCell ref="CK5:CS6"/>
    <mergeCell ref="I5:L6"/>
    <mergeCell ref="I7:L8"/>
    <mergeCell ref="C9:G10"/>
    <mergeCell ref="I9:L10"/>
    <mergeCell ref="N9:Q10"/>
    <mergeCell ref="T5:U6"/>
    <mergeCell ref="T7:U8"/>
    <mergeCell ref="T9:U10"/>
    <mergeCell ref="V7:AG8"/>
    <mergeCell ref="AH7:AI8"/>
    <mergeCell ref="AL7:AW8"/>
    <mergeCell ref="AX7:AY8"/>
    <mergeCell ref="BA7:BD8"/>
    <mergeCell ref="BF7:BV8"/>
    <mergeCell ref="BY7:CI8"/>
    <mergeCell ref="CK7:CS8"/>
    <mergeCell ref="BF9:BV10"/>
    <mergeCell ref="BY9:CI10"/>
    <mergeCell ref="CK9:CS10"/>
    <mergeCell ref="V5:AG6"/>
    <mergeCell ref="V9:AG10"/>
    <mergeCell ref="AH9:AI10"/>
    <mergeCell ref="AJ9:AK10"/>
    <mergeCell ref="AL9:AW10"/>
    <mergeCell ref="AX9:AY10"/>
    <mergeCell ref="BA9:BD10"/>
    <mergeCell ref="C5:G6"/>
    <mergeCell ref="N5:Q6"/>
    <mergeCell ref="AH5:AI6"/>
    <mergeCell ref="AJ5:AK6"/>
    <mergeCell ref="C7:G8"/>
    <mergeCell ref="N7:Q8"/>
    <mergeCell ref="AJ7:AK8"/>
    <mergeCell ref="AL11:AW12"/>
    <mergeCell ref="AX11:AY12"/>
    <mergeCell ref="BA11:BD12"/>
    <mergeCell ref="BF11:BV12"/>
    <mergeCell ref="BY11:CI12"/>
    <mergeCell ref="CK11:CS12"/>
    <mergeCell ref="I11:L12"/>
    <mergeCell ref="I13:L14"/>
    <mergeCell ref="C15:G16"/>
    <mergeCell ref="I15:L16"/>
    <mergeCell ref="N15:Q16"/>
    <mergeCell ref="T11:U12"/>
    <mergeCell ref="T13:U14"/>
    <mergeCell ref="T15:U16"/>
    <mergeCell ref="V13:AG14"/>
    <mergeCell ref="AH13:AI14"/>
    <mergeCell ref="AL13:AW14"/>
    <mergeCell ref="AX13:AY14"/>
    <mergeCell ref="BA13:BD14"/>
    <mergeCell ref="BF13:BV14"/>
    <mergeCell ref="BY13:CI14"/>
    <mergeCell ref="CK13:CS14"/>
    <mergeCell ref="BF15:BV16"/>
    <mergeCell ref="BY15:CI16"/>
    <mergeCell ref="CK15:CS16"/>
    <mergeCell ref="V11:AG12"/>
    <mergeCell ref="V15:AG16"/>
    <mergeCell ref="AH15:AI16"/>
    <mergeCell ref="AJ15:AK16"/>
    <mergeCell ref="AL15:AW16"/>
    <mergeCell ref="AX15:AY16"/>
    <mergeCell ref="BA15:BD16"/>
    <mergeCell ref="C11:G12"/>
    <mergeCell ref="N11:Q12"/>
    <mergeCell ref="AH11:AI12"/>
    <mergeCell ref="AJ11:AK12"/>
    <mergeCell ref="C13:G14"/>
    <mergeCell ref="N13:Q14"/>
    <mergeCell ref="AJ13:AK14"/>
    <mergeCell ref="AL17:AW18"/>
    <mergeCell ref="AX17:AY18"/>
    <mergeCell ref="BA17:BD18"/>
    <mergeCell ref="BF17:BV18"/>
    <mergeCell ref="BY17:CI18"/>
    <mergeCell ref="CK17:CS18"/>
    <mergeCell ref="V19:AG20"/>
    <mergeCell ref="AH19:AI20"/>
    <mergeCell ref="AL19:AW20"/>
    <mergeCell ref="AX19:AY20"/>
    <mergeCell ref="BA19:BD20"/>
    <mergeCell ref="BF19:BV20"/>
    <mergeCell ref="BY19:CI20"/>
    <mergeCell ref="CK19:CS20"/>
    <mergeCell ref="C17:G18"/>
    <mergeCell ref="N17:Q18"/>
    <mergeCell ref="V17:AG18"/>
    <mergeCell ref="AH17:AI18"/>
    <mergeCell ref="AJ17:AK18"/>
    <mergeCell ref="C19:G20"/>
    <mergeCell ref="N19:Q20"/>
    <mergeCell ref="AJ19:AK20"/>
    <mergeCell ref="AX23:AY24"/>
    <mergeCell ref="BA23:BD24"/>
    <mergeCell ref="BF23:BV24"/>
    <mergeCell ref="BY23:CI24"/>
    <mergeCell ref="CK23:CS24"/>
    <mergeCell ref="T17:U18"/>
    <mergeCell ref="T19:U20"/>
    <mergeCell ref="T23:U24"/>
    <mergeCell ref="V23:AG24"/>
    <mergeCell ref="AH23:AI24"/>
    <mergeCell ref="AJ23:AK24"/>
    <mergeCell ref="AL23:AW24"/>
    <mergeCell ref="BA25:BD26"/>
    <mergeCell ref="BF25:BV26"/>
    <mergeCell ref="BY25:CI26"/>
    <mergeCell ref="CK25:CS26"/>
    <mergeCell ref="N25:Q26"/>
    <mergeCell ref="T25:U26"/>
    <mergeCell ref="V25:AG26"/>
    <mergeCell ref="AH25:AI26"/>
    <mergeCell ref="AJ25:AK26"/>
    <mergeCell ref="AL25:AW26"/>
    <mergeCell ref="AX25:AY26"/>
    <mergeCell ref="AX27:AY28"/>
    <mergeCell ref="BA27:BD28"/>
    <mergeCell ref="BF27:BV28"/>
    <mergeCell ref="BY27:CI28"/>
    <mergeCell ref="CK27:CS28"/>
    <mergeCell ref="I25:L26"/>
    <mergeCell ref="I27:L28"/>
    <mergeCell ref="T27:U28"/>
    <mergeCell ref="V27:AG28"/>
    <mergeCell ref="AH27:AI28"/>
    <mergeCell ref="AJ27:AK28"/>
    <mergeCell ref="AL27:AW28"/>
    <mergeCell ref="AJ29:AK30"/>
    <mergeCell ref="AL29:AW30"/>
    <mergeCell ref="AX29:AY30"/>
    <mergeCell ref="BA29:BD30"/>
    <mergeCell ref="BF29:BV30"/>
    <mergeCell ref="BY29:CI30"/>
    <mergeCell ref="CK29:CS30"/>
    <mergeCell ref="C27:G28"/>
    <mergeCell ref="C29:G30"/>
    <mergeCell ref="I29:L30"/>
    <mergeCell ref="N29:Q30"/>
    <mergeCell ref="T29:U30"/>
    <mergeCell ref="V29:AG30"/>
    <mergeCell ref="AH29:AI30"/>
    <mergeCell ref="I17:L18"/>
    <mergeCell ref="I19:L20"/>
    <mergeCell ref="C23:G24"/>
    <mergeCell ref="I23:L24"/>
    <mergeCell ref="N23:Q24"/>
    <mergeCell ref="C25:G26"/>
    <mergeCell ref="N27:Q28"/>
    <mergeCell ref="BY38:CI39"/>
    <mergeCell ref="CK38:CS39"/>
    <mergeCell ref="V38:AG39"/>
    <mergeCell ref="AH38:AI39"/>
    <mergeCell ref="AJ38:AK39"/>
    <mergeCell ref="AL38:AW39"/>
    <mergeCell ref="AX38:AY39"/>
    <mergeCell ref="BA38:BD39"/>
    <mergeCell ref="BF38:BV39"/>
    <mergeCell ref="AL32:AW33"/>
    <mergeCell ref="AX32:AY33"/>
    <mergeCell ref="BA32:BD33"/>
    <mergeCell ref="BF32:BV33"/>
    <mergeCell ref="BY32:CI33"/>
    <mergeCell ref="CK32:CS33"/>
    <mergeCell ref="T32:U33"/>
    <mergeCell ref="T34:U35"/>
    <mergeCell ref="T36:U37"/>
    <mergeCell ref="T38:U39"/>
    <mergeCell ref="T42:U43"/>
    <mergeCell ref="V34:AG35"/>
    <mergeCell ref="AH34:AI35"/>
    <mergeCell ref="AL34:AW35"/>
    <mergeCell ref="AX34:AY35"/>
    <mergeCell ref="BA34:BD35"/>
    <mergeCell ref="BF34:BV35"/>
    <mergeCell ref="BY34:CI35"/>
    <mergeCell ref="CK34:CS35"/>
    <mergeCell ref="C32:G33"/>
    <mergeCell ref="N32:Q33"/>
    <mergeCell ref="AH32:AI33"/>
    <mergeCell ref="AJ32:AK33"/>
    <mergeCell ref="C34:G35"/>
    <mergeCell ref="N34:Q35"/>
    <mergeCell ref="AJ34:AK35"/>
    <mergeCell ref="BF36:BV37"/>
    <mergeCell ref="BY36:CI37"/>
    <mergeCell ref="CK36:CS37"/>
    <mergeCell ref="I32:L33"/>
    <mergeCell ref="I34:L35"/>
    <mergeCell ref="C36:G37"/>
    <mergeCell ref="I36:L37"/>
    <mergeCell ref="N36:Q37"/>
    <mergeCell ref="I38:L39"/>
    <mergeCell ref="N38:Q39"/>
    <mergeCell ref="BA42:BD43"/>
    <mergeCell ref="BF42:BV43"/>
    <mergeCell ref="BY42:CI43"/>
    <mergeCell ref="CK42:CS43"/>
    <mergeCell ref="V32:AG33"/>
    <mergeCell ref="V36:AG37"/>
    <mergeCell ref="AH36:AI37"/>
    <mergeCell ref="AJ36:AK37"/>
    <mergeCell ref="AL36:AW37"/>
    <mergeCell ref="AX36:AY37"/>
    <mergeCell ref="BA36:BD37"/>
    <mergeCell ref="BY79:CI80"/>
    <mergeCell ref="BY81:CI82"/>
    <mergeCell ref="AL77:AW78"/>
    <mergeCell ref="AX77:AY78"/>
    <mergeCell ref="BA77:BD78"/>
    <mergeCell ref="BF77:BV78"/>
    <mergeCell ref="BY77:CI78"/>
    <mergeCell ref="BF79:BV80"/>
    <mergeCell ref="BF81:BV82"/>
  </mergeCells>
  <conditionalFormatting sqref="T5:U20 T23:U39 T42:U45 T47:U54 T56:U59 T62:U67 T69:U74 T77:U82">
    <cfRule type="expression" dxfId="0" priority="1">
      <formula>AH5&lt;AJ5</formula>
    </cfRule>
  </conditionalFormatting>
  <conditionalFormatting sqref="V5:AG20 V23:AG39 V42:AG45 V47:AG54 V56:AG59 V62:AG67 V69:AG74 V77:AG82">
    <cfRule type="expression" dxfId="1" priority="2">
      <formula>AH5&lt;AJ5</formula>
    </cfRule>
  </conditionalFormatting>
  <conditionalFormatting sqref="AH5:AI20 AH23:AI39 AH42:AI45 AH47:AI54 AH56:AI59 AH62:AI67 AH69:AI74 AH77:AI82">
    <cfRule type="expression" dxfId="1" priority="3">
      <formula>AH5&lt;AJ5</formula>
    </cfRule>
  </conditionalFormatting>
  <conditionalFormatting sqref="T5:U20 T23:U39 T42:U45 T47:U54 T56:U59 T62:U67 T69:U74 T77:U82">
    <cfRule type="expression" dxfId="2" priority="4">
      <formula>AH5&gt;AJ5</formula>
    </cfRule>
  </conditionalFormatting>
  <conditionalFormatting sqref="V5:AG20 V23:AG39 V42:AG45 V47:AG54 V56:AG59 V62:AG67 V69:AG74 V77:AG82">
    <cfRule type="expression" dxfId="3" priority="5">
      <formula>AH5&gt;AJ5</formula>
    </cfRule>
  </conditionalFormatting>
  <conditionalFormatting sqref="AH5:AI20 AH23:AI39 AH42:AI45 AH47:AI54 AH56:AI59 AH62:AI67 AH69:AI74 AH77:AI82">
    <cfRule type="expression" dxfId="3" priority="6">
      <formula>AH5&gt;AJ5</formula>
    </cfRule>
  </conditionalFormatting>
  <conditionalFormatting sqref="AJ5:AK20 AJ23:AK39 AJ42:AK45 AJ47:AK54 AJ56:AK59 AJ62:AK67 AJ69:AK74 AJ77:AK82">
    <cfRule type="expression" dxfId="3" priority="7">
      <formula>AH5&lt;AJ5</formula>
    </cfRule>
  </conditionalFormatting>
  <conditionalFormatting sqref="AL5:AW20 AL23:AW39 AL42:AW45 AL47:AW54 AL56:AW59 AL62:AW67 AL69:AW74 AL77:AW82">
    <cfRule type="expression" dxfId="3" priority="8">
      <formula>AH5&lt;AJ5</formula>
    </cfRule>
  </conditionalFormatting>
  <conditionalFormatting sqref="AX5:AY20 AX23:AY39 AX42:AY45 AX47:AY54 AX56:AY59 AX62:AY67 AX69:AY74 AX77:AY82">
    <cfRule type="expression" dxfId="2" priority="9">
      <formula>AH5&lt;AJ5</formula>
    </cfRule>
  </conditionalFormatting>
  <conditionalFormatting sqref="AJ5:AK20 AJ23:AK39 AJ42:AK45 AJ47:AK54 AJ56:AK59 AJ62:AK67 AJ69:AK74 AJ77:AK82">
    <cfRule type="expression" dxfId="1" priority="10">
      <formula>AH5&gt;AJ5</formula>
    </cfRule>
  </conditionalFormatting>
  <conditionalFormatting sqref="AL5:AW20 AL23:AW39 AL42:AW45 AL47:AW54 AL56:AW59 AL62:AW67 AL69:AW74 AL77:AW82">
    <cfRule type="expression" dxfId="1" priority="11">
      <formula>AH5&gt;AJ5</formula>
    </cfRule>
  </conditionalFormatting>
  <conditionalFormatting sqref="AX5:AY20 AX23:AY39 AX42:AY45 AX47:AY54 AX56:AY59 AX62:AY67 AX69:AY74 AX77:AY82">
    <cfRule type="expression" dxfId="1" priority="12">
      <formula>AH5&gt;AJ5</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4" max="4" width="11.25"/>
    <col customWidth="1" min="5" max="5" width="47.5"/>
    <col hidden="1" min="6" max="7" width="12.63"/>
  </cols>
  <sheetData>
    <row r="1">
      <c r="A1" s="212">
        <v>1.0</v>
      </c>
      <c r="B1" s="212" t="str">
        <f t="array" ref="B1">xlookup(A1,'Team Entry'!$C:$C,'Team Entry'!$A:$A,"")</f>
        <v>Team 1 (Playoff)</v>
      </c>
    </row>
    <row r="2">
      <c r="A2" s="213">
        <f t="shared" ref="A2:A6" si="2">A1</f>
        <v>1</v>
      </c>
      <c r="B2" s="214"/>
      <c r="C2" s="215" t="s">
        <v>109</v>
      </c>
      <c r="D2" s="47" t="s">
        <v>110</v>
      </c>
      <c r="F2" s="48" t="str">
        <f t="shared" ref="F2:G2" si="1">B2</f>
        <v/>
      </c>
      <c r="G2" s="48" t="str">
        <f t="shared" si="1"/>
        <v>Player 1</v>
      </c>
    </row>
    <row r="3">
      <c r="A3" s="213">
        <f t="shared" si="2"/>
        <v>1</v>
      </c>
      <c r="D3" s="47" t="s">
        <v>111</v>
      </c>
      <c r="E3" s="47" t="s">
        <v>80</v>
      </c>
      <c r="F3" s="48" t="str">
        <f t="shared" ref="F3:G3" si="3">F2</f>
        <v/>
      </c>
      <c r="G3" s="48" t="str">
        <f t="shared" si="3"/>
        <v>Player 1</v>
      </c>
    </row>
    <row r="4">
      <c r="A4" s="213">
        <f t="shared" si="2"/>
        <v>1</v>
      </c>
      <c r="D4" s="47" t="s">
        <v>112</v>
      </c>
      <c r="E4" s="216"/>
      <c r="F4" s="48" t="str">
        <f t="shared" ref="F4:G4" si="4">F3</f>
        <v/>
      </c>
      <c r="G4" s="48" t="str">
        <f t="shared" si="4"/>
        <v>Player 1</v>
      </c>
    </row>
    <row r="5">
      <c r="A5" s="213">
        <f t="shared" si="2"/>
        <v>1</v>
      </c>
      <c r="D5" s="47" t="s">
        <v>113</v>
      </c>
      <c r="E5" s="216"/>
      <c r="F5" s="48" t="str">
        <f t="shared" ref="F5:G5" si="5">F4</f>
        <v/>
      </c>
      <c r="G5" s="48" t="str">
        <f t="shared" si="5"/>
        <v>Player 1</v>
      </c>
    </row>
    <row r="6">
      <c r="A6" s="213">
        <f t="shared" si="2"/>
        <v>1</v>
      </c>
      <c r="D6" s="47" t="s">
        <v>114</v>
      </c>
      <c r="E6" s="216"/>
      <c r="F6" s="48" t="str">
        <f t="shared" ref="F6:G6" si="6">F5</f>
        <v/>
      </c>
      <c r="G6" s="48" t="str">
        <f t="shared" si="6"/>
        <v>Player 1</v>
      </c>
      <c r="K6" s="217" t="s">
        <v>80</v>
      </c>
      <c r="L6" s="37" t="str">
        <f>IMAGE("https://i.imgur.com/XrjYtwZ.png")</f>
        <v/>
      </c>
    </row>
    <row r="7">
      <c r="A7" s="213">
        <f>A5</f>
        <v>1</v>
      </c>
      <c r="B7" s="214"/>
      <c r="C7" s="215" t="s">
        <v>115</v>
      </c>
      <c r="D7" s="47" t="s">
        <v>110</v>
      </c>
      <c r="F7" s="48" t="str">
        <f t="shared" ref="F7:G7" si="7">B7</f>
        <v/>
      </c>
      <c r="G7" s="48" t="str">
        <f t="shared" si="7"/>
        <v>Player 2</v>
      </c>
      <c r="K7" s="217" t="s">
        <v>116</v>
      </c>
      <c r="L7" s="37" t="str">
        <f>IMAGE("https://i.imgur.com/naSnlNh.png")</f>
        <v/>
      </c>
    </row>
    <row r="8">
      <c r="A8" s="213">
        <f t="shared" ref="A8:A11" si="9">A7</f>
        <v>1</v>
      </c>
      <c r="D8" s="47" t="s">
        <v>111</v>
      </c>
      <c r="E8" s="47" t="s">
        <v>80</v>
      </c>
      <c r="F8" s="48" t="str">
        <f t="shared" ref="F8:G8" si="8">F7</f>
        <v/>
      </c>
      <c r="G8" s="48" t="str">
        <f t="shared" si="8"/>
        <v>Player 2</v>
      </c>
      <c r="K8" s="217" t="s">
        <v>117</v>
      </c>
      <c r="L8" s="37" t="str">
        <f>IMAGE("https://i.imgur.com/FdXysHw.png")</f>
        <v/>
      </c>
    </row>
    <row r="9">
      <c r="A9" s="213">
        <f t="shared" si="9"/>
        <v>1</v>
      </c>
      <c r="D9" s="47" t="s">
        <v>112</v>
      </c>
      <c r="E9" s="216"/>
      <c r="F9" s="48" t="str">
        <f t="shared" ref="F9:G9" si="10">F8</f>
        <v/>
      </c>
      <c r="G9" s="48" t="str">
        <f t="shared" si="10"/>
        <v>Player 2</v>
      </c>
      <c r="K9" s="217" t="s">
        <v>118</v>
      </c>
      <c r="L9" s="37" t="str">
        <f>IMAGE("https://i.imgur.com/vz2EFOa.png")</f>
        <v/>
      </c>
    </row>
    <row r="10">
      <c r="A10" s="213">
        <f t="shared" si="9"/>
        <v>1</v>
      </c>
      <c r="D10" s="47" t="s">
        <v>113</v>
      </c>
      <c r="E10" s="216"/>
      <c r="F10" s="48" t="str">
        <f t="shared" ref="F10:G10" si="11">F9</f>
        <v/>
      </c>
      <c r="G10" s="48" t="str">
        <f t="shared" si="11"/>
        <v>Player 2</v>
      </c>
      <c r="K10" s="217" t="s">
        <v>119</v>
      </c>
      <c r="L10" s="37" t="str">
        <f>IMAGE("https://i.imgur.com/klLdtP2.png")</f>
        <v/>
      </c>
    </row>
    <row r="11">
      <c r="A11" s="213">
        <f t="shared" si="9"/>
        <v>1</v>
      </c>
      <c r="D11" s="47" t="s">
        <v>114</v>
      </c>
      <c r="E11" s="216"/>
      <c r="F11" s="48" t="str">
        <f t="shared" ref="F11:G11" si="12">F10</f>
        <v/>
      </c>
      <c r="G11" s="48" t="str">
        <f t="shared" si="12"/>
        <v>Player 2</v>
      </c>
      <c r="K11" s="217" t="s">
        <v>120</v>
      </c>
      <c r="L11" s="37" t="str">
        <f>IMAGE("https://i.imgur.com/mveT3vd.png")</f>
        <v/>
      </c>
    </row>
    <row r="12">
      <c r="A12" s="213">
        <f>A10</f>
        <v>1</v>
      </c>
      <c r="B12" s="214"/>
      <c r="C12" s="215" t="s">
        <v>121</v>
      </c>
      <c r="D12" s="47" t="s">
        <v>110</v>
      </c>
      <c r="F12" s="48" t="str">
        <f t="shared" ref="F12:G12" si="13">B12</f>
        <v/>
      </c>
      <c r="G12" s="48" t="str">
        <f t="shared" si="13"/>
        <v>Player 3</v>
      </c>
      <c r="K12" s="217" t="s">
        <v>122</v>
      </c>
      <c r="L12" s="37" t="str">
        <f>IMAGE("https://i.imgur.com/PobyNV7.png")</f>
        <v/>
      </c>
    </row>
    <row r="13">
      <c r="A13" s="213">
        <f t="shared" ref="A13:A16" si="15">A12</f>
        <v>1</v>
      </c>
      <c r="D13" s="47" t="s">
        <v>111</v>
      </c>
      <c r="E13" s="47" t="s">
        <v>80</v>
      </c>
      <c r="F13" s="48" t="str">
        <f t="shared" ref="F13:G13" si="14">F12</f>
        <v/>
      </c>
      <c r="G13" s="48" t="str">
        <f t="shared" si="14"/>
        <v>Player 3</v>
      </c>
      <c r="K13" s="217" t="s">
        <v>123</v>
      </c>
      <c r="L13" s="37" t="str">
        <f>IMAGE("https://i.imgur.com/FerYIYh.png")</f>
        <v/>
      </c>
    </row>
    <row r="14">
      <c r="A14" s="213">
        <f t="shared" si="15"/>
        <v>1</v>
      </c>
      <c r="D14" s="47" t="s">
        <v>112</v>
      </c>
      <c r="E14" s="216"/>
      <c r="F14" s="48" t="str">
        <f t="shared" ref="F14:G14" si="16">F13</f>
        <v/>
      </c>
      <c r="G14" s="48" t="str">
        <f t="shared" si="16"/>
        <v>Player 3</v>
      </c>
      <c r="K14" s="217" t="s">
        <v>124</v>
      </c>
      <c r="L14" s="37" t="str">
        <f>IMAGE("https://i.imgur.com/OC5AfJU.png")</f>
        <v/>
      </c>
    </row>
    <row r="15">
      <c r="A15" s="213">
        <f t="shared" si="15"/>
        <v>1</v>
      </c>
      <c r="D15" s="47" t="s">
        <v>113</v>
      </c>
      <c r="E15" s="216"/>
      <c r="F15" s="48" t="str">
        <f t="shared" ref="F15:G15" si="17">F14</f>
        <v/>
      </c>
      <c r="G15" s="48" t="str">
        <f t="shared" si="17"/>
        <v>Player 3</v>
      </c>
      <c r="K15" s="217" t="s">
        <v>125</v>
      </c>
      <c r="L15" s="37" t="str">
        <f>IMAGE("https://i.imgur.com/7mN9cET.png")</f>
        <v/>
      </c>
    </row>
    <row r="16">
      <c r="A16" s="213">
        <f t="shared" si="15"/>
        <v>1</v>
      </c>
      <c r="D16" s="47" t="s">
        <v>114</v>
      </c>
      <c r="E16" s="216"/>
      <c r="F16" s="48" t="str">
        <f t="shared" ref="F16:G16" si="18">F15</f>
        <v/>
      </c>
      <c r="G16" s="48" t="str">
        <f t="shared" si="18"/>
        <v>Player 3</v>
      </c>
      <c r="K16" s="217" t="s">
        <v>126</v>
      </c>
      <c r="L16" s="37" t="str">
        <f>IMAGE("https://i.imgur.com/vtpzNzy.png")</f>
        <v/>
      </c>
    </row>
    <row r="17">
      <c r="A17" s="213">
        <f>A15</f>
        <v>1</v>
      </c>
      <c r="B17" s="214"/>
      <c r="C17" s="215" t="s">
        <v>127</v>
      </c>
      <c r="D17" s="47" t="s">
        <v>110</v>
      </c>
      <c r="F17" s="48" t="str">
        <f t="shared" ref="F17:G17" si="19">B17</f>
        <v/>
      </c>
      <c r="G17" s="48" t="str">
        <f t="shared" si="19"/>
        <v>Player 4</v>
      </c>
      <c r="K17" s="217" t="s">
        <v>128</v>
      </c>
      <c r="L17" s="37" t="str">
        <f>IMAGE("https://i.imgur.com/AMjgc8I.png")</f>
        <v/>
      </c>
    </row>
    <row r="18">
      <c r="A18" s="213">
        <f t="shared" ref="A18:A21" si="21">A17</f>
        <v>1</v>
      </c>
      <c r="D18" s="47" t="s">
        <v>111</v>
      </c>
      <c r="E18" s="47" t="s">
        <v>80</v>
      </c>
      <c r="F18" s="48" t="str">
        <f t="shared" ref="F18:G18" si="20">F17</f>
        <v/>
      </c>
      <c r="G18" s="48" t="str">
        <f t="shared" si="20"/>
        <v>Player 4</v>
      </c>
      <c r="K18" s="217" t="s">
        <v>129</v>
      </c>
      <c r="L18" s="37" t="str">
        <f>IMAGE("https://i.imgur.com/RDn9fC0.png")</f>
        <v/>
      </c>
    </row>
    <row r="19">
      <c r="A19" s="213">
        <f t="shared" si="21"/>
        <v>1</v>
      </c>
      <c r="D19" s="47" t="s">
        <v>112</v>
      </c>
      <c r="E19" s="216"/>
      <c r="F19" s="48" t="str">
        <f t="shared" ref="F19:G19" si="22">F18</f>
        <v/>
      </c>
      <c r="G19" s="48" t="str">
        <f t="shared" si="22"/>
        <v>Player 4</v>
      </c>
      <c r="K19" s="217" t="s">
        <v>130</v>
      </c>
      <c r="L19" s="37" t="str">
        <f>IMAGE("https://i.imgur.com/Q7WTeRr.png")</f>
        <v/>
      </c>
    </row>
    <row r="20">
      <c r="A20" s="213">
        <f t="shared" si="21"/>
        <v>1</v>
      </c>
      <c r="D20" s="47" t="s">
        <v>113</v>
      </c>
      <c r="E20" s="216"/>
      <c r="F20" s="48" t="str">
        <f t="shared" ref="F20:G20" si="23">F19</f>
        <v/>
      </c>
      <c r="G20" s="48" t="str">
        <f t="shared" si="23"/>
        <v>Player 4</v>
      </c>
      <c r="K20" s="217" t="s">
        <v>131</v>
      </c>
      <c r="L20" s="37" t="str">
        <f>IMAGE("https://i.imgur.com/dO5L242.png")</f>
        <v/>
      </c>
    </row>
    <row r="21">
      <c r="A21" s="213">
        <f t="shared" si="21"/>
        <v>1</v>
      </c>
      <c r="D21" s="47" t="s">
        <v>114</v>
      </c>
      <c r="E21" s="216"/>
      <c r="F21" s="48" t="str">
        <f t="shared" ref="F21:G21" si="24">F20</f>
        <v/>
      </c>
      <c r="G21" s="48" t="str">
        <f t="shared" si="24"/>
        <v>Player 4</v>
      </c>
      <c r="K21" s="217" t="s">
        <v>132</v>
      </c>
      <c r="L21" s="37" t="str">
        <f>IMAGE("https://i.imgur.com/E9hW0Ur.png")</f>
        <v/>
      </c>
    </row>
    <row r="22">
      <c r="A22" s="213">
        <f>A20</f>
        <v>1</v>
      </c>
      <c r="B22" s="214"/>
      <c r="C22" s="215" t="s">
        <v>133</v>
      </c>
      <c r="D22" s="47" t="s">
        <v>110</v>
      </c>
      <c r="F22" s="48" t="str">
        <f t="shared" ref="F22:G22" si="25">B22</f>
        <v/>
      </c>
      <c r="G22" s="48" t="str">
        <f t="shared" si="25"/>
        <v>Player 5</v>
      </c>
      <c r="K22" s="217" t="s">
        <v>134</v>
      </c>
      <c r="L22" s="37" t="str">
        <f>IMAGE("https://i.imgur.com/VLoMdkr.png")</f>
        <v/>
      </c>
    </row>
    <row r="23">
      <c r="A23" s="213">
        <f t="shared" ref="A23:A36" si="27">A22</f>
        <v>1</v>
      </c>
      <c r="D23" s="47" t="s">
        <v>111</v>
      </c>
      <c r="E23" s="47" t="s">
        <v>80</v>
      </c>
      <c r="F23" s="48" t="str">
        <f t="shared" ref="F23:G23" si="26">F22</f>
        <v/>
      </c>
      <c r="G23" s="48" t="str">
        <f t="shared" si="26"/>
        <v>Player 5</v>
      </c>
      <c r="K23" s="217" t="s">
        <v>135</v>
      </c>
      <c r="L23" s="37" t="str">
        <f>IMAGE("https://i.imgur.com/ua02kvB.png")</f>
        <v/>
      </c>
    </row>
    <row r="24">
      <c r="A24" s="213">
        <f t="shared" si="27"/>
        <v>1</v>
      </c>
      <c r="D24" s="47" t="s">
        <v>112</v>
      </c>
      <c r="E24" s="216"/>
      <c r="F24" s="48" t="str">
        <f t="shared" ref="F24:G24" si="28">F23</f>
        <v/>
      </c>
      <c r="G24" s="48" t="str">
        <f t="shared" si="28"/>
        <v>Player 5</v>
      </c>
      <c r="K24" s="217" t="s">
        <v>136</v>
      </c>
      <c r="L24" s="37" t="str">
        <f>IMAGE("https://i.imgur.com/5pcHkOL.png")</f>
        <v/>
      </c>
    </row>
    <row r="25">
      <c r="A25" s="213">
        <f t="shared" si="27"/>
        <v>1</v>
      </c>
      <c r="D25" s="47" t="s">
        <v>113</v>
      </c>
      <c r="E25" s="216"/>
      <c r="F25" s="48" t="str">
        <f t="shared" ref="F25:G25" si="29">F24</f>
        <v/>
      </c>
      <c r="G25" s="48" t="str">
        <f t="shared" si="29"/>
        <v>Player 5</v>
      </c>
      <c r="K25" s="217" t="s">
        <v>137</v>
      </c>
      <c r="L25" s="37" t="str">
        <f>IMAGE("https://i.imgur.com/3DcKc5M.png")</f>
        <v/>
      </c>
    </row>
    <row r="26">
      <c r="A26" s="213">
        <f t="shared" si="27"/>
        <v>1</v>
      </c>
      <c r="D26" s="47" t="s">
        <v>114</v>
      </c>
      <c r="E26" s="216"/>
      <c r="F26" s="48" t="str">
        <f t="shared" ref="F26:G26" si="30">F25</f>
        <v/>
      </c>
      <c r="G26" s="48" t="str">
        <f t="shared" si="30"/>
        <v>Player 5</v>
      </c>
      <c r="K26" s="217" t="s">
        <v>138</v>
      </c>
      <c r="L26" s="37" t="str">
        <f>IMAGE("https://i.imgur.com/0fCGjG0.png")</f>
        <v/>
      </c>
    </row>
    <row r="27">
      <c r="A27" s="213">
        <f t="shared" si="27"/>
        <v>1</v>
      </c>
      <c r="B27" s="214"/>
      <c r="C27" s="215" t="s">
        <v>139</v>
      </c>
      <c r="D27" s="47" t="s">
        <v>110</v>
      </c>
      <c r="E27" s="216"/>
      <c r="F27" s="48" t="str">
        <f t="shared" ref="F27:G27" si="31">B27</f>
        <v/>
      </c>
      <c r="G27" s="48" t="str">
        <f t="shared" si="31"/>
        <v>Player 6 (Substitute)</v>
      </c>
      <c r="K27" s="217" t="s">
        <v>140</v>
      </c>
      <c r="L27" s="37" t="str">
        <f>IMAGE("https://i.imgur.com/69nG66L.png")</f>
        <v/>
      </c>
    </row>
    <row r="28">
      <c r="A28" s="213">
        <f t="shared" si="27"/>
        <v>1</v>
      </c>
      <c r="D28" s="47" t="s">
        <v>111</v>
      </c>
      <c r="E28" s="47" t="s">
        <v>80</v>
      </c>
      <c r="F28" s="48" t="str">
        <f t="shared" ref="F28:G28" si="32">F27</f>
        <v/>
      </c>
      <c r="G28" s="48" t="str">
        <f t="shared" si="32"/>
        <v>Player 6 (Substitute)</v>
      </c>
      <c r="K28" s="217" t="s">
        <v>141</v>
      </c>
      <c r="L28" s="37" t="str">
        <f>IMAGE("https://i.imgur.com/CBACh5M.png")</f>
        <v/>
      </c>
    </row>
    <row r="29">
      <c r="A29" s="213">
        <f t="shared" si="27"/>
        <v>1</v>
      </c>
      <c r="D29" s="47" t="s">
        <v>112</v>
      </c>
      <c r="E29" s="216"/>
      <c r="F29" s="48" t="str">
        <f t="shared" ref="F29:G29" si="33">F28</f>
        <v/>
      </c>
      <c r="G29" s="48" t="str">
        <f t="shared" si="33"/>
        <v>Player 6 (Substitute)</v>
      </c>
      <c r="K29" s="37" t="s">
        <v>142</v>
      </c>
      <c r="L29" s="37" t="str">
        <f>IMAGE("https://i.imgur.com/aQwDR0P.png")</f>
        <v/>
      </c>
    </row>
    <row r="30">
      <c r="A30" s="213">
        <f t="shared" si="27"/>
        <v>1</v>
      </c>
      <c r="D30" s="47" t="s">
        <v>113</v>
      </c>
      <c r="E30" s="216"/>
      <c r="F30" s="48" t="str">
        <f t="shared" ref="F30:G30" si="34">F29</f>
        <v/>
      </c>
      <c r="G30" s="48" t="str">
        <f t="shared" si="34"/>
        <v>Player 6 (Substitute)</v>
      </c>
      <c r="K30" s="37" t="s">
        <v>143</v>
      </c>
      <c r="L30" s="37" t="str">
        <f>IMAGE("https://i.imgur.com/QybrPes.png")</f>
        <v/>
      </c>
    </row>
    <row r="31">
      <c r="A31" s="213">
        <f t="shared" si="27"/>
        <v>1</v>
      </c>
      <c r="D31" s="47" t="s">
        <v>114</v>
      </c>
      <c r="E31" s="216"/>
      <c r="F31" s="48" t="str">
        <f t="shared" ref="F31:G31" si="35">F30</f>
        <v/>
      </c>
      <c r="G31" s="48" t="str">
        <f t="shared" si="35"/>
        <v>Player 6 (Substitute)</v>
      </c>
      <c r="K31" s="37" t="s">
        <v>144</v>
      </c>
      <c r="L31" s="37" t="str">
        <f>IMAGE("https://i.imgur.com/4Nc7YaE.png")</f>
        <v/>
      </c>
    </row>
    <row r="32">
      <c r="A32" s="213">
        <f t="shared" si="27"/>
        <v>1</v>
      </c>
      <c r="B32" s="214"/>
      <c r="C32" s="215" t="s">
        <v>145</v>
      </c>
      <c r="D32" s="47" t="s">
        <v>110</v>
      </c>
      <c r="F32" s="48" t="str">
        <f t="shared" ref="F32:G32" si="36">B32</f>
        <v/>
      </c>
      <c r="G32" s="48" t="str">
        <f t="shared" si="36"/>
        <v>Coach</v>
      </c>
      <c r="K32" s="37" t="s">
        <v>146</v>
      </c>
      <c r="L32" s="37" t="str">
        <f>IMAGE("https://i.imgur.com/jVsK0AL.png")</f>
        <v/>
      </c>
    </row>
    <row r="33">
      <c r="A33" s="213">
        <f t="shared" si="27"/>
        <v>1</v>
      </c>
      <c r="D33" s="47" t="s">
        <v>111</v>
      </c>
      <c r="E33" s="47" t="s">
        <v>80</v>
      </c>
      <c r="F33" s="48" t="str">
        <f t="shared" ref="F33:G33" si="37">F32</f>
        <v/>
      </c>
      <c r="G33" s="48" t="str">
        <f t="shared" si="37"/>
        <v>Coach</v>
      </c>
      <c r="K33" s="37" t="s">
        <v>147</v>
      </c>
      <c r="L33" s="37" t="str">
        <f>IMAGE("https://i.imgur.com/8pQpjkM.png")</f>
        <v/>
      </c>
    </row>
    <row r="34">
      <c r="A34" s="213">
        <f t="shared" si="27"/>
        <v>1</v>
      </c>
      <c r="D34" s="47" t="s">
        <v>112</v>
      </c>
      <c r="E34" s="216"/>
      <c r="F34" s="48" t="str">
        <f t="shared" ref="F34:G34" si="38">F33</f>
        <v/>
      </c>
      <c r="G34" s="48" t="str">
        <f t="shared" si="38"/>
        <v>Coach</v>
      </c>
      <c r="K34" s="37" t="s">
        <v>148</v>
      </c>
      <c r="L34" s="37" t="str">
        <f>IMAGE("https://i.imgur.com/cGImBgK.png")</f>
        <v/>
      </c>
    </row>
    <row r="35">
      <c r="A35" s="213">
        <f t="shared" si="27"/>
        <v>1</v>
      </c>
      <c r="D35" s="47" t="s">
        <v>113</v>
      </c>
      <c r="E35" s="218"/>
      <c r="F35" s="48" t="str">
        <f t="shared" ref="F35:G35" si="39">F34</f>
        <v/>
      </c>
      <c r="G35" s="48" t="str">
        <f t="shared" si="39"/>
        <v>Coach</v>
      </c>
      <c r="K35" s="37" t="s">
        <v>149</v>
      </c>
      <c r="L35" s="37" t="str">
        <f>IMAGE("https://i.imgur.com/z2PhCJI.png")</f>
        <v/>
      </c>
    </row>
    <row r="36">
      <c r="A36" s="213">
        <f t="shared" si="27"/>
        <v>1</v>
      </c>
      <c r="D36" s="47" t="s">
        <v>114</v>
      </c>
      <c r="E36" s="218"/>
      <c r="F36" s="48" t="str">
        <f t="shared" ref="F36:G36" si="40">F35</f>
        <v/>
      </c>
      <c r="G36" s="48" t="str">
        <f t="shared" si="40"/>
        <v>Coach</v>
      </c>
      <c r="K36" s="37" t="s">
        <v>150</v>
      </c>
      <c r="L36" s="37" t="str">
        <f>IMAGE("https://i.imgur.com/B82C4vm.png")</f>
        <v/>
      </c>
    </row>
    <row r="37">
      <c r="A37" s="212">
        <f>A1+1</f>
        <v>2</v>
      </c>
      <c r="B37" s="212" t="str">
        <f t="array" ref="B37">xlookup(A37,'Team Entry'!$C:$C,'Team Entry'!$A:$A,"")</f>
        <v>Team 2 (Playoff)</v>
      </c>
      <c r="K37" s="37" t="s">
        <v>151</v>
      </c>
      <c r="L37" s="37" t="str">
        <f>IMAGE("https://i.imgur.com/up3OMya.png")</f>
        <v/>
      </c>
    </row>
    <row r="38">
      <c r="A38" s="213">
        <f t="shared" ref="A38:A42" si="42">A37</f>
        <v>2</v>
      </c>
      <c r="B38" s="214"/>
      <c r="C38" s="215" t="s">
        <v>109</v>
      </c>
      <c r="D38" s="47" t="s">
        <v>110</v>
      </c>
      <c r="F38" s="48" t="str">
        <f t="shared" ref="F38:G38" si="41">B38</f>
        <v/>
      </c>
      <c r="G38" s="48" t="str">
        <f t="shared" si="41"/>
        <v>Player 1</v>
      </c>
      <c r="K38" s="37" t="s">
        <v>152</v>
      </c>
      <c r="L38" s="37" t="str">
        <f>IMAGE("https://i.imgur.com/klLwpeJ.png")</f>
        <v/>
      </c>
    </row>
    <row r="39">
      <c r="A39" s="213">
        <f t="shared" si="42"/>
        <v>2</v>
      </c>
      <c r="D39" s="47" t="s">
        <v>111</v>
      </c>
      <c r="E39" s="47" t="s">
        <v>80</v>
      </c>
      <c r="F39" s="48" t="str">
        <f t="shared" ref="F39:G39" si="43">F38</f>
        <v/>
      </c>
      <c r="G39" s="48" t="str">
        <f t="shared" si="43"/>
        <v>Player 1</v>
      </c>
      <c r="K39" s="37" t="s">
        <v>153</v>
      </c>
      <c r="L39" s="37" t="str">
        <f>IMAGE("https://i.imgur.com/nbMLAPD.png")</f>
        <v/>
      </c>
    </row>
    <row r="40">
      <c r="A40" s="213">
        <f t="shared" si="42"/>
        <v>2</v>
      </c>
      <c r="D40" s="47" t="s">
        <v>112</v>
      </c>
      <c r="E40" s="216"/>
      <c r="F40" s="48" t="str">
        <f t="shared" ref="F40:G40" si="44">F39</f>
        <v/>
      </c>
      <c r="G40" s="48" t="str">
        <f t="shared" si="44"/>
        <v>Player 1</v>
      </c>
      <c r="K40" s="37" t="s">
        <v>154</v>
      </c>
      <c r="L40" s="37" t="str">
        <f>IMAGE("https://i.imgur.com/O6FLSsv.png")</f>
        <v/>
      </c>
    </row>
    <row r="41">
      <c r="A41" s="213">
        <f t="shared" si="42"/>
        <v>2</v>
      </c>
      <c r="D41" s="47" t="s">
        <v>113</v>
      </c>
      <c r="E41" s="216"/>
      <c r="F41" s="48" t="str">
        <f t="shared" ref="F41:G41" si="45">F40</f>
        <v/>
      </c>
      <c r="G41" s="48" t="str">
        <f t="shared" si="45"/>
        <v>Player 1</v>
      </c>
      <c r="K41" s="37" t="s">
        <v>155</v>
      </c>
      <c r="L41" s="37" t="str">
        <f>IMAGE("https://i.imgur.com/7pjdoqi.png")</f>
        <v/>
      </c>
    </row>
    <row r="42">
      <c r="A42" s="213">
        <f t="shared" si="42"/>
        <v>2</v>
      </c>
      <c r="D42" s="47" t="s">
        <v>114</v>
      </c>
      <c r="E42" s="216"/>
      <c r="F42" s="48" t="str">
        <f t="shared" ref="F42:G42" si="46">F41</f>
        <v/>
      </c>
      <c r="G42" s="48" t="str">
        <f t="shared" si="46"/>
        <v>Player 1</v>
      </c>
      <c r="K42" s="37" t="s">
        <v>156</v>
      </c>
      <c r="L42" s="37" t="str">
        <f>IMAGE("https://i.imgur.com/zPAUoUd.png")</f>
        <v/>
      </c>
    </row>
    <row r="43">
      <c r="A43" s="213">
        <f>A41</f>
        <v>2</v>
      </c>
      <c r="B43" s="214"/>
      <c r="C43" s="215" t="s">
        <v>115</v>
      </c>
      <c r="D43" s="47" t="s">
        <v>110</v>
      </c>
      <c r="F43" s="48" t="str">
        <f t="shared" ref="F43:G43" si="47">B43</f>
        <v/>
      </c>
      <c r="G43" s="48" t="str">
        <f t="shared" si="47"/>
        <v>Player 2</v>
      </c>
      <c r="K43" s="37" t="s">
        <v>157</v>
      </c>
      <c r="L43" s="37" t="str">
        <f>IMAGE("https://i.imgur.com/JWnYNwg.png")</f>
        <v/>
      </c>
    </row>
    <row r="44">
      <c r="A44" s="213">
        <f t="shared" ref="A44:A47" si="49">A43</f>
        <v>2</v>
      </c>
      <c r="D44" s="47" t="s">
        <v>111</v>
      </c>
      <c r="E44" s="47" t="s">
        <v>80</v>
      </c>
      <c r="F44" s="48" t="str">
        <f t="shared" ref="F44:G44" si="48">F43</f>
        <v/>
      </c>
      <c r="G44" s="48" t="str">
        <f t="shared" si="48"/>
        <v>Player 2</v>
      </c>
      <c r="K44" s="37" t="s">
        <v>158</v>
      </c>
      <c r="L44" s="37" t="str">
        <f>IMAGE("https://i.imgur.com/XmBXNTh.png")</f>
        <v/>
      </c>
    </row>
    <row r="45">
      <c r="A45" s="213">
        <f t="shared" si="49"/>
        <v>2</v>
      </c>
      <c r="D45" s="47" t="s">
        <v>112</v>
      </c>
      <c r="E45" s="216"/>
      <c r="F45" s="48" t="str">
        <f t="shared" ref="F45:G45" si="50">F44</f>
        <v/>
      </c>
      <c r="G45" s="48" t="str">
        <f t="shared" si="50"/>
        <v>Player 2</v>
      </c>
      <c r="K45" s="37" t="s">
        <v>159</v>
      </c>
      <c r="L45" s="37" t="str">
        <f>IMAGE("https://i.imgur.com/ZtCgQSt.png")</f>
        <v/>
      </c>
    </row>
    <row r="46">
      <c r="A46" s="213">
        <f t="shared" si="49"/>
        <v>2</v>
      </c>
      <c r="D46" s="47" t="s">
        <v>113</v>
      </c>
      <c r="E46" s="216"/>
      <c r="F46" s="48" t="str">
        <f t="shared" ref="F46:G46" si="51">F45</f>
        <v/>
      </c>
      <c r="G46" s="48" t="str">
        <f t="shared" si="51"/>
        <v>Player 2</v>
      </c>
      <c r="K46" s="37" t="s">
        <v>160</v>
      </c>
      <c r="L46" s="37" t="str">
        <f>IMAGE("https://i.imgur.com/MRT1GIJ.png")</f>
        <v/>
      </c>
    </row>
    <row r="47">
      <c r="A47" s="213">
        <f t="shared" si="49"/>
        <v>2</v>
      </c>
      <c r="D47" s="47" t="s">
        <v>114</v>
      </c>
      <c r="E47" s="216"/>
      <c r="F47" s="48" t="str">
        <f t="shared" ref="F47:G47" si="52">F46</f>
        <v/>
      </c>
      <c r="G47" s="48" t="str">
        <f t="shared" si="52"/>
        <v>Player 2</v>
      </c>
      <c r="K47" s="37" t="s">
        <v>161</v>
      </c>
      <c r="L47" s="37" t="str">
        <f>IMAGE("https://i.imgur.com/BZFJv9Y.png")</f>
        <v/>
      </c>
    </row>
    <row r="48">
      <c r="A48" s="213">
        <f>A46</f>
        <v>2</v>
      </c>
      <c r="B48" s="214"/>
      <c r="C48" s="215" t="s">
        <v>121</v>
      </c>
      <c r="D48" s="47" t="s">
        <v>110</v>
      </c>
      <c r="F48" s="48" t="str">
        <f t="shared" ref="F48:G48" si="53">B48</f>
        <v/>
      </c>
      <c r="G48" s="48" t="str">
        <f t="shared" si="53"/>
        <v>Player 3</v>
      </c>
      <c r="K48" s="37" t="s">
        <v>162</v>
      </c>
      <c r="L48" s="37" t="str">
        <f>IMAGE("https://i.imgur.com/07y5dbX.png")</f>
        <v/>
      </c>
    </row>
    <row r="49">
      <c r="A49" s="213">
        <f t="shared" ref="A49:A52" si="55">A48</f>
        <v>2</v>
      </c>
      <c r="D49" s="47" t="s">
        <v>111</v>
      </c>
      <c r="E49" s="47" t="s">
        <v>80</v>
      </c>
      <c r="F49" s="48" t="str">
        <f t="shared" ref="F49:G49" si="54">F48</f>
        <v/>
      </c>
      <c r="G49" s="48" t="str">
        <f t="shared" si="54"/>
        <v>Player 3</v>
      </c>
      <c r="K49" s="37" t="s">
        <v>163</v>
      </c>
      <c r="L49" s="37" t="str">
        <f>IMAGE("https://i.imgur.com/2TI0dgq.png")</f>
        <v/>
      </c>
    </row>
    <row r="50">
      <c r="A50" s="213">
        <f t="shared" si="55"/>
        <v>2</v>
      </c>
      <c r="D50" s="47" t="s">
        <v>112</v>
      </c>
      <c r="E50" s="216"/>
      <c r="F50" s="48" t="str">
        <f t="shared" ref="F50:G50" si="56">F49</f>
        <v/>
      </c>
      <c r="G50" s="48" t="str">
        <f t="shared" si="56"/>
        <v>Player 3</v>
      </c>
      <c r="K50" s="37" t="s">
        <v>164</v>
      </c>
      <c r="L50" s="37" t="str">
        <f>IMAGE("https://i.imgur.com/8n7szky.png")</f>
        <v/>
      </c>
    </row>
    <row r="51">
      <c r="A51" s="213">
        <f t="shared" si="55"/>
        <v>2</v>
      </c>
      <c r="D51" s="47" t="s">
        <v>113</v>
      </c>
      <c r="E51" s="216"/>
      <c r="F51" s="48" t="str">
        <f t="shared" ref="F51:G51" si="57">F50</f>
        <v/>
      </c>
      <c r="G51" s="48" t="str">
        <f t="shared" si="57"/>
        <v>Player 3</v>
      </c>
      <c r="K51" s="37" t="s">
        <v>165</v>
      </c>
      <c r="L51" s="37" t="str">
        <f>IMAGE("https://i.imgur.com/YAiXQDw.png")</f>
        <v/>
      </c>
    </row>
    <row r="52">
      <c r="A52" s="213">
        <f t="shared" si="55"/>
        <v>2</v>
      </c>
      <c r="D52" s="47" t="s">
        <v>114</v>
      </c>
      <c r="E52" s="216"/>
      <c r="F52" s="48" t="str">
        <f t="shared" ref="F52:G52" si="58">F51</f>
        <v/>
      </c>
      <c r="G52" s="48" t="str">
        <f t="shared" si="58"/>
        <v>Player 3</v>
      </c>
      <c r="K52" s="37" t="s">
        <v>166</v>
      </c>
      <c r="L52" s="37" t="str">
        <f>IMAGE("https://i.imgur.com/8iGkTJB.png")</f>
        <v/>
      </c>
    </row>
    <row r="53">
      <c r="A53" s="213">
        <f>A51</f>
        <v>2</v>
      </c>
      <c r="B53" s="214"/>
      <c r="C53" s="215" t="s">
        <v>127</v>
      </c>
      <c r="D53" s="47" t="s">
        <v>110</v>
      </c>
      <c r="F53" s="48" t="str">
        <f t="shared" ref="F53:G53" si="59">B53</f>
        <v/>
      </c>
      <c r="G53" s="48" t="str">
        <f t="shared" si="59"/>
        <v>Player 4</v>
      </c>
      <c r="K53" s="37" t="s">
        <v>167</v>
      </c>
      <c r="L53" s="37" t="str">
        <f>IMAGE("https://i.imgur.com/VvqhplS.png")</f>
        <v/>
      </c>
    </row>
    <row r="54">
      <c r="A54" s="213">
        <f t="shared" ref="A54:A57" si="61">A53</f>
        <v>2</v>
      </c>
      <c r="D54" s="47" t="s">
        <v>111</v>
      </c>
      <c r="E54" s="47" t="s">
        <v>80</v>
      </c>
      <c r="F54" s="48" t="str">
        <f t="shared" ref="F54:G54" si="60">F53</f>
        <v/>
      </c>
      <c r="G54" s="48" t="str">
        <f t="shared" si="60"/>
        <v>Player 4</v>
      </c>
      <c r="K54" s="37" t="s">
        <v>168</v>
      </c>
      <c r="L54" s="37" t="str">
        <f>IMAGE("https://i.imgur.com/AJit635.png")</f>
        <v/>
      </c>
    </row>
    <row r="55">
      <c r="A55" s="213">
        <f t="shared" si="61"/>
        <v>2</v>
      </c>
      <c r="D55" s="47" t="s">
        <v>112</v>
      </c>
      <c r="E55" s="216"/>
      <c r="F55" s="48" t="str">
        <f t="shared" ref="F55:G55" si="62">F54</f>
        <v/>
      </c>
      <c r="G55" s="48" t="str">
        <f t="shared" si="62"/>
        <v>Player 4</v>
      </c>
      <c r="K55" s="37" t="s">
        <v>169</v>
      </c>
      <c r="L55" s="37" t="str">
        <f>IMAGE("https://i.imgur.com/fmbpDhU.png")</f>
        <v/>
      </c>
    </row>
    <row r="56">
      <c r="A56" s="213">
        <f t="shared" si="61"/>
        <v>2</v>
      </c>
      <c r="D56" s="47" t="s">
        <v>113</v>
      </c>
      <c r="E56" s="216"/>
      <c r="F56" s="48" t="str">
        <f t="shared" ref="F56:G56" si="63">F55</f>
        <v/>
      </c>
      <c r="G56" s="48" t="str">
        <f t="shared" si="63"/>
        <v>Player 4</v>
      </c>
      <c r="K56" s="37" t="s">
        <v>170</v>
      </c>
      <c r="L56" s="37" t="str">
        <f>IMAGE("https://i.imgur.com/3P4QYRv.png")</f>
        <v/>
      </c>
    </row>
    <row r="57">
      <c r="A57" s="213">
        <f t="shared" si="61"/>
        <v>2</v>
      </c>
      <c r="D57" s="47" t="s">
        <v>114</v>
      </c>
      <c r="E57" s="216"/>
      <c r="F57" s="48" t="str">
        <f t="shared" ref="F57:G57" si="64">F56</f>
        <v/>
      </c>
      <c r="G57" s="48" t="str">
        <f t="shared" si="64"/>
        <v>Player 4</v>
      </c>
      <c r="K57" s="37" t="s">
        <v>171</v>
      </c>
      <c r="L57" s="37" t="str">
        <f>IMAGE("https://i.imgur.com/H3EB4us.png")</f>
        <v/>
      </c>
    </row>
    <row r="58">
      <c r="A58" s="213">
        <f>A56</f>
        <v>2</v>
      </c>
      <c r="B58" s="214"/>
      <c r="C58" s="215" t="s">
        <v>133</v>
      </c>
      <c r="D58" s="47" t="s">
        <v>110</v>
      </c>
      <c r="F58" s="48" t="str">
        <f t="shared" ref="F58:G58" si="65">B58</f>
        <v/>
      </c>
      <c r="G58" s="48" t="str">
        <f t="shared" si="65"/>
        <v>Player 5</v>
      </c>
      <c r="K58" s="37" t="s">
        <v>172</v>
      </c>
      <c r="L58" s="37" t="str">
        <f>IMAGE("https://i.imgur.com/2RtxNqE.png")</f>
        <v/>
      </c>
    </row>
    <row r="59">
      <c r="A59" s="213">
        <f t="shared" ref="A59:A72" si="67">A58</f>
        <v>2</v>
      </c>
      <c r="D59" s="47" t="s">
        <v>111</v>
      </c>
      <c r="E59" s="47" t="s">
        <v>80</v>
      </c>
      <c r="F59" s="48" t="str">
        <f t="shared" ref="F59:G59" si="66">F58</f>
        <v/>
      </c>
      <c r="G59" s="48" t="str">
        <f t="shared" si="66"/>
        <v>Player 5</v>
      </c>
      <c r="K59" s="37" t="s">
        <v>173</v>
      </c>
      <c r="L59" s="37" t="str">
        <f>IMAGE("https://i.imgur.com/QIftl7q.png")</f>
        <v/>
      </c>
    </row>
    <row r="60">
      <c r="A60" s="213">
        <f t="shared" si="67"/>
        <v>2</v>
      </c>
      <c r="D60" s="47" t="s">
        <v>112</v>
      </c>
      <c r="E60" s="216"/>
      <c r="F60" s="48" t="str">
        <f t="shared" ref="F60:G60" si="68">F59</f>
        <v/>
      </c>
      <c r="G60" s="48" t="str">
        <f t="shared" si="68"/>
        <v>Player 5</v>
      </c>
      <c r="K60" s="37" t="s">
        <v>174</v>
      </c>
      <c r="L60" s="37" t="str">
        <f>IMAGE("https://i.imgur.com/RKyhPXV.png")</f>
        <v/>
      </c>
    </row>
    <row r="61">
      <c r="A61" s="213">
        <f t="shared" si="67"/>
        <v>2</v>
      </c>
      <c r="D61" s="47" t="s">
        <v>113</v>
      </c>
      <c r="E61" s="216"/>
      <c r="F61" s="48" t="str">
        <f t="shared" ref="F61:G61" si="69">F60</f>
        <v/>
      </c>
      <c r="G61" s="48" t="str">
        <f t="shared" si="69"/>
        <v>Player 5</v>
      </c>
      <c r="K61" s="37" t="s">
        <v>175</v>
      </c>
      <c r="L61" s="37" t="str">
        <f>IMAGE("https://i.imgur.com/BJp9MJz.png")</f>
        <v/>
      </c>
    </row>
    <row r="62">
      <c r="A62" s="213">
        <f t="shared" si="67"/>
        <v>2</v>
      </c>
      <c r="D62" s="47" t="s">
        <v>114</v>
      </c>
      <c r="E62" s="216"/>
      <c r="F62" s="48" t="str">
        <f t="shared" ref="F62:G62" si="70">F61</f>
        <v/>
      </c>
      <c r="G62" s="48" t="str">
        <f t="shared" si="70"/>
        <v>Player 5</v>
      </c>
      <c r="K62" s="37" t="s">
        <v>176</v>
      </c>
      <c r="L62" s="37" t="str">
        <f>IMAGE("https://i.imgur.com/H7SQ1zB.png")</f>
        <v/>
      </c>
    </row>
    <row r="63">
      <c r="A63" s="213">
        <f t="shared" si="67"/>
        <v>2</v>
      </c>
      <c r="B63" s="214"/>
      <c r="C63" s="215" t="s">
        <v>139</v>
      </c>
      <c r="D63" s="47" t="s">
        <v>110</v>
      </c>
      <c r="E63" s="216"/>
      <c r="F63" s="48" t="str">
        <f t="shared" ref="F63:G63" si="71">B63</f>
        <v/>
      </c>
      <c r="G63" s="48" t="str">
        <f t="shared" si="71"/>
        <v>Player 6 (Substitute)</v>
      </c>
      <c r="K63" s="37" t="s">
        <v>177</v>
      </c>
      <c r="L63" s="37" t="str">
        <f>IMAGE("https://i.imgur.com/hmqLmA8.png")</f>
        <v/>
      </c>
    </row>
    <row r="64">
      <c r="A64" s="213">
        <f t="shared" si="67"/>
        <v>2</v>
      </c>
      <c r="D64" s="47" t="s">
        <v>111</v>
      </c>
      <c r="E64" s="47" t="s">
        <v>80</v>
      </c>
      <c r="F64" s="48" t="str">
        <f t="shared" ref="F64:G64" si="72">F63</f>
        <v/>
      </c>
      <c r="G64" s="48" t="str">
        <f t="shared" si="72"/>
        <v>Player 6 (Substitute)</v>
      </c>
      <c r="K64" s="37" t="s">
        <v>178</v>
      </c>
      <c r="L64" s="37" t="str">
        <f>IMAGE("https://i.imgur.com/MwFn5vz.png")</f>
        <v/>
      </c>
    </row>
    <row r="65">
      <c r="A65" s="213">
        <f t="shared" si="67"/>
        <v>2</v>
      </c>
      <c r="D65" s="47" t="s">
        <v>112</v>
      </c>
      <c r="E65" s="216"/>
      <c r="F65" s="48" t="str">
        <f t="shared" ref="F65:G65" si="73">F64</f>
        <v/>
      </c>
      <c r="G65" s="48" t="str">
        <f t="shared" si="73"/>
        <v>Player 6 (Substitute)</v>
      </c>
      <c r="K65" s="37" t="s">
        <v>179</v>
      </c>
      <c r="L65" s="37" t="str">
        <f>IMAGE("https://i.imgur.com/6arkZHF.png")</f>
        <v/>
      </c>
    </row>
    <row r="66">
      <c r="A66" s="213">
        <f t="shared" si="67"/>
        <v>2</v>
      </c>
      <c r="D66" s="47" t="s">
        <v>113</v>
      </c>
      <c r="E66" s="216"/>
      <c r="F66" s="48" t="str">
        <f t="shared" ref="F66:G66" si="74">F65</f>
        <v/>
      </c>
      <c r="G66" s="48" t="str">
        <f t="shared" si="74"/>
        <v>Player 6 (Substitute)</v>
      </c>
      <c r="K66" s="37" t="s">
        <v>180</v>
      </c>
      <c r="L66" s="37" t="str">
        <f>IMAGE("https://i.imgur.com/5V3luPy.png")</f>
        <v/>
      </c>
    </row>
    <row r="67">
      <c r="A67" s="213">
        <f t="shared" si="67"/>
        <v>2</v>
      </c>
      <c r="D67" s="47" t="s">
        <v>114</v>
      </c>
      <c r="E67" s="216"/>
      <c r="F67" s="48" t="str">
        <f t="shared" ref="F67:G67" si="75">F66</f>
        <v/>
      </c>
      <c r="G67" s="48" t="str">
        <f t="shared" si="75"/>
        <v>Player 6 (Substitute)</v>
      </c>
      <c r="K67" s="37" t="s">
        <v>181</v>
      </c>
      <c r="L67" s="37" t="str">
        <f>IMAGE("https://i.imgur.com/NLwk6jC.png")</f>
        <v/>
      </c>
    </row>
    <row r="68">
      <c r="A68" s="213">
        <f t="shared" si="67"/>
        <v>2</v>
      </c>
      <c r="B68" s="214"/>
      <c r="C68" s="215" t="s">
        <v>145</v>
      </c>
      <c r="D68" s="47" t="s">
        <v>110</v>
      </c>
      <c r="F68" s="48" t="str">
        <f t="shared" ref="F68:G68" si="76">B68</f>
        <v/>
      </c>
      <c r="G68" s="48" t="str">
        <f t="shared" si="76"/>
        <v>Coach</v>
      </c>
      <c r="K68" s="37" t="s">
        <v>182</v>
      </c>
      <c r="L68" s="37" t="str">
        <f>IMAGE("https://i.imgur.com/bpt48rZ.png")</f>
        <v/>
      </c>
    </row>
    <row r="69">
      <c r="A69" s="213">
        <f t="shared" si="67"/>
        <v>2</v>
      </c>
      <c r="D69" s="47" t="s">
        <v>111</v>
      </c>
      <c r="E69" s="47" t="s">
        <v>80</v>
      </c>
      <c r="F69" s="48" t="str">
        <f t="shared" ref="F69:G69" si="77">F68</f>
        <v/>
      </c>
      <c r="G69" s="48" t="str">
        <f t="shared" si="77"/>
        <v>Coach</v>
      </c>
      <c r="K69" s="37" t="s">
        <v>183</v>
      </c>
      <c r="L69" s="37" t="str">
        <f>IMAGE("https://i.imgur.com/Jz32THL.png")</f>
        <v/>
      </c>
    </row>
    <row r="70">
      <c r="A70" s="213">
        <f t="shared" si="67"/>
        <v>2</v>
      </c>
      <c r="D70" s="47" t="s">
        <v>112</v>
      </c>
      <c r="E70" s="216"/>
      <c r="F70" s="48" t="str">
        <f t="shared" ref="F70:G70" si="78">F69</f>
        <v/>
      </c>
      <c r="G70" s="48" t="str">
        <f t="shared" si="78"/>
        <v>Coach</v>
      </c>
      <c r="K70" s="37" t="s">
        <v>184</v>
      </c>
      <c r="L70" s="37" t="str">
        <f>IMAGE("https://i.imgur.com/m5aTMtc.png")</f>
        <v/>
      </c>
    </row>
    <row r="71">
      <c r="A71" s="213">
        <f t="shared" si="67"/>
        <v>2</v>
      </c>
      <c r="D71" s="47" t="s">
        <v>113</v>
      </c>
      <c r="E71" s="218"/>
      <c r="F71" s="48" t="str">
        <f t="shared" ref="F71:G71" si="79">F70</f>
        <v/>
      </c>
      <c r="G71" s="48" t="str">
        <f t="shared" si="79"/>
        <v>Coach</v>
      </c>
      <c r="K71" s="37" t="s">
        <v>185</v>
      </c>
      <c r="L71" s="37" t="str">
        <f>IMAGE("https://i.imgur.com/Fok87uO.png")</f>
        <v/>
      </c>
    </row>
    <row r="72">
      <c r="A72" s="213">
        <f t="shared" si="67"/>
        <v>2</v>
      </c>
      <c r="D72" s="47" t="s">
        <v>114</v>
      </c>
      <c r="E72" s="218"/>
      <c r="F72" s="48" t="str">
        <f t="shared" ref="F72:G72" si="80">F71</f>
        <v/>
      </c>
      <c r="G72" s="48" t="str">
        <f t="shared" si="80"/>
        <v>Coach</v>
      </c>
      <c r="K72" s="37" t="s">
        <v>186</v>
      </c>
      <c r="L72" s="37" t="str">
        <f>IMAGE("https://i.imgur.com/lqRlwbL.png")</f>
        <v/>
      </c>
    </row>
    <row r="73">
      <c r="A73" s="212">
        <f>A37+1</f>
        <v>3</v>
      </c>
      <c r="B73" s="212" t="str">
        <f t="array" ref="B73">xlookup(A73,'Team Entry'!$C:$C,'Team Entry'!$A:$A,"")</f>
        <v>Team 3 (Playoff)</v>
      </c>
      <c r="K73" s="37" t="s">
        <v>187</v>
      </c>
      <c r="L73" s="37" t="str">
        <f>IMAGE("https://i.imgur.com/4XBgoKi.png")</f>
        <v/>
      </c>
    </row>
    <row r="74">
      <c r="A74" s="213">
        <f t="shared" ref="A74:A78" si="82">A73</f>
        <v>3</v>
      </c>
      <c r="B74" s="214"/>
      <c r="C74" s="215" t="s">
        <v>109</v>
      </c>
      <c r="D74" s="47" t="s">
        <v>110</v>
      </c>
      <c r="F74" s="48" t="str">
        <f t="shared" ref="F74:G74" si="81">B74</f>
        <v/>
      </c>
      <c r="G74" s="48" t="str">
        <f t="shared" si="81"/>
        <v>Player 1</v>
      </c>
      <c r="K74" s="37" t="s">
        <v>188</v>
      </c>
      <c r="L74" s="37" t="str">
        <f>IMAGE("https://i.imgur.com/NDf0tvR.png")</f>
        <v/>
      </c>
    </row>
    <row r="75">
      <c r="A75" s="213">
        <f t="shared" si="82"/>
        <v>3</v>
      </c>
      <c r="D75" s="47" t="s">
        <v>111</v>
      </c>
      <c r="E75" s="47" t="s">
        <v>80</v>
      </c>
      <c r="F75" s="48" t="str">
        <f t="shared" ref="F75:G75" si="83">F74</f>
        <v/>
      </c>
      <c r="G75" s="48" t="str">
        <f t="shared" si="83"/>
        <v>Player 1</v>
      </c>
      <c r="K75" s="37" t="s">
        <v>189</v>
      </c>
      <c r="L75" s="37" t="str">
        <f>IMAGE("https://i.imgur.com/yC2Yf5c.png")</f>
        <v/>
      </c>
    </row>
    <row r="76">
      <c r="A76" s="213">
        <f t="shared" si="82"/>
        <v>3</v>
      </c>
      <c r="D76" s="47" t="s">
        <v>112</v>
      </c>
      <c r="E76" s="216"/>
      <c r="F76" s="48" t="str">
        <f t="shared" ref="F76:G76" si="84">F75</f>
        <v/>
      </c>
      <c r="G76" s="48" t="str">
        <f t="shared" si="84"/>
        <v>Player 1</v>
      </c>
      <c r="K76" s="37" t="s">
        <v>190</v>
      </c>
      <c r="L76" s="37" t="str">
        <f>IMAGE("https://i.imgur.com/5yA6KKm.png")</f>
        <v/>
      </c>
    </row>
    <row r="77">
      <c r="A77" s="213">
        <f t="shared" si="82"/>
        <v>3</v>
      </c>
      <c r="D77" s="47" t="s">
        <v>113</v>
      </c>
      <c r="E77" s="216"/>
      <c r="F77" s="48" t="str">
        <f t="shared" ref="F77:G77" si="85">F76</f>
        <v/>
      </c>
      <c r="G77" s="48" t="str">
        <f t="shared" si="85"/>
        <v>Player 1</v>
      </c>
      <c r="K77" s="37" t="s">
        <v>191</v>
      </c>
      <c r="L77" s="37" t="str">
        <f>IMAGE("https://i.imgur.com/S1r6z2u.png")</f>
        <v/>
      </c>
    </row>
    <row r="78">
      <c r="A78" s="213">
        <f t="shared" si="82"/>
        <v>3</v>
      </c>
      <c r="D78" s="47" t="s">
        <v>114</v>
      </c>
      <c r="E78" s="216"/>
      <c r="F78" s="48" t="str">
        <f t="shared" ref="F78:G78" si="86">F77</f>
        <v/>
      </c>
      <c r="G78" s="48" t="str">
        <f t="shared" si="86"/>
        <v>Player 1</v>
      </c>
      <c r="K78" s="37" t="s">
        <v>192</v>
      </c>
      <c r="L78" s="37" t="str">
        <f>IMAGE("https://i.imgur.com/BRlPEtT.png")</f>
        <v/>
      </c>
    </row>
    <row r="79">
      <c r="A79" s="213">
        <f>A77</f>
        <v>3</v>
      </c>
      <c r="B79" s="214"/>
      <c r="C79" s="215" t="s">
        <v>115</v>
      </c>
      <c r="D79" s="47" t="s">
        <v>110</v>
      </c>
      <c r="F79" s="48" t="str">
        <f t="shared" ref="F79:G79" si="87">B79</f>
        <v/>
      </c>
      <c r="G79" s="48" t="str">
        <f t="shared" si="87"/>
        <v>Player 2</v>
      </c>
      <c r="K79" s="37" t="s">
        <v>193</v>
      </c>
      <c r="L79" s="37" t="str">
        <f>IMAGE("https://i.imgur.com/hQTTVrD.png")</f>
        <v/>
      </c>
    </row>
    <row r="80">
      <c r="A80" s="213">
        <f t="shared" ref="A80:A83" si="89">A79</f>
        <v>3</v>
      </c>
      <c r="D80" s="47" t="s">
        <v>111</v>
      </c>
      <c r="E80" s="47" t="s">
        <v>80</v>
      </c>
      <c r="F80" s="48" t="str">
        <f t="shared" ref="F80:G80" si="88">F79</f>
        <v/>
      </c>
      <c r="G80" s="48" t="str">
        <f t="shared" si="88"/>
        <v>Player 2</v>
      </c>
      <c r="K80" s="37" t="s">
        <v>194</v>
      </c>
      <c r="L80" s="37" t="str">
        <f>IMAGE("https://i.imgur.com/QSWXFnw.png")</f>
        <v/>
      </c>
    </row>
    <row r="81">
      <c r="A81" s="213">
        <f t="shared" si="89"/>
        <v>3</v>
      </c>
      <c r="D81" s="47" t="s">
        <v>112</v>
      </c>
      <c r="E81" s="216"/>
      <c r="F81" s="48" t="str">
        <f t="shared" ref="F81:G81" si="90">F80</f>
        <v/>
      </c>
      <c r="G81" s="48" t="str">
        <f t="shared" si="90"/>
        <v>Player 2</v>
      </c>
      <c r="K81" s="37" t="s">
        <v>195</v>
      </c>
      <c r="L81" s="37" t="str">
        <f>IMAGE("https://i.imgur.com/Wd55jPo.png")</f>
        <v/>
      </c>
    </row>
    <row r="82">
      <c r="A82" s="213">
        <f t="shared" si="89"/>
        <v>3</v>
      </c>
      <c r="D82" s="47" t="s">
        <v>113</v>
      </c>
      <c r="E82" s="216"/>
      <c r="F82" s="48" t="str">
        <f t="shared" ref="F82:G82" si="91">F81</f>
        <v/>
      </c>
      <c r="G82" s="48" t="str">
        <f t="shared" si="91"/>
        <v>Player 2</v>
      </c>
      <c r="K82" s="37" t="s">
        <v>196</v>
      </c>
      <c r="L82" s="37" t="str">
        <f>IMAGE("https://i.imgur.com/P1jyZ4h.png")</f>
        <v/>
      </c>
    </row>
    <row r="83">
      <c r="A83" s="213">
        <f t="shared" si="89"/>
        <v>3</v>
      </c>
      <c r="D83" s="47" t="s">
        <v>114</v>
      </c>
      <c r="E83" s="216"/>
      <c r="F83" s="48" t="str">
        <f t="shared" ref="F83:G83" si="92">F82</f>
        <v/>
      </c>
      <c r="G83" s="48" t="str">
        <f t="shared" si="92"/>
        <v>Player 2</v>
      </c>
      <c r="K83" s="37" t="s">
        <v>197</v>
      </c>
      <c r="L83" s="37" t="str">
        <f>IMAGE("https://i.imgur.com/6c9nzfg.png")</f>
        <v/>
      </c>
    </row>
    <row r="84">
      <c r="A84" s="213">
        <f>A82</f>
        <v>3</v>
      </c>
      <c r="B84" s="214"/>
      <c r="C84" s="215" t="s">
        <v>121</v>
      </c>
      <c r="D84" s="47" t="s">
        <v>110</v>
      </c>
      <c r="F84" s="48" t="str">
        <f t="shared" ref="F84:G84" si="93">B84</f>
        <v/>
      </c>
      <c r="G84" s="48" t="str">
        <f t="shared" si="93"/>
        <v>Player 3</v>
      </c>
      <c r="K84" s="37" t="s">
        <v>198</v>
      </c>
      <c r="L84" s="37" t="str">
        <f>IMAGE("https://i.imgur.com/JKe8wIY.png")</f>
        <v/>
      </c>
    </row>
    <row r="85">
      <c r="A85" s="213">
        <f t="shared" ref="A85:A88" si="95">A84</f>
        <v>3</v>
      </c>
      <c r="D85" s="47" t="s">
        <v>111</v>
      </c>
      <c r="E85" s="47" t="s">
        <v>80</v>
      </c>
      <c r="F85" s="48" t="str">
        <f t="shared" ref="F85:G85" si="94">F84</f>
        <v/>
      </c>
      <c r="G85" s="48" t="str">
        <f t="shared" si="94"/>
        <v>Player 3</v>
      </c>
      <c r="K85" s="37" t="s">
        <v>199</v>
      </c>
      <c r="L85" s="37" t="str">
        <f>IMAGE("https://i.imgur.com/q83KOcl.png")</f>
        <v/>
      </c>
    </row>
    <row r="86">
      <c r="A86" s="213">
        <f t="shared" si="95"/>
        <v>3</v>
      </c>
      <c r="D86" s="47" t="s">
        <v>112</v>
      </c>
      <c r="E86" s="216"/>
      <c r="F86" s="48" t="str">
        <f t="shared" ref="F86:G86" si="96">F85</f>
        <v/>
      </c>
      <c r="G86" s="48" t="str">
        <f t="shared" si="96"/>
        <v>Player 3</v>
      </c>
      <c r="K86" s="37" t="s">
        <v>200</v>
      </c>
      <c r="L86" s="37" t="str">
        <f>IMAGE("https://i.imgur.com/QQre58O.png")</f>
        <v/>
      </c>
    </row>
    <row r="87">
      <c r="A87" s="213">
        <f t="shared" si="95"/>
        <v>3</v>
      </c>
      <c r="D87" s="47" t="s">
        <v>113</v>
      </c>
      <c r="E87" s="216"/>
      <c r="F87" s="48" t="str">
        <f t="shared" ref="F87:G87" si="97">F86</f>
        <v/>
      </c>
      <c r="G87" s="48" t="str">
        <f t="shared" si="97"/>
        <v>Player 3</v>
      </c>
      <c r="K87" s="37" t="s">
        <v>201</v>
      </c>
      <c r="L87" s="37" t="str">
        <f>IMAGE("https://i.imgur.com/0I45ZqV.png")</f>
        <v/>
      </c>
    </row>
    <row r="88">
      <c r="A88" s="213">
        <f t="shared" si="95"/>
        <v>3</v>
      </c>
      <c r="D88" s="47" t="s">
        <v>114</v>
      </c>
      <c r="E88" s="216"/>
      <c r="F88" s="48" t="str">
        <f t="shared" ref="F88:G88" si="98">F87</f>
        <v/>
      </c>
      <c r="G88" s="48" t="str">
        <f t="shared" si="98"/>
        <v>Player 3</v>
      </c>
      <c r="K88" s="37" t="s">
        <v>202</v>
      </c>
      <c r="L88" s="37" t="str">
        <f>IMAGE("https://i.imgur.com/Sb6csWi.png")</f>
        <v/>
      </c>
    </row>
    <row r="89">
      <c r="A89" s="213">
        <f>A87</f>
        <v>3</v>
      </c>
      <c r="B89" s="214"/>
      <c r="C89" s="215" t="s">
        <v>127</v>
      </c>
      <c r="D89" s="47" t="s">
        <v>110</v>
      </c>
      <c r="F89" s="48" t="str">
        <f t="shared" ref="F89:G89" si="99">B89</f>
        <v/>
      </c>
      <c r="G89" s="48" t="str">
        <f t="shared" si="99"/>
        <v>Player 4</v>
      </c>
      <c r="K89" s="37" t="s">
        <v>203</v>
      </c>
      <c r="L89" s="37" t="str">
        <f>IMAGE("https://i.imgur.com/Mf4M0DH.png")</f>
        <v/>
      </c>
    </row>
    <row r="90">
      <c r="A90" s="213">
        <f t="shared" ref="A90:A93" si="101">A89</f>
        <v>3</v>
      </c>
      <c r="D90" s="47" t="s">
        <v>111</v>
      </c>
      <c r="E90" s="47" t="s">
        <v>80</v>
      </c>
      <c r="F90" s="48" t="str">
        <f t="shared" ref="F90:G90" si="100">F89</f>
        <v/>
      </c>
      <c r="G90" s="48" t="str">
        <f t="shared" si="100"/>
        <v>Player 4</v>
      </c>
      <c r="K90" s="37" t="s">
        <v>204</v>
      </c>
      <c r="L90" s="37" t="str">
        <f>IMAGE("https://i.imgur.com/EKPiJJi.png")</f>
        <v/>
      </c>
    </row>
    <row r="91">
      <c r="A91" s="213">
        <f t="shared" si="101"/>
        <v>3</v>
      </c>
      <c r="D91" s="47" t="s">
        <v>112</v>
      </c>
      <c r="E91" s="216"/>
      <c r="F91" s="48" t="str">
        <f t="shared" ref="F91:G91" si="102">F90</f>
        <v/>
      </c>
      <c r="G91" s="48" t="str">
        <f t="shared" si="102"/>
        <v>Player 4</v>
      </c>
      <c r="K91" s="37" t="s">
        <v>205</v>
      </c>
      <c r="L91" s="37" t="str">
        <f>IMAGE("https://i.imgur.com/Jcz2GaI.png")</f>
        <v/>
      </c>
    </row>
    <row r="92">
      <c r="A92" s="213">
        <f t="shared" si="101"/>
        <v>3</v>
      </c>
      <c r="D92" s="47" t="s">
        <v>113</v>
      </c>
      <c r="E92" s="216"/>
      <c r="F92" s="48" t="str">
        <f t="shared" ref="F92:G92" si="103">F91</f>
        <v/>
      </c>
      <c r="G92" s="48" t="str">
        <f t="shared" si="103"/>
        <v>Player 4</v>
      </c>
      <c r="K92" s="37" t="s">
        <v>206</v>
      </c>
      <c r="L92" s="37" t="str">
        <f>IMAGE("https://i.imgur.com/DZGWIdt.png")</f>
        <v/>
      </c>
    </row>
    <row r="93">
      <c r="A93" s="213">
        <f t="shared" si="101"/>
        <v>3</v>
      </c>
      <c r="D93" s="47" t="s">
        <v>114</v>
      </c>
      <c r="E93" s="216"/>
      <c r="F93" s="48" t="str">
        <f t="shared" ref="F93:G93" si="104">F92</f>
        <v/>
      </c>
      <c r="G93" s="48" t="str">
        <f t="shared" si="104"/>
        <v>Player 4</v>
      </c>
      <c r="K93" s="37" t="s">
        <v>207</v>
      </c>
      <c r="L93" s="37" t="str">
        <f>IMAGE("https://i.imgur.com/gAaUnP1.png")</f>
        <v/>
      </c>
    </row>
    <row r="94">
      <c r="A94" s="213">
        <f>A92</f>
        <v>3</v>
      </c>
      <c r="B94" s="214"/>
      <c r="C94" s="215" t="s">
        <v>133</v>
      </c>
      <c r="D94" s="47" t="s">
        <v>110</v>
      </c>
      <c r="F94" s="48" t="str">
        <f t="shared" ref="F94:G94" si="105">B94</f>
        <v/>
      </c>
      <c r="G94" s="48" t="str">
        <f t="shared" si="105"/>
        <v>Player 5</v>
      </c>
      <c r="K94" s="37" t="s">
        <v>208</v>
      </c>
      <c r="L94" s="37" t="str">
        <f>IMAGE("https://i.imgur.com/8GwKg6G.png")</f>
        <v/>
      </c>
    </row>
    <row r="95">
      <c r="A95" s="213">
        <f t="shared" ref="A95:A108" si="107">A94</f>
        <v>3</v>
      </c>
      <c r="D95" s="47" t="s">
        <v>111</v>
      </c>
      <c r="E95" s="47" t="s">
        <v>80</v>
      </c>
      <c r="F95" s="48" t="str">
        <f t="shared" ref="F95:G95" si="106">F94</f>
        <v/>
      </c>
      <c r="G95" s="48" t="str">
        <f t="shared" si="106"/>
        <v>Player 5</v>
      </c>
      <c r="K95" s="37" t="s">
        <v>209</v>
      </c>
      <c r="L95" s="37" t="str">
        <f>IMAGE("https://i.imgur.com/oXBdtGU.png")</f>
        <v/>
      </c>
    </row>
    <row r="96">
      <c r="A96" s="213">
        <f t="shared" si="107"/>
        <v>3</v>
      </c>
      <c r="D96" s="47" t="s">
        <v>112</v>
      </c>
      <c r="E96" s="216"/>
      <c r="F96" s="48" t="str">
        <f t="shared" ref="F96:G96" si="108">F95</f>
        <v/>
      </c>
      <c r="G96" s="48" t="str">
        <f t="shared" si="108"/>
        <v>Player 5</v>
      </c>
      <c r="K96" s="37" t="s">
        <v>210</v>
      </c>
      <c r="L96" s="37" t="str">
        <f>IMAGE("https://i.imgur.com/xSrwRH8.png")</f>
        <v/>
      </c>
    </row>
    <row r="97">
      <c r="A97" s="213">
        <f t="shared" si="107"/>
        <v>3</v>
      </c>
      <c r="D97" s="47" t="s">
        <v>113</v>
      </c>
      <c r="E97" s="216"/>
      <c r="F97" s="48" t="str">
        <f t="shared" ref="F97:G97" si="109">F96</f>
        <v/>
      </c>
      <c r="G97" s="48" t="str">
        <f t="shared" si="109"/>
        <v>Player 5</v>
      </c>
      <c r="K97" s="37" t="s">
        <v>211</v>
      </c>
      <c r="L97" s="37" t="str">
        <f>IMAGE("https://i.imgur.com/5AltB0s.png")</f>
        <v/>
      </c>
    </row>
    <row r="98">
      <c r="A98" s="213">
        <f t="shared" si="107"/>
        <v>3</v>
      </c>
      <c r="D98" s="47" t="s">
        <v>114</v>
      </c>
      <c r="E98" s="216"/>
      <c r="F98" s="48" t="str">
        <f t="shared" ref="F98:G98" si="110">F97</f>
        <v/>
      </c>
      <c r="G98" s="48" t="str">
        <f t="shared" si="110"/>
        <v>Player 5</v>
      </c>
      <c r="K98" s="37" t="s">
        <v>212</v>
      </c>
      <c r="L98" s="37" t="str">
        <f>IMAGE("https://i.imgur.com/hNjuRvp.png")</f>
        <v/>
      </c>
    </row>
    <row r="99">
      <c r="A99" s="213">
        <f t="shared" si="107"/>
        <v>3</v>
      </c>
      <c r="B99" s="214"/>
      <c r="C99" s="215" t="s">
        <v>139</v>
      </c>
      <c r="D99" s="47" t="s">
        <v>110</v>
      </c>
      <c r="E99" s="216"/>
      <c r="F99" s="48" t="str">
        <f t="shared" ref="F99:G99" si="111">B99</f>
        <v/>
      </c>
      <c r="G99" s="48" t="str">
        <f t="shared" si="111"/>
        <v>Player 6 (Substitute)</v>
      </c>
      <c r="K99" s="37" t="s">
        <v>213</v>
      </c>
      <c r="L99" s="37" t="str">
        <f>IMAGE("https://i.imgur.com/EYgCuRx.png")</f>
        <v/>
      </c>
    </row>
    <row r="100">
      <c r="A100" s="213">
        <f t="shared" si="107"/>
        <v>3</v>
      </c>
      <c r="D100" s="47" t="s">
        <v>111</v>
      </c>
      <c r="E100" s="47" t="s">
        <v>80</v>
      </c>
      <c r="F100" s="48" t="str">
        <f t="shared" ref="F100:G100" si="112">F99</f>
        <v/>
      </c>
      <c r="G100" s="48" t="str">
        <f t="shared" si="112"/>
        <v>Player 6 (Substitute)</v>
      </c>
      <c r="K100" s="37" t="s">
        <v>214</v>
      </c>
      <c r="L100" s="37" t="str">
        <f>IMAGE("https://i.imgur.com/OU5WgBC.png")</f>
        <v/>
      </c>
    </row>
    <row r="101">
      <c r="A101" s="213">
        <f t="shared" si="107"/>
        <v>3</v>
      </c>
      <c r="D101" s="47" t="s">
        <v>112</v>
      </c>
      <c r="E101" s="216"/>
      <c r="F101" s="48" t="str">
        <f t="shared" ref="F101:G101" si="113">F100</f>
        <v/>
      </c>
      <c r="G101" s="48" t="str">
        <f t="shared" si="113"/>
        <v>Player 6 (Substitute)</v>
      </c>
      <c r="K101" s="37" t="s">
        <v>215</v>
      </c>
      <c r="L101" s="37" t="str">
        <f>IMAGE("https://i.imgur.com/I4tOQGe.png")</f>
        <v/>
      </c>
    </row>
    <row r="102">
      <c r="A102" s="213">
        <f t="shared" si="107"/>
        <v>3</v>
      </c>
      <c r="D102" s="47" t="s">
        <v>113</v>
      </c>
      <c r="E102" s="216"/>
      <c r="F102" s="48" t="str">
        <f t="shared" ref="F102:G102" si="114">F101</f>
        <v/>
      </c>
      <c r="G102" s="48" t="str">
        <f t="shared" si="114"/>
        <v>Player 6 (Substitute)</v>
      </c>
      <c r="K102" s="37" t="s">
        <v>216</v>
      </c>
      <c r="L102" s="37" t="str">
        <f>IMAGE("https://i.imgur.com/eXPLEhf.png")</f>
        <v/>
      </c>
    </row>
    <row r="103">
      <c r="A103" s="213">
        <f t="shared" si="107"/>
        <v>3</v>
      </c>
      <c r="D103" s="47" t="s">
        <v>114</v>
      </c>
      <c r="E103" s="216"/>
      <c r="F103" s="48" t="str">
        <f t="shared" ref="F103:G103" si="115">F102</f>
        <v/>
      </c>
      <c r="G103" s="48" t="str">
        <f t="shared" si="115"/>
        <v>Player 6 (Substitute)</v>
      </c>
      <c r="K103" s="37" t="s">
        <v>217</v>
      </c>
      <c r="L103" s="37" t="str">
        <f>IMAGE("https://i.imgur.com/vcTYtvN.png")</f>
        <v/>
      </c>
    </row>
    <row r="104">
      <c r="A104" s="213">
        <f t="shared" si="107"/>
        <v>3</v>
      </c>
      <c r="B104" s="214"/>
      <c r="C104" s="215" t="s">
        <v>145</v>
      </c>
      <c r="D104" s="47" t="s">
        <v>110</v>
      </c>
      <c r="F104" s="48" t="str">
        <f t="shared" ref="F104:G104" si="116">B104</f>
        <v/>
      </c>
      <c r="G104" s="48" t="str">
        <f t="shared" si="116"/>
        <v>Coach</v>
      </c>
      <c r="K104" s="37" t="s">
        <v>218</v>
      </c>
      <c r="L104" s="37" t="str">
        <f>IMAGE("https://i.imgur.com/X5nB0lI.png")</f>
        <v/>
      </c>
    </row>
    <row r="105">
      <c r="A105" s="213">
        <f t="shared" si="107"/>
        <v>3</v>
      </c>
      <c r="D105" s="47" t="s">
        <v>111</v>
      </c>
      <c r="E105" s="47" t="s">
        <v>80</v>
      </c>
      <c r="F105" s="48" t="str">
        <f t="shared" ref="F105:G105" si="117">F104</f>
        <v/>
      </c>
      <c r="G105" s="48" t="str">
        <f t="shared" si="117"/>
        <v>Coach</v>
      </c>
      <c r="K105" s="37" t="s">
        <v>219</v>
      </c>
      <c r="L105" s="37" t="str">
        <f>IMAGE("https://i.imgur.com/ux7pRCB.png")</f>
        <v/>
      </c>
    </row>
    <row r="106">
      <c r="A106" s="213">
        <f t="shared" si="107"/>
        <v>3</v>
      </c>
      <c r="D106" s="47" t="s">
        <v>112</v>
      </c>
      <c r="E106" s="216"/>
      <c r="F106" s="48" t="str">
        <f t="shared" ref="F106:G106" si="118">F105</f>
        <v/>
      </c>
      <c r="G106" s="48" t="str">
        <f t="shared" si="118"/>
        <v>Coach</v>
      </c>
      <c r="K106" s="37" t="s">
        <v>220</v>
      </c>
      <c r="L106" s="37" t="str">
        <f>IMAGE("https://i.imgur.com/TbHCge2.png")</f>
        <v/>
      </c>
    </row>
    <row r="107">
      <c r="A107" s="213">
        <f t="shared" si="107"/>
        <v>3</v>
      </c>
      <c r="D107" s="47" t="s">
        <v>113</v>
      </c>
      <c r="E107" s="218"/>
      <c r="F107" s="48" t="str">
        <f t="shared" ref="F107:G107" si="119">F106</f>
        <v/>
      </c>
      <c r="G107" s="48" t="str">
        <f t="shared" si="119"/>
        <v>Coach</v>
      </c>
      <c r="K107" s="37" t="s">
        <v>221</v>
      </c>
      <c r="L107" s="37" t="str">
        <f>IMAGE("https://i.imgur.com/urT5OR5.png")</f>
        <v/>
      </c>
    </row>
    <row r="108">
      <c r="A108" s="213">
        <f t="shared" si="107"/>
        <v>3</v>
      </c>
      <c r="D108" s="47" t="s">
        <v>114</v>
      </c>
      <c r="E108" s="218"/>
      <c r="F108" s="48" t="str">
        <f t="shared" ref="F108:G108" si="120">F107</f>
        <v/>
      </c>
      <c r="G108" s="48" t="str">
        <f t="shared" si="120"/>
        <v>Coach</v>
      </c>
      <c r="K108" s="37" t="s">
        <v>222</v>
      </c>
      <c r="L108" s="37" t="str">
        <f>IMAGE("https://i.imgur.com/fncwbyY.png")</f>
        <v/>
      </c>
    </row>
    <row r="109">
      <c r="A109" s="212">
        <f>A73+1</f>
        <v>4</v>
      </c>
      <c r="B109" s="212" t="str">
        <f t="array" ref="B109">xlookup(A109,'Team Entry'!$C:$C,'Team Entry'!$A:$A,"")</f>
        <v>Team 4 (Playoff)</v>
      </c>
      <c r="K109" s="37" t="s">
        <v>223</v>
      </c>
      <c r="L109" s="37" t="str">
        <f>IMAGE("https://i.imgur.com/sltN3lJ.png")</f>
        <v/>
      </c>
    </row>
    <row r="110">
      <c r="A110" s="213">
        <f t="shared" ref="A110:A114" si="122">A109</f>
        <v>4</v>
      </c>
      <c r="B110" s="214"/>
      <c r="C110" s="215" t="s">
        <v>109</v>
      </c>
      <c r="D110" s="47" t="s">
        <v>110</v>
      </c>
      <c r="F110" s="48" t="str">
        <f t="shared" ref="F110:G110" si="121">B110</f>
        <v/>
      </c>
      <c r="G110" s="48" t="str">
        <f t="shared" si="121"/>
        <v>Player 1</v>
      </c>
      <c r="K110" s="37" t="s">
        <v>224</v>
      </c>
      <c r="L110" s="37" t="str">
        <f>IMAGE("https://i.imgur.com/vjzEGRK.png")</f>
        <v/>
      </c>
    </row>
    <row r="111">
      <c r="A111" s="213">
        <f t="shared" si="122"/>
        <v>4</v>
      </c>
      <c r="D111" s="47" t="s">
        <v>111</v>
      </c>
      <c r="E111" s="47" t="s">
        <v>80</v>
      </c>
      <c r="F111" s="48" t="str">
        <f t="shared" ref="F111:G111" si="123">F110</f>
        <v/>
      </c>
      <c r="G111" s="48" t="str">
        <f t="shared" si="123"/>
        <v>Player 1</v>
      </c>
      <c r="K111" s="37" t="s">
        <v>225</v>
      </c>
      <c r="L111" s="37" t="str">
        <f>IMAGE("https://i.imgur.com/fW7qzb0.png")</f>
        <v/>
      </c>
    </row>
    <row r="112">
      <c r="A112" s="213">
        <f t="shared" si="122"/>
        <v>4</v>
      </c>
      <c r="D112" s="47" t="s">
        <v>112</v>
      </c>
      <c r="E112" s="216"/>
      <c r="F112" s="48" t="str">
        <f t="shared" ref="F112:G112" si="124">F111</f>
        <v/>
      </c>
      <c r="G112" s="48" t="str">
        <f t="shared" si="124"/>
        <v>Player 1</v>
      </c>
      <c r="K112" s="37" t="s">
        <v>226</v>
      </c>
      <c r="L112" s="37" t="str">
        <f>IMAGE("https://i.imgur.com/LciaccT.png")</f>
        <v/>
      </c>
    </row>
    <row r="113">
      <c r="A113" s="213">
        <f t="shared" si="122"/>
        <v>4</v>
      </c>
      <c r="D113" s="47" t="s">
        <v>113</v>
      </c>
      <c r="E113" s="216"/>
      <c r="F113" s="48" t="str">
        <f t="shared" ref="F113:G113" si="125">F112</f>
        <v/>
      </c>
      <c r="G113" s="48" t="str">
        <f t="shared" si="125"/>
        <v>Player 1</v>
      </c>
      <c r="K113" s="37" t="s">
        <v>227</v>
      </c>
      <c r="L113" s="37" t="str">
        <f>IMAGE("https://i.imgur.com/4b66THW.png")</f>
        <v/>
      </c>
    </row>
    <row r="114">
      <c r="A114" s="213">
        <f t="shared" si="122"/>
        <v>4</v>
      </c>
      <c r="D114" s="47" t="s">
        <v>114</v>
      </c>
      <c r="E114" s="216"/>
      <c r="F114" s="48" t="str">
        <f t="shared" ref="F114:G114" si="126">F113</f>
        <v/>
      </c>
      <c r="G114" s="48" t="str">
        <f t="shared" si="126"/>
        <v>Player 1</v>
      </c>
      <c r="K114" s="37" t="s">
        <v>228</v>
      </c>
      <c r="L114" s="37" t="str">
        <f>IMAGE("https://i.imgur.com/FIO2jkM.png")</f>
        <v/>
      </c>
    </row>
    <row r="115">
      <c r="A115" s="213">
        <f>A113</f>
        <v>4</v>
      </c>
      <c r="B115" s="214"/>
      <c r="C115" s="215" t="s">
        <v>115</v>
      </c>
      <c r="D115" s="47" t="s">
        <v>110</v>
      </c>
      <c r="F115" s="48" t="str">
        <f t="shared" ref="F115:G115" si="127">B115</f>
        <v/>
      </c>
      <c r="G115" s="48" t="str">
        <f t="shared" si="127"/>
        <v>Player 2</v>
      </c>
      <c r="K115" s="37" t="s">
        <v>229</v>
      </c>
      <c r="L115" s="37" t="str">
        <f>IMAGE("https://i.imgur.com/yQJs9uL.png")</f>
        <v/>
      </c>
    </row>
    <row r="116">
      <c r="A116" s="213">
        <f t="shared" ref="A116:A119" si="129">A115</f>
        <v>4</v>
      </c>
      <c r="D116" s="47" t="s">
        <v>111</v>
      </c>
      <c r="E116" s="47" t="s">
        <v>80</v>
      </c>
      <c r="F116" s="48" t="str">
        <f t="shared" ref="F116:G116" si="128">F115</f>
        <v/>
      </c>
      <c r="G116" s="48" t="str">
        <f t="shared" si="128"/>
        <v>Player 2</v>
      </c>
      <c r="K116" s="37" t="s">
        <v>230</v>
      </c>
      <c r="L116" s="37" t="str">
        <f>IMAGE("https://i.imgur.com/WeoVRyQ.png")</f>
        <v/>
      </c>
    </row>
    <row r="117">
      <c r="A117" s="213">
        <f t="shared" si="129"/>
        <v>4</v>
      </c>
      <c r="D117" s="47" t="s">
        <v>112</v>
      </c>
      <c r="E117" s="216"/>
      <c r="F117" s="48" t="str">
        <f t="shared" ref="F117:G117" si="130">F116</f>
        <v/>
      </c>
      <c r="G117" s="48" t="str">
        <f t="shared" si="130"/>
        <v>Player 2</v>
      </c>
      <c r="K117" s="37" t="s">
        <v>231</v>
      </c>
      <c r="L117" s="37" t="str">
        <f>IMAGE("https://i.imgur.com/DaW6I4S.png")</f>
        <v/>
      </c>
    </row>
    <row r="118">
      <c r="A118" s="213">
        <f t="shared" si="129"/>
        <v>4</v>
      </c>
      <c r="D118" s="47" t="s">
        <v>113</v>
      </c>
      <c r="E118" s="216"/>
      <c r="F118" s="48" t="str">
        <f t="shared" ref="F118:G118" si="131">F117</f>
        <v/>
      </c>
      <c r="G118" s="48" t="str">
        <f t="shared" si="131"/>
        <v>Player 2</v>
      </c>
      <c r="K118" s="37" t="s">
        <v>232</v>
      </c>
      <c r="L118" s="37" t="str">
        <f>IMAGE("https://i.imgur.com/AGJpo8U.png")</f>
        <v/>
      </c>
    </row>
    <row r="119">
      <c r="A119" s="213">
        <f t="shared" si="129"/>
        <v>4</v>
      </c>
      <c r="D119" s="47" t="s">
        <v>114</v>
      </c>
      <c r="E119" s="216"/>
      <c r="F119" s="48" t="str">
        <f t="shared" ref="F119:G119" si="132">F118</f>
        <v/>
      </c>
      <c r="G119" s="48" t="str">
        <f t="shared" si="132"/>
        <v>Player 2</v>
      </c>
      <c r="K119" s="37" t="s">
        <v>233</v>
      </c>
      <c r="L119" s="37" t="str">
        <f>IMAGE("https://i.imgur.com/wWSIAUg.png")</f>
        <v/>
      </c>
    </row>
    <row r="120">
      <c r="A120" s="213">
        <f>A118</f>
        <v>4</v>
      </c>
      <c r="B120" s="214"/>
      <c r="C120" s="215" t="s">
        <v>121</v>
      </c>
      <c r="D120" s="47" t="s">
        <v>110</v>
      </c>
      <c r="F120" s="48" t="str">
        <f t="shared" ref="F120:G120" si="133">B120</f>
        <v/>
      </c>
      <c r="G120" s="48" t="str">
        <f t="shared" si="133"/>
        <v>Player 3</v>
      </c>
      <c r="K120" s="37" t="s">
        <v>234</v>
      </c>
      <c r="L120" s="37" t="str">
        <f>IMAGE("https://i.imgur.com/vNypNU4.png")</f>
        <v/>
      </c>
    </row>
    <row r="121">
      <c r="A121" s="213">
        <f t="shared" ref="A121:A124" si="135">A120</f>
        <v>4</v>
      </c>
      <c r="D121" s="47" t="s">
        <v>111</v>
      </c>
      <c r="E121" s="47" t="s">
        <v>80</v>
      </c>
      <c r="F121" s="48" t="str">
        <f t="shared" ref="F121:G121" si="134">F120</f>
        <v/>
      </c>
      <c r="G121" s="48" t="str">
        <f t="shared" si="134"/>
        <v>Player 3</v>
      </c>
      <c r="K121" s="37" t="s">
        <v>235</v>
      </c>
      <c r="L121" s="37" t="str">
        <f>IMAGE("https://i.imgur.com/aHDhjOt.png")</f>
        <v/>
      </c>
    </row>
    <row r="122">
      <c r="A122" s="213">
        <f t="shared" si="135"/>
        <v>4</v>
      </c>
      <c r="D122" s="47" t="s">
        <v>112</v>
      </c>
      <c r="E122" s="216"/>
      <c r="F122" s="48" t="str">
        <f t="shared" ref="F122:G122" si="136">F121</f>
        <v/>
      </c>
      <c r="G122" s="48" t="str">
        <f t="shared" si="136"/>
        <v>Player 3</v>
      </c>
      <c r="K122" s="37" t="s">
        <v>236</v>
      </c>
      <c r="L122" s="37" t="str">
        <f>IMAGE("https://i.imgur.com/yocuAEr.png")</f>
        <v/>
      </c>
    </row>
    <row r="123">
      <c r="A123" s="213">
        <f t="shared" si="135"/>
        <v>4</v>
      </c>
      <c r="D123" s="47" t="s">
        <v>113</v>
      </c>
      <c r="E123" s="216"/>
      <c r="F123" s="48" t="str">
        <f t="shared" ref="F123:G123" si="137">F122</f>
        <v/>
      </c>
      <c r="G123" s="48" t="str">
        <f t="shared" si="137"/>
        <v>Player 3</v>
      </c>
      <c r="K123" s="37" t="s">
        <v>237</v>
      </c>
      <c r="L123" s="37" t="str">
        <f>IMAGE("https://i.imgur.com/vJsP73i.png")</f>
        <v/>
      </c>
    </row>
    <row r="124">
      <c r="A124" s="213">
        <f t="shared" si="135"/>
        <v>4</v>
      </c>
      <c r="D124" s="47" t="s">
        <v>114</v>
      </c>
      <c r="E124" s="216"/>
      <c r="F124" s="48" t="str">
        <f t="shared" ref="F124:G124" si="138">F123</f>
        <v/>
      </c>
      <c r="G124" s="48" t="str">
        <f t="shared" si="138"/>
        <v>Player 3</v>
      </c>
      <c r="K124" s="37" t="s">
        <v>238</v>
      </c>
      <c r="L124" s="37" t="str">
        <f>IMAGE("https://i.imgur.com/RIaseDZ.png")</f>
        <v/>
      </c>
    </row>
    <row r="125">
      <c r="A125" s="213">
        <f>A123</f>
        <v>4</v>
      </c>
      <c r="B125" s="214"/>
      <c r="C125" s="215" t="s">
        <v>127</v>
      </c>
      <c r="D125" s="47" t="s">
        <v>110</v>
      </c>
      <c r="F125" s="48" t="str">
        <f t="shared" ref="F125:G125" si="139">B125</f>
        <v/>
      </c>
      <c r="G125" s="48" t="str">
        <f t="shared" si="139"/>
        <v>Player 4</v>
      </c>
      <c r="K125" s="37" t="s">
        <v>239</v>
      </c>
      <c r="L125" s="37" t="str">
        <f>IMAGE("https://i.imgur.com/Wz2XFmW.png")</f>
        <v/>
      </c>
    </row>
    <row r="126">
      <c r="A126" s="213">
        <f t="shared" ref="A126:A129" si="141">A125</f>
        <v>4</v>
      </c>
      <c r="D126" s="47" t="s">
        <v>111</v>
      </c>
      <c r="E126" s="47" t="s">
        <v>80</v>
      </c>
      <c r="F126" s="48" t="str">
        <f t="shared" ref="F126:G126" si="140">F125</f>
        <v/>
      </c>
      <c r="G126" s="48" t="str">
        <f t="shared" si="140"/>
        <v>Player 4</v>
      </c>
      <c r="K126" s="37" t="s">
        <v>240</v>
      </c>
      <c r="L126" s="37" t="str">
        <f>IMAGE("https://i.imgur.com/JWo2qZs.png")</f>
        <v/>
      </c>
    </row>
    <row r="127">
      <c r="A127" s="213">
        <f t="shared" si="141"/>
        <v>4</v>
      </c>
      <c r="D127" s="47" t="s">
        <v>112</v>
      </c>
      <c r="E127" s="216"/>
      <c r="F127" s="48" t="str">
        <f t="shared" ref="F127:G127" si="142">F126</f>
        <v/>
      </c>
      <c r="G127" s="48" t="str">
        <f t="shared" si="142"/>
        <v>Player 4</v>
      </c>
      <c r="K127" s="37" t="s">
        <v>241</v>
      </c>
      <c r="L127" s="37" t="str">
        <f>IMAGE("https://i.imgur.com/4CungHE.png")</f>
        <v/>
      </c>
    </row>
    <row r="128">
      <c r="A128" s="213">
        <f t="shared" si="141"/>
        <v>4</v>
      </c>
      <c r="D128" s="47" t="s">
        <v>113</v>
      </c>
      <c r="E128" s="216"/>
      <c r="F128" s="48" t="str">
        <f t="shared" ref="F128:G128" si="143">F127</f>
        <v/>
      </c>
      <c r="G128" s="48" t="str">
        <f t="shared" si="143"/>
        <v>Player 4</v>
      </c>
      <c r="K128" s="37" t="s">
        <v>242</v>
      </c>
      <c r="L128" s="37" t="str">
        <f>IMAGE("https://i.imgur.com/htnC7g9.png")</f>
        <v/>
      </c>
    </row>
    <row r="129">
      <c r="A129" s="213">
        <f t="shared" si="141"/>
        <v>4</v>
      </c>
      <c r="D129" s="47" t="s">
        <v>114</v>
      </c>
      <c r="E129" s="216"/>
      <c r="F129" s="48" t="str">
        <f t="shared" ref="F129:G129" si="144">F128</f>
        <v/>
      </c>
      <c r="G129" s="48" t="str">
        <f t="shared" si="144"/>
        <v>Player 4</v>
      </c>
      <c r="K129" s="37" t="s">
        <v>243</v>
      </c>
      <c r="L129" s="37" t="str">
        <f>IMAGE("https://i.imgur.com/W2lisra.png")</f>
        <v/>
      </c>
    </row>
    <row r="130">
      <c r="A130" s="213">
        <f>A128</f>
        <v>4</v>
      </c>
      <c r="B130" s="214"/>
      <c r="C130" s="215" t="s">
        <v>133</v>
      </c>
      <c r="D130" s="47" t="s">
        <v>110</v>
      </c>
      <c r="F130" s="48" t="str">
        <f t="shared" ref="F130:G130" si="145">B130</f>
        <v/>
      </c>
      <c r="G130" s="48" t="str">
        <f t="shared" si="145"/>
        <v>Player 5</v>
      </c>
      <c r="K130" s="37" t="s">
        <v>244</v>
      </c>
      <c r="L130" s="37" t="str">
        <f>IMAGE("https://i.imgur.com/wMkIh6e.png")</f>
        <v/>
      </c>
    </row>
    <row r="131">
      <c r="A131" s="213">
        <f t="shared" ref="A131:A144" si="147">A130</f>
        <v>4</v>
      </c>
      <c r="D131" s="47" t="s">
        <v>111</v>
      </c>
      <c r="E131" s="47" t="s">
        <v>80</v>
      </c>
      <c r="F131" s="48" t="str">
        <f t="shared" ref="F131:G131" si="146">F130</f>
        <v/>
      </c>
      <c r="G131" s="48" t="str">
        <f t="shared" si="146"/>
        <v>Player 5</v>
      </c>
      <c r="K131" s="37" t="s">
        <v>245</v>
      </c>
      <c r="L131" s="37" t="str">
        <f>IMAGE("https://i.imgur.com/vSgxscP.png")</f>
        <v/>
      </c>
    </row>
    <row r="132">
      <c r="A132" s="213">
        <f t="shared" si="147"/>
        <v>4</v>
      </c>
      <c r="D132" s="47" t="s">
        <v>112</v>
      </c>
      <c r="E132" s="216"/>
      <c r="F132" s="48" t="str">
        <f t="shared" ref="F132:G132" si="148">F131</f>
        <v/>
      </c>
      <c r="G132" s="48" t="str">
        <f t="shared" si="148"/>
        <v>Player 5</v>
      </c>
      <c r="K132" s="37" t="s">
        <v>246</v>
      </c>
      <c r="L132" s="37" t="str">
        <f>IMAGE("https://i.imgur.com/2ZPfACt.png")</f>
        <v/>
      </c>
    </row>
    <row r="133">
      <c r="A133" s="213">
        <f t="shared" si="147"/>
        <v>4</v>
      </c>
      <c r="D133" s="47" t="s">
        <v>113</v>
      </c>
      <c r="E133" s="216"/>
      <c r="F133" s="48" t="str">
        <f t="shared" ref="F133:G133" si="149">F132</f>
        <v/>
      </c>
      <c r="G133" s="48" t="str">
        <f t="shared" si="149"/>
        <v>Player 5</v>
      </c>
      <c r="K133" s="37" t="s">
        <v>247</v>
      </c>
      <c r="L133" s="37" t="str">
        <f>IMAGE("https://i.imgur.com/nPBbLUU.png")</f>
        <v/>
      </c>
    </row>
    <row r="134">
      <c r="A134" s="213">
        <f t="shared" si="147"/>
        <v>4</v>
      </c>
      <c r="D134" s="47" t="s">
        <v>114</v>
      </c>
      <c r="E134" s="216"/>
      <c r="F134" s="48" t="str">
        <f t="shared" ref="F134:G134" si="150">F133</f>
        <v/>
      </c>
      <c r="G134" s="48" t="str">
        <f t="shared" si="150"/>
        <v>Player 5</v>
      </c>
      <c r="K134" s="37" t="s">
        <v>248</v>
      </c>
      <c r="L134" s="37" t="str">
        <f>IMAGE("https://i.imgur.com/XbJnz59.png")</f>
        <v/>
      </c>
    </row>
    <row r="135">
      <c r="A135" s="213">
        <f t="shared" si="147"/>
        <v>4</v>
      </c>
      <c r="B135" s="214"/>
      <c r="C135" s="215" t="s">
        <v>139</v>
      </c>
      <c r="D135" s="47" t="s">
        <v>110</v>
      </c>
      <c r="E135" s="216"/>
      <c r="F135" s="48" t="str">
        <f t="shared" ref="F135:G135" si="151">B135</f>
        <v/>
      </c>
      <c r="G135" s="48" t="str">
        <f t="shared" si="151"/>
        <v>Player 6 (Substitute)</v>
      </c>
      <c r="K135" s="37" t="s">
        <v>249</v>
      </c>
      <c r="L135" s="37" t="str">
        <f>IMAGE("https://i.imgur.com/aZFpfOe.png")</f>
        <v/>
      </c>
    </row>
    <row r="136">
      <c r="A136" s="213">
        <f t="shared" si="147"/>
        <v>4</v>
      </c>
      <c r="D136" s="47" t="s">
        <v>111</v>
      </c>
      <c r="E136" s="47" t="s">
        <v>80</v>
      </c>
      <c r="F136" s="48" t="str">
        <f t="shared" ref="F136:G136" si="152">F135</f>
        <v/>
      </c>
      <c r="G136" s="48" t="str">
        <f t="shared" si="152"/>
        <v>Player 6 (Substitute)</v>
      </c>
      <c r="K136" s="37" t="s">
        <v>250</v>
      </c>
      <c r="L136" s="37" t="str">
        <f>IMAGE("https://i.imgur.com/onuyjYi.png")</f>
        <v/>
      </c>
    </row>
    <row r="137">
      <c r="A137" s="213">
        <f t="shared" si="147"/>
        <v>4</v>
      </c>
      <c r="D137" s="47" t="s">
        <v>112</v>
      </c>
      <c r="E137" s="216"/>
      <c r="F137" s="48" t="str">
        <f t="shared" ref="F137:G137" si="153">F136</f>
        <v/>
      </c>
      <c r="G137" s="48" t="str">
        <f t="shared" si="153"/>
        <v>Player 6 (Substitute)</v>
      </c>
      <c r="K137" s="37" t="s">
        <v>251</v>
      </c>
      <c r="L137" s="37" t="str">
        <f>IMAGE("https://i.imgur.com/3K0apNE.png")</f>
        <v/>
      </c>
    </row>
    <row r="138">
      <c r="A138" s="213">
        <f t="shared" si="147"/>
        <v>4</v>
      </c>
      <c r="D138" s="47" t="s">
        <v>113</v>
      </c>
      <c r="E138" s="216"/>
      <c r="F138" s="48" t="str">
        <f t="shared" ref="F138:G138" si="154">F137</f>
        <v/>
      </c>
      <c r="G138" s="48" t="str">
        <f t="shared" si="154"/>
        <v>Player 6 (Substitute)</v>
      </c>
      <c r="K138" s="37" t="s">
        <v>252</v>
      </c>
      <c r="L138" s="37" t="str">
        <f>IMAGE("https://i.imgur.com/gvg7B1r.png")</f>
        <v/>
      </c>
    </row>
    <row r="139">
      <c r="A139" s="213">
        <f t="shared" si="147"/>
        <v>4</v>
      </c>
      <c r="D139" s="47" t="s">
        <v>114</v>
      </c>
      <c r="E139" s="216"/>
      <c r="F139" s="48" t="str">
        <f t="shared" ref="F139:G139" si="155">F138</f>
        <v/>
      </c>
      <c r="G139" s="48" t="str">
        <f t="shared" si="155"/>
        <v>Player 6 (Substitute)</v>
      </c>
      <c r="K139" s="37" t="s">
        <v>253</v>
      </c>
      <c r="L139" s="37" t="str">
        <f>IMAGE("https://i.imgur.com/QufhHpa.png")</f>
        <v/>
      </c>
    </row>
    <row r="140">
      <c r="A140" s="213">
        <f t="shared" si="147"/>
        <v>4</v>
      </c>
      <c r="B140" s="214"/>
      <c r="C140" s="215" t="s">
        <v>145</v>
      </c>
      <c r="D140" s="47" t="s">
        <v>110</v>
      </c>
      <c r="F140" s="48" t="str">
        <f t="shared" ref="F140:G140" si="156">B140</f>
        <v/>
      </c>
      <c r="G140" s="48" t="str">
        <f t="shared" si="156"/>
        <v>Coach</v>
      </c>
      <c r="K140" s="37" t="s">
        <v>254</v>
      </c>
      <c r="L140" s="37" t="str">
        <f>IMAGE("https://i.imgur.com/MTZrVV0.png")</f>
        <v/>
      </c>
    </row>
    <row r="141">
      <c r="A141" s="213">
        <f t="shared" si="147"/>
        <v>4</v>
      </c>
      <c r="D141" s="47" t="s">
        <v>111</v>
      </c>
      <c r="E141" s="47" t="s">
        <v>80</v>
      </c>
      <c r="F141" s="48" t="str">
        <f t="shared" ref="F141:G141" si="157">F140</f>
        <v/>
      </c>
      <c r="G141" s="48" t="str">
        <f t="shared" si="157"/>
        <v>Coach</v>
      </c>
      <c r="K141" s="37" t="s">
        <v>255</v>
      </c>
      <c r="L141" s="37" t="str">
        <f>IMAGE("https://i.imgur.com/FuZmJXx.png")</f>
        <v/>
      </c>
    </row>
    <row r="142">
      <c r="A142" s="213">
        <f t="shared" si="147"/>
        <v>4</v>
      </c>
      <c r="D142" s="47" t="s">
        <v>112</v>
      </c>
      <c r="E142" s="216"/>
      <c r="F142" s="48" t="str">
        <f t="shared" ref="F142:G142" si="158">F141</f>
        <v/>
      </c>
      <c r="G142" s="48" t="str">
        <f t="shared" si="158"/>
        <v>Coach</v>
      </c>
      <c r="K142" s="37" t="s">
        <v>256</v>
      </c>
      <c r="L142" s="37" t="str">
        <f>IMAGE("https://i.imgur.com/fiB2o7k.png")</f>
        <v/>
      </c>
    </row>
    <row r="143">
      <c r="A143" s="213">
        <f t="shared" si="147"/>
        <v>4</v>
      </c>
      <c r="D143" s="47" t="s">
        <v>113</v>
      </c>
      <c r="E143" s="218"/>
      <c r="F143" s="48" t="str">
        <f t="shared" ref="F143:G143" si="159">F142</f>
        <v/>
      </c>
      <c r="G143" s="48" t="str">
        <f t="shared" si="159"/>
        <v>Coach</v>
      </c>
      <c r="K143" s="37" t="s">
        <v>257</v>
      </c>
      <c r="L143" s="37" t="str">
        <f>IMAGE("https://i.imgur.com/gQEtS6j.png")</f>
        <v/>
      </c>
    </row>
    <row r="144">
      <c r="A144" s="213">
        <f t="shared" si="147"/>
        <v>4</v>
      </c>
      <c r="D144" s="47" t="s">
        <v>114</v>
      </c>
      <c r="E144" s="218"/>
      <c r="F144" s="48" t="str">
        <f t="shared" ref="F144:G144" si="160">F143</f>
        <v/>
      </c>
      <c r="G144" s="48" t="str">
        <f t="shared" si="160"/>
        <v>Coach</v>
      </c>
      <c r="K144" s="37" t="s">
        <v>258</v>
      </c>
      <c r="L144" s="37" t="str">
        <f>IMAGE("https://i.imgur.com/3q7wq8m.png")</f>
        <v/>
      </c>
    </row>
    <row r="145">
      <c r="A145" s="212">
        <f>A109+1</f>
        <v>5</v>
      </c>
      <c r="B145" s="212" t="str">
        <f t="array" ref="B145">xlookup(A145,'Team Entry'!$C:$C,'Team Entry'!$A:$A,"")</f>
        <v>Team 1 (Group 2)</v>
      </c>
      <c r="K145" s="37" t="s">
        <v>259</v>
      </c>
      <c r="L145" s="37" t="str">
        <f>IMAGE("https://i.imgur.com/QVtIn1j.png")</f>
        <v/>
      </c>
    </row>
    <row r="146">
      <c r="A146" s="213">
        <f t="shared" ref="A146:A150" si="162">A145</f>
        <v>5</v>
      </c>
      <c r="B146" s="214"/>
      <c r="C146" s="215" t="s">
        <v>109</v>
      </c>
      <c r="D146" s="47" t="s">
        <v>110</v>
      </c>
      <c r="F146" s="48" t="str">
        <f t="shared" ref="F146:G146" si="161">B146</f>
        <v/>
      </c>
      <c r="G146" s="48" t="str">
        <f t="shared" si="161"/>
        <v>Player 1</v>
      </c>
      <c r="K146" s="37" t="s">
        <v>260</v>
      </c>
      <c r="L146" s="37" t="str">
        <f>IMAGE("https://i.imgur.com/prZHtGa.png")</f>
        <v/>
      </c>
    </row>
    <row r="147">
      <c r="A147" s="213">
        <f t="shared" si="162"/>
        <v>5</v>
      </c>
      <c r="D147" s="47" t="s">
        <v>111</v>
      </c>
      <c r="E147" s="47" t="s">
        <v>80</v>
      </c>
      <c r="F147" s="48" t="str">
        <f t="shared" ref="F147:G147" si="163">F146</f>
        <v/>
      </c>
      <c r="G147" s="48" t="str">
        <f t="shared" si="163"/>
        <v>Player 1</v>
      </c>
      <c r="K147" s="37" t="s">
        <v>261</v>
      </c>
      <c r="L147" s="37" t="str">
        <f>IMAGE("https://i.imgur.com/hd6JPee.png")</f>
        <v/>
      </c>
    </row>
    <row r="148">
      <c r="A148" s="213">
        <f t="shared" si="162"/>
        <v>5</v>
      </c>
      <c r="D148" s="47" t="s">
        <v>112</v>
      </c>
      <c r="E148" s="216"/>
      <c r="F148" s="48" t="str">
        <f t="shared" ref="F148:G148" si="164">F147</f>
        <v/>
      </c>
      <c r="G148" s="48" t="str">
        <f t="shared" si="164"/>
        <v>Player 1</v>
      </c>
      <c r="K148" s="37" t="s">
        <v>262</v>
      </c>
      <c r="L148" s="37" t="str">
        <f>IMAGE("https://i.imgur.com/ecXwMff.png")</f>
        <v/>
      </c>
    </row>
    <row r="149">
      <c r="A149" s="213">
        <f t="shared" si="162"/>
        <v>5</v>
      </c>
      <c r="D149" s="47" t="s">
        <v>113</v>
      </c>
      <c r="E149" s="216"/>
      <c r="F149" s="48" t="str">
        <f t="shared" ref="F149:G149" si="165">F148</f>
        <v/>
      </c>
      <c r="G149" s="48" t="str">
        <f t="shared" si="165"/>
        <v>Player 1</v>
      </c>
      <c r="K149" s="37" t="s">
        <v>263</v>
      </c>
      <c r="L149" s="37" t="str">
        <f>IMAGE("https://i.imgur.com/YCcyICT.png")</f>
        <v/>
      </c>
    </row>
    <row r="150">
      <c r="A150" s="213">
        <f t="shared" si="162"/>
        <v>5</v>
      </c>
      <c r="D150" s="47" t="s">
        <v>114</v>
      </c>
      <c r="E150" s="216"/>
      <c r="F150" s="48" t="str">
        <f t="shared" ref="F150:G150" si="166">F149</f>
        <v/>
      </c>
      <c r="G150" s="48" t="str">
        <f t="shared" si="166"/>
        <v>Player 1</v>
      </c>
      <c r="K150" s="37" t="s">
        <v>264</v>
      </c>
      <c r="L150" s="37" t="str">
        <f>IMAGE("https://i.imgur.com/BD3QbJt.png")</f>
        <v/>
      </c>
    </row>
    <row r="151">
      <c r="A151" s="213">
        <f>A149</f>
        <v>5</v>
      </c>
      <c r="B151" s="214"/>
      <c r="C151" s="215" t="s">
        <v>115</v>
      </c>
      <c r="D151" s="47" t="s">
        <v>110</v>
      </c>
      <c r="F151" s="48" t="str">
        <f t="shared" ref="F151:G151" si="167">B151</f>
        <v/>
      </c>
      <c r="G151" s="48" t="str">
        <f t="shared" si="167"/>
        <v>Player 2</v>
      </c>
      <c r="K151" s="37" t="s">
        <v>265</v>
      </c>
      <c r="L151" s="37" t="str">
        <f>IMAGE("https://i.imgur.com/5gvwDcf.png")</f>
        <v/>
      </c>
    </row>
    <row r="152">
      <c r="A152" s="213">
        <f t="shared" ref="A152:A155" si="169">A151</f>
        <v>5</v>
      </c>
      <c r="D152" s="47" t="s">
        <v>111</v>
      </c>
      <c r="E152" s="47" t="s">
        <v>80</v>
      </c>
      <c r="F152" s="48" t="str">
        <f t="shared" ref="F152:G152" si="168">F151</f>
        <v/>
      </c>
      <c r="G152" s="48" t="str">
        <f t="shared" si="168"/>
        <v>Player 2</v>
      </c>
      <c r="K152" s="37" t="s">
        <v>266</v>
      </c>
      <c r="L152" s="37" t="str">
        <f>IMAGE("https://i.imgur.com/3wLsCrq.png")</f>
        <v/>
      </c>
    </row>
    <row r="153">
      <c r="A153" s="213">
        <f t="shared" si="169"/>
        <v>5</v>
      </c>
      <c r="D153" s="47" t="s">
        <v>112</v>
      </c>
      <c r="E153" s="216"/>
      <c r="F153" s="48" t="str">
        <f t="shared" ref="F153:G153" si="170">F152</f>
        <v/>
      </c>
      <c r="G153" s="48" t="str">
        <f t="shared" si="170"/>
        <v>Player 2</v>
      </c>
      <c r="K153" s="37" t="s">
        <v>267</v>
      </c>
      <c r="L153" s="37" t="str">
        <f>IMAGE("https://i.imgur.com/sXR14Ki.png")</f>
        <v/>
      </c>
    </row>
    <row r="154">
      <c r="A154" s="213">
        <f t="shared" si="169"/>
        <v>5</v>
      </c>
      <c r="D154" s="47" t="s">
        <v>113</v>
      </c>
      <c r="E154" s="216"/>
      <c r="F154" s="48" t="str">
        <f t="shared" ref="F154:G154" si="171">F153</f>
        <v/>
      </c>
      <c r="G154" s="48" t="str">
        <f t="shared" si="171"/>
        <v>Player 2</v>
      </c>
      <c r="K154" s="37" t="s">
        <v>268</v>
      </c>
      <c r="L154" s="37" t="str">
        <f>IMAGE("https://i.imgur.com/ej1I76k.png")</f>
        <v/>
      </c>
    </row>
    <row r="155">
      <c r="A155" s="213">
        <f t="shared" si="169"/>
        <v>5</v>
      </c>
      <c r="D155" s="47" t="s">
        <v>114</v>
      </c>
      <c r="E155" s="216"/>
      <c r="F155" s="48" t="str">
        <f t="shared" ref="F155:G155" si="172">F154</f>
        <v/>
      </c>
      <c r="G155" s="48" t="str">
        <f t="shared" si="172"/>
        <v>Player 2</v>
      </c>
      <c r="K155" s="37" t="s">
        <v>269</v>
      </c>
      <c r="L155" s="37" t="str">
        <f>IMAGE("https://i.imgur.com/boZfdsU.png")</f>
        <v/>
      </c>
    </row>
    <row r="156">
      <c r="A156" s="213">
        <f>A154</f>
        <v>5</v>
      </c>
      <c r="B156" s="214"/>
      <c r="C156" s="215" t="s">
        <v>121</v>
      </c>
      <c r="D156" s="47" t="s">
        <v>110</v>
      </c>
      <c r="F156" s="48" t="str">
        <f t="shared" ref="F156:G156" si="173">B156</f>
        <v/>
      </c>
      <c r="G156" s="48" t="str">
        <f t="shared" si="173"/>
        <v>Player 3</v>
      </c>
      <c r="K156" s="37" t="s">
        <v>270</v>
      </c>
      <c r="L156" s="37" t="str">
        <f>IMAGE("https://i.imgur.com/UNzNAIP.png")</f>
        <v/>
      </c>
    </row>
    <row r="157">
      <c r="A157" s="213">
        <f t="shared" ref="A157:A160" si="175">A156</f>
        <v>5</v>
      </c>
      <c r="D157" s="47" t="s">
        <v>111</v>
      </c>
      <c r="E157" s="47" t="s">
        <v>80</v>
      </c>
      <c r="F157" s="48" t="str">
        <f t="shared" ref="F157:G157" si="174">F156</f>
        <v/>
      </c>
      <c r="G157" s="48" t="str">
        <f t="shared" si="174"/>
        <v>Player 3</v>
      </c>
      <c r="K157" s="37" t="s">
        <v>271</v>
      </c>
      <c r="L157" s="37" t="str">
        <f>IMAGE("https://i.imgur.com/rX4nrUi.png")</f>
        <v/>
      </c>
    </row>
    <row r="158">
      <c r="A158" s="213">
        <f t="shared" si="175"/>
        <v>5</v>
      </c>
      <c r="D158" s="47" t="s">
        <v>112</v>
      </c>
      <c r="E158" s="216"/>
      <c r="F158" s="48" t="str">
        <f t="shared" ref="F158:G158" si="176">F157</f>
        <v/>
      </c>
      <c r="G158" s="48" t="str">
        <f t="shared" si="176"/>
        <v>Player 3</v>
      </c>
      <c r="K158" s="37" t="s">
        <v>272</v>
      </c>
      <c r="L158" s="37" t="str">
        <f>IMAGE("https://i.imgur.com/BABKoUW.png")</f>
        <v/>
      </c>
    </row>
    <row r="159">
      <c r="A159" s="213">
        <f t="shared" si="175"/>
        <v>5</v>
      </c>
      <c r="D159" s="47" t="s">
        <v>113</v>
      </c>
      <c r="E159" s="216"/>
      <c r="F159" s="48" t="str">
        <f t="shared" ref="F159:G159" si="177">F158</f>
        <v/>
      </c>
      <c r="G159" s="48" t="str">
        <f t="shared" si="177"/>
        <v>Player 3</v>
      </c>
      <c r="K159" s="37" t="s">
        <v>273</v>
      </c>
      <c r="L159" s="37" t="str">
        <f>IMAGE("https://i.imgur.com/3Pfw6tp.png")</f>
        <v/>
      </c>
    </row>
    <row r="160">
      <c r="A160" s="213">
        <f t="shared" si="175"/>
        <v>5</v>
      </c>
      <c r="D160" s="47" t="s">
        <v>114</v>
      </c>
      <c r="E160" s="216"/>
      <c r="F160" s="48" t="str">
        <f t="shared" ref="F160:G160" si="178">F159</f>
        <v/>
      </c>
      <c r="G160" s="48" t="str">
        <f t="shared" si="178"/>
        <v>Player 3</v>
      </c>
      <c r="K160" s="37" t="s">
        <v>274</v>
      </c>
      <c r="L160" s="37" t="str">
        <f>IMAGE("https://i.imgur.com/s20tprc.png")</f>
        <v/>
      </c>
    </row>
    <row r="161">
      <c r="A161" s="213">
        <f>A159</f>
        <v>5</v>
      </c>
      <c r="B161" s="214"/>
      <c r="C161" s="215" t="s">
        <v>127</v>
      </c>
      <c r="D161" s="47" t="s">
        <v>110</v>
      </c>
      <c r="F161" s="48" t="str">
        <f t="shared" ref="F161:G161" si="179">B161</f>
        <v/>
      </c>
      <c r="G161" s="48" t="str">
        <f t="shared" si="179"/>
        <v>Player 4</v>
      </c>
      <c r="K161" s="37" t="s">
        <v>275</v>
      </c>
      <c r="L161" s="37" t="str">
        <f>IMAGE("https://i.imgur.com/V29jH2J.png")</f>
        <v/>
      </c>
    </row>
    <row r="162">
      <c r="A162" s="213">
        <f t="shared" ref="A162:A165" si="181">A161</f>
        <v>5</v>
      </c>
      <c r="D162" s="47" t="s">
        <v>111</v>
      </c>
      <c r="E162" s="47" t="s">
        <v>80</v>
      </c>
      <c r="F162" s="48" t="str">
        <f t="shared" ref="F162:G162" si="180">F161</f>
        <v/>
      </c>
      <c r="G162" s="48" t="str">
        <f t="shared" si="180"/>
        <v>Player 4</v>
      </c>
      <c r="K162" s="37" t="s">
        <v>276</v>
      </c>
      <c r="L162" s="37" t="str">
        <f>IMAGE("https://i.imgur.com/BiiUXXn.png")</f>
        <v/>
      </c>
    </row>
    <row r="163">
      <c r="A163" s="213">
        <f t="shared" si="181"/>
        <v>5</v>
      </c>
      <c r="D163" s="47" t="s">
        <v>112</v>
      </c>
      <c r="E163" s="216"/>
      <c r="F163" s="48" t="str">
        <f t="shared" ref="F163:G163" si="182">F162</f>
        <v/>
      </c>
      <c r="G163" s="48" t="str">
        <f t="shared" si="182"/>
        <v>Player 4</v>
      </c>
      <c r="K163" s="37" t="s">
        <v>277</v>
      </c>
      <c r="L163" s="37" t="str">
        <f>IMAGE("https://i.imgur.com/OI0Rgk4.png")</f>
        <v/>
      </c>
    </row>
    <row r="164">
      <c r="A164" s="213">
        <f t="shared" si="181"/>
        <v>5</v>
      </c>
      <c r="D164" s="47" t="s">
        <v>113</v>
      </c>
      <c r="E164" s="216"/>
      <c r="F164" s="48" t="str">
        <f t="shared" ref="F164:G164" si="183">F163</f>
        <v/>
      </c>
      <c r="G164" s="48" t="str">
        <f t="shared" si="183"/>
        <v>Player 4</v>
      </c>
      <c r="K164" s="37" t="s">
        <v>278</v>
      </c>
      <c r="L164" s="37" t="str">
        <f>IMAGE("https://i.imgur.com/klIsBVj.png")</f>
        <v/>
      </c>
    </row>
    <row r="165">
      <c r="A165" s="213">
        <f t="shared" si="181"/>
        <v>5</v>
      </c>
      <c r="D165" s="47" t="s">
        <v>114</v>
      </c>
      <c r="E165" s="216"/>
      <c r="F165" s="48" t="str">
        <f t="shared" ref="F165:G165" si="184">F164</f>
        <v/>
      </c>
      <c r="G165" s="48" t="str">
        <f t="shared" si="184"/>
        <v>Player 4</v>
      </c>
      <c r="K165" s="37" t="s">
        <v>279</v>
      </c>
      <c r="L165" s="37" t="str">
        <f>IMAGE("https://i.imgur.com/VUqLD5X.png")</f>
        <v/>
      </c>
    </row>
    <row r="166">
      <c r="A166" s="213">
        <f>A164</f>
        <v>5</v>
      </c>
      <c r="B166" s="214"/>
      <c r="C166" s="215" t="s">
        <v>133</v>
      </c>
      <c r="D166" s="47" t="s">
        <v>110</v>
      </c>
      <c r="F166" s="48" t="str">
        <f t="shared" ref="F166:G166" si="185">B166</f>
        <v/>
      </c>
      <c r="G166" s="48" t="str">
        <f t="shared" si="185"/>
        <v>Player 5</v>
      </c>
      <c r="K166" s="37" t="s">
        <v>280</v>
      </c>
      <c r="L166" s="37" t="str">
        <f>IMAGE("https://i.imgur.com/efmDMnf.png")</f>
        <v/>
      </c>
    </row>
    <row r="167">
      <c r="A167" s="213">
        <f t="shared" ref="A167:A180" si="187">A166</f>
        <v>5</v>
      </c>
      <c r="D167" s="47" t="s">
        <v>111</v>
      </c>
      <c r="E167" s="47" t="s">
        <v>80</v>
      </c>
      <c r="F167" s="48" t="str">
        <f t="shared" ref="F167:G167" si="186">F166</f>
        <v/>
      </c>
      <c r="G167" s="48" t="str">
        <f t="shared" si="186"/>
        <v>Player 5</v>
      </c>
      <c r="K167" s="37" t="s">
        <v>281</v>
      </c>
      <c r="L167" s="37" t="str">
        <f>IMAGE("https://i.imgur.com/ii1Sk0R.png")</f>
        <v/>
      </c>
    </row>
    <row r="168">
      <c r="A168" s="213">
        <f t="shared" si="187"/>
        <v>5</v>
      </c>
      <c r="D168" s="47" t="s">
        <v>112</v>
      </c>
      <c r="E168" s="216"/>
      <c r="F168" s="48" t="str">
        <f t="shared" ref="F168:G168" si="188">F167</f>
        <v/>
      </c>
      <c r="G168" s="48" t="str">
        <f t="shared" si="188"/>
        <v>Player 5</v>
      </c>
      <c r="K168" s="37" t="s">
        <v>282</v>
      </c>
      <c r="L168" s="37" t="str">
        <f>IMAGE("https://i.imgur.com/kkkiBF9.png")</f>
        <v/>
      </c>
    </row>
    <row r="169">
      <c r="A169" s="213">
        <f t="shared" si="187"/>
        <v>5</v>
      </c>
      <c r="D169" s="47" t="s">
        <v>113</v>
      </c>
      <c r="E169" s="216"/>
      <c r="F169" s="48" t="str">
        <f t="shared" ref="F169:G169" si="189">F168</f>
        <v/>
      </c>
      <c r="G169" s="48" t="str">
        <f t="shared" si="189"/>
        <v>Player 5</v>
      </c>
      <c r="K169" s="37" t="s">
        <v>283</v>
      </c>
      <c r="L169" s="37" t="str">
        <f>IMAGE("https://i.imgur.com/GgKNTOR.png")</f>
        <v/>
      </c>
    </row>
    <row r="170">
      <c r="A170" s="213">
        <f t="shared" si="187"/>
        <v>5</v>
      </c>
      <c r="D170" s="47" t="s">
        <v>114</v>
      </c>
      <c r="E170" s="216"/>
      <c r="F170" s="48" t="str">
        <f t="shared" ref="F170:G170" si="190">F169</f>
        <v/>
      </c>
      <c r="G170" s="48" t="str">
        <f t="shared" si="190"/>
        <v>Player 5</v>
      </c>
      <c r="K170" s="37" t="s">
        <v>284</v>
      </c>
      <c r="L170" s="37" t="str">
        <f>IMAGE("https://i.imgur.com/4W7L0E4.png")</f>
        <v/>
      </c>
    </row>
    <row r="171">
      <c r="A171" s="213">
        <f t="shared" si="187"/>
        <v>5</v>
      </c>
      <c r="B171" s="214"/>
      <c r="C171" s="215" t="s">
        <v>139</v>
      </c>
      <c r="D171" s="47" t="s">
        <v>110</v>
      </c>
      <c r="E171" s="216"/>
      <c r="F171" s="48" t="str">
        <f t="shared" ref="F171:G171" si="191">B171</f>
        <v/>
      </c>
      <c r="G171" s="48" t="str">
        <f t="shared" si="191"/>
        <v>Player 6 (Substitute)</v>
      </c>
      <c r="K171" s="37" t="s">
        <v>285</v>
      </c>
      <c r="L171" s="37" t="str">
        <f>IMAGE("https://i.imgur.com/IcNdvqb.png")</f>
        <v/>
      </c>
    </row>
    <row r="172">
      <c r="A172" s="213">
        <f t="shared" si="187"/>
        <v>5</v>
      </c>
      <c r="D172" s="47" t="s">
        <v>111</v>
      </c>
      <c r="E172" s="47" t="s">
        <v>80</v>
      </c>
      <c r="F172" s="48" t="str">
        <f t="shared" ref="F172:G172" si="192">F171</f>
        <v/>
      </c>
      <c r="G172" s="48" t="str">
        <f t="shared" si="192"/>
        <v>Player 6 (Substitute)</v>
      </c>
      <c r="K172" s="37" t="s">
        <v>286</v>
      </c>
      <c r="L172" s="37" t="str">
        <f>IMAGE("https://i.imgur.com/piy7I7T.png")</f>
        <v/>
      </c>
    </row>
    <row r="173">
      <c r="A173" s="213">
        <f t="shared" si="187"/>
        <v>5</v>
      </c>
      <c r="D173" s="47" t="s">
        <v>112</v>
      </c>
      <c r="E173" s="216"/>
      <c r="F173" s="48" t="str">
        <f t="shared" ref="F173:G173" si="193">F172</f>
        <v/>
      </c>
      <c r="G173" s="48" t="str">
        <f t="shared" si="193"/>
        <v>Player 6 (Substitute)</v>
      </c>
      <c r="K173" s="37" t="s">
        <v>287</v>
      </c>
      <c r="L173" s="37" t="str">
        <f>IMAGE("https://i.imgur.com/lk3sghu.png")</f>
        <v/>
      </c>
    </row>
    <row r="174">
      <c r="A174" s="213">
        <f t="shared" si="187"/>
        <v>5</v>
      </c>
      <c r="D174" s="47" t="s">
        <v>113</v>
      </c>
      <c r="E174" s="216"/>
      <c r="F174" s="48" t="str">
        <f t="shared" ref="F174:G174" si="194">F173</f>
        <v/>
      </c>
      <c r="G174" s="48" t="str">
        <f t="shared" si="194"/>
        <v>Player 6 (Substitute)</v>
      </c>
      <c r="K174" s="37" t="s">
        <v>288</v>
      </c>
      <c r="L174" s="37" t="str">
        <f>IMAGE("https://i.imgur.com/Bp64PHr.png")</f>
        <v/>
      </c>
    </row>
    <row r="175">
      <c r="A175" s="213">
        <f t="shared" si="187"/>
        <v>5</v>
      </c>
      <c r="D175" s="47" t="s">
        <v>114</v>
      </c>
      <c r="E175" s="216"/>
      <c r="F175" s="48" t="str">
        <f t="shared" ref="F175:G175" si="195">F174</f>
        <v/>
      </c>
      <c r="G175" s="48" t="str">
        <f t="shared" si="195"/>
        <v>Player 6 (Substitute)</v>
      </c>
      <c r="K175" s="37" t="s">
        <v>289</v>
      </c>
      <c r="L175" s="37" t="str">
        <f>IMAGE("https://i.imgur.com/MbkrbQJ.png")</f>
        <v/>
      </c>
    </row>
    <row r="176">
      <c r="A176" s="213">
        <f t="shared" si="187"/>
        <v>5</v>
      </c>
      <c r="B176" s="214"/>
      <c r="C176" s="215" t="s">
        <v>145</v>
      </c>
      <c r="D176" s="47" t="s">
        <v>110</v>
      </c>
      <c r="F176" s="48" t="str">
        <f t="shared" ref="F176:G176" si="196">B176</f>
        <v/>
      </c>
      <c r="G176" s="48" t="str">
        <f t="shared" si="196"/>
        <v>Coach</v>
      </c>
      <c r="K176" s="37" t="s">
        <v>290</v>
      </c>
      <c r="L176" s="37" t="str">
        <f>IMAGE("https://i.imgur.com/braq3Ln.png")</f>
        <v/>
      </c>
    </row>
    <row r="177">
      <c r="A177" s="213">
        <f t="shared" si="187"/>
        <v>5</v>
      </c>
      <c r="D177" s="47" t="s">
        <v>111</v>
      </c>
      <c r="E177" s="47" t="s">
        <v>80</v>
      </c>
      <c r="F177" s="48" t="str">
        <f t="shared" ref="F177:G177" si="197">F176</f>
        <v/>
      </c>
      <c r="G177" s="48" t="str">
        <f t="shared" si="197"/>
        <v>Coach</v>
      </c>
      <c r="K177" s="37" t="s">
        <v>291</v>
      </c>
      <c r="L177" s="37" t="str">
        <f>IMAGE("https://i.imgur.com/uwRZfsK.png")</f>
        <v/>
      </c>
    </row>
    <row r="178">
      <c r="A178" s="213">
        <f t="shared" si="187"/>
        <v>5</v>
      </c>
      <c r="D178" s="47" t="s">
        <v>112</v>
      </c>
      <c r="E178" s="216"/>
      <c r="F178" s="48" t="str">
        <f t="shared" ref="F178:G178" si="198">F177</f>
        <v/>
      </c>
      <c r="G178" s="48" t="str">
        <f t="shared" si="198"/>
        <v>Coach</v>
      </c>
      <c r="K178" s="37" t="s">
        <v>292</v>
      </c>
      <c r="L178" s="37" t="str">
        <f>IMAGE("https://i.imgur.com/w6AbpKT.png")</f>
        <v/>
      </c>
    </row>
    <row r="179">
      <c r="A179" s="213">
        <f t="shared" si="187"/>
        <v>5</v>
      </c>
      <c r="D179" s="47" t="s">
        <v>113</v>
      </c>
      <c r="E179" s="218"/>
      <c r="F179" s="48" t="str">
        <f t="shared" ref="F179:G179" si="199">F178</f>
        <v/>
      </c>
      <c r="G179" s="48" t="str">
        <f t="shared" si="199"/>
        <v>Coach</v>
      </c>
      <c r="K179" s="37" t="s">
        <v>293</v>
      </c>
      <c r="L179" s="37" t="str">
        <f>IMAGE("https://i.imgur.com/fRGW77p.png")</f>
        <v/>
      </c>
    </row>
    <row r="180">
      <c r="A180" s="213">
        <f t="shared" si="187"/>
        <v>5</v>
      </c>
      <c r="D180" s="47" t="s">
        <v>114</v>
      </c>
      <c r="E180" s="218"/>
      <c r="F180" s="48" t="str">
        <f t="shared" ref="F180:G180" si="200">F179</f>
        <v/>
      </c>
      <c r="G180" s="48" t="str">
        <f t="shared" si="200"/>
        <v>Coach</v>
      </c>
      <c r="K180" s="37" t="s">
        <v>294</v>
      </c>
      <c r="L180" s="37" t="str">
        <f>IMAGE("https://i.imgur.com/QBwbhOO.png")</f>
        <v/>
      </c>
    </row>
    <row r="181">
      <c r="A181" s="212">
        <f>A145+1</f>
        <v>6</v>
      </c>
      <c r="B181" s="212" t="str">
        <f t="array" ref="B181">xlookup(A181,'Team Entry'!$C:$C,'Team Entry'!$A:$A,"")</f>
        <v>Team 2 (Group 2)</v>
      </c>
      <c r="K181" s="37" t="s">
        <v>295</v>
      </c>
      <c r="L181" s="37" t="str">
        <f>IMAGE("https://i.imgur.com/OT79xpQ.png")</f>
        <v/>
      </c>
    </row>
    <row r="182">
      <c r="A182" s="213">
        <f t="shared" ref="A182:A186" si="202">A181</f>
        <v>6</v>
      </c>
      <c r="B182" s="214"/>
      <c r="C182" s="215" t="s">
        <v>109</v>
      </c>
      <c r="D182" s="47" t="s">
        <v>110</v>
      </c>
      <c r="F182" s="48" t="str">
        <f t="shared" ref="F182:G182" si="201">B182</f>
        <v/>
      </c>
      <c r="G182" s="48" t="str">
        <f t="shared" si="201"/>
        <v>Player 1</v>
      </c>
      <c r="K182" s="37" t="s">
        <v>296</v>
      </c>
      <c r="L182" s="37" t="str">
        <f>IMAGE("https://i.imgur.com/0bbc5aj.png")</f>
        <v/>
      </c>
    </row>
    <row r="183">
      <c r="A183" s="213">
        <f t="shared" si="202"/>
        <v>6</v>
      </c>
      <c r="D183" s="47" t="s">
        <v>111</v>
      </c>
      <c r="E183" s="47" t="s">
        <v>80</v>
      </c>
      <c r="F183" s="48" t="str">
        <f t="shared" ref="F183:G183" si="203">F182</f>
        <v/>
      </c>
      <c r="G183" s="48" t="str">
        <f t="shared" si="203"/>
        <v>Player 1</v>
      </c>
      <c r="K183" s="37" t="s">
        <v>297</v>
      </c>
      <c r="L183" s="37" t="str">
        <f>IMAGE("https://i.imgur.com/Q1E0p0q.png")</f>
        <v/>
      </c>
    </row>
    <row r="184">
      <c r="A184" s="213">
        <f t="shared" si="202"/>
        <v>6</v>
      </c>
      <c r="D184" s="47" t="s">
        <v>112</v>
      </c>
      <c r="E184" s="216"/>
      <c r="F184" s="48" t="str">
        <f t="shared" ref="F184:G184" si="204">F183</f>
        <v/>
      </c>
      <c r="G184" s="48" t="str">
        <f t="shared" si="204"/>
        <v>Player 1</v>
      </c>
      <c r="K184" s="37" t="s">
        <v>298</v>
      </c>
      <c r="L184" s="37" t="str">
        <f>IMAGE("https://i.imgur.com/INRsul0.png")</f>
        <v/>
      </c>
    </row>
    <row r="185">
      <c r="A185" s="213">
        <f t="shared" si="202"/>
        <v>6</v>
      </c>
      <c r="D185" s="47" t="s">
        <v>113</v>
      </c>
      <c r="E185" s="216"/>
      <c r="F185" s="48" t="str">
        <f t="shared" ref="F185:G185" si="205">F184</f>
        <v/>
      </c>
      <c r="G185" s="48" t="str">
        <f t="shared" si="205"/>
        <v>Player 1</v>
      </c>
      <c r="K185" s="37" t="s">
        <v>299</v>
      </c>
      <c r="L185" s="37" t="str">
        <f>IMAGE("https://i.imgur.com/vFUDEba.png")</f>
        <v/>
      </c>
    </row>
    <row r="186">
      <c r="A186" s="213">
        <f t="shared" si="202"/>
        <v>6</v>
      </c>
      <c r="D186" s="47" t="s">
        <v>114</v>
      </c>
      <c r="E186" s="216"/>
      <c r="F186" s="48" t="str">
        <f t="shared" ref="F186:G186" si="206">F185</f>
        <v/>
      </c>
      <c r="G186" s="48" t="str">
        <f t="shared" si="206"/>
        <v>Player 1</v>
      </c>
      <c r="J186" s="47" t="s">
        <v>300</v>
      </c>
      <c r="K186" s="217" t="s">
        <v>301</v>
      </c>
      <c r="L186" s="217" t="str">
        <f>IMAGE("https://i.imgur.com/egZVFcv.png")</f>
        <v/>
      </c>
      <c r="P186" s="47" t="s">
        <v>300</v>
      </c>
      <c r="S186" s="47" t="s">
        <v>300</v>
      </c>
      <c r="T186" s="47" t="s">
        <v>300</v>
      </c>
      <c r="W186" s="47" t="s">
        <v>300</v>
      </c>
      <c r="X186" s="47" t="s">
        <v>300</v>
      </c>
      <c r="Y186" s="47" t="s">
        <v>300</v>
      </c>
    </row>
    <row r="187">
      <c r="A187" s="213">
        <f>A185</f>
        <v>6</v>
      </c>
      <c r="B187" s="214"/>
      <c r="C187" s="215" t="s">
        <v>115</v>
      </c>
      <c r="D187" s="47" t="s">
        <v>110</v>
      </c>
      <c r="F187" s="48" t="str">
        <f t="shared" ref="F187:G187" si="207">B187</f>
        <v/>
      </c>
      <c r="G187" s="48" t="str">
        <f t="shared" si="207"/>
        <v>Player 2</v>
      </c>
      <c r="J187" s="47" t="s">
        <v>300</v>
      </c>
      <c r="K187" s="217" t="s">
        <v>302</v>
      </c>
      <c r="L187" s="217" t="str">
        <f>IMAGE("https://i.imgur.com/9LcDxBw.png")</f>
        <v/>
      </c>
      <c r="P187" s="47" t="s">
        <v>300</v>
      </c>
      <c r="Q187" s="47" t="s">
        <v>300</v>
      </c>
      <c r="R187" s="47" t="s">
        <v>300</v>
      </c>
      <c r="S187" s="47" t="s">
        <v>300</v>
      </c>
      <c r="T187" s="47" t="s">
        <v>300</v>
      </c>
      <c r="W187" s="47" t="s">
        <v>300</v>
      </c>
      <c r="X187" s="47" t="s">
        <v>300</v>
      </c>
      <c r="Y187" s="47" t="s">
        <v>300</v>
      </c>
    </row>
    <row r="188">
      <c r="A188" s="213">
        <f t="shared" ref="A188:A191" si="209">A187</f>
        <v>6</v>
      </c>
      <c r="D188" s="47" t="s">
        <v>111</v>
      </c>
      <c r="E188" s="47" t="s">
        <v>80</v>
      </c>
      <c r="F188" s="48" t="str">
        <f t="shared" ref="F188:G188" si="208">F187</f>
        <v/>
      </c>
      <c r="G188" s="48" t="str">
        <f t="shared" si="208"/>
        <v>Player 2</v>
      </c>
      <c r="J188" s="47" t="s">
        <v>300</v>
      </c>
      <c r="K188" s="217" t="s">
        <v>303</v>
      </c>
      <c r="L188" s="217" t="str">
        <f>IMAGE("https://i.imgur.com/NULGFLB.png")</f>
        <v/>
      </c>
      <c r="P188" s="47" t="s">
        <v>300</v>
      </c>
      <c r="Q188" s="47" t="s">
        <v>300</v>
      </c>
      <c r="R188" s="47" t="s">
        <v>300</v>
      </c>
      <c r="S188" s="47" t="s">
        <v>300</v>
      </c>
      <c r="T188" s="47" t="s">
        <v>300</v>
      </c>
      <c r="W188" s="47" t="s">
        <v>300</v>
      </c>
      <c r="X188" s="47" t="s">
        <v>300</v>
      </c>
      <c r="Y188" s="47" t="s">
        <v>300</v>
      </c>
    </row>
    <row r="189">
      <c r="A189" s="213">
        <f t="shared" si="209"/>
        <v>6</v>
      </c>
      <c r="D189" s="47" t="s">
        <v>112</v>
      </c>
      <c r="E189" s="216"/>
      <c r="F189" s="48" t="str">
        <f t="shared" ref="F189:G189" si="210">F188</f>
        <v/>
      </c>
      <c r="G189" s="48" t="str">
        <f t="shared" si="210"/>
        <v>Player 2</v>
      </c>
      <c r="J189" s="47" t="s">
        <v>300</v>
      </c>
      <c r="K189" s="217" t="s">
        <v>304</v>
      </c>
      <c r="L189" s="217" t="str">
        <f>IMAGE("https://i.imgur.com/02RQMwG.png")</f>
        <v/>
      </c>
      <c r="P189" s="47" t="s">
        <v>300</v>
      </c>
      <c r="Q189" s="47" t="s">
        <v>300</v>
      </c>
      <c r="R189" s="47" t="s">
        <v>300</v>
      </c>
      <c r="S189" s="47" t="s">
        <v>300</v>
      </c>
      <c r="T189" s="47" t="s">
        <v>300</v>
      </c>
      <c r="W189" s="47" t="s">
        <v>300</v>
      </c>
      <c r="X189" s="47" t="s">
        <v>300</v>
      </c>
      <c r="Y189" s="47" t="s">
        <v>300</v>
      </c>
    </row>
    <row r="190">
      <c r="A190" s="213">
        <f t="shared" si="209"/>
        <v>6</v>
      </c>
      <c r="D190" s="47" t="s">
        <v>113</v>
      </c>
      <c r="E190" s="216"/>
      <c r="F190" s="48" t="str">
        <f t="shared" ref="F190:G190" si="211">F189</f>
        <v/>
      </c>
      <c r="G190" s="48" t="str">
        <f t="shared" si="211"/>
        <v>Player 2</v>
      </c>
      <c r="J190" s="47" t="s">
        <v>300</v>
      </c>
      <c r="K190" s="217" t="s">
        <v>305</v>
      </c>
      <c r="L190" s="217" t="str">
        <f>IMAGE("https://i.imgur.com/8nE8wIw.png")</f>
        <v/>
      </c>
      <c r="P190" s="47" t="s">
        <v>300</v>
      </c>
      <c r="Q190" s="47" t="s">
        <v>300</v>
      </c>
      <c r="R190" s="47" t="s">
        <v>300</v>
      </c>
      <c r="S190" s="47" t="s">
        <v>300</v>
      </c>
      <c r="T190" s="47" t="s">
        <v>300</v>
      </c>
      <c r="W190" s="47" t="s">
        <v>300</v>
      </c>
      <c r="X190" s="47" t="s">
        <v>300</v>
      </c>
      <c r="Y190" s="47" t="s">
        <v>300</v>
      </c>
    </row>
    <row r="191">
      <c r="A191" s="213">
        <f t="shared" si="209"/>
        <v>6</v>
      </c>
      <c r="D191" s="47" t="s">
        <v>114</v>
      </c>
      <c r="E191" s="216"/>
      <c r="F191" s="48" t="str">
        <f t="shared" ref="F191:G191" si="212">F190</f>
        <v/>
      </c>
      <c r="G191" s="48" t="str">
        <f t="shared" si="212"/>
        <v>Player 2</v>
      </c>
      <c r="J191" s="47" t="s">
        <v>300</v>
      </c>
      <c r="K191" s="217" t="s">
        <v>306</v>
      </c>
      <c r="L191" s="217" t="str">
        <f>IMAGE("https://i.imgur.com/oWTKuMb.png")</f>
        <v/>
      </c>
      <c r="P191" s="47" t="s">
        <v>300</v>
      </c>
      <c r="Q191" s="47" t="s">
        <v>300</v>
      </c>
      <c r="R191" s="47" t="s">
        <v>300</v>
      </c>
      <c r="S191" s="47" t="s">
        <v>300</v>
      </c>
      <c r="T191" s="47" t="s">
        <v>300</v>
      </c>
      <c r="W191" s="47" t="s">
        <v>300</v>
      </c>
      <c r="X191" s="47" t="s">
        <v>300</v>
      </c>
      <c r="Y191" s="47" t="s">
        <v>300</v>
      </c>
    </row>
    <row r="192">
      <c r="A192" s="213">
        <f>A190</f>
        <v>6</v>
      </c>
      <c r="B192" s="214"/>
      <c r="C192" s="215" t="s">
        <v>121</v>
      </c>
      <c r="D192" s="47" t="s">
        <v>110</v>
      </c>
      <c r="F192" s="48" t="str">
        <f t="shared" ref="F192:G192" si="213">B192</f>
        <v/>
      </c>
      <c r="G192" s="48" t="str">
        <f t="shared" si="213"/>
        <v>Player 3</v>
      </c>
      <c r="J192" s="47" t="s">
        <v>300</v>
      </c>
      <c r="K192" s="217" t="s">
        <v>307</v>
      </c>
      <c r="L192" s="217" t="str">
        <f>IMAGE("https://i.imgur.com/Epl1l6R.png")</f>
        <v/>
      </c>
      <c r="P192" s="47" t="s">
        <v>300</v>
      </c>
      <c r="Q192" s="47" t="s">
        <v>300</v>
      </c>
      <c r="R192" s="47" t="s">
        <v>300</v>
      </c>
      <c r="S192" s="47" t="s">
        <v>300</v>
      </c>
      <c r="T192" s="47" t="s">
        <v>300</v>
      </c>
      <c r="W192" s="47" t="s">
        <v>300</v>
      </c>
      <c r="X192" s="47" t="s">
        <v>300</v>
      </c>
      <c r="Y192" s="47" t="s">
        <v>300</v>
      </c>
    </row>
    <row r="193">
      <c r="A193" s="213">
        <f t="shared" ref="A193:A196" si="215">A192</f>
        <v>6</v>
      </c>
      <c r="D193" s="47" t="s">
        <v>111</v>
      </c>
      <c r="E193" s="47" t="s">
        <v>80</v>
      </c>
      <c r="F193" s="48" t="str">
        <f t="shared" ref="F193:G193" si="214">F192</f>
        <v/>
      </c>
      <c r="G193" s="48" t="str">
        <f t="shared" si="214"/>
        <v>Player 3</v>
      </c>
      <c r="K193" s="37" t="s">
        <v>308</v>
      </c>
      <c r="L193" s="37" t="str">
        <f>IMAGE("https://i.imgur.com/bpEEYbx.png")</f>
        <v/>
      </c>
      <c r="Q193" s="47" t="s">
        <v>300</v>
      </c>
      <c r="R193" s="47" t="s">
        <v>300</v>
      </c>
    </row>
    <row r="194">
      <c r="A194" s="213">
        <f t="shared" si="215"/>
        <v>6</v>
      </c>
      <c r="D194" s="47" t="s">
        <v>112</v>
      </c>
      <c r="E194" s="216"/>
      <c r="F194" s="48" t="str">
        <f t="shared" ref="F194:G194" si="216">F193</f>
        <v/>
      </c>
      <c r="G194" s="48" t="str">
        <f t="shared" si="216"/>
        <v>Player 3</v>
      </c>
      <c r="K194" s="37" t="s">
        <v>309</v>
      </c>
      <c r="L194" s="37" t="str">
        <f>IMAGE("https://i.imgur.com/WSMsZfb.png")</f>
        <v/>
      </c>
      <c r="Q194" s="47" t="s">
        <v>300</v>
      </c>
      <c r="R194" s="47" t="s">
        <v>300</v>
      </c>
    </row>
    <row r="195">
      <c r="A195" s="213">
        <f t="shared" si="215"/>
        <v>6</v>
      </c>
      <c r="D195" s="47" t="s">
        <v>113</v>
      </c>
      <c r="E195" s="216"/>
      <c r="F195" s="48" t="str">
        <f t="shared" ref="F195:G195" si="217">F194</f>
        <v/>
      </c>
      <c r="G195" s="48" t="str">
        <f t="shared" si="217"/>
        <v>Player 3</v>
      </c>
      <c r="K195" s="37" t="s">
        <v>310</v>
      </c>
      <c r="L195" s="37" t="str">
        <f>IMAGE("https://i.imgur.com/urn4XFm.png")</f>
        <v/>
      </c>
    </row>
    <row r="196">
      <c r="A196" s="213">
        <f t="shared" si="215"/>
        <v>6</v>
      </c>
      <c r="D196" s="47" t="s">
        <v>114</v>
      </c>
      <c r="E196" s="216"/>
      <c r="F196" s="48" t="str">
        <f t="shared" ref="F196:G196" si="218">F195</f>
        <v/>
      </c>
      <c r="G196" s="48" t="str">
        <f t="shared" si="218"/>
        <v>Player 3</v>
      </c>
      <c r="K196" s="37" t="s">
        <v>311</v>
      </c>
      <c r="L196" s="37" t="str">
        <f>IMAGE("https://i.imgur.com/5UMY3EX.png")</f>
        <v/>
      </c>
    </row>
    <row r="197">
      <c r="A197" s="213">
        <f>A195</f>
        <v>6</v>
      </c>
      <c r="B197" s="214"/>
      <c r="C197" s="215" t="s">
        <v>127</v>
      </c>
      <c r="D197" s="47" t="s">
        <v>110</v>
      </c>
      <c r="F197" s="48" t="str">
        <f t="shared" ref="F197:G197" si="219">B197</f>
        <v/>
      </c>
      <c r="G197" s="48" t="str">
        <f t="shared" si="219"/>
        <v>Player 4</v>
      </c>
      <c r="K197" s="37" t="s">
        <v>312</v>
      </c>
      <c r="L197" s="37" t="str">
        <f>IMAGE("https://i.imgur.com/GIQ1TEK.png")</f>
        <v/>
      </c>
    </row>
    <row r="198">
      <c r="A198" s="213">
        <f t="shared" ref="A198:A201" si="221">A197</f>
        <v>6</v>
      </c>
      <c r="D198" s="47" t="s">
        <v>111</v>
      </c>
      <c r="E198" s="47" t="s">
        <v>80</v>
      </c>
      <c r="F198" s="48" t="str">
        <f t="shared" ref="F198:G198" si="220">F197</f>
        <v/>
      </c>
      <c r="G198" s="48" t="str">
        <f t="shared" si="220"/>
        <v>Player 4</v>
      </c>
      <c r="K198" s="37" t="s">
        <v>313</v>
      </c>
      <c r="L198" s="37" t="str">
        <f>IMAGE("https://i.imgur.com/IjDpWkR.png")</f>
        <v/>
      </c>
    </row>
    <row r="199">
      <c r="A199" s="213">
        <f t="shared" si="221"/>
        <v>6</v>
      </c>
      <c r="D199" s="47" t="s">
        <v>112</v>
      </c>
      <c r="E199" s="216"/>
      <c r="F199" s="48" t="str">
        <f t="shared" ref="F199:G199" si="222">F198</f>
        <v/>
      </c>
      <c r="G199" s="48" t="str">
        <f t="shared" si="222"/>
        <v>Player 4</v>
      </c>
      <c r="K199" s="37" t="s">
        <v>314</v>
      </c>
      <c r="L199" s="37" t="str">
        <f>IMAGE("https://i.imgur.com/XS6ZCqr.png")</f>
        <v/>
      </c>
    </row>
    <row r="200">
      <c r="A200" s="213">
        <f t="shared" si="221"/>
        <v>6</v>
      </c>
      <c r="D200" s="47" t="s">
        <v>113</v>
      </c>
      <c r="E200" s="216"/>
      <c r="F200" s="48" t="str">
        <f t="shared" ref="F200:G200" si="223">F199</f>
        <v/>
      </c>
      <c r="G200" s="48" t="str">
        <f t="shared" si="223"/>
        <v>Player 4</v>
      </c>
      <c r="K200" s="37" t="s">
        <v>315</v>
      </c>
      <c r="L200" s="37" t="str">
        <f>IMAGE("https://i.imgur.com/GJn3frD.png")</f>
        <v/>
      </c>
    </row>
    <row r="201">
      <c r="A201" s="213">
        <f t="shared" si="221"/>
        <v>6</v>
      </c>
      <c r="D201" s="47" t="s">
        <v>114</v>
      </c>
      <c r="E201" s="216"/>
      <c r="F201" s="48" t="str">
        <f t="shared" ref="F201:G201" si="224">F200</f>
        <v/>
      </c>
      <c r="G201" s="48" t="str">
        <f t="shared" si="224"/>
        <v>Player 4</v>
      </c>
      <c r="K201" s="37" t="s">
        <v>316</v>
      </c>
      <c r="L201" s="37" t="str">
        <f>IMAGE("https://i.imgur.com/gL38Qet.png")</f>
        <v/>
      </c>
    </row>
    <row r="202">
      <c r="A202" s="213">
        <f>A200</f>
        <v>6</v>
      </c>
      <c r="B202" s="214"/>
      <c r="C202" s="215" t="s">
        <v>133</v>
      </c>
      <c r="D202" s="47" t="s">
        <v>110</v>
      </c>
      <c r="F202" s="48" t="str">
        <f t="shared" ref="F202:G202" si="225">B202</f>
        <v/>
      </c>
      <c r="G202" s="48" t="str">
        <f t="shared" si="225"/>
        <v>Player 5</v>
      </c>
      <c r="K202" s="37" t="s">
        <v>317</v>
      </c>
      <c r="L202" s="37" t="str">
        <f>IMAGE("https://i.imgur.com/T0UDx46.png")</f>
        <v/>
      </c>
    </row>
    <row r="203">
      <c r="A203" s="213">
        <f t="shared" ref="A203:A216" si="227">A202</f>
        <v>6</v>
      </c>
      <c r="D203" s="47" t="s">
        <v>111</v>
      </c>
      <c r="E203" s="47" t="s">
        <v>80</v>
      </c>
      <c r="F203" s="48" t="str">
        <f t="shared" ref="F203:G203" si="226">F202</f>
        <v/>
      </c>
      <c r="G203" s="48" t="str">
        <f t="shared" si="226"/>
        <v>Player 5</v>
      </c>
      <c r="K203" s="37" t="s">
        <v>318</v>
      </c>
      <c r="L203" s="37" t="str">
        <f>IMAGE("https://i.imgur.com/jYYfwbK.png")</f>
        <v/>
      </c>
    </row>
    <row r="204">
      <c r="A204" s="213">
        <f t="shared" si="227"/>
        <v>6</v>
      </c>
      <c r="D204" s="47" t="s">
        <v>112</v>
      </c>
      <c r="E204" s="216"/>
      <c r="F204" s="48" t="str">
        <f t="shared" ref="F204:G204" si="228">F203</f>
        <v/>
      </c>
      <c r="G204" s="48" t="str">
        <f t="shared" si="228"/>
        <v>Player 5</v>
      </c>
    </row>
    <row r="205">
      <c r="A205" s="213">
        <f t="shared" si="227"/>
        <v>6</v>
      </c>
      <c r="D205" s="47" t="s">
        <v>113</v>
      </c>
      <c r="E205" s="216"/>
      <c r="F205" s="48" t="str">
        <f t="shared" ref="F205:G205" si="229">F204</f>
        <v/>
      </c>
      <c r="G205" s="48" t="str">
        <f t="shared" si="229"/>
        <v>Player 5</v>
      </c>
    </row>
    <row r="206">
      <c r="A206" s="213">
        <f t="shared" si="227"/>
        <v>6</v>
      </c>
      <c r="D206" s="47" t="s">
        <v>114</v>
      </c>
      <c r="E206" s="216"/>
      <c r="F206" s="48" t="str">
        <f t="shared" ref="F206:G206" si="230">F205</f>
        <v/>
      </c>
      <c r="G206" s="48" t="str">
        <f t="shared" si="230"/>
        <v>Player 5</v>
      </c>
    </row>
    <row r="207">
      <c r="A207" s="213">
        <f t="shared" si="227"/>
        <v>6</v>
      </c>
      <c r="B207" s="214"/>
      <c r="C207" s="215" t="s">
        <v>139</v>
      </c>
      <c r="D207" s="47" t="s">
        <v>110</v>
      </c>
      <c r="E207" s="216"/>
      <c r="F207" s="48" t="str">
        <f t="shared" ref="F207:G207" si="231">B207</f>
        <v/>
      </c>
      <c r="G207" s="48" t="str">
        <f t="shared" si="231"/>
        <v>Player 6 (Substitute)</v>
      </c>
    </row>
    <row r="208">
      <c r="A208" s="213">
        <f t="shared" si="227"/>
        <v>6</v>
      </c>
      <c r="D208" s="47" t="s">
        <v>111</v>
      </c>
      <c r="E208" s="47" t="s">
        <v>80</v>
      </c>
      <c r="F208" s="48" t="str">
        <f t="shared" ref="F208:G208" si="232">F207</f>
        <v/>
      </c>
      <c r="G208" s="48" t="str">
        <f t="shared" si="232"/>
        <v>Player 6 (Substitute)</v>
      </c>
    </row>
    <row r="209">
      <c r="A209" s="213">
        <f t="shared" si="227"/>
        <v>6</v>
      </c>
      <c r="D209" s="47" t="s">
        <v>112</v>
      </c>
      <c r="E209" s="216"/>
      <c r="F209" s="48" t="str">
        <f t="shared" ref="F209:G209" si="233">F208</f>
        <v/>
      </c>
      <c r="G209" s="48" t="str">
        <f t="shared" si="233"/>
        <v>Player 6 (Substitute)</v>
      </c>
    </row>
    <row r="210">
      <c r="A210" s="213">
        <f t="shared" si="227"/>
        <v>6</v>
      </c>
      <c r="D210" s="47" t="s">
        <v>113</v>
      </c>
      <c r="E210" s="216"/>
      <c r="F210" s="48" t="str">
        <f t="shared" ref="F210:G210" si="234">F209</f>
        <v/>
      </c>
      <c r="G210" s="48" t="str">
        <f t="shared" si="234"/>
        <v>Player 6 (Substitute)</v>
      </c>
    </row>
    <row r="211">
      <c r="A211" s="213">
        <f t="shared" si="227"/>
        <v>6</v>
      </c>
      <c r="D211" s="47" t="s">
        <v>114</v>
      </c>
      <c r="E211" s="216"/>
      <c r="F211" s="48" t="str">
        <f t="shared" ref="F211:G211" si="235">F210</f>
        <v/>
      </c>
      <c r="G211" s="48" t="str">
        <f t="shared" si="235"/>
        <v>Player 6 (Substitute)</v>
      </c>
    </row>
    <row r="212">
      <c r="A212" s="213">
        <f t="shared" si="227"/>
        <v>6</v>
      </c>
      <c r="B212" s="214"/>
      <c r="C212" s="215" t="s">
        <v>145</v>
      </c>
      <c r="D212" s="47" t="s">
        <v>110</v>
      </c>
      <c r="F212" s="48" t="str">
        <f t="shared" ref="F212:G212" si="236">B212</f>
        <v/>
      </c>
      <c r="G212" s="48" t="str">
        <f t="shared" si="236"/>
        <v>Coach</v>
      </c>
    </row>
    <row r="213">
      <c r="A213" s="213">
        <f t="shared" si="227"/>
        <v>6</v>
      </c>
      <c r="D213" s="47" t="s">
        <v>111</v>
      </c>
      <c r="E213" s="47" t="s">
        <v>80</v>
      </c>
      <c r="F213" s="48" t="str">
        <f t="shared" ref="F213:G213" si="237">F212</f>
        <v/>
      </c>
      <c r="G213" s="48" t="str">
        <f t="shared" si="237"/>
        <v>Coach</v>
      </c>
    </row>
    <row r="214">
      <c r="A214" s="213">
        <f t="shared" si="227"/>
        <v>6</v>
      </c>
      <c r="D214" s="47" t="s">
        <v>112</v>
      </c>
      <c r="E214" s="216"/>
      <c r="F214" s="48" t="str">
        <f t="shared" ref="F214:G214" si="238">F213</f>
        <v/>
      </c>
      <c r="G214" s="48" t="str">
        <f t="shared" si="238"/>
        <v>Coach</v>
      </c>
    </row>
    <row r="215">
      <c r="A215" s="213">
        <f t="shared" si="227"/>
        <v>6</v>
      </c>
      <c r="D215" s="47" t="s">
        <v>113</v>
      </c>
      <c r="E215" s="218"/>
      <c r="F215" s="48" t="str">
        <f t="shared" ref="F215:G215" si="239">F214</f>
        <v/>
      </c>
      <c r="G215" s="48" t="str">
        <f t="shared" si="239"/>
        <v>Coach</v>
      </c>
    </row>
    <row r="216">
      <c r="A216" s="213">
        <f t="shared" si="227"/>
        <v>6</v>
      </c>
      <c r="D216" s="47" t="s">
        <v>114</v>
      </c>
      <c r="E216" s="218"/>
      <c r="F216" s="48" t="str">
        <f t="shared" ref="F216:G216" si="240">F215</f>
        <v/>
      </c>
      <c r="G216" s="48" t="str">
        <f t="shared" si="240"/>
        <v>Coach</v>
      </c>
    </row>
    <row r="217">
      <c r="A217" s="212">
        <f>A181+1</f>
        <v>7</v>
      </c>
      <c r="B217" s="212" t="str">
        <f t="array" ref="B217">xlookup(A217,'Team Entry'!$C:$C,'Team Entry'!$A:$A,"")</f>
        <v>Team 3 (Group 2)</v>
      </c>
    </row>
    <row r="218">
      <c r="A218" s="213">
        <f t="shared" ref="A218:A222" si="242">A217</f>
        <v>7</v>
      </c>
      <c r="B218" s="214"/>
      <c r="C218" s="215" t="s">
        <v>109</v>
      </c>
      <c r="D218" s="47" t="s">
        <v>110</v>
      </c>
      <c r="F218" s="48" t="str">
        <f t="shared" ref="F218:G218" si="241">B218</f>
        <v/>
      </c>
      <c r="G218" s="48" t="str">
        <f t="shared" si="241"/>
        <v>Player 1</v>
      </c>
    </row>
    <row r="219">
      <c r="A219" s="213">
        <f t="shared" si="242"/>
        <v>7</v>
      </c>
      <c r="D219" s="47" t="s">
        <v>111</v>
      </c>
      <c r="E219" s="47" t="s">
        <v>80</v>
      </c>
      <c r="F219" s="48" t="str">
        <f t="shared" ref="F219:G219" si="243">F218</f>
        <v/>
      </c>
      <c r="G219" s="48" t="str">
        <f t="shared" si="243"/>
        <v>Player 1</v>
      </c>
    </row>
    <row r="220">
      <c r="A220" s="213">
        <f t="shared" si="242"/>
        <v>7</v>
      </c>
      <c r="D220" s="47" t="s">
        <v>112</v>
      </c>
      <c r="E220" s="216"/>
      <c r="F220" s="48" t="str">
        <f t="shared" ref="F220:G220" si="244">F219</f>
        <v/>
      </c>
      <c r="G220" s="48" t="str">
        <f t="shared" si="244"/>
        <v>Player 1</v>
      </c>
    </row>
    <row r="221">
      <c r="A221" s="213">
        <f t="shared" si="242"/>
        <v>7</v>
      </c>
      <c r="D221" s="47" t="s">
        <v>113</v>
      </c>
      <c r="E221" s="216"/>
      <c r="F221" s="48" t="str">
        <f t="shared" ref="F221:G221" si="245">F220</f>
        <v/>
      </c>
      <c r="G221" s="48" t="str">
        <f t="shared" si="245"/>
        <v>Player 1</v>
      </c>
    </row>
    <row r="222">
      <c r="A222" s="213">
        <f t="shared" si="242"/>
        <v>7</v>
      </c>
      <c r="D222" s="47" t="s">
        <v>114</v>
      </c>
      <c r="E222" s="216"/>
      <c r="F222" s="48" t="str">
        <f t="shared" ref="F222:G222" si="246">F221</f>
        <v/>
      </c>
      <c r="G222" s="48" t="str">
        <f t="shared" si="246"/>
        <v>Player 1</v>
      </c>
    </row>
    <row r="223">
      <c r="A223" s="213">
        <f>A221</f>
        <v>7</v>
      </c>
      <c r="B223" s="214"/>
      <c r="C223" s="215" t="s">
        <v>115</v>
      </c>
      <c r="D223" s="47" t="s">
        <v>110</v>
      </c>
      <c r="F223" s="48" t="str">
        <f t="shared" ref="F223:G223" si="247">B223</f>
        <v/>
      </c>
      <c r="G223" s="48" t="str">
        <f t="shared" si="247"/>
        <v>Player 2</v>
      </c>
    </row>
    <row r="224">
      <c r="A224" s="213">
        <f t="shared" ref="A224:A227" si="249">A223</f>
        <v>7</v>
      </c>
      <c r="D224" s="47" t="s">
        <v>111</v>
      </c>
      <c r="E224" s="47" t="s">
        <v>80</v>
      </c>
      <c r="F224" s="48" t="str">
        <f t="shared" ref="F224:G224" si="248">F223</f>
        <v/>
      </c>
      <c r="G224" s="48" t="str">
        <f t="shared" si="248"/>
        <v>Player 2</v>
      </c>
    </row>
    <row r="225">
      <c r="A225" s="213">
        <f t="shared" si="249"/>
        <v>7</v>
      </c>
      <c r="D225" s="47" t="s">
        <v>112</v>
      </c>
      <c r="E225" s="216"/>
      <c r="F225" s="48" t="str">
        <f t="shared" ref="F225:G225" si="250">F224</f>
        <v/>
      </c>
      <c r="G225" s="48" t="str">
        <f t="shared" si="250"/>
        <v>Player 2</v>
      </c>
    </row>
    <row r="226">
      <c r="A226" s="213">
        <f t="shared" si="249"/>
        <v>7</v>
      </c>
      <c r="D226" s="47" t="s">
        <v>113</v>
      </c>
      <c r="E226" s="216"/>
      <c r="F226" s="48" t="str">
        <f t="shared" ref="F226:G226" si="251">F225</f>
        <v/>
      </c>
      <c r="G226" s="48" t="str">
        <f t="shared" si="251"/>
        <v>Player 2</v>
      </c>
    </row>
    <row r="227">
      <c r="A227" s="213">
        <f t="shared" si="249"/>
        <v>7</v>
      </c>
      <c r="D227" s="47" t="s">
        <v>114</v>
      </c>
      <c r="E227" s="216"/>
      <c r="F227" s="48" t="str">
        <f t="shared" ref="F227:G227" si="252">F226</f>
        <v/>
      </c>
      <c r="G227" s="48" t="str">
        <f t="shared" si="252"/>
        <v>Player 2</v>
      </c>
    </row>
    <row r="228">
      <c r="A228" s="213">
        <f>A226</f>
        <v>7</v>
      </c>
      <c r="B228" s="214"/>
      <c r="C228" s="215" t="s">
        <v>121</v>
      </c>
      <c r="D228" s="47" t="s">
        <v>110</v>
      </c>
      <c r="F228" s="48" t="str">
        <f t="shared" ref="F228:G228" si="253">B228</f>
        <v/>
      </c>
      <c r="G228" s="48" t="str">
        <f t="shared" si="253"/>
        <v>Player 3</v>
      </c>
    </row>
    <row r="229">
      <c r="A229" s="213">
        <f t="shared" ref="A229:A232" si="255">A228</f>
        <v>7</v>
      </c>
      <c r="D229" s="47" t="s">
        <v>111</v>
      </c>
      <c r="E229" s="47" t="s">
        <v>80</v>
      </c>
      <c r="F229" s="48" t="str">
        <f t="shared" ref="F229:G229" si="254">F228</f>
        <v/>
      </c>
      <c r="G229" s="48" t="str">
        <f t="shared" si="254"/>
        <v>Player 3</v>
      </c>
    </row>
    <row r="230">
      <c r="A230" s="213">
        <f t="shared" si="255"/>
        <v>7</v>
      </c>
      <c r="D230" s="47" t="s">
        <v>112</v>
      </c>
      <c r="E230" s="216"/>
      <c r="F230" s="48" t="str">
        <f t="shared" ref="F230:G230" si="256">F229</f>
        <v/>
      </c>
      <c r="G230" s="48" t="str">
        <f t="shared" si="256"/>
        <v>Player 3</v>
      </c>
    </row>
    <row r="231">
      <c r="A231" s="213">
        <f t="shared" si="255"/>
        <v>7</v>
      </c>
      <c r="D231" s="47" t="s">
        <v>113</v>
      </c>
      <c r="E231" s="216"/>
      <c r="F231" s="48" t="str">
        <f t="shared" ref="F231:G231" si="257">F230</f>
        <v/>
      </c>
      <c r="G231" s="48" t="str">
        <f t="shared" si="257"/>
        <v>Player 3</v>
      </c>
    </row>
    <row r="232">
      <c r="A232" s="213">
        <f t="shared" si="255"/>
        <v>7</v>
      </c>
      <c r="D232" s="47" t="s">
        <v>114</v>
      </c>
      <c r="E232" s="216"/>
      <c r="F232" s="48" t="str">
        <f t="shared" ref="F232:G232" si="258">F231</f>
        <v/>
      </c>
      <c r="G232" s="48" t="str">
        <f t="shared" si="258"/>
        <v>Player 3</v>
      </c>
    </row>
    <row r="233">
      <c r="A233" s="213">
        <f>A231</f>
        <v>7</v>
      </c>
      <c r="B233" s="214"/>
      <c r="C233" s="215" t="s">
        <v>127</v>
      </c>
      <c r="D233" s="47" t="s">
        <v>110</v>
      </c>
      <c r="F233" s="48" t="str">
        <f t="shared" ref="F233:G233" si="259">B233</f>
        <v/>
      </c>
      <c r="G233" s="48" t="str">
        <f t="shared" si="259"/>
        <v>Player 4</v>
      </c>
    </row>
    <row r="234">
      <c r="A234" s="213">
        <f t="shared" ref="A234:A237" si="261">A233</f>
        <v>7</v>
      </c>
      <c r="D234" s="47" t="s">
        <v>111</v>
      </c>
      <c r="E234" s="47" t="s">
        <v>80</v>
      </c>
      <c r="F234" s="48" t="str">
        <f t="shared" ref="F234:G234" si="260">F233</f>
        <v/>
      </c>
      <c r="G234" s="48" t="str">
        <f t="shared" si="260"/>
        <v>Player 4</v>
      </c>
    </row>
    <row r="235">
      <c r="A235" s="213">
        <f t="shared" si="261"/>
        <v>7</v>
      </c>
      <c r="D235" s="47" t="s">
        <v>112</v>
      </c>
      <c r="E235" s="216"/>
      <c r="F235" s="48" t="str">
        <f t="shared" ref="F235:G235" si="262">F234</f>
        <v/>
      </c>
      <c r="G235" s="48" t="str">
        <f t="shared" si="262"/>
        <v>Player 4</v>
      </c>
    </row>
    <row r="236">
      <c r="A236" s="213">
        <f t="shared" si="261"/>
        <v>7</v>
      </c>
      <c r="D236" s="47" t="s">
        <v>113</v>
      </c>
      <c r="E236" s="216"/>
      <c r="F236" s="48" t="str">
        <f t="shared" ref="F236:G236" si="263">F235</f>
        <v/>
      </c>
      <c r="G236" s="48" t="str">
        <f t="shared" si="263"/>
        <v>Player 4</v>
      </c>
    </row>
    <row r="237">
      <c r="A237" s="213">
        <f t="shared" si="261"/>
        <v>7</v>
      </c>
      <c r="D237" s="47" t="s">
        <v>114</v>
      </c>
      <c r="E237" s="216"/>
      <c r="F237" s="48" t="str">
        <f t="shared" ref="F237:G237" si="264">F236</f>
        <v/>
      </c>
      <c r="G237" s="48" t="str">
        <f t="shared" si="264"/>
        <v>Player 4</v>
      </c>
    </row>
    <row r="238">
      <c r="A238" s="213">
        <f>A236</f>
        <v>7</v>
      </c>
      <c r="B238" s="214"/>
      <c r="C238" s="215" t="s">
        <v>133</v>
      </c>
      <c r="D238" s="47" t="s">
        <v>110</v>
      </c>
      <c r="F238" s="48" t="str">
        <f t="shared" ref="F238:G238" si="265">B238</f>
        <v/>
      </c>
      <c r="G238" s="48" t="str">
        <f t="shared" si="265"/>
        <v>Player 5</v>
      </c>
    </row>
    <row r="239">
      <c r="A239" s="213">
        <f t="shared" ref="A239:A252" si="267">A238</f>
        <v>7</v>
      </c>
      <c r="D239" s="47" t="s">
        <v>111</v>
      </c>
      <c r="E239" s="47" t="s">
        <v>80</v>
      </c>
      <c r="F239" s="48" t="str">
        <f t="shared" ref="F239:G239" si="266">F238</f>
        <v/>
      </c>
      <c r="G239" s="48" t="str">
        <f t="shared" si="266"/>
        <v>Player 5</v>
      </c>
    </row>
    <row r="240">
      <c r="A240" s="213">
        <f t="shared" si="267"/>
        <v>7</v>
      </c>
      <c r="D240" s="47" t="s">
        <v>112</v>
      </c>
      <c r="E240" s="216"/>
      <c r="F240" s="48" t="str">
        <f t="shared" ref="F240:G240" si="268">F239</f>
        <v/>
      </c>
      <c r="G240" s="48" t="str">
        <f t="shared" si="268"/>
        <v>Player 5</v>
      </c>
    </row>
    <row r="241">
      <c r="A241" s="213">
        <f t="shared" si="267"/>
        <v>7</v>
      </c>
      <c r="D241" s="47" t="s">
        <v>113</v>
      </c>
      <c r="E241" s="216"/>
      <c r="F241" s="48" t="str">
        <f t="shared" ref="F241:G241" si="269">F240</f>
        <v/>
      </c>
      <c r="G241" s="48" t="str">
        <f t="shared" si="269"/>
        <v>Player 5</v>
      </c>
    </row>
    <row r="242">
      <c r="A242" s="213">
        <f t="shared" si="267"/>
        <v>7</v>
      </c>
      <c r="D242" s="47" t="s">
        <v>114</v>
      </c>
      <c r="E242" s="216"/>
      <c r="F242" s="48" t="str">
        <f t="shared" ref="F242:G242" si="270">F241</f>
        <v/>
      </c>
      <c r="G242" s="48" t="str">
        <f t="shared" si="270"/>
        <v>Player 5</v>
      </c>
    </row>
    <row r="243">
      <c r="A243" s="213">
        <f t="shared" si="267"/>
        <v>7</v>
      </c>
      <c r="B243" s="214"/>
      <c r="C243" s="215" t="s">
        <v>139</v>
      </c>
      <c r="D243" s="47" t="s">
        <v>110</v>
      </c>
      <c r="E243" s="216"/>
      <c r="F243" s="48" t="str">
        <f t="shared" ref="F243:G243" si="271">B243</f>
        <v/>
      </c>
      <c r="G243" s="48" t="str">
        <f t="shared" si="271"/>
        <v>Player 6 (Substitute)</v>
      </c>
    </row>
    <row r="244">
      <c r="A244" s="213">
        <f t="shared" si="267"/>
        <v>7</v>
      </c>
      <c r="D244" s="47" t="s">
        <v>111</v>
      </c>
      <c r="E244" s="47" t="s">
        <v>80</v>
      </c>
      <c r="F244" s="48" t="str">
        <f t="shared" ref="F244:G244" si="272">F243</f>
        <v/>
      </c>
      <c r="G244" s="48" t="str">
        <f t="shared" si="272"/>
        <v>Player 6 (Substitute)</v>
      </c>
    </row>
    <row r="245">
      <c r="A245" s="213">
        <f t="shared" si="267"/>
        <v>7</v>
      </c>
      <c r="D245" s="47" t="s">
        <v>112</v>
      </c>
      <c r="E245" s="216"/>
      <c r="F245" s="48" t="str">
        <f t="shared" ref="F245:G245" si="273">F244</f>
        <v/>
      </c>
      <c r="G245" s="48" t="str">
        <f t="shared" si="273"/>
        <v>Player 6 (Substitute)</v>
      </c>
    </row>
    <row r="246">
      <c r="A246" s="213">
        <f t="shared" si="267"/>
        <v>7</v>
      </c>
      <c r="D246" s="47" t="s">
        <v>113</v>
      </c>
      <c r="E246" s="216"/>
      <c r="F246" s="48" t="str">
        <f t="shared" ref="F246:G246" si="274">F245</f>
        <v/>
      </c>
      <c r="G246" s="48" t="str">
        <f t="shared" si="274"/>
        <v>Player 6 (Substitute)</v>
      </c>
    </row>
    <row r="247">
      <c r="A247" s="213">
        <f t="shared" si="267"/>
        <v>7</v>
      </c>
      <c r="D247" s="47" t="s">
        <v>114</v>
      </c>
      <c r="E247" s="216"/>
      <c r="F247" s="48" t="str">
        <f t="shared" ref="F247:G247" si="275">F246</f>
        <v/>
      </c>
      <c r="G247" s="48" t="str">
        <f t="shared" si="275"/>
        <v>Player 6 (Substitute)</v>
      </c>
    </row>
    <row r="248">
      <c r="A248" s="213">
        <f t="shared" si="267"/>
        <v>7</v>
      </c>
      <c r="B248" s="214"/>
      <c r="C248" s="215" t="s">
        <v>145</v>
      </c>
      <c r="D248" s="47" t="s">
        <v>110</v>
      </c>
      <c r="F248" s="48" t="str">
        <f t="shared" ref="F248:G248" si="276">B248</f>
        <v/>
      </c>
      <c r="G248" s="48" t="str">
        <f t="shared" si="276"/>
        <v>Coach</v>
      </c>
    </row>
    <row r="249">
      <c r="A249" s="213">
        <f t="shared" si="267"/>
        <v>7</v>
      </c>
      <c r="D249" s="47" t="s">
        <v>111</v>
      </c>
      <c r="E249" s="47" t="s">
        <v>80</v>
      </c>
      <c r="F249" s="48" t="str">
        <f t="shared" ref="F249:G249" si="277">F248</f>
        <v/>
      </c>
      <c r="G249" s="48" t="str">
        <f t="shared" si="277"/>
        <v>Coach</v>
      </c>
    </row>
    <row r="250">
      <c r="A250" s="213">
        <f t="shared" si="267"/>
        <v>7</v>
      </c>
      <c r="D250" s="47" t="s">
        <v>112</v>
      </c>
      <c r="E250" s="216"/>
      <c r="F250" s="48" t="str">
        <f t="shared" ref="F250:G250" si="278">F249</f>
        <v/>
      </c>
      <c r="G250" s="48" t="str">
        <f t="shared" si="278"/>
        <v>Coach</v>
      </c>
    </row>
    <row r="251">
      <c r="A251" s="213">
        <f t="shared" si="267"/>
        <v>7</v>
      </c>
      <c r="D251" s="47" t="s">
        <v>113</v>
      </c>
      <c r="E251" s="218"/>
      <c r="F251" s="48" t="str">
        <f t="shared" ref="F251:G251" si="279">F250</f>
        <v/>
      </c>
      <c r="G251" s="48" t="str">
        <f t="shared" si="279"/>
        <v>Coach</v>
      </c>
    </row>
    <row r="252">
      <c r="A252" s="213">
        <f t="shared" si="267"/>
        <v>7</v>
      </c>
      <c r="D252" s="47" t="s">
        <v>114</v>
      </c>
      <c r="E252" s="218"/>
      <c r="F252" s="48" t="str">
        <f t="shared" ref="F252:G252" si="280">F251</f>
        <v/>
      </c>
      <c r="G252" s="48" t="str">
        <f t="shared" si="280"/>
        <v>Coach</v>
      </c>
    </row>
    <row r="253">
      <c r="A253" s="212">
        <f>A217+1</f>
        <v>8</v>
      </c>
      <c r="B253" s="212" t="str">
        <f t="array" ref="B253">xlookup(A253,'Team Entry'!$C:$C,'Team Entry'!$A:$A,"")</f>
        <v>Team 4 (Group 2)</v>
      </c>
    </row>
    <row r="254">
      <c r="A254" s="213">
        <f t="shared" ref="A254:A258" si="282">A253</f>
        <v>8</v>
      </c>
      <c r="B254" s="214"/>
      <c r="C254" s="215" t="s">
        <v>109</v>
      </c>
      <c r="D254" s="47" t="s">
        <v>110</v>
      </c>
      <c r="F254" s="48" t="str">
        <f t="shared" ref="F254:G254" si="281">B254</f>
        <v/>
      </c>
      <c r="G254" s="48" t="str">
        <f t="shared" si="281"/>
        <v>Player 1</v>
      </c>
    </row>
    <row r="255">
      <c r="A255" s="213">
        <f t="shared" si="282"/>
        <v>8</v>
      </c>
      <c r="D255" s="47" t="s">
        <v>111</v>
      </c>
      <c r="E255" s="47" t="s">
        <v>80</v>
      </c>
      <c r="F255" s="48" t="str">
        <f t="shared" ref="F255:G255" si="283">F254</f>
        <v/>
      </c>
      <c r="G255" s="48" t="str">
        <f t="shared" si="283"/>
        <v>Player 1</v>
      </c>
    </row>
    <row r="256">
      <c r="A256" s="213">
        <f t="shared" si="282"/>
        <v>8</v>
      </c>
      <c r="D256" s="47" t="s">
        <v>112</v>
      </c>
      <c r="E256" s="216"/>
      <c r="F256" s="48" t="str">
        <f t="shared" ref="F256:G256" si="284">F255</f>
        <v/>
      </c>
      <c r="G256" s="48" t="str">
        <f t="shared" si="284"/>
        <v>Player 1</v>
      </c>
    </row>
    <row r="257">
      <c r="A257" s="213">
        <f t="shared" si="282"/>
        <v>8</v>
      </c>
      <c r="D257" s="47" t="s">
        <v>113</v>
      </c>
      <c r="E257" s="216"/>
      <c r="F257" s="48" t="str">
        <f t="shared" ref="F257:G257" si="285">F256</f>
        <v/>
      </c>
      <c r="G257" s="48" t="str">
        <f t="shared" si="285"/>
        <v>Player 1</v>
      </c>
    </row>
    <row r="258">
      <c r="A258" s="213">
        <f t="shared" si="282"/>
        <v>8</v>
      </c>
      <c r="D258" s="47" t="s">
        <v>114</v>
      </c>
      <c r="E258" s="216"/>
      <c r="F258" s="48" t="str">
        <f t="shared" ref="F258:G258" si="286">F257</f>
        <v/>
      </c>
      <c r="G258" s="48" t="str">
        <f t="shared" si="286"/>
        <v>Player 1</v>
      </c>
    </row>
    <row r="259">
      <c r="A259" s="213">
        <f>A257</f>
        <v>8</v>
      </c>
      <c r="B259" s="214"/>
      <c r="C259" s="215" t="s">
        <v>115</v>
      </c>
      <c r="D259" s="47" t="s">
        <v>110</v>
      </c>
      <c r="F259" s="48" t="str">
        <f t="shared" ref="F259:G259" si="287">B259</f>
        <v/>
      </c>
      <c r="G259" s="48" t="str">
        <f t="shared" si="287"/>
        <v>Player 2</v>
      </c>
    </row>
    <row r="260">
      <c r="A260" s="213">
        <f t="shared" ref="A260:A263" si="289">A259</f>
        <v>8</v>
      </c>
      <c r="D260" s="47" t="s">
        <v>111</v>
      </c>
      <c r="E260" s="47" t="s">
        <v>80</v>
      </c>
      <c r="F260" s="48" t="str">
        <f t="shared" ref="F260:G260" si="288">F259</f>
        <v/>
      </c>
      <c r="G260" s="48" t="str">
        <f t="shared" si="288"/>
        <v>Player 2</v>
      </c>
    </row>
    <row r="261">
      <c r="A261" s="213">
        <f t="shared" si="289"/>
        <v>8</v>
      </c>
      <c r="D261" s="47" t="s">
        <v>112</v>
      </c>
      <c r="E261" s="216"/>
      <c r="F261" s="48" t="str">
        <f t="shared" ref="F261:G261" si="290">F260</f>
        <v/>
      </c>
      <c r="G261" s="48" t="str">
        <f t="shared" si="290"/>
        <v>Player 2</v>
      </c>
    </row>
    <row r="262">
      <c r="A262" s="213">
        <f t="shared" si="289"/>
        <v>8</v>
      </c>
      <c r="D262" s="47" t="s">
        <v>113</v>
      </c>
      <c r="E262" s="216"/>
      <c r="F262" s="48" t="str">
        <f t="shared" ref="F262:G262" si="291">F261</f>
        <v/>
      </c>
      <c r="G262" s="48" t="str">
        <f t="shared" si="291"/>
        <v>Player 2</v>
      </c>
    </row>
    <row r="263">
      <c r="A263" s="213">
        <f t="shared" si="289"/>
        <v>8</v>
      </c>
      <c r="D263" s="47" t="s">
        <v>114</v>
      </c>
      <c r="E263" s="216"/>
      <c r="F263" s="48" t="str">
        <f t="shared" ref="F263:G263" si="292">F262</f>
        <v/>
      </c>
      <c r="G263" s="48" t="str">
        <f t="shared" si="292"/>
        <v>Player 2</v>
      </c>
    </row>
    <row r="264">
      <c r="A264" s="213">
        <f>A262</f>
        <v>8</v>
      </c>
      <c r="B264" s="214"/>
      <c r="C264" s="215" t="s">
        <v>121</v>
      </c>
      <c r="D264" s="47" t="s">
        <v>110</v>
      </c>
      <c r="F264" s="48" t="str">
        <f t="shared" ref="F264:G264" si="293">B264</f>
        <v/>
      </c>
      <c r="G264" s="48" t="str">
        <f t="shared" si="293"/>
        <v>Player 3</v>
      </c>
    </row>
    <row r="265">
      <c r="A265" s="213">
        <f t="shared" ref="A265:A268" si="295">A264</f>
        <v>8</v>
      </c>
      <c r="D265" s="47" t="s">
        <v>111</v>
      </c>
      <c r="E265" s="47" t="s">
        <v>80</v>
      </c>
      <c r="F265" s="48" t="str">
        <f t="shared" ref="F265:G265" si="294">F264</f>
        <v/>
      </c>
      <c r="G265" s="48" t="str">
        <f t="shared" si="294"/>
        <v>Player 3</v>
      </c>
    </row>
    <row r="266">
      <c r="A266" s="213">
        <f t="shared" si="295"/>
        <v>8</v>
      </c>
      <c r="D266" s="47" t="s">
        <v>112</v>
      </c>
      <c r="E266" s="216"/>
      <c r="F266" s="48" t="str">
        <f t="shared" ref="F266:G266" si="296">F265</f>
        <v/>
      </c>
      <c r="G266" s="48" t="str">
        <f t="shared" si="296"/>
        <v>Player 3</v>
      </c>
    </row>
    <row r="267">
      <c r="A267" s="213">
        <f t="shared" si="295"/>
        <v>8</v>
      </c>
      <c r="D267" s="47" t="s">
        <v>113</v>
      </c>
      <c r="E267" s="216"/>
      <c r="F267" s="48" t="str">
        <f t="shared" ref="F267:G267" si="297">F266</f>
        <v/>
      </c>
      <c r="G267" s="48" t="str">
        <f t="shared" si="297"/>
        <v>Player 3</v>
      </c>
    </row>
    <row r="268">
      <c r="A268" s="213">
        <f t="shared" si="295"/>
        <v>8</v>
      </c>
      <c r="D268" s="47" t="s">
        <v>114</v>
      </c>
      <c r="E268" s="216"/>
      <c r="F268" s="48" t="str">
        <f t="shared" ref="F268:G268" si="298">F267</f>
        <v/>
      </c>
      <c r="G268" s="48" t="str">
        <f t="shared" si="298"/>
        <v>Player 3</v>
      </c>
    </row>
    <row r="269">
      <c r="A269" s="213">
        <f>A267</f>
        <v>8</v>
      </c>
      <c r="B269" s="214"/>
      <c r="C269" s="215" t="s">
        <v>127</v>
      </c>
      <c r="D269" s="47" t="s">
        <v>110</v>
      </c>
      <c r="F269" s="48" t="str">
        <f t="shared" ref="F269:G269" si="299">B269</f>
        <v/>
      </c>
      <c r="G269" s="48" t="str">
        <f t="shared" si="299"/>
        <v>Player 4</v>
      </c>
    </row>
    <row r="270">
      <c r="A270" s="213">
        <f t="shared" ref="A270:A273" si="301">A269</f>
        <v>8</v>
      </c>
      <c r="D270" s="47" t="s">
        <v>111</v>
      </c>
      <c r="E270" s="47" t="s">
        <v>80</v>
      </c>
      <c r="F270" s="48" t="str">
        <f t="shared" ref="F270:G270" si="300">F269</f>
        <v/>
      </c>
      <c r="G270" s="48" t="str">
        <f t="shared" si="300"/>
        <v>Player 4</v>
      </c>
    </row>
    <row r="271">
      <c r="A271" s="213">
        <f t="shared" si="301"/>
        <v>8</v>
      </c>
      <c r="D271" s="47" t="s">
        <v>112</v>
      </c>
      <c r="E271" s="216"/>
      <c r="F271" s="48" t="str">
        <f t="shared" ref="F271:G271" si="302">F270</f>
        <v/>
      </c>
      <c r="G271" s="48" t="str">
        <f t="shared" si="302"/>
        <v>Player 4</v>
      </c>
    </row>
    <row r="272">
      <c r="A272" s="213">
        <f t="shared" si="301"/>
        <v>8</v>
      </c>
      <c r="D272" s="47" t="s">
        <v>113</v>
      </c>
      <c r="E272" s="216"/>
      <c r="F272" s="48" t="str">
        <f t="shared" ref="F272:G272" si="303">F271</f>
        <v/>
      </c>
      <c r="G272" s="48" t="str">
        <f t="shared" si="303"/>
        <v>Player 4</v>
      </c>
    </row>
    <row r="273">
      <c r="A273" s="213">
        <f t="shared" si="301"/>
        <v>8</v>
      </c>
      <c r="D273" s="47" t="s">
        <v>114</v>
      </c>
      <c r="E273" s="216"/>
      <c r="F273" s="48" t="str">
        <f t="shared" ref="F273:G273" si="304">F272</f>
        <v/>
      </c>
      <c r="G273" s="48" t="str">
        <f t="shared" si="304"/>
        <v>Player 4</v>
      </c>
    </row>
    <row r="274">
      <c r="A274" s="213">
        <f>A272</f>
        <v>8</v>
      </c>
      <c r="B274" s="214"/>
      <c r="C274" s="215" t="s">
        <v>133</v>
      </c>
      <c r="D274" s="47" t="s">
        <v>110</v>
      </c>
      <c r="F274" s="48" t="str">
        <f t="shared" ref="F274:G274" si="305">B274</f>
        <v/>
      </c>
      <c r="G274" s="48" t="str">
        <f t="shared" si="305"/>
        <v>Player 5</v>
      </c>
    </row>
    <row r="275">
      <c r="A275" s="213">
        <f t="shared" ref="A275:A288" si="307">A274</f>
        <v>8</v>
      </c>
      <c r="D275" s="47" t="s">
        <v>111</v>
      </c>
      <c r="E275" s="47" t="s">
        <v>80</v>
      </c>
      <c r="F275" s="48" t="str">
        <f t="shared" ref="F275:G275" si="306">F274</f>
        <v/>
      </c>
      <c r="G275" s="48" t="str">
        <f t="shared" si="306"/>
        <v>Player 5</v>
      </c>
    </row>
    <row r="276">
      <c r="A276" s="213">
        <f t="shared" si="307"/>
        <v>8</v>
      </c>
      <c r="D276" s="47" t="s">
        <v>112</v>
      </c>
      <c r="E276" s="216"/>
      <c r="F276" s="48" t="str">
        <f t="shared" ref="F276:G276" si="308">F275</f>
        <v/>
      </c>
      <c r="G276" s="48" t="str">
        <f t="shared" si="308"/>
        <v>Player 5</v>
      </c>
    </row>
    <row r="277">
      <c r="A277" s="213">
        <f t="shared" si="307"/>
        <v>8</v>
      </c>
      <c r="D277" s="47" t="s">
        <v>113</v>
      </c>
      <c r="E277" s="216"/>
      <c r="F277" s="48" t="str">
        <f t="shared" ref="F277:G277" si="309">F276</f>
        <v/>
      </c>
      <c r="G277" s="48" t="str">
        <f t="shared" si="309"/>
        <v>Player 5</v>
      </c>
    </row>
    <row r="278">
      <c r="A278" s="213">
        <f t="shared" si="307"/>
        <v>8</v>
      </c>
      <c r="D278" s="47" t="s">
        <v>114</v>
      </c>
      <c r="E278" s="216"/>
      <c r="F278" s="48" t="str">
        <f t="shared" ref="F278:G278" si="310">F277</f>
        <v/>
      </c>
      <c r="G278" s="48" t="str">
        <f t="shared" si="310"/>
        <v>Player 5</v>
      </c>
    </row>
    <row r="279">
      <c r="A279" s="213">
        <f t="shared" si="307"/>
        <v>8</v>
      </c>
      <c r="B279" s="214"/>
      <c r="C279" s="215" t="s">
        <v>139</v>
      </c>
      <c r="D279" s="47" t="s">
        <v>110</v>
      </c>
      <c r="E279" s="216"/>
      <c r="F279" s="48" t="str">
        <f t="shared" ref="F279:G279" si="311">B279</f>
        <v/>
      </c>
      <c r="G279" s="48" t="str">
        <f t="shared" si="311"/>
        <v>Player 6 (Substitute)</v>
      </c>
    </row>
    <row r="280">
      <c r="A280" s="213">
        <f t="shared" si="307"/>
        <v>8</v>
      </c>
      <c r="D280" s="47" t="s">
        <v>111</v>
      </c>
      <c r="E280" s="47" t="s">
        <v>80</v>
      </c>
      <c r="F280" s="48" t="str">
        <f t="shared" ref="F280:G280" si="312">F279</f>
        <v/>
      </c>
      <c r="G280" s="48" t="str">
        <f t="shared" si="312"/>
        <v>Player 6 (Substitute)</v>
      </c>
    </row>
    <row r="281">
      <c r="A281" s="213">
        <f t="shared" si="307"/>
        <v>8</v>
      </c>
      <c r="D281" s="47" t="s">
        <v>112</v>
      </c>
      <c r="E281" s="216"/>
      <c r="F281" s="48" t="str">
        <f t="shared" ref="F281:G281" si="313">F280</f>
        <v/>
      </c>
      <c r="G281" s="48" t="str">
        <f t="shared" si="313"/>
        <v>Player 6 (Substitute)</v>
      </c>
    </row>
    <row r="282">
      <c r="A282" s="213">
        <f t="shared" si="307"/>
        <v>8</v>
      </c>
      <c r="D282" s="47" t="s">
        <v>113</v>
      </c>
      <c r="E282" s="216"/>
      <c r="F282" s="48" t="str">
        <f t="shared" ref="F282:G282" si="314">F281</f>
        <v/>
      </c>
      <c r="G282" s="48" t="str">
        <f t="shared" si="314"/>
        <v>Player 6 (Substitute)</v>
      </c>
    </row>
    <row r="283">
      <c r="A283" s="213">
        <f t="shared" si="307"/>
        <v>8</v>
      </c>
      <c r="D283" s="47" t="s">
        <v>114</v>
      </c>
      <c r="E283" s="216"/>
      <c r="F283" s="48" t="str">
        <f t="shared" ref="F283:G283" si="315">F282</f>
        <v/>
      </c>
      <c r="G283" s="48" t="str">
        <f t="shared" si="315"/>
        <v>Player 6 (Substitute)</v>
      </c>
    </row>
    <row r="284">
      <c r="A284" s="213">
        <f t="shared" si="307"/>
        <v>8</v>
      </c>
      <c r="B284" s="214"/>
      <c r="C284" s="215" t="s">
        <v>145</v>
      </c>
      <c r="D284" s="47" t="s">
        <v>110</v>
      </c>
      <c r="F284" s="48" t="str">
        <f t="shared" ref="F284:G284" si="316">B284</f>
        <v/>
      </c>
      <c r="G284" s="48" t="str">
        <f t="shared" si="316"/>
        <v>Coach</v>
      </c>
    </row>
    <row r="285">
      <c r="A285" s="213">
        <f t="shared" si="307"/>
        <v>8</v>
      </c>
      <c r="D285" s="47" t="s">
        <v>111</v>
      </c>
      <c r="E285" s="47" t="s">
        <v>80</v>
      </c>
      <c r="F285" s="48" t="str">
        <f t="shared" ref="F285:G285" si="317">F284</f>
        <v/>
      </c>
      <c r="G285" s="48" t="str">
        <f t="shared" si="317"/>
        <v>Coach</v>
      </c>
    </row>
    <row r="286">
      <c r="A286" s="213">
        <f t="shared" si="307"/>
        <v>8</v>
      </c>
      <c r="D286" s="47" t="s">
        <v>112</v>
      </c>
      <c r="E286" s="216"/>
      <c r="F286" s="48" t="str">
        <f t="shared" ref="F286:G286" si="318">F285</f>
        <v/>
      </c>
      <c r="G286" s="48" t="str">
        <f t="shared" si="318"/>
        <v>Coach</v>
      </c>
    </row>
    <row r="287">
      <c r="A287" s="213">
        <f t="shared" si="307"/>
        <v>8</v>
      </c>
      <c r="D287" s="47" t="s">
        <v>113</v>
      </c>
      <c r="E287" s="218"/>
      <c r="F287" s="48" t="str">
        <f t="shared" ref="F287:G287" si="319">F286</f>
        <v/>
      </c>
      <c r="G287" s="48" t="str">
        <f t="shared" si="319"/>
        <v>Coach</v>
      </c>
    </row>
    <row r="288">
      <c r="A288" s="213">
        <f t="shared" si="307"/>
        <v>8</v>
      </c>
      <c r="D288" s="47" t="s">
        <v>114</v>
      </c>
      <c r="E288" s="218"/>
      <c r="F288" s="48" t="str">
        <f t="shared" ref="F288:G288" si="320">F287</f>
        <v/>
      </c>
      <c r="G288" s="48" t="str">
        <f t="shared" si="320"/>
        <v>Coach</v>
      </c>
    </row>
    <row r="289">
      <c r="A289" s="212">
        <f>A253+1</f>
        <v>9</v>
      </c>
      <c r="B289" s="212" t="str">
        <f t="array" ref="B289">xlookup(A289,'Team Entry'!$C:$C,'Team Entry'!$A:$A,"")</f>
        <v>Team 5 (Group 2)</v>
      </c>
    </row>
    <row r="290">
      <c r="A290" s="213">
        <f t="shared" ref="A290:A294" si="322">A289</f>
        <v>9</v>
      </c>
      <c r="B290" s="214"/>
      <c r="C290" s="215" t="s">
        <v>109</v>
      </c>
      <c r="D290" s="47" t="s">
        <v>110</v>
      </c>
      <c r="F290" s="48" t="str">
        <f t="shared" ref="F290:G290" si="321">B290</f>
        <v/>
      </c>
      <c r="G290" s="48" t="str">
        <f t="shared" si="321"/>
        <v>Player 1</v>
      </c>
    </row>
    <row r="291">
      <c r="A291" s="213">
        <f t="shared" si="322"/>
        <v>9</v>
      </c>
      <c r="D291" s="47" t="s">
        <v>111</v>
      </c>
      <c r="E291" s="47" t="s">
        <v>80</v>
      </c>
      <c r="F291" s="48" t="str">
        <f t="shared" ref="F291:G291" si="323">F290</f>
        <v/>
      </c>
      <c r="G291" s="48" t="str">
        <f t="shared" si="323"/>
        <v>Player 1</v>
      </c>
    </row>
    <row r="292">
      <c r="A292" s="213">
        <f t="shared" si="322"/>
        <v>9</v>
      </c>
      <c r="D292" s="47" t="s">
        <v>112</v>
      </c>
      <c r="E292" s="216"/>
      <c r="F292" s="48" t="str">
        <f t="shared" ref="F292:G292" si="324">F291</f>
        <v/>
      </c>
      <c r="G292" s="48" t="str">
        <f t="shared" si="324"/>
        <v>Player 1</v>
      </c>
    </row>
    <row r="293">
      <c r="A293" s="213">
        <f t="shared" si="322"/>
        <v>9</v>
      </c>
      <c r="D293" s="47" t="s">
        <v>113</v>
      </c>
      <c r="E293" s="216"/>
      <c r="F293" s="48" t="str">
        <f t="shared" ref="F293:G293" si="325">F292</f>
        <v/>
      </c>
      <c r="G293" s="48" t="str">
        <f t="shared" si="325"/>
        <v>Player 1</v>
      </c>
    </row>
    <row r="294">
      <c r="A294" s="213">
        <f t="shared" si="322"/>
        <v>9</v>
      </c>
      <c r="D294" s="47" t="s">
        <v>114</v>
      </c>
      <c r="E294" s="216"/>
      <c r="F294" s="48" t="str">
        <f t="shared" ref="F294:G294" si="326">F293</f>
        <v/>
      </c>
      <c r="G294" s="48" t="str">
        <f t="shared" si="326"/>
        <v>Player 1</v>
      </c>
    </row>
    <row r="295">
      <c r="A295" s="213">
        <f>A293</f>
        <v>9</v>
      </c>
      <c r="B295" s="214"/>
      <c r="C295" s="215" t="s">
        <v>115</v>
      </c>
      <c r="D295" s="47" t="s">
        <v>110</v>
      </c>
      <c r="F295" s="48" t="str">
        <f t="shared" ref="F295:G295" si="327">B295</f>
        <v/>
      </c>
      <c r="G295" s="48" t="str">
        <f t="shared" si="327"/>
        <v>Player 2</v>
      </c>
    </row>
    <row r="296">
      <c r="A296" s="213">
        <f t="shared" ref="A296:A299" si="329">A295</f>
        <v>9</v>
      </c>
      <c r="D296" s="47" t="s">
        <v>111</v>
      </c>
      <c r="E296" s="47" t="s">
        <v>80</v>
      </c>
      <c r="F296" s="48" t="str">
        <f t="shared" ref="F296:G296" si="328">F295</f>
        <v/>
      </c>
      <c r="G296" s="48" t="str">
        <f t="shared" si="328"/>
        <v>Player 2</v>
      </c>
    </row>
    <row r="297">
      <c r="A297" s="213">
        <f t="shared" si="329"/>
        <v>9</v>
      </c>
      <c r="D297" s="47" t="s">
        <v>112</v>
      </c>
      <c r="E297" s="216"/>
      <c r="F297" s="48" t="str">
        <f t="shared" ref="F297:G297" si="330">F296</f>
        <v/>
      </c>
      <c r="G297" s="48" t="str">
        <f t="shared" si="330"/>
        <v>Player 2</v>
      </c>
    </row>
    <row r="298">
      <c r="A298" s="213">
        <f t="shared" si="329"/>
        <v>9</v>
      </c>
      <c r="D298" s="47" t="s">
        <v>113</v>
      </c>
      <c r="E298" s="216"/>
      <c r="F298" s="48" t="str">
        <f t="shared" ref="F298:G298" si="331">F297</f>
        <v/>
      </c>
      <c r="G298" s="48" t="str">
        <f t="shared" si="331"/>
        <v>Player 2</v>
      </c>
    </row>
    <row r="299">
      <c r="A299" s="213">
        <f t="shared" si="329"/>
        <v>9</v>
      </c>
      <c r="D299" s="47" t="s">
        <v>114</v>
      </c>
      <c r="E299" s="216"/>
      <c r="F299" s="48" t="str">
        <f t="shared" ref="F299:G299" si="332">F298</f>
        <v/>
      </c>
      <c r="G299" s="48" t="str">
        <f t="shared" si="332"/>
        <v>Player 2</v>
      </c>
    </row>
    <row r="300">
      <c r="A300" s="213">
        <f>A298</f>
        <v>9</v>
      </c>
      <c r="B300" s="214"/>
      <c r="C300" s="215" t="s">
        <v>121</v>
      </c>
      <c r="D300" s="47" t="s">
        <v>110</v>
      </c>
      <c r="F300" s="48" t="str">
        <f t="shared" ref="F300:G300" si="333">B300</f>
        <v/>
      </c>
      <c r="G300" s="48" t="str">
        <f t="shared" si="333"/>
        <v>Player 3</v>
      </c>
    </row>
    <row r="301">
      <c r="A301" s="213">
        <f t="shared" ref="A301:A304" si="335">A300</f>
        <v>9</v>
      </c>
      <c r="D301" s="47" t="s">
        <v>111</v>
      </c>
      <c r="E301" s="47" t="s">
        <v>80</v>
      </c>
      <c r="F301" s="48" t="str">
        <f t="shared" ref="F301:G301" si="334">F300</f>
        <v/>
      </c>
      <c r="G301" s="48" t="str">
        <f t="shared" si="334"/>
        <v>Player 3</v>
      </c>
    </row>
    <row r="302">
      <c r="A302" s="213">
        <f t="shared" si="335"/>
        <v>9</v>
      </c>
      <c r="D302" s="47" t="s">
        <v>112</v>
      </c>
      <c r="E302" s="216"/>
      <c r="F302" s="48" t="str">
        <f t="shared" ref="F302:G302" si="336">F301</f>
        <v/>
      </c>
      <c r="G302" s="48" t="str">
        <f t="shared" si="336"/>
        <v>Player 3</v>
      </c>
    </row>
    <row r="303">
      <c r="A303" s="213">
        <f t="shared" si="335"/>
        <v>9</v>
      </c>
      <c r="D303" s="47" t="s">
        <v>113</v>
      </c>
      <c r="E303" s="216"/>
      <c r="F303" s="48" t="str">
        <f t="shared" ref="F303:G303" si="337">F302</f>
        <v/>
      </c>
      <c r="G303" s="48" t="str">
        <f t="shared" si="337"/>
        <v>Player 3</v>
      </c>
    </row>
    <row r="304">
      <c r="A304" s="213">
        <f t="shared" si="335"/>
        <v>9</v>
      </c>
      <c r="D304" s="47" t="s">
        <v>114</v>
      </c>
      <c r="E304" s="216"/>
      <c r="F304" s="48" t="str">
        <f t="shared" ref="F304:G304" si="338">F303</f>
        <v/>
      </c>
      <c r="G304" s="48" t="str">
        <f t="shared" si="338"/>
        <v>Player 3</v>
      </c>
    </row>
    <row r="305">
      <c r="A305" s="213">
        <f>A303</f>
        <v>9</v>
      </c>
      <c r="B305" s="214"/>
      <c r="C305" s="215" t="s">
        <v>127</v>
      </c>
      <c r="D305" s="47" t="s">
        <v>110</v>
      </c>
      <c r="F305" s="48" t="str">
        <f t="shared" ref="F305:G305" si="339">B305</f>
        <v/>
      </c>
      <c r="G305" s="48" t="str">
        <f t="shared" si="339"/>
        <v>Player 4</v>
      </c>
    </row>
    <row r="306">
      <c r="A306" s="213">
        <f t="shared" ref="A306:A309" si="341">A305</f>
        <v>9</v>
      </c>
      <c r="D306" s="47" t="s">
        <v>111</v>
      </c>
      <c r="E306" s="47" t="s">
        <v>80</v>
      </c>
      <c r="F306" s="48" t="str">
        <f t="shared" ref="F306:G306" si="340">F305</f>
        <v/>
      </c>
      <c r="G306" s="48" t="str">
        <f t="shared" si="340"/>
        <v>Player 4</v>
      </c>
    </row>
    <row r="307">
      <c r="A307" s="213">
        <f t="shared" si="341"/>
        <v>9</v>
      </c>
      <c r="D307" s="47" t="s">
        <v>112</v>
      </c>
      <c r="E307" s="216"/>
      <c r="F307" s="48" t="str">
        <f t="shared" ref="F307:G307" si="342">F306</f>
        <v/>
      </c>
      <c r="G307" s="48" t="str">
        <f t="shared" si="342"/>
        <v>Player 4</v>
      </c>
    </row>
    <row r="308">
      <c r="A308" s="213">
        <f t="shared" si="341"/>
        <v>9</v>
      </c>
      <c r="D308" s="47" t="s">
        <v>113</v>
      </c>
      <c r="E308" s="216"/>
      <c r="F308" s="48" t="str">
        <f t="shared" ref="F308:G308" si="343">F307</f>
        <v/>
      </c>
      <c r="G308" s="48" t="str">
        <f t="shared" si="343"/>
        <v>Player 4</v>
      </c>
    </row>
    <row r="309">
      <c r="A309" s="213">
        <f t="shared" si="341"/>
        <v>9</v>
      </c>
      <c r="D309" s="47" t="s">
        <v>114</v>
      </c>
      <c r="E309" s="216"/>
      <c r="F309" s="48" t="str">
        <f t="shared" ref="F309:G309" si="344">F308</f>
        <v/>
      </c>
      <c r="G309" s="48" t="str">
        <f t="shared" si="344"/>
        <v>Player 4</v>
      </c>
    </row>
    <row r="310">
      <c r="A310" s="213">
        <f>A308</f>
        <v>9</v>
      </c>
      <c r="B310" s="214"/>
      <c r="C310" s="215" t="s">
        <v>133</v>
      </c>
      <c r="D310" s="47" t="s">
        <v>110</v>
      </c>
      <c r="F310" s="48" t="str">
        <f t="shared" ref="F310:G310" si="345">B310</f>
        <v/>
      </c>
      <c r="G310" s="48" t="str">
        <f t="shared" si="345"/>
        <v>Player 5</v>
      </c>
    </row>
    <row r="311">
      <c r="A311" s="213">
        <f t="shared" ref="A311:A324" si="347">A310</f>
        <v>9</v>
      </c>
      <c r="D311" s="47" t="s">
        <v>111</v>
      </c>
      <c r="E311" s="47" t="s">
        <v>80</v>
      </c>
      <c r="F311" s="48" t="str">
        <f t="shared" ref="F311:G311" si="346">F310</f>
        <v/>
      </c>
      <c r="G311" s="48" t="str">
        <f t="shared" si="346"/>
        <v>Player 5</v>
      </c>
    </row>
    <row r="312">
      <c r="A312" s="213">
        <f t="shared" si="347"/>
        <v>9</v>
      </c>
      <c r="D312" s="47" t="s">
        <v>112</v>
      </c>
      <c r="E312" s="216"/>
      <c r="F312" s="48" t="str">
        <f t="shared" ref="F312:G312" si="348">F311</f>
        <v/>
      </c>
      <c r="G312" s="48" t="str">
        <f t="shared" si="348"/>
        <v>Player 5</v>
      </c>
    </row>
    <row r="313">
      <c r="A313" s="213">
        <f t="shared" si="347"/>
        <v>9</v>
      </c>
      <c r="D313" s="47" t="s">
        <v>113</v>
      </c>
      <c r="E313" s="216"/>
      <c r="F313" s="48" t="str">
        <f t="shared" ref="F313:G313" si="349">F312</f>
        <v/>
      </c>
      <c r="G313" s="48" t="str">
        <f t="shared" si="349"/>
        <v>Player 5</v>
      </c>
    </row>
    <row r="314">
      <c r="A314" s="213">
        <f t="shared" si="347"/>
        <v>9</v>
      </c>
      <c r="D314" s="47" t="s">
        <v>114</v>
      </c>
      <c r="E314" s="216"/>
      <c r="F314" s="48" t="str">
        <f t="shared" ref="F314:G314" si="350">F313</f>
        <v/>
      </c>
      <c r="G314" s="48" t="str">
        <f t="shared" si="350"/>
        <v>Player 5</v>
      </c>
    </row>
    <row r="315">
      <c r="A315" s="213">
        <f t="shared" si="347"/>
        <v>9</v>
      </c>
      <c r="B315" s="214"/>
      <c r="C315" s="215" t="s">
        <v>139</v>
      </c>
      <c r="D315" s="47" t="s">
        <v>110</v>
      </c>
      <c r="E315" s="216"/>
      <c r="F315" s="48" t="str">
        <f t="shared" ref="F315:G315" si="351">B315</f>
        <v/>
      </c>
      <c r="G315" s="48" t="str">
        <f t="shared" si="351"/>
        <v>Player 6 (Substitute)</v>
      </c>
    </row>
    <row r="316">
      <c r="A316" s="213">
        <f t="shared" si="347"/>
        <v>9</v>
      </c>
      <c r="D316" s="47" t="s">
        <v>111</v>
      </c>
      <c r="E316" s="47" t="s">
        <v>80</v>
      </c>
      <c r="F316" s="48" t="str">
        <f t="shared" ref="F316:G316" si="352">F315</f>
        <v/>
      </c>
      <c r="G316" s="48" t="str">
        <f t="shared" si="352"/>
        <v>Player 6 (Substitute)</v>
      </c>
    </row>
    <row r="317">
      <c r="A317" s="213">
        <f t="shared" si="347"/>
        <v>9</v>
      </c>
      <c r="D317" s="47" t="s">
        <v>112</v>
      </c>
      <c r="E317" s="216"/>
      <c r="F317" s="48" t="str">
        <f t="shared" ref="F317:G317" si="353">F316</f>
        <v/>
      </c>
      <c r="G317" s="48" t="str">
        <f t="shared" si="353"/>
        <v>Player 6 (Substitute)</v>
      </c>
    </row>
    <row r="318">
      <c r="A318" s="213">
        <f t="shared" si="347"/>
        <v>9</v>
      </c>
      <c r="D318" s="47" t="s">
        <v>113</v>
      </c>
      <c r="E318" s="216"/>
      <c r="F318" s="48" t="str">
        <f t="shared" ref="F318:G318" si="354">F317</f>
        <v/>
      </c>
      <c r="G318" s="48" t="str">
        <f t="shared" si="354"/>
        <v>Player 6 (Substitute)</v>
      </c>
    </row>
    <row r="319">
      <c r="A319" s="213">
        <f t="shared" si="347"/>
        <v>9</v>
      </c>
      <c r="D319" s="47" t="s">
        <v>114</v>
      </c>
      <c r="E319" s="216"/>
      <c r="F319" s="48" t="str">
        <f t="shared" ref="F319:G319" si="355">F318</f>
        <v/>
      </c>
      <c r="G319" s="48" t="str">
        <f t="shared" si="355"/>
        <v>Player 6 (Substitute)</v>
      </c>
    </row>
    <row r="320">
      <c r="A320" s="213">
        <f t="shared" si="347"/>
        <v>9</v>
      </c>
      <c r="B320" s="214"/>
      <c r="C320" s="215" t="s">
        <v>145</v>
      </c>
      <c r="D320" s="47" t="s">
        <v>110</v>
      </c>
      <c r="F320" s="48" t="str">
        <f t="shared" ref="F320:G320" si="356">B320</f>
        <v/>
      </c>
      <c r="G320" s="48" t="str">
        <f t="shared" si="356"/>
        <v>Coach</v>
      </c>
    </row>
    <row r="321">
      <c r="A321" s="213">
        <f t="shared" si="347"/>
        <v>9</v>
      </c>
      <c r="D321" s="47" t="s">
        <v>111</v>
      </c>
      <c r="E321" s="47" t="s">
        <v>80</v>
      </c>
      <c r="F321" s="48" t="str">
        <f t="shared" ref="F321:G321" si="357">F320</f>
        <v/>
      </c>
      <c r="G321" s="48" t="str">
        <f t="shared" si="357"/>
        <v>Coach</v>
      </c>
    </row>
    <row r="322">
      <c r="A322" s="213">
        <f t="shared" si="347"/>
        <v>9</v>
      </c>
      <c r="D322" s="47" t="s">
        <v>112</v>
      </c>
      <c r="E322" s="216"/>
      <c r="F322" s="48" t="str">
        <f t="shared" ref="F322:G322" si="358">F321</f>
        <v/>
      </c>
      <c r="G322" s="48" t="str">
        <f t="shared" si="358"/>
        <v>Coach</v>
      </c>
    </row>
    <row r="323">
      <c r="A323" s="213">
        <f t="shared" si="347"/>
        <v>9</v>
      </c>
      <c r="D323" s="47" t="s">
        <v>113</v>
      </c>
      <c r="E323" s="218"/>
      <c r="F323" s="48" t="str">
        <f t="shared" ref="F323:G323" si="359">F322</f>
        <v/>
      </c>
      <c r="G323" s="48" t="str">
        <f t="shared" si="359"/>
        <v>Coach</v>
      </c>
    </row>
    <row r="324">
      <c r="A324" s="213">
        <f t="shared" si="347"/>
        <v>9</v>
      </c>
      <c r="D324" s="47" t="s">
        <v>114</v>
      </c>
      <c r="E324" s="218"/>
      <c r="F324" s="48" t="str">
        <f t="shared" ref="F324:G324" si="360">F323</f>
        <v/>
      </c>
      <c r="G324" s="48" t="str">
        <f t="shared" si="360"/>
        <v>Coach</v>
      </c>
    </row>
    <row r="325">
      <c r="A325" s="212">
        <f>A289+1</f>
        <v>10</v>
      </c>
      <c r="B325" s="212" t="str">
        <f t="array" ref="B325">xlookup(A325,'Team Entry'!$C:$C,'Team Entry'!$A:$A,"")</f>
        <v>Team 6 (Group 2)</v>
      </c>
    </row>
    <row r="326">
      <c r="A326" s="213">
        <f t="shared" ref="A326:A330" si="362">A325</f>
        <v>10</v>
      </c>
      <c r="B326" s="214"/>
      <c r="C326" s="215" t="s">
        <v>109</v>
      </c>
      <c r="D326" s="47" t="s">
        <v>110</v>
      </c>
      <c r="F326" s="48" t="str">
        <f t="shared" ref="F326:G326" si="361">B326</f>
        <v/>
      </c>
      <c r="G326" s="48" t="str">
        <f t="shared" si="361"/>
        <v>Player 1</v>
      </c>
    </row>
    <row r="327">
      <c r="A327" s="213">
        <f t="shared" si="362"/>
        <v>10</v>
      </c>
      <c r="D327" s="47" t="s">
        <v>111</v>
      </c>
      <c r="E327" s="47" t="s">
        <v>80</v>
      </c>
      <c r="F327" s="48" t="str">
        <f t="shared" ref="F327:G327" si="363">F326</f>
        <v/>
      </c>
      <c r="G327" s="48" t="str">
        <f t="shared" si="363"/>
        <v>Player 1</v>
      </c>
    </row>
    <row r="328">
      <c r="A328" s="213">
        <f t="shared" si="362"/>
        <v>10</v>
      </c>
      <c r="D328" s="47" t="s">
        <v>112</v>
      </c>
      <c r="E328" s="216"/>
      <c r="F328" s="48" t="str">
        <f t="shared" ref="F328:G328" si="364">F327</f>
        <v/>
      </c>
      <c r="G328" s="48" t="str">
        <f t="shared" si="364"/>
        <v>Player 1</v>
      </c>
    </row>
    <row r="329">
      <c r="A329" s="213">
        <f t="shared" si="362"/>
        <v>10</v>
      </c>
      <c r="D329" s="47" t="s">
        <v>113</v>
      </c>
      <c r="E329" s="216"/>
      <c r="F329" s="48" t="str">
        <f t="shared" ref="F329:G329" si="365">F328</f>
        <v/>
      </c>
      <c r="G329" s="48" t="str">
        <f t="shared" si="365"/>
        <v>Player 1</v>
      </c>
    </row>
    <row r="330">
      <c r="A330" s="213">
        <f t="shared" si="362"/>
        <v>10</v>
      </c>
      <c r="D330" s="47" t="s">
        <v>114</v>
      </c>
      <c r="E330" s="216"/>
      <c r="F330" s="48" t="str">
        <f t="shared" ref="F330:G330" si="366">F329</f>
        <v/>
      </c>
      <c r="G330" s="48" t="str">
        <f t="shared" si="366"/>
        <v>Player 1</v>
      </c>
    </row>
    <row r="331">
      <c r="A331" s="213">
        <f>A329</f>
        <v>10</v>
      </c>
      <c r="B331" s="214"/>
      <c r="C331" s="215" t="s">
        <v>115</v>
      </c>
      <c r="D331" s="47" t="s">
        <v>110</v>
      </c>
      <c r="F331" s="48" t="str">
        <f t="shared" ref="F331:G331" si="367">B331</f>
        <v/>
      </c>
      <c r="G331" s="48" t="str">
        <f t="shared" si="367"/>
        <v>Player 2</v>
      </c>
    </row>
    <row r="332">
      <c r="A332" s="213">
        <f t="shared" ref="A332:A335" si="369">A331</f>
        <v>10</v>
      </c>
      <c r="D332" s="47" t="s">
        <v>111</v>
      </c>
      <c r="E332" s="47" t="s">
        <v>80</v>
      </c>
      <c r="F332" s="48" t="str">
        <f t="shared" ref="F332:G332" si="368">F331</f>
        <v/>
      </c>
      <c r="G332" s="48" t="str">
        <f t="shared" si="368"/>
        <v>Player 2</v>
      </c>
    </row>
    <row r="333">
      <c r="A333" s="213">
        <f t="shared" si="369"/>
        <v>10</v>
      </c>
      <c r="D333" s="47" t="s">
        <v>112</v>
      </c>
      <c r="E333" s="216"/>
      <c r="F333" s="48" t="str">
        <f t="shared" ref="F333:G333" si="370">F332</f>
        <v/>
      </c>
      <c r="G333" s="48" t="str">
        <f t="shared" si="370"/>
        <v>Player 2</v>
      </c>
    </row>
    <row r="334">
      <c r="A334" s="213">
        <f t="shared" si="369"/>
        <v>10</v>
      </c>
      <c r="D334" s="47" t="s">
        <v>113</v>
      </c>
      <c r="E334" s="216"/>
      <c r="F334" s="48" t="str">
        <f t="shared" ref="F334:G334" si="371">F333</f>
        <v/>
      </c>
      <c r="G334" s="48" t="str">
        <f t="shared" si="371"/>
        <v>Player 2</v>
      </c>
    </row>
    <row r="335">
      <c r="A335" s="213">
        <f t="shared" si="369"/>
        <v>10</v>
      </c>
      <c r="D335" s="47" t="s">
        <v>114</v>
      </c>
      <c r="E335" s="216"/>
      <c r="F335" s="48" t="str">
        <f t="shared" ref="F335:G335" si="372">F334</f>
        <v/>
      </c>
      <c r="G335" s="48" t="str">
        <f t="shared" si="372"/>
        <v>Player 2</v>
      </c>
    </row>
    <row r="336">
      <c r="A336" s="213">
        <f>A334</f>
        <v>10</v>
      </c>
      <c r="B336" s="214"/>
      <c r="C336" s="215" t="s">
        <v>121</v>
      </c>
      <c r="D336" s="47" t="s">
        <v>110</v>
      </c>
      <c r="F336" s="48" t="str">
        <f t="shared" ref="F336:G336" si="373">B336</f>
        <v/>
      </c>
      <c r="G336" s="48" t="str">
        <f t="shared" si="373"/>
        <v>Player 3</v>
      </c>
    </row>
    <row r="337">
      <c r="A337" s="213">
        <f t="shared" ref="A337:A340" si="375">A336</f>
        <v>10</v>
      </c>
      <c r="D337" s="47" t="s">
        <v>111</v>
      </c>
      <c r="E337" s="47" t="s">
        <v>80</v>
      </c>
      <c r="F337" s="48" t="str">
        <f t="shared" ref="F337:G337" si="374">F336</f>
        <v/>
      </c>
      <c r="G337" s="48" t="str">
        <f t="shared" si="374"/>
        <v>Player 3</v>
      </c>
    </row>
    <row r="338">
      <c r="A338" s="213">
        <f t="shared" si="375"/>
        <v>10</v>
      </c>
      <c r="D338" s="47" t="s">
        <v>112</v>
      </c>
      <c r="E338" s="216"/>
      <c r="F338" s="48" t="str">
        <f t="shared" ref="F338:G338" si="376">F337</f>
        <v/>
      </c>
      <c r="G338" s="48" t="str">
        <f t="shared" si="376"/>
        <v>Player 3</v>
      </c>
    </row>
    <row r="339">
      <c r="A339" s="213">
        <f t="shared" si="375"/>
        <v>10</v>
      </c>
      <c r="D339" s="47" t="s">
        <v>113</v>
      </c>
      <c r="E339" s="216"/>
      <c r="F339" s="48" t="str">
        <f t="shared" ref="F339:G339" si="377">F338</f>
        <v/>
      </c>
      <c r="G339" s="48" t="str">
        <f t="shared" si="377"/>
        <v>Player 3</v>
      </c>
    </row>
    <row r="340">
      <c r="A340" s="213">
        <f t="shared" si="375"/>
        <v>10</v>
      </c>
      <c r="D340" s="47" t="s">
        <v>114</v>
      </c>
      <c r="E340" s="216"/>
      <c r="F340" s="48" t="str">
        <f t="shared" ref="F340:G340" si="378">F339</f>
        <v/>
      </c>
      <c r="G340" s="48" t="str">
        <f t="shared" si="378"/>
        <v>Player 3</v>
      </c>
    </row>
    <row r="341">
      <c r="A341" s="213">
        <f>A339</f>
        <v>10</v>
      </c>
      <c r="B341" s="214"/>
      <c r="C341" s="215" t="s">
        <v>127</v>
      </c>
      <c r="D341" s="47" t="s">
        <v>110</v>
      </c>
      <c r="F341" s="48" t="str">
        <f t="shared" ref="F341:G341" si="379">B341</f>
        <v/>
      </c>
      <c r="G341" s="48" t="str">
        <f t="shared" si="379"/>
        <v>Player 4</v>
      </c>
    </row>
    <row r="342">
      <c r="A342" s="213">
        <f t="shared" ref="A342:A345" si="381">A341</f>
        <v>10</v>
      </c>
      <c r="D342" s="47" t="s">
        <v>111</v>
      </c>
      <c r="E342" s="47" t="s">
        <v>80</v>
      </c>
      <c r="F342" s="48" t="str">
        <f t="shared" ref="F342:G342" si="380">F341</f>
        <v/>
      </c>
      <c r="G342" s="48" t="str">
        <f t="shared" si="380"/>
        <v>Player 4</v>
      </c>
    </row>
    <row r="343">
      <c r="A343" s="213">
        <f t="shared" si="381"/>
        <v>10</v>
      </c>
      <c r="D343" s="47" t="s">
        <v>112</v>
      </c>
      <c r="E343" s="216"/>
      <c r="F343" s="48" t="str">
        <f t="shared" ref="F343:G343" si="382">F342</f>
        <v/>
      </c>
      <c r="G343" s="48" t="str">
        <f t="shared" si="382"/>
        <v>Player 4</v>
      </c>
    </row>
    <row r="344">
      <c r="A344" s="213">
        <f t="shared" si="381"/>
        <v>10</v>
      </c>
      <c r="D344" s="47" t="s">
        <v>113</v>
      </c>
      <c r="E344" s="216"/>
      <c r="F344" s="48" t="str">
        <f t="shared" ref="F344:G344" si="383">F343</f>
        <v/>
      </c>
      <c r="G344" s="48" t="str">
        <f t="shared" si="383"/>
        <v>Player 4</v>
      </c>
    </row>
    <row r="345">
      <c r="A345" s="213">
        <f t="shared" si="381"/>
        <v>10</v>
      </c>
      <c r="D345" s="47" t="s">
        <v>114</v>
      </c>
      <c r="E345" s="216"/>
      <c r="F345" s="48" t="str">
        <f t="shared" ref="F345:G345" si="384">F344</f>
        <v/>
      </c>
      <c r="G345" s="48" t="str">
        <f t="shared" si="384"/>
        <v>Player 4</v>
      </c>
    </row>
    <row r="346">
      <c r="A346" s="213">
        <f>A344</f>
        <v>10</v>
      </c>
      <c r="B346" s="214"/>
      <c r="C346" s="215" t="s">
        <v>133</v>
      </c>
      <c r="D346" s="47" t="s">
        <v>110</v>
      </c>
      <c r="F346" s="48" t="str">
        <f t="shared" ref="F346:G346" si="385">B346</f>
        <v/>
      </c>
      <c r="G346" s="48" t="str">
        <f t="shared" si="385"/>
        <v>Player 5</v>
      </c>
    </row>
    <row r="347">
      <c r="A347" s="213">
        <f t="shared" ref="A347:A360" si="387">A346</f>
        <v>10</v>
      </c>
      <c r="D347" s="47" t="s">
        <v>111</v>
      </c>
      <c r="E347" s="47" t="s">
        <v>80</v>
      </c>
      <c r="F347" s="48" t="str">
        <f t="shared" ref="F347:G347" si="386">F346</f>
        <v/>
      </c>
      <c r="G347" s="48" t="str">
        <f t="shared" si="386"/>
        <v>Player 5</v>
      </c>
    </row>
    <row r="348">
      <c r="A348" s="213">
        <f t="shared" si="387"/>
        <v>10</v>
      </c>
      <c r="D348" s="47" t="s">
        <v>112</v>
      </c>
      <c r="E348" s="216"/>
      <c r="F348" s="48" t="str">
        <f t="shared" ref="F348:G348" si="388">F347</f>
        <v/>
      </c>
      <c r="G348" s="48" t="str">
        <f t="shared" si="388"/>
        <v>Player 5</v>
      </c>
    </row>
    <row r="349">
      <c r="A349" s="213">
        <f t="shared" si="387"/>
        <v>10</v>
      </c>
      <c r="D349" s="47" t="s">
        <v>113</v>
      </c>
      <c r="E349" s="216"/>
      <c r="F349" s="48" t="str">
        <f t="shared" ref="F349:G349" si="389">F348</f>
        <v/>
      </c>
      <c r="G349" s="48" t="str">
        <f t="shared" si="389"/>
        <v>Player 5</v>
      </c>
    </row>
    <row r="350">
      <c r="A350" s="213">
        <f t="shared" si="387"/>
        <v>10</v>
      </c>
      <c r="D350" s="47" t="s">
        <v>114</v>
      </c>
      <c r="E350" s="216"/>
      <c r="F350" s="48" t="str">
        <f t="shared" ref="F350:G350" si="390">F349</f>
        <v/>
      </c>
      <c r="G350" s="48" t="str">
        <f t="shared" si="390"/>
        <v>Player 5</v>
      </c>
    </row>
    <row r="351">
      <c r="A351" s="213">
        <f t="shared" si="387"/>
        <v>10</v>
      </c>
      <c r="B351" s="214"/>
      <c r="C351" s="215" t="s">
        <v>139</v>
      </c>
      <c r="D351" s="47" t="s">
        <v>110</v>
      </c>
      <c r="E351" s="216"/>
      <c r="F351" s="48" t="str">
        <f t="shared" ref="F351:G351" si="391">B351</f>
        <v/>
      </c>
      <c r="G351" s="48" t="str">
        <f t="shared" si="391"/>
        <v>Player 6 (Substitute)</v>
      </c>
    </row>
    <row r="352">
      <c r="A352" s="213">
        <f t="shared" si="387"/>
        <v>10</v>
      </c>
      <c r="D352" s="47" t="s">
        <v>111</v>
      </c>
      <c r="E352" s="47" t="s">
        <v>80</v>
      </c>
      <c r="F352" s="48" t="str">
        <f t="shared" ref="F352:G352" si="392">F351</f>
        <v/>
      </c>
      <c r="G352" s="48" t="str">
        <f t="shared" si="392"/>
        <v>Player 6 (Substitute)</v>
      </c>
    </row>
    <row r="353">
      <c r="A353" s="213">
        <f t="shared" si="387"/>
        <v>10</v>
      </c>
      <c r="D353" s="47" t="s">
        <v>112</v>
      </c>
      <c r="E353" s="216"/>
      <c r="F353" s="48" t="str">
        <f t="shared" ref="F353:G353" si="393">F352</f>
        <v/>
      </c>
      <c r="G353" s="48" t="str">
        <f t="shared" si="393"/>
        <v>Player 6 (Substitute)</v>
      </c>
    </row>
    <row r="354">
      <c r="A354" s="213">
        <f t="shared" si="387"/>
        <v>10</v>
      </c>
      <c r="D354" s="47" t="s">
        <v>113</v>
      </c>
      <c r="E354" s="216"/>
      <c r="F354" s="48" t="str">
        <f t="shared" ref="F354:G354" si="394">F353</f>
        <v/>
      </c>
      <c r="G354" s="48" t="str">
        <f t="shared" si="394"/>
        <v>Player 6 (Substitute)</v>
      </c>
    </row>
    <row r="355">
      <c r="A355" s="213">
        <f t="shared" si="387"/>
        <v>10</v>
      </c>
      <c r="D355" s="47" t="s">
        <v>114</v>
      </c>
      <c r="E355" s="216"/>
      <c r="F355" s="48" t="str">
        <f t="shared" ref="F355:G355" si="395">F354</f>
        <v/>
      </c>
      <c r="G355" s="48" t="str">
        <f t="shared" si="395"/>
        <v>Player 6 (Substitute)</v>
      </c>
    </row>
    <row r="356">
      <c r="A356" s="213">
        <f t="shared" si="387"/>
        <v>10</v>
      </c>
      <c r="B356" s="214"/>
      <c r="C356" s="215" t="s">
        <v>145</v>
      </c>
      <c r="D356" s="47" t="s">
        <v>110</v>
      </c>
      <c r="F356" s="48" t="str">
        <f t="shared" ref="F356:G356" si="396">B356</f>
        <v/>
      </c>
      <c r="G356" s="48" t="str">
        <f t="shared" si="396"/>
        <v>Coach</v>
      </c>
    </row>
    <row r="357">
      <c r="A357" s="213">
        <f t="shared" si="387"/>
        <v>10</v>
      </c>
      <c r="D357" s="47" t="s">
        <v>111</v>
      </c>
      <c r="E357" s="47" t="s">
        <v>80</v>
      </c>
      <c r="F357" s="48" t="str">
        <f t="shared" ref="F357:G357" si="397">F356</f>
        <v/>
      </c>
      <c r="G357" s="48" t="str">
        <f t="shared" si="397"/>
        <v>Coach</v>
      </c>
    </row>
    <row r="358">
      <c r="A358" s="213">
        <f t="shared" si="387"/>
        <v>10</v>
      </c>
      <c r="D358" s="47" t="s">
        <v>112</v>
      </c>
      <c r="E358" s="216"/>
      <c r="F358" s="48" t="str">
        <f t="shared" ref="F358:G358" si="398">F357</f>
        <v/>
      </c>
      <c r="G358" s="48" t="str">
        <f t="shared" si="398"/>
        <v>Coach</v>
      </c>
    </row>
    <row r="359">
      <c r="A359" s="213">
        <f t="shared" si="387"/>
        <v>10</v>
      </c>
      <c r="D359" s="47" t="s">
        <v>113</v>
      </c>
      <c r="E359" s="218"/>
      <c r="F359" s="48" t="str">
        <f t="shared" ref="F359:G359" si="399">F358</f>
        <v/>
      </c>
      <c r="G359" s="48" t="str">
        <f t="shared" si="399"/>
        <v>Coach</v>
      </c>
    </row>
    <row r="360">
      <c r="A360" s="213">
        <f t="shared" si="387"/>
        <v>10</v>
      </c>
      <c r="D360" s="47" t="s">
        <v>114</v>
      </c>
      <c r="E360" s="218"/>
      <c r="F360" s="48" t="str">
        <f t="shared" ref="F360:G360" si="400">F359</f>
        <v/>
      </c>
      <c r="G360" s="48" t="str">
        <f t="shared" si="400"/>
        <v>Coach</v>
      </c>
    </row>
    <row r="361">
      <c r="A361" s="212">
        <f>A325+1</f>
        <v>11</v>
      </c>
      <c r="B361" s="212" t="str">
        <f t="array" ref="B361">xlookup(A361,'Team Entry'!$C:$C,'Team Entry'!$A:$A,"")</f>
        <v>Team 7 (Group 2)</v>
      </c>
    </row>
    <row r="362">
      <c r="A362" s="213">
        <f t="shared" ref="A362:A366" si="402">A361</f>
        <v>11</v>
      </c>
      <c r="B362" s="214"/>
      <c r="C362" s="215" t="s">
        <v>109</v>
      </c>
      <c r="D362" s="47" t="s">
        <v>110</v>
      </c>
      <c r="F362" s="48" t="str">
        <f t="shared" ref="F362:G362" si="401">B362</f>
        <v/>
      </c>
      <c r="G362" s="48" t="str">
        <f t="shared" si="401"/>
        <v>Player 1</v>
      </c>
    </row>
    <row r="363">
      <c r="A363" s="213">
        <f t="shared" si="402"/>
        <v>11</v>
      </c>
      <c r="D363" s="47" t="s">
        <v>111</v>
      </c>
      <c r="E363" s="47" t="s">
        <v>80</v>
      </c>
      <c r="F363" s="48" t="str">
        <f t="shared" ref="F363:G363" si="403">F362</f>
        <v/>
      </c>
      <c r="G363" s="48" t="str">
        <f t="shared" si="403"/>
        <v>Player 1</v>
      </c>
    </row>
    <row r="364">
      <c r="A364" s="213">
        <f t="shared" si="402"/>
        <v>11</v>
      </c>
      <c r="D364" s="47" t="s">
        <v>112</v>
      </c>
      <c r="E364" s="216"/>
      <c r="F364" s="48" t="str">
        <f t="shared" ref="F364:G364" si="404">F363</f>
        <v/>
      </c>
      <c r="G364" s="48" t="str">
        <f t="shared" si="404"/>
        <v>Player 1</v>
      </c>
    </row>
    <row r="365">
      <c r="A365" s="213">
        <f t="shared" si="402"/>
        <v>11</v>
      </c>
      <c r="D365" s="47" t="s">
        <v>113</v>
      </c>
      <c r="E365" s="216"/>
      <c r="F365" s="48" t="str">
        <f t="shared" ref="F365:G365" si="405">F364</f>
        <v/>
      </c>
      <c r="G365" s="48" t="str">
        <f t="shared" si="405"/>
        <v>Player 1</v>
      </c>
    </row>
    <row r="366">
      <c r="A366" s="213">
        <f t="shared" si="402"/>
        <v>11</v>
      </c>
      <c r="D366" s="47" t="s">
        <v>114</v>
      </c>
      <c r="E366" s="216"/>
      <c r="F366" s="48" t="str">
        <f t="shared" ref="F366:G366" si="406">F365</f>
        <v/>
      </c>
      <c r="G366" s="48" t="str">
        <f t="shared" si="406"/>
        <v>Player 1</v>
      </c>
    </row>
    <row r="367">
      <c r="A367" s="213">
        <f>A365</f>
        <v>11</v>
      </c>
      <c r="B367" s="214"/>
      <c r="C367" s="215" t="s">
        <v>115</v>
      </c>
      <c r="D367" s="47" t="s">
        <v>110</v>
      </c>
      <c r="F367" s="48" t="str">
        <f t="shared" ref="F367:G367" si="407">B367</f>
        <v/>
      </c>
      <c r="G367" s="48" t="str">
        <f t="shared" si="407"/>
        <v>Player 2</v>
      </c>
    </row>
    <row r="368">
      <c r="A368" s="213">
        <f t="shared" ref="A368:A371" si="409">A367</f>
        <v>11</v>
      </c>
      <c r="D368" s="47" t="s">
        <v>111</v>
      </c>
      <c r="E368" s="47" t="s">
        <v>80</v>
      </c>
      <c r="F368" s="48" t="str">
        <f t="shared" ref="F368:G368" si="408">F367</f>
        <v/>
      </c>
      <c r="G368" s="48" t="str">
        <f t="shared" si="408"/>
        <v>Player 2</v>
      </c>
    </row>
    <row r="369">
      <c r="A369" s="213">
        <f t="shared" si="409"/>
        <v>11</v>
      </c>
      <c r="D369" s="47" t="s">
        <v>112</v>
      </c>
      <c r="E369" s="216"/>
      <c r="F369" s="48" t="str">
        <f t="shared" ref="F369:G369" si="410">F368</f>
        <v/>
      </c>
      <c r="G369" s="48" t="str">
        <f t="shared" si="410"/>
        <v>Player 2</v>
      </c>
    </row>
    <row r="370">
      <c r="A370" s="213">
        <f t="shared" si="409"/>
        <v>11</v>
      </c>
      <c r="D370" s="47" t="s">
        <v>113</v>
      </c>
      <c r="E370" s="216"/>
      <c r="F370" s="48" t="str">
        <f t="shared" ref="F370:G370" si="411">F369</f>
        <v/>
      </c>
      <c r="G370" s="48" t="str">
        <f t="shared" si="411"/>
        <v>Player 2</v>
      </c>
    </row>
    <row r="371">
      <c r="A371" s="213">
        <f t="shared" si="409"/>
        <v>11</v>
      </c>
      <c r="D371" s="47" t="s">
        <v>114</v>
      </c>
      <c r="E371" s="216"/>
      <c r="F371" s="48" t="str">
        <f t="shared" ref="F371:G371" si="412">F370</f>
        <v/>
      </c>
      <c r="G371" s="48" t="str">
        <f t="shared" si="412"/>
        <v>Player 2</v>
      </c>
    </row>
    <row r="372">
      <c r="A372" s="213">
        <f>A370</f>
        <v>11</v>
      </c>
      <c r="B372" s="214"/>
      <c r="C372" s="215" t="s">
        <v>121</v>
      </c>
      <c r="D372" s="47" t="s">
        <v>110</v>
      </c>
      <c r="F372" s="48" t="str">
        <f t="shared" ref="F372:G372" si="413">B372</f>
        <v/>
      </c>
      <c r="G372" s="48" t="str">
        <f t="shared" si="413"/>
        <v>Player 3</v>
      </c>
    </row>
    <row r="373">
      <c r="A373" s="213">
        <f t="shared" ref="A373:A376" si="415">A372</f>
        <v>11</v>
      </c>
      <c r="D373" s="47" t="s">
        <v>111</v>
      </c>
      <c r="E373" s="47" t="s">
        <v>80</v>
      </c>
      <c r="F373" s="48" t="str">
        <f t="shared" ref="F373:G373" si="414">F372</f>
        <v/>
      </c>
      <c r="G373" s="48" t="str">
        <f t="shared" si="414"/>
        <v>Player 3</v>
      </c>
    </row>
    <row r="374">
      <c r="A374" s="213">
        <f t="shared" si="415"/>
        <v>11</v>
      </c>
      <c r="D374" s="47" t="s">
        <v>112</v>
      </c>
      <c r="E374" s="216"/>
      <c r="F374" s="48" t="str">
        <f t="shared" ref="F374:G374" si="416">F373</f>
        <v/>
      </c>
      <c r="G374" s="48" t="str">
        <f t="shared" si="416"/>
        <v>Player 3</v>
      </c>
    </row>
    <row r="375">
      <c r="A375" s="213">
        <f t="shared" si="415"/>
        <v>11</v>
      </c>
      <c r="D375" s="47" t="s">
        <v>113</v>
      </c>
      <c r="E375" s="216"/>
      <c r="F375" s="48" t="str">
        <f t="shared" ref="F375:G375" si="417">F374</f>
        <v/>
      </c>
      <c r="G375" s="48" t="str">
        <f t="shared" si="417"/>
        <v>Player 3</v>
      </c>
    </row>
    <row r="376">
      <c r="A376" s="213">
        <f t="shared" si="415"/>
        <v>11</v>
      </c>
      <c r="D376" s="47" t="s">
        <v>114</v>
      </c>
      <c r="E376" s="216"/>
      <c r="F376" s="48" t="str">
        <f t="shared" ref="F376:G376" si="418">F375</f>
        <v/>
      </c>
      <c r="G376" s="48" t="str">
        <f t="shared" si="418"/>
        <v>Player 3</v>
      </c>
    </row>
    <row r="377">
      <c r="A377" s="213">
        <f>A375</f>
        <v>11</v>
      </c>
      <c r="B377" s="214"/>
      <c r="C377" s="215" t="s">
        <v>127</v>
      </c>
      <c r="D377" s="47" t="s">
        <v>110</v>
      </c>
      <c r="F377" s="48" t="str">
        <f t="shared" ref="F377:G377" si="419">B377</f>
        <v/>
      </c>
      <c r="G377" s="48" t="str">
        <f t="shared" si="419"/>
        <v>Player 4</v>
      </c>
    </row>
    <row r="378">
      <c r="A378" s="213">
        <f t="shared" ref="A378:A381" si="421">A377</f>
        <v>11</v>
      </c>
      <c r="D378" s="47" t="s">
        <v>111</v>
      </c>
      <c r="E378" s="47" t="s">
        <v>80</v>
      </c>
      <c r="F378" s="48" t="str">
        <f t="shared" ref="F378:G378" si="420">F377</f>
        <v/>
      </c>
      <c r="G378" s="48" t="str">
        <f t="shared" si="420"/>
        <v>Player 4</v>
      </c>
    </row>
    <row r="379">
      <c r="A379" s="213">
        <f t="shared" si="421"/>
        <v>11</v>
      </c>
      <c r="D379" s="47" t="s">
        <v>112</v>
      </c>
      <c r="E379" s="216"/>
      <c r="F379" s="48" t="str">
        <f t="shared" ref="F379:G379" si="422">F378</f>
        <v/>
      </c>
      <c r="G379" s="48" t="str">
        <f t="shared" si="422"/>
        <v>Player 4</v>
      </c>
    </row>
    <row r="380">
      <c r="A380" s="213">
        <f t="shared" si="421"/>
        <v>11</v>
      </c>
      <c r="D380" s="47" t="s">
        <v>113</v>
      </c>
      <c r="E380" s="216"/>
      <c r="F380" s="48" t="str">
        <f t="shared" ref="F380:G380" si="423">F379</f>
        <v/>
      </c>
      <c r="G380" s="48" t="str">
        <f t="shared" si="423"/>
        <v>Player 4</v>
      </c>
    </row>
    <row r="381">
      <c r="A381" s="213">
        <f t="shared" si="421"/>
        <v>11</v>
      </c>
      <c r="D381" s="47" t="s">
        <v>114</v>
      </c>
      <c r="E381" s="216"/>
      <c r="F381" s="48" t="str">
        <f t="shared" ref="F381:G381" si="424">F380</f>
        <v/>
      </c>
      <c r="G381" s="48" t="str">
        <f t="shared" si="424"/>
        <v>Player 4</v>
      </c>
    </row>
    <row r="382">
      <c r="A382" s="213">
        <f>A380</f>
        <v>11</v>
      </c>
      <c r="B382" s="214"/>
      <c r="C382" s="215" t="s">
        <v>133</v>
      </c>
      <c r="D382" s="47" t="s">
        <v>110</v>
      </c>
      <c r="F382" s="48" t="str">
        <f t="shared" ref="F382:G382" si="425">B382</f>
        <v/>
      </c>
      <c r="G382" s="48" t="str">
        <f t="shared" si="425"/>
        <v>Player 5</v>
      </c>
    </row>
    <row r="383">
      <c r="A383" s="213">
        <f t="shared" ref="A383:A396" si="427">A382</f>
        <v>11</v>
      </c>
      <c r="D383" s="47" t="s">
        <v>111</v>
      </c>
      <c r="E383" s="47" t="s">
        <v>80</v>
      </c>
      <c r="F383" s="48" t="str">
        <f t="shared" ref="F383:G383" si="426">F382</f>
        <v/>
      </c>
      <c r="G383" s="48" t="str">
        <f t="shared" si="426"/>
        <v>Player 5</v>
      </c>
    </row>
    <row r="384">
      <c r="A384" s="213">
        <f t="shared" si="427"/>
        <v>11</v>
      </c>
      <c r="D384" s="47" t="s">
        <v>112</v>
      </c>
      <c r="E384" s="216"/>
      <c r="F384" s="48" t="str">
        <f t="shared" ref="F384:G384" si="428">F383</f>
        <v/>
      </c>
      <c r="G384" s="48" t="str">
        <f t="shared" si="428"/>
        <v>Player 5</v>
      </c>
    </row>
    <row r="385">
      <c r="A385" s="213">
        <f t="shared" si="427"/>
        <v>11</v>
      </c>
      <c r="D385" s="47" t="s">
        <v>113</v>
      </c>
      <c r="E385" s="216"/>
      <c r="F385" s="48" t="str">
        <f t="shared" ref="F385:G385" si="429">F384</f>
        <v/>
      </c>
      <c r="G385" s="48" t="str">
        <f t="shared" si="429"/>
        <v>Player 5</v>
      </c>
    </row>
    <row r="386">
      <c r="A386" s="213">
        <f t="shared" si="427"/>
        <v>11</v>
      </c>
      <c r="D386" s="47" t="s">
        <v>114</v>
      </c>
      <c r="E386" s="216"/>
      <c r="F386" s="48" t="str">
        <f t="shared" ref="F386:G386" si="430">F385</f>
        <v/>
      </c>
      <c r="G386" s="48" t="str">
        <f t="shared" si="430"/>
        <v>Player 5</v>
      </c>
    </row>
    <row r="387">
      <c r="A387" s="213">
        <f t="shared" si="427"/>
        <v>11</v>
      </c>
      <c r="B387" s="214"/>
      <c r="C387" s="215" t="s">
        <v>139</v>
      </c>
      <c r="D387" s="47" t="s">
        <v>110</v>
      </c>
      <c r="E387" s="216"/>
      <c r="F387" s="48" t="str">
        <f t="shared" ref="F387:G387" si="431">B387</f>
        <v/>
      </c>
      <c r="G387" s="48" t="str">
        <f t="shared" si="431"/>
        <v>Player 6 (Substitute)</v>
      </c>
    </row>
    <row r="388">
      <c r="A388" s="213">
        <f t="shared" si="427"/>
        <v>11</v>
      </c>
      <c r="D388" s="47" t="s">
        <v>111</v>
      </c>
      <c r="E388" s="47" t="s">
        <v>80</v>
      </c>
      <c r="F388" s="48" t="str">
        <f t="shared" ref="F388:G388" si="432">F387</f>
        <v/>
      </c>
      <c r="G388" s="48" t="str">
        <f t="shared" si="432"/>
        <v>Player 6 (Substitute)</v>
      </c>
    </row>
    <row r="389">
      <c r="A389" s="213">
        <f t="shared" si="427"/>
        <v>11</v>
      </c>
      <c r="D389" s="47" t="s">
        <v>112</v>
      </c>
      <c r="E389" s="216"/>
      <c r="F389" s="48" t="str">
        <f t="shared" ref="F389:G389" si="433">F388</f>
        <v/>
      </c>
      <c r="G389" s="48" t="str">
        <f t="shared" si="433"/>
        <v>Player 6 (Substitute)</v>
      </c>
    </row>
    <row r="390">
      <c r="A390" s="213">
        <f t="shared" si="427"/>
        <v>11</v>
      </c>
      <c r="D390" s="47" t="s">
        <v>113</v>
      </c>
      <c r="E390" s="216"/>
      <c r="F390" s="48" t="str">
        <f t="shared" ref="F390:G390" si="434">F389</f>
        <v/>
      </c>
      <c r="G390" s="48" t="str">
        <f t="shared" si="434"/>
        <v>Player 6 (Substitute)</v>
      </c>
    </row>
    <row r="391">
      <c r="A391" s="213">
        <f t="shared" si="427"/>
        <v>11</v>
      </c>
      <c r="D391" s="47" t="s">
        <v>114</v>
      </c>
      <c r="E391" s="216"/>
      <c r="F391" s="48" t="str">
        <f t="shared" ref="F391:G391" si="435">F390</f>
        <v/>
      </c>
      <c r="G391" s="48" t="str">
        <f t="shared" si="435"/>
        <v>Player 6 (Substitute)</v>
      </c>
    </row>
    <row r="392">
      <c r="A392" s="213">
        <f t="shared" si="427"/>
        <v>11</v>
      </c>
      <c r="B392" s="214"/>
      <c r="C392" s="215" t="s">
        <v>145</v>
      </c>
      <c r="D392" s="47" t="s">
        <v>110</v>
      </c>
      <c r="F392" s="48" t="str">
        <f t="shared" ref="F392:G392" si="436">B392</f>
        <v/>
      </c>
      <c r="G392" s="48" t="str">
        <f t="shared" si="436"/>
        <v>Coach</v>
      </c>
    </row>
    <row r="393">
      <c r="A393" s="213">
        <f t="shared" si="427"/>
        <v>11</v>
      </c>
      <c r="D393" s="47" t="s">
        <v>111</v>
      </c>
      <c r="E393" s="47" t="s">
        <v>80</v>
      </c>
      <c r="F393" s="48" t="str">
        <f t="shared" ref="F393:G393" si="437">F392</f>
        <v/>
      </c>
      <c r="G393" s="48" t="str">
        <f t="shared" si="437"/>
        <v>Coach</v>
      </c>
    </row>
    <row r="394">
      <c r="A394" s="213">
        <f t="shared" si="427"/>
        <v>11</v>
      </c>
      <c r="D394" s="47" t="s">
        <v>112</v>
      </c>
      <c r="E394" s="216"/>
      <c r="F394" s="48" t="str">
        <f t="shared" ref="F394:G394" si="438">F393</f>
        <v/>
      </c>
      <c r="G394" s="48" t="str">
        <f t="shared" si="438"/>
        <v>Coach</v>
      </c>
    </row>
    <row r="395">
      <c r="A395" s="213">
        <f t="shared" si="427"/>
        <v>11</v>
      </c>
      <c r="D395" s="47" t="s">
        <v>113</v>
      </c>
      <c r="E395" s="218"/>
      <c r="F395" s="48" t="str">
        <f t="shared" ref="F395:G395" si="439">F394</f>
        <v/>
      </c>
      <c r="G395" s="48" t="str">
        <f t="shared" si="439"/>
        <v>Coach</v>
      </c>
    </row>
    <row r="396">
      <c r="A396" s="213">
        <f t="shared" si="427"/>
        <v>11</v>
      </c>
      <c r="D396" s="47" t="s">
        <v>114</v>
      </c>
      <c r="E396" s="218"/>
      <c r="F396" s="48" t="str">
        <f t="shared" ref="F396:G396" si="440">F395</f>
        <v/>
      </c>
      <c r="G396" s="48" t="str">
        <f t="shared" si="440"/>
        <v>Coach</v>
      </c>
    </row>
    <row r="397">
      <c r="A397" s="212">
        <f>A361+1</f>
        <v>12</v>
      </c>
      <c r="B397" s="212" t="str">
        <f t="array" ref="B397">xlookup(A397,'Team Entry'!$C:$C,'Team Entry'!$A:$A,"")</f>
        <v>Team 8 (Group 2)</v>
      </c>
    </row>
    <row r="398">
      <c r="A398" s="213">
        <f t="shared" ref="A398:A402" si="442">A397</f>
        <v>12</v>
      </c>
      <c r="B398" s="214"/>
      <c r="C398" s="215" t="s">
        <v>109</v>
      </c>
      <c r="D398" s="47" t="s">
        <v>110</v>
      </c>
      <c r="F398" s="48" t="str">
        <f t="shared" ref="F398:G398" si="441">B398</f>
        <v/>
      </c>
      <c r="G398" s="48" t="str">
        <f t="shared" si="441"/>
        <v>Player 1</v>
      </c>
    </row>
    <row r="399">
      <c r="A399" s="213">
        <f t="shared" si="442"/>
        <v>12</v>
      </c>
      <c r="D399" s="47" t="s">
        <v>111</v>
      </c>
      <c r="E399" s="47" t="s">
        <v>80</v>
      </c>
      <c r="F399" s="48" t="str">
        <f t="shared" ref="F399:G399" si="443">F398</f>
        <v/>
      </c>
      <c r="G399" s="48" t="str">
        <f t="shared" si="443"/>
        <v>Player 1</v>
      </c>
    </row>
    <row r="400">
      <c r="A400" s="213">
        <f t="shared" si="442"/>
        <v>12</v>
      </c>
      <c r="D400" s="47" t="s">
        <v>112</v>
      </c>
      <c r="E400" s="216"/>
      <c r="F400" s="48" t="str">
        <f t="shared" ref="F400:G400" si="444">F399</f>
        <v/>
      </c>
      <c r="G400" s="48" t="str">
        <f t="shared" si="444"/>
        <v>Player 1</v>
      </c>
    </row>
    <row r="401">
      <c r="A401" s="213">
        <f t="shared" si="442"/>
        <v>12</v>
      </c>
      <c r="D401" s="47" t="s">
        <v>113</v>
      </c>
      <c r="E401" s="216"/>
      <c r="F401" s="48" t="str">
        <f t="shared" ref="F401:G401" si="445">F400</f>
        <v/>
      </c>
      <c r="G401" s="48" t="str">
        <f t="shared" si="445"/>
        <v>Player 1</v>
      </c>
    </row>
    <row r="402">
      <c r="A402" s="213">
        <f t="shared" si="442"/>
        <v>12</v>
      </c>
      <c r="D402" s="47" t="s">
        <v>114</v>
      </c>
      <c r="E402" s="216"/>
      <c r="F402" s="48" t="str">
        <f t="shared" ref="F402:G402" si="446">F401</f>
        <v/>
      </c>
      <c r="G402" s="48" t="str">
        <f t="shared" si="446"/>
        <v>Player 1</v>
      </c>
    </row>
    <row r="403">
      <c r="A403" s="213">
        <f>A401</f>
        <v>12</v>
      </c>
      <c r="B403" s="214"/>
      <c r="C403" s="215" t="s">
        <v>115</v>
      </c>
      <c r="D403" s="47" t="s">
        <v>110</v>
      </c>
      <c r="F403" s="48" t="str">
        <f t="shared" ref="F403:G403" si="447">B403</f>
        <v/>
      </c>
      <c r="G403" s="48" t="str">
        <f t="shared" si="447"/>
        <v>Player 2</v>
      </c>
    </row>
    <row r="404">
      <c r="A404" s="213">
        <f t="shared" ref="A404:A407" si="449">A403</f>
        <v>12</v>
      </c>
      <c r="D404" s="47" t="s">
        <v>111</v>
      </c>
      <c r="E404" s="47" t="s">
        <v>80</v>
      </c>
      <c r="F404" s="48" t="str">
        <f t="shared" ref="F404:G404" si="448">F403</f>
        <v/>
      </c>
      <c r="G404" s="48" t="str">
        <f t="shared" si="448"/>
        <v>Player 2</v>
      </c>
    </row>
    <row r="405">
      <c r="A405" s="213">
        <f t="shared" si="449"/>
        <v>12</v>
      </c>
      <c r="D405" s="47" t="s">
        <v>112</v>
      </c>
      <c r="E405" s="216"/>
      <c r="F405" s="48" t="str">
        <f t="shared" ref="F405:G405" si="450">F404</f>
        <v/>
      </c>
      <c r="G405" s="48" t="str">
        <f t="shared" si="450"/>
        <v>Player 2</v>
      </c>
    </row>
    <row r="406">
      <c r="A406" s="213">
        <f t="shared" si="449"/>
        <v>12</v>
      </c>
      <c r="D406" s="47" t="s">
        <v>113</v>
      </c>
      <c r="E406" s="216"/>
      <c r="F406" s="48" t="str">
        <f t="shared" ref="F406:G406" si="451">F405</f>
        <v/>
      </c>
      <c r="G406" s="48" t="str">
        <f t="shared" si="451"/>
        <v>Player 2</v>
      </c>
    </row>
    <row r="407">
      <c r="A407" s="213">
        <f t="shared" si="449"/>
        <v>12</v>
      </c>
      <c r="D407" s="47" t="s">
        <v>114</v>
      </c>
      <c r="E407" s="216"/>
      <c r="F407" s="48" t="str">
        <f t="shared" ref="F407:G407" si="452">F406</f>
        <v/>
      </c>
      <c r="G407" s="48" t="str">
        <f t="shared" si="452"/>
        <v>Player 2</v>
      </c>
    </row>
    <row r="408">
      <c r="A408" s="213">
        <f>A406</f>
        <v>12</v>
      </c>
      <c r="B408" s="214"/>
      <c r="C408" s="215" t="s">
        <v>121</v>
      </c>
      <c r="D408" s="47" t="s">
        <v>110</v>
      </c>
      <c r="F408" s="48" t="str">
        <f t="shared" ref="F408:G408" si="453">B408</f>
        <v/>
      </c>
      <c r="G408" s="48" t="str">
        <f t="shared" si="453"/>
        <v>Player 3</v>
      </c>
    </row>
    <row r="409">
      <c r="A409" s="213">
        <f t="shared" ref="A409:A412" si="455">A408</f>
        <v>12</v>
      </c>
      <c r="D409" s="47" t="s">
        <v>111</v>
      </c>
      <c r="E409" s="47" t="s">
        <v>80</v>
      </c>
      <c r="F409" s="48" t="str">
        <f t="shared" ref="F409:G409" si="454">F408</f>
        <v/>
      </c>
      <c r="G409" s="48" t="str">
        <f t="shared" si="454"/>
        <v>Player 3</v>
      </c>
    </row>
    <row r="410">
      <c r="A410" s="213">
        <f t="shared" si="455"/>
        <v>12</v>
      </c>
      <c r="D410" s="47" t="s">
        <v>112</v>
      </c>
      <c r="E410" s="216"/>
      <c r="F410" s="48" t="str">
        <f t="shared" ref="F410:G410" si="456">F409</f>
        <v/>
      </c>
      <c r="G410" s="48" t="str">
        <f t="shared" si="456"/>
        <v>Player 3</v>
      </c>
    </row>
    <row r="411">
      <c r="A411" s="213">
        <f t="shared" si="455"/>
        <v>12</v>
      </c>
      <c r="D411" s="47" t="s">
        <v>113</v>
      </c>
      <c r="E411" s="216"/>
      <c r="F411" s="48" t="str">
        <f t="shared" ref="F411:G411" si="457">F410</f>
        <v/>
      </c>
      <c r="G411" s="48" t="str">
        <f t="shared" si="457"/>
        <v>Player 3</v>
      </c>
    </row>
    <row r="412">
      <c r="A412" s="213">
        <f t="shared" si="455"/>
        <v>12</v>
      </c>
      <c r="D412" s="47" t="s">
        <v>114</v>
      </c>
      <c r="E412" s="216"/>
      <c r="F412" s="48" t="str">
        <f t="shared" ref="F412:G412" si="458">F411</f>
        <v/>
      </c>
      <c r="G412" s="48" t="str">
        <f t="shared" si="458"/>
        <v>Player 3</v>
      </c>
    </row>
    <row r="413">
      <c r="A413" s="213">
        <f>A411</f>
        <v>12</v>
      </c>
      <c r="B413" s="214"/>
      <c r="C413" s="215" t="s">
        <v>127</v>
      </c>
      <c r="D413" s="47" t="s">
        <v>110</v>
      </c>
      <c r="F413" s="48" t="str">
        <f t="shared" ref="F413:G413" si="459">B413</f>
        <v/>
      </c>
      <c r="G413" s="48" t="str">
        <f t="shared" si="459"/>
        <v>Player 4</v>
      </c>
    </row>
    <row r="414">
      <c r="A414" s="213">
        <f t="shared" ref="A414:A417" si="461">A413</f>
        <v>12</v>
      </c>
      <c r="D414" s="47" t="s">
        <v>111</v>
      </c>
      <c r="E414" s="47" t="s">
        <v>80</v>
      </c>
      <c r="F414" s="48" t="str">
        <f t="shared" ref="F414:G414" si="460">F413</f>
        <v/>
      </c>
      <c r="G414" s="48" t="str">
        <f t="shared" si="460"/>
        <v>Player 4</v>
      </c>
    </row>
    <row r="415">
      <c r="A415" s="213">
        <f t="shared" si="461"/>
        <v>12</v>
      </c>
      <c r="D415" s="47" t="s">
        <v>112</v>
      </c>
      <c r="E415" s="216"/>
      <c r="F415" s="48" t="str">
        <f t="shared" ref="F415:G415" si="462">F414</f>
        <v/>
      </c>
      <c r="G415" s="48" t="str">
        <f t="shared" si="462"/>
        <v>Player 4</v>
      </c>
    </row>
    <row r="416">
      <c r="A416" s="213">
        <f t="shared" si="461"/>
        <v>12</v>
      </c>
      <c r="D416" s="47" t="s">
        <v>113</v>
      </c>
      <c r="E416" s="216"/>
      <c r="F416" s="48" t="str">
        <f t="shared" ref="F416:G416" si="463">F415</f>
        <v/>
      </c>
      <c r="G416" s="48" t="str">
        <f t="shared" si="463"/>
        <v>Player 4</v>
      </c>
    </row>
    <row r="417">
      <c r="A417" s="213">
        <f t="shared" si="461"/>
        <v>12</v>
      </c>
      <c r="D417" s="47" t="s">
        <v>114</v>
      </c>
      <c r="E417" s="216"/>
      <c r="F417" s="48" t="str">
        <f t="shared" ref="F417:G417" si="464">F416</f>
        <v/>
      </c>
      <c r="G417" s="48" t="str">
        <f t="shared" si="464"/>
        <v>Player 4</v>
      </c>
    </row>
    <row r="418">
      <c r="A418" s="213">
        <f>A416</f>
        <v>12</v>
      </c>
      <c r="B418" s="214"/>
      <c r="C418" s="215" t="s">
        <v>133</v>
      </c>
      <c r="D418" s="47" t="s">
        <v>110</v>
      </c>
      <c r="F418" s="48" t="str">
        <f t="shared" ref="F418:G418" si="465">B418</f>
        <v/>
      </c>
      <c r="G418" s="48" t="str">
        <f t="shared" si="465"/>
        <v>Player 5</v>
      </c>
    </row>
    <row r="419">
      <c r="A419" s="213">
        <f t="shared" ref="A419:A432" si="467">A418</f>
        <v>12</v>
      </c>
      <c r="D419" s="47" t="s">
        <v>111</v>
      </c>
      <c r="E419" s="47" t="s">
        <v>80</v>
      </c>
      <c r="F419" s="48" t="str">
        <f t="shared" ref="F419:G419" si="466">F418</f>
        <v/>
      </c>
      <c r="G419" s="48" t="str">
        <f t="shared" si="466"/>
        <v>Player 5</v>
      </c>
    </row>
    <row r="420">
      <c r="A420" s="213">
        <f t="shared" si="467"/>
        <v>12</v>
      </c>
      <c r="D420" s="47" t="s">
        <v>112</v>
      </c>
      <c r="E420" s="216"/>
      <c r="F420" s="48" t="str">
        <f t="shared" ref="F420:G420" si="468">F419</f>
        <v/>
      </c>
      <c r="G420" s="48" t="str">
        <f t="shared" si="468"/>
        <v>Player 5</v>
      </c>
    </row>
    <row r="421">
      <c r="A421" s="213">
        <f t="shared" si="467"/>
        <v>12</v>
      </c>
      <c r="D421" s="47" t="s">
        <v>113</v>
      </c>
      <c r="E421" s="216"/>
      <c r="F421" s="48" t="str">
        <f t="shared" ref="F421:G421" si="469">F420</f>
        <v/>
      </c>
      <c r="G421" s="48" t="str">
        <f t="shared" si="469"/>
        <v>Player 5</v>
      </c>
    </row>
    <row r="422">
      <c r="A422" s="213">
        <f t="shared" si="467"/>
        <v>12</v>
      </c>
      <c r="D422" s="47" t="s">
        <v>114</v>
      </c>
      <c r="E422" s="216"/>
      <c r="F422" s="48" t="str">
        <f t="shared" ref="F422:G422" si="470">F421</f>
        <v/>
      </c>
      <c r="G422" s="48" t="str">
        <f t="shared" si="470"/>
        <v>Player 5</v>
      </c>
    </row>
    <row r="423">
      <c r="A423" s="213">
        <f t="shared" si="467"/>
        <v>12</v>
      </c>
      <c r="B423" s="214"/>
      <c r="C423" s="215" t="s">
        <v>139</v>
      </c>
      <c r="D423" s="47" t="s">
        <v>110</v>
      </c>
      <c r="E423" s="216"/>
      <c r="F423" s="48" t="str">
        <f t="shared" ref="F423:G423" si="471">B423</f>
        <v/>
      </c>
      <c r="G423" s="48" t="str">
        <f t="shared" si="471"/>
        <v>Player 6 (Substitute)</v>
      </c>
    </row>
    <row r="424">
      <c r="A424" s="213">
        <f t="shared" si="467"/>
        <v>12</v>
      </c>
      <c r="D424" s="47" t="s">
        <v>111</v>
      </c>
      <c r="E424" s="47" t="s">
        <v>80</v>
      </c>
      <c r="F424" s="48" t="str">
        <f t="shared" ref="F424:G424" si="472">F423</f>
        <v/>
      </c>
      <c r="G424" s="48" t="str">
        <f t="shared" si="472"/>
        <v>Player 6 (Substitute)</v>
      </c>
    </row>
    <row r="425">
      <c r="A425" s="213">
        <f t="shared" si="467"/>
        <v>12</v>
      </c>
      <c r="D425" s="47" t="s">
        <v>112</v>
      </c>
      <c r="E425" s="216"/>
      <c r="F425" s="48" t="str">
        <f t="shared" ref="F425:G425" si="473">F424</f>
        <v/>
      </c>
      <c r="G425" s="48" t="str">
        <f t="shared" si="473"/>
        <v>Player 6 (Substitute)</v>
      </c>
    </row>
    <row r="426">
      <c r="A426" s="213">
        <f t="shared" si="467"/>
        <v>12</v>
      </c>
      <c r="D426" s="47" t="s">
        <v>113</v>
      </c>
      <c r="E426" s="216"/>
      <c r="F426" s="48" t="str">
        <f t="shared" ref="F426:G426" si="474">F425</f>
        <v/>
      </c>
      <c r="G426" s="48" t="str">
        <f t="shared" si="474"/>
        <v>Player 6 (Substitute)</v>
      </c>
    </row>
    <row r="427">
      <c r="A427" s="213">
        <f t="shared" si="467"/>
        <v>12</v>
      </c>
      <c r="D427" s="47" t="s">
        <v>114</v>
      </c>
      <c r="E427" s="216"/>
      <c r="F427" s="48" t="str">
        <f t="shared" ref="F427:G427" si="475">F426</f>
        <v/>
      </c>
      <c r="G427" s="48" t="str">
        <f t="shared" si="475"/>
        <v>Player 6 (Substitute)</v>
      </c>
    </row>
    <row r="428">
      <c r="A428" s="213">
        <f t="shared" si="467"/>
        <v>12</v>
      </c>
      <c r="B428" s="214"/>
      <c r="C428" s="215" t="s">
        <v>145</v>
      </c>
      <c r="D428" s="47" t="s">
        <v>110</v>
      </c>
      <c r="F428" s="48" t="str">
        <f t="shared" ref="F428:G428" si="476">B428</f>
        <v/>
      </c>
      <c r="G428" s="48" t="str">
        <f t="shared" si="476"/>
        <v>Coach</v>
      </c>
    </row>
    <row r="429">
      <c r="A429" s="213">
        <f t="shared" si="467"/>
        <v>12</v>
      </c>
      <c r="D429" s="47" t="s">
        <v>111</v>
      </c>
      <c r="E429" s="47" t="s">
        <v>80</v>
      </c>
      <c r="F429" s="48" t="str">
        <f t="shared" ref="F429:G429" si="477">F428</f>
        <v/>
      </c>
      <c r="G429" s="48" t="str">
        <f t="shared" si="477"/>
        <v>Coach</v>
      </c>
    </row>
    <row r="430">
      <c r="A430" s="213">
        <f t="shared" si="467"/>
        <v>12</v>
      </c>
      <c r="D430" s="47" t="s">
        <v>112</v>
      </c>
      <c r="E430" s="216"/>
      <c r="F430" s="48" t="str">
        <f t="shared" ref="F430:G430" si="478">F429</f>
        <v/>
      </c>
      <c r="G430" s="48" t="str">
        <f t="shared" si="478"/>
        <v>Coach</v>
      </c>
    </row>
    <row r="431">
      <c r="A431" s="213">
        <f t="shared" si="467"/>
        <v>12</v>
      </c>
      <c r="D431" s="47" t="s">
        <v>113</v>
      </c>
      <c r="E431" s="218"/>
      <c r="F431" s="48" t="str">
        <f t="shared" ref="F431:G431" si="479">F430</f>
        <v/>
      </c>
      <c r="G431" s="48" t="str">
        <f t="shared" si="479"/>
        <v>Coach</v>
      </c>
    </row>
    <row r="432">
      <c r="A432" s="213">
        <f t="shared" si="467"/>
        <v>12</v>
      </c>
      <c r="D432" s="47" t="s">
        <v>114</v>
      </c>
      <c r="E432" s="218"/>
      <c r="F432" s="48" t="str">
        <f t="shared" ref="F432:G432" si="480">F431</f>
        <v/>
      </c>
      <c r="G432" s="48" t="str">
        <f t="shared" si="480"/>
        <v>Coach</v>
      </c>
    </row>
    <row r="433">
      <c r="A433" s="212">
        <f>A397+1</f>
        <v>13</v>
      </c>
      <c r="B433" s="212" t="str">
        <f t="array" ref="B433">xlookup(A433,'Team Entry'!$C:$C,'Team Entry'!$A:$A,"")</f>
        <v>Team 1 (Group 1)</v>
      </c>
    </row>
    <row r="434">
      <c r="A434" s="213">
        <f t="shared" ref="A434:A438" si="482">A433</f>
        <v>13</v>
      </c>
      <c r="B434" s="214"/>
      <c r="C434" s="215" t="s">
        <v>109</v>
      </c>
      <c r="D434" s="47" t="s">
        <v>110</v>
      </c>
      <c r="F434" s="48" t="str">
        <f t="shared" ref="F434:G434" si="481">B434</f>
        <v/>
      </c>
      <c r="G434" s="48" t="str">
        <f t="shared" si="481"/>
        <v>Player 1</v>
      </c>
    </row>
    <row r="435">
      <c r="A435" s="213">
        <f t="shared" si="482"/>
        <v>13</v>
      </c>
      <c r="D435" s="47" t="s">
        <v>111</v>
      </c>
      <c r="E435" s="47" t="s">
        <v>80</v>
      </c>
      <c r="F435" s="48" t="str">
        <f t="shared" ref="F435:G435" si="483">F434</f>
        <v/>
      </c>
      <c r="G435" s="48" t="str">
        <f t="shared" si="483"/>
        <v>Player 1</v>
      </c>
    </row>
    <row r="436">
      <c r="A436" s="213">
        <f t="shared" si="482"/>
        <v>13</v>
      </c>
      <c r="D436" s="47" t="s">
        <v>112</v>
      </c>
      <c r="E436" s="216"/>
      <c r="F436" s="48" t="str">
        <f t="shared" ref="F436:G436" si="484">F435</f>
        <v/>
      </c>
      <c r="G436" s="48" t="str">
        <f t="shared" si="484"/>
        <v>Player 1</v>
      </c>
    </row>
    <row r="437">
      <c r="A437" s="213">
        <f t="shared" si="482"/>
        <v>13</v>
      </c>
      <c r="D437" s="47" t="s">
        <v>113</v>
      </c>
      <c r="E437" s="216"/>
      <c r="F437" s="48" t="str">
        <f t="shared" ref="F437:G437" si="485">F436</f>
        <v/>
      </c>
      <c r="G437" s="48" t="str">
        <f t="shared" si="485"/>
        <v>Player 1</v>
      </c>
    </row>
    <row r="438">
      <c r="A438" s="213">
        <f t="shared" si="482"/>
        <v>13</v>
      </c>
      <c r="D438" s="47" t="s">
        <v>114</v>
      </c>
      <c r="E438" s="216"/>
      <c r="F438" s="48" t="str">
        <f t="shared" ref="F438:G438" si="486">F437</f>
        <v/>
      </c>
      <c r="G438" s="48" t="str">
        <f t="shared" si="486"/>
        <v>Player 1</v>
      </c>
    </row>
    <row r="439">
      <c r="A439" s="213">
        <f>A437</f>
        <v>13</v>
      </c>
      <c r="B439" s="214"/>
      <c r="C439" s="215" t="s">
        <v>115</v>
      </c>
      <c r="D439" s="47" t="s">
        <v>110</v>
      </c>
      <c r="F439" s="48" t="str">
        <f t="shared" ref="F439:G439" si="487">B439</f>
        <v/>
      </c>
      <c r="G439" s="48" t="str">
        <f t="shared" si="487"/>
        <v>Player 2</v>
      </c>
    </row>
    <row r="440">
      <c r="A440" s="213">
        <f t="shared" ref="A440:A443" si="489">A439</f>
        <v>13</v>
      </c>
      <c r="D440" s="47" t="s">
        <v>111</v>
      </c>
      <c r="E440" s="47" t="s">
        <v>80</v>
      </c>
      <c r="F440" s="48" t="str">
        <f t="shared" ref="F440:G440" si="488">F439</f>
        <v/>
      </c>
      <c r="G440" s="48" t="str">
        <f t="shared" si="488"/>
        <v>Player 2</v>
      </c>
    </row>
    <row r="441">
      <c r="A441" s="213">
        <f t="shared" si="489"/>
        <v>13</v>
      </c>
      <c r="D441" s="47" t="s">
        <v>112</v>
      </c>
      <c r="E441" s="216"/>
      <c r="F441" s="48" t="str">
        <f t="shared" ref="F441:G441" si="490">F440</f>
        <v/>
      </c>
      <c r="G441" s="48" t="str">
        <f t="shared" si="490"/>
        <v>Player 2</v>
      </c>
    </row>
    <row r="442">
      <c r="A442" s="213">
        <f t="shared" si="489"/>
        <v>13</v>
      </c>
      <c r="D442" s="47" t="s">
        <v>113</v>
      </c>
      <c r="E442" s="216"/>
      <c r="F442" s="48" t="str">
        <f t="shared" ref="F442:G442" si="491">F441</f>
        <v/>
      </c>
      <c r="G442" s="48" t="str">
        <f t="shared" si="491"/>
        <v>Player 2</v>
      </c>
    </row>
    <row r="443">
      <c r="A443" s="213">
        <f t="shared" si="489"/>
        <v>13</v>
      </c>
      <c r="D443" s="47" t="s">
        <v>114</v>
      </c>
      <c r="E443" s="216"/>
      <c r="F443" s="48" t="str">
        <f t="shared" ref="F443:G443" si="492">F442</f>
        <v/>
      </c>
      <c r="G443" s="48" t="str">
        <f t="shared" si="492"/>
        <v>Player 2</v>
      </c>
    </row>
    <row r="444">
      <c r="A444" s="213">
        <f>A442</f>
        <v>13</v>
      </c>
      <c r="B444" s="214"/>
      <c r="C444" s="215" t="s">
        <v>121</v>
      </c>
      <c r="D444" s="47" t="s">
        <v>110</v>
      </c>
      <c r="F444" s="48" t="str">
        <f t="shared" ref="F444:G444" si="493">B444</f>
        <v/>
      </c>
      <c r="G444" s="48" t="str">
        <f t="shared" si="493"/>
        <v>Player 3</v>
      </c>
    </row>
    <row r="445">
      <c r="A445" s="213">
        <f t="shared" ref="A445:A448" si="495">A444</f>
        <v>13</v>
      </c>
      <c r="D445" s="47" t="s">
        <v>111</v>
      </c>
      <c r="E445" s="47" t="s">
        <v>80</v>
      </c>
      <c r="F445" s="48" t="str">
        <f t="shared" ref="F445:G445" si="494">F444</f>
        <v/>
      </c>
      <c r="G445" s="48" t="str">
        <f t="shared" si="494"/>
        <v>Player 3</v>
      </c>
    </row>
    <row r="446">
      <c r="A446" s="213">
        <f t="shared" si="495"/>
        <v>13</v>
      </c>
      <c r="D446" s="47" t="s">
        <v>112</v>
      </c>
      <c r="E446" s="216"/>
      <c r="F446" s="48" t="str">
        <f t="shared" ref="F446:G446" si="496">F445</f>
        <v/>
      </c>
      <c r="G446" s="48" t="str">
        <f t="shared" si="496"/>
        <v>Player 3</v>
      </c>
    </row>
    <row r="447">
      <c r="A447" s="213">
        <f t="shared" si="495"/>
        <v>13</v>
      </c>
      <c r="D447" s="47" t="s">
        <v>113</v>
      </c>
      <c r="E447" s="216"/>
      <c r="F447" s="48" t="str">
        <f t="shared" ref="F447:G447" si="497">F446</f>
        <v/>
      </c>
      <c r="G447" s="48" t="str">
        <f t="shared" si="497"/>
        <v>Player 3</v>
      </c>
    </row>
    <row r="448">
      <c r="A448" s="213">
        <f t="shared" si="495"/>
        <v>13</v>
      </c>
      <c r="D448" s="47" t="s">
        <v>114</v>
      </c>
      <c r="E448" s="216"/>
      <c r="F448" s="48" t="str">
        <f t="shared" ref="F448:G448" si="498">F447</f>
        <v/>
      </c>
      <c r="G448" s="48" t="str">
        <f t="shared" si="498"/>
        <v>Player 3</v>
      </c>
    </row>
    <row r="449">
      <c r="A449" s="213">
        <f>A447</f>
        <v>13</v>
      </c>
      <c r="B449" s="214"/>
      <c r="C449" s="215" t="s">
        <v>127</v>
      </c>
      <c r="D449" s="47" t="s">
        <v>110</v>
      </c>
      <c r="F449" s="48" t="str">
        <f t="shared" ref="F449:G449" si="499">B449</f>
        <v/>
      </c>
      <c r="G449" s="48" t="str">
        <f t="shared" si="499"/>
        <v>Player 4</v>
      </c>
    </row>
    <row r="450">
      <c r="A450" s="213">
        <f t="shared" ref="A450:A453" si="501">A449</f>
        <v>13</v>
      </c>
      <c r="D450" s="47" t="s">
        <v>111</v>
      </c>
      <c r="E450" s="47" t="s">
        <v>80</v>
      </c>
      <c r="F450" s="48" t="str">
        <f t="shared" ref="F450:G450" si="500">F449</f>
        <v/>
      </c>
      <c r="G450" s="48" t="str">
        <f t="shared" si="500"/>
        <v>Player 4</v>
      </c>
    </row>
    <row r="451">
      <c r="A451" s="213">
        <f t="shared" si="501"/>
        <v>13</v>
      </c>
      <c r="D451" s="47" t="s">
        <v>112</v>
      </c>
      <c r="E451" s="216"/>
      <c r="F451" s="48" t="str">
        <f t="shared" ref="F451:G451" si="502">F450</f>
        <v/>
      </c>
      <c r="G451" s="48" t="str">
        <f t="shared" si="502"/>
        <v>Player 4</v>
      </c>
    </row>
    <row r="452">
      <c r="A452" s="213">
        <f t="shared" si="501"/>
        <v>13</v>
      </c>
      <c r="D452" s="47" t="s">
        <v>113</v>
      </c>
      <c r="E452" s="216"/>
      <c r="F452" s="48" t="str">
        <f t="shared" ref="F452:G452" si="503">F451</f>
        <v/>
      </c>
      <c r="G452" s="48" t="str">
        <f t="shared" si="503"/>
        <v>Player 4</v>
      </c>
    </row>
    <row r="453">
      <c r="A453" s="213">
        <f t="shared" si="501"/>
        <v>13</v>
      </c>
      <c r="D453" s="47" t="s">
        <v>114</v>
      </c>
      <c r="E453" s="216"/>
      <c r="F453" s="48" t="str">
        <f t="shared" ref="F453:G453" si="504">F452</f>
        <v/>
      </c>
      <c r="G453" s="48" t="str">
        <f t="shared" si="504"/>
        <v>Player 4</v>
      </c>
    </row>
    <row r="454">
      <c r="A454" s="213">
        <f>A452</f>
        <v>13</v>
      </c>
      <c r="B454" s="214"/>
      <c r="C454" s="215" t="s">
        <v>133</v>
      </c>
      <c r="D454" s="47" t="s">
        <v>110</v>
      </c>
      <c r="F454" s="48" t="str">
        <f t="shared" ref="F454:G454" si="505">B454</f>
        <v/>
      </c>
      <c r="G454" s="48" t="str">
        <f t="shared" si="505"/>
        <v>Player 5</v>
      </c>
    </row>
    <row r="455">
      <c r="A455" s="213">
        <f t="shared" ref="A455:A468" si="507">A454</f>
        <v>13</v>
      </c>
      <c r="D455" s="47" t="s">
        <v>111</v>
      </c>
      <c r="E455" s="47" t="s">
        <v>80</v>
      </c>
      <c r="F455" s="48" t="str">
        <f t="shared" ref="F455:G455" si="506">F454</f>
        <v/>
      </c>
      <c r="G455" s="48" t="str">
        <f t="shared" si="506"/>
        <v>Player 5</v>
      </c>
    </row>
    <row r="456">
      <c r="A456" s="213">
        <f t="shared" si="507"/>
        <v>13</v>
      </c>
      <c r="D456" s="47" t="s">
        <v>112</v>
      </c>
      <c r="E456" s="216"/>
      <c r="F456" s="48" t="str">
        <f t="shared" ref="F456:G456" si="508">F455</f>
        <v/>
      </c>
      <c r="G456" s="48" t="str">
        <f t="shared" si="508"/>
        <v>Player 5</v>
      </c>
    </row>
    <row r="457">
      <c r="A457" s="213">
        <f t="shared" si="507"/>
        <v>13</v>
      </c>
      <c r="D457" s="47" t="s">
        <v>113</v>
      </c>
      <c r="E457" s="216"/>
      <c r="F457" s="48" t="str">
        <f t="shared" ref="F457:G457" si="509">F456</f>
        <v/>
      </c>
      <c r="G457" s="48" t="str">
        <f t="shared" si="509"/>
        <v>Player 5</v>
      </c>
    </row>
    <row r="458">
      <c r="A458" s="213">
        <f t="shared" si="507"/>
        <v>13</v>
      </c>
      <c r="D458" s="47" t="s">
        <v>114</v>
      </c>
      <c r="E458" s="216"/>
      <c r="F458" s="48" t="str">
        <f t="shared" ref="F458:G458" si="510">F457</f>
        <v/>
      </c>
      <c r="G458" s="48" t="str">
        <f t="shared" si="510"/>
        <v>Player 5</v>
      </c>
    </row>
    <row r="459">
      <c r="A459" s="213">
        <f t="shared" si="507"/>
        <v>13</v>
      </c>
      <c r="B459" s="214"/>
      <c r="C459" s="215" t="s">
        <v>139</v>
      </c>
      <c r="D459" s="47" t="s">
        <v>110</v>
      </c>
      <c r="E459" s="216"/>
      <c r="F459" s="48" t="str">
        <f t="shared" ref="F459:G459" si="511">B459</f>
        <v/>
      </c>
      <c r="G459" s="48" t="str">
        <f t="shared" si="511"/>
        <v>Player 6 (Substitute)</v>
      </c>
    </row>
    <row r="460">
      <c r="A460" s="213">
        <f t="shared" si="507"/>
        <v>13</v>
      </c>
      <c r="D460" s="47" t="s">
        <v>111</v>
      </c>
      <c r="E460" s="47" t="s">
        <v>80</v>
      </c>
      <c r="F460" s="48" t="str">
        <f t="shared" ref="F460:G460" si="512">F459</f>
        <v/>
      </c>
      <c r="G460" s="48" t="str">
        <f t="shared" si="512"/>
        <v>Player 6 (Substitute)</v>
      </c>
    </row>
    <row r="461">
      <c r="A461" s="213">
        <f t="shared" si="507"/>
        <v>13</v>
      </c>
      <c r="D461" s="47" t="s">
        <v>112</v>
      </c>
      <c r="E461" s="216"/>
      <c r="F461" s="48" t="str">
        <f t="shared" ref="F461:G461" si="513">F460</f>
        <v/>
      </c>
      <c r="G461" s="48" t="str">
        <f t="shared" si="513"/>
        <v>Player 6 (Substitute)</v>
      </c>
    </row>
    <row r="462">
      <c r="A462" s="213">
        <f t="shared" si="507"/>
        <v>13</v>
      </c>
      <c r="D462" s="47" t="s">
        <v>113</v>
      </c>
      <c r="E462" s="216"/>
      <c r="F462" s="48" t="str">
        <f t="shared" ref="F462:G462" si="514">F461</f>
        <v/>
      </c>
      <c r="G462" s="48" t="str">
        <f t="shared" si="514"/>
        <v>Player 6 (Substitute)</v>
      </c>
    </row>
    <row r="463">
      <c r="A463" s="213">
        <f t="shared" si="507"/>
        <v>13</v>
      </c>
      <c r="D463" s="47" t="s">
        <v>114</v>
      </c>
      <c r="E463" s="216"/>
      <c r="F463" s="48" t="str">
        <f t="shared" ref="F463:G463" si="515">F462</f>
        <v/>
      </c>
      <c r="G463" s="48" t="str">
        <f t="shared" si="515"/>
        <v>Player 6 (Substitute)</v>
      </c>
    </row>
    <row r="464">
      <c r="A464" s="213">
        <f t="shared" si="507"/>
        <v>13</v>
      </c>
      <c r="B464" s="214"/>
      <c r="C464" s="215" t="s">
        <v>145</v>
      </c>
      <c r="D464" s="47" t="s">
        <v>110</v>
      </c>
      <c r="F464" s="48" t="str">
        <f t="shared" ref="F464:G464" si="516">B464</f>
        <v/>
      </c>
      <c r="G464" s="48" t="str">
        <f t="shared" si="516"/>
        <v>Coach</v>
      </c>
    </row>
    <row r="465">
      <c r="A465" s="213">
        <f t="shared" si="507"/>
        <v>13</v>
      </c>
      <c r="D465" s="47" t="s">
        <v>111</v>
      </c>
      <c r="E465" s="47" t="s">
        <v>80</v>
      </c>
      <c r="F465" s="48" t="str">
        <f t="shared" ref="F465:G465" si="517">F464</f>
        <v/>
      </c>
      <c r="G465" s="48" t="str">
        <f t="shared" si="517"/>
        <v>Coach</v>
      </c>
    </row>
    <row r="466">
      <c r="A466" s="213">
        <f t="shared" si="507"/>
        <v>13</v>
      </c>
      <c r="D466" s="47" t="s">
        <v>112</v>
      </c>
      <c r="E466" s="216"/>
      <c r="F466" s="48" t="str">
        <f t="shared" ref="F466:G466" si="518">F465</f>
        <v/>
      </c>
      <c r="G466" s="48" t="str">
        <f t="shared" si="518"/>
        <v>Coach</v>
      </c>
    </row>
    <row r="467">
      <c r="A467" s="213">
        <f t="shared" si="507"/>
        <v>13</v>
      </c>
      <c r="D467" s="47" t="s">
        <v>113</v>
      </c>
      <c r="E467" s="218"/>
      <c r="F467" s="48" t="str">
        <f t="shared" ref="F467:G467" si="519">F466</f>
        <v/>
      </c>
      <c r="G467" s="48" t="str">
        <f t="shared" si="519"/>
        <v>Coach</v>
      </c>
    </row>
    <row r="468">
      <c r="A468" s="213">
        <f t="shared" si="507"/>
        <v>13</v>
      </c>
      <c r="D468" s="47" t="s">
        <v>114</v>
      </c>
      <c r="E468" s="218"/>
      <c r="F468" s="48" t="str">
        <f t="shared" ref="F468:G468" si="520">F467</f>
        <v/>
      </c>
      <c r="G468" s="48" t="str">
        <f t="shared" si="520"/>
        <v>Coach</v>
      </c>
    </row>
    <row r="469">
      <c r="A469" s="212">
        <f>A433+1</f>
        <v>14</v>
      </c>
      <c r="B469" s="212" t="str">
        <f t="array" ref="B469">xlookup(A469,'Team Entry'!$C:$C,'Team Entry'!$A:$A,"")</f>
        <v>Team 2 (Group 1)</v>
      </c>
    </row>
    <row r="470">
      <c r="A470" s="213">
        <f t="shared" ref="A470:A474" si="522">A469</f>
        <v>14</v>
      </c>
      <c r="B470" s="214"/>
      <c r="C470" s="215" t="s">
        <v>109</v>
      </c>
      <c r="D470" s="47" t="s">
        <v>110</v>
      </c>
      <c r="F470" s="48" t="str">
        <f t="shared" ref="F470:G470" si="521">B470</f>
        <v/>
      </c>
      <c r="G470" s="48" t="str">
        <f t="shared" si="521"/>
        <v>Player 1</v>
      </c>
    </row>
    <row r="471">
      <c r="A471" s="213">
        <f t="shared" si="522"/>
        <v>14</v>
      </c>
      <c r="D471" s="47" t="s">
        <v>111</v>
      </c>
      <c r="E471" s="47" t="s">
        <v>80</v>
      </c>
      <c r="F471" s="48" t="str">
        <f t="shared" ref="F471:G471" si="523">F470</f>
        <v/>
      </c>
      <c r="G471" s="48" t="str">
        <f t="shared" si="523"/>
        <v>Player 1</v>
      </c>
    </row>
    <row r="472">
      <c r="A472" s="213">
        <f t="shared" si="522"/>
        <v>14</v>
      </c>
      <c r="D472" s="47" t="s">
        <v>112</v>
      </c>
      <c r="E472" s="216"/>
      <c r="F472" s="48" t="str">
        <f t="shared" ref="F472:G472" si="524">F471</f>
        <v/>
      </c>
      <c r="G472" s="48" t="str">
        <f t="shared" si="524"/>
        <v>Player 1</v>
      </c>
    </row>
    <row r="473">
      <c r="A473" s="213">
        <f t="shared" si="522"/>
        <v>14</v>
      </c>
      <c r="D473" s="47" t="s">
        <v>113</v>
      </c>
      <c r="E473" s="216"/>
      <c r="F473" s="48" t="str">
        <f t="shared" ref="F473:G473" si="525">F472</f>
        <v/>
      </c>
      <c r="G473" s="48" t="str">
        <f t="shared" si="525"/>
        <v>Player 1</v>
      </c>
    </row>
    <row r="474">
      <c r="A474" s="213">
        <f t="shared" si="522"/>
        <v>14</v>
      </c>
      <c r="D474" s="47" t="s">
        <v>114</v>
      </c>
      <c r="E474" s="216"/>
      <c r="F474" s="48" t="str">
        <f t="shared" ref="F474:G474" si="526">F473</f>
        <v/>
      </c>
      <c r="G474" s="48" t="str">
        <f t="shared" si="526"/>
        <v>Player 1</v>
      </c>
    </row>
    <row r="475">
      <c r="A475" s="213">
        <f>A473</f>
        <v>14</v>
      </c>
      <c r="B475" s="214"/>
      <c r="C475" s="215" t="s">
        <v>115</v>
      </c>
      <c r="D475" s="47" t="s">
        <v>110</v>
      </c>
      <c r="F475" s="48" t="str">
        <f t="shared" ref="F475:G475" si="527">B475</f>
        <v/>
      </c>
      <c r="G475" s="48" t="str">
        <f t="shared" si="527"/>
        <v>Player 2</v>
      </c>
    </row>
    <row r="476">
      <c r="A476" s="213">
        <f t="shared" ref="A476:A479" si="529">A475</f>
        <v>14</v>
      </c>
      <c r="D476" s="47" t="s">
        <v>111</v>
      </c>
      <c r="E476" s="47" t="s">
        <v>80</v>
      </c>
      <c r="F476" s="48" t="str">
        <f t="shared" ref="F476:G476" si="528">F475</f>
        <v/>
      </c>
      <c r="G476" s="48" t="str">
        <f t="shared" si="528"/>
        <v>Player 2</v>
      </c>
    </row>
    <row r="477">
      <c r="A477" s="213">
        <f t="shared" si="529"/>
        <v>14</v>
      </c>
      <c r="D477" s="47" t="s">
        <v>112</v>
      </c>
      <c r="E477" s="216"/>
      <c r="F477" s="48" t="str">
        <f t="shared" ref="F477:G477" si="530">F476</f>
        <v/>
      </c>
      <c r="G477" s="48" t="str">
        <f t="shared" si="530"/>
        <v>Player 2</v>
      </c>
    </row>
    <row r="478">
      <c r="A478" s="213">
        <f t="shared" si="529"/>
        <v>14</v>
      </c>
      <c r="D478" s="47" t="s">
        <v>113</v>
      </c>
      <c r="E478" s="216"/>
      <c r="F478" s="48" t="str">
        <f t="shared" ref="F478:G478" si="531">F477</f>
        <v/>
      </c>
      <c r="G478" s="48" t="str">
        <f t="shared" si="531"/>
        <v>Player 2</v>
      </c>
    </row>
    <row r="479">
      <c r="A479" s="213">
        <f t="shared" si="529"/>
        <v>14</v>
      </c>
      <c r="D479" s="47" t="s">
        <v>114</v>
      </c>
      <c r="E479" s="216"/>
      <c r="F479" s="48" t="str">
        <f t="shared" ref="F479:G479" si="532">F478</f>
        <v/>
      </c>
      <c r="G479" s="48" t="str">
        <f t="shared" si="532"/>
        <v>Player 2</v>
      </c>
    </row>
    <row r="480">
      <c r="A480" s="213">
        <f>A478</f>
        <v>14</v>
      </c>
      <c r="B480" s="214"/>
      <c r="C480" s="215" t="s">
        <v>121</v>
      </c>
      <c r="D480" s="47" t="s">
        <v>110</v>
      </c>
      <c r="F480" s="48" t="str">
        <f t="shared" ref="F480:G480" si="533">B480</f>
        <v/>
      </c>
      <c r="G480" s="48" t="str">
        <f t="shared" si="533"/>
        <v>Player 3</v>
      </c>
    </row>
    <row r="481">
      <c r="A481" s="213">
        <f t="shared" ref="A481:A484" si="535">A480</f>
        <v>14</v>
      </c>
      <c r="D481" s="47" t="s">
        <v>111</v>
      </c>
      <c r="E481" s="47" t="s">
        <v>80</v>
      </c>
      <c r="F481" s="48" t="str">
        <f t="shared" ref="F481:G481" si="534">F480</f>
        <v/>
      </c>
      <c r="G481" s="48" t="str">
        <f t="shared" si="534"/>
        <v>Player 3</v>
      </c>
    </row>
    <row r="482">
      <c r="A482" s="213">
        <f t="shared" si="535"/>
        <v>14</v>
      </c>
      <c r="D482" s="47" t="s">
        <v>112</v>
      </c>
      <c r="E482" s="216"/>
      <c r="F482" s="48" t="str">
        <f t="shared" ref="F482:G482" si="536">F481</f>
        <v/>
      </c>
      <c r="G482" s="48" t="str">
        <f t="shared" si="536"/>
        <v>Player 3</v>
      </c>
    </row>
    <row r="483">
      <c r="A483" s="213">
        <f t="shared" si="535"/>
        <v>14</v>
      </c>
      <c r="D483" s="47" t="s">
        <v>113</v>
      </c>
      <c r="E483" s="216"/>
      <c r="F483" s="48" t="str">
        <f t="shared" ref="F483:G483" si="537">F482</f>
        <v/>
      </c>
      <c r="G483" s="48" t="str">
        <f t="shared" si="537"/>
        <v>Player 3</v>
      </c>
    </row>
    <row r="484">
      <c r="A484" s="213">
        <f t="shared" si="535"/>
        <v>14</v>
      </c>
      <c r="D484" s="47" t="s">
        <v>114</v>
      </c>
      <c r="E484" s="216"/>
      <c r="F484" s="48" t="str">
        <f t="shared" ref="F484:G484" si="538">F483</f>
        <v/>
      </c>
      <c r="G484" s="48" t="str">
        <f t="shared" si="538"/>
        <v>Player 3</v>
      </c>
    </row>
    <row r="485">
      <c r="A485" s="213">
        <f>A483</f>
        <v>14</v>
      </c>
      <c r="B485" s="214"/>
      <c r="C485" s="215" t="s">
        <v>127</v>
      </c>
      <c r="D485" s="47" t="s">
        <v>110</v>
      </c>
      <c r="F485" s="48" t="str">
        <f t="shared" ref="F485:G485" si="539">B485</f>
        <v/>
      </c>
      <c r="G485" s="48" t="str">
        <f t="shared" si="539"/>
        <v>Player 4</v>
      </c>
    </row>
    <row r="486">
      <c r="A486" s="213">
        <f t="shared" ref="A486:A489" si="541">A485</f>
        <v>14</v>
      </c>
      <c r="D486" s="47" t="s">
        <v>111</v>
      </c>
      <c r="E486" s="47" t="s">
        <v>80</v>
      </c>
      <c r="F486" s="48" t="str">
        <f t="shared" ref="F486:G486" si="540">F485</f>
        <v/>
      </c>
      <c r="G486" s="48" t="str">
        <f t="shared" si="540"/>
        <v>Player 4</v>
      </c>
    </row>
    <row r="487">
      <c r="A487" s="213">
        <f t="shared" si="541"/>
        <v>14</v>
      </c>
      <c r="D487" s="47" t="s">
        <v>112</v>
      </c>
      <c r="E487" s="216"/>
      <c r="F487" s="48" t="str">
        <f t="shared" ref="F487:G487" si="542">F486</f>
        <v/>
      </c>
      <c r="G487" s="48" t="str">
        <f t="shared" si="542"/>
        <v>Player 4</v>
      </c>
    </row>
    <row r="488">
      <c r="A488" s="213">
        <f t="shared" si="541"/>
        <v>14</v>
      </c>
      <c r="D488" s="47" t="s">
        <v>113</v>
      </c>
      <c r="E488" s="216"/>
      <c r="F488" s="48" t="str">
        <f t="shared" ref="F488:G488" si="543">F487</f>
        <v/>
      </c>
      <c r="G488" s="48" t="str">
        <f t="shared" si="543"/>
        <v>Player 4</v>
      </c>
    </row>
    <row r="489">
      <c r="A489" s="213">
        <f t="shared" si="541"/>
        <v>14</v>
      </c>
      <c r="D489" s="47" t="s">
        <v>114</v>
      </c>
      <c r="E489" s="216"/>
      <c r="F489" s="48" t="str">
        <f t="shared" ref="F489:G489" si="544">F488</f>
        <v/>
      </c>
      <c r="G489" s="48" t="str">
        <f t="shared" si="544"/>
        <v>Player 4</v>
      </c>
    </row>
    <row r="490">
      <c r="A490" s="213">
        <f>A488</f>
        <v>14</v>
      </c>
      <c r="B490" s="214"/>
      <c r="C490" s="215" t="s">
        <v>133</v>
      </c>
      <c r="D490" s="47" t="s">
        <v>110</v>
      </c>
      <c r="F490" s="48" t="str">
        <f t="shared" ref="F490:G490" si="545">B490</f>
        <v/>
      </c>
      <c r="G490" s="48" t="str">
        <f t="shared" si="545"/>
        <v>Player 5</v>
      </c>
    </row>
    <row r="491">
      <c r="A491" s="213">
        <f t="shared" ref="A491:A504" si="547">A490</f>
        <v>14</v>
      </c>
      <c r="D491" s="47" t="s">
        <v>111</v>
      </c>
      <c r="E491" s="47" t="s">
        <v>80</v>
      </c>
      <c r="F491" s="48" t="str">
        <f t="shared" ref="F491:G491" si="546">F490</f>
        <v/>
      </c>
      <c r="G491" s="48" t="str">
        <f t="shared" si="546"/>
        <v>Player 5</v>
      </c>
    </row>
    <row r="492">
      <c r="A492" s="213">
        <f t="shared" si="547"/>
        <v>14</v>
      </c>
      <c r="D492" s="47" t="s">
        <v>112</v>
      </c>
      <c r="E492" s="216"/>
      <c r="F492" s="48" t="str">
        <f t="shared" ref="F492:G492" si="548">F491</f>
        <v/>
      </c>
      <c r="G492" s="48" t="str">
        <f t="shared" si="548"/>
        <v>Player 5</v>
      </c>
    </row>
    <row r="493">
      <c r="A493" s="213">
        <f t="shared" si="547"/>
        <v>14</v>
      </c>
      <c r="D493" s="47" t="s">
        <v>113</v>
      </c>
      <c r="E493" s="216"/>
      <c r="F493" s="48" t="str">
        <f t="shared" ref="F493:G493" si="549">F492</f>
        <v/>
      </c>
      <c r="G493" s="48" t="str">
        <f t="shared" si="549"/>
        <v>Player 5</v>
      </c>
    </row>
    <row r="494">
      <c r="A494" s="213">
        <f t="shared" si="547"/>
        <v>14</v>
      </c>
      <c r="D494" s="47" t="s">
        <v>114</v>
      </c>
      <c r="E494" s="216"/>
      <c r="F494" s="48" t="str">
        <f t="shared" ref="F494:G494" si="550">F493</f>
        <v/>
      </c>
      <c r="G494" s="48" t="str">
        <f t="shared" si="550"/>
        <v>Player 5</v>
      </c>
    </row>
    <row r="495">
      <c r="A495" s="213">
        <f t="shared" si="547"/>
        <v>14</v>
      </c>
      <c r="B495" s="214"/>
      <c r="C495" s="215" t="s">
        <v>139</v>
      </c>
      <c r="D495" s="47" t="s">
        <v>110</v>
      </c>
      <c r="E495" s="216"/>
      <c r="F495" s="48" t="str">
        <f t="shared" ref="F495:G495" si="551">B495</f>
        <v/>
      </c>
      <c r="G495" s="48" t="str">
        <f t="shared" si="551"/>
        <v>Player 6 (Substitute)</v>
      </c>
    </row>
    <row r="496">
      <c r="A496" s="213">
        <f t="shared" si="547"/>
        <v>14</v>
      </c>
      <c r="D496" s="47" t="s">
        <v>111</v>
      </c>
      <c r="E496" s="47" t="s">
        <v>80</v>
      </c>
      <c r="F496" s="48" t="str">
        <f t="shared" ref="F496:G496" si="552">F495</f>
        <v/>
      </c>
      <c r="G496" s="48" t="str">
        <f t="shared" si="552"/>
        <v>Player 6 (Substitute)</v>
      </c>
    </row>
    <row r="497">
      <c r="A497" s="213">
        <f t="shared" si="547"/>
        <v>14</v>
      </c>
      <c r="D497" s="47" t="s">
        <v>112</v>
      </c>
      <c r="E497" s="216"/>
      <c r="F497" s="48" t="str">
        <f t="shared" ref="F497:G497" si="553">F496</f>
        <v/>
      </c>
      <c r="G497" s="48" t="str">
        <f t="shared" si="553"/>
        <v>Player 6 (Substitute)</v>
      </c>
    </row>
    <row r="498">
      <c r="A498" s="213">
        <f t="shared" si="547"/>
        <v>14</v>
      </c>
      <c r="D498" s="47" t="s">
        <v>113</v>
      </c>
      <c r="E498" s="216"/>
      <c r="F498" s="48" t="str">
        <f t="shared" ref="F498:G498" si="554">F497</f>
        <v/>
      </c>
      <c r="G498" s="48" t="str">
        <f t="shared" si="554"/>
        <v>Player 6 (Substitute)</v>
      </c>
    </row>
    <row r="499">
      <c r="A499" s="213">
        <f t="shared" si="547"/>
        <v>14</v>
      </c>
      <c r="D499" s="47" t="s">
        <v>114</v>
      </c>
      <c r="E499" s="216"/>
      <c r="F499" s="48" t="str">
        <f t="shared" ref="F499:G499" si="555">F498</f>
        <v/>
      </c>
      <c r="G499" s="48" t="str">
        <f t="shared" si="555"/>
        <v>Player 6 (Substitute)</v>
      </c>
    </row>
    <row r="500">
      <c r="A500" s="213">
        <f t="shared" si="547"/>
        <v>14</v>
      </c>
      <c r="B500" s="214"/>
      <c r="C500" s="215" t="s">
        <v>145</v>
      </c>
      <c r="D500" s="47" t="s">
        <v>110</v>
      </c>
      <c r="F500" s="48" t="str">
        <f t="shared" ref="F500:G500" si="556">B500</f>
        <v/>
      </c>
      <c r="G500" s="48" t="str">
        <f t="shared" si="556"/>
        <v>Coach</v>
      </c>
    </row>
    <row r="501">
      <c r="A501" s="213">
        <f t="shared" si="547"/>
        <v>14</v>
      </c>
      <c r="D501" s="47" t="s">
        <v>111</v>
      </c>
      <c r="E501" s="47" t="s">
        <v>80</v>
      </c>
      <c r="F501" s="48" t="str">
        <f t="shared" ref="F501:G501" si="557">F500</f>
        <v/>
      </c>
      <c r="G501" s="48" t="str">
        <f t="shared" si="557"/>
        <v>Coach</v>
      </c>
    </row>
    <row r="502">
      <c r="A502" s="213">
        <f t="shared" si="547"/>
        <v>14</v>
      </c>
      <c r="D502" s="47" t="s">
        <v>112</v>
      </c>
      <c r="E502" s="216"/>
      <c r="F502" s="48" t="str">
        <f t="shared" ref="F502:G502" si="558">F501</f>
        <v/>
      </c>
      <c r="G502" s="48" t="str">
        <f t="shared" si="558"/>
        <v>Coach</v>
      </c>
    </row>
    <row r="503">
      <c r="A503" s="213">
        <f t="shared" si="547"/>
        <v>14</v>
      </c>
      <c r="D503" s="47" t="s">
        <v>113</v>
      </c>
      <c r="E503" s="218"/>
      <c r="F503" s="48" t="str">
        <f t="shared" ref="F503:G503" si="559">F502</f>
        <v/>
      </c>
      <c r="G503" s="48" t="str">
        <f t="shared" si="559"/>
        <v>Coach</v>
      </c>
    </row>
    <row r="504">
      <c r="A504" s="213">
        <f t="shared" si="547"/>
        <v>14</v>
      </c>
      <c r="D504" s="47" t="s">
        <v>114</v>
      </c>
      <c r="E504" s="218"/>
      <c r="F504" s="48" t="str">
        <f t="shared" ref="F504:G504" si="560">F503</f>
        <v/>
      </c>
      <c r="G504" s="48" t="str">
        <f t="shared" si="560"/>
        <v>Coach</v>
      </c>
    </row>
    <row r="505">
      <c r="A505" s="212">
        <f>A469+1</f>
        <v>15</v>
      </c>
      <c r="B505" s="212" t="str">
        <f t="array" ref="B505">xlookup(A505,'Team Entry'!$C:$C,'Team Entry'!$A:$A,"")</f>
        <v>Team 3 (Group 1)</v>
      </c>
    </row>
    <row r="506">
      <c r="A506" s="213">
        <f t="shared" ref="A506:A510" si="562">A505</f>
        <v>15</v>
      </c>
      <c r="B506" s="214"/>
      <c r="C506" s="215" t="s">
        <v>109</v>
      </c>
      <c r="D506" s="47" t="s">
        <v>110</v>
      </c>
      <c r="F506" s="48" t="str">
        <f t="shared" ref="F506:G506" si="561">B506</f>
        <v/>
      </c>
      <c r="G506" s="48" t="str">
        <f t="shared" si="561"/>
        <v>Player 1</v>
      </c>
    </row>
    <row r="507">
      <c r="A507" s="213">
        <f t="shared" si="562"/>
        <v>15</v>
      </c>
      <c r="D507" s="47" t="s">
        <v>111</v>
      </c>
      <c r="E507" s="47" t="s">
        <v>80</v>
      </c>
      <c r="F507" s="48" t="str">
        <f t="shared" ref="F507:G507" si="563">F506</f>
        <v/>
      </c>
      <c r="G507" s="48" t="str">
        <f t="shared" si="563"/>
        <v>Player 1</v>
      </c>
    </row>
    <row r="508">
      <c r="A508" s="213">
        <f t="shared" si="562"/>
        <v>15</v>
      </c>
      <c r="D508" s="47" t="s">
        <v>112</v>
      </c>
      <c r="E508" s="216"/>
      <c r="F508" s="48" t="str">
        <f t="shared" ref="F508:G508" si="564">F507</f>
        <v/>
      </c>
      <c r="G508" s="48" t="str">
        <f t="shared" si="564"/>
        <v>Player 1</v>
      </c>
    </row>
    <row r="509">
      <c r="A509" s="213">
        <f t="shared" si="562"/>
        <v>15</v>
      </c>
      <c r="D509" s="47" t="s">
        <v>113</v>
      </c>
      <c r="E509" s="216"/>
      <c r="F509" s="48" t="str">
        <f t="shared" ref="F509:G509" si="565">F508</f>
        <v/>
      </c>
      <c r="G509" s="48" t="str">
        <f t="shared" si="565"/>
        <v>Player 1</v>
      </c>
    </row>
    <row r="510">
      <c r="A510" s="213">
        <f t="shared" si="562"/>
        <v>15</v>
      </c>
      <c r="D510" s="47" t="s">
        <v>114</v>
      </c>
      <c r="E510" s="216"/>
      <c r="F510" s="48" t="str">
        <f t="shared" ref="F510:G510" si="566">F509</f>
        <v/>
      </c>
      <c r="G510" s="48" t="str">
        <f t="shared" si="566"/>
        <v>Player 1</v>
      </c>
    </row>
    <row r="511">
      <c r="A511" s="213">
        <f>A509</f>
        <v>15</v>
      </c>
      <c r="B511" s="214"/>
      <c r="C511" s="215" t="s">
        <v>115</v>
      </c>
      <c r="D511" s="47" t="s">
        <v>110</v>
      </c>
      <c r="F511" s="48" t="str">
        <f t="shared" ref="F511:G511" si="567">B511</f>
        <v/>
      </c>
      <c r="G511" s="48" t="str">
        <f t="shared" si="567"/>
        <v>Player 2</v>
      </c>
    </row>
    <row r="512">
      <c r="A512" s="213">
        <f t="shared" ref="A512:A515" si="569">A511</f>
        <v>15</v>
      </c>
      <c r="D512" s="47" t="s">
        <v>111</v>
      </c>
      <c r="E512" s="47" t="s">
        <v>80</v>
      </c>
      <c r="F512" s="48" t="str">
        <f t="shared" ref="F512:G512" si="568">F511</f>
        <v/>
      </c>
      <c r="G512" s="48" t="str">
        <f t="shared" si="568"/>
        <v>Player 2</v>
      </c>
    </row>
    <row r="513">
      <c r="A513" s="213">
        <f t="shared" si="569"/>
        <v>15</v>
      </c>
      <c r="D513" s="47" t="s">
        <v>112</v>
      </c>
      <c r="E513" s="216"/>
      <c r="F513" s="48" t="str">
        <f t="shared" ref="F513:G513" si="570">F512</f>
        <v/>
      </c>
      <c r="G513" s="48" t="str">
        <f t="shared" si="570"/>
        <v>Player 2</v>
      </c>
    </row>
    <row r="514">
      <c r="A514" s="213">
        <f t="shared" si="569"/>
        <v>15</v>
      </c>
      <c r="D514" s="47" t="s">
        <v>113</v>
      </c>
      <c r="E514" s="216"/>
      <c r="F514" s="48" t="str">
        <f t="shared" ref="F514:G514" si="571">F513</f>
        <v/>
      </c>
      <c r="G514" s="48" t="str">
        <f t="shared" si="571"/>
        <v>Player 2</v>
      </c>
    </row>
    <row r="515">
      <c r="A515" s="213">
        <f t="shared" si="569"/>
        <v>15</v>
      </c>
      <c r="D515" s="47" t="s">
        <v>114</v>
      </c>
      <c r="E515" s="216"/>
      <c r="F515" s="48" t="str">
        <f t="shared" ref="F515:G515" si="572">F514</f>
        <v/>
      </c>
      <c r="G515" s="48" t="str">
        <f t="shared" si="572"/>
        <v>Player 2</v>
      </c>
    </row>
    <row r="516">
      <c r="A516" s="213">
        <f>A514</f>
        <v>15</v>
      </c>
      <c r="B516" s="214"/>
      <c r="C516" s="215" t="s">
        <v>121</v>
      </c>
      <c r="D516" s="47" t="s">
        <v>110</v>
      </c>
      <c r="F516" s="48" t="str">
        <f t="shared" ref="F516:G516" si="573">B516</f>
        <v/>
      </c>
      <c r="G516" s="48" t="str">
        <f t="shared" si="573"/>
        <v>Player 3</v>
      </c>
    </row>
    <row r="517">
      <c r="A517" s="213">
        <f t="shared" ref="A517:A520" si="575">A516</f>
        <v>15</v>
      </c>
      <c r="D517" s="47" t="s">
        <v>111</v>
      </c>
      <c r="E517" s="47" t="s">
        <v>80</v>
      </c>
      <c r="F517" s="48" t="str">
        <f t="shared" ref="F517:G517" si="574">F516</f>
        <v/>
      </c>
      <c r="G517" s="48" t="str">
        <f t="shared" si="574"/>
        <v>Player 3</v>
      </c>
    </row>
    <row r="518">
      <c r="A518" s="213">
        <f t="shared" si="575"/>
        <v>15</v>
      </c>
      <c r="D518" s="47" t="s">
        <v>112</v>
      </c>
      <c r="E518" s="216"/>
      <c r="F518" s="48" t="str">
        <f t="shared" ref="F518:G518" si="576">F517</f>
        <v/>
      </c>
      <c r="G518" s="48" t="str">
        <f t="shared" si="576"/>
        <v>Player 3</v>
      </c>
    </row>
    <row r="519">
      <c r="A519" s="213">
        <f t="shared" si="575"/>
        <v>15</v>
      </c>
      <c r="D519" s="47" t="s">
        <v>113</v>
      </c>
      <c r="E519" s="216"/>
      <c r="F519" s="48" t="str">
        <f t="shared" ref="F519:G519" si="577">F518</f>
        <v/>
      </c>
      <c r="G519" s="48" t="str">
        <f t="shared" si="577"/>
        <v>Player 3</v>
      </c>
    </row>
    <row r="520">
      <c r="A520" s="213">
        <f t="shared" si="575"/>
        <v>15</v>
      </c>
      <c r="D520" s="47" t="s">
        <v>114</v>
      </c>
      <c r="E520" s="216"/>
      <c r="F520" s="48" t="str">
        <f t="shared" ref="F520:G520" si="578">F519</f>
        <v/>
      </c>
      <c r="G520" s="48" t="str">
        <f t="shared" si="578"/>
        <v>Player 3</v>
      </c>
    </row>
    <row r="521">
      <c r="A521" s="213">
        <f>A519</f>
        <v>15</v>
      </c>
      <c r="B521" s="214"/>
      <c r="C521" s="215" t="s">
        <v>127</v>
      </c>
      <c r="D521" s="47" t="s">
        <v>110</v>
      </c>
      <c r="F521" s="48" t="str">
        <f t="shared" ref="F521:G521" si="579">B521</f>
        <v/>
      </c>
      <c r="G521" s="48" t="str">
        <f t="shared" si="579"/>
        <v>Player 4</v>
      </c>
    </row>
    <row r="522">
      <c r="A522" s="213">
        <f t="shared" ref="A522:A525" si="581">A521</f>
        <v>15</v>
      </c>
      <c r="D522" s="47" t="s">
        <v>111</v>
      </c>
      <c r="E522" s="47" t="s">
        <v>80</v>
      </c>
      <c r="F522" s="48" t="str">
        <f t="shared" ref="F522:G522" si="580">F521</f>
        <v/>
      </c>
      <c r="G522" s="48" t="str">
        <f t="shared" si="580"/>
        <v>Player 4</v>
      </c>
    </row>
    <row r="523">
      <c r="A523" s="213">
        <f t="shared" si="581"/>
        <v>15</v>
      </c>
      <c r="D523" s="47" t="s">
        <v>112</v>
      </c>
      <c r="E523" s="216"/>
      <c r="F523" s="48" t="str">
        <f t="shared" ref="F523:G523" si="582">F522</f>
        <v/>
      </c>
      <c r="G523" s="48" t="str">
        <f t="shared" si="582"/>
        <v>Player 4</v>
      </c>
    </row>
    <row r="524">
      <c r="A524" s="213">
        <f t="shared" si="581"/>
        <v>15</v>
      </c>
      <c r="D524" s="47" t="s">
        <v>113</v>
      </c>
      <c r="E524" s="216"/>
      <c r="F524" s="48" t="str">
        <f t="shared" ref="F524:G524" si="583">F523</f>
        <v/>
      </c>
      <c r="G524" s="48" t="str">
        <f t="shared" si="583"/>
        <v>Player 4</v>
      </c>
    </row>
    <row r="525">
      <c r="A525" s="213">
        <f t="shared" si="581"/>
        <v>15</v>
      </c>
      <c r="D525" s="47" t="s">
        <v>114</v>
      </c>
      <c r="E525" s="216"/>
      <c r="F525" s="48" t="str">
        <f t="shared" ref="F525:G525" si="584">F524</f>
        <v/>
      </c>
      <c r="G525" s="48" t="str">
        <f t="shared" si="584"/>
        <v>Player 4</v>
      </c>
    </row>
    <row r="526">
      <c r="A526" s="213">
        <f>A524</f>
        <v>15</v>
      </c>
      <c r="B526" s="214"/>
      <c r="C526" s="215" t="s">
        <v>133</v>
      </c>
      <c r="D526" s="47" t="s">
        <v>110</v>
      </c>
      <c r="F526" s="48" t="str">
        <f t="shared" ref="F526:G526" si="585">B526</f>
        <v/>
      </c>
      <c r="G526" s="48" t="str">
        <f t="shared" si="585"/>
        <v>Player 5</v>
      </c>
    </row>
    <row r="527">
      <c r="A527" s="213">
        <f t="shared" ref="A527:A540" si="587">A526</f>
        <v>15</v>
      </c>
      <c r="D527" s="47" t="s">
        <v>111</v>
      </c>
      <c r="E527" s="47" t="s">
        <v>80</v>
      </c>
      <c r="F527" s="48" t="str">
        <f t="shared" ref="F527:G527" si="586">F526</f>
        <v/>
      </c>
      <c r="G527" s="48" t="str">
        <f t="shared" si="586"/>
        <v>Player 5</v>
      </c>
    </row>
    <row r="528">
      <c r="A528" s="213">
        <f t="shared" si="587"/>
        <v>15</v>
      </c>
      <c r="D528" s="47" t="s">
        <v>112</v>
      </c>
      <c r="E528" s="216"/>
      <c r="F528" s="48" t="str">
        <f t="shared" ref="F528:G528" si="588">F527</f>
        <v/>
      </c>
      <c r="G528" s="48" t="str">
        <f t="shared" si="588"/>
        <v>Player 5</v>
      </c>
    </row>
    <row r="529">
      <c r="A529" s="213">
        <f t="shared" si="587"/>
        <v>15</v>
      </c>
      <c r="D529" s="47" t="s">
        <v>113</v>
      </c>
      <c r="E529" s="216"/>
      <c r="F529" s="48" t="str">
        <f t="shared" ref="F529:G529" si="589">F528</f>
        <v/>
      </c>
      <c r="G529" s="48" t="str">
        <f t="shared" si="589"/>
        <v>Player 5</v>
      </c>
    </row>
    <row r="530">
      <c r="A530" s="213">
        <f t="shared" si="587"/>
        <v>15</v>
      </c>
      <c r="D530" s="47" t="s">
        <v>114</v>
      </c>
      <c r="E530" s="216"/>
      <c r="F530" s="48" t="str">
        <f t="shared" ref="F530:G530" si="590">F529</f>
        <v/>
      </c>
      <c r="G530" s="48" t="str">
        <f t="shared" si="590"/>
        <v>Player 5</v>
      </c>
    </row>
    <row r="531">
      <c r="A531" s="213">
        <f t="shared" si="587"/>
        <v>15</v>
      </c>
      <c r="B531" s="214"/>
      <c r="C531" s="215" t="s">
        <v>139</v>
      </c>
      <c r="D531" s="47" t="s">
        <v>110</v>
      </c>
      <c r="E531" s="216"/>
      <c r="F531" s="48" t="str">
        <f t="shared" ref="F531:G531" si="591">B531</f>
        <v/>
      </c>
      <c r="G531" s="48" t="str">
        <f t="shared" si="591"/>
        <v>Player 6 (Substitute)</v>
      </c>
    </row>
    <row r="532">
      <c r="A532" s="213">
        <f t="shared" si="587"/>
        <v>15</v>
      </c>
      <c r="D532" s="47" t="s">
        <v>111</v>
      </c>
      <c r="E532" s="47" t="s">
        <v>80</v>
      </c>
      <c r="F532" s="48" t="str">
        <f t="shared" ref="F532:G532" si="592">F531</f>
        <v/>
      </c>
      <c r="G532" s="48" t="str">
        <f t="shared" si="592"/>
        <v>Player 6 (Substitute)</v>
      </c>
    </row>
    <row r="533">
      <c r="A533" s="213">
        <f t="shared" si="587"/>
        <v>15</v>
      </c>
      <c r="D533" s="47" t="s">
        <v>112</v>
      </c>
      <c r="E533" s="216"/>
      <c r="F533" s="48" t="str">
        <f t="shared" ref="F533:G533" si="593">F532</f>
        <v/>
      </c>
      <c r="G533" s="48" t="str">
        <f t="shared" si="593"/>
        <v>Player 6 (Substitute)</v>
      </c>
    </row>
    <row r="534">
      <c r="A534" s="213">
        <f t="shared" si="587"/>
        <v>15</v>
      </c>
      <c r="D534" s="47" t="s">
        <v>113</v>
      </c>
      <c r="E534" s="216"/>
      <c r="F534" s="48" t="str">
        <f t="shared" ref="F534:G534" si="594">F533</f>
        <v/>
      </c>
      <c r="G534" s="48" t="str">
        <f t="shared" si="594"/>
        <v>Player 6 (Substitute)</v>
      </c>
    </row>
    <row r="535">
      <c r="A535" s="213">
        <f t="shared" si="587"/>
        <v>15</v>
      </c>
      <c r="D535" s="47" t="s">
        <v>114</v>
      </c>
      <c r="E535" s="216"/>
      <c r="F535" s="48" t="str">
        <f t="shared" ref="F535:G535" si="595">F534</f>
        <v/>
      </c>
      <c r="G535" s="48" t="str">
        <f t="shared" si="595"/>
        <v>Player 6 (Substitute)</v>
      </c>
    </row>
    <row r="536">
      <c r="A536" s="213">
        <f t="shared" si="587"/>
        <v>15</v>
      </c>
      <c r="B536" s="214"/>
      <c r="C536" s="215" t="s">
        <v>145</v>
      </c>
      <c r="D536" s="47" t="s">
        <v>110</v>
      </c>
      <c r="F536" s="48" t="str">
        <f t="shared" ref="F536:G536" si="596">B536</f>
        <v/>
      </c>
      <c r="G536" s="48" t="str">
        <f t="shared" si="596"/>
        <v>Coach</v>
      </c>
    </row>
    <row r="537">
      <c r="A537" s="213">
        <f t="shared" si="587"/>
        <v>15</v>
      </c>
      <c r="D537" s="47" t="s">
        <v>111</v>
      </c>
      <c r="E537" s="47" t="s">
        <v>80</v>
      </c>
      <c r="F537" s="48" t="str">
        <f t="shared" ref="F537:G537" si="597">F536</f>
        <v/>
      </c>
      <c r="G537" s="48" t="str">
        <f t="shared" si="597"/>
        <v>Coach</v>
      </c>
    </row>
    <row r="538">
      <c r="A538" s="213">
        <f t="shared" si="587"/>
        <v>15</v>
      </c>
      <c r="D538" s="47" t="s">
        <v>112</v>
      </c>
      <c r="E538" s="216"/>
      <c r="F538" s="48" t="str">
        <f t="shared" ref="F538:G538" si="598">F537</f>
        <v/>
      </c>
      <c r="G538" s="48" t="str">
        <f t="shared" si="598"/>
        <v>Coach</v>
      </c>
    </row>
    <row r="539">
      <c r="A539" s="213">
        <f t="shared" si="587"/>
        <v>15</v>
      </c>
      <c r="D539" s="47" t="s">
        <v>113</v>
      </c>
      <c r="E539" s="218"/>
      <c r="F539" s="48" t="str">
        <f t="shared" ref="F539:G539" si="599">F538</f>
        <v/>
      </c>
      <c r="G539" s="48" t="str">
        <f t="shared" si="599"/>
        <v>Coach</v>
      </c>
    </row>
    <row r="540">
      <c r="A540" s="213">
        <f t="shared" si="587"/>
        <v>15</v>
      </c>
      <c r="D540" s="47" t="s">
        <v>114</v>
      </c>
      <c r="E540" s="218"/>
      <c r="F540" s="48" t="str">
        <f t="shared" ref="F540:G540" si="600">F539</f>
        <v/>
      </c>
      <c r="G540" s="48" t="str">
        <f t="shared" si="600"/>
        <v>Coach</v>
      </c>
    </row>
    <row r="541">
      <c r="A541" s="212">
        <f>A505+1</f>
        <v>16</v>
      </c>
      <c r="B541" s="212" t="str">
        <f t="array" ref="B541">xlookup(A541,'Team Entry'!$C:$C,'Team Entry'!$A:$A,"")</f>
        <v>Team 4 (Group 1)</v>
      </c>
    </row>
    <row r="542">
      <c r="A542" s="213">
        <f t="shared" ref="A542:A546" si="602">A541</f>
        <v>16</v>
      </c>
      <c r="B542" s="214"/>
      <c r="C542" s="215" t="s">
        <v>109</v>
      </c>
      <c r="D542" s="47" t="s">
        <v>110</v>
      </c>
      <c r="F542" s="48" t="str">
        <f t="shared" ref="F542:G542" si="601">B542</f>
        <v/>
      </c>
      <c r="G542" s="48" t="str">
        <f t="shared" si="601"/>
        <v>Player 1</v>
      </c>
    </row>
    <row r="543">
      <c r="A543" s="213">
        <f t="shared" si="602"/>
        <v>16</v>
      </c>
      <c r="D543" s="47" t="s">
        <v>111</v>
      </c>
      <c r="E543" s="47" t="s">
        <v>80</v>
      </c>
      <c r="F543" s="48" t="str">
        <f t="shared" ref="F543:G543" si="603">F542</f>
        <v/>
      </c>
      <c r="G543" s="48" t="str">
        <f t="shared" si="603"/>
        <v>Player 1</v>
      </c>
    </row>
    <row r="544">
      <c r="A544" s="213">
        <f t="shared" si="602"/>
        <v>16</v>
      </c>
      <c r="D544" s="47" t="s">
        <v>112</v>
      </c>
      <c r="E544" s="216"/>
      <c r="F544" s="48" t="str">
        <f t="shared" ref="F544:G544" si="604">F543</f>
        <v/>
      </c>
      <c r="G544" s="48" t="str">
        <f t="shared" si="604"/>
        <v>Player 1</v>
      </c>
    </row>
    <row r="545">
      <c r="A545" s="213">
        <f t="shared" si="602"/>
        <v>16</v>
      </c>
      <c r="D545" s="47" t="s">
        <v>113</v>
      </c>
      <c r="E545" s="216"/>
      <c r="F545" s="48" t="str">
        <f t="shared" ref="F545:G545" si="605">F544</f>
        <v/>
      </c>
      <c r="G545" s="48" t="str">
        <f t="shared" si="605"/>
        <v>Player 1</v>
      </c>
    </row>
    <row r="546">
      <c r="A546" s="213">
        <f t="shared" si="602"/>
        <v>16</v>
      </c>
      <c r="D546" s="47" t="s">
        <v>114</v>
      </c>
      <c r="E546" s="216"/>
      <c r="F546" s="48" t="str">
        <f t="shared" ref="F546:G546" si="606">F545</f>
        <v/>
      </c>
      <c r="G546" s="48" t="str">
        <f t="shared" si="606"/>
        <v>Player 1</v>
      </c>
    </row>
    <row r="547">
      <c r="A547" s="213">
        <f>A545</f>
        <v>16</v>
      </c>
      <c r="B547" s="214"/>
      <c r="C547" s="215" t="s">
        <v>115</v>
      </c>
      <c r="D547" s="47" t="s">
        <v>110</v>
      </c>
      <c r="F547" s="48" t="str">
        <f t="shared" ref="F547:G547" si="607">B547</f>
        <v/>
      </c>
      <c r="G547" s="48" t="str">
        <f t="shared" si="607"/>
        <v>Player 2</v>
      </c>
    </row>
    <row r="548">
      <c r="A548" s="213">
        <f t="shared" ref="A548:A551" si="609">A547</f>
        <v>16</v>
      </c>
      <c r="D548" s="47" t="s">
        <v>111</v>
      </c>
      <c r="E548" s="47" t="s">
        <v>80</v>
      </c>
      <c r="F548" s="48" t="str">
        <f t="shared" ref="F548:G548" si="608">F547</f>
        <v/>
      </c>
      <c r="G548" s="48" t="str">
        <f t="shared" si="608"/>
        <v>Player 2</v>
      </c>
    </row>
    <row r="549">
      <c r="A549" s="213">
        <f t="shared" si="609"/>
        <v>16</v>
      </c>
      <c r="D549" s="47" t="s">
        <v>112</v>
      </c>
      <c r="E549" s="216"/>
      <c r="F549" s="48" t="str">
        <f t="shared" ref="F549:G549" si="610">F548</f>
        <v/>
      </c>
      <c r="G549" s="48" t="str">
        <f t="shared" si="610"/>
        <v>Player 2</v>
      </c>
    </row>
    <row r="550">
      <c r="A550" s="213">
        <f t="shared" si="609"/>
        <v>16</v>
      </c>
      <c r="D550" s="47" t="s">
        <v>113</v>
      </c>
      <c r="E550" s="216"/>
      <c r="F550" s="48" t="str">
        <f t="shared" ref="F550:G550" si="611">F549</f>
        <v/>
      </c>
      <c r="G550" s="48" t="str">
        <f t="shared" si="611"/>
        <v>Player 2</v>
      </c>
    </row>
    <row r="551">
      <c r="A551" s="213">
        <f t="shared" si="609"/>
        <v>16</v>
      </c>
      <c r="D551" s="47" t="s">
        <v>114</v>
      </c>
      <c r="E551" s="216"/>
      <c r="F551" s="48" t="str">
        <f t="shared" ref="F551:G551" si="612">F550</f>
        <v/>
      </c>
      <c r="G551" s="48" t="str">
        <f t="shared" si="612"/>
        <v>Player 2</v>
      </c>
    </row>
    <row r="552">
      <c r="A552" s="213">
        <f>A550</f>
        <v>16</v>
      </c>
      <c r="B552" s="214"/>
      <c r="C552" s="215" t="s">
        <v>121</v>
      </c>
      <c r="D552" s="47" t="s">
        <v>110</v>
      </c>
      <c r="F552" s="48" t="str">
        <f t="shared" ref="F552:G552" si="613">B552</f>
        <v/>
      </c>
      <c r="G552" s="48" t="str">
        <f t="shared" si="613"/>
        <v>Player 3</v>
      </c>
    </row>
    <row r="553">
      <c r="A553" s="213">
        <f t="shared" ref="A553:A556" si="615">A552</f>
        <v>16</v>
      </c>
      <c r="D553" s="47" t="s">
        <v>111</v>
      </c>
      <c r="E553" s="47" t="s">
        <v>80</v>
      </c>
      <c r="F553" s="48" t="str">
        <f t="shared" ref="F553:G553" si="614">F552</f>
        <v/>
      </c>
      <c r="G553" s="48" t="str">
        <f t="shared" si="614"/>
        <v>Player 3</v>
      </c>
    </row>
    <row r="554">
      <c r="A554" s="213">
        <f t="shared" si="615"/>
        <v>16</v>
      </c>
      <c r="D554" s="47" t="s">
        <v>112</v>
      </c>
      <c r="E554" s="216"/>
      <c r="F554" s="48" t="str">
        <f t="shared" ref="F554:G554" si="616">F553</f>
        <v/>
      </c>
      <c r="G554" s="48" t="str">
        <f t="shared" si="616"/>
        <v>Player 3</v>
      </c>
    </row>
    <row r="555">
      <c r="A555" s="213">
        <f t="shared" si="615"/>
        <v>16</v>
      </c>
      <c r="D555" s="47" t="s">
        <v>113</v>
      </c>
      <c r="E555" s="216"/>
      <c r="F555" s="48" t="str">
        <f t="shared" ref="F555:G555" si="617">F554</f>
        <v/>
      </c>
      <c r="G555" s="48" t="str">
        <f t="shared" si="617"/>
        <v>Player 3</v>
      </c>
    </row>
    <row r="556">
      <c r="A556" s="213">
        <f t="shared" si="615"/>
        <v>16</v>
      </c>
      <c r="D556" s="47" t="s">
        <v>114</v>
      </c>
      <c r="E556" s="216"/>
      <c r="F556" s="48" t="str">
        <f t="shared" ref="F556:G556" si="618">F555</f>
        <v/>
      </c>
      <c r="G556" s="48" t="str">
        <f t="shared" si="618"/>
        <v>Player 3</v>
      </c>
    </row>
    <row r="557">
      <c r="A557" s="213">
        <f>A555</f>
        <v>16</v>
      </c>
      <c r="B557" s="214"/>
      <c r="C557" s="215" t="s">
        <v>127</v>
      </c>
      <c r="D557" s="47" t="s">
        <v>110</v>
      </c>
      <c r="F557" s="48" t="str">
        <f t="shared" ref="F557:G557" si="619">B557</f>
        <v/>
      </c>
      <c r="G557" s="48" t="str">
        <f t="shared" si="619"/>
        <v>Player 4</v>
      </c>
    </row>
    <row r="558">
      <c r="A558" s="213">
        <f t="shared" ref="A558:A561" si="621">A557</f>
        <v>16</v>
      </c>
      <c r="D558" s="47" t="s">
        <v>111</v>
      </c>
      <c r="E558" s="47" t="s">
        <v>80</v>
      </c>
      <c r="F558" s="48" t="str">
        <f t="shared" ref="F558:G558" si="620">F557</f>
        <v/>
      </c>
      <c r="G558" s="48" t="str">
        <f t="shared" si="620"/>
        <v>Player 4</v>
      </c>
    </row>
    <row r="559">
      <c r="A559" s="213">
        <f t="shared" si="621"/>
        <v>16</v>
      </c>
      <c r="D559" s="47" t="s">
        <v>112</v>
      </c>
      <c r="E559" s="216"/>
      <c r="F559" s="48" t="str">
        <f t="shared" ref="F559:G559" si="622">F558</f>
        <v/>
      </c>
      <c r="G559" s="48" t="str">
        <f t="shared" si="622"/>
        <v>Player 4</v>
      </c>
    </row>
    <row r="560">
      <c r="A560" s="213">
        <f t="shared" si="621"/>
        <v>16</v>
      </c>
      <c r="D560" s="47" t="s">
        <v>113</v>
      </c>
      <c r="E560" s="216"/>
      <c r="F560" s="48" t="str">
        <f t="shared" ref="F560:G560" si="623">F559</f>
        <v/>
      </c>
      <c r="G560" s="48" t="str">
        <f t="shared" si="623"/>
        <v>Player 4</v>
      </c>
    </row>
    <row r="561">
      <c r="A561" s="213">
        <f t="shared" si="621"/>
        <v>16</v>
      </c>
      <c r="D561" s="47" t="s">
        <v>114</v>
      </c>
      <c r="E561" s="216"/>
      <c r="F561" s="48" t="str">
        <f t="shared" ref="F561:G561" si="624">F560</f>
        <v/>
      </c>
      <c r="G561" s="48" t="str">
        <f t="shared" si="624"/>
        <v>Player 4</v>
      </c>
    </row>
    <row r="562">
      <c r="A562" s="213">
        <f>A560</f>
        <v>16</v>
      </c>
      <c r="B562" s="214"/>
      <c r="C562" s="215" t="s">
        <v>133</v>
      </c>
      <c r="D562" s="47" t="s">
        <v>110</v>
      </c>
      <c r="F562" s="48" t="str">
        <f t="shared" ref="F562:G562" si="625">B562</f>
        <v/>
      </c>
      <c r="G562" s="48" t="str">
        <f t="shared" si="625"/>
        <v>Player 5</v>
      </c>
    </row>
    <row r="563">
      <c r="A563" s="213">
        <f t="shared" ref="A563:A576" si="627">A562</f>
        <v>16</v>
      </c>
      <c r="D563" s="47" t="s">
        <v>111</v>
      </c>
      <c r="E563" s="47" t="s">
        <v>80</v>
      </c>
      <c r="F563" s="48" t="str">
        <f t="shared" ref="F563:G563" si="626">F562</f>
        <v/>
      </c>
      <c r="G563" s="48" t="str">
        <f t="shared" si="626"/>
        <v>Player 5</v>
      </c>
    </row>
    <row r="564">
      <c r="A564" s="213">
        <f t="shared" si="627"/>
        <v>16</v>
      </c>
      <c r="D564" s="47" t="s">
        <v>112</v>
      </c>
      <c r="E564" s="216"/>
      <c r="F564" s="48" t="str">
        <f t="shared" ref="F564:G564" si="628">F563</f>
        <v/>
      </c>
      <c r="G564" s="48" t="str">
        <f t="shared" si="628"/>
        <v>Player 5</v>
      </c>
    </row>
    <row r="565">
      <c r="A565" s="213">
        <f t="shared" si="627"/>
        <v>16</v>
      </c>
      <c r="D565" s="47" t="s">
        <v>113</v>
      </c>
      <c r="E565" s="216"/>
      <c r="F565" s="48" t="str">
        <f t="shared" ref="F565:G565" si="629">F564</f>
        <v/>
      </c>
      <c r="G565" s="48" t="str">
        <f t="shared" si="629"/>
        <v>Player 5</v>
      </c>
    </row>
    <row r="566">
      <c r="A566" s="213">
        <f t="shared" si="627"/>
        <v>16</v>
      </c>
      <c r="D566" s="47" t="s">
        <v>114</v>
      </c>
      <c r="E566" s="216"/>
      <c r="F566" s="48" t="str">
        <f t="shared" ref="F566:G566" si="630">F565</f>
        <v/>
      </c>
      <c r="G566" s="48" t="str">
        <f t="shared" si="630"/>
        <v>Player 5</v>
      </c>
    </row>
    <row r="567">
      <c r="A567" s="213">
        <f t="shared" si="627"/>
        <v>16</v>
      </c>
      <c r="B567" s="214"/>
      <c r="C567" s="215" t="s">
        <v>139</v>
      </c>
      <c r="D567" s="47" t="s">
        <v>110</v>
      </c>
      <c r="E567" s="216"/>
      <c r="F567" s="48" t="str">
        <f t="shared" ref="F567:G567" si="631">B567</f>
        <v/>
      </c>
      <c r="G567" s="48" t="str">
        <f t="shared" si="631"/>
        <v>Player 6 (Substitute)</v>
      </c>
    </row>
    <row r="568">
      <c r="A568" s="213">
        <f t="shared" si="627"/>
        <v>16</v>
      </c>
      <c r="D568" s="47" t="s">
        <v>111</v>
      </c>
      <c r="E568" s="47" t="s">
        <v>80</v>
      </c>
      <c r="F568" s="48" t="str">
        <f t="shared" ref="F568:G568" si="632">F567</f>
        <v/>
      </c>
      <c r="G568" s="48" t="str">
        <f t="shared" si="632"/>
        <v>Player 6 (Substitute)</v>
      </c>
    </row>
    <row r="569">
      <c r="A569" s="213">
        <f t="shared" si="627"/>
        <v>16</v>
      </c>
      <c r="D569" s="47" t="s">
        <v>112</v>
      </c>
      <c r="E569" s="216"/>
      <c r="F569" s="48" t="str">
        <f t="shared" ref="F569:G569" si="633">F568</f>
        <v/>
      </c>
      <c r="G569" s="48" t="str">
        <f t="shared" si="633"/>
        <v>Player 6 (Substitute)</v>
      </c>
    </row>
    <row r="570">
      <c r="A570" s="213">
        <f t="shared" si="627"/>
        <v>16</v>
      </c>
      <c r="D570" s="47" t="s">
        <v>113</v>
      </c>
      <c r="E570" s="216"/>
      <c r="F570" s="48" t="str">
        <f t="shared" ref="F570:G570" si="634">F569</f>
        <v/>
      </c>
      <c r="G570" s="48" t="str">
        <f t="shared" si="634"/>
        <v>Player 6 (Substitute)</v>
      </c>
    </row>
    <row r="571">
      <c r="A571" s="213">
        <f t="shared" si="627"/>
        <v>16</v>
      </c>
      <c r="D571" s="47" t="s">
        <v>114</v>
      </c>
      <c r="E571" s="216"/>
      <c r="F571" s="48" t="str">
        <f t="shared" ref="F571:G571" si="635">F570</f>
        <v/>
      </c>
      <c r="G571" s="48" t="str">
        <f t="shared" si="635"/>
        <v>Player 6 (Substitute)</v>
      </c>
    </row>
    <row r="572">
      <c r="A572" s="213">
        <f t="shared" si="627"/>
        <v>16</v>
      </c>
      <c r="B572" s="214"/>
      <c r="C572" s="215" t="s">
        <v>145</v>
      </c>
      <c r="D572" s="47" t="s">
        <v>110</v>
      </c>
      <c r="F572" s="48" t="str">
        <f t="shared" ref="F572:G572" si="636">B572</f>
        <v/>
      </c>
      <c r="G572" s="48" t="str">
        <f t="shared" si="636"/>
        <v>Coach</v>
      </c>
    </row>
    <row r="573">
      <c r="A573" s="213">
        <f t="shared" si="627"/>
        <v>16</v>
      </c>
      <c r="D573" s="47" t="s">
        <v>111</v>
      </c>
      <c r="E573" s="47" t="s">
        <v>80</v>
      </c>
      <c r="F573" s="48" t="str">
        <f t="shared" ref="F573:G573" si="637">F572</f>
        <v/>
      </c>
      <c r="G573" s="48" t="str">
        <f t="shared" si="637"/>
        <v>Coach</v>
      </c>
    </row>
    <row r="574">
      <c r="A574" s="213">
        <f t="shared" si="627"/>
        <v>16</v>
      </c>
      <c r="D574" s="47" t="s">
        <v>112</v>
      </c>
      <c r="E574" s="216"/>
      <c r="F574" s="48" t="str">
        <f t="shared" ref="F574:G574" si="638">F573</f>
        <v/>
      </c>
      <c r="G574" s="48" t="str">
        <f t="shared" si="638"/>
        <v>Coach</v>
      </c>
    </row>
    <row r="575">
      <c r="A575" s="213">
        <f t="shared" si="627"/>
        <v>16</v>
      </c>
      <c r="D575" s="47" t="s">
        <v>113</v>
      </c>
      <c r="E575" s="218"/>
      <c r="F575" s="48" t="str">
        <f t="shared" ref="F575:G575" si="639">F574</f>
        <v/>
      </c>
      <c r="G575" s="48" t="str">
        <f t="shared" si="639"/>
        <v>Coach</v>
      </c>
    </row>
    <row r="576">
      <c r="A576" s="213">
        <f t="shared" si="627"/>
        <v>16</v>
      </c>
      <c r="D576" s="47" t="s">
        <v>114</v>
      </c>
      <c r="E576" s="218"/>
      <c r="F576" s="48" t="str">
        <f t="shared" ref="F576:G576" si="640">F575</f>
        <v/>
      </c>
      <c r="G576" s="48" t="str">
        <f t="shared" si="640"/>
        <v>Coach</v>
      </c>
    </row>
    <row r="577">
      <c r="A577" s="212">
        <f>A541+1</f>
        <v>17</v>
      </c>
      <c r="B577" s="212" t="str">
        <f t="array" ref="B577">xlookup(A577,'Team Entry'!$C:$C,'Team Entry'!$A:$A,"")</f>
        <v>Team 5 (Group 1)</v>
      </c>
    </row>
    <row r="578">
      <c r="A578" s="213">
        <f t="shared" ref="A578:A582" si="642">A577</f>
        <v>17</v>
      </c>
      <c r="B578" s="214"/>
      <c r="C578" s="215" t="s">
        <v>109</v>
      </c>
      <c r="D578" s="47" t="s">
        <v>110</v>
      </c>
      <c r="F578" s="48" t="str">
        <f t="shared" ref="F578:G578" si="641">B578</f>
        <v/>
      </c>
      <c r="G578" s="48" t="str">
        <f t="shared" si="641"/>
        <v>Player 1</v>
      </c>
    </row>
    <row r="579">
      <c r="A579" s="213">
        <f t="shared" si="642"/>
        <v>17</v>
      </c>
      <c r="D579" s="47" t="s">
        <v>111</v>
      </c>
      <c r="E579" s="47" t="s">
        <v>80</v>
      </c>
      <c r="F579" s="48" t="str">
        <f t="shared" ref="F579:G579" si="643">F578</f>
        <v/>
      </c>
      <c r="G579" s="48" t="str">
        <f t="shared" si="643"/>
        <v>Player 1</v>
      </c>
    </row>
    <row r="580">
      <c r="A580" s="213">
        <f t="shared" si="642"/>
        <v>17</v>
      </c>
      <c r="D580" s="47" t="s">
        <v>112</v>
      </c>
      <c r="E580" s="216"/>
      <c r="F580" s="48" t="str">
        <f t="shared" ref="F580:G580" si="644">F579</f>
        <v/>
      </c>
      <c r="G580" s="48" t="str">
        <f t="shared" si="644"/>
        <v>Player 1</v>
      </c>
    </row>
    <row r="581">
      <c r="A581" s="213">
        <f t="shared" si="642"/>
        <v>17</v>
      </c>
      <c r="D581" s="47" t="s">
        <v>113</v>
      </c>
      <c r="E581" s="216"/>
      <c r="F581" s="48" t="str">
        <f t="shared" ref="F581:G581" si="645">F580</f>
        <v/>
      </c>
      <c r="G581" s="48" t="str">
        <f t="shared" si="645"/>
        <v>Player 1</v>
      </c>
    </row>
    <row r="582">
      <c r="A582" s="213">
        <f t="shared" si="642"/>
        <v>17</v>
      </c>
      <c r="D582" s="47" t="s">
        <v>114</v>
      </c>
      <c r="E582" s="216"/>
      <c r="F582" s="48" t="str">
        <f t="shared" ref="F582:G582" si="646">F581</f>
        <v/>
      </c>
      <c r="G582" s="48" t="str">
        <f t="shared" si="646"/>
        <v>Player 1</v>
      </c>
    </row>
    <row r="583">
      <c r="A583" s="213">
        <f>A581</f>
        <v>17</v>
      </c>
      <c r="B583" s="214"/>
      <c r="C583" s="215" t="s">
        <v>115</v>
      </c>
      <c r="D583" s="47" t="s">
        <v>110</v>
      </c>
      <c r="F583" s="48" t="str">
        <f t="shared" ref="F583:G583" si="647">B583</f>
        <v/>
      </c>
      <c r="G583" s="48" t="str">
        <f t="shared" si="647"/>
        <v>Player 2</v>
      </c>
    </row>
    <row r="584">
      <c r="A584" s="213">
        <f t="shared" ref="A584:A587" si="649">A583</f>
        <v>17</v>
      </c>
      <c r="D584" s="47" t="s">
        <v>111</v>
      </c>
      <c r="E584" s="47" t="s">
        <v>80</v>
      </c>
      <c r="F584" s="48" t="str">
        <f t="shared" ref="F584:G584" si="648">F583</f>
        <v/>
      </c>
      <c r="G584" s="48" t="str">
        <f t="shared" si="648"/>
        <v>Player 2</v>
      </c>
    </row>
    <row r="585">
      <c r="A585" s="213">
        <f t="shared" si="649"/>
        <v>17</v>
      </c>
      <c r="D585" s="47" t="s">
        <v>112</v>
      </c>
      <c r="E585" s="216"/>
      <c r="F585" s="48" t="str">
        <f t="shared" ref="F585:G585" si="650">F584</f>
        <v/>
      </c>
      <c r="G585" s="48" t="str">
        <f t="shared" si="650"/>
        <v>Player 2</v>
      </c>
    </row>
    <row r="586">
      <c r="A586" s="213">
        <f t="shared" si="649"/>
        <v>17</v>
      </c>
      <c r="D586" s="47" t="s">
        <v>113</v>
      </c>
      <c r="E586" s="216"/>
      <c r="F586" s="48" t="str">
        <f t="shared" ref="F586:G586" si="651">F585</f>
        <v/>
      </c>
      <c r="G586" s="48" t="str">
        <f t="shared" si="651"/>
        <v>Player 2</v>
      </c>
    </row>
    <row r="587">
      <c r="A587" s="213">
        <f t="shared" si="649"/>
        <v>17</v>
      </c>
      <c r="D587" s="47" t="s">
        <v>114</v>
      </c>
      <c r="E587" s="216"/>
      <c r="F587" s="48" t="str">
        <f t="shared" ref="F587:G587" si="652">F586</f>
        <v/>
      </c>
      <c r="G587" s="48" t="str">
        <f t="shared" si="652"/>
        <v>Player 2</v>
      </c>
    </row>
    <row r="588">
      <c r="A588" s="213">
        <f>A586</f>
        <v>17</v>
      </c>
      <c r="B588" s="214"/>
      <c r="C588" s="215" t="s">
        <v>121</v>
      </c>
      <c r="D588" s="47" t="s">
        <v>110</v>
      </c>
      <c r="F588" s="48" t="str">
        <f t="shared" ref="F588:G588" si="653">B588</f>
        <v/>
      </c>
      <c r="G588" s="48" t="str">
        <f t="shared" si="653"/>
        <v>Player 3</v>
      </c>
    </row>
    <row r="589">
      <c r="A589" s="213">
        <f t="shared" ref="A589:A592" si="655">A588</f>
        <v>17</v>
      </c>
      <c r="D589" s="47" t="s">
        <v>111</v>
      </c>
      <c r="E589" s="47" t="s">
        <v>80</v>
      </c>
      <c r="F589" s="48" t="str">
        <f t="shared" ref="F589:G589" si="654">F588</f>
        <v/>
      </c>
      <c r="G589" s="48" t="str">
        <f t="shared" si="654"/>
        <v>Player 3</v>
      </c>
    </row>
    <row r="590">
      <c r="A590" s="213">
        <f t="shared" si="655"/>
        <v>17</v>
      </c>
      <c r="D590" s="47" t="s">
        <v>112</v>
      </c>
      <c r="E590" s="216"/>
      <c r="F590" s="48" t="str">
        <f t="shared" ref="F590:G590" si="656">F589</f>
        <v/>
      </c>
      <c r="G590" s="48" t="str">
        <f t="shared" si="656"/>
        <v>Player 3</v>
      </c>
    </row>
    <row r="591">
      <c r="A591" s="213">
        <f t="shared" si="655"/>
        <v>17</v>
      </c>
      <c r="D591" s="47" t="s">
        <v>113</v>
      </c>
      <c r="E591" s="216"/>
      <c r="F591" s="48" t="str">
        <f t="shared" ref="F591:G591" si="657">F590</f>
        <v/>
      </c>
      <c r="G591" s="48" t="str">
        <f t="shared" si="657"/>
        <v>Player 3</v>
      </c>
    </row>
    <row r="592">
      <c r="A592" s="213">
        <f t="shared" si="655"/>
        <v>17</v>
      </c>
      <c r="D592" s="47" t="s">
        <v>114</v>
      </c>
      <c r="E592" s="216"/>
      <c r="F592" s="48" t="str">
        <f t="shared" ref="F592:G592" si="658">F591</f>
        <v/>
      </c>
      <c r="G592" s="48" t="str">
        <f t="shared" si="658"/>
        <v>Player 3</v>
      </c>
    </row>
    <row r="593">
      <c r="A593" s="213">
        <f>A591</f>
        <v>17</v>
      </c>
      <c r="B593" s="214"/>
      <c r="C593" s="215" t="s">
        <v>127</v>
      </c>
      <c r="D593" s="47" t="s">
        <v>110</v>
      </c>
      <c r="F593" s="48" t="str">
        <f t="shared" ref="F593:G593" si="659">B593</f>
        <v/>
      </c>
      <c r="G593" s="48" t="str">
        <f t="shared" si="659"/>
        <v>Player 4</v>
      </c>
    </row>
    <row r="594">
      <c r="A594" s="213">
        <f t="shared" ref="A594:A597" si="661">A593</f>
        <v>17</v>
      </c>
      <c r="D594" s="47" t="s">
        <v>111</v>
      </c>
      <c r="E594" s="47" t="s">
        <v>80</v>
      </c>
      <c r="F594" s="48" t="str">
        <f t="shared" ref="F594:G594" si="660">F593</f>
        <v/>
      </c>
      <c r="G594" s="48" t="str">
        <f t="shared" si="660"/>
        <v>Player 4</v>
      </c>
    </row>
    <row r="595">
      <c r="A595" s="213">
        <f t="shared" si="661"/>
        <v>17</v>
      </c>
      <c r="D595" s="47" t="s">
        <v>112</v>
      </c>
      <c r="E595" s="216"/>
      <c r="F595" s="48" t="str">
        <f t="shared" ref="F595:G595" si="662">F594</f>
        <v/>
      </c>
      <c r="G595" s="48" t="str">
        <f t="shared" si="662"/>
        <v>Player 4</v>
      </c>
    </row>
    <row r="596">
      <c r="A596" s="213">
        <f t="shared" si="661"/>
        <v>17</v>
      </c>
      <c r="D596" s="47" t="s">
        <v>113</v>
      </c>
      <c r="E596" s="216"/>
      <c r="F596" s="48" t="str">
        <f t="shared" ref="F596:G596" si="663">F595</f>
        <v/>
      </c>
      <c r="G596" s="48" t="str">
        <f t="shared" si="663"/>
        <v>Player 4</v>
      </c>
    </row>
    <row r="597">
      <c r="A597" s="213">
        <f t="shared" si="661"/>
        <v>17</v>
      </c>
      <c r="D597" s="47" t="s">
        <v>114</v>
      </c>
      <c r="E597" s="216"/>
      <c r="F597" s="48" t="str">
        <f t="shared" ref="F597:G597" si="664">F596</f>
        <v/>
      </c>
      <c r="G597" s="48" t="str">
        <f t="shared" si="664"/>
        <v>Player 4</v>
      </c>
    </row>
    <row r="598">
      <c r="A598" s="213">
        <f>A596</f>
        <v>17</v>
      </c>
      <c r="B598" s="214"/>
      <c r="C598" s="215" t="s">
        <v>133</v>
      </c>
      <c r="D598" s="47" t="s">
        <v>110</v>
      </c>
      <c r="F598" s="48" t="str">
        <f t="shared" ref="F598:G598" si="665">B598</f>
        <v/>
      </c>
      <c r="G598" s="48" t="str">
        <f t="shared" si="665"/>
        <v>Player 5</v>
      </c>
    </row>
    <row r="599">
      <c r="A599" s="213">
        <f t="shared" ref="A599:A612" si="667">A598</f>
        <v>17</v>
      </c>
      <c r="D599" s="47" t="s">
        <v>111</v>
      </c>
      <c r="E599" s="47" t="s">
        <v>80</v>
      </c>
      <c r="F599" s="48" t="str">
        <f t="shared" ref="F599:G599" si="666">F598</f>
        <v/>
      </c>
      <c r="G599" s="48" t="str">
        <f t="shared" si="666"/>
        <v>Player 5</v>
      </c>
    </row>
    <row r="600">
      <c r="A600" s="213">
        <f t="shared" si="667"/>
        <v>17</v>
      </c>
      <c r="D600" s="47" t="s">
        <v>112</v>
      </c>
      <c r="E600" s="216"/>
      <c r="F600" s="48" t="str">
        <f t="shared" ref="F600:G600" si="668">F599</f>
        <v/>
      </c>
      <c r="G600" s="48" t="str">
        <f t="shared" si="668"/>
        <v>Player 5</v>
      </c>
    </row>
    <row r="601">
      <c r="A601" s="213">
        <f t="shared" si="667"/>
        <v>17</v>
      </c>
      <c r="D601" s="47" t="s">
        <v>113</v>
      </c>
      <c r="E601" s="216"/>
      <c r="F601" s="48" t="str">
        <f t="shared" ref="F601:G601" si="669">F600</f>
        <v/>
      </c>
      <c r="G601" s="48" t="str">
        <f t="shared" si="669"/>
        <v>Player 5</v>
      </c>
    </row>
    <row r="602">
      <c r="A602" s="213">
        <f t="shared" si="667"/>
        <v>17</v>
      </c>
      <c r="D602" s="47" t="s">
        <v>114</v>
      </c>
      <c r="E602" s="216"/>
      <c r="F602" s="48" t="str">
        <f t="shared" ref="F602:G602" si="670">F601</f>
        <v/>
      </c>
      <c r="G602" s="48" t="str">
        <f t="shared" si="670"/>
        <v>Player 5</v>
      </c>
    </row>
    <row r="603">
      <c r="A603" s="213">
        <f t="shared" si="667"/>
        <v>17</v>
      </c>
      <c r="B603" s="214"/>
      <c r="C603" s="215" t="s">
        <v>139</v>
      </c>
      <c r="D603" s="47" t="s">
        <v>110</v>
      </c>
      <c r="E603" s="216"/>
      <c r="F603" s="48" t="str">
        <f t="shared" ref="F603:G603" si="671">B603</f>
        <v/>
      </c>
      <c r="G603" s="48" t="str">
        <f t="shared" si="671"/>
        <v>Player 6 (Substitute)</v>
      </c>
    </row>
    <row r="604">
      <c r="A604" s="213">
        <f t="shared" si="667"/>
        <v>17</v>
      </c>
      <c r="D604" s="47" t="s">
        <v>111</v>
      </c>
      <c r="E604" s="47" t="s">
        <v>80</v>
      </c>
      <c r="F604" s="48" t="str">
        <f t="shared" ref="F604:G604" si="672">F603</f>
        <v/>
      </c>
      <c r="G604" s="48" t="str">
        <f t="shared" si="672"/>
        <v>Player 6 (Substitute)</v>
      </c>
    </row>
    <row r="605">
      <c r="A605" s="213">
        <f t="shared" si="667"/>
        <v>17</v>
      </c>
      <c r="D605" s="47" t="s">
        <v>112</v>
      </c>
      <c r="E605" s="216"/>
      <c r="F605" s="48" t="str">
        <f t="shared" ref="F605:G605" si="673">F604</f>
        <v/>
      </c>
      <c r="G605" s="48" t="str">
        <f t="shared" si="673"/>
        <v>Player 6 (Substitute)</v>
      </c>
    </row>
    <row r="606">
      <c r="A606" s="213">
        <f t="shared" si="667"/>
        <v>17</v>
      </c>
      <c r="D606" s="47" t="s">
        <v>113</v>
      </c>
      <c r="E606" s="216"/>
      <c r="F606" s="48" t="str">
        <f t="shared" ref="F606:G606" si="674">F605</f>
        <v/>
      </c>
      <c r="G606" s="48" t="str">
        <f t="shared" si="674"/>
        <v>Player 6 (Substitute)</v>
      </c>
    </row>
    <row r="607">
      <c r="A607" s="213">
        <f t="shared" si="667"/>
        <v>17</v>
      </c>
      <c r="D607" s="47" t="s">
        <v>114</v>
      </c>
      <c r="E607" s="216"/>
      <c r="F607" s="48" t="str">
        <f t="shared" ref="F607:G607" si="675">F606</f>
        <v/>
      </c>
      <c r="G607" s="48" t="str">
        <f t="shared" si="675"/>
        <v>Player 6 (Substitute)</v>
      </c>
    </row>
    <row r="608">
      <c r="A608" s="213">
        <f t="shared" si="667"/>
        <v>17</v>
      </c>
      <c r="B608" s="214"/>
      <c r="C608" s="215" t="s">
        <v>145</v>
      </c>
      <c r="D608" s="47" t="s">
        <v>110</v>
      </c>
      <c r="F608" s="48" t="str">
        <f t="shared" ref="F608:G608" si="676">B608</f>
        <v/>
      </c>
      <c r="G608" s="48" t="str">
        <f t="shared" si="676"/>
        <v>Coach</v>
      </c>
    </row>
    <row r="609">
      <c r="A609" s="213">
        <f t="shared" si="667"/>
        <v>17</v>
      </c>
      <c r="D609" s="47" t="s">
        <v>111</v>
      </c>
      <c r="E609" s="47" t="s">
        <v>80</v>
      </c>
      <c r="F609" s="48" t="str">
        <f t="shared" ref="F609:G609" si="677">F608</f>
        <v/>
      </c>
      <c r="G609" s="48" t="str">
        <f t="shared" si="677"/>
        <v>Coach</v>
      </c>
    </row>
    <row r="610">
      <c r="A610" s="213">
        <f t="shared" si="667"/>
        <v>17</v>
      </c>
      <c r="D610" s="47" t="s">
        <v>112</v>
      </c>
      <c r="E610" s="216"/>
      <c r="F610" s="48" t="str">
        <f t="shared" ref="F610:G610" si="678">F609</f>
        <v/>
      </c>
      <c r="G610" s="48" t="str">
        <f t="shared" si="678"/>
        <v>Coach</v>
      </c>
    </row>
    <row r="611">
      <c r="A611" s="213">
        <f t="shared" si="667"/>
        <v>17</v>
      </c>
      <c r="D611" s="47" t="s">
        <v>113</v>
      </c>
      <c r="E611" s="218"/>
      <c r="F611" s="48" t="str">
        <f t="shared" ref="F611:G611" si="679">F610</f>
        <v/>
      </c>
      <c r="G611" s="48" t="str">
        <f t="shared" si="679"/>
        <v>Coach</v>
      </c>
    </row>
    <row r="612">
      <c r="A612" s="213">
        <f t="shared" si="667"/>
        <v>17</v>
      </c>
      <c r="D612" s="47" t="s">
        <v>114</v>
      </c>
      <c r="E612" s="218"/>
      <c r="F612" s="48" t="str">
        <f t="shared" ref="F612:G612" si="680">F611</f>
        <v/>
      </c>
      <c r="G612" s="48" t="str">
        <f t="shared" si="680"/>
        <v>Coach</v>
      </c>
    </row>
    <row r="613">
      <c r="A613" s="212">
        <f>A577+1</f>
        <v>18</v>
      </c>
      <c r="B613" s="212" t="str">
        <f t="array" ref="B613">xlookup(A613,'Team Entry'!$C:$C,'Team Entry'!$A:$A,"")</f>
        <v>Team 6 (Group 1)</v>
      </c>
    </row>
    <row r="614">
      <c r="A614" s="213">
        <f t="shared" ref="A614:A618" si="682">A613</f>
        <v>18</v>
      </c>
      <c r="B614" s="214"/>
      <c r="C614" s="215" t="s">
        <v>109</v>
      </c>
      <c r="D614" s="47" t="s">
        <v>110</v>
      </c>
      <c r="F614" s="48" t="str">
        <f t="shared" ref="F614:G614" si="681">B614</f>
        <v/>
      </c>
      <c r="G614" s="48" t="str">
        <f t="shared" si="681"/>
        <v>Player 1</v>
      </c>
    </row>
    <row r="615">
      <c r="A615" s="213">
        <f t="shared" si="682"/>
        <v>18</v>
      </c>
      <c r="D615" s="47" t="s">
        <v>111</v>
      </c>
      <c r="E615" s="47" t="s">
        <v>80</v>
      </c>
      <c r="F615" s="48" t="str">
        <f t="shared" ref="F615:G615" si="683">F614</f>
        <v/>
      </c>
      <c r="G615" s="48" t="str">
        <f t="shared" si="683"/>
        <v>Player 1</v>
      </c>
    </row>
    <row r="616">
      <c r="A616" s="213">
        <f t="shared" si="682"/>
        <v>18</v>
      </c>
      <c r="D616" s="47" t="s">
        <v>112</v>
      </c>
      <c r="E616" s="216"/>
      <c r="F616" s="48" t="str">
        <f t="shared" ref="F616:G616" si="684">F615</f>
        <v/>
      </c>
      <c r="G616" s="48" t="str">
        <f t="shared" si="684"/>
        <v>Player 1</v>
      </c>
    </row>
    <row r="617">
      <c r="A617" s="213">
        <f t="shared" si="682"/>
        <v>18</v>
      </c>
      <c r="D617" s="47" t="s">
        <v>113</v>
      </c>
      <c r="E617" s="216"/>
      <c r="F617" s="48" t="str">
        <f t="shared" ref="F617:G617" si="685">F616</f>
        <v/>
      </c>
      <c r="G617" s="48" t="str">
        <f t="shared" si="685"/>
        <v>Player 1</v>
      </c>
    </row>
    <row r="618">
      <c r="A618" s="213">
        <f t="shared" si="682"/>
        <v>18</v>
      </c>
      <c r="D618" s="47" t="s">
        <v>114</v>
      </c>
      <c r="E618" s="216"/>
      <c r="F618" s="48" t="str">
        <f t="shared" ref="F618:G618" si="686">F617</f>
        <v/>
      </c>
      <c r="G618" s="48" t="str">
        <f t="shared" si="686"/>
        <v>Player 1</v>
      </c>
    </row>
    <row r="619">
      <c r="A619" s="213">
        <f>A617</f>
        <v>18</v>
      </c>
      <c r="B619" s="214"/>
      <c r="C619" s="215" t="s">
        <v>115</v>
      </c>
      <c r="D619" s="47" t="s">
        <v>110</v>
      </c>
      <c r="F619" s="48" t="str">
        <f t="shared" ref="F619:G619" si="687">B619</f>
        <v/>
      </c>
      <c r="G619" s="48" t="str">
        <f t="shared" si="687"/>
        <v>Player 2</v>
      </c>
    </row>
    <row r="620">
      <c r="A620" s="213">
        <f t="shared" ref="A620:A623" si="689">A619</f>
        <v>18</v>
      </c>
      <c r="D620" s="47" t="s">
        <v>111</v>
      </c>
      <c r="E620" s="47" t="s">
        <v>80</v>
      </c>
      <c r="F620" s="48" t="str">
        <f t="shared" ref="F620:G620" si="688">F619</f>
        <v/>
      </c>
      <c r="G620" s="48" t="str">
        <f t="shared" si="688"/>
        <v>Player 2</v>
      </c>
    </row>
    <row r="621">
      <c r="A621" s="213">
        <f t="shared" si="689"/>
        <v>18</v>
      </c>
      <c r="D621" s="47" t="s">
        <v>112</v>
      </c>
      <c r="E621" s="216"/>
      <c r="F621" s="48" t="str">
        <f t="shared" ref="F621:G621" si="690">F620</f>
        <v/>
      </c>
      <c r="G621" s="48" t="str">
        <f t="shared" si="690"/>
        <v>Player 2</v>
      </c>
    </row>
    <row r="622">
      <c r="A622" s="213">
        <f t="shared" si="689"/>
        <v>18</v>
      </c>
      <c r="D622" s="47" t="s">
        <v>113</v>
      </c>
      <c r="E622" s="216"/>
      <c r="F622" s="48" t="str">
        <f t="shared" ref="F622:G622" si="691">F621</f>
        <v/>
      </c>
      <c r="G622" s="48" t="str">
        <f t="shared" si="691"/>
        <v>Player 2</v>
      </c>
    </row>
    <row r="623">
      <c r="A623" s="213">
        <f t="shared" si="689"/>
        <v>18</v>
      </c>
      <c r="D623" s="47" t="s">
        <v>114</v>
      </c>
      <c r="E623" s="216"/>
      <c r="F623" s="48" t="str">
        <f t="shared" ref="F623:G623" si="692">F622</f>
        <v/>
      </c>
      <c r="G623" s="48" t="str">
        <f t="shared" si="692"/>
        <v>Player 2</v>
      </c>
    </row>
    <row r="624">
      <c r="A624" s="213">
        <f>A622</f>
        <v>18</v>
      </c>
      <c r="B624" s="214"/>
      <c r="C624" s="215" t="s">
        <v>121</v>
      </c>
      <c r="D624" s="47" t="s">
        <v>110</v>
      </c>
      <c r="F624" s="48" t="str">
        <f t="shared" ref="F624:G624" si="693">B624</f>
        <v/>
      </c>
      <c r="G624" s="48" t="str">
        <f t="shared" si="693"/>
        <v>Player 3</v>
      </c>
    </row>
    <row r="625">
      <c r="A625" s="213">
        <f t="shared" ref="A625:A628" si="695">A624</f>
        <v>18</v>
      </c>
      <c r="D625" s="47" t="s">
        <v>111</v>
      </c>
      <c r="E625" s="47" t="s">
        <v>80</v>
      </c>
      <c r="F625" s="48" t="str">
        <f t="shared" ref="F625:G625" si="694">F624</f>
        <v/>
      </c>
      <c r="G625" s="48" t="str">
        <f t="shared" si="694"/>
        <v>Player 3</v>
      </c>
    </row>
    <row r="626">
      <c r="A626" s="213">
        <f t="shared" si="695"/>
        <v>18</v>
      </c>
      <c r="D626" s="47" t="s">
        <v>112</v>
      </c>
      <c r="E626" s="216"/>
      <c r="F626" s="48" t="str">
        <f t="shared" ref="F626:G626" si="696">F625</f>
        <v/>
      </c>
      <c r="G626" s="48" t="str">
        <f t="shared" si="696"/>
        <v>Player 3</v>
      </c>
    </row>
    <row r="627">
      <c r="A627" s="213">
        <f t="shared" si="695"/>
        <v>18</v>
      </c>
      <c r="D627" s="47" t="s">
        <v>113</v>
      </c>
      <c r="E627" s="216"/>
      <c r="F627" s="48" t="str">
        <f t="shared" ref="F627:G627" si="697">F626</f>
        <v/>
      </c>
      <c r="G627" s="48" t="str">
        <f t="shared" si="697"/>
        <v>Player 3</v>
      </c>
    </row>
    <row r="628">
      <c r="A628" s="213">
        <f t="shared" si="695"/>
        <v>18</v>
      </c>
      <c r="D628" s="47" t="s">
        <v>114</v>
      </c>
      <c r="E628" s="216"/>
      <c r="F628" s="48" t="str">
        <f t="shared" ref="F628:G628" si="698">F627</f>
        <v/>
      </c>
      <c r="G628" s="48" t="str">
        <f t="shared" si="698"/>
        <v>Player 3</v>
      </c>
    </row>
    <row r="629">
      <c r="A629" s="213">
        <f>A627</f>
        <v>18</v>
      </c>
      <c r="B629" s="214"/>
      <c r="C629" s="215" t="s">
        <v>127</v>
      </c>
      <c r="D629" s="47" t="s">
        <v>110</v>
      </c>
      <c r="F629" s="48" t="str">
        <f t="shared" ref="F629:G629" si="699">B629</f>
        <v/>
      </c>
      <c r="G629" s="48" t="str">
        <f t="shared" si="699"/>
        <v>Player 4</v>
      </c>
    </row>
    <row r="630">
      <c r="A630" s="213">
        <f t="shared" ref="A630:A633" si="701">A629</f>
        <v>18</v>
      </c>
      <c r="D630" s="47" t="s">
        <v>111</v>
      </c>
      <c r="E630" s="47" t="s">
        <v>80</v>
      </c>
      <c r="F630" s="48" t="str">
        <f t="shared" ref="F630:G630" si="700">F629</f>
        <v/>
      </c>
      <c r="G630" s="48" t="str">
        <f t="shared" si="700"/>
        <v>Player 4</v>
      </c>
    </row>
    <row r="631">
      <c r="A631" s="213">
        <f t="shared" si="701"/>
        <v>18</v>
      </c>
      <c r="D631" s="47" t="s">
        <v>112</v>
      </c>
      <c r="E631" s="216"/>
      <c r="F631" s="48" t="str">
        <f t="shared" ref="F631:G631" si="702">F630</f>
        <v/>
      </c>
      <c r="G631" s="48" t="str">
        <f t="shared" si="702"/>
        <v>Player 4</v>
      </c>
    </row>
    <row r="632">
      <c r="A632" s="213">
        <f t="shared" si="701"/>
        <v>18</v>
      </c>
      <c r="D632" s="47" t="s">
        <v>113</v>
      </c>
      <c r="E632" s="216"/>
      <c r="F632" s="48" t="str">
        <f t="shared" ref="F632:G632" si="703">F631</f>
        <v/>
      </c>
      <c r="G632" s="48" t="str">
        <f t="shared" si="703"/>
        <v>Player 4</v>
      </c>
    </row>
    <row r="633">
      <c r="A633" s="213">
        <f t="shared" si="701"/>
        <v>18</v>
      </c>
      <c r="D633" s="47" t="s">
        <v>114</v>
      </c>
      <c r="E633" s="216"/>
      <c r="F633" s="48" t="str">
        <f t="shared" ref="F633:G633" si="704">F632</f>
        <v/>
      </c>
      <c r="G633" s="48" t="str">
        <f t="shared" si="704"/>
        <v>Player 4</v>
      </c>
    </row>
    <row r="634">
      <c r="A634" s="213">
        <f>A632</f>
        <v>18</v>
      </c>
      <c r="B634" s="214"/>
      <c r="C634" s="215" t="s">
        <v>133</v>
      </c>
      <c r="D634" s="47" t="s">
        <v>110</v>
      </c>
      <c r="F634" s="48" t="str">
        <f t="shared" ref="F634:G634" si="705">B634</f>
        <v/>
      </c>
      <c r="G634" s="48" t="str">
        <f t="shared" si="705"/>
        <v>Player 5</v>
      </c>
    </row>
    <row r="635">
      <c r="A635" s="213">
        <f t="shared" ref="A635:A648" si="707">A634</f>
        <v>18</v>
      </c>
      <c r="D635" s="47" t="s">
        <v>111</v>
      </c>
      <c r="E635" s="47" t="s">
        <v>80</v>
      </c>
      <c r="F635" s="48" t="str">
        <f t="shared" ref="F635:G635" si="706">F634</f>
        <v/>
      </c>
      <c r="G635" s="48" t="str">
        <f t="shared" si="706"/>
        <v>Player 5</v>
      </c>
    </row>
    <row r="636">
      <c r="A636" s="213">
        <f t="shared" si="707"/>
        <v>18</v>
      </c>
      <c r="D636" s="47" t="s">
        <v>112</v>
      </c>
      <c r="E636" s="216"/>
      <c r="F636" s="48" t="str">
        <f t="shared" ref="F636:G636" si="708">F635</f>
        <v/>
      </c>
      <c r="G636" s="48" t="str">
        <f t="shared" si="708"/>
        <v>Player 5</v>
      </c>
    </row>
    <row r="637">
      <c r="A637" s="213">
        <f t="shared" si="707"/>
        <v>18</v>
      </c>
      <c r="D637" s="47" t="s">
        <v>113</v>
      </c>
      <c r="E637" s="216"/>
      <c r="F637" s="48" t="str">
        <f t="shared" ref="F637:G637" si="709">F636</f>
        <v/>
      </c>
      <c r="G637" s="48" t="str">
        <f t="shared" si="709"/>
        <v>Player 5</v>
      </c>
    </row>
    <row r="638">
      <c r="A638" s="213">
        <f t="shared" si="707"/>
        <v>18</v>
      </c>
      <c r="D638" s="47" t="s">
        <v>114</v>
      </c>
      <c r="E638" s="216"/>
      <c r="F638" s="48" t="str">
        <f t="shared" ref="F638:G638" si="710">F637</f>
        <v/>
      </c>
      <c r="G638" s="48" t="str">
        <f t="shared" si="710"/>
        <v>Player 5</v>
      </c>
    </row>
    <row r="639">
      <c r="A639" s="213">
        <f t="shared" si="707"/>
        <v>18</v>
      </c>
      <c r="B639" s="214"/>
      <c r="C639" s="215" t="s">
        <v>139</v>
      </c>
      <c r="D639" s="47" t="s">
        <v>110</v>
      </c>
      <c r="E639" s="216"/>
      <c r="F639" s="48" t="str">
        <f t="shared" ref="F639:G639" si="711">B639</f>
        <v/>
      </c>
      <c r="G639" s="48" t="str">
        <f t="shared" si="711"/>
        <v>Player 6 (Substitute)</v>
      </c>
    </row>
    <row r="640">
      <c r="A640" s="213">
        <f t="shared" si="707"/>
        <v>18</v>
      </c>
      <c r="D640" s="47" t="s">
        <v>111</v>
      </c>
      <c r="E640" s="47" t="s">
        <v>80</v>
      </c>
      <c r="F640" s="48" t="str">
        <f t="shared" ref="F640:G640" si="712">F639</f>
        <v/>
      </c>
      <c r="G640" s="48" t="str">
        <f t="shared" si="712"/>
        <v>Player 6 (Substitute)</v>
      </c>
    </row>
    <row r="641">
      <c r="A641" s="213">
        <f t="shared" si="707"/>
        <v>18</v>
      </c>
      <c r="D641" s="47" t="s">
        <v>112</v>
      </c>
      <c r="E641" s="216"/>
      <c r="F641" s="48" t="str">
        <f t="shared" ref="F641:G641" si="713">F640</f>
        <v/>
      </c>
      <c r="G641" s="48" t="str">
        <f t="shared" si="713"/>
        <v>Player 6 (Substitute)</v>
      </c>
    </row>
    <row r="642">
      <c r="A642" s="213">
        <f t="shared" si="707"/>
        <v>18</v>
      </c>
      <c r="D642" s="47" t="s">
        <v>113</v>
      </c>
      <c r="E642" s="216"/>
      <c r="F642" s="48" t="str">
        <f t="shared" ref="F642:G642" si="714">F641</f>
        <v/>
      </c>
      <c r="G642" s="48" t="str">
        <f t="shared" si="714"/>
        <v>Player 6 (Substitute)</v>
      </c>
    </row>
    <row r="643">
      <c r="A643" s="213">
        <f t="shared" si="707"/>
        <v>18</v>
      </c>
      <c r="D643" s="47" t="s">
        <v>114</v>
      </c>
      <c r="E643" s="216"/>
      <c r="F643" s="48" t="str">
        <f t="shared" ref="F643:G643" si="715">F642</f>
        <v/>
      </c>
      <c r="G643" s="48" t="str">
        <f t="shared" si="715"/>
        <v>Player 6 (Substitute)</v>
      </c>
    </row>
    <row r="644">
      <c r="A644" s="213">
        <f t="shared" si="707"/>
        <v>18</v>
      </c>
      <c r="B644" s="214"/>
      <c r="C644" s="215" t="s">
        <v>145</v>
      </c>
      <c r="D644" s="47" t="s">
        <v>110</v>
      </c>
      <c r="F644" s="48" t="str">
        <f t="shared" ref="F644:G644" si="716">B644</f>
        <v/>
      </c>
      <c r="G644" s="48" t="str">
        <f t="shared" si="716"/>
        <v>Coach</v>
      </c>
    </row>
    <row r="645">
      <c r="A645" s="213">
        <f t="shared" si="707"/>
        <v>18</v>
      </c>
      <c r="D645" s="47" t="s">
        <v>111</v>
      </c>
      <c r="E645" s="47" t="s">
        <v>80</v>
      </c>
      <c r="F645" s="48" t="str">
        <f t="shared" ref="F645:G645" si="717">F644</f>
        <v/>
      </c>
      <c r="G645" s="48" t="str">
        <f t="shared" si="717"/>
        <v>Coach</v>
      </c>
    </row>
    <row r="646">
      <c r="A646" s="213">
        <f t="shared" si="707"/>
        <v>18</v>
      </c>
      <c r="D646" s="47" t="s">
        <v>112</v>
      </c>
      <c r="E646" s="216"/>
      <c r="F646" s="48" t="str">
        <f t="shared" ref="F646:G646" si="718">F645</f>
        <v/>
      </c>
      <c r="G646" s="48" t="str">
        <f t="shared" si="718"/>
        <v>Coach</v>
      </c>
    </row>
    <row r="647">
      <c r="A647" s="213">
        <f t="shared" si="707"/>
        <v>18</v>
      </c>
      <c r="D647" s="47" t="s">
        <v>113</v>
      </c>
      <c r="E647" s="218"/>
      <c r="F647" s="48" t="str">
        <f t="shared" ref="F647:G647" si="719">F646</f>
        <v/>
      </c>
      <c r="G647" s="48" t="str">
        <f t="shared" si="719"/>
        <v>Coach</v>
      </c>
    </row>
    <row r="648">
      <c r="A648" s="213">
        <f t="shared" si="707"/>
        <v>18</v>
      </c>
      <c r="D648" s="47" t="s">
        <v>114</v>
      </c>
      <c r="E648" s="218"/>
      <c r="F648" s="48" t="str">
        <f t="shared" ref="F648:G648" si="720">F647</f>
        <v/>
      </c>
      <c r="G648" s="48" t="str">
        <f t="shared" si="720"/>
        <v>Coach</v>
      </c>
    </row>
    <row r="649">
      <c r="A649" s="212">
        <f>A613+1</f>
        <v>19</v>
      </c>
      <c r="B649" s="212" t="str">
        <f t="array" ref="B649">xlookup(A649,'Team Entry'!$C:$C,'Team Entry'!$A:$A,"")</f>
        <v>Team 7 (Group 1)</v>
      </c>
    </row>
    <row r="650">
      <c r="A650" s="213">
        <f t="shared" ref="A650:A654" si="722">A649</f>
        <v>19</v>
      </c>
      <c r="B650" s="214"/>
      <c r="C650" s="215" t="s">
        <v>109</v>
      </c>
      <c r="D650" s="47" t="s">
        <v>110</v>
      </c>
      <c r="F650" s="48" t="str">
        <f t="shared" ref="F650:G650" si="721">B650</f>
        <v/>
      </c>
      <c r="G650" s="48" t="str">
        <f t="shared" si="721"/>
        <v>Player 1</v>
      </c>
    </row>
    <row r="651">
      <c r="A651" s="213">
        <f t="shared" si="722"/>
        <v>19</v>
      </c>
      <c r="D651" s="47" t="s">
        <v>111</v>
      </c>
      <c r="E651" s="47" t="s">
        <v>80</v>
      </c>
      <c r="F651" s="48" t="str">
        <f t="shared" ref="F651:G651" si="723">F650</f>
        <v/>
      </c>
      <c r="G651" s="48" t="str">
        <f t="shared" si="723"/>
        <v>Player 1</v>
      </c>
    </row>
    <row r="652">
      <c r="A652" s="213">
        <f t="shared" si="722"/>
        <v>19</v>
      </c>
      <c r="D652" s="47" t="s">
        <v>112</v>
      </c>
      <c r="E652" s="216"/>
      <c r="F652" s="48" t="str">
        <f t="shared" ref="F652:G652" si="724">F651</f>
        <v/>
      </c>
      <c r="G652" s="48" t="str">
        <f t="shared" si="724"/>
        <v>Player 1</v>
      </c>
    </row>
    <row r="653">
      <c r="A653" s="213">
        <f t="shared" si="722"/>
        <v>19</v>
      </c>
      <c r="D653" s="47" t="s">
        <v>113</v>
      </c>
      <c r="E653" s="216"/>
      <c r="F653" s="48" t="str">
        <f t="shared" ref="F653:G653" si="725">F652</f>
        <v/>
      </c>
      <c r="G653" s="48" t="str">
        <f t="shared" si="725"/>
        <v>Player 1</v>
      </c>
    </row>
    <row r="654">
      <c r="A654" s="213">
        <f t="shared" si="722"/>
        <v>19</v>
      </c>
      <c r="D654" s="47" t="s">
        <v>114</v>
      </c>
      <c r="E654" s="216"/>
      <c r="F654" s="48" t="str">
        <f t="shared" ref="F654:G654" si="726">F653</f>
        <v/>
      </c>
      <c r="G654" s="48" t="str">
        <f t="shared" si="726"/>
        <v>Player 1</v>
      </c>
    </row>
    <row r="655">
      <c r="A655" s="213">
        <f>A653</f>
        <v>19</v>
      </c>
      <c r="B655" s="214"/>
      <c r="C655" s="215" t="s">
        <v>115</v>
      </c>
      <c r="D655" s="47" t="s">
        <v>110</v>
      </c>
      <c r="F655" s="48" t="str">
        <f t="shared" ref="F655:G655" si="727">B655</f>
        <v/>
      </c>
      <c r="G655" s="48" t="str">
        <f t="shared" si="727"/>
        <v>Player 2</v>
      </c>
    </row>
    <row r="656">
      <c r="A656" s="213">
        <f t="shared" ref="A656:A659" si="729">A655</f>
        <v>19</v>
      </c>
      <c r="D656" s="47" t="s">
        <v>111</v>
      </c>
      <c r="E656" s="47" t="s">
        <v>80</v>
      </c>
      <c r="F656" s="48" t="str">
        <f t="shared" ref="F656:G656" si="728">F655</f>
        <v/>
      </c>
      <c r="G656" s="48" t="str">
        <f t="shared" si="728"/>
        <v>Player 2</v>
      </c>
    </row>
    <row r="657">
      <c r="A657" s="213">
        <f t="shared" si="729"/>
        <v>19</v>
      </c>
      <c r="D657" s="47" t="s">
        <v>112</v>
      </c>
      <c r="E657" s="216"/>
      <c r="F657" s="48" t="str">
        <f t="shared" ref="F657:G657" si="730">F656</f>
        <v/>
      </c>
      <c r="G657" s="48" t="str">
        <f t="shared" si="730"/>
        <v>Player 2</v>
      </c>
    </row>
    <row r="658">
      <c r="A658" s="213">
        <f t="shared" si="729"/>
        <v>19</v>
      </c>
      <c r="D658" s="47" t="s">
        <v>113</v>
      </c>
      <c r="E658" s="216"/>
      <c r="F658" s="48" t="str">
        <f t="shared" ref="F658:G658" si="731">F657</f>
        <v/>
      </c>
      <c r="G658" s="48" t="str">
        <f t="shared" si="731"/>
        <v>Player 2</v>
      </c>
    </row>
    <row r="659">
      <c r="A659" s="213">
        <f t="shared" si="729"/>
        <v>19</v>
      </c>
      <c r="D659" s="47" t="s">
        <v>114</v>
      </c>
      <c r="E659" s="216"/>
      <c r="F659" s="48" t="str">
        <f t="shared" ref="F659:G659" si="732">F658</f>
        <v/>
      </c>
      <c r="G659" s="48" t="str">
        <f t="shared" si="732"/>
        <v>Player 2</v>
      </c>
    </row>
    <row r="660">
      <c r="A660" s="213">
        <f>A658</f>
        <v>19</v>
      </c>
      <c r="B660" s="214"/>
      <c r="C660" s="215" t="s">
        <v>121</v>
      </c>
      <c r="D660" s="47" t="s">
        <v>110</v>
      </c>
      <c r="F660" s="48" t="str">
        <f t="shared" ref="F660:G660" si="733">B660</f>
        <v/>
      </c>
      <c r="G660" s="48" t="str">
        <f t="shared" si="733"/>
        <v>Player 3</v>
      </c>
    </row>
    <row r="661">
      <c r="A661" s="213">
        <f t="shared" ref="A661:A664" si="735">A660</f>
        <v>19</v>
      </c>
      <c r="D661" s="47" t="s">
        <v>111</v>
      </c>
      <c r="E661" s="47" t="s">
        <v>80</v>
      </c>
      <c r="F661" s="48" t="str">
        <f t="shared" ref="F661:G661" si="734">F660</f>
        <v/>
      </c>
      <c r="G661" s="48" t="str">
        <f t="shared" si="734"/>
        <v>Player 3</v>
      </c>
    </row>
    <row r="662">
      <c r="A662" s="213">
        <f t="shared" si="735"/>
        <v>19</v>
      </c>
      <c r="D662" s="47" t="s">
        <v>112</v>
      </c>
      <c r="E662" s="216"/>
      <c r="F662" s="48" t="str">
        <f t="shared" ref="F662:G662" si="736">F661</f>
        <v/>
      </c>
      <c r="G662" s="48" t="str">
        <f t="shared" si="736"/>
        <v>Player 3</v>
      </c>
    </row>
    <row r="663">
      <c r="A663" s="213">
        <f t="shared" si="735"/>
        <v>19</v>
      </c>
      <c r="D663" s="47" t="s">
        <v>113</v>
      </c>
      <c r="E663" s="216"/>
      <c r="F663" s="48" t="str">
        <f t="shared" ref="F663:G663" si="737">F662</f>
        <v/>
      </c>
      <c r="G663" s="48" t="str">
        <f t="shared" si="737"/>
        <v>Player 3</v>
      </c>
    </row>
    <row r="664">
      <c r="A664" s="213">
        <f t="shared" si="735"/>
        <v>19</v>
      </c>
      <c r="D664" s="47" t="s">
        <v>114</v>
      </c>
      <c r="E664" s="216"/>
      <c r="F664" s="48" t="str">
        <f t="shared" ref="F664:G664" si="738">F663</f>
        <v/>
      </c>
      <c r="G664" s="48" t="str">
        <f t="shared" si="738"/>
        <v>Player 3</v>
      </c>
    </row>
    <row r="665">
      <c r="A665" s="213">
        <f>A663</f>
        <v>19</v>
      </c>
      <c r="B665" s="214"/>
      <c r="C665" s="215" t="s">
        <v>127</v>
      </c>
      <c r="D665" s="47" t="s">
        <v>110</v>
      </c>
      <c r="F665" s="48" t="str">
        <f t="shared" ref="F665:G665" si="739">B665</f>
        <v/>
      </c>
      <c r="G665" s="48" t="str">
        <f t="shared" si="739"/>
        <v>Player 4</v>
      </c>
    </row>
    <row r="666">
      <c r="A666" s="213">
        <f t="shared" ref="A666:A669" si="741">A665</f>
        <v>19</v>
      </c>
      <c r="D666" s="47" t="s">
        <v>111</v>
      </c>
      <c r="E666" s="47" t="s">
        <v>80</v>
      </c>
      <c r="F666" s="48" t="str">
        <f t="shared" ref="F666:G666" si="740">F665</f>
        <v/>
      </c>
      <c r="G666" s="48" t="str">
        <f t="shared" si="740"/>
        <v>Player 4</v>
      </c>
    </row>
    <row r="667">
      <c r="A667" s="213">
        <f t="shared" si="741"/>
        <v>19</v>
      </c>
      <c r="D667" s="47" t="s">
        <v>112</v>
      </c>
      <c r="E667" s="216"/>
      <c r="F667" s="48" t="str">
        <f t="shared" ref="F667:G667" si="742">F666</f>
        <v/>
      </c>
      <c r="G667" s="48" t="str">
        <f t="shared" si="742"/>
        <v>Player 4</v>
      </c>
    </row>
    <row r="668">
      <c r="A668" s="213">
        <f t="shared" si="741"/>
        <v>19</v>
      </c>
      <c r="D668" s="47" t="s">
        <v>113</v>
      </c>
      <c r="E668" s="216"/>
      <c r="F668" s="48" t="str">
        <f t="shared" ref="F668:G668" si="743">F667</f>
        <v/>
      </c>
      <c r="G668" s="48" t="str">
        <f t="shared" si="743"/>
        <v>Player 4</v>
      </c>
    </row>
    <row r="669">
      <c r="A669" s="213">
        <f t="shared" si="741"/>
        <v>19</v>
      </c>
      <c r="D669" s="47" t="s">
        <v>114</v>
      </c>
      <c r="E669" s="216"/>
      <c r="F669" s="48" t="str">
        <f t="shared" ref="F669:G669" si="744">F668</f>
        <v/>
      </c>
      <c r="G669" s="48" t="str">
        <f t="shared" si="744"/>
        <v>Player 4</v>
      </c>
    </row>
    <row r="670">
      <c r="A670" s="213">
        <f>A668</f>
        <v>19</v>
      </c>
      <c r="B670" s="214"/>
      <c r="C670" s="215" t="s">
        <v>133</v>
      </c>
      <c r="D670" s="47" t="s">
        <v>110</v>
      </c>
      <c r="F670" s="48" t="str">
        <f t="shared" ref="F670:G670" si="745">B670</f>
        <v/>
      </c>
      <c r="G670" s="48" t="str">
        <f t="shared" si="745"/>
        <v>Player 5</v>
      </c>
    </row>
    <row r="671">
      <c r="A671" s="213">
        <f t="shared" ref="A671:A684" si="747">A670</f>
        <v>19</v>
      </c>
      <c r="D671" s="47" t="s">
        <v>111</v>
      </c>
      <c r="E671" s="47" t="s">
        <v>80</v>
      </c>
      <c r="F671" s="48" t="str">
        <f t="shared" ref="F671:G671" si="746">F670</f>
        <v/>
      </c>
      <c r="G671" s="48" t="str">
        <f t="shared" si="746"/>
        <v>Player 5</v>
      </c>
    </row>
    <row r="672">
      <c r="A672" s="213">
        <f t="shared" si="747"/>
        <v>19</v>
      </c>
      <c r="D672" s="47" t="s">
        <v>112</v>
      </c>
      <c r="E672" s="216"/>
      <c r="F672" s="48" t="str">
        <f t="shared" ref="F672:G672" si="748">F671</f>
        <v/>
      </c>
      <c r="G672" s="48" t="str">
        <f t="shared" si="748"/>
        <v>Player 5</v>
      </c>
    </row>
    <row r="673">
      <c r="A673" s="213">
        <f t="shared" si="747"/>
        <v>19</v>
      </c>
      <c r="D673" s="47" t="s">
        <v>113</v>
      </c>
      <c r="E673" s="216"/>
      <c r="F673" s="48" t="str">
        <f t="shared" ref="F673:G673" si="749">F672</f>
        <v/>
      </c>
      <c r="G673" s="48" t="str">
        <f t="shared" si="749"/>
        <v>Player 5</v>
      </c>
    </row>
    <row r="674">
      <c r="A674" s="213">
        <f t="shared" si="747"/>
        <v>19</v>
      </c>
      <c r="D674" s="47" t="s">
        <v>114</v>
      </c>
      <c r="E674" s="216"/>
      <c r="F674" s="48" t="str">
        <f t="shared" ref="F674:G674" si="750">F673</f>
        <v/>
      </c>
      <c r="G674" s="48" t="str">
        <f t="shared" si="750"/>
        <v>Player 5</v>
      </c>
    </row>
    <row r="675">
      <c r="A675" s="213">
        <f t="shared" si="747"/>
        <v>19</v>
      </c>
      <c r="B675" s="214"/>
      <c r="C675" s="215" t="s">
        <v>139</v>
      </c>
      <c r="D675" s="47" t="s">
        <v>110</v>
      </c>
      <c r="E675" s="216"/>
      <c r="F675" s="48" t="str">
        <f t="shared" ref="F675:G675" si="751">B675</f>
        <v/>
      </c>
      <c r="G675" s="48" t="str">
        <f t="shared" si="751"/>
        <v>Player 6 (Substitute)</v>
      </c>
    </row>
    <row r="676">
      <c r="A676" s="213">
        <f t="shared" si="747"/>
        <v>19</v>
      </c>
      <c r="D676" s="47" t="s">
        <v>111</v>
      </c>
      <c r="E676" s="47" t="s">
        <v>80</v>
      </c>
      <c r="F676" s="48" t="str">
        <f t="shared" ref="F676:G676" si="752">F675</f>
        <v/>
      </c>
      <c r="G676" s="48" t="str">
        <f t="shared" si="752"/>
        <v>Player 6 (Substitute)</v>
      </c>
    </row>
    <row r="677">
      <c r="A677" s="213">
        <f t="shared" si="747"/>
        <v>19</v>
      </c>
      <c r="D677" s="47" t="s">
        <v>112</v>
      </c>
      <c r="E677" s="216"/>
      <c r="F677" s="48" t="str">
        <f t="shared" ref="F677:G677" si="753">F676</f>
        <v/>
      </c>
      <c r="G677" s="48" t="str">
        <f t="shared" si="753"/>
        <v>Player 6 (Substitute)</v>
      </c>
    </row>
    <row r="678">
      <c r="A678" s="213">
        <f t="shared" si="747"/>
        <v>19</v>
      </c>
      <c r="D678" s="47" t="s">
        <v>113</v>
      </c>
      <c r="E678" s="216"/>
      <c r="F678" s="48" t="str">
        <f t="shared" ref="F678:G678" si="754">F677</f>
        <v/>
      </c>
      <c r="G678" s="48" t="str">
        <f t="shared" si="754"/>
        <v>Player 6 (Substitute)</v>
      </c>
    </row>
    <row r="679">
      <c r="A679" s="213">
        <f t="shared" si="747"/>
        <v>19</v>
      </c>
      <c r="D679" s="47" t="s">
        <v>114</v>
      </c>
      <c r="E679" s="216"/>
      <c r="F679" s="48" t="str">
        <f t="shared" ref="F679:G679" si="755">F678</f>
        <v/>
      </c>
      <c r="G679" s="48" t="str">
        <f t="shared" si="755"/>
        <v>Player 6 (Substitute)</v>
      </c>
    </row>
    <row r="680">
      <c r="A680" s="213">
        <f t="shared" si="747"/>
        <v>19</v>
      </c>
      <c r="B680" s="214"/>
      <c r="C680" s="215" t="s">
        <v>145</v>
      </c>
      <c r="D680" s="47" t="s">
        <v>110</v>
      </c>
      <c r="F680" s="48" t="str">
        <f t="shared" ref="F680:G680" si="756">B680</f>
        <v/>
      </c>
      <c r="G680" s="48" t="str">
        <f t="shared" si="756"/>
        <v>Coach</v>
      </c>
    </row>
    <row r="681">
      <c r="A681" s="213">
        <f t="shared" si="747"/>
        <v>19</v>
      </c>
      <c r="D681" s="47" t="s">
        <v>111</v>
      </c>
      <c r="E681" s="47" t="s">
        <v>80</v>
      </c>
      <c r="F681" s="48" t="str">
        <f t="shared" ref="F681:G681" si="757">F680</f>
        <v/>
      </c>
      <c r="G681" s="48" t="str">
        <f t="shared" si="757"/>
        <v>Coach</v>
      </c>
    </row>
    <row r="682">
      <c r="A682" s="213">
        <f t="shared" si="747"/>
        <v>19</v>
      </c>
      <c r="D682" s="47" t="s">
        <v>112</v>
      </c>
      <c r="E682" s="216"/>
      <c r="F682" s="48" t="str">
        <f t="shared" ref="F682:G682" si="758">F681</f>
        <v/>
      </c>
      <c r="G682" s="48" t="str">
        <f t="shared" si="758"/>
        <v>Coach</v>
      </c>
    </row>
    <row r="683">
      <c r="A683" s="213">
        <f t="shared" si="747"/>
        <v>19</v>
      </c>
      <c r="D683" s="47" t="s">
        <v>113</v>
      </c>
      <c r="E683" s="218"/>
      <c r="F683" s="48" t="str">
        <f t="shared" ref="F683:G683" si="759">F682</f>
        <v/>
      </c>
      <c r="G683" s="48" t="str">
        <f t="shared" si="759"/>
        <v>Coach</v>
      </c>
    </row>
    <row r="684">
      <c r="A684" s="213">
        <f t="shared" si="747"/>
        <v>19</v>
      </c>
      <c r="D684" s="47" t="s">
        <v>114</v>
      </c>
      <c r="E684" s="218"/>
      <c r="F684" s="48" t="str">
        <f t="shared" ref="F684:G684" si="760">F683</f>
        <v/>
      </c>
      <c r="G684" s="48" t="str">
        <f t="shared" si="760"/>
        <v>Coach</v>
      </c>
    </row>
    <row r="685">
      <c r="A685" s="212">
        <f>A649+1</f>
        <v>20</v>
      </c>
      <c r="B685" s="212" t="str">
        <f t="array" ref="B685">xlookup(A685,'Team Entry'!$C:$C,'Team Entry'!$A:$A,"")</f>
        <v>Team 8 (Group 1)</v>
      </c>
    </row>
    <row r="686">
      <c r="A686" s="213">
        <f t="shared" ref="A686:A690" si="762">A685</f>
        <v>20</v>
      </c>
      <c r="B686" s="214"/>
      <c r="C686" s="215" t="s">
        <v>109</v>
      </c>
      <c r="D686" s="47" t="s">
        <v>110</v>
      </c>
      <c r="F686" s="48" t="str">
        <f t="shared" ref="F686:G686" si="761">B686</f>
        <v/>
      </c>
      <c r="G686" s="48" t="str">
        <f t="shared" si="761"/>
        <v>Player 1</v>
      </c>
    </row>
    <row r="687">
      <c r="A687" s="213">
        <f t="shared" si="762"/>
        <v>20</v>
      </c>
      <c r="D687" s="47" t="s">
        <v>111</v>
      </c>
      <c r="E687" s="47" t="s">
        <v>80</v>
      </c>
      <c r="F687" s="48" t="str">
        <f t="shared" ref="F687:G687" si="763">F686</f>
        <v/>
      </c>
      <c r="G687" s="48" t="str">
        <f t="shared" si="763"/>
        <v>Player 1</v>
      </c>
    </row>
    <row r="688">
      <c r="A688" s="213">
        <f t="shared" si="762"/>
        <v>20</v>
      </c>
      <c r="D688" s="47" t="s">
        <v>112</v>
      </c>
      <c r="E688" s="216"/>
      <c r="F688" s="48" t="str">
        <f t="shared" ref="F688:G688" si="764">F687</f>
        <v/>
      </c>
      <c r="G688" s="48" t="str">
        <f t="shared" si="764"/>
        <v>Player 1</v>
      </c>
    </row>
    <row r="689">
      <c r="A689" s="213">
        <f t="shared" si="762"/>
        <v>20</v>
      </c>
      <c r="D689" s="47" t="s">
        <v>113</v>
      </c>
      <c r="E689" s="216"/>
      <c r="F689" s="48" t="str">
        <f t="shared" ref="F689:G689" si="765">F688</f>
        <v/>
      </c>
      <c r="G689" s="48" t="str">
        <f t="shared" si="765"/>
        <v>Player 1</v>
      </c>
    </row>
    <row r="690">
      <c r="A690" s="213">
        <f t="shared" si="762"/>
        <v>20</v>
      </c>
      <c r="D690" s="47" t="s">
        <v>114</v>
      </c>
      <c r="E690" s="216"/>
      <c r="F690" s="48" t="str">
        <f t="shared" ref="F690:G690" si="766">F689</f>
        <v/>
      </c>
      <c r="G690" s="48" t="str">
        <f t="shared" si="766"/>
        <v>Player 1</v>
      </c>
    </row>
    <row r="691">
      <c r="A691" s="213">
        <f>A689</f>
        <v>20</v>
      </c>
      <c r="B691" s="214"/>
      <c r="C691" s="215" t="s">
        <v>115</v>
      </c>
      <c r="D691" s="47" t="s">
        <v>110</v>
      </c>
      <c r="F691" s="48" t="str">
        <f t="shared" ref="F691:G691" si="767">B691</f>
        <v/>
      </c>
      <c r="G691" s="48" t="str">
        <f t="shared" si="767"/>
        <v>Player 2</v>
      </c>
    </row>
    <row r="692">
      <c r="A692" s="213">
        <f t="shared" ref="A692:A695" si="769">A691</f>
        <v>20</v>
      </c>
      <c r="D692" s="47" t="s">
        <v>111</v>
      </c>
      <c r="E692" s="47" t="s">
        <v>80</v>
      </c>
      <c r="F692" s="48" t="str">
        <f t="shared" ref="F692:G692" si="768">F691</f>
        <v/>
      </c>
      <c r="G692" s="48" t="str">
        <f t="shared" si="768"/>
        <v>Player 2</v>
      </c>
    </row>
    <row r="693">
      <c r="A693" s="213">
        <f t="shared" si="769"/>
        <v>20</v>
      </c>
      <c r="D693" s="47" t="s">
        <v>112</v>
      </c>
      <c r="E693" s="216"/>
      <c r="F693" s="48" t="str">
        <f t="shared" ref="F693:G693" si="770">F692</f>
        <v/>
      </c>
      <c r="G693" s="48" t="str">
        <f t="shared" si="770"/>
        <v>Player 2</v>
      </c>
    </row>
    <row r="694">
      <c r="A694" s="213">
        <f t="shared" si="769"/>
        <v>20</v>
      </c>
      <c r="D694" s="47" t="s">
        <v>113</v>
      </c>
      <c r="E694" s="216"/>
      <c r="F694" s="48" t="str">
        <f t="shared" ref="F694:G694" si="771">F693</f>
        <v/>
      </c>
      <c r="G694" s="48" t="str">
        <f t="shared" si="771"/>
        <v>Player 2</v>
      </c>
    </row>
    <row r="695">
      <c r="A695" s="213">
        <f t="shared" si="769"/>
        <v>20</v>
      </c>
      <c r="D695" s="47" t="s">
        <v>114</v>
      </c>
      <c r="E695" s="216"/>
      <c r="F695" s="48" t="str">
        <f t="shared" ref="F695:G695" si="772">F694</f>
        <v/>
      </c>
      <c r="G695" s="48" t="str">
        <f t="shared" si="772"/>
        <v>Player 2</v>
      </c>
    </row>
    <row r="696">
      <c r="A696" s="213">
        <f>A694</f>
        <v>20</v>
      </c>
      <c r="B696" s="214"/>
      <c r="C696" s="215" t="s">
        <v>121</v>
      </c>
      <c r="D696" s="47" t="s">
        <v>110</v>
      </c>
      <c r="F696" s="48" t="str">
        <f t="shared" ref="F696:G696" si="773">B696</f>
        <v/>
      </c>
      <c r="G696" s="48" t="str">
        <f t="shared" si="773"/>
        <v>Player 3</v>
      </c>
    </row>
    <row r="697">
      <c r="A697" s="213">
        <f t="shared" ref="A697:A700" si="775">A696</f>
        <v>20</v>
      </c>
      <c r="D697" s="47" t="s">
        <v>111</v>
      </c>
      <c r="E697" s="47" t="s">
        <v>80</v>
      </c>
      <c r="F697" s="48" t="str">
        <f t="shared" ref="F697:G697" si="774">F696</f>
        <v/>
      </c>
      <c r="G697" s="48" t="str">
        <f t="shared" si="774"/>
        <v>Player 3</v>
      </c>
    </row>
    <row r="698">
      <c r="A698" s="213">
        <f t="shared" si="775"/>
        <v>20</v>
      </c>
      <c r="D698" s="47" t="s">
        <v>112</v>
      </c>
      <c r="E698" s="216"/>
      <c r="F698" s="48" t="str">
        <f t="shared" ref="F698:G698" si="776">F697</f>
        <v/>
      </c>
      <c r="G698" s="48" t="str">
        <f t="shared" si="776"/>
        <v>Player 3</v>
      </c>
    </row>
    <row r="699">
      <c r="A699" s="213">
        <f t="shared" si="775"/>
        <v>20</v>
      </c>
      <c r="D699" s="47" t="s">
        <v>113</v>
      </c>
      <c r="E699" s="216"/>
      <c r="F699" s="48" t="str">
        <f t="shared" ref="F699:G699" si="777">F698</f>
        <v/>
      </c>
      <c r="G699" s="48" t="str">
        <f t="shared" si="777"/>
        <v>Player 3</v>
      </c>
    </row>
    <row r="700">
      <c r="A700" s="213">
        <f t="shared" si="775"/>
        <v>20</v>
      </c>
      <c r="D700" s="47" t="s">
        <v>114</v>
      </c>
      <c r="E700" s="216"/>
      <c r="F700" s="48" t="str">
        <f t="shared" ref="F700:G700" si="778">F699</f>
        <v/>
      </c>
      <c r="G700" s="48" t="str">
        <f t="shared" si="778"/>
        <v>Player 3</v>
      </c>
    </row>
    <row r="701">
      <c r="A701" s="213">
        <f>A699</f>
        <v>20</v>
      </c>
      <c r="B701" s="214"/>
      <c r="C701" s="215" t="s">
        <v>127</v>
      </c>
      <c r="D701" s="47" t="s">
        <v>110</v>
      </c>
      <c r="F701" s="48" t="str">
        <f t="shared" ref="F701:G701" si="779">B701</f>
        <v/>
      </c>
      <c r="G701" s="48" t="str">
        <f t="shared" si="779"/>
        <v>Player 4</v>
      </c>
    </row>
    <row r="702">
      <c r="A702" s="213">
        <f t="shared" ref="A702:A705" si="781">A701</f>
        <v>20</v>
      </c>
      <c r="D702" s="47" t="s">
        <v>111</v>
      </c>
      <c r="E702" s="47" t="s">
        <v>80</v>
      </c>
      <c r="F702" s="48" t="str">
        <f t="shared" ref="F702:G702" si="780">F701</f>
        <v/>
      </c>
      <c r="G702" s="48" t="str">
        <f t="shared" si="780"/>
        <v>Player 4</v>
      </c>
    </row>
    <row r="703">
      <c r="A703" s="213">
        <f t="shared" si="781"/>
        <v>20</v>
      </c>
      <c r="D703" s="47" t="s">
        <v>112</v>
      </c>
      <c r="E703" s="216"/>
      <c r="F703" s="48" t="str">
        <f t="shared" ref="F703:G703" si="782">F702</f>
        <v/>
      </c>
      <c r="G703" s="48" t="str">
        <f t="shared" si="782"/>
        <v>Player 4</v>
      </c>
    </row>
    <row r="704">
      <c r="A704" s="213">
        <f t="shared" si="781"/>
        <v>20</v>
      </c>
      <c r="D704" s="47" t="s">
        <v>113</v>
      </c>
      <c r="E704" s="216"/>
      <c r="F704" s="48" t="str">
        <f t="shared" ref="F704:G704" si="783">F703</f>
        <v/>
      </c>
      <c r="G704" s="48" t="str">
        <f t="shared" si="783"/>
        <v>Player 4</v>
      </c>
    </row>
    <row r="705">
      <c r="A705" s="213">
        <f t="shared" si="781"/>
        <v>20</v>
      </c>
      <c r="D705" s="47" t="s">
        <v>114</v>
      </c>
      <c r="E705" s="216"/>
      <c r="F705" s="48" t="str">
        <f t="shared" ref="F705:G705" si="784">F704</f>
        <v/>
      </c>
      <c r="G705" s="48" t="str">
        <f t="shared" si="784"/>
        <v>Player 4</v>
      </c>
    </row>
    <row r="706">
      <c r="A706" s="213">
        <f>A704</f>
        <v>20</v>
      </c>
      <c r="B706" s="214"/>
      <c r="C706" s="215" t="s">
        <v>133</v>
      </c>
      <c r="D706" s="47" t="s">
        <v>110</v>
      </c>
      <c r="F706" s="48" t="str">
        <f t="shared" ref="F706:G706" si="785">B706</f>
        <v/>
      </c>
      <c r="G706" s="48" t="str">
        <f t="shared" si="785"/>
        <v>Player 5</v>
      </c>
    </row>
    <row r="707">
      <c r="A707" s="213">
        <f t="shared" ref="A707:A720" si="787">A706</f>
        <v>20</v>
      </c>
      <c r="D707" s="47" t="s">
        <v>111</v>
      </c>
      <c r="E707" s="47" t="s">
        <v>80</v>
      </c>
      <c r="F707" s="48" t="str">
        <f t="shared" ref="F707:G707" si="786">F706</f>
        <v/>
      </c>
      <c r="G707" s="48" t="str">
        <f t="shared" si="786"/>
        <v>Player 5</v>
      </c>
    </row>
    <row r="708">
      <c r="A708" s="213">
        <f t="shared" si="787"/>
        <v>20</v>
      </c>
      <c r="D708" s="47" t="s">
        <v>112</v>
      </c>
      <c r="E708" s="216"/>
      <c r="F708" s="48" t="str">
        <f t="shared" ref="F708:G708" si="788">F707</f>
        <v/>
      </c>
      <c r="G708" s="48" t="str">
        <f t="shared" si="788"/>
        <v>Player 5</v>
      </c>
    </row>
    <row r="709">
      <c r="A709" s="213">
        <f t="shared" si="787"/>
        <v>20</v>
      </c>
      <c r="D709" s="47" t="s">
        <v>113</v>
      </c>
      <c r="E709" s="216"/>
      <c r="F709" s="48" t="str">
        <f t="shared" ref="F709:G709" si="789">F708</f>
        <v/>
      </c>
      <c r="G709" s="48" t="str">
        <f t="shared" si="789"/>
        <v>Player 5</v>
      </c>
    </row>
    <row r="710">
      <c r="A710" s="213">
        <f t="shared" si="787"/>
        <v>20</v>
      </c>
      <c r="D710" s="47" t="s">
        <v>114</v>
      </c>
      <c r="E710" s="216"/>
      <c r="F710" s="48" t="str">
        <f t="shared" ref="F710:G710" si="790">F709</f>
        <v/>
      </c>
      <c r="G710" s="48" t="str">
        <f t="shared" si="790"/>
        <v>Player 5</v>
      </c>
    </row>
    <row r="711">
      <c r="A711" s="213">
        <f t="shared" si="787"/>
        <v>20</v>
      </c>
      <c r="B711" s="214"/>
      <c r="C711" s="215" t="s">
        <v>139</v>
      </c>
      <c r="D711" s="47" t="s">
        <v>110</v>
      </c>
      <c r="E711" s="216"/>
      <c r="F711" s="48" t="str">
        <f t="shared" ref="F711:G711" si="791">B711</f>
        <v/>
      </c>
      <c r="G711" s="48" t="str">
        <f t="shared" si="791"/>
        <v>Player 6 (Substitute)</v>
      </c>
    </row>
    <row r="712">
      <c r="A712" s="213">
        <f t="shared" si="787"/>
        <v>20</v>
      </c>
      <c r="D712" s="47" t="s">
        <v>111</v>
      </c>
      <c r="E712" s="47" t="s">
        <v>80</v>
      </c>
      <c r="F712" s="48" t="str">
        <f t="shared" ref="F712:G712" si="792">F711</f>
        <v/>
      </c>
      <c r="G712" s="48" t="str">
        <f t="shared" si="792"/>
        <v>Player 6 (Substitute)</v>
      </c>
    </row>
    <row r="713">
      <c r="A713" s="213">
        <f t="shared" si="787"/>
        <v>20</v>
      </c>
      <c r="D713" s="47" t="s">
        <v>112</v>
      </c>
      <c r="E713" s="216"/>
      <c r="F713" s="48" t="str">
        <f t="shared" ref="F713:G713" si="793">F712</f>
        <v/>
      </c>
      <c r="G713" s="48" t="str">
        <f t="shared" si="793"/>
        <v>Player 6 (Substitute)</v>
      </c>
    </row>
    <row r="714">
      <c r="A714" s="213">
        <f t="shared" si="787"/>
        <v>20</v>
      </c>
      <c r="D714" s="47" t="s">
        <v>113</v>
      </c>
      <c r="E714" s="216"/>
      <c r="F714" s="48" t="str">
        <f t="shared" ref="F714:G714" si="794">F713</f>
        <v/>
      </c>
      <c r="G714" s="48" t="str">
        <f t="shared" si="794"/>
        <v>Player 6 (Substitute)</v>
      </c>
    </row>
    <row r="715">
      <c r="A715" s="213">
        <f t="shared" si="787"/>
        <v>20</v>
      </c>
      <c r="D715" s="47" t="s">
        <v>114</v>
      </c>
      <c r="E715" s="216"/>
      <c r="F715" s="48" t="str">
        <f t="shared" ref="F715:G715" si="795">F714</f>
        <v/>
      </c>
      <c r="G715" s="48" t="str">
        <f t="shared" si="795"/>
        <v>Player 6 (Substitute)</v>
      </c>
    </row>
    <row r="716">
      <c r="A716" s="213">
        <f t="shared" si="787"/>
        <v>20</v>
      </c>
      <c r="B716" s="214"/>
      <c r="C716" s="215" t="s">
        <v>145</v>
      </c>
      <c r="D716" s="47" t="s">
        <v>110</v>
      </c>
      <c r="F716" s="48" t="str">
        <f t="shared" ref="F716:G716" si="796">B716</f>
        <v/>
      </c>
      <c r="G716" s="48" t="str">
        <f t="shared" si="796"/>
        <v>Coach</v>
      </c>
    </row>
    <row r="717">
      <c r="A717" s="213">
        <f t="shared" si="787"/>
        <v>20</v>
      </c>
      <c r="D717" s="47" t="s">
        <v>111</v>
      </c>
      <c r="E717" s="47" t="s">
        <v>80</v>
      </c>
      <c r="F717" s="48" t="str">
        <f t="shared" ref="F717:G717" si="797">F716</f>
        <v/>
      </c>
      <c r="G717" s="48" t="str">
        <f t="shared" si="797"/>
        <v>Coach</v>
      </c>
    </row>
    <row r="718">
      <c r="A718" s="213">
        <f t="shared" si="787"/>
        <v>20</v>
      </c>
      <c r="D718" s="47" t="s">
        <v>112</v>
      </c>
      <c r="E718" s="216"/>
      <c r="F718" s="48" t="str">
        <f t="shared" ref="F718:G718" si="798">F717</f>
        <v/>
      </c>
      <c r="G718" s="48" t="str">
        <f t="shared" si="798"/>
        <v>Coach</v>
      </c>
    </row>
    <row r="719">
      <c r="A719" s="213">
        <f t="shared" si="787"/>
        <v>20</v>
      </c>
      <c r="D719" s="47" t="s">
        <v>113</v>
      </c>
      <c r="E719" s="218"/>
      <c r="F719" s="48" t="str">
        <f t="shared" ref="F719:G719" si="799">F718</f>
        <v/>
      </c>
      <c r="G719" s="48" t="str">
        <f t="shared" si="799"/>
        <v>Coach</v>
      </c>
    </row>
    <row r="720">
      <c r="A720" s="213">
        <f t="shared" si="787"/>
        <v>20</v>
      </c>
      <c r="D720" s="47" t="s">
        <v>114</v>
      </c>
      <c r="E720" s="218"/>
      <c r="F720" s="48" t="str">
        <f t="shared" ref="F720:G720" si="800">F719</f>
        <v/>
      </c>
      <c r="G720" s="48" t="str">
        <f t="shared" si="800"/>
        <v>Coach</v>
      </c>
    </row>
    <row r="721">
      <c r="A721" s="212">
        <f>A685+1</f>
        <v>21</v>
      </c>
      <c r="B721" s="212" t="str">
        <f t="array" ref="B721">xlookup(A721,'Team Entry'!$C:$C,'Team Entry'!$A:$A,"")</f>
        <v>Team 9 (Group 1)</v>
      </c>
    </row>
    <row r="722">
      <c r="A722" s="213">
        <f t="shared" ref="A722:A726" si="802">A721</f>
        <v>21</v>
      </c>
      <c r="B722" s="214"/>
      <c r="C722" s="215" t="s">
        <v>109</v>
      </c>
      <c r="D722" s="47" t="s">
        <v>110</v>
      </c>
      <c r="F722" s="48" t="str">
        <f t="shared" ref="F722:G722" si="801">B722</f>
        <v/>
      </c>
      <c r="G722" s="48" t="str">
        <f t="shared" si="801"/>
        <v>Player 1</v>
      </c>
    </row>
    <row r="723">
      <c r="A723" s="213">
        <f t="shared" si="802"/>
        <v>21</v>
      </c>
      <c r="D723" s="47" t="s">
        <v>111</v>
      </c>
      <c r="E723" s="47" t="s">
        <v>80</v>
      </c>
      <c r="F723" s="48" t="str">
        <f t="shared" ref="F723:G723" si="803">F722</f>
        <v/>
      </c>
      <c r="G723" s="48" t="str">
        <f t="shared" si="803"/>
        <v>Player 1</v>
      </c>
    </row>
    <row r="724">
      <c r="A724" s="213">
        <f t="shared" si="802"/>
        <v>21</v>
      </c>
      <c r="D724" s="47" t="s">
        <v>112</v>
      </c>
      <c r="E724" s="216"/>
      <c r="F724" s="48" t="str">
        <f t="shared" ref="F724:G724" si="804">F723</f>
        <v/>
      </c>
      <c r="G724" s="48" t="str">
        <f t="shared" si="804"/>
        <v>Player 1</v>
      </c>
    </row>
    <row r="725">
      <c r="A725" s="213">
        <f t="shared" si="802"/>
        <v>21</v>
      </c>
      <c r="D725" s="47" t="s">
        <v>113</v>
      </c>
      <c r="E725" s="216"/>
      <c r="F725" s="48" t="str">
        <f t="shared" ref="F725:G725" si="805">F724</f>
        <v/>
      </c>
      <c r="G725" s="48" t="str">
        <f t="shared" si="805"/>
        <v>Player 1</v>
      </c>
    </row>
    <row r="726">
      <c r="A726" s="213">
        <f t="shared" si="802"/>
        <v>21</v>
      </c>
      <c r="D726" s="47" t="s">
        <v>114</v>
      </c>
      <c r="E726" s="216"/>
      <c r="F726" s="48" t="str">
        <f t="shared" ref="F726:G726" si="806">F725</f>
        <v/>
      </c>
      <c r="G726" s="48" t="str">
        <f t="shared" si="806"/>
        <v>Player 1</v>
      </c>
    </row>
    <row r="727">
      <c r="A727" s="213">
        <f>A725</f>
        <v>21</v>
      </c>
      <c r="B727" s="214"/>
      <c r="C727" s="215" t="s">
        <v>115</v>
      </c>
      <c r="D727" s="47" t="s">
        <v>110</v>
      </c>
      <c r="F727" s="48" t="str">
        <f t="shared" ref="F727:G727" si="807">B727</f>
        <v/>
      </c>
      <c r="G727" s="48" t="str">
        <f t="shared" si="807"/>
        <v>Player 2</v>
      </c>
    </row>
    <row r="728">
      <c r="A728" s="213">
        <f t="shared" ref="A728:A731" si="809">A727</f>
        <v>21</v>
      </c>
      <c r="D728" s="47" t="s">
        <v>111</v>
      </c>
      <c r="E728" s="47" t="s">
        <v>80</v>
      </c>
      <c r="F728" s="48" t="str">
        <f t="shared" ref="F728:G728" si="808">F727</f>
        <v/>
      </c>
      <c r="G728" s="48" t="str">
        <f t="shared" si="808"/>
        <v>Player 2</v>
      </c>
    </row>
    <row r="729">
      <c r="A729" s="213">
        <f t="shared" si="809"/>
        <v>21</v>
      </c>
      <c r="D729" s="47" t="s">
        <v>112</v>
      </c>
      <c r="E729" s="216"/>
      <c r="F729" s="48" t="str">
        <f t="shared" ref="F729:G729" si="810">F728</f>
        <v/>
      </c>
      <c r="G729" s="48" t="str">
        <f t="shared" si="810"/>
        <v>Player 2</v>
      </c>
    </row>
    <row r="730">
      <c r="A730" s="213">
        <f t="shared" si="809"/>
        <v>21</v>
      </c>
      <c r="D730" s="47" t="s">
        <v>113</v>
      </c>
      <c r="E730" s="216"/>
      <c r="F730" s="48" t="str">
        <f t="shared" ref="F730:G730" si="811">F729</f>
        <v/>
      </c>
      <c r="G730" s="48" t="str">
        <f t="shared" si="811"/>
        <v>Player 2</v>
      </c>
    </row>
    <row r="731">
      <c r="A731" s="213">
        <f t="shared" si="809"/>
        <v>21</v>
      </c>
      <c r="D731" s="47" t="s">
        <v>114</v>
      </c>
      <c r="E731" s="216"/>
      <c r="F731" s="48" t="str">
        <f t="shared" ref="F731:G731" si="812">F730</f>
        <v/>
      </c>
      <c r="G731" s="48" t="str">
        <f t="shared" si="812"/>
        <v>Player 2</v>
      </c>
    </row>
    <row r="732">
      <c r="A732" s="213">
        <f>A730</f>
        <v>21</v>
      </c>
      <c r="B732" s="214"/>
      <c r="C732" s="215" t="s">
        <v>121</v>
      </c>
      <c r="D732" s="47" t="s">
        <v>110</v>
      </c>
      <c r="F732" s="48" t="str">
        <f t="shared" ref="F732:G732" si="813">B732</f>
        <v/>
      </c>
      <c r="G732" s="48" t="str">
        <f t="shared" si="813"/>
        <v>Player 3</v>
      </c>
    </row>
    <row r="733">
      <c r="A733" s="213">
        <f t="shared" ref="A733:A736" si="815">A732</f>
        <v>21</v>
      </c>
      <c r="D733" s="47" t="s">
        <v>111</v>
      </c>
      <c r="E733" s="47" t="s">
        <v>80</v>
      </c>
      <c r="F733" s="48" t="str">
        <f t="shared" ref="F733:G733" si="814">F732</f>
        <v/>
      </c>
      <c r="G733" s="48" t="str">
        <f t="shared" si="814"/>
        <v>Player 3</v>
      </c>
    </row>
    <row r="734">
      <c r="A734" s="213">
        <f t="shared" si="815"/>
        <v>21</v>
      </c>
      <c r="D734" s="47" t="s">
        <v>112</v>
      </c>
      <c r="E734" s="216"/>
      <c r="F734" s="48" t="str">
        <f t="shared" ref="F734:G734" si="816">F733</f>
        <v/>
      </c>
      <c r="G734" s="48" t="str">
        <f t="shared" si="816"/>
        <v>Player 3</v>
      </c>
    </row>
    <row r="735">
      <c r="A735" s="213">
        <f t="shared" si="815"/>
        <v>21</v>
      </c>
      <c r="D735" s="47" t="s">
        <v>113</v>
      </c>
      <c r="E735" s="216"/>
      <c r="F735" s="48" t="str">
        <f t="shared" ref="F735:G735" si="817">F734</f>
        <v/>
      </c>
      <c r="G735" s="48" t="str">
        <f t="shared" si="817"/>
        <v>Player 3</v>
      </c>
    </row>
    <row r="736">
      <c r="A736" s="213">
        <f t="shared" si="815"/>
        <v>21</v>
      </c>
      <c r="D736" s="47" t="s">
        <v>114</v>
      </c>
      <c r="E736" s="216"/>
      <c r="F736" s="48" t="str">
        <f t="shared" ref="F736:G736" si="818">F735</f>
        <v/>
      </c>
      <c r="G736" s="48" t="str">
        <f t="shared" si="818"/>
        <v>Player 3</v>
      </c>
    </row>
    <row r="737">
      <c r="A737" s="213">
        <f>A735</f>
        <v>21</v>
      </c>
      <c r="B737" s="214"/>
      <c r="C737" s="215" t="s">
        <v>127</v>
      </c>
      <c r="D737" s="47" t="s">
        <v>110</v>
      </c>
      <c r="F737" s="48" t="str">
        <f t="shared" ref="F737:G737" si="819">B737</f>
        <v/>
      </c>
      <c r="G737" s="48" t="str">
        <f t="shared" si="819"/>
        <v>Player 4</v>
      </c>
    </row>
    <row r="738">
      <c r="A738" s="213">
        <f t="shared" ref="A738:A741" si="821">A737</f>
        <v>21</v>
      </c>
      <c r="D738" s="47" t="s">
        <v>111</v>
      </c>
      <c r="E738" s="47" t="s">
        <v>80</v>
      </c>
      <c r="F738" s="48" t="str">
        <f t="shared" ref="F738:G738" si="820">F737</f>
        <v/>
      </c>
      <c r="G738" s="48" t="str">
        <f t="shared" si="820"/>
        <v>Player 4</v>
      </c>
    </row>
    <row r="739">
      <c r="A739" s="213">
        <f t="shared" si="821"/>
        <v>21</v>
      </c>
      <c r="D739" s="47" t="s">
        <v>112</v>
      </c>
      <c r="E739" s="216"/>
      <c r="F739" s="48" t="str">
        <f t="shared" ref="F739:G739" si="822">F738</f>
        <v/>
      </c>
      <c r="G739" s="48" t="str">
        <f t="shared" si="822"/>
        <v>Player 4</v>
      </c>
    </row>
    <row r="740">
      <c r="A740" s="213">
        <f t="shared" si="821"/>
        <v>21</v>
      </c>
      <c r="D740" s="47" t="s">
        <v>113</v>
      </c>
      <c r="E740" s="216"/>
      <c r="F740" s="48" t="str">
        <f t="shared" ref="F740:G740" si="823">F739</f>
        <v/>
      </c>
      <c r="G740" s="48" t="str">
        <f t="shared" si="823"/>
        <v>Player 4</v>
      </c>
    </row>
    <row r="741">
      <c r="A741" s="213">
        <f t="shared" si="821"/>
        <v>21</v>
      </c>
      <c r="D741" s="47" t="s">
        <v>114</v>
      </c>
      <c r="E741" s="216"/>
      <c r="F741" s="48" t="str">
        <f t="shared" ref="F741:G741" si="824">F740</f>
        <v/>
      </c>
      <c r="G741" s="48" t="str">
        <f t="shared" si="824"/>
        <v>Player 4</v>
      </c>
    </row>
    <row r="742">
      <c r="A742" s="213">
        <f>A740</f>
        <v>21</v>
      </c>
      <c r="B742" s="214"/>
      <c r="C742" s="215" t="s">
        <v>133</v>
      </c>
      <c r="D742" s="47" t="s">
        <v>110</v>
      </c>
      <c r="F742" s="48" t="str">
        <f t="shared" ref="F742:G742" si="825">B742</f>
        <v/>
      </c>
      <c r="G742" s="48" t="str">
        <f t="shared" si="825"/>
        <v>Player 5</v>
      </c>
    </row>
    <row r="743">
      <c r="A743" s="213">
        <f t="shared" ref="A743:A756" si="827">A742</f>
        <v>21</v>
      </c>
      <c r="D743" s="47" t="s">
        <v>111</v>
      </c>
      <c r="E743" s="47" t="s">
        <v>80</v>
      </c>
      <c r="F743" s="48" t="str">
        <f t="shared" ref="F743:G743" si="826">F742</f>
        <v/>
      </c>
      <c r="G743" s="48" t="str">
        <f t="shared" si="826"/>
        <v>Player 5</v>
      </c>
    </row>
    <row r="744">
      <c r="A744" s="213">
        <f t="shared" si="827"/>
        <v>21</v>
      </c>
      <c r="D744" s="47" t="s">
        <v>112</v>
      </c>
      <c r="E744" s="216"/>
      <c r="F744" s="48" t="str">
        <f t="shared" ref="F744:G744" si="828">F743</f>
        <v/>
      </c>
      <c r="G744" s="48" t="str">
        <f t="shared" si="828"/>
        <v>Player 5</v>
      </c>
    </row>
    <row r="745">
      <c r="A745" s="213">
        <f t="shared" si="827"/>
        <v>21</v>
      </c>
      <c r="D745" s="47" t="s">
        <v>113</v>
      </c>
      <c r="E745" s="216"/>
      <c r="F745" s="48" t="str">
        <f t="shared" ref="F745:G745" si="829">F744</f>
        <v/>
      </c>
      <c r="G745" s="48" t="str">
        <f t="shared" si="829"/>
        <v>Player 5</v>
      </c>
    </row>
    <row r="746">
      <c r="A746" s="213">
        <f t="shared" si="827"/>
        <v>21</v>
      </c>
      <c r="D746" s="47" t="s">
        <v>114</v>
      </c>
      <c r="E746" s="216"/>
      <c r="F746" s="48" t="str">
        <f t="shared" ref="F746:G746" si="830">F745</f>
        <v/>
      </c>
      <c r="G746" s="48" t="str">
        <f t="shared" si="830"/>
        <v>Player 5</v>
      </c>
    </row>
    <row r="747">
      <c r="A747" s="213">
        <f t="shared" si="827"/>
        <v>21</v>
      </c>
      <c r="B747" s="214"/>
      <c r="C747" s="215" t="s">
        <v>139</v>
      </c>
      <c r="D747" s="47" t="s">
        <v>110</v>
      </c>
      <c r="E747" s="216"/>
      <c r="F747" s="48" t="str">
        <f t="shared" ref="F747:G747" si="831">B747</f>
        <v/>
      </c>
      <c r="G747" s="48" t="str">
        <f t="shared" si="831"/>
        <v>Player 6 (Substitute)</v>
      </c>
    </row>
    <row r="748">
      <c r="A748" s="213">
        <f t="shared" si="827"/>
        <v>21</v>
      </c>
      <c r="D748" s="47" t="s">
        <v>111</v>
      </c>
      <c r="E748" s="47" t="s">
        <v>80</v>
      </c>
      <c r="F748" s="48" t="str">
        <f t="shared" ref="F748:G748" si="832">F747</f>
        <v/>
      </c>
      <c r="G748" s="48" t="str">
        <f t="shared" si="832"/>
        <v>Player 6 (Substitute)</v>
      </c>
    </row>
    <row r="749">
      <c r="A749" s="213">
        <f t="shared" si="827"/>
        <v>21</v>
      </c>
      <c r="D749" s="47" t="s">
        <v>112</v>
      </c>
      <c r="E749" s="216"/>
      <c r="F749" s="48" t="str">
        <f t="shared" ref="F749:G749" si="833">F748</f>
        <v/>
      </c>
      <c r="G749" s="48" t="str">
        <f t="shared" si="833"/>
        <v>Player 6 (Substitute)</v>
      </c>
    </row>
    <row r="750">
      <c r="A750" s="213">
        <f t="shared" si="827"/>
        <v>21</v>
      </c>
      <c r="D750" s="47" t="s">
        <v>113</v>
      </c>
      <c r="E750" s="216"/>
      <c r="F750" s="48" t="str">
        <f t="shared" ref="F750:G750" si="834">F749</f>
        <v/>
      </c>
      <c r="G750" s="48" t="str">
        <f t="shared" si="834"/>
        <v>Player 6 (Substitute)</v>
      </c>
    </row>
    <row r="751">
      <c r="A751" s="213">
        <f t="shared" si="827"/>
        <v>21</v>
      </c>
      <c r="D751" s="47" t="s">
        <v>114</v>
      </c>
      <c r="E751" s="216"/>
      <c r="F751" s="48" t="str">
        <f t="shared" ref="F751:G751" si="835">F750</f>
        <v/>
      </c>
      <c r="G751" s="48" t="str">
        <f t="shared" si="835"/>
        <v>Player 6 (Substitute)</v>
      </c>
    </row>
    <row r="752">
      <c r="A752" s="213">
        <f t="shared" si="827"/>
        <v>21</v>
      </c>
      <c r="B752" s="214"/>
      <c r="C752" s="215" t="s">
        <v>145</v>
      </c>
      <c r="D752" s="47" t="s">
        <v>110</v>
      </c>
      <c r="F752" s="48" t="str">
        <f t="shared" ref="F752:G752" si="836">B752</f>
        <v/>
      </c>
      <c r="G752" s="48" t="str">
        <f t="shared" si="836"/>
        <v>Coach</v>
      </c>
    </row>
    <row r="753">
      <c r="A753" s="213">
        <f t="shared" si="827"/>
        <v>21</v>
      </c>
      <c r="D753" s="47" t="s">
        <v>111</v>
      </c>
      <c r="E753" s="47" t="s">
        <v>80</v>
      </c>
      <c r="F753" s="48" t="str">
        <f t="shared" ref="F753:G753" si="837">F752</f>
        <v/>
      </c>
      <c r="G753" s="48" t="str">
        <f t="shared" si="837"/>
        <v>Coach</v>
      </c>
    </row>
    <row r="754">
      <c r="A754" s="213">
        <f t="shared" si="827"/>
        <v>21</v>
      </c>
      <c r="D754" s="47" t="s">
        <v>112</v>
      </c>
      <c r="E754" s="216"/>
      <c r="F754" s="48" t="str">
        <f t="shared" ref="F754:G754" si="838">F753</f>
        <v/>
      </c>
      <c r="G754" s="48" t="str">
        <f t="shared" si="838"/>
        <v>Coach</v>
      </c>
    </row>
    <row r="755">
      <c r="A755" s="213">
        <f t="shared" si="827"/>
        <v>21</v>
      </c>
      <c r="D755" s="47" t="s">
        <v>113</v>
      </c>
      <c r="E755" s="218"/>
      <c r="F755" s="48" t="str">
        <f t="shared" ref="F755:G755" si="839">F754</f>
        <v/>
      </c>
      <c r="G755" s="48" t="str">
        <f t="shared" si="839"/>
        <v>Coach</v>
      </c>
    </row>
    <row r="756">
      <c r="A756" s="213">
        <f t="shared" si="827"/>
        <v>21</v>
      </c>
      <c r="D756" s="47" t="s">
        <v>114</v>
      </c>
      <c r="E756" s="218"/>
      <c r="F756" s="48" t="str">
        <f t="shared" ref="F756:G756" si="840">F755</f>
        <v/>
      </c>
      <c r="G756" s="48" t="str">
        <f t="shared" si="840"/>
        <v>Coach</v>
      </c>
    </row>
    <row r="757">
      <c r="A757" s="212">
        <f>A721+1</f>
        <v>22</v>
      </c>
      <c r="B757" s="212" t="str">
        <f t="array" ref="B757">xlookup(A757,'Team Entry'!$C:$C,'Team Entry'!$A:$A,"")</f>
        <v>Team 10 (Group 1)</v>
      </c>
    </row>
    <row r="758">
      <c r="A758" s="213">
        <f t="shared" ref="A758:A762" si="842">A757</f>
        <v>22</v>
      </c>
      <c r="B758" s="214"/>
      <c r="C758" s="215" t="s">
        <v>109</v>
      </c>
      <c r="D758" s="47" t="s">
        <v>110</v>
      </c>
      <c r="F758" s="48" t="str">
        <f t="shared" ref="F758:G758" si="841">B758</f>
        <v/>
      </c>
      <c r="G758" s="48" t="str">
        <f t="shared" si="841"/>
        <v>Player 1</v>
      </c>
    </row>
    <row r="759">
      <c r="A759" s="213">
        <f t="shared" si="842"/>
        <v>22</v>
      </c>
      <c r="D759" s="47" t="s">
        <v>111</v>
      </c>
      <c r="E759" s="47" t="s">
        <v>80</v>
      </c>
      <c r="F759" s="48" t="str">
        <f t="shared" ref="F759:G759" si="843">F758</f>
        <v/>
      </c>
      <c r="G759" s="48" t="str">
        <f t="shared" si="843"/>
        <v>Player 1</v>
      </c>
    </row>
    <row r="760">
      <c r="A760" s="213">
        <f t="shared" si="842"/>
        <v>22</v>
      </c>
      <c r="D760" s="47" t="s">
        <v>112</v>
      </c>
      <c r="E760" s="216"/>
      <c r="F760" s="48" t="str">
        <f t="shared" ref="F760:G760" si="844">F759</f>
        <v/>
      </c>
      <c r="G760" s="48" t="str">
        <f t="shared" si="844"/>
        <v>Player 1</v>
      </c>
    </row>
    <row r="761">
      <c r="A761" s="213">
        <f t="shared" si="842"/>
        <v>22</v>
      </c>
      <c r="D761" s="47" t="s">
        <v>113</v>
      </c>
      <c r="E761" s="216"/>
      <c r="F761" s="48" t="str">
        <f t="shared" ref="F761:G761" si="845">F760</f>
        <v/>
      </c>
      <c r="G761" s="48" t="str">
        <f t="shared" si="845"/>
        <v>Player 1</v>
      </c>
    </row>
    <row r="762">
      <c r="A762" s="213">
        <f t="shared" si="842"/>
        <v>22</v>
      </c>
      <c r="D762" s="47" t="s">
        <v>114</v>
      </c>
      <c r="E762" s="216"/>
      <c r="F762" s="48" t="str">
        <f t="shared" ref="F762:G762" si="846">F761</f>
        <v/>
      </c>
      <c r="G762" s="48" t="str">
        <f t="shared" si="846"/>
        <v>Player 1</v>
      </c>
    </row>
    <row r="763">
      <c r="A763" s="213">
        <f>A761</f>
        <v>22</v>
      </c>
      <c r="B763" s="214"/>
      <c r="C763" s="215" t="s">
        <v>115</v>
      </c>
      <c r="D763" s="47" t="s">
        <v>110</v>
      </c>
      <c r="F763" s="48" t="str">
        <f t="shared" ref="F763:G763" si="847">B763</f>
        <v/>
      </c>
      <c r="G763" s="48" t="str">
        <f t="shared" si="847"/>
        <v>Player 2</v>
      </c>
    </row>
    <row r="764">
      <c r="A764" s="213">
        <f t="shared" ref="A764:A767" si="849">A763</f>
        <v>22</v>
      </c>
      <c r="D764" s="47" t="s">
        <v>111</v>
      </c>
      <c r="E764" s="47" t="s">
        <v>80</v>
      </c>
      <c r="F764" s="48" t="str">
        <f t="shared" ref="F764:G764" si="848">F763</f>
        <v/>
      </c>
      <c r="G764" s="48" t="str">
        <f t="shared" si="848"/>
        <v>Player 2</v>
      </c>
    </row>
    <row r="765">
      <c r="A765" s="213">
        <f t="shared" si="849"/>
        <v>22</v>
      </c>
      <c r="D765" s="47" t="s">
        <v>112</v>
      </c>
      <c r="E765" s="216"/>
      <c r="F765" s="48" t="str">
        <f t="shared" ref="F765:G765" si="850">F764</f>
        <v/>
      </c>
      <c r="G765" s="48" t="str">
        <f t="shared" si="850"/>
        <v>Player 2</v>
      </c>
    </row>
    <row r="766">
      <c r="A766" s="213">
        <f t="shared" si="849"/>
        <v>22</v>
      </c>
      <c r="D766" s="47" t="s">
        <v>113</v>
      </c>
      <c r="E766" s="216"/>
      <c r="F766" s="48" t="str">
        <f t="shared" ref="F766:G766" si="851">F765</f>
        <v/>
      </c>
      <c r="G766" s="48" t="str">
        <f t="shared" si="851"/>
        <v>Player 2</v>
      </c>
    </row>
    <row r="767">
      <c r="A767" s="213">
        <f t="shared" si="849"/>
        <v>22</v>
      </c>
      <c r="D767" s="47" t="s">
        <v>114</v>
      </c>
      <c r="E767" s="216"/>
      <c r="F767" s="48" t="str">
        <f t="shared" ref="F767:G767" si="852">F766</f>
        <v/>
      </c>
      <c r="G767" s="48" t="str">
        <f t="shared" si="852"/>
        <v>Player 2</v>
      </c>
    </row>
    <row r="768">
      <c r="A768" s="213">
        <f>A766</f>
        <v>22</v>
      </c>
      <c r="B768" s="214"/>
      <c r="C768" s="215" t="s">
        <v>121</v>
      </c>
      <c r="D768" s="47" t="s">
        <v>110</v>
      </c>
      <c r="F768" s="48" t="str">
        <f t="shared" ref="F768:G768" si="853">B768</f>
        <v/>
      </c>
      <c r="G768" s="48" t="str">
        <f t="shared" si="853"/>
        <v>Player 3</v>
      </c>
    </row>
    <row r="769">
      <c r="A769" s="213">
        <f t="shared" ref="A769:A772" si="855">A768</f>
        <v>22</v>
      </c>
      <c r="D769" s="47" t="s">
        <v>111</v>
      </c>
      <c r="E769" s="47" t="s">
        <v>80</v>
      </c>
      <c r="F769" s="48" t="str">
        <f t="shared" ref="F769:G769" si="854">F768</f>
        <v/>
      </c>
      <c r="G769" s="48" t="str">
        <f t="shared" si="854"/>
        <v>Player 3</v>
      </c>
    </row>
    <row r="770">
      <c r="A770" s="213">
        <f t="shared" si="855"/>
        <v>22</v>
      </c>
      <c r="D770" s="47" t="s">
        <v>112</v>
      </c>
      <c r="E770" s="216"/>
      <c r="F770" s="48" t="str">
        <f t="shared" ref="F770:G770" si="856">F769</f>
        <v/>
      </c>
      <c r="G770" s="48" t="str">
        <f t="shared" si="856"/>
        <v>Player 3</v>
      </c>
    </row>
    <row r="771">
      <c r="A771" s="213">
        <f t="shared" si="855"/>
        <v>22</v>
      </c>
      <c r="D771" s="47" t="s">
        <v>113</v>
      </c>
      <c r="E771" s="216"/>
      <c r="F771" s="48" t="str">
        <f t="shared" ref="F771:G771" si="857">F770</f>
        <v/>
      </c>
      <c r="G771" s="48" t="str">
        <f t="shared" si="857"/>
        <v>Player 3</v>
      </c>
    </row>
    <row r="772">
      <c r="A772" s="213">
        <f t="shared" si="855"/>
        <v>22</v>
      </c>
      <c r="D772" s="47" t="s">
        <v>114</v>
      </c>
      <c r="E772" s="216"/>
      <c r="F772" s="48" t="str">
        <f t="shared" ref="F772:G772" si="858">F771</f>
        <v/>
      </c>
      <c r="G772" s="48" t="str">
        <f t="shared" si="858"/>
        <v>Player 3</v>
      </c>
    </row>
    <row r="773">
      <c r="A773" s="213">
        <f>A771</f>
        <v>22</v>
      </c>
      <c r="B773" s="214"/>
      <c r="C773" s="215" t="s">
        <v>127</v>
      </c>
      <c r="D773" s="47" t="s">
        <v>110</v>
      </c>
      <c r="F773" s="48" t="str">
        <f t="shared" ref="F773:G773" si="859">B773</f>
        <v/>
      </c>
      <c r="G773" s="48" t="str">
        <f t="shared" si="859"/>
        <v>Player 4</v>
      </c>
    </row>
    <row r="774">
      <c r="A774" s="213">
        <f t="shared" ref="A774:A777" si="861">A773</f>
        <v>22</v>
      </c>
      <c r="D774" s="47" t="s">
        <v>111</v>
      </c>
      <c r="E774" s="47" t="s">
        <v>80</v>
      </c>
      <c r="F774" s="48" t="str">
        <f t="shared" ref="F774:G774" si="860">F773</f>
        <v/>
      </c>
      <c r="G774" s="48" t="str">
        <f t="shared" si="860"/>
        <v>Player 4</v>
      </c>
    </row>
    <row r="775">
      <c r="A775" s="213">
        <f t="shared" si="861"/>
        <v>22</v>
      </c>
      <c r="D775" s="47" t="s">
        <v>112</v>
      </c>
      <c r="E775" s="216"/>
      <c r="F775" s="48" t="str">
        <f t="shared" ref="F775:G775" si="862">F774</f>
        <v/>
      </c>
      <c r="G775" s="48" t="str">
        <f t="shared" si="862"/>
        <v>Player 4</v>
      </c>
    </row>
    <row r="776">
      <c r="A776" s="213">
        <f t="shared" si="861"/>
        <v>22</v>
      </c>
      <c r="D776" s="47" t="s">
        <v>113</v>
      </c>
      <c r="E776" s="216"/>
      <c r="F776" s="48" t="str">
        <f t="shared" ref="F776:G776" si="863">F775</f>
        <v/>
      </c>
      <c r="G776" s="48" t="str">
        <f t="shared" si="863"/>
        <v>Player 4</v>
      </c>
    </row>
    <row r="777">
      <c r="A777" s="213">
        <f t="shared" si="861"/>
        <v>22</v>
      </c>
      <c r="D777" s="47" t="s">
        <v>114</v>
      </c>
      <c r="E777" s="216"/>
      <c r="F777" s="48" t="str">
        <f t="shared" ref="F777:G777" si="864">F776</f>
        <v/>
      </c>
      <c r="G777" s="48" t="str">
        <f t="shared" si="864"/>
        <v>Player 4</v>
      </c>
    </row>
    <row r="778">
      <c r="A778" s="213">
        <f>A776</f>
        <v>22</v>
      </c>
      <c r="B778" s="214"/>
      <c r="C778" s="215" t="s">
        <v>133</v>
      </c>
      <c r="D778" s="47" t="s">
        <v>110</v>
      </c>
      <c r="F778" s="48" t="str">
        <f t="shared" ref="F778:G778" si="865">B778</f>
        <v/>
      </c>
      <c r="G778" s="48" t="str">
        <f t="shared" si="865"/>
        <v>Player 5</v>
      </c>
    </row>
    <row r="779">
      <c r="A779" s="213">
        <f t="shared" ref="A779:A792" si="867">A778</f>
        <v>22</v>
      </c>
      <c r="D779" s="47" t="s">
        <v>111</v>
      </c>
      <c r="E779" s="47" t="s">
        <v>80</v>
      </c>
      <c r="F779" s="48" t="str">
        <f t="shared" ref="F779:G779" si="866">F778</f>
        <v/>
      </c>
      <c r="G779" s="48" t="str">
        <f t="shared" si="866"/>
        <v>Player 5</v>
      </c>
    </row>
    <row r="780">
      <c r="A780" s="213">
        <f t="shared" si="867"/>
        <v>22</v>
      </c>
      <c r="D780" s="47" t="s">
        <v>112</v>
      </c>
      <c r="E780" s="216"/>
      <c r="F780" s="48" t="str">
        <f t="shared" ref="F780:G780" si="868">F779</f>
        <v/>
      </c>
      <c r="G780" s="48" t="str">
        <f t="shared" si="868"/>
        <v>Player 5</v>
      </c>
    </row>
    <row r="781">
      <c r="A781" s="213">
        <f t="shared" si="867"/>
        <v>22</v>
      </c>
      <c r="D781" s="47" t="s">
        <v>113</v>
      </c>
      <c r="E781" s="216"/>
      <c r="F781" s="48" t="str">
        <f t="shared" ref="F781:G781" si="869">F780</f>
        <v/>
      </c>
      <c r="G781" s="48" t="str">
        <f t="shared" si="869"/>
        <v>Player 5</v>
      </c>
    </row>
    <row r="782">
      <c r="A782" s="213">
        <f t="shared" si="867"/>
        <v>22</v>
      </c>
      <c r="D782" s="47" t="s">
        <v>114</v>
      </c>
      <c r="E782" s="216"/>
      <c r="F782" s="48" t="str">
        <f t="shared" ref="F782:G782" si="870">F781</f>
        <v/>
      </c>
      <c r="G782" s="48" t="str">
        <f t="shared" si="870"/>
        <v>Player 5</v>
      </c>
    </row>
    <row r="783">
      <c r="A783" s="213">
        <f t="shared" si="867"/>
        <v>22</v>
      </c>
      <c r="B783" s="214"/>
      <c r="C783" s="215" t="s">
        <v>139</v>
      </c>
      <c r="D783" s="47" t="s">
        <v>110</v>
      </c>
      <c r="E783" s="216"/>
      <c r="F783" s="48" t="str">
        <f t="shared" ref="F783:G783" si="871">B783</f>
        <v/>
      </c>
      <c r="G783" s="48" t="str">
        <f t="shared" si="871"/>
        <v>Player 6 (Substitute)</v>
      </c>
    </row>
    <row r="784">
      <c r="A784" s="213">
        <f t="shared" si="867"/>
        <v>22</v>
      </c>
      <c r="D784" s="47" t="s">
        <v>111</v>
      </c>
      <c r="E784" s="47" t="s">
        <v>80</v>
      </c>
      <c r="F784" s="48" t="str">
        <f t="shared" ref="F784:G784" si="872">F783</f>
        <v/>
      </c>
      <c r="G784" s="48" t="str">
        <f t="shared" si="872"/>
        <v>Player 6 (Substitute)</v>
      </c>
    </row>
    <row r="785">
      <c r="A785" s="213">
        <f t="shared" si="867"/>
        <v>22</v>
      </c>
      <c r="D785" s="47" t="s">
        <v>112</v>
      </c>
      <c r="E785" s="216"/>
      <c r="F785" s="48" t="str">
        <f t="shared" ref="F785:G785" si="873">F784</f>
        <v/>
      </c>
      <c r="G785" s="48" t="str">
        <f t="shared" si="873"/>
        <v>Player 6 (Substitute)</v>
      </c>
    </row>
    <row r="786">
      <c r="A786" s="213">
        <f t="shared" si="867"/>
        <v>22</v>
      </c>
      <c r="D786" s="47" t="s">
        <v>113</v>
      </c>
      <c r="E786" s="216"/>
      <c r="F786" s="48" t="str">
        <f t="shared" ref="F786:G786" si="874">F785</f>
        <v/>
      </c>
      <c r="G786" s="48" t="str">
        <f t="shared" si="874"/>
        <v>Player 6 (Substitute)</v>
      </c>
    </row>
    <row r="787">
      <c r="A787" s="213">
        <f t="shared" si="867"/>
        <v>22</v>
      </c>
      <c r="D787" s="47" t="s">
        <v>114</v>
      </c>
      <c r="E787" s="216"/>
      <c r="F787" s="48" t="str">
        <f t="shared" ref="F787:G787" si="875">F786</f>
        <v/>
      </c>
      <c r="G787" s="48" t="str">
        <f t="shared" si="875"/>
        <v>Player 6 (Substitute)</v>
      </c>
    </row>
    <row r="788">
      <c r="A788" s="213">
        <f t="shared" si="867"/>
        <v>22</v>
      </c>
      <c r="B788" s="214"/>
      <c r="C788" s="215" t="s">
        <v>145</v>
      </c>
      <c r="D788" s="47" t="s">
        <v>110</v>
      </c>
      <c r="F788" s="48" t="str">
        <f t="shared" ref="F788:G788" si="876">B788</f>
        <v/>
      </c>
      <c r="G788" s="48" t="str">
        <f t="shared" si="876"/>
        <v>Coach</v>
      </c>
    </row>
    <row r="789">
      <c r="A789" s="213">
        <f t="shared" si="867"/>
        <v>22</v>
      </c>
      <c r="D789" s="47" t="s">
        <v>111</v>
      </c>
      <c r="E789" s="47" t="s">
        <v>80</v>
      </c>
      <c r="F789" s="48" t="str">
        <f t="shared" ref="F789:G789" si="877">F788</f>
        <v/>
      </c>
      <c r="G789" s="48" t="str">
        <f t="shared" si="877"/>
        <v>Coach</v>
      </c>
    </row>
    <row r="790">
      <c r="A790" s="213">
        <f t="shared" si="867"/>
        <v>22</v>
      </c>
      <c r="D790" s="47" t="s">
        <v>112</v>
      </c>
      <c r="E790" s="216"/>
      <c r="F790" s="48" t="str">
        <f t="shared" ref="F790:G790" si="878">F789</f>
        <v/>
      </c>
      <c r="G790" s="48" t="str">
        <f t="shared" si="878"/>
        <v>Coach</v>
      </c>
    </row>
    <row r="791">
      <c r="A791" s="213">
        <f t="shared" si="867"/>
        <v>22</v>
      </c>
      <c r="D791" s="47" t="s">
        <v>113</v>
      </c>
      <c r="E791" s="218"/>
      <c r="F791" s="48" t="str">
        <f t="shared" ref="F791:G791" si="879">F790</f>
        <v/>
      </c>
      <c r="G791" s="48" t="str">
        <f t="shared" si="879"/>
        <v>Coach</v>
      </c>
    </row>
    <row r="792">
      <c r="A792" s="213">
        <f t="shared" si="867"/>
        <v>22</v>
      </c>
      <c r="D792" s="47" t="s">
        <v>114</v>
      </c>
      <c r="E792" s="218"/>
      <c r="F792" s="48" t="str">
        <f t="shared" ref="F792:G792" si="880">F791</f>
        <v/>
      </c>
      <c r="G792" s="48" t="str">
        <f t="shared" si="880"/>
        <v>Coach</v>
      </c>
    </row>
    <row r="793">
      <c r="A793" s="212">
        <f>A757+1</f>
        <v>23</v>
      </c>
      <c r="B793" s="212" t="str">
        <f t="array" ref="B793">xlookup(A793,'Team Entry'!$C:$C,'Team Entry'!$A:$A,"")</f>
        <v>Team 11 (Group 1)</v>
      </c>
    </row>
    <row r="794">
      <c r="A794" s="213">
        <f t="shared" ref="A794:A798" si="882">A793</f>
        <v>23</v>
      </c>
      <c r="B794" s="214"/>
      <c r="C794" s="215" t="s">
        <v>109</v>
      </c>
      <c r="D794" s="47" t="s">
        <v>110</v>
      </c>
      <c r="F794" s="48" t="str">
        <f t="shared" ref="F794:G794" si="881">B794</f>
        <v/>
      </c>
      <c r="G794" s="48" t="str">
        <f t="shared" si="881"/>
        <v>Player 1</v>
      </c>
    </row>
    <row r="795">
      <c r="A795" s="213">
        <f t="shared" si="882"/>
        <v>23</v>
      </c>
      <c r="D795" s="47" t="s">
        <v>111</v>
      </c>
      <c r="E795" s="47" t="s">
        <v>80</v>
      </c>
      <c r="F795" s="48" t="str">
        <f t="shared" ref="F795:G795" si="883">F794</f>
        <v/>
      </c>
      <c r="G795" s="48" t="str">
        <f t="shared" si="883"/>
        <v>Player 1</v>
      </c>
    </row>
    <row r="796">
      <c r="A796" s="213">
        <f t="shared" si="882"/>
        <v>23</v>
      </c>
      <c r="D796" s="47" t="s">
        <v>112</v>
      </c>
      <c r="E796" s="216"/>
      <c r="F796" s="48" t="str">
        <f t="shared" ref="F796:G796" si="884">F795</f>
        <v/>
      </c>
      <c r="G796" s="48" t="str">
        <f t="shared" si="884"/>
        <v>Player 1</v>
      </c>
    </row>
    <row r="797">
      <c r="A797" s="213">
        <f t="shared" si="882"/>
        <v>23</v>
      </c>
      <c r="D797" s="47" t="s">
        <v>113</v>
      </c>
      <c r="E797" s="216"/>
      <c r="F797" s="48" t="str">
        <f t="shared" ref="F797:G797" si="885">F796</f>
        <v/>
      </c>
      <c r="G797" s="48" t="str">
        <f t="shared" si="885"/>
        <v>Player 1</v>
      </c>
    </row>
    <row r="798">
      <c r="A798" s="213">
        <f t="shared" si="882"/>
        <v>23</v>
      </c>
      <c r="D798" s="47" t="s">
        <v>114</v>
      </c>
      <c r="E798" s="216"/>
      <c r="F798" s="48" t="str">
        <f t="shared" ref="F798:G798" si="886">F797</f>
        <v/>
      </c>
      <c r="G798" s="48" t="str">
        <f t="shared" si="886"/>
        <v>Player 1</v>
      </c>
    </row>
    <row r="799">
      <c r="A799" s="213">
        <f>A797</f>
        <v>23</v>
      </c>
      <c r="B799" s="214"/>
      <c r="C799" s="215" t="s">
        <v>115</v>
      </c>
      <c r="D799" s="47" t="s">
        <v>110</v>
      </c>
      <c r="F799" s="48" t="str">
        <f t="shared" ref="F799:G799" si="887">B799</f>
        <v/>
      </c>
      <c r="G799" s="48" t="str">
        <f t="shared" si="887"/>
        <v>Player 2</v>
      </c>
    </row>
    <row r="800">
      <c r="A800" s="213">
        <f t="shared" ref="A800:A803" si="889">A799</f>
        <v>23</v>
      </c>
      <c r="D800" s="47" t="s">
        <v>111</v>
      </c>
      <c r="E800" s="47" t="s">
        <v>80</v>
      </c>
      <c r="F800" s="48" t="str">
        <f t="shared" ref="F800:G800" si="888">F799</f>
        <v/>
      </c>
      <c r="G800" s="48" t="str">
        <f t="shared" si="888"/>
        <v>Player 2</v>
      </c>
    </row>
    <row r="801">
      <c r="A801" s="213">
        <f t="shared" si="889"/>
        <v>23</v>
      </c>
      <c r="D801" s="47" t="s">
        <v>112</v>
      </c>
      <c r="E801" s="216"/>
      <c r="F801" s="48" t="str">
        <f t="shared" ref="F801:G801" si="890">F800</f>
        <v/>
      </c>
      <c r="G801" s="48" t="str">
        <f t="shared" si="890"/>
        <v>Player 2</v>
      </c>
    </row>
    <row r="802">
      <c r="A802" s="213">
        <f t="shared" si="889"/>
        <v>23</v>
      </c>
      <c r="D802" s="47" t="s">
        <v>113</v>
      </c>
      <c r="E802" s="216"/>
      <c r="F802" s="48" t="str">
        <f t="shared" ref="F802:G802" si="891">F801</f>
        <v/>
      </c>
      <c r="G802" s="48" t="str">
        <f t="shared" si="891"/>
        <v>Player 2</v>
      </c>
    </row>
    <row r="803">
      <c r="A803" s="213">
        <f t="shared" si="889"/>
        <v>23</v>
      </c>
      <c r="D803" s="47" t="s">
        <v>114</v>
      </c>
      <c r="E803" s="216"/>
      <c r="F803" s="48" t="str">
        <f t="shared" ref="F803:G803" si="892">F802</f>
        <v/>
      </c>
      <c r="G803" s="48" t="str">
        <f t="shared" si="892"/>
        <v>Player 2</v>
      </c>
    </row>
    <row r="804">
      <c r="A804" s="213">
        <f>A802</f>
        <v>23</v>
      </c>
      <c r="B804" s="214"/>
      <c r="C804" s="215" t="s">
        <v>121</v>
      </c>
      <c r="D804" s="47" t="s">
        <v>110</v>
      </c>
      <c r="F804" s="48" t="str">
        <f t="shared" ref="F804:G804" si="893">B804</f>
        <v/>
      </c>
      <c r="G804" s="48" t="str">
        <f t="shared" si="893"/>
        <v>Player 3</v>
      </c>
    </row>
    <row r="805">
      <c r="A805" s="213">
        <f t="shared" ref="A805:A808" si="895">A804</f>
        <v>23</v>
      </c>
      <c r="D805" s="47" t="s">
        <v>111</v>
      </c>
      <c r="E805" s="47" t="s">
        <v>80</v>
      </c>
      <c r="F805" s="48" t="str">
        <f t="shared" ref="F805:G805" si="894">F804</f>
        <v/>
      </c>
      <c r="G805" s="48" t="str">
        <f t="shared" si="894"/>
        <v>Player 3</v>
      </c>
    </row>
    <row r="806">
      <c r="A806" s="213">
        <f t="shared" si="895"/>
        <v>23</v>
      </c>
      <c r="D806" s="47" t="s">
        <v>112</v>
      </c>
      <c r="E806" s="216"/>
      <c r="F806" s="48" t="str">
        <f t="shared" ref="F806:G806" si="896">F805</f>
        <v/>
      </c>
      <c r="G806" s="48" t="str">
        <f t="shared" si="896"/>
        <v>Player 3</v>
      </c>
    </row>
    <row r="807">
      <c r="A807" s="213">
        <f t="shared" si="895"/>
        <v>23</v>
      </c>
      <c r="D807" s="47" t="s">
        <v>113</v>
      </c>
      <c r="E807" s="216"/>
      <c r="F807" s="48" t="str">
        <f t="shared" ref="F807:G807" si="897">F806</f>
        <v/>
      </c>
      <c r="G807" s="48" t="str">
        <f t="shared" si="897"/>
        <v>Player 3</v>
      </c>
    </row>
    <row r="808">
      <c r="A808" s="213">
        <f t="shared" si="895"/>
        <v>23</v>
      </c>
      <c r="D808" s="47" t="s">
        <v>114</v>
      </c>
      <c r="E808" s="216"/>
      <c r="F808" s="48" t="str">
        <f t="shared" ref="F808:G808" si="898">F807</f>
        <v/>
      </c>
      <c r="G808" s="48" t="str">
        <f t="shared" si="898"/>
        <v>Player 3</v>
      </c>
    </row>
    <row r="809">
      <c r="A809" s="213">
        <f>A807</f>
        <v>23</v>
      </c>
      <c r="B809" s="214"/>
      <c r="C809" s="215" t="s">
        <v>127</v>
      </c>
      <c r="D809" s="47" t="s">
        <v>110</v>
      </c>
      <c r="F809" s="48" t="str">
        <f t="shared" ref="F809:G809" si="899">B809</f>
        <v/>
      </c>
      <c r="G809" s="48" t="str">
        <f t="shared" si="899"/>
        <v>Player 4</v>
      </c>
    </row>
    <row r="810">
      <c r="A810" s="213">
        <f t="shared" ref="A810:A813" si="901">A809</f>
        <v>23</v>
      </c>
      <c r="D810" s="47" t="s">
        <v>111</v>
      </c>
      <c r="E810" s="47" t="s">
        <v>80</v>
      </c>
      <c r="F810" s="48" t="str">
        <f t="shared" ref="F810:G810" si="900">F809</f>
        <v/>
      </c>
      <c r="G810" s="48" t="str">
        <f t="shared" si="900"/>
        <v>Player 4</v>
      </c>
    </row>
    <row r="811">
      <c r="A811" s="213">
        <f t="shared" si="901"/>
        <v>23</v>
      </c>
      <c r="D811" s="47" t="s">
        <v>112</v>
      </c>
      <c r="E811" s="216"/>
      <c r="F811" s="48" t="str">
        <f t="shared" ref="F811:G811" si="902">F810</f>
        <v/>
      </c>
      <c r="G811" s="48" t="str">
        <f t="shared" si="902"/>
        <v>Player 4</v>
      </c>
    </row>
    <row r="812">
      <c r="A812" s="213">
        <f t="shared" si="901"/>
        <v>23</v>
      </c>
      <c r="D812" s="47" t="s">
        <v>113</v>
      </c>
      <c r="E812" s="216"/>
      <c r="F812" s="48" t="str">
        <f t="shared" ref="F812:G812" si="903">F811</f>
        <v/>
      </c>
      <c r="G812" s="48" t="str">
        <f t="shared" si="903"/>
        <v>Player 4</v>
      </c>
    </row>
    <row r="813">
      <c r="A813" s="213">
        <f t="shared" si="901"/>
        <v>23</v>
      </c>
      <c r="D813" s="47" t="s">
        <v>114</v>
      </c>
      <c r="E813" s="216"/>
      <c r="F813" s="48" t="str">
        <f t="shared" ref="F813:G813" si="904">F812</f>
        <v/>
      </c>
      <c r="G813" s="48" t="str">
        <f t="shared" si="904"/>
        <v>Player 4</v>
      </c>
    </row>
    <row r="814">
      <c r="A814" s="213">
        <f>A812</f>
        <v>23</v>
      </c>
      <c r="B814" s="214"/>
      <c r="C814" s="215" t="s">
        <v>133</v>
      </c>
      <c r="D814" s="47" t="s">
        <v>110</v>
      </c>
      <c r="F814" s="48" t="str">
        <f t="shared" ref="F814:G814" si="905">B814</f>
        <v/>
      </c>
      <c r="G814" s="48" t="str">
        <f t="shared" si="905"/>
        <v>Player 5</v>
      </c>
    </row>
    <row r="815">
      <c r="A815" s="213">
        <f t="shared" ref="A815:A828" si="907">A814</f>
        <v>23</v>
      </c>
      <c r="D815" s="47" t="s">
        <v>111</v>
      </c>
      <c r="E815" s="47" t="s">
        <v>80</v>
      </c>
      <c r="F815" s="48" t="str">
        <f t="shared" ref="F815:G815" si="906">F814</f>
        <v/>
      </c>
      <c r="G815" s="48" t="str">
        <f t="shared" si="906"/>
        <v>Player 5</v>
      </c>
    </row>
    <row r="816">
      <c r="A816" s="213">
        <f t="shared" si="907"/>
        <v>23</v>
      </c>
      <c r="D816" s="47" t="s">
        <v>112</v>
      </c>
      <c r="E816" s="216"/>
      <c r="F816" s="48" t="str">
        <f t="shared" ref="F816:G816" si="908">F815</f>
        <v/>
      </c>
      <c r="G816" s="48" t="str">
        <f t="shared" si="908"/>
        <v>Player 5</v>
      </c>
    </row>
    <row r="817">
      <c r="A817" s="213">
        <f t="shared" si="907"/>
        <v>23</v>
      </c>
      <c r="D817" s="47" t="s">
        <v>113</v>
      </c>
      <c r="E817" s="216"/>
      <c r="F817" s="48" t="str">
        <f t="shared" ref="F817:G817" si="909">F816</f>
        <v/>
      </c>
      <c r="G817" s="48" t="str">
        <f t="shared" si="909"/>
        <v>Player 5</v>
      </c>
    </row>
    <row r="818">
      <c r="A818" s="213">
        <f t="shared" si="907"/>
        <v>23</v>
      </c>
      <c r="D818" s="47" t="s">
        <v>114</v>
      </c>
      <c r="E818" s="216"/>
      <c r="F818" s="48" t="str">
        <f t="shared" ref="F818:G818" si="910">F817</f>
        <v/>
      </c>
      <c r="G818" s="48" t="str">
        <f t="shared" si="910"/>
        <v>Player 5</v>
      </c>
    </row>
    <row r="819">
      <c r="A819" s="213">
        <f t="shared" si="907"/>
        <v>23</v>
      </c>
      <c r="B819" s="214"/>
      <c r="C819" s="215" t="s">
        <v>139</v>
      </c>
      <c r="D819" s="47" t="s">
        <v>110</v>
      </c>
      <c r="E819" s="216"/>
      <c r="F819" s="48" t="str">
        <f t="shared" ref="F819:G819" si="911">B819</f>
        <v/>
      </c>
      <c r="G819" s="48" t="str">
        <f t="shared" si="911"/>
        <v>Player 6 (Substitute)</v>
      </c>
    </row>
    <row r="820">
      <c r="A820" s="213">
        <f t="shared" si="907"/>
        <v>23</v>
      </c>
      <c r="D820" s="47" t="s">
        <v>111</v>
      </c>
      <c r="E820" s="47" t="s">
        <v>80</v>
      </c>
      <c r="F820" s="48" t="str">
        <f t="shared" ref="F820:G820" si="912">F819</f>
        <v/>
      </c>
      <c r="G820" s="48" t="str">
        <f t="shared" si="912"/>
        <v>Player 6 (Substitute)</v>
      </c>
    </row>
    <row r="821">
      <c r="A821" s="213">
        <f t="shared" si="907"/>
        <v>23</v>
      </c>
      <c r="D821" s="47" t="s">
        <v>112</v>
      </c>
      <c r="E821" s="216"/>
      <c r="F821" s="48" t="str">
        <f t="shared" ref="F821:G821" si="913">F820</f>
        <v/>
      </c>
      <c r="G821" s="48" t="str">
        <f t="shared" si="913"/>
        <v>Player 6 (Substitute)</v>
      </c>
    </row>
    <row r="822">
      <c r="A822" s="213">
        <f t="shared" si="907"/>
        <v>23</v>
      </c>
      <c r="D822" s="47" t="s">
        <v>113</v>
      </c>
      <c r="E822" s="216"/>
      <c r="F822" s="48" t="str">
        <f t="shared" ref="F822:G822" si="914">F821</f>
        <v/>
      </c>
      <c r="G822" s="48" t="str">
        <f t="shared" si="914"/>
        <v>Player 6 (Substitute)</v>
      </c>
    </row>
    <row r="823">
      <c r="A823" s="213">
        <f t="shared" si="907"/>
        <v>23</v>
      </c>
      <c r="D823" s="47" t="s">
        <v>114</v>
      </c>
      <c r="E823" s="216"/>
      <c r="F823" s="48" t="str">
        <f t="shared" ref="F823:G823" si="915">F822</f>
        <v/>
      </c>
      <c r="G823" s="48" t="str">
        <f t="shared" si="915"/>
        <v>Player 6 (Substitute)</v>
      </c>
    </row>
    <row r="824">
      <c r="A824" s="213">
        <f t="shared" si="907"/>
        <v>23</v>
      </c>
      <c r="B824" s="214"/>
      <c r="C824" s="215" t="s">
        <v>145</v>
      </c>
      <c r="D824" s="47" t="s">
        <v>110</v>
      </c>
      <c r="F824" s="48" t="str">
        <f t="shared" ref="F824:G824" si="916">B824</f>
        <v/>
      </c>
      <c r="G824" s="48" t="str">
        <f t="shared" si="916"/>
        <v>Coach</v>
      </c>
    </row>
    <row r="825">
      <c r="A825" s="213">
        <f t="shared" si="907"/>
        <v>23</v>
      </c>
      <c r="D825" s="47" t="s">
        <v>111</v>
      </c>
      <c r="E825" s="47" t="s">
        <v>80</v>
      </c>
      <c r="F825" s="48" t="str">
        <f t="shared" ref="F825:G825" si="917">F824</f>
        <v/>
      </c>
      <c r="G825" s="48" t="str">
        <f t="shared" si="917"/>
        <v>Coach</v>
      </c>
    </row>
    <row r="826">
      <c r="A826" s="213">
        <f t="shared" si="907"/>
        <v>23</v>
      </c>
      <c r="D826" s="47" t="s">
        <v>112</v>
      </c>
      <c r="E826" s="216"/>
      <c r="F826" s="48" t="str">
        <f t="shared" ref="F826:G826" si="918">F825</f>
        <v/>
      </c>
      <c r="G826" s="48" t="str">
        <f t="shared" si="918"/>
        <v>Coach</v>
      </c>
    </row>
    <row r="827">
      <c r="A827" s="213">
        <f t="shared" si="907"/>
        <v>23</v>
      </c>
      <c r="D827" s="47" t="s">
        <v>113</v>
      </c>
      <c r="E827" s="218"/>
      <c r="F827" s="48" t="str">
        <f t="shared" ref="F827:G827" si="919">F826</f>
        <v/>
      </c>
      <c r="G827" s="48" t="str">
        <f t="shared" si="919"/>
        <v>Coach</v>
      </c>
    </row>
    <row r="828">
      <c r="A828" s="213">
        <f t="shared" si="907"/>
        <v>23</v>
      </c>
      <c r="D828" s="47" t="s">
        <v>114</v>
      </c>
      <c r="E828" s="218"/>
      <c r="F828" s="48" t="str">
        <f t="shared" ref="F828:G828" si="920">F827</f>
        <v/>
      </c>
      <c r="G828" s="48" t="str">
        <f t="shared" si="920"/>
        <v>Coach</v>
      </c>
    </row>
    <row r="829">
      <c r="A829" s="212">
        <f>A793+1</f>
        <v>24</v>
      </c>
      <c r="B829" s="212" t="str">
        <f t="array" ref="B829">xlookup(A829,'Team Entry'!$C:$C,'Team Entry'!$A:$A,"")</f>
        <v>Team 12 (Group 1)</v>
      </c>
    </row>
    <row r="830">
      <c r="A830" s="213">
        <f t="shared" ref="A830:A834" si="922">A829</f>
        <v>24</v>
      </c>
      <c r="B830" s="214"/>
      <c r="C830" s="215" t="s">
        <v>109</v>
      </c>
      <c r="D830" s="47" t="s">
        <v>110</v>
      </c>
      <c r="F830" s="48" t="str">
        <f t="shared" ref="F830:G830" si="921">B830</f>
        <v/>
      </c>
      <c r="G830" s="48" t="str">
        <f t="shared" si="921"/>
        <v>Player 1</v>
      </c>
    </row>
    <row r="831">
      <c r="A831" s="213">
        <f t="shared" si="922"/>
        <v>24</v>
      </c>
      <c r="D831" s="47" t="s">
        <v>111</v>
      </c>
      <c r="E831" s="47" t="s">
        <v>80</v>
      </c>
      <c r="F831" s="48" t="str">
        <f t="shared" ref="F831:G831" si="923">F830</f>
        <v/>
      </c>
      <c r="G831" s="48" t="str">
        <f t="shared" si="923"/>
        <v>Player 1</v>
      </c>
    </row>
    <row r="832">
      <c r="A832" s="213">
        <f t="shared" si="922"/>
        <v>24</v>
      </c>
      <c r="D832" s="47" t="s">
        <v>112</v>
      </c>
      <c r="E832" s="216"/>
      <c r="F832" s="48" t="str">
        <f t="shared" ref="F832:G832" si="924">F831</f>
        <v/>
      </c>
      <c r="G832" s="48" t="str">
        <f t="shared" si="924"/>
        <v>Player 1</v>
      </c>
    </row>
    <row r="833">
      <c r="A833" s="213">
        <f t="shared" si="922"/>
        <v>24</v>
      </c>
      <c r="D833" s="47" t="s">
        <v>113</v>
      </c>
      <c r="E833" s="216"/>
      <c r="F833" s="48" t="str">
        <f t="shared" ref="F833:G833" si="925">F832</f>
        <v/>
      </c>
      <c r="G833" s="48" t="str">
        <f t="shared" si="925"/>
        <v>Player 1</v>
      </c>
    </row>
    <row r="834">
      <c r="A834" s="213">
        <f t="shared" si="922"/>
        <v>24</v>
      </c>
      <c r="D834" s="47" t="s">
        <v>114</v>
      </c>
      <c r="E834" s="216"/>
      <c r="F834" s="48" t="str">
        <f t="shared" ref="F834:G834" si="926">F833</f>
        <v/>
      </c>
      <c r="G834" s="48" t="str">
        <f t="shared" si="926"/>
        <v>Player 1</v>
      </c>
    </row>
    <row r="835">
      <c r="A835" s="213">
        <f>A833</f>
        <v>24</v>
      </c>
      <c r="B835" s="214"/>
      <c r="C835" s="215" t="s">
        <v>115</v>
      </c>
      <c r="D835" s="47" t="s">
        <v>110</v>
      </c>
      <c r="F835" s="48" t="str">
        <f t="shared" ref="F835:G835" si="927">B835</f>
        <v/>
      </c>
      <c r="G835" s="48" t="str">
        <f t="shared" si="927"/>
        <v>Player 2</v>
      </c>
    </row>
    <row r="836">
      <c r="A836" s="213">
        <f t="shared" ref="A836:A839" si="929">A835</f>
        <v>24</v>
      </c>
      <c r="D836" s="47" t="s">
        <v>111</v>
      </c>
      <c r="E836" s="47" t="s">
        <v>80</v>
      </c>
      <c r="F836" s="48" t="str">
        <f t="shared" ref="F836:G836" si="928">F835</f>
        <v/>
      </c>
      <c r="G836" s="48" t="str">
        <f t="shared" si="928"/>
        <v>Player 2</v>
      </c>
    </row>
    <row r="837">
      <c r="A837" s="213">
        <f t="shared" si="929"/>
        <v>24</v>
      </c>
      <c r="D837" s="47" t="s">
        <v>112</v>
      </c>
      <c r="E837" s="216"/>
      <c r="F837" s="48" t="str">
        <f t="shared" ref="F837:G837" si="930">F836</f>
        <v/>
      </c>
      <c r="G837" s="48" t="str">
        <f t="shared" si="930"/>
        <v>Player 2</v>
      </c>
    </row>
    <row r="838">
      <c r="A838" s="213">
        <f t="shared" si="929"/>
        <v>24</v>
      </c>
      <c r="D838" s="47" t="s">
        <v>113</v>
      </c>
      <c r="E838" s="216"/>
      <c r="F838" s="48" t="str">
        <f t="shared" ref="F838:G838" si="931">F837</f>
        <v/>
      </c>
      <c r="G838" s="48" t="str">
        <f t="shared" si="931"/>
        <v>Player 2</v>
      </c>
    </row>
    <row r="839">
      <c r="A839" s="213">
        <f t="shared" si="929"/>
        <v>24</v>
      </c>
      <c r="D839" s="47" t="s">
        <v>114</v>
      </c>
      <c r="E839" s="216"/>
      <c r="F839" s="48" t="str">
        <f t="shared" ref="F839:G839" si="932">F838</f>
        <v/>
      </c>
      <c r="G839" s="48" t="str">
        <f t="shared" si="932"/>
        <v>Player 2</v>
      </c>
    </row>
    <row r="840">
      <c r="A840" s="213">
        <f>A838</f>
        <v>24</v>
      </c>
      <c r="B840" s="214"/>
      <c r="C840" s="215" t="s">
        <v>121</v>
      </c>
      <c r="D840" s="47" t="s">
        <v>110</v>
      </c>
      <c r="F840" s="48" t="str">
        <f t="shared" ref="F840:G840" si="933">B840</f>
        <v/>
      </c>
      <c r="G840" s="48" t="str">
        <f t="shared" si="933"/>
        <v>Player 3</v>
      </c>
    </row>
    <row r="841">
      <c r="A841" s="213">
        <f t="shared" ref="A841:A844" si="935">A840</f>
        <v>24</v>
      </c>
      <c r="D841" s="47" t="s">
        <v>111</v>
      </c>
      <c r="E841" s="47" t="s">
        <v>80</v>
      </c>
      <c r="F841" s="48" t="str">
        <f t="shared" ref="F841:G841" si="934">F840</f>
        <v/>
      </c>
      <c r="G841" s="48" t="str">
        <f t="shared" si="934"/>
        <v>Player 3</v>
      </c>
    </row>
    <row r="842">
      <c r="A842" s="213">
        <f t="shared" si="935"/>
        <v>24</v>
      </c>
      <c r="D842" s="47" t="s">
        <v>112</v>
      </c>
      <c r="E842" s="216"/>
      <c r="F842" s="48" t="str">
        <f t="shared" ref="F842:G842" si="936">F841</f>
        <v/>
      </c>
      <c r="G842" s="48" t="str">
        <f t="shared" si="936"/>
        <v>Player 3</v>
      </c>
    </row>
    <row r="843">
      <c r="A843" s="213">
        <f t="shared" si="935"/>
        <v>24</v>
      </c>
      <c r="D843" s="47" t="s">
        <v>113</v>
      </c>
      <c r="E843" s="216"/>
      <c r="F843" s="48" t="str">
        <f t="shared" ref="F843:G843" si="937">F842</f>
        <v/>
      </c>
      <c r="G843" s="48" t="str">
        <f t="shared" si="937"/>
        <v>Player 3</v>
      </c>
    </row>
    <row r="844">
      <c r="A844" s="213">
        <f t="shared" si="935"/>
        <v>24</v>
      </c>
      <c r="D844" s="47" t="s">
        <v>114</v>
      </c>
      <c r="E844" s="216"/>
      <c r="F844" s="48" t="str">
        <f t="shared" ref="F844:G844" si="938">F843</f>
        <v/>
      </c>
      <c r="G844" s="48" t="str">
        <f t="shared" si="938"/>
        <v>Player 3</v>
      </c>
    </row>
    <row r="845">
      <c r="A845" s="213">
        <f>A843</f>
        <v>24</v>
      </c>
      <c r="B845" s="214"/>
      <c r="C845" s="215" t="s">
        <v>127</v>
      </c>
      <c r="D845" s="47" t="s">
        <v>110</v>
      </c>
      <c r="F845" s="48" t="str">
        <f t="shared" ref="F845:G845" si="939">B845</f>
        <v/>
      </c>
      <c r="G845" s="48" t="str">
        <f t="shared" si="939"/>
        <v>Player 4</v>
      </c>
    </row>
    <row r="846">
      <c r="A846" s="213">
        <f t="shared" ref="A846:A849" si="941">A845</f>
        <v>24</v>
      </c>
      <c r="D846" s="47" t="s">
        <v>111</v>
      </c>
      <c r="E846" s="47" t="s">
        <v>80</v>
      </c>
      <c r="F846" s="48" t="str">
        <f t="shared" ref="F846:G846" si="940">F845</f>
        <v/>
      </c>
      <c r="G846" s="48" t="str">
        <f t="shared" si="940"/>
        <v>Player 4</v>
      </c>
    </row>
    <row r="847">
      <c r="A847" s="213">
        <f t="shared" si="941"/>
        <v>24</v>
      </c>
      <c r="D847" s="47" t="s">
        <v>112</v>
      </c>
      <c r="E847" s="216"/>
      <c r="F847" s="48" t="str">
        <f t="shared" ref="F847:G847" si="942">F846</f>
        <v/>
      </c>
      <c r="G847" s="48" t="str">
        <f t="shared" si="942"/>
        <v>Player 4</v>
      </c>
    </row>
    <row r="848">
      <c r="A848" s="213">
        <f t="shared" si="941"/>
        <v>24</v>
      </c>
      <c r="D848" s="47" t="s">
        <v>113</v>
      </c>
      <c r="E848" s="216"/>
      <c r="F848" s="48" t="str">
        <f t="shared" ref="F848:G848" si="943">F847</f>
        <v/>
      </c>
      <c r="G848" s="48" t="str">
        <f t="shared" si="943"/>
        <v>Player 4</v>
      </c>
    </row>
    <row r="849">
      <c r="A849" s="213">
        <f t="shared" si="941"/>
        <v>24</v>
      </c>
      <c r="D849" s="47" t="s">
        <v>114</v>
      </c>
      <c r="E849" s="216"/>
      <c r="F849" s="48" t="str">
        <f t="shared" ref="F849:G849" si="944">F848</f>
        <v/>
      </c>
      <c r="G849" s="48" t="str">
        <f t="shared" si="944"/>
        <v>Player 4</v>
      </c>
    </row>
    <row r="850">
      <c r="A850" s="213">
        <f>A848</f>
        <v>24</v>
      </c>
      <c r="B850" s="214"/>
      <c r="C850" s="215" t="s">
        <v>133</v>
      </c>
      <c r="D850" s="47" t="s">
        <v>110</v>
      </c>
      <c r="F850" s="48" t="str">
        <f t="shared" ref="F850:G850" si="945">B850</f>
        <v/>
      </c>
      <c r="G850" s="48" t="str">
        <f t="shared" si="945"/>
        <v>Player 5</v>
      </c>
    </row>
    <row r="851">
      <c r="A851" s="213">
        <f t="shared" ref="A851:A864" si="947">A850</f>
        <v>24</v>
      </c>
      <c r="D851" s="47" t="s">
        <v>111</v>
      </c>
      <c r="E851" s="47" t="s">
        <v>80</v>
      </c>
      <c r="F851" s="48" t="str">
        <f t="shared" ref="F851:G851" si="946">F850</f>
        <v/>
      </c>
      <c r="G851" s="48" t="str">
        <f t="shared" si="946"/>
        <v>Player 5</v>
      </c>
    </row>
    <row r="852">
      <c r="A852" s="213">
        <f t="shared" si="947"/>
        <v>24</v>
      </c>
      <c r="D852" s="47" t="s">
        <v>112</v>
      </c>
      <c r="E852" s="216"/>
      <c r="F852" s="48" t="str">
        <f t="shared" ref="F852:G852" si="948">F851</f>
        <v/>
      </c>
      <c r="G852" s="48" t="str">
        <f t="shared" si="948"/>
        <v>Player 5</v>
      </c>
    </row>
    <row r="853">
      <c r="A853" s="213">
        <f t="shared" si="947"/>
        <v>24</v>
      </c>
      <c r="D853" s="47" t="s">
        <v>113</v>
      </c>
      <c r="E853" s="216"/>
      <c r="F853" s="48" t="str">
        <f t="shared" ref="F853:G853" si="949">F852</f>
        <v/>
      </c>
      <c r="G853" s="48" t="str">
        <f t="shared" si="949"/>
        <v>Player 5</v>
      </c>
    </row>
    <row r="854">
      <c r="A854" s="213">
        <f t="shared" si="947"/>
        <v>24</v>
      </c>
      <c r="D854" s="47" t="s">
        <v>114</v>
      </c>
      <c r="E854" s="216"/>
      <c r="F854" s="48" t="str">
        <f t="shared" ref="F854:G854" si="950">F853</f>
        <v/>
      </c>
      <c r="G854" s="48" t="str">
        <f t="shared" si="950"/>
        <v>Player 5</v>
      </c>
    </row>
    <row r="855">
      <c r="A855" s="213">
        <f t="shared" si="947"/>
        <v>24</v>
      </c>
      <c r="B855" s="214"/>
      <c r="C855" s="215" t="s">
        <v>139</v>
      </c>
      <c r="D855" s="47" t="s">
        <v>110</v>
      </c>
      <c r="E855" s="216"/>
      <c r="F855" s="48" t="str">
        <f t="shared" ref="F855:G855" si="951">B855</f>
        <v/>
      </c>
      <c r="G855" s="48" t="str">
        <f t="shared" si="951"/>
        <v>Player 6 (Substitute)</v>
      </c>
    </row>
    <row r="856">
      <c r="A856" s="213">
        <f t="shared" si="947"/>
        <v>24</v>
      </c>
      <c r="D856" s="47" t="s">
        <v>111</v>
      </c>
      <c r="E856" s="47" t="s">
        <v>80</v>
      </c>
      <c r="F856" s="48" t="str">
        <f t="shared" ref="F856:G856" si="952">F855</f>
        <v/>
      </c>
      <c r="G856" s="48" t="str">
        <f t="shared" si="952"/>
        <v>Player 6 (Substitute)</v>
      </c>
    </row>
    <row r="857">
      <c r="A857" s="213">
        <f t="shared" si="947"/>
        <v>24</v>
      </c>
      <c r="D857" s="47" t="s">
        <v>112</v>
      </c>
      <c r="E857" s="216"/>
      <c r="F857" s="48" t="str">
        <f t="shared" ref="F857:G857" si="953">F856</f>
        <v/>
      </c>
      <c r="G857" s="48" t="str">
        <f t="shared" si="953"/>
        <v>Player 6 (Substitute)</v>
      </c>
    </row>
    <row r="858">
      <c r="A858" s="213">
        <f t="shared" si="947"/>
        <v>24</v>
      </c>
      <c r="D858" s="47" t="s">
        <v>113</v>
      </c>
      <c r="E858" s="216"/>
      <c r="F858" s="48" t="str">
        <f t="shared" ref="F858:G858" si="954">F857</f>
        <v/>
      </c>
      <c r="G858" s="48" t="str">
        <f t="shared" si="954"/>
        <v>Player 6 (Substitute)</v>
      </c>
    </row>
    <row r="859">
      <c r="A859" s="213">
        <f t="shared" si="947"/>
        <v>24</v>
      </c>
      <c r="D859" s="47" t="s">
        <v>114</v>
      </c>
      <c r="E859" s="216"/>
      <c r="F859" s="48" t="str">
        <f t="shared" ref="F859:G859" si="955">F858</f>
        <v/>
      </c>
      <c r="G859" s="48" t="str">
        <f t="shared" si="955"/>
        <v>Player 6 (Substitute)</v>
      </c>
    </row>
    <row r="860">
      <c r="A860" s="213">
        <f t="shared" si="947"/>
        <v>24</v>
      </c>
      <c r="B860" s="214"/>
      <c r="C860" s="215" t="s">
        <v>145</v>
      </c>
      <c r="D860" s="47" t="s">
        <v>110</v>
      </c>
      <c r="F860" s="48" t="str">
        <f t="shared" ref="F860:G860" si="956">B860</f>
        <v/>
      </c>
      <c r="G860" s="48" t="str">
        <f t="shared" si="956"/>
        <v>Coach</v>
      </c>
    </row>
    <row r="861">
      <c r="A861" s="213">
        <f t="shared" si="947"/>
        <v>24</v>
      </c>
      <c r="D861" s="47" t="s">
        <v>111</v>
      </c>
      <c r="E861" s="47" t="s">
        <v>80</v>
      </c>
      <c r="F861" s="48" t="str">
        <f t="shared" ref="F861:G861" si="957">F860</f>
        <v/>
      </c>
      <c r="G861" s="48" t="str">
        <f t="shared" si="957"/>
        <v>Coach</v>
      </c>
    </row>
    <row r="862">
      <c r="A862" s="213">
        <f t="shared" si="947"/>
        <v>24</v>
      </c>
      <c r="D862" s="47" t="s">
        <v>112</v>
      </c>
      <c r="E862" s="216"/>
      <c r="F862" s="48" t="str">
        <f t="shared" ref="F862:G862" si="958">F861</f>
        <v/>
      </c>
      <c r="G862" s="48" t="str">
        <f t="shared" si="958"/>
        <v>Coach</v>
      </c>
    </row>
    <row r="863">
      <c r="A863" s="213">
        <f t="shared" si="947"/>
        <v>24</v>
      </c>
      <c r="D863" s="47" t="s">
        <v>113</v>
      </c>
      <c r="E863" s="218"/>
      <c r="F863" s="48" t="str">
        <f t="shared" ref="F863:G863" si="959">F862</f>
        <v/>
      </c>
      <c r="G863" s="48" t="str">
        <f t="shared" si="959"/>
        <v>Coach</v>
      </c>
    </row>
    <row r="864">
      <c r="A864" s="213">
        <f t="shared" si="947"/>
        <v>24</v>
      </c>
      <c r="D864" s="47" t="s">
        <v>114</v>
      </c>
      <c r="E864" s="218"/>
      <c r="F864" s="48" t="str">
        <f t="shared" ref="F864:G864" si="960">F863</f>
        <v/>
      </c>
      <c r="G864" s="48" t="str">
        <f t="shared" si="960"/>
        <v>Coach</v>
      </c>
    </row>
    <row r="865">
      <c r="A865" s="212">
        <f>A829+1</f>
        <v>25</v>
      </c>
      <c r="B865" s="212" t="str">
        <f t="array" ref="B865">xlookup(A865,'Team Entry'!$C:$C,'Team Entry'!$A:$A,"")</f>
        <v>Team 13 (Group 1)</v>
      </c>
    </row>
    <row r="866">
      <c r="A866" s="213">
        <f t="shared" ref="A866:A870" si="962">A865</f>
        <v>25</v>
      </c>
      <c r="B866" s="214"/>
      <c r="C866" s="215" t="s">
        <v>109</v>
      </c>
      <c r="D866" s="47" t="s">
        <v>110</v>
      </c>
      <c r="F866" s="48" t="str">
        <f t="shared" ref="F866:G866" si="961">B866</f>
        <v/>
      </c>
      <c r="G866" s="48" t="str">
        <f t="shared" si="961"/>
        <v>Player 1</v>
      </c>
    </row>
    <row r="867">
      <c r="A867" s="213">
        <f t="shared" si="962"/>
        <v>25</v>
      </c>
      <c r="D867" s="47" t="s">
        <v>111</v>
      </c>
      <c r="E867" s="47" t="s">
        <v>80</v>
      </c>
      <c r="F867" s="48" t="str">
        <f t="shared" ref="F867:G867" si="963">F866</f>
        <v/>
      </c>
      <c r="G867" s="48" t="str">
        <f t="shared" si="963"/>
        <v>Player 1</v>
      </c>
    </row>
    <row r="868">
      <c r="A868" s="213">
        <f t="shared" si="962"/>
        <v>25</v>
      </c>
      <c r="D868" s="47" t="s">
        <v>112</v>
      </c>
      <c r="E868" s="216"/>
      <c r="F868" s="48" t="str">
        <f t="shared" ref="F868:G868" si="964">F867</f>
        <v/>
      </c>
      <c r="G868" s="48" t="str">
        <f t="shared" si="964"/>
        <v>Player 1</v>
      </c>
    </row>
    <row r="869">
      <c r="A869" s="213">
        <f t="shared" si="962"/>
        <v>25</v>
      </c>
      <c r="D869" s="47" t="s">
        <v>113</v>
      </c>
      <c r="E869" s="216"/>
      <c r="F869" s="48" t="str">
        <f t="shared" ref="F869:G869" si="965">F868</f>
        <v/>
      </c>
      <c r="G869" s="48" t="str">
        <f t="shared" si="965"/>
        <v>Player 1</v>
      </c>
    </row>
    <row r="870">
      <c r="A870" s="213">
        <f t="shared" si="962"/>
        <v>25</v>
      </c>
      <c r="D870" s="47" t="s">
        <v>114</v>
      </c>
      <c r="E870" s="216"/>
      <c r="F870" s="48" t="str">
        <f t="shared" ref="F870:G870" si="966">F869</f>
        <v/>
      </c>
      <c r="G870" s="48" t="str">
        <f t="shared" si="966"/>
        <v>Player 1</v>
      </c>
    </row>
    <row r="871">
      <c r="A871" s="213">
        <f>A869</f>
        <v>25</v>
      </c>
      <c r="B871" s="214"/>
      <c r="C871" s="215" t="s">
        <v>115</v>
      </c>
      <c r="D871" s="47" t="s">
        <v>110</v>
      </c>
      <c r="F871" s="48" t="str">
        <f t="shared" ref="F871:G871" si="967">B871</f>
        <v/>
      </c>
      <c r="G871" s="48" t="str">
        <f t="shared" si="967"/>
        <v>Player 2</v>
      </c>
    </row>
    <row r="872">
      <c r="A872" s="213">
        <f t="shared" ref="A872:A875" si="969">A871</f>
        <v>25</v>
      </c>
      <c r="D872" s="47" t="s">
        <v>111</v>
      </c>
      <c r="E872" s="47" t="s">
        <v>80</v>
      </c>
      <c r="F872" s="48" t="str">
        <f t="shared" ref="F872:G872" si="968">F871</f>
        <v/>
      </c>
      <c r="G872" s="48" t="str">
        <f t="shared" si="968"/>
        <v>Player 2</v>
      </c>
    </row>
    <row r="873">
      <c r="A873" s="213">
        <f t="shared" si="969"/>
        <v>25</v>
      </c>
      <c r="D873" s="47" t="s">
        <v>112</v>
      </c>
      <c r="E873" s="216"/>
      <c r="F873" s="48" t="str">
        <f t="shared" ref="F873:G873" si="970">F872</f>
        <v/>
      </c>
      <c r="G873" s="48" t="str">
        <f t="shared" si="970"/>
        <v>Player 2</v>
      </c>
    </row>
    <row r="874">
      <c r="A874" s="213">
        <f t="shared" si="969"/>
        <v>25</v>
      </c>
      <c r="D874" s="47" t="s">
        <v>113</v>
      </c>
      <c r="E874" s="216"/>
      <c r="F874" s="48" t="str">
        <f t="shared" ref="F874:G874" si="971">F873</f>
        <v/>
      </c>
      <c r="G874" s="48" t="str">
        <f t="shared" si="971"/>
        <v>Player 2</v>
      </c>
    </row>
    <row r="875">
      <c r="A875" s="213">
        <f t="shared" si="969"/>
        <v>25</v>
      </c>
      <c r="D875" s="47" t="s">
        <v>114</v>
      </c>
      <c r="E875" s="216"/>
      <c r="F875" s="48" t="str">
        <f t="shared" ref="F875:G875" si="972">F874</f>
        <v/>
      </c>
      <c r="G875" s="48" t="str">
        <f t="shared" si="972"/>
        <v>Player 2</v>
      </c>
    </row>
    <row r="876">
      <c r="A876" s="213">
        <f>A874</f>
        <v>25</v>
      </c>
      <c r="B876" s="214"/>
      <c r="C876" s="215" t="s">
        <v>121</v>
      </c>
      <c r="D876" s="47" t="s">
        <v>110</v>
      </c>
      <c r="F876" s="48" t="str">
        <f t="shared" ref="F876:G876" si="973">B876</f>
        <v/>
      </c>
      <c r="G876" s="48" t="str">
        <f t="shared" si="973"/>
        <v>Player 3</v>
      </c>
    </row>
    <row r="877">
      <c r="A877" s="213">
        <f t="shared" ref="A877:A880" si="975">A876</f>
        <v>25</v>
      </c>
      <c r="D877" s="47" t="s">
        <v>111</v>
      </c>
      <c r="E877" s="47" t="s">
        <v>80</v>
      </c>
      <c r="F877" s="48" t="str">
        <f t="shared" ref="F877:G877" si="974">F876</f>
        <v/>
      </c>
      <c r="G877" s="48" t="str">
        <f t="shared" si="974"/>
        <v>Player 3</v>
      </c>
    </row>
    <row r="878">
      <c r="A878" s="213">
        <f t="shared" si="975"/>
        <v>25</v>
      </c>
      <c r="D878" s="47" t="s">
        <v>112</v>
      </c>
      <c r="E878" s="216"/>
      <c r="F878" s="48" t="str">
        <f t="shared" ref="F878:G878" si="976">F877</f>
        <v/>
      </c>
      <c r="G878" s="48" t="str">
        <f t="shared" si="976"/>
        <v>Player 3</v>
      </c>
    </row>
    <row r="879">
      <c r="A879" s="213">
        <f t="shared" si="975"/>
        <v>25</v>
      </c>
      <c r="D879" s="47" t="s">
        <v>113</v>
      </c>
      <c r="E879" s="216"/>
      <c r="F879" s="48" t="str">
        <f t="shared" ref="F879:G879" si="977">F878</f>
        <v/>
      </c>
      <c r="G879" s="48" t="str">
        <f t="shared" si="977"/>
        <v>Player 3</v>
      </c>
    </row>
    <row r="880">
      <c r="A880" s="213">
        <f t="shared" si="975"/>
        <v>25</v>
      </c>
      <c r="D880" s="47" t="s">
        <v>114</v>
      </c>
      <c r="E880" s="216"/>
      <c r="F880" s="48" t="str">
        <f t="shared" ref="F880:G880" si="978">F879</f>
        <v/>
      </c>
      <c r="G880" s="48" t="str">
        <f t="shared" si="978"/>
        <v>Player 3</v>
      </c>
    </row>
    <row r="881">
      <c r="A881" s="213">
        <f>A879</f>
        <v>25</v>
      </c>
      <c r="B881" s="214"/>
      <c r="C881" s="215" t="s">
        <v>127</v>
      </c>
      <c r="D881" s="47" t="s">
        <v>110</v>
      </c>
      <c r="F881" s="48" t="str">
        <f t="shared" ref="F881:G881" si="979">B881</f>
        <v/>
      </c>
      <c r="G881" s="48" t="str">
        <f t="shared" si="979"/>
        <v>Player 4</v>
      </c>
    </row>
    <row r="882">
      <c r="A882" s="213">
        <f t="shared" ref="A882:A885" si="981">A881</f>
        <v>25</v>
      </c>
      <c r="D882" s="47" t="s">
        <v>111</v>
      </c>
      <c r="E882" s="47" t="s">
        <v>80</v>
      </c>
      <c r="F882" s="48" t="str">
        <f t="shared" ref="F882:G882" si="980">F881</f>
        <v/>
      </c>
      <c r="G882" s="48" t="str">
        <f t="shared" si="980"/>
        <v>Player 4</v>
      </c>
    </row>
    <row r="883">
      <c r="A883" s="213">
        <f t="shared" si="981"/>
        <v>25</v>
      </c>
      <c r="D883" s="47" t="s">
        <v>112</v>
      </c>
      <c r="E883" s="216"/>
      <c r="F883" s="48" t="str">
        <f t="shared" ref="F883:G883" si="982">F882</f>
        <v/>
      </c>
      <c r="G883" s="48" t="str">
        <f t="shared" si="982"/>
        <v>Player 4</v>
      </c>
    </row>
    <row r="884">
      <c r="A884" s="213">
        <f t="shared" si="981"/>
        <v>25</v>
      </c>
      <c r="D884" s="47" t="s">
        <v>113</v>
      </c>
      <c r="E884" s="216"/>
      <c r="F884" s="48" t="str">
        <f t="shared" ref="F884:G884" si="983">F883</f>
        <v/>
      </c>
      <c r="G884" s="48" t="str">
        <f t="shared" si="983"/>
        <v>Player 4</v>
      </c>
    </row>
    <row r="885">
      <c r="A885" s="213">
        <f t="shared" si="981"/>
        <v>25</v>
      </c>
      <c r="D885" s="47" t="s">
        <v>114</v>
      </c>
      <c r="E885" s="216"/>
      <c r="F885" s="48" t="str">
        <f t="shared" ref="F885:G885" si="984">F884</f>
        <v/>
      </c>
      <c r="G885" s="48" t="str">
        <f t="shared" si="984"/>
        <v>Player 4</v>
      </c>
    </row>
    <row r="886">
      <c r="A886" s="213">
        <f>A884</f>
        <v>25</v>
      </c>
      <c r="B886" s="214"/>
      <c r="C886" s="215" t="s">
        <v>133</v>
      </c>
      <c r="D886" s="47" t="s">
        <v>110</v>
      </c>
      <c r="F886" s="48" t="str">
        <f t="shared" ref="F886:G886" si="985">B886</f>
        <v/>
      </c>
      <c r="G886" s="48" t="str">
        <f t="shared" si="985"/>
        <v>Player 5</v>
      </c>
    </row>
    <row r="887">
      <c r="A887" s="213">
        <f t="shared" ref="A887:A900" si="987">A886</f>
        <v>25</v>
      </c>
      <c r="D887" s="47" t="s">
        <v>111</v>
      </c>
      <c r="E887" s="47" t="s">
        <v>80</v>
      </c>
      <c r="F887" s="48" t="str">
        <f t="shared" ref="F887:G887" si="986">F886</f>
        <v/>
      </c>
      <c r="G887" s="48" t="str">
        <f t="shared" si="986"/>
        <v>Player 5</v>
      </c>
    </row>
    <row r="888">
      <c r="A888" s="213">
        <f t="shared" si="987"/>
        <v>25</v>
      </c>
      <c r="D888" s="47" t="s">
        <v>112</v>
      </c>
      <c r="E888" s="216"/>
      <c r="F888" s="48" t="str">
        <f t="shared" ref="F888:G888" si="988">F887</f>
        <v/>
      </c>
      <c r="G888" s="48" t="str">
        <f t="shared" si="988"/>
        <v>Player 5</v>
      </c>
    </row>
    <row r="889">
      <c r="A889" s="213">
        <f t="shared" si="987"/>
        <v>25</v>
      </c>
      <c r="D889" s="47" t="s">
        <v>113</v>
      </c>
      <c r="E889" s="216"/>
      <c r="F889" s="48" t="str">
        <f t="shared" ref="F889:G889" si="989">F888</f>
        <v/>
      </c>
      <c r="G889" s="48" t="str">
        <f t="shared" si="989"/>
        <v>Player 5</v>
      </c>
    </row>
    <row r="890">
      <c r="A890" s="213">
        <f t="shared" si="987"/>
        <v>25</v>
      </c>
      <c r="D890" s="47" t="s">
        <v>114</v>
      </c>
      <c r="E890" s="216"/>
      <c r="F890" s="48" t="str">
        <f t="shared" ref="F890:G890" si="990">F889</f>
        <v/>
      </c>
      <c r="G890" s="48" t="str">
        <f t="shared" si="990"/>
        <v>Player 5</v>
      </c>
    </row>
    <row r="891">
      <c r="A891" s="213">
        <f t="shared" si="987"/>
        <v>25</v>
      </c>
      <c r="B891" s="214"/>
      <c r="C891" s="215" t="s">
        <v>139</v>
      </c>
      <c r="D891" s="47" t="s">
        <v>110</v>
      </c>
      <c r="E891" s="216"/>
      <c r="F891" s="48" t="str">
        <f t="shared" ref="F891:G891" si="991">B891</f>
        <v/>
      </c>
      <c r="G891" s="48" t="str">
        <f t="shared" si="991"/>
        <v>Player 6 (Substitute)</v>
      </c>
    </row>
    <row r="892">
      <c r="A892" s="213">
        <f t="shared" si="987"/>
        <v>25</v>
      </c>
      <c r="D892" s="47" t="s">
        <v>111</v>
      </c>
      <c r="E892" s="47" t="s">
        <v>80</v>
      </c>
      <c r="F892" s="48" t="str">
        <f t="shared" ref="F892:G892" si="992">F891</f>
        <v/>
      </c>
      <c r="G892" s="48" t="str">
        <f t="shared" si="992"/>
        <v>Player 6 (Substitute)</v>
      </c>
    </row>
    <row r="893">
      <c r="A893" s="213">
        <f t="shared" si="987"/>
        <v>25</v>
      </c>
      <c r="D893" s="47" t="s">
        <v>112</v>
      </c>
      <c r="E893" s="216"/>
      <c r="F893" s="48" t="str">
        <f t="shared" ref="F893:G893" si="993">F892</f>
        <v/>
      </c>
      <c r="G893" s="48" t="str">
        <f t="shared" si="993"/>
        <v>Player 6 (Substitute)</v>
      </c>
    </row>
    <row r="894">
      <c r="A894" s="213">
        <f t="shared" si="987"/>
        <v>25</v>
      </c>
      <c r="D894" s="47" t="s">
        <v>113</v>
      </c>
      <c r="E894" s="216"/>
      <c r="F894" s="48" t="str">
        <f t="shared" ref="F894:G894" si="994">F893</f>
        <v/>
      </c>
      <c r="G894" s="48" t="str">
        <f t="shared" si="994"/>
        <v>Player 6 (Substitute)</v>
      </c>
    </row>
    <row r="895">
      <c r="A895" s="213">
        <f t="shared" si="987"/>
        <v>25</v>
      </c>
      <c r="D895" s="47" t="s">
        <v>114</v>
      </c>
      <c r="E895" s="216"/>
      <c r="F895" s="48" t="str">
        <f t="shared" ref="F895:G895" si="995">F894</f>
        <v/>
      </c>
      <c r="G895" s="48" t="str">
        <f t="shared" si="995"/>
        <v>Player 6 (Substitute)</v>
      </c>
    </row>
    <row r="896">
      <c r="A896" s="213">
        <f t="shared" si="987"/>
        <v>25</v>
      </c>
      <c r="B896" s="214"/>
      <c r="C896" s="215" t="s">
        <v>145</v>
      </c>
      <c r="D896" s="47" t="s">
        <v>110</v>
      </c>
      <c r="F896" s="48" t="str">
        <f t="shared" ref="F896:G896" si="996">B896</f>
        <v/>
      </c>
      <c r="G896" s="48" t="str">
        <f t="shared" si="996"/>
        <v>Coach</v>
      </c>
    </row>
    <row r="897">
      <c r="A897" s="213">
        <f t="shared" si="987"/>
        <v>25</v>
      </c>
      <c r="D897" s="47" t="s">
        <v>111</v>
      </c>
      <c r="E897" s="47" t="s">
        <v>80</v>
      </c>
      <c r="F897" s="48" t="str">
        <f t="shared" ref="F897:G897" si="997">F896</f>
        <v/>
      </c>
      <c r="G897" s="48" t="str">
        <f t="shared" si="997"/>
        <v>Coach</v>
      </c>
    </row>
    <row r="898">
      <c r="A898" s="213">
        <f t="shared" si="987"/>
        <v>25</v>
      </c>
      <c r="D898" s="47" t="s">
        <v>112</v>
      </c>
      <c r="E898" s="216"/>
      <c r="F898" s="48" t="str">
        <f t="shared" ref="F898:G898" si="998">F897</f>
        <v/>
      </c>
      <c r="G898" s="48" t="str">
        <f t="shared" si="998"/>
        <v>Coach</v>
      </c>
    </row>
    <row r="899">
      <c r="A899" s="213">
        <f t="shared" si="987"/>
        <v>25</v>
      </c>
      <c r="D899" s="47" t="s">
        <v>113</v>
      </c>
      <c r="E899" s="218"/>
      <c r="F899" s="48" t="str">
        <f t="shared" ref="F899:G899" si="999">F898</f>
        <v/>
      </c>
      <c r="G899" s="48" t="str">
        <f t="shared" si="999"/>
        <v>Coach</v>
      </c>
    </row>
    <row r="900">
      <c r="A900" s="213">
        <f t="shared" si="987"/>
        <v>25</v>
      </c>
      <c r="D900" s="47" t="s">
        <v>114</v>
      </c>
      <c r="E900" s="218"/>
      <c r="F900" s="48" t="str">
        <f t="shared" ref="F900:G900" si="1000">F899</f>
        <v/>
      </c>
      <c r="G900" s="48" t="str">
        <f t="shared" si="1000"/>
        <v>Coach</v>
      </c>
    </row>
    <row r="901">
      <c r="A901" s="212">
        <f>A865+1</f>
        <v>26</v>
      </c>
      <c r="B901" s="212" t="str">
        <f t="array" ref="B901">xlookup(A901,'Team Entry'!$C:$C,'Team Entry'!$A:$A,"")</f>
        <v>Team 14 (Group 1)</v>
      </c>
    </row>
    <row r="902">
      <c r="A902" s="213">
        <f t="shared" ref="A902:A906" si="1002">A901</f>
        <v>26</v>
      </c>
      <c r="B902" s="214"/>
      <c r="C902" s="215" t="s">
        <v>109</v>
      </c>
      <c r="D902" s="47" t="s">
        <v>110</v>
      </c>
      <c r="F902" s="48" t="str">
        <f t="shared" ref="F902:G902" si="1001">B902</f>
        <v/>
      </c>
      <c r="G902" s="48" t="str">
        <f t="shared" si="1001"/>
        <v>Player 1</v>
      </c>
    </row>
    <row r="903">
      <c r="A903" s="213">
        <f t="shared" si="1002"/>
        <v>26</v>
      </c>
      <c r="D903" s="47" t="s">
        <v>111</v>
      </c>
      <c r="E903" s="47" t="s">
        <v>80</v>
      </c>
      <c r="F903" s="48" t="str">
        <f t="shared" ref="F903:G903" si="1003">F902</f>
        <v/>
      </c>
      <c r="G903" s="48" t="str">
        <f t="shared" si="1003"/>
        <v>Player 1</v>
      </c>
    </row>
    <row r="904">
      <c r="A904" s="213">
        <f t="shared" si="1002"/>
        <v>26</v>
      </c>
      <c r="D904" s="47" t="s">
        <v>112</v>
      </c>
      <c r="E904" s="216"/>
      <c r="F904" s="48" t="str">
        <f t="shared" ref="F904:G904" si="1004">F903</f>
        <v/>
      </c>
      <c r="G904" s="48" t="str">
        <f t="shared" si="1004"/>
        <v>Player 1</v>
      </c>
    </row>
    <row r="905">
      <c r="A905" s="213">
        <f t="shared" si="1002"/>
        <v>26</v>
      </c>
      <c r="D905" s="47" t="s">
        <v>113</v>
      </c>
      <c r="E905" s="216"/>
      <c r="F905" s="48" t="str">
        <f t="shared" ref="F905:G905" si="1005">F904</f>
        <v/>
      </c>
      <c r="G905" s="48" t="str">
        <f t="shared" si="1005"/>
        <v>Player 1</v>
      </c>
    </row>
    <row r="906">
      <c r="A906" s="213">
        <f t="shared" si="1002"/>
        <v>26</v>
      </c>
      <c r="D906" s="47" t="s">
        <v>114</v>
      </c>
      <c r="E906" s="216"/>
      <c r="F906" s="48" t="str">
        <f t="shared" ref="F906:G906" si="1006">F905</f>
        <v/>
      </c>
      <c r="G906" s="48" t="str">
        <f t="shared" si="1006"/>
        <v>Player 1</v>
      </c>
    </row>
    <row r="907">
      <c r="A907" s="213">
        <f>A905</f>
        <v>26</v>
      </c>
      <c r="B907" s="214"/>
      <c r="C907" s="215" t="s">
        <v>115</v>
      </c>
      <c r="D907" s="47" t="s">
        <v>110</v>
      </c>
      <c r="F907" s="48" t="str">
        <f t="shared" ref="F907:G907" si="1007">B907</f>
        <v/>
      </c>
      <c r="G907" s="48" t="str">
        <f t="shared" si="1007"/>
        <v>Player 2</v>
      </c>
    </row>
    <row r="908">
      <c r="A908" s="213">
        <f t="shared" ref="A908:A911" si="1009">A907</f>
        <v>26</v>
      </c>
      <c r="D908" s="47" t="s">
        <v>111</v>
      </c>
      <c r="E908" s="47" t="s">
        <v>80</v>
      </c>
      <c r="F908" s="48" t="str">
        <f t="shared" ref="F908:G908" si="1008">F907</f>
        <v/>
      </c>
      <c r="G908" s="48" t="str">
        <f t="shared" si="1008"/>
        <v>Player 2</v>
      </c>
    </row>
    <row r="909">
      <c r="A909" s="213">
        <f t="shared" si="1009"/>
        <v>26</v>
      </c>
      <c r="D909" s="47" t="s">
        <v>112</v>
      </c>
      <c r="E909" s="216"/>
      <c r="F909" s="48" t="str">
        <f t="shared" ref="F909:G909" si="1010">F908</f>
        <v/>
      </c>
      <c r="G909" s="48" t="str">
        <f t="shared" si="1010"/>
        <v>Player 2</v>
      </c>
    </row>
    <row r="910">
      <c r="A910" s="213">
        <f t="shared" si="1009"/>
        <v>26</v>
      </c>
      <c r="D910" s="47" t="s">
        <v>113</v>
      </c>
      <c r="E910" s="216"/>
      <c r="F910" s="48" t="str">
        <f t="shared" ref="F910:G910" si="1011">F909</f>
        <v/>
      </c>
      <c r="G910" s="48" t="str">
        <f t="shared" si="1011"/>
        <v>Player 2</v>
      </c>
    </row>
    <row r="911">
      <c r="A911" s="213">
        <f t="shared" si="1009"/>
        <v>26</v>
      </c>
      <c r="D911" s="47" t="s">
        <v>114</v>
      </c>
      <c r="E911" s="216"/>
      <c r="F911" s="48" t="str">
        <f t="shared" ref="F911:G911" si="1012">F910</f>
        <v/>
      </c>
      <c r="G911" s="48" t="str">
        <f t="shared" si="1012"/>
        <v>Player 2</v>
      </c>
    </row>
    <row r="912">
      <c r="A912" s="213">
        <f>A910</f>
        <v>26</v>
      </c>
      <c r="B912" s="214"/>
      <c r="C912" s="215" t="s">
        <v>121</v>
      </c>
      <c r="D912" s="47" t="s">
        <v>110</v>
      </c>
      <c r="F912" s="48" t="str">
        <f t="shared" ref="F912:G912" si="1013">B912</f>
        <v/>
      </c>
      <c r="G912" s="48" t="str">
        <f t="shared" si="1013"/>
        <v>Player 3</v>
      </c>
    </row>
    <row r="913">
      <c r="A913" s="213">
        <f t="shared" ref="A913:A916" si="1015">A912</f>
        <v>26</v>
      </c>
      <c r="D913" s="47" t="s">
        <v>111</v>
      </c>
      <c r="E913" s="47" t="s">
        <v>80</v>
      </c>
      <c r="F913" s="48" t="str">
        <f t="shared" ref="F913:G913" si="1014">F912</f>
        <v/>
      </c>
      <c r="G913" s="48" t="str">
        <f t="shared" si="1014"/>
        <v>Player 3</v>
      </c>
    </row>
    <row r="914">
      <c r="A914" s="213">
        <f t="shared" si="1015"/>
        <v>26</v>
      </c>
      <c r="D914" s="47" t="s">
        <v>112</v>
      </c>
      <c r="E914" s="216"/>
      <c r="F914" s="48" t="str">
        <f t="shared" ref="F914:G914" si="1016">F913</f>
        <v/>
      </c>
      <c r="G914" s="48" t="str">
        <f t="shared" si="1016"/>
        <v>Player 3</v>
      </c>
    </row>
    <row r="915">
      <c r="A915" s="213">
        <f t="shared" si="1015"/>
        <v>26</v>
      </c>
      <c r="D915" s="47" t="s">
        <v>113</v>
      </c>
      <c r="E915" s="216"/>
      <c r="F915" s="48" t="str">
        <f t="shared" ref="F915:G915" si="1017">F914</f>
        <v/>
      </c>
      <c r="G915" s="48" t="str">
        <f t="shared" si="1017"/>
        <v>Player 3</v>
      </c>
    </row>
    <row r="916">
      <c r="A916" s="213">
        <f t="shared" si="1015"/>
        <v>26</v>
      </c>
      <c r="D916" s="47" t="s">
        <v>114</v>
      </c>
      <c r="E916" s="216"/>
      <c r="F916" s="48" t="str">
        <f t="shared" ref="F916:G916" si="1018">F915</f>
        <v/>
      </c>
      <c r="G916" s="48" t="str">
        <f t="shared" si="1018"/>
        <v>Player 3</v>
      </c>
    </row>
    <row r="917">
      <c r="A917" s="213">
        <f>A915</f>
        <v>26</v>
      </c>
      <c r="B917" s="214"/>
      <c r="C917" s="215" t="s">
        <v>127</v>
      </c>
      <c r="D917" s="47" t="s">
        <v>110</v>
      </c>
      <c r="F917" s="48" t="str">
        <f t="shared" ref="F917:G917" si="1019">B917</f>
        <v/>
      </c>
      <c r="G917" s="48" t="str">
        <f t="shared" si="1019"/>
        <v>Player 4</v>
      </c>
    </row>
    <row r="918">
      <c r="A918" s="213">
        <f t="shared" ref="A918:A921" si="1021">A917</f>
        <v>26</v>
      </c>
      <c r="D918" s="47" t="s">
        <v>111</v>
      </c>
      <c r="E918" s="47" t="s">
        <v>80</v>
      </c>
      <c r="F918" s="48" t="str">
        <f t="shared" ref="F918:G918" si="1020">F917</f>
        <v/>
      </c>
      <c r="G918" s="48" t="str">
        <f t="shared" si="1020"/>
        <v>Player 4</v>
      </c>
    </row>
    <row r="919">
      <c r="A919" s="213">
        <f t="shared" si="1021"/>
        <v>26</v>
      </c>
      <c r="D919" s="47" t="s">
        <v>112</v>
      </c>
      <c r="E919" s="216"/>
      <c r="F919" s="48" t="str">
        <f t="shared" ref="F919:G919" si="1022">F918</f>
        <v/>
      </c>
      <c r="G919" s="48" t="str">
        <f t="shared" si="1022"/>
        <v>Player 4</v>
      </c>
    </row>
    <row r="920">
      <c r="A920" s="213">
        <f t="shared" si="1021"/>
        <v>26</v>
      </c>
      <c r="D920" s="47" t="s">
        <v>113</v>
      </c>
      <c r="E920" s="216"/>
      <c r="F920" s="48" t="str">
        <f t="shared" ref="F920:G920" si="1023">F919</f>
        <v/>
      </c>
      <c r="G920" s="48" t="str">
        <f t="shared" si="1023"/>
        <v>Player 4</v>
      </c>
    </row>
    <row r="921">
      <c r="A921" s="213">
        <f t="shared" si="1021"/>
        <v>26</v>
      </c>
      <c r="D921" s="47" t="s">
        <v>114</v>
      </c>
      <c r="E921" s="216"/>
      <c r="F921" s="48" t="str">
        <f t="shared" ref="F921:G921" si="1024">F920</f>
        <v/>
      </c>
      <c r="G921" s="48" t="str">
        <f t="shared" si="1024"/>
        <v>Player 4</v>
      </c>
    </row>
    <row r="922">
      <c r="A922" s="213">
        <f>A920</f>
        <v>26</v>
      </c>
      <c r="B922" s="214"/>
      <c r="C922" s="215" t="s">
        <v>133</v>
      </c>
      <c r="D922" s="47" t="s">
        <v>110</v>
      </c>
      <c r="F922" s="48" t="str">
        <f t="shared" ref="F922:G922" si="1025">B922</f>
        <v/>
      </c>
      <c r="G922" s="48" t="str">
        <f t="shared" si="1025"/>
        <v>Player 5</v>
      </c>
    </row>
    <row r="923">
      <c r="A923" s="213">
        <f t="shared" ref="A923:A936" si="1027">A922</f>
        <v>26</v>
      </c>
      <c r="D923" s="47" t="s">
        <v>111</v>
      </c>
      <c r="E923" s="47" t="s">
        <v>80</v>
      </c>
      <c r="F923" s="48" t="str">
        <f t="shared" ref="F923:G923" si="1026">F922</f>
        <v/>
      </c>
      <c r="G923" s="48" t="str">
        <f t="shared" si="1026"/>
        <v>Player 5</v>
      </c>
    </row>
    <row r="924">
      <c r="A924" s="213">
        <f t="shared" si="1027"/>
        <v>26</v>
      </c>
      <c r="D924" s="47" t="s">
        <v>112</v>
      </c>
      <c r="E924" s="216"/>
      <c r="F924" s="48" t="str">
        <f t="shared" ref="F924:G924" si="1028">F923</f>
        <v/>
      </c>
      <c r="G924" s="48" t="str">
        <f t="shared" si="1028"/>
        <v>Player 5</v>
      </c>
    </row>
    <row r="925">
      <c r="A925" s="213">
        <f t="shared" si="1027"/>
        <v>26</v>
      </c>
      <c r="D925" s="47" t="s">
        <v>113</v>
      </c>
      <c r="E925" s="216"/>
      <c r="F925" s="48" t="str">
        <f t="shared" ref="F925:G925" si="1029">F924</f>
        <v/>
      </c>
      <c r="G925" s="48" t="str">
        <f t="shared" si="1029"/>
        <v>Player 5</v>
      </c>
    </row>
    <row r="926">
      <c r="A926" s="213">
        <f t="shared" si="1027"/>
        <v>26</v>
      </c>
      <c r="D926" s="47" t="s">
        <v>114</v>
      </c>
      <c r="E926" s="216"/>
      <c r="F926" s="48" t="str">
        <f t="shared" ref="F926:G926" si="1030">F925</f>
        <v/>
      </c>
      <c r="G926" s="48" t="str">
        <f t="shared" si="1030"/>
        <v>Player 5</v>
      </c>
    </row>
    <row r="927">
      <c r="A927" s="213">
        <f t="shared" si="1027"/>
        <v>26</v>
      </c>
      <c r="B927" s="214"/>
      <c r="C927" s="215" t="s">
        <v>139</v>
      </c>
      <c r="D927" s="47" t="s">
        <v>110</v>
      </c>
      <c r="E927" s="216"/>
      <c r="F927" s="48" t="str">
        <f t="shared" ref="F927:G927" si="1031">B927</f>
        <v/>
      </c>
      <c r="G927" s="48" t="str">
        <f t="shared" si="1031"/>
        <v>Player 6 (Substitute)</v>
      </c>
    </row>
    <row r="928">
      <c r="A928" s="213">
        <f t="shared" si="1027"/>
        <v>26</v>
      </c>
      <c r="D928" s="47" t="s">
        <v>111</v>
      </c>
      <c r="E928" s="47" t="s">
        <v>80</v>
      </c>
      <c r="F928" s="48" t="str">
        <f t="shared" ref="F928:G928" si="1032">F927</f>
        <v/>
      </c>
      <c r="G928" s="48" t="str">
        <f t="shared" si="1032"/>
        <v>Player 6 (Substitute)</v>
      </c>
    </row>
    <row r="929">
      <c r="A929" s="213">
        <f t="shared" si="1027"/>
        <v>26</v>
      </c>
      <c r="D929" s="47" t="s">
        <v>112</v>
      </c>
      <c r="E929" s="216"/>
      <c r="F929" s="48" t="str">
        <f t="shared" ref="F929:G929" si="1033">F928</f>
        <v/>
      </c>
      <c r="G929" s="48" t="str">
        <f t="shared" si="1033"/>
        <v>Player 6 (Substitute)</v>
      </c>
    </row>
    <row r="930">
      <c r="A930" s="213">
        <f t="shared" si="1027"/>
        <v>26</v>
      </c>
      <c r="D930" s="47" t="s">
        <v>113</v>
      </c>
      <c r="E930" s="216"/>
      <c r="F930" s="48" t="str">
        <f t="shared" ref="F930:G930" si="1034">F929</f>
        <v/>
      </c>
      <c r="G930" s="48" t="str">
        <f t="shared" si="1034"/>
        <v>Player 6 (Substitute)</v>
      </c>
    </row>
    <row r="931">
      <c r="A931" s="213">
        <f t="shared" si="1027"/>
        <v>26</v>
      </c>
      <c r="D931" s="47" t="s">
        <v>114</v>
      </c>
      <c r="E931" s="216"/>
      <c r="F931" s="48" t="str">
        <f t="shared" ref="F931:G931" si="1035">F930</f>
        <v/>
      </c>
      <c r="G931" s="48" t="str">
        <f t="shared" si="1035"/>
        <v>Player 6 (Substitute)</v>
      </c>
    </row>
    <row r="932">
      <c r="A932" s="213">
        <f t="shared" si="1027"/>
        <v>26</v>
      </c>
      <c r="B932" s="214"/>
      <c r="C932" s="215" t="s">
        <v>145</v>
      </c>
      <c r="D932" s="47" t="s">
        <v>110</v>
      </c>
      <c r="F932" s="48" t="str">
        <f t="shared" ref="F932:G932" si="1036">B932</f>
        <v/>
      </c>
      <c r="G932" s="48" t="str">
        <f t="shared" si="1036"/>
        <v>Coach</v>
      </c>
    </row>
    <row r="933">
      <c r="A933" s="213">
        <f t="shared" si="1027"/>
        <v>26</v>
      </c>
      <c r="D933" s="47" t="s">
        <v>111</v>
      </c>
      <c r="E933" s="47" t="s">
        <v>80</v>
      </c>
      <c r="F933" s="48" t="str">
        <f t="shared" ref="F933:G933" si="1037">F932</f>
        <v/>
      </c>
      <c r="G933" s="48" t="str">
        <f t="shared" si="1037"/>
        <v>Coach</v>
      </c>
    </row>
    <row r="934">
      <c r="A934" s="213">
        <f t="shared" si="1027"/>
        <v>26</v>
      </c>
      <c r="D934" s="47" t="s">
        <v>112</v>
      </c>
      <c r="E934" s="216"/>
      <c r="F934" s="48" t="str">
        <f t="shared" ref="F934:G934" si="1038">F933</f>
        <v/>
      </c>
      <c r="G934" s="48" t="str">
        <f t="shared" si="1038"/>
        <v>Coach</v>
      </c>
    </row>
    <row r="935">
      <c r="A935" s="213">
        <f t="shared" si="1027"/>
        <v>26</v>
      </c>
      <c r="D935" s="47" t="s">
        <v>113</v>
      </c>
      <c r="E935" s="218"/>
      <c r="F935" s="48" t="str">
        <f t="shared" ref="F935:G935" si="1039">F934</f>
        <v/>
      </c>
      <c r="G935" s="48" t="str">
        <f t="shared" si="1039"/>
        <v>Coach</v>
      </c>
    </row>
    <row r="936">
      <c r="A936" s="213">
        <f t="shared" si="1027"/>
        <v>26</v>
      </c>
      <c r="D936" s="47" t="s">
        <v>114</v>
      </c>
      <c r="E936" s="218"/>
      <c r="F936" s="48" t="str">
        <f t="shared" ref="F936:G936" si="1040">F935</f>
        <v/>
      </c>
      <c r="G936" s="48" t="str">
        <f t="shared" si="1040"/>
        <v>Coach</v>
      </c>
    </row>
    <row r="937">
      <c r="A937" s="212">
        <f>A901+1</f>
        <v>27</v>
      </c>
      <c r="B937" s="212" t="str">
        <f t="array" ref="B937">xlookup(A937,'Team Entry'!$C:$C,'Team Entry'!$A:$A,"")</f>
        <v>Team 15 (Group 1)</v>
      </c>
    </row>
    <row r="938">
      <c r="A938" s="213">
        <f t="shared" ref="A938:A942" si="1042">A937</f>
        <v>27</v>
      </c>
      <c r="B938" s="214"/>
      <c r="C938" s="215" t="s">
        <v>109</v>
      </c>
      <c r="D938" s="47" t="s">
        <v>110</v>
      </c>
      <c r="F938" s="48" t="str">
        <f t="shared" ref="F938:G938" si="1041">B938</f>
        <v/>
      </c>
      <c r="G938" s="48" t="str">
        <f t="shared" si="1041"/>
        <v>Player 1</v>
      </c>
    </row>
    <row r="939">
      <c r="A939" s="213">
        <f t="shared" si="1042"/>
        <v>27</v>
      </c>
      <c r="D939" s="47" t="s">
        <v>111</v>
      </c>
      <c r="E939" s="47" t="s">
        <v>80</v>
      </c>
      <c r="F939" s="48" t="str">
        <f t="shared" ref="F939:G939" si="1043">F938</f>
        <v/>
      </c>
      <c r="G939" s="48" t="str">
        <f t="shared" si="1043"/>
        <v>Player 1</v>
      </c>
    </row>
    <row r="940">
      <c r="A940" s="213">
        <f t="shared" si="1042"/>
        <v>27</v>
      </c>
      <c r="D940" s="47" t="s">
        <v>112</v>
      </c>
      <c r="E940" s="216"/>
      <c r="F940" s="48" t="str">
        <f t="shared" ref="F940:G940" si="1044">F939</f>
        <v/>
      </c>
      <c r="G940" s="48" t="str">
        <f t="shared" si="1044"/>
        <v>Player 1</v>
      </c>
    </row>
    <row r="941">
      <c r="A941" s="213">
        <f t="shared" si="1042"/>
        <v>27</v>
      </c>
      <c r="D941" s="47" t="s">
        <v>113</v>
      </c>
      <c r="E941" s="216"/>
      <c r="F941" s="48" t="str">
        <f t="shared" ref="F941:G941" si="1045">F940</f>
        <v/>
      </c>
      <c r="G941" s="48" t="str">
        <f t="shared" si="1045"/>
        <v>Player 1</v>
      </c>
    </row>
    <row r="942">
      <c r="A942" s="213">
        <f t="shared" si="1042"/>
        <v>27</v>
      </c>
      <c r="D942" s="47" t="s">
        <v>114</v>
      </c>
      <c r="E942" s="216"/>
      <c r="F942" s="48" t="str">
        <f t="shared" ref="F942:G942" si="1046">F941</f>
        <v/>
      </c>
      <c r="G942" s="48" t="str">
        <f t="shared" si="1046"/>
        <v>Player 1</v>
      </c>
    </row>
    <row r="943">
      <c r="A943" s="213">
        <f>A941</f>
        <v>27</v>
      </c>
      <c r="B943" s="214"/>
      <c r="C943" s="215" t="s">
        <v>115</v>
      </c>
      <c r="D943" s="47" t="s">
        <v>110</v>
      </c>
      <c r="F943" s="48" t="str">
        <f t="shared" ref="F943:G943" si="1047">B943</f>
        <v/>
      </c>
      <c r="G943" s="48" t="str">
        <f t="shared" si="1047"/>
        <v>Player 2</v>
      </c>
    </row>
    <row r="944">
      <c r="A944" s="213">
        <f t="shared" ref="A944:A947" si="1049">A943</f>
        <v>27</v>
      </c>
      <c r="D944" s="47" t="s">
        <v>111</v>
      </c>
      <c r="E944" s="47" t="s">
        <v>80</v>
      </c>
      <c r="F944" s="48" t="str">
        <f t="shared" ref="F944:G944" si="1048">F943</f>
        <v/>
      </c>
      <c r="G944" s="48" t="str">
        <f t="shared" si="1048"/>
        <v>Player 2</v>
      </c>
    </row>
    <row r="945">
      <c r="A945" s="213">
        <f t="shared" si="1049"/>
        <v>27</v>
      </c>
      <c r="D945" s="47" t="s">
        <v>112</v>
      </c>
      <c r="E945" s="216"/>
      <c r="F945" s="48" t="str">
        <f t="shared" ref="F945:G945" si="1050">F944</f>
        <v/>
      </c>
      <c r="G945" s="48" t="str">
        <f t="shared" si="1050"/>
        <v>Player 2</v>
      </c>
    </row>
    <row r="946">
      <c r="A946" s="213">
        <f t="shared" si="1049"/>
        <v>27</v>
      </c>
      <c r="D946" s="47" t="s">
        <v>113</v>
      </c>
      <c r="E946" s="216"/>
      <c r="F946" s="48" t="str">
        <f t="shared" ref="F946:G946" si="1051">F945</f>
        <v/>
      </c>
      <c r="G946" s="48" t="str">
        <f t="shared" si="1051"/>
        <v>Player 2</v>
      </c>
    </row>
    <row r="947">
      <c r="A947" s="213">
        <f t="shared" si="1049"/>
        <v>27</v>
      </c>
      <c r="D947" s="47" t="s">
        <v>114</v>
      </c>
      <c r="E947" s="216"/>
      <c r="F947" s="48" t="str">
        <f t="shared" ref="F947:G947" si="1052">F946</f>
        <v/>
      </c>
      <c r="G947" s="48" t="str">
        <f t="shared" si="1052"/>
        <v>Player 2</v>
      </c>
    </row>
    <row r="948">
      <c r="A948" s="213">
        <f>A946</f>
        <v>27</v>
      </c>
      <c r="B948" s="214"/>
      <c r="C948" s="215" t="s">
        <v>121</v>
      </c>
      <c r="D948" s="47" t="s">
        <v>110</v>
      </c>
      <c r="F948" s="48" t="str">
        <f t="shared" ref="F948:G948" si="1053">B948</f>
        <v/>
      </c>
      <c r="G948" s="48" t="str">
        <f t="shared" si="1053"/>
        <v>Player 3</v>
      </c>
    </row>
    <row r="949">
      <c r="A949" s="213">
        <f t="shared" ref="A949:A952" si="1055">A948</f>
        <v>27</v>
      </c>
      <c r="D949" s="47" t="s">
        <v>111</v>
      </c>
      <c r="E949" s="47" t="s">
        <v>80</v>
      </c>
      <c r="F949" s="48" t="str">
        <f t="shared" ref="F949:G949" si="1054">F948</f>
        <v/>
      </c>
      <c r="G949" s="48" t="str">
        <f t="shared" si="1054"/>
        <v>Player 3</v>
      </c>
    </row>
    <row r="950">
      <c r="A950" s="213">
        <f t="shared" si="1055"/>
        <v>27</v>
      </c>
      <c r="D950" s="47" t="s">
        <v>112</v>
      </c>
      <c r="E950" s="216"/>
      <c r="F950" s="48" t="str">
        <f t="shared" ref="F950:G950" si="1056">F949</f>
        <v/>
      </c>
      <c r="G950" s="48" t="str">
        <f t="shared" si="1056"/>
        <v>Player 3</v>
      </c>
    </row>
    <row r="951">
      <c r="A951" s="213">
        <f t="shared" si="1055"/>
        <v>27</v>
      </c>
      <c r="D951" s="47" t="s">
        <v>113</v>
      </c>
      <c r="E951" s="216"/>
      <c r="F951" s="48" t="str">
        <f t="shared" ref="F951:G951" si="1057">F950</f>
        <v/>
      </c>
      <c r="G951" s="48" t="str">
        <f t="shared" si="1057"/>
        <v>Player 3</v>
      </c>
    </row>
    <row r="952">
      <c r="A952" s="213">
        <f t="shared" si="1055"/>
        <v>27</v>
      </c>
      <c r="D952" s="47" t="s">
        <v>114</v>
      </c>
      <c r="E952" s="216"/>
      <c r="F952" s="48" t="str">
        <f t="shared" ref="F952:G952" si="1058">F951</f>
        <v/>
      </c>
      <c r="G952" s="48" t="str">
        <f t="shared" si="1058"/>
        <v>Player 3</v>
      </c>
    </row>
    <row r="953">
      <c r="A953" s="213">
        <f>A951</f>
        <v>27</v>
      </c>
      <c r="B953" s="214"/>
      <c r="C953" s="215" t="s">
        <v>127</v>
      </c>
      <c r="D953" s="47" t="s">
        <v>110</v>
      </c>
      <c r="F953" s="48" t="str">
        <f t="shared" ref="F953:G953" si="1059">B953</f>
        <v/>
      </c>
      <c r="G953" s="48" t="str">
        <f t="shared" si="1059"/>
        <v>Player 4</v>
      </c>
    </row>
    <row r="954">
      <c r="A954" s="213">
        <f t="shared" ref="A954:A957" si="1061">A953</f>
        <v>27</v>
      </c>
      <c r="D954" s="47" t="s">
        <v>111</v>
      </c>
      <c r="E954" s="47" t="s">
        <v>80</v>
      </c>
      <c r="F954" s="48" t="str">
        <f t="shared" ref="F954:G954" si="1060">F953</f>
        <v/>
      </c>
      <c r="G954" s="48" t="str">
        <f t="shared" si="1060"/>
        <v>Player 4</v>
      </c>
    </row>
    <row r="955">
      <c r="A955" s="213">
        <f t="shared" si="1061"/>
        <v>27</v>
      </c>
      <c r="D955" s="47" t="s">
        <v>112</v>
      </c>
      <c r="E955" s="216"/>
      <c r="F955" s="48" t="str">
        <f t="shared" ref="F955:G955" si="1062">F954</f>
        <v/>
      </c>
      <c r="G955" s="48" t="str">
        <f t="shared" si="1062"/>
        <v>Player 4</v>
      </c>
    </row>
    <row r="956">
      <c r="A956" s="213">
        <f t="shared" si="1061"/>
        <v>27</v>
      </c>
      <c r="D956" s="47" t="s">
        <v>113</v>
      </c>
      <c r="E956" s="216"/>
      <c r="F956" s="48" t="str">
        <f t="shared" ref="F956:G956" si="1063">F955</f>
        <v/>
      </c>
      <c r="G956" s="48" t="str">
        <f t="shared" si="1063"/>
        <v>Player 4</v>
      </c>
    </row>
    <row r="957">
      <c r="A957" s="213">
        <f t="shared" si="1061"/>
        <v>27</v>
      </c>
      <c r="D957" s="47" t="s">
        <v>114</v>
      </c>
      <c r="E957" s="216"/>
      <c r="F957" s="48" t="str">
        <f t="shared" ref="F957:G957" si="1064">F956</f>
        <v/>
      </c>
      <c r="G957" s="48" t="str">
        <f t="shared" si="1064"/>
        <v>Player 4</v>
      </c>
    </row>
    <row r="958">
      <c r="A958" s="213">
        <f>A956</f>
        <v>27</v>
      </c>
      <c r="B958" s="214"/>
      <c r="C958" s="215" t="s">
        <v>133</v>
      </c>
      <c r="D958" s="47" t="s">
        <v>110</v>
      </c>
      <c r="F958" s="48" t="str">
        <f t="shared" ref="F958:G958" si="1065">B958</f>
        <v/>
      </c>
      <c r="G958" s="48" t="str">
        <f t="shared" si="1065"/>
        <v>Player 5</v>
      </c>
    </row>
    <row r="959">
      <c r="A959" s="213">
        <f t="shared" ref="A959:A972" si="1067">A958</f>
        <v>27</v>
      </c>
      <c r="D959" s="47" t="s">
        <v>111</v>
      </c>
      <c r="E959" s="47" t="s">
        <v>80</v>
      </c>
      <c r="F959" s="48" t="str">
        <f t="shared" ref="F959:G959" si="1066">F958</f>
        <v/>
      </c>
      <c r="G959" s="48" t="str">
        <f t="shared" si="1066"/>
        <v>Player 5</v>
      </c>
    </row>
    <row r="960">
      <c r="A960" s="213">
        <f t="shared" si="1067"/>
        <v>27</v>
      </c>
      <c r="D960" s="47" t="s">
        <v>112</v>
      </c>
      <c r="E960" s="216"/>
      <c r="F960" s="48" t="str">
        <f t="shared" ref="F960:G960" si="1068">F959</f>
        <v/>
      </c>
      <c r="G960" s="48" t="str">
        <f t="shared" si="1068"/>
        <v>Player 5</v>
      </c>
    </row>
    <row r="961">
      <c r="A961" s="213">
        <f t="shared" si="1067"/>
        <v>27</v>
      </c>
      <c r="D961" s="47" t="s">
        <v>113</v>
      </c>
      <c r="E961" s="216"/>
      <c r="F961" s="48" t="str">
        <f t="shared" ref="F961:G961" si="1069">F960</f>
        <v/>
      </c>
      <c r="G961" s="48" t="str">
        <f t="shared" si="1069"/>
        <v>Player 5</v>
      </c>
    </row>
    <row r="962">
      <c r="A962" s="213">
        <f t="shared" si="1067"/>
        <v>27</v>
      </c>
      <c r="D962" s="47" t="s">
        <v>114</v>
      </c>
      <c r="E962" s="216"/>
      <c r="F962" s="48" t="str">
        <f t="shared" ref="F962:G962" si="1070">F961</f>
        <v/>
      </c>
      <c r="G962" s="48" t="str">
        <f t="shared" si="1070"/>
        <v>Player 5</v>
      </c>
    </row>
    <row r="963">
      <c r="A963" s="213">
        <f t="shared" si="1067"/>
        <v>27</v>
      </c>
      <c r="B963" s="214"/>
      <c r="C963" s="215" t="s">
        <v>139</v>
      </c>
      <c r="D963" s="47" t="s">
        <v>110</v>
      </c>
      <c r="E963" s="216"/>
      <c r="F963" s="48" t="str">
        <f t="shared" ref="F963:G963" si="1071">B963</f>
        <v/>
      </c>
      <c r="G963" s="48" t="str">
        <f t="shared" si="1071"/>
        <v>Player 6 (Substitute)</v>
      </c>
    </row>
    <row r="964">
      <c r="A964" s="213">
        <f t="shared" si="1067"/>
        <v>27</v>
      </c>
      <c r="D964" s="47" t="s">
        <v>111</v>
      </c>
      <c r="E964" s="47" t="s">
        <v>80</v>
      </c>
      <c r="F964" s="48" t="str">
        <f t="shared" ref="F964:G964" si="1072">F963</f>
        <v/>
      </c>
      <c r="G964" s="48" t="str">
        <f t="shared" si="1072"/>
        <v>Player 6 (Substitute)</v>
      </c>
    </row>
    <row r="965">
      <c r="A965" s="213">
        <f t="shared" si="1067"/>
        <v>27</v>
      </c>
      <c r="D965" s="47" t="s">
        <v>112</v>
      </c>
      <c r="E965" s="216"/>
      <c r="F965" s="48" t="str">
        <f t="shared" ref="F965:G965" si="1073">F964</f>
        <v/>
      </c>
      <c r="G965" s="48" t="str">
        <f t="shared" si="1073"/>
        <v>Player 6 (Substitute)</v>
      </c>
    </row>
    <row r="966">
      <c r="A966" s="213">
        <f t="shared" si="1067"/>
        <v>27</v>
      </c>
      <c r="D966" s="47" t="s">
        <v>113</v>
      </c>
      <c r="E966" s="216"/>
      <c r="F966" s="48" t="str">
        <f t="shared" ref="F966:G966" si="1074">F965</f>
        <v/>
      </c>
      <c r="G966" s="48" t="str">
        <f t="shared" si="1074"/>
        <v>Player 6 (Substitute)</v>
      </c>
    </row>
    <row r="967">
      <c r="A967" s="213">
        <f t="shared" si="1067"/>
        <v>27</v>
      </c>
      <c r="D967" s="47" t="s">
        <v>114</v>
      </c>
      <c r="E967" s="216"/>
      <c r="F967" s="48" t="str">
        <f t="shared" ref="F967:G967" si="1075">F966</f>
        <v/>
      </c>
      <c r="G967" s="48" t="str">
        <f t="shared" si="1075"/>
        <v>Player 6 (Substitute)</v>
      </c>
    </row>
    <row r="968">
      <c r="A968" s="213">
        <f t="shared" si="1067"/>
        <v>27</v>
      </c>
      <c r="B968" s="214"/>
      <c r="C968" s="215" t="s">
        <v>145</v>
      </c>
      <c r="D968" s="47" t="s">
        <v>110</v>
      </c>
      <c r="F968" s="48" t="str">
        <f t="shared" ref="F968:G968" si="1076">B968</f>
        <v/>
      </c>
      <c r="G968" s="48" t="str">
        <f t="shared" si="1076"/>
        <v>Coach</v>
      </c>
    </row>
    <row r="969">
      <c r="A969" s="213">
        <f t="shared" si="1067"/>
        <v>27</v>
      </c>
      <c r="D969" s="47" t="s">
        <v>111</v>
      </c>
      <c r="E969" s="47" t="s">
        <v>80</v>
      </c>
      <c r="F969" s="48" t="str">
        <f t="shared" ref="F969:G969" si="1077">F968</f>
        <v/>
      </c>
      <c r="G969" s="48" t="str">
        <f t="shared" si="1077"/>
        <v>Coach</v>
      </c>
    </row>
    <row r="970">
      <c r="A970" s="213">
        <f t="shared" si="1067"/>
        <v>27</v>
      </c>
      <c r="D970" s="47" t="s">
        <v>112</v>
      </c>
      <c r="E970" s="216"/>
      <c r="F970" s="48" t="str">
        <f t="shared" ref="F970:G970" si="1078">F969</f>
        <v/>
      </c>
      <c r="G970" s="48" t="str">
        <f t="shared" si="1078"/>
        <v>Coach</v>
      </c>
    </row>
    <row r="971">
      <c r="A971" s="213">
        <f t="shared" si="1067"/>
        <v>27</v>
      </c>
      <c r="D971" s="47" t="s">
        <v>113</v>
      </c>
      <c r="E971" s="218"/>
      <c r="F971" s="48" t="str">
        <f t="shared" ref="F971:G971" si="1079">F970</f>
        <v/>
      </c>
      <c r="G971" s="48" t="str">
        <f t="shared" si="1079"/>
        <v>Coach</v>
      </c>
    </row>
    <row r="972">
      <c r="A972" s="213">
        <f t="shared" si="1067"/>
        <v>27</v>
      </c>
      <c r="D972" s="47" t="s">
        <v>114</v>
      </c>
      <c r="E972" s="218"/>
      <c r="F972" s="48" t="str">
        <f t="shared" ref="F972:G972" si="1080">F971</f>
        <v/>
      </c>
      <c r="G972" s="48" t="str">
        <f t="shared" si="1080"/>
        <v>Coach</v>
      </c>
    </row>
    <row r="973">
      <c r="A973" s="212">
        <f>A937+1</f>
        <v>28</v>
      </c>
      <c r="B973" s="212" t="str">
        <f t="array" ref="B973">xlookup(A973,'Team Entry'!$C:$C,'Team Entry'!$A:$A,"")</f>
        <v>Team 16 (Group 1)</v>
      </c>
    </row>
    <row r="974">
      <c r="A974" s="213">
        <f t="shared" ref="A974:A978" si="1082">A973</f>
        <v>28</v>
      </c>
      <c r="B974" s="214"/>
      <c r="C974" s="215" t="s">
        <v>109</v>
      </c>
      <c r="D974" s="47" t="s">
        <v>110</v>
      </c>
      <c r="F974" s="48" t="str">
        <f t="shared" ref="F974:G974" si="1081">B974</f>
        <v/>
      </c>
      <c r="G974" s="48" t="str">
        <f t="shared" si="1081"/>
        <v>Player 1</v>
      </c>
    </row>
    <row r="975">
      <c r="A975" s="213">
        <f t="shared" si="1082"/>
        <v>28</v>
      </c>
      <c r="D975" s="47" t="s">
        <v>111</v>
      </c>
      <c r="E975" s="47" t="s">
        <v>80</v>
      </c>
      <c r="F975" s="48" t="str">
        <f t="shared" ref="F975:G975" si="1083">F974</f>
        <v/>
      </c>
      <c r="G975" s="48" t="str">
        <f t="shared" si="1083"/>
        <v>Player 1</v>
      </c>
    </row>
    <row r="976">
      <c r="A976" s="213">
        <f t="shared" si="1082"/>
        <v>28</v>
      </c>
      <c r="D976" s="47" t="s">
        <v>112</v>
      </c>
      <c r="E976" s="216"/>
      <c r="F976" s="48" t="str">
        <f t="shared" ref="F976:G976" si="1084">F975</f>
        <v/>
      </c>
      <c r="G976" s="48" t="str">
        <f t="shared" si="1084"/>
        <v>Player 1</v>
      </c>
    </row>
    <row r="977">
      <c r="A977" s="213">
        <f t="shared" si="1082"/>
        <v>28</v>
      </c>
      <c r="D977" s="47" t="s">
        <v>113</v>
      </c>
      <c r="E977" s="216"/>
      <c r="F977" s="48" t="str">
        <f t="shared" ref="F977:G977" si="1085">F976</f>
        <v/>
      </c>
      <c r="G977" s="48" t="str">
        <f t="shared" si="1085"/>
        <v>Player 1</v>
      </c>
    </row>
    <row r="978">
      <c r="A978" s="213">
        <f t="shared" si="1082"/>
        <v>28</v>
      </c>
      <c r="D978" s="47" t="s">
        <v>114</v>
      </c>
      <c r="E978" s="216"/>
      <c r="F978" s="48" t="str">
        <f t="shared" ref="F978:G978" si="1086">F977</f>
        <v/>
      </c>
      <c r="G978" s="48" t="str">
        <f t="shared" si="1086"/>
        <v>Player 1</v>
      </c>
    </row>
    <row r="979">
      <c r="A979" s="213">
        <f>A977</f>
        <v>28</v>
      </c>
      <c r="B979" s="214"/>
      <c r="C979" s="215" t="s">
        <v>115</v>
      </c>
      <c r="D979" s="47" t="s">
        <v>110</v>
      </c>
      <c r="F979" s="48" t="str">
        <f t="shared" ref="F979:G979" si="1087">B979</f>
        <v/>
      </c>
      <c r="G979" s="48" t="str">
        <f t="shared" si="1087"/>
        <v>Player 2</v>
      </c>
    </row>
    <row r="980">
      <c r="A980" s="213">
        <f t="shared" ref="A980:A983" si="1089">A979</f>
        <v>28</v>
      </c>
      <c r="D980" s="47" t="s">
        <v>111</v>
      </c>
      <c r="E980" s="47" t="s">
        <v>80</v>
      </c>
      <c r="F980" s="48" t="str">
        <f t="shared" ref="F980:G980" si="1088">F979</f>
        <v/>
      </c>
      <c r="G980" s="48" t="str">
        <f t="shared" si="1088"/>
        <v>Player 2</v>
      </c>
    </row>
    <row r="981">
      <c r="A981" s="213">
        <f t="shared" si="1089"/>
        <v>28</v>
      </c>
      <c r="D981" s="47" t="s">
        <v>112</v>
      </c>
      <c r="E981" s="216"/>
      <c r="F981" s="48" t="str">
        <f t="shared" ref="F981:G981" si="1090">F980</f>
        <v/>
      </c>
      <c r="G981" s="48" t="str">
        <f t="shared" si="1090"/>
        <v>Player 2</v>
      </c>
    </row>
    <row r="982">
      <c r="A982" s="213">
        <f t="shared" si="1089"/>
        <v>28</v>
      </c>
      <c r="D982" s="47" t="s">
        <v>113</v>
      </c>
      <c r="E982" s="216"/>
      <c r="F982" s="48" t="str">
        <f t="shared" ref="F982:G982" si="1091">F981</f>
        <v/>
      </c>
      <c r="G982" s="48" t="str">
        <f t="shared" si="1091"/>
        <v>Player 2</v>
      </c>
    </row>
    <row r="983">
      <c r="A983" s="213">
        <f t="shared" si="1089"/>
        <v>28</v>
      </c>
      <c r="D983" s="47" t="s">
        <v>114</v>
      </c>
      <c r="E983" s="216"/>
      <c r="F983" s="48" t="str">
        <f t="shared" ref="F983:G983" si="1092">F982</f>
        <v/>
      </c>
      <c r="G983" s="48" t="str">
        <f t="shared" si="1092"/>
        <v>Player 2</v>
      </c>
    </row>
    <row r="984">
      <c r="A984" s="213">
        <f>A982</f>
        <v>28</v>
      </c>
      <c r="B984" s="214"/>
      <c r="C984" s="215" t="s">
        <v>121</v>
      </c>
      <c r="D984" s="47" t="s">
        <v>110</v>
      </c>
      <c r="F984" s="48" t="str">
        <f t="shared" ref="F984:G984" si="1093">B984</f>
        <v/>
      </c>
      <c r="G984" s="48" t="str">
        <f t="shared" si="1093"/>
        <v>Player 3</v>
      </c>
    </row>
    <row r="985">
      <c r="A985" s="213">
        <f t="shared" ref="A985:A988" si="1095">A984</f>
        <v>28</v>
      </c>
      <c r="D985" s="47" t="s">
        <v>111</v>
      </c>
      <c r="E985" s="47" t="s">
        <v>80</v>
      </c>
      <c r="F985" s="48" t="str">
        <f t="shared" ref="F985:G985" si="1094">F984</f>
        <v/>
      </c>
      <c r="G985" s="48" t="str">
        <f t="shared" si="1094"/>
        <v>Player 3</v>
      </c>
    </row>
    <row r="986">
      <c r="A986" s="213">
        <f t="shared" si="1095"/>
        <v>28</v>
      </c>
      <c r="D986" s="47" t="s">
        <v>112</v>
      </c>
      <c r="E986" s="216"/>
      <c r="F986" s="48" t="str">
        <f t="shared" ref="F986:G986" si="1096">F985</f>
        <v/>
      </c>
      <c r="G986" s="48" t="str">
        <f t="shared" si="1096"/>
        <v>Player 3</v>
      </c>
    </row>
    <row r="987">
      <c r="A987" s="213">
        <f t="shared" si="1095"/>
        <v>28</v>
      </c>
      <c r="D987" s="47" t="s">
        <v>113</v>
      </c>
      <c r="E987" s="216"/>
      <c r="F987" s="48" t="str">
        <f t="shared" ref="F987:G987" si="1097">F986</f>
        <v/>
      </c>
      <c r="G987" s="48" t="str">
        <f t="shared" si="1097"/>
        <v>Player 3</v>
      </c>
    </row>
    <row r="988">
      <c r="A988" s="213">
        <f t="shared" si="1095"/>
        <v>28</v>
      </c>
      <c r="D988" s="47" t="s">
        <v>114</v>
      </c>
      <c r="E988" s="216"/>
      <c r="F988" s="48" t="str">
        <f t="shared" ref="F988:G988" si="1098">F987</f>
        <v/>
      </c>
      <c r="G988" s="48" t="str">
        <f t="shared" si="1098"/>
        <v>Player 3</v>
      </c>
    </row>
    <row r="989">
      <c r="A989" s="213">
        <f>A987</f>
        <v>28</v>
      </c>
      <c r="B989" s="214"/>
      <c r="C989" s="215" t="s">
        <v>127</v>
      </c>
      <c r="D989" s="47" t="s">
        <v>110</v>
      </c>
      <c r="F989" s="48" t="str">
        <f t="shared" ref="F989:G989" si="1099">B989</f>
        <v/>
      </c>
      <c r="G989" s="48" t="str">
        <f t="shared" si="1099"/>
        <v>Player 4</v>
      </c>
    </row>
    <row r="990">
      <c r="A990" s="213">
        <f t="shared" ref="A990:A993" si="1101">A989</f>
        <v>28</v>
      </c>
      <c r="D990" s="47" t="s">
        <v>111</v>
      </c>
      <c r="E990" s="47" t="s">
        <v>80</v>
      </c>
      <c r="F990" s="48" t="str">
        <f t="shared" ref="F990:G990" si="1100">F989</f>
        <v/>
      </c>
      <c r="G990" s="48" t="str">
        <f t="shared" si="1100"/>
        <v>Player 4</v>
      </c>
    </row>
    <row r="991">
      <c r="A991" s="213">
        <f t="shared" si="1101"/>
        <v>28</v>
      </c>
      <c r="D991" s="47" t="s">
        <v>112</v>
      </c>
      <c r="E991" s="216"/>
      <c r="F991" s="48" t="str">
        <f t="shared" ref="F991:G991" si="1102">F990</f>
        <v/>
      </c>
      <c r="G991" s="48" t="str">
        <f t="shared" si="1102"/>
        <v>Player 4</v>
      </c>
    </row>
    <row r="992">
      <c r="A992" s="213">
        <f t="shared" si="1101"/>
        <v>28</v>
      </c>
      <c r="D992" s="47" t="s">
        <v>113</v>
      </c>
      <c r="E992" s="216"/>
      <c r="F992" s="48" t="str">
        <f t="shared" ref="F992:G992" si="1103">F991</f>
        <v/>
      </c>
      <c r="G992" s="48" t="str">
        <f t="shared" si="1103"/>
        <v>Player 4</v>
      </c>
    </row>
    <row r="993">
      <c r="A993" s="213">
        <f t="shared" si="1101"/>
        <v>28</v>
      </c>
      <c r="D993" s="47" t="s">
        <v>114</v>
      </c>
      <c r="E993" s="216"/>
      <c r="F993" s="48" t="str">
        <f t="shared" ref="F993:G993" si="1104">F992</f>
        <v/>
      </c>
      <c r="G993" s="48" t="str">
        <f t="shared" si="1104"/>
        <v>Player 4</v>
      </c>
    </row>
    <row r="994">
      <c r="A994" s="213">
        <f>A992</f>
        <v>28</v>
      </c>
      <c r="B994" s="214"/>
      <c r="C994" s="215" t="s">
        <v>133</v>
      </c>
      <c r="D994" s="47" t="s">
        <v>110</v>
      </c>
      <c r="F994" s="48" t="str">
        <f t="shared" ref="F994:G994" si="1105">B994</f>
        <v/>
      </c>
      <c r="G994" s="48" t="str">
        <f t="shared" si="1105"/>
        <v>Player 5</v>
      </c>
    </row>
    <row r="995">
      <c r="A995" s="213">
        <f t="shared" ref="A995:A1008" si="1107">A994</f>
        <v>28</v>
      </c>
      <c r="D995" s="47" t="s">
        <v>111</v>
      </c>
      <c r="E995" s="47" t="s">
        <v>80</v>
      </c>
      <c r="F995" s="48" t="str">
        <f t="shared" ref="F995:G995" si="1106">F994</f>
        <v/>
      </c>
      <c r="G995" s="48" t="str">
        <f t="shared" si="1106"/>
        <v>Player 5</v>
      </c>
    </row>
    <row r="996">
      <c r="A996" s="213">
        <f t="shared" si="1107"/>
        <v>28</v>
      </c>
      <c r="D996" s="47" t="s">
        <v>112</v>
      </c>
      <c r="E996" s="216"/>
      <c r="F996" s="48" t="str">
        <f t="shared" ref="F996:G996" si="1108">F995</f>
        <v/>
      </c>
      <c r="G996" s="48" t="str">
        <f t="shared" si="1108"/>
        <v>Player 5</v>
      </c>
    </row>
    <row r="997">
      <c r="A997" s="213">
        <f t="shared" si="1107"/>
        <v>28</v>
      </c>
      <c r="D997" s="47" t="s">
        <v>113</v>
      </c>
      <c r="E997" s="216"/>
      <c r="F997" s="48" t="str">
        <f t="shared" ref="F997:G997" si="1109">F996</f>
        <v/>
      </c>
      <c r="G997" s="48" t="str">
        <f t="shared" si="1109"/>
        <v>Player 5</v>
      </c>
    </row>
    <row r="998">
      <c r="A998" s="213">
        <f t="shared" si="1107"/>
        <v>28</v>
      </c>
      <c r="D998" s="47" t="s">
        <v>114</v>
      </c>
      <c r="E998" s="216"/>
      <c r="F998" s="48" t="str">
        <f t="shared" ref="F998:G998" si="1110">F997</f>
        <v/>
      </c>
      <c r="G998" s="48" t="str">
        <f t="shared" si="1110"/>
        <v>Player 5</v>
      </c>
    </row>
    <row r="999">
      <c r="A999" s="213">
        <f t="shared" si="1107"/>
        <v>28</v>
      </c>
      <c r="B999" s="214"/>
      <c r="C999" s="215" t="s">
        <v>139</v>
      </c>
      <c r="D999" s="47" t="s">
        <v>110</v>
      </c>
      <c r="E999" s="216"/>
      <c r="F999" s="48" t="str">
        <f t="shared" ref="F999:G999" si="1111">B999</f>
        <v/>
      </c>
      <c r="G999" s="48" t="str">
        <f t="shared" si="1111"/>
        <v>Player 6 (Substitute)</v>
      </c>
    </row>
    <row r="1000">
      <c r="A1000" s="213">
        <f t="shared" si="1107"/>
        <v>28</v>
      </c>
      <c r="D1000" s="47" t="s">
        <v>111</v>
      </c>
      <c r="E1000" s="47" t="s">
        <v>80</v>
      </c>
      <c r="F1000" s="48" t="str">
        <f t="shared" ref="F1000:G1000" si="1112">F999</f>
        <v/>
      </c>
      <c r="G1000" s="48" t="str">
        <f t="shared" si="1112"/>
        <v>Player 6 (Substitute)</v>
      </c>
    </row>
    <row r="1001">
      <c r="A1001" s="213">
        <f t="shared" si="1107"/>
        <v>28</v>
      </c>
      <c r="D1001" s="47" t="s">
        <v>112</v>
      </c>
      <c r="E1001" s="216"/>
      <c r="F1001" s="48" t="str">
        <f t="shared" ref="F1001:G1001" si="1113">F1000</f>
        <v/>
      </c>
      <c r="G1001" s="48" t="str">
        <f t="shared" si="1113"/>
        <v>Player 6 (Substitute)</v>
      </c>
    </row>
    <row r="1002">
      <c r="A1002" s="213">
        <f t="shared" si="1107"/>
        <v>28</v>
      </c>
      <c r="D1002" s="47" t="s">
        <v>113</v>
      </c>
      <c r="E1002" s="216"/>
      <c r="F1002" s="48" t="str">
        <f t="shared" ref="F1002:G1002" si="1114">F1001</f>
        <v/>
      </c>
      <c r="G1002" s="48" t="str">
        <f t="shared" si="1114"/>
        <v>Player 6 (Substitute)</v>
      </c>
    </row>
    <row r="1003">
      <c r="A1003" s="213">
        <f t="shared" si="1107"/>
        <v>28</v>
      </c>
      <c r="D1003" s="47" t="s">
        <v>114</v>
      </c>
      <c r="E1003" s="216"/>
      <c r="F1003" s="48" t="str">
        <f t="shared" ref="F1003:G1003" si="1115">F1002</f>
        <v/>
      </c>
      <c r="G1003" s="48" t="str">
        <f t="shared" si="1115"/>
        <v>Player 6 (Substitute)</v>
      </c>
    </row>
    <row r="1004">
      <c r="A1004" s="213">
        <f t="shared" si="1107"/>
        <v>28</v>
      </c>
      <c r="B1004" s="214"/>
      <c r="C1004" s="215" t="s">
        <v>145</v>
      </c>
      <c r="D1004" s="47" t="s">
        <v>110</v>
      </c>
      <c r="F1004" s="48" t="str">
        <f t="shared" ref="F1004:G1004" si="1116">B1004</f>
        <v/>
      </c>
      <c r="G1004" s="48" t="str">
        <f t="shared" si="1116"/>
        <v>Coach</v>
      </c>
    </row>
    <row r="1005">
      <c r="A1005" s="213">
        <f t="shared" si="1107"/>
        <v>28</v>
      </c>
      <c r="D1005" s="47" t="s">
        <v>111</v>
      </c>
      <c r="E1005" s="47" t="s">
        <v>80</v>
      </c>
      <c r="F1005" s="48" t="str">
        <f t="shared" ref="F1005:G1005" si="1117">F1004</f>
        <v/>
      </c>
      <c r="G1005" s="48" t="str">
        <f t="shared" si="1117"/>
        <v>Coach</v>
      </c>
    </row>
    <row r="1006">
      <c r="A1006" s="213">
        <f t="shared" si="1107"/>
        <v>28</v>
      </c>
      <c r="D1006" s="47" t="s">
        <v>112</v>
      </c>
      <c r="E1006" s="216"/>
      <c r="F1006" s="48" t="str">
        <f t="shared" ref="F1006:G1006" si="1118">F1005</f>
        <v/>
      </c>
      <c r="G1006" s="48" t="str">
        <f t="shared" si="1118"/>
        <v>Coach</v>
      </c>
    </row>
    <row r="1007">
      <c r="A1007" s="213">
        <f t="shared" si="1107"/>
        <v>28</v>
      </c>
      <c r="D1007" s="47" t="s">
        <v>113</v>
      </c>
      <c r="E1007" s="218"/>
      <c r="F1007" s="48" t="str">
        <f t="shared" ref="F1007:G1007" si="1119">F1006</f>
        <v/>
      </c>
      <c r="G1007" s="48" t="str">
        <f t="shared" si="1119"/>
        <v>Coach</v>
      </c>
    </row>
    <row r="1008">
      <c r="A1008" s="213">
        <f t="shared" si="1107"/>
        <v>28</v>
      </c>
      <c r="D1008" s="47" t="s">
        <v>114</v>
      </c>
      <c r="E1008" s="218"/>
      <c r="F1008" s="48" t="str">
        <f t="shared" ref="F1008:G1008" si="1120">F1007</f>
        <v/>
      </c>
      <c r="G1008" s="48" t="str">
        <f t="shared" si="1120"/>
        <v>Coach</v>
      </c>
    </row>
  </sheetData>
  <mergeCells count="420">
    <mergeCell ref="B644:B648"/>
    <mergeCell ref="B650:B654"/>
    <mergeCell ref="C650:C654"/>
    <mergeCell ref="B655:B659"/>
    <mergeCell ref="C655:C659"/>
    <mergeCell ref="B660:B664"/>
    <mergeCell ref="C660:C664"/>
    <mergeCell ref="C680:C684"/>
    <mergeCell ref="B685:E685"/>
    <mergeCell ref="B665:B669"/>
    <mergeCell ref="C665:C669"/>
    <mergeCell ref="B670:B674"/>
    <mergeCell ref="C670:C674"/>
    <mergeCell ref="B675:B679"/>
    <mergeCell ref="C675:C679"/>
    <mergeCell ref="B680:B684"/>
    <mergeCell ref="C706:C710"/>
    <mergeCell ref="C711:C715"/>
    <mergeCell ref="C716:C720"/>
    <mergeCell ref="B721:E721"/>
    <mergeCell ref="C722:C726"/>
    <mergeCell ref="C727:C731"/>
    <mergeCell ref="C732:C736"/>
    <mergeCell ref="C737:C741"/>
    <mergeCell ref="B686:B690"/>
    <mergeCell ref="C686:C690"/>
    <mergeCell ref="B691:B695"/>
    <mergeCell ref="C691:C695"/>
    <mergeCell ref="B696:B700"/>
    <mergeCell ref="C696:C700"/>
    <mergeCell ref="C701:C705"/>
    <mergeCell ref="B701:B705"/>
    <mergeCell ref="B706:B710"/>
    <mergeCell ref="B711:B715"/>
    <mergeCell ref="B716:B720"/>
    <mergeCell ref="B722:B726"/>
    <mergeCell ref="B727:B731"/>
    <mergeCell ref="B732:B736"/>
    <mergeCell ref="B737:B741"/>
    <mergeCell ref="B742:B746"/>
    <mergeCell ref="C742:C746"/>
    <mergeCell ref="B747:B751"/>
    <mergeCell ref="C747:C751"/>
    <mergeCell ref="C752:C756"/>
    <mergeCell ref="B757:E757"/>
    <mergeCell ref="B752:B756"/>
    <mergeCell ref="B758:B762"/>
    <mergeCell ref="C758:C762"/>
    <mergeCell ref="B763:B767"/>
    <mergeCell ref="C763:C767"/>
    <mergeCell ref="B768:B772"/>
    <mergeCell ref="C768:C772"/>
    <mergeCell ref="C788:C792"/>
    <mergeCell ref="B793:E793"/>
    <mergeCell ref="B773:B777"/>
    <mergeCell ref="C773:C777"/>
    <mergeCell ref="B778:B782"/>
    <mergeCell ref="C778:C782"/>
    <mergeCell ref="B783:B787"/>
    <mergeCell ref="C783:C787"/>
    <mergeCell ref="B788:B792"/>
    <mergeCell ref="C814:C818"/>
    <mergeCell ref="C819:C823"/>
    <mergeCell ref="C824:C828"/>
    <mergeCell ref="B829:E829"/>
    <mergeCell ref="C830:C834"/>
    <mergeCell ref="C835:C839"/>
    <mergeCell ref="C840:C844"/>
    <mergeCell ref="C845:C849"/>
    <mergeCell ref="B794:B798"/>
    <mergeCell ref="C794:C798"/>
    <mergeCell ref="B799:B803"/>
    <mergeCell ref="C799:C803"/>
    <mergeCell ref="B804:B808"/>
    <mergeCell ref="C804:C808"/>
    <mergeCell ref="C809:C813"/>
    <mergeCell ref="B809:B813"/>
    <mergeCell ref="B814:B818"/>
    <mergeCell ref="B819:B823"/>
    <mergeCell ref="B824:B828"/>
    <mergeCell ref="B830:B834"/>
    <mergeCell ref="B835:B839"/>
    <mergeCell ref="B840:B844"/>
    <mergeCell ref="B845:B849"/>
    <mergeCell ref="B850:B854"/>
    <mergeCell ref="C850:C854"/>
    <mergeCell ref="B855:B859"/>
    <mergeCell ref="C855:C859"/>
    <mergeCell ref="C860:C864"/>
    <mergeCell ref="B865:E865"/>
    <mergeCell ref="B1:E1"/>
    <mergeCell ref="B2:B6"/>
    <mergeCell ref="C2:C6"/>
    <mergeCell ref="B7:B11"/>
    <mergeCell ref="C7:C11"/>
    <mergeCell ref="B12:B16"/>
    <mergeCell ref="C12:C16"/>
    <mergeCell ref="C32:C36"/>
    <mergeCell ref="B37:E37"/>
    <mergeCell ref="B17:B21"/>
    <mergeCell ref="C17:C21"/>
    <mergeCell ref="B22:B26"/>
    <mergeCell ref="C22:C26"/>
    <mergeCell ref="B27:B31"/>
    <mergeCell ref="C27:C31"/>
    <mergeCell ref="B32:B36"/>
    <mergeCell ref="C58:C62"/>
    <mergeCell ref="C63:C67"/>
    <mergeCell ref="C68:C72"/>
    <mergeCell ref="B73:E73"/>
    <mergeCell ref="C74:C78"/>
    <mergeCell ref="C79:C83"/>
    <mergeCell ref="C84:C88"/>
    <mergeCell ref="C89:C93"/>
    <mergeCell ref="B38:B42"/>
    <mergeCell ref="C38:C42"/>
    <mergeCell ref="B43:B47"/>
    <mergeCell ref="C43:C47"/>
    <mergeCell ref="B48:B52"/>
    <mergeCell ref="C48:C52"/>
    <mergeCell ref="C53:C57"/>
    <mergeCell ref="B53:B57"/>
    <mergeCell ref="B58:B62"/>
    <mergeCell ref="B63:B67"/>
    <mergeCell ref="B68:B72"/>
    <mergeCell ref="B74:B78"/>
    <mergeCell ref="B79:B83"/>
    <mergeCell ref="B84:B88"/>
    <mergeCell ref="B89:B93"/>
    <mergeCell ref="B94:B98"/>
    <mergeCell ref="C94:C98"/>
    <mergeCell ref="B99:B103"/>
    <mergeCell ref="C99:C103"/>
    <mergeCell ref="C104:C108"/>
    <mergeCell ref="B109:E109"/>
    <mergeCell ref="B104:B108"/>
    <mergeCell ref="B110:B114"/>
    <mergeCell ref="C110:C114"/>
    <mergeCell ref="B115:B119"/>
    <mergeCell ref="C115:C119"/>
    <mergeCell ref="B120:B124"/>
    <mergeCell ref="C120:C124"/>
    <mergeCell ref="C140:C144"/>
    <mergeCell ref="B145:E145"/>
    <mergeCell ref="B125:B129"/>
    <mergeCell ref="C125:C129"/>
    <mergeCell ref="B130:B134"/>
    <mergeCell ref="C130:C134"/>
    <mergeCell ref="B135:B139"/>
    <mergeCell ref="C135:C139"/>
    <mergeCell ref="B140:B144"/>
    <mergeCell ref="C166:C170"/>
    <mergeCell ref="C171:C175"/>
    <mergeCell ref="C176:C180"/>
    <mergeCell ref="B181:E181"/>
    <mergeCell ref="C182:C186"/>
    <mergeCell ref="C187:C191"/>
    <mergeCell ref="C192:C196"/>
    <mergeCell ref="C197:C201"/>
    <mergeCell ref="B146:B150"/>
    <mergeCell ref="C146:C150"/>
    <mergeCell ref="B151:B155"/>
    <mergeCell ref="C151:C155"/>
    <mergeCell ref="B156:B160"/>
    <mergeCell ref="C156:C160"/>
    <mergeCell ref="C161:C165"/>
    <mergeCell ref="B161:B165"/>
    <mergeCell ref="B166:B170"/>
    <mergeCell ref="B171:B175"/>
    <mergeCell ref="B176:B180"/>
    <mergeCell ref="B182:B186"/>
    <mergeCell ref="B187:B191"/>
    <mergeCell ref="B192:B196"/>
    <mergeCell ref="B197:B201"/>
    <mergeCell ref="B202:B206"/>
    <mergeCell ref="C202:C206"/>
    <mergeCell ref="B207:B211"/>
    <mergeCell ref="C207:C211"/>
    <mergeCell ref="C212:C216"/>
    <mergeCell ref="B217:E217"/>
    <mergeCell ref="B212:B216"/>
    <mergeCell ref="B218:B222"/>
    <mergeCell ref="C218:C222"/>
    <mergeCell ref="B223:B227"/>
    <mergeCell ref="C223:C227"/>
    <mergeCell ref="B228:B232"/>
    <mergeCell ref="C228:C232"/>
    <mergeCell ref="C248:C252"/>
    <mergeCell ref="B253:E253"/>
    <mergeCell ref="B233:B237"/>
    <mergeCell ref="C233:C237"/>
    <mergeCell ref="B238:B242"/>
    <mergeCell ref="C238:C242"/>
    <mergeCell ref="B243:B247"/>
    <mergeCell ref="C243:C247"/>
    <mergeCell ref="B248:B252"/>
    <mergeCell ref="C274:C278"/>
    <mergeCell ref="C279:C283"/>
    <mergeCell ref="C284:C288"/>
    <mergeCell ref="B289:E289"/>
    <mergeCell ref="C290:C294"/>
    <mergeCell ref="C295:C299"/>
    <mergeCell ref="C300:C304"/>
    <mergeCell ref="C305:C309"/>
    <mergeCell ref="B254:B258"/>
    <mergeCell ref="C254:C258"/>
    <mergeCell ref="B259:B263"/>
    <mergeCell ref="C259:C263"/>
    <mergeCell ref="B264:B268"/>
    <mergeCell ref="C264:C268"/>
    <mergeCell ref="C269:C273"/>
    <mergeCell ref="B269:B273"/>
    <mergeCell ref="B274:B278"/>
    <mergeCell ref="B279:B283"/>
    <mergeCell ref="B284:B288"/>
    <mergeCell ref="B290:B294"/>
    <mergeCell ref="B295:B299"/>
    <mergeCell ref="B300:B304"/>
    <mergeCell ref="B305:B309"/>
    <mergeCell ref="B310:B314"/>
    <mergeCell ref="C310:C314"/>
    <mergeCell ref="B315:B319"/>
    <mergeCell ref="C315:C319"/>
    <mergeCell ref="C320:C324"/>
    <mergeCell ref="B325:E325"/>
    <mergeCell ref="B320:B324"/>
    <mergeCell ref="B326:B330"/>
    <mergeCell ref="C326:C330"/>
    <mergeCell ref="B331:B335"/>
    <mergeCell ref="C331:C335"/>
    <mergeCell ref="B336:B340"/>
    <mergeCell ref="C336:C340"/>
    <mergeCell ref="C356:C360"/>
    <mergeCell ref="B361:E361"/>
    <mergeCell ref="B341:B345"/>
    <mergeCell ref="C341:C345"/>
    <mergeCell ref="B346:B350"/>
    <mergeCell ref="C346:C350"/>
    <mergeCell ref="B351:B355"/>
    <mergeCell ref="C351:C355"/>
    <mergeCell ref="B356:B360"/>
    <mergeCell ref="C382:C386"/>
    <mergeCell ref="C387:C391"/>
    <mergeCell ref="C392:C396"/>
    <mergeCell ref="B397:E397"/>
    <mergeCell ref="C398:C402"/>
    <mergeCell ref="C403:C407"/>
    <mergeCell ref="C408:C412"/>
    <mergeCell ref="C413:C417"/>
    <mergeCell ref="B362:B366"/>
    <mergeCell ref="C362:C366"/>
    <mergeCell ref="B367:B371"/>
    <mergeCell ref="C367:C371"/>
    <mergeCell ref="B372:B376"/>
    <mergeCell ref="C372:C376"/>
    <mergeCell ref="C377:C381"/>
    <mergeCell ref="B377:B381"/>
    <mergeCell ref="B382:B386"/>
    <mergeCell ref="B387:B391"/>
    <mergeCell ref="B392:B396"/>
    <mergeCell ref="B398:B402"/>
    <mergeCell ref="B403:B407"/>
    <mergeCell ref="B408:B412"/>
    <mergeCell ref="B413:B417"/>
    <mergeCell ref="B418:B422"/>
    <mergeCell ref="C418:C422"/>
    <mergeCell ref="B423:B427"/>
    <mergeCell ref="C423:C427"/>
    <mergeCell ref="C428:C432"/>
    <mergeCell ref="B433:E433"/>
    <mergeCell ref="B428:B432"/>
    <mergeCell ref="B434:B438"/>
    <mergeCell ref="C434:C438"/>
    <mergeCell ref="B439:B443"/>
    <mergeCell ref="C439:C443"/>
    <mergeCell ref="B444:B448"/>
    <mergeCell ref="C444:C448"/>
    <mergeCell ref="C464:C468"/>
    <mergeCell ref="B469:E469"/>
    <mergeCell ref="B449:B453"/>
    <mergeCell ref="C449:C453"/>
    <mergeCell ref="B454:B458"/>
    <mergeCell ref="C454:C458"/>
    <mergeCell ref="B459:B463"/>
    <mergeCell ref="C459:C463"/>
    <mergeCell ref="B464:B468"/>
    <mergeCell ref="C490:C494"/>
    <mergeCell ref="C495:C499"/>
    <mergeCell ref="C500:C504"/>
    <mergeCell ref="B505:E505"/>
    <mergeCell ref="C506:C510"/>
    <mergeCell ref="C511:C515"/>
    <mergeCell ref="C516:C520"/>
    <mergeCell ref="C521:C525"/>
    <mergeCell ref="B470:B474"/>
    <mergeCell ref="C470:C474"/>
    <mergeCell ref="B475:B479"/>
    <mergeCell ref="C475:C479"/>
    <mergeCell ref="B480:B484"/>
    <mergeCell ref="C480:C484"/>
    <mergeCell ref="C485:C489"/>
    <mergeCell ref="B485:B489"/>
    <mergeCell ref="B490:B494"/>
    <mergeCell ref="B495:B499"/>
    <mergeCell ref="B500:B504"/>
    <mergeCell ref="B506:B510"/>
    <mergeCell ref="B511:B515"/>
    <mergeCell ref="B516:B520"/>
    <mergeCell ref="B521:B525"/>
    <mergeCell ref="B526:B530"/>
    <mergeCell ref="C526:C530"/>
    <mergeCell ref="B531:B535"/>
    <mergeCell ref="C531:C535"/>
    <mergeCell ref="C536:C540"/>
    <mergeCell ref="B541:E541"/>
    <mergeCell ref="B536:B540"/>
    <mergeCell ref="B542:B546"/>
    <mergeCell ref="C542:C546"/>
    <mergeCell ref="B547:B551"/>
    <mergeCell ref="C547:C551"/>
    <mergeCell ref="B552:B556"/>
    <mergeCell ref="C552:C556"/>
    <mergeCell ref="C572:C576"/>
    <mergeCell ref="B577:E577"/>
    <mergeCell ref="B557:B561"/>
    <mergeCell ref="C557:C561"/>
    <mergeCell ref="B562:B566"/>
    <mergeCell ref="C562:C566"/>
    <mergeCell ref="B567:B571"/>
    <mergeCell ref="C567:C571"/>
    <mergeCell ref="B572:B576"/>
    <mergeCell ref="C598:C602"/>
    <mergeCell ref="C603:C607"/>
    <mergeCell ref="C608:C612"/>
    <mergeCell ref="B613:E613"/>
    <mergeCell ref="C614:C618"/>
    <mergeCell ref="C619:C623"/>
    <mergeCell ref="C624:C628"/>
    <mergeCell ref="C629:C633"/>
    <mergeCell ref="B578:B582"/>
    <mergeCell ref="C578:C582"/>
    <mergeCell ref="B583:B587"/>
    <mergeCell ref="C583:C587"/>
    <mergeCell ref="B588:B592"/>
    <mergeCell ref="C588:C592"/>
    <mergeCell ref="C593:C597"/>
    <mergeCell ref="B593:B597"/>
    <mergeCell ref="B598:B602"/>
    <mergeCell ref="B603:B607"/>
    <mergeCell ref="B608:B612"/>
    <mergeCell ref="B614:B618"/>
    <mergeCell ref="B619:B623"/>
    <mergeCell ref="B624:B628"/>
    <mergeCell ref="B629:B633"/>
    <mergeCell ref="B634:B638"/>
    <mergeCell ref="C634:C638"/>
    <mergeCell ref="B639:B643"/>
    <mergeCell ref="C639:C643"/>
    <mergeCell ref="C644:C648"/>
    <mergeCell ref="B649:E649"/>
    <mergeCell ref="B989:B993"/>
    <mergeCell ref="C989:C993"/>
    <mergeCell ref="B994:B998"/>
    <mergeCell ref="C994:C998"/>
    <mergeCell ref="B999:B1003"/>
    <mergeCell ref="C999:C1003"/>
    <mergeCell ref="B1004:B1008"/>
    <mergeCell ref="C1004:C1008"/>
    <mergeCell ref="B968:B972"/>
    <mergeCell ref="B974:B978"/>
    <mergeCell ref="C974:C978"/>
    <mergeCell ref="B979:B983"/>
    <mergeCell ref="C979:C983"/>
    <mergeCell ref="B984:B988"/>
    <mergeCell ref="C984:C988"/>
    <mergeCell ref="B860:B864"/>
    <mergeCell ref="B866:B870"/>
    <mergeCell ref="C866:C870"/>
    <mergeCell ref="B871:B875"/>
    <mergeCell ref="C871:C875"/>
    <mergeCell ref="B876:B880"/>
    <mergeCell ref="C876:C880"/>
    <mergeCell ref="C896:C900"/>
    <mergeCell ref="B901:E901"/>
    <mergeCell ref="B881:B885"/>
    <mergeCell ref="C881:C885"/>
    <mergeCell ref="B886:B890"/>
    <mergeCell ref="C886:C890"/>
    <mergeCell ref="B891:B895"/>
    <mergeCell ref="C891:C895"/>
    <mergeCell ref="B896:B900"/>
    <mergeCell ref="C922:C926"/>
    <mergeCell ref="C927:C931"/>
    <mergeCell ref="C932:C936"/>
    <mergeCell ref="B937:E937"/>
    <mergeCell ref="C938:C942"/>
    <mergeCell ref="C943:C947"/>
    <mergeCell ref="C948:C952"/>
    <mergeCell ref="C953:C957"/>
    <mergeCell ref="B902:B906"/>
    <mergeCell ref="C902:C906"/>
    <mergeCell ref="B907:B911"/>
    <mergeCell ref="C907:C911"/>
    <mergeCell ref="B912:B916"/>
    <mergeCell ref="C912:C916"/>
    <mergeCell ref="C917:C921"/>
    <mergeCell ref="B917:B921"/>
    <mergeCell ref="B922:B926"/>
    <mergeCell ref="B927:B931"/>
    <mergeCell ref="B932:B936"/>
    <mergeCell ref="B938:B942"/>
    <mergeCell ref="B943:B947"/>
    <mergeCell ref="B948:B952"/>
    <mergeCell ref="B953:B957"/>
    <mergeCell ref="B958:B962"/>
    <mergeCell ref="C958:C962"/>
    <mergeCell ref="B963:B967"/>
    <mergeCell ref="C963:C967"/>
    <mergeCell ref="C968:C972"/>
    <mergeCell ref="B973:E973"/>
  </mergeCells>
  <dataValidations>
    <dataValidation type="list" allowBlank="1" showErrorMessage="1" sqref="E3 E8 E13 E18 E23 E28 E33 E39 E44 E49 E54 E59 E64 E69 E75 E80 E85 E90 E95 E100 E105 E111 E116 E121 E126 E131 E136 E141 E147 E152 E157 E162 E167 E172 E177 E183 E188 E193 E198 E203 E208 E213 E219 E224 E229 E234 E239 E244 E249 E255 E260 E265 E270 E275 E280 E285 E291 E296 E301 E306 E311 E316 E321 E327 E332 E337 E342 E347 E352 E357 E363 E368 E373 E378 E383 E388 E393 E399 E404 E409 E414 E419 E424 E429 E435 E440 E445 E450 E455 E460 E465 E471 E476 E481 E486 E491 E496 E501 E507 E512 E517 E522 E527 E532 E537 E543 E548 E553 E558 E563 E568 E573 E579 E584 E589 E594 E599 E604 E609 E615 E620 E625 E630 E635 E640 E645 E651 E656 E661 E666 E671 E676 E681 E687 E692 E697 E702 E707 E712 E717 E723 E728 E733 E738 E743 E748 E753 E759 E764 E769 E774 E779 E784 E789 E795 E800 E805 E810 E815 E820 E825 E831 E836 E841 E846 E851 E856 E861 E867 E872 E877 E882 E887 E892 E897 E903 E908 E913 E918 E923 E928 E933 E939 E944 E949 E954 E959 E964 E969 E975 E980 E985 E990 E995 E1000 E1005">
      <formula1>'Roster Info'!$K$6:$K$203</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sheetViews>
  <sheetFormatPr customHeight="1" defaultColWidth="12.63" defaultRowHeight="15.75"/>
  <cols>
    <col customWidth="1" min="1" max="82" width="2.63"/>
  </cols>
  <sheetData>
    <row r="1" ht="15.0" customHeight="1">
      <c r="A1" s="152"/>
      <c r="B1" s="152"/>
      <c r="C1" s="219"/>
      <c r="D1" s="219"/>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2"/>
      <c r="AH1" s="152"/>
      <c r="AI1" s="152"/>
      <c r="AJ1" s="152"/>
      <c r="AK1" s="152"/>
      <c r="AL1" s="152"/>
      <c r="AM1" s="152"/>
      <c r="AN1" s="152"/>
      <c r="AO1" s="152"/>
      <c r="AP1" s="219"/>
      <c r="AQ1" s="219"/>
      <c r="AR1" s="152"/>
      <c r="AS1" s="152"/>
      <c r="AT1" s="152"/>
      <c r="AU1" s="152"/>
      <c r="AV1" s="152"/>
      <c r="AW1" s="152"/>
      <c r="AX1" s="152"/>
      <c r="AY1" s="152"/>
      <c r="AZ1" s="152"/>
      <c r="BA1" s="152"/>
      <c r="BB1" s="152"/>
      <c r="BC1" s="152"/>
      <c r="BD1" s="152"/>
      <c r="BE1" s="152"/>
      <c r="BF1" s="152"/>
      <c r="BG1" s="152"/>
      <c r="BH1" s="152"/>
      <c r="BI1" s="152"/>
      <c r="BJ1" s="152"/>
      <c r="BK1" s="152"/>
      <c r="BL1" s="152"/>
      <c r="BM1" s="152"/>
      <c r="BN1" s="152"/>
      <c r="BO1" s="152"/>
      <c r="BP1" s="152"/>
      <c r="BQ1" s="152"/>
      <c r="BR1" s="152"/>
      <c r="BS1" s="152"/>
      <c r="BT1" s="152"/>
      <c r="BU1" s="152"/>
      <c r="BV1" s="152"/>
      <c r="BW1" s="152"/>
      <c r="BX1" s="152"/>
      <c r="BY1" s="152"/>
      <c r="BZ1" s="152"/>
      <c r="CA1" s="152"/>
      <c r="CB1" s="152"/>
      <c r="CC1" s="152"/>
      <c r="CD1" s="152"/>
    </row>
    <row r="2" ht="15.0" customHeight="1">
      <c r="A2" s="152"/>
      <c r="B2" s="152"/>
      <c r="C2" s="219"/>
      <c r="D2" s="219"/>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2"/>
      <c r="AK2" s="152"/>
      <c r="AL2" s="152"/>
      <c r="AM2" s="152"/>
      <c r="AN2" s="152"/>
      <c r="AO2" s="152"/>
      <c r="AP2" s="219"/>
      <c r="AQ2" s="219"/>
      <c r="AR2" s="152"/>
      <c r="AS2" s="152"/>
      <c r="AT2" s="152"/>
      <c r="AU2" s="152"/>
      <c r="AV2" s="152"/>
      <c r="AW2" s="152"/>
      <c r="AX2" s="152"/>
      <c r="AY2" s="152"/>
      <c r="AZ2" s="152"/>
      <c r="BA2" s="152"/>
      <c r="BB2" s="152"/>
      <c r="BC2" s="152"/>
      <c r="BD2" s="152"/>
      <c r="BE2" s="152"/>
      <c r="BF2" s="152"/>
      <c r="BG2" s="152"/>
      <c r="BH2" s="152"/>
      <c r="BI2" s="152"/>
      <c r="BJ2" s="152"/>
      <c r="BK2" s="152"/>
      <c r="BL2" s="152"/>
      <c r="BM2" s="152"/>
      <c r="BN2" s="152"/>
      <c r="BO2" s="152"/>
      <c r="BP2" s="152"/>
      <c r="BQ2" s="152"/>
      <c r="BR2" s="152"/>
      <c r="BS2" s="152"/>
      <c r="BT2" s="152"/>
      <c r="BU2" s="152"/>
      <c r="BV2" s="152"/>
      <c r="BW2" s="152"/>
      <c r="BX2" s="152"/>
      <c r="BY2" s="152"/>
      <c r="BZ2" s="152"/>
      <c r="CA2" s="152"/>
      <c r="CB2" s="152"/>
      <c r="CC2" s="152"/>
      <c r="CD2" s="152"/>
    </row>
    <row r="3" ht="15.0" customHeight="1">
      <c r="A3" s="152"/>
      <c r="B3" s="152"/>
      <c r="C3" s="219"/>
      <c r="D3" s="219"/>
      <c r="E3" s="152"/>
      <c r="F3" s="152"/>
      <c r="G3" s="152"/>
      <c r="H3" s="152"/>
      <c r="I3" s="152"/>
      <c r="J3" s="152"/>
      <c r="K3" s="152"/>
      <c r="L3" s="152"/>
      <c r="M3" s="152"/>
      <c r="N3" s="152"/>
      <c r="O3" s="152"/>
      <c r="P3" s="152"/>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219"/>
      <c r="AQ3" s="219"/>
      <c r="AR3" s="152"/>
      <c r="AS3" s="152"/>
      <c r="AT3" s="152"/>
      <c r="AU3" s="152"/>
      <c r="AV3" s="152"/>
      <c r="AW3" s="152"/>
      <c r="AX3" s="152"/>
      <c r="AY3" s="152"/>
      <c r="AZ3" s="152"/>
      <c r="BA3" s="152"/>
      <c r="BB3" s="152"/>
      <c r="BC3" s="152"/>
      <c r="BD3" s="152"/>
      <c r="BE3" s="152"/>
      <c r="BF3" s="152"/>
      <c r="BG3" s="152"/>
      <c r="BH3" s="152"/>
      <c r="BI3" s="152"/>
      <c r="BJ3" s="152"/>
      <c r="BK3" s="152"/>
      <c r="BL3" s="152"/>
      <c r="BM3" s="152"/>
      <c r="BN3" s="152"/>
      <c r="BO3" s="152"/>
      <c r="BP3" s="152"/>
      <c r="BQ3" s="152"/>
      <c r="BR3" s="152"/>
      <c r="BS3" s="152"/>
      <c r="BT3" s="152"/>
      <c r="BU3" s="152"/>
      <c r="BV3" s="152"/>
      <c r="BW3" s="152"/>
      <c r="BX3" s="152"/>
      <c r="BY3" s="152"/>
      <c r="BZ3" s="152"/>
      <c r="CA3" s="152"/>
      <c r="CB3" s="152"/>
      <c r="CC3" s="152"/>
      <c r="CD3" s="152"/>
    </row>
    <row r="4" ht="15.0" customHeight="1">
      <c r="A4" s="152"/>
      <c r="B4" s="152"/>
      <c r="C4" s="219"/>
      <c r="D4" s="219"/>
      <c r="E4" s="152"/>
      <c r="F4" s="152"/>
      <c r="G4" s="152"/>
      <c r="H4" s="152"/>
      <c r="I4" s="152"/>
      <c r="J4" s="152"/>
      <c r="K4" s="152"/>
      <c r="L4" s="152"/>
      <c r="M4" s="152"/>
      <c r="N4" s="152"/>
      <c r="O4" s="152"/>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219"/>
      <c r="AQ4" s="219"/>
      <c r="AR4" s="152"/>
      <c r="AS4" s="152"/>
      <c r="AT4" s="152"/>
      <c r="AU4" s="152"/>
      <c r="AV4" s="152"/>
      <c r="AW4" s="152"/>
      <c r="AX4" s="152"/>
      <c r="AY4" s="152"/>
      <c r="AZ4" s="152"/>
      <c r="BA4" s="152"/>
      <c r="BB4" s="152"/>
      <c r="BC4" s="152"/>
      <c r="BD4" s="152"/>
      <c r="BE4" s="152"/>
      <c r="BF4" s="152"/>
      <c r="BG4" s="152"/>
      <c r="BH4" s="152"/>
      <c r="BI4" s="152"/>
      <c r="BJ4" s="152"/>
      <c r="BK4" s="152"/>
      <c r="BL4" s="152"/>
      <c r="BM4" s="152"/>
      <c r="BN4" s="152"/>
      <c r="BO4" s="152"/>
      <c r="BP4" s="152"/>
      <c r="BQ4" s="152"/>
      <c r="BR4" s="152"/>
      <c r="BS4" s="152"/>
      <c r="BT4" s="152"/>
      <c r="BU4" s="152"/>
      <c r="BV4" s="152"/>
      <c r="BW4" s="152"/>
      <c r="BX4" s="152"/>
      <c r="BY4" s="152"/>
      <c r="BZ4" s="152"/>
      <c r="CA4" s="152"/>
      <c r="CB4" s="152"/>
      <c r="CC4" s="152"/>
      <c r="CD4" s="152"/>
    </row>
    <row r="5" ht="15.0" customHeight="1">
      <c r="A5" s="152"/>
      <c r="B5" s="152"/>
      <c r="C5" s="219"/>
      <c r="D5" s="219"/>
      <c r="E5" s="220" t="str">
        <f t="array" ref="E5">xlookup(M5,'Team Entry'!$A:$A,'Team Entry'!$B:$B,"")</f>
        <v/>
      </c>
      <c r="F5" s="58"/>
      <c r="G5" s="58"/>
      <c r="H5" s="58"/>
      <c r="I5" s="58"/>
      <c r="J5" s="58"/>
      <c r="K5" s="58"/>
      <c r="L5" s="58"/>
      <c r="M5" s="221" t="str">
        <f t="array" ref="M5">xlookup(C11,'Roster Info'!$A:$A,'Roster Info'!$B:$B,"")</f>
        <v>Team 1 (Playoff)</v>
      </c>
      <c r="N5" s="58"/>
      <c r="O5" s="58"/>
      <c r="P5" s="58"/>
      <c r="Q5" s="58"/>
      <c r="R5" s="58"/>
      <c r="S5" s="58"/>
      <c r="T5" s="58"/>
      <c r="U5" s="58"/>
      <c r="V5" s="58"/>
      <c r="W5" s="58"/>
      <c r="X5" s="58"/>
      <c r="Y5" s="58"/>
      <c r="Z5" s="58"/>
      <c r="AA5" s="58"/>
      <c r="AB5" s="58"/>
      <c r="AC5" s="58"/>
      <c r="AD5" s="58"/>
      <c r="AE5" s="58"/>
      <c r="AF5" s="58"/>
      <c r="AG5" s="58"/>
      <c r="AH5" s="58"/>
      <c r="AI5" s="58"/>
      <c r="AJ5" s="58"/>
      <c r="AK5" s="58"/>
      <c r="AL5" s="58"/>
      <c r="AM5" s="59"/>
      <c r="AN5" s="152"/>
      <c r="AO5" s="152"/>
      <c r="AP5" s="219"/>
      <c r="AQ5" s="219"/>
      <c r="AR5" s="220" t="str">
        <f t="array" ref="AR5">xlookup(AZ5,'Team Entry'!$A:$A,'Team Entry'!$B:$B,"")</f>
        <v/>
      </c>
      <c r="AS5" s="58"/>
      <c r="AT5" s="58"/>
      <c r="AU5" s="58"/>
      <c r="AV5" s="58"/>
      <c r="AW5" s="58"/>
      <c r="AX5" s="58"/>
      <c r="AY5" s="58"/>
      <c r="AZ5" s="221" t="str">
        <f t="array" ref="AZ5">xlookup(AP11,'Roster Info'!$A:$A,'Roster Info'!$B:$B,"")</f>
        <v>Team 2 (Playoff)</v>
      </c>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9"/>
      <c r="CA5" s="152"/>
      <c r="CB5" s="152"/>
      <c r="CC5" s="152"/>
      <c r="CD5" s="152"/>
    </row>
    <row r="6" ht="15.0" customHeight="1">
      <c r="A6" s="152"/>
      <c r="B6" s="152"/>
      <c r="C6" s="219"/>
      <c r="D6" s="219"/>
      <c r="E6" s="60"/>
      <c r="AM6" s="61"/>
      <c r="AN6" s="152"/>
      <c r="AO6" s="152"/>
      <c r="AP6" s="219"/>
      <c r="AQ6" s="219"/>
      <c r="AR6" s="60"/>
      <c r="BZ6" s="61"/>
      <c r="CA6" s="152"/>
      <c r="CB6" s="152"/>
      <c r="CC6" s="152"/>
      <c r="CD6" s="152"/>
    </row>
    <row r="7" ht="15.0" customHeight="1">
      <c r="A7" s="152"/>
      <c r="B7" s="152"/>
      <c r="C7" s="219"/>
      <c r="D7" s="219"/>
      <c r="E7" s="60"/>
      <c r="AM7" s="61"/>
      <c r="AN7" s="152"/>
      <c r="AO7" s="152"/>
      <c r="AP7" s="219"/>
      <c r="AQ7" s="219"/>
      <c r="AR7" s="60"/>
      <c r="BZ7" s="61"/>
      <c r="CA7" s="152"/>
      <c r="CB7" s="152"/>
      <c r="CC7" s="152"/>
      <c r="CD7" s="152"/>
    </row>
    <row r="8" ht="15.0" customHeight="1">
      <c r="A8" s="152"/>
      <c r="B8" s="152"/>
      <c r="C8" s="219"/>
      <c r="D8" s="219"/>
      <c r="E8" s="60"/>
      <c r="AM8" s="61"/>
      <c r="AN8" s="152"/>
      <c r="AO8" s="152"/>
      <c r="AP8" s="219"/>
      <c r="AQ8" s="219"/>
      <c r="AR8" s="60"/>
      <c r="BZ8" s="61"/>
      <c r="CA8" s="152"/>
      <c r="CB8" s="152"/>
      <c r="CC8" s="152"/>
      <c r="CD8" s="152"/>
    </row>
    <row r="9" ht="15.0" customHeight="1">
      <c r="A9" s="152"/>
      <c r="B9" s="152"/>
      <c r="C9" s="219"/>
      <c r="D9" s="219"/>
      <c r="E9" s="60"/>
      <c r="AM9" s="61"/>
      <c r="AN9" s="152"/>
      <c r="AO9" s="152"/>
      <c r="AP9" s="219"/>
      <c r="AQ9" s="219"/>
      <c r="AR9" s="60"/>
      <c r="BZ9" s="61"/>
      <c r="CA9" s="152"/>
      <c r="CB9" s="152"/>
      <c r="CC9" s="152"/>
      <c r="CD9" s="152"/>
    </row>
    <row r="10" ht="15.0" customHeight="1">
      <c r="A10" s="152"/>
      <c r="B10" s="152"/>
      <c r="C10" s="219"/>
      <c r="D10" s="219"/>
      <c r="E10" s="222"/>
      <c r="F10" s="223"/>
      <c r="G10" s="223"/>
      <c r="H10" s="223"/>
      <c r="I10" s="223"/>
      <c r="J10" s="223"/>
      <c r="K10" s="223"/>
      <c r="L10" s="223"/>
      <c r="M10" s="223"/>
      <c r="N10" s="223"/>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4"/>
      <c r="AN10" s="152"/>
      <c r="AO10" s="152"/>
      <c r="AP10" s="219"/>
      <c r="AQ10" s="219"/>
      <c r="AR10" s="222"/>
      <c r="AS10" s="223"/>
      <c r="AT10" s="223"/>
      <c r="AU10" s="223"/>
      <c r="AV10" s="223"/>
      <c r="AW10" s="223"/>
      <c r="AX10" s="223"/>
      <c r="AY10" s="223"/>
      <c r="AZ10" s="223"/>
      <c r="BA10" s="223"/>
      <c r="BB10" s="223"/>
      <c r="BC10" s="223"/>
      <c r="BD10" s="223"/>
      <c r="BE10" s="223"/>
      <c r="BF10" s="223"/>
      <c r="BG10" s="223"/>
      <c r="BH10" s="223"/>
      <c r="BI10" s="223"/>
      <c r="BJ10" s="223"/>
      <c r="BK10" s="223"/>
      <c r="BL10" s="223"/>
      <c r="BM10" s="223"/>
      <c r="BN10" s="223"/>
      <c r="BO10" s="223"/>
      <c r="BP10" s="223"/>
      <c r="BQ10" s="223"/>
      <c r="BR10" s="223"/>
      <c r="BS10" s="223"/>
      <c r="BT10" s="223"/>
      <c r="BU10" s="223"/>
      <c r="BV10" s="223"/>
      <c r="BW10" s="223"/>
      <c r="BX10" s="223"/>
      <c r="BY10" s="223"/>
      <c r="BZ10" s="224"/>
      <c r="CA10" s="152"/>
      <c r="CB10" s="152"/>
      <c r="CC10" s="152"/>
      <c r="CD10" s="152"/>
    </row>
    <row r="11" ht="15.0" customHeight="1">
      <c r="A11" s="152"/>
      <c r="B11" s="152"/>
      <c r="C11" s="225">
        <v>1.0</v>
      </c>
      <c r="D11" s="225" t="s">
        <v>109</v>
      </c>
      <c r="E11" s="226" t="s">
        <v>109</v>
      </c>
      <c r="I11" s="227" t="str">
        <f t="array" ref="I11">xlookup(xlookup(C11&amp;D11&amp;"Nationality",'Roster Info'!$A:$A&amp;'Roster Info'!$G:$G&amp;'Roster Info'!$D:$D,'Roster Info'!$E:$E,""),'Roster Info'!$K:$K,'Roster Info'!$L:$L,"")</f>
        <v/>
      </c>
      <c r="K11" s="228" t="str">
        <f t="array" ref="K11">xlookup(C11&amp;D11,'Roster Info'!$A:$A&amp;'Roster Info'!$G:$G,'Roster Info'!$F:$F,"")</f>
        <v/>
      </c>
      <c r="U11" s="229" t="str">
        <f t="array" ref="U11">xlookup(C11&amp;D11&amp;"Full Name",'Roster Info'!$A:$A&amp;'Roster Info'!$G:$G&amp;'Roster Info'!$D:$D,'Roster Info'!$E:$E,"")</f>
        <v/>
      </c>
      <c r="AE11" s="63" t="str">
        <f t="array" ref="AE11">if(xlookup(C11&amp;D11&amp;"Steam",'Roster Info'!$A:$A&amp;'Roster Info'!$G:$G&amp;'Roster Info'!$D:$D,'Roster Info'!$E:$E,"")="","-",hyperlink(xlookup(C11&amp;D11&amp;"Steam",'Roster Info'!$A:$A&amp;'Roster Info'!$G:$G&amp;'Roster Info'!$D:$D,'Roster Info'!$E:$E,""),"Steam"))</f>
        <v>-</v>
      </c>
      <c r="AH11" s="63" t="str">
        <f t="array" ref="AH11">if(xlookup(C11&amp;D11&amp;"HLTV",'Roster Info'!$A:$A&amp;'Roster Info'!$G:$G&amp;'Roster Info'!$D:$D,'Roster Info'!$E:$E,"")="","-",hyperlink(xlookup(C11&amp;D11&amp;"HLTV",'Roster Info'!$A:$A&amp;'Roster Info'!$G:$G&amp;'Roster Info'!$D:$D,'Roster Info'!$E:$E,""),"HLTV"))</f>
        <v>-</v>
      </c>
      <c r="AK11" s="63" t="str">
        <f t="array" ref="AK11">if(xlookup(C11&amp;D11&amp;"FaceIt",'Roster Info'!$A:$A&amp;'Roster Info'!$G:$G&amp;'Roster Info'!$D:$D,'Roster Info'!$E:$E,"")="","-",hyperlink(xlookup(C11&amp;D11&amp;"FaceIt",'Roster Info'!$A:$A&amp;'Roster Info'!$G:$G&amp;'Roster Info'!$D:$D,'Roster Info'!$E:$E,""),"FaceIt"))</f>
        <v>-</v>
      </c>
      <c r="AM11" s="61"/>
      <c r="AN11" s="152"/>
      <c r="AO11" s="152"/>
      <c r="AP11" s="225">
        <f>C11+1</f>
        <v>2</v>
      </c>
      <c r="AQ11" s="225" t="s">
        <v>109</v>
      </c>
      <c r="AR11" s="226" t="s">
        <v>109</v>
      </c>
      <c r="AV11" s="227" t="str">
        <f t="array" ref="AV11">xlookup(xlookup(AP11&amp;AQ11&amp;"Nationality",'Roster Info'!$A:$A&amp;'Roster Info'!$G:$G&amp;'Roster Info'!$D:$D,'Roster Info'!$E:$E,""),'Roster Info'!$K:$K,'Roster Info'!$L:$L,"")</f>
        <v/>
      </c>
      <c r="AX11" s="228" t="str">
        <f t="array" ref="AX11">xlookup(AP11&amp;AQ11,'Roster Info'!$A:$A&amp;'Roster Info'!$G:$G,'Roster Info'!$F:$F,"")</f>
        <v/>
      </c>
      <c r="BH11" s="229" t="str">
        <f t="array" ref="BH11">xlookup(AP11&amp;AQ11&amp;"Full Name",'Roster Info'!$A:$A&amp;'Roster Info'!$G:$G&amp;'Roster Info'!$D:$D,'Roster Info'!$E:$E,"")</f>
        <v/>
      </c>
      <c r="BR11" s="63" t="str">
        <f t="array" ref="BR11">if(xlookup(AP11&amp;AQ11&amp;"Steam",'Roster Info'!$A:$A&amp;'Roster Info'!$G:$G&amp;'Roster Info'!$D:$D,'Roster Info'!$E:$E,"")="","-",hyperlink(xlookup(AP11&amp;AQ11&amp;"Steam",'Roster Info'!$A:$A&amp;'Roster Info'!$G:$G&amp;'Roster Info'!$D:$D,'Roster Info'!$E:$E,""),"Steam"))</f>
        <v>-</v>
      </c>
      <c r="BU11" s="63" t="str">
        <f t="array" ref="BU11">if(xlookup(AP11&amp;AQ11&amp;"HLTV",'Roster Info'!$A:$A&amp;'Roster Info'!$G:$G&amp;'Roster Info'!$D:$D,'Roster Info'!$E:$E,"")="","-",hyperlink(xlookup(AP11&amp;AQ11&amp;"HLTV",'Roster Info'!$A:$A&amp;'Roster Info'!$G:$G&amp;'Roster Info'!$D:$D,'Roster Info'!$E:$E,""),"HLTV"))</f>
        <v>-</v>
      </c>
      <c r="BX11" s="63" t="str">
        <f t="array" ref="BX11">if(xlookup(AP11&amp;AQ11&amp;"FaceIt",'Roster Info'!$A:$A&amp;'Roster Info'!$G:$G&amp;'Roster Info'!$D:$D,'Roster Info'!$E:$E,"")="","-",hyperlink(xlookup(AP11&amp;AQ11&amp;"FaceIt",'Roster Info'!$A:$A&amp;'Roster Info'!$G:$G&amp;'Roster Info'!$D:$D,'Roster Info'!$E:$E,""),"FaceIt"))</f>
        <v>-</v>
      </c>
      <c r="BZ11" s="61"/>
      <c r="CA11" s="152"/>
      <c r="CB11" s="152"/>
      <c r="CC11" s="152"/>
      <c r="CD11" s="152"/>
    </row>
    <row r="12" ht="15.0" customHeight="1">
      <c r="A12" s="152"/>
      <c r="B12" s="152"/>
      <c r="C12" s="219"/>
      <c r="D12" s="219"/>
      <c r="E12" s="230"/>
      <c r="F12" s="231"/>
      <c r="G12" s="231"/>
      <c r="H12" s="231"/>
      <c r="I12" s="231"/>
      <c r="J12" s="231"/>
      <c r="K12" s="231"/>
      <c r="L12" s="231"/>
      <c r="M12" s="231"/>
      <c r="N12" s="231"/>
      <c r="O12" s="231"/>
      <c r="P12" s="231"/>
      <c r="Q12" s="231"/>
      <c r="R12" s="231"/>
      <c r="S12" s="231"/>
      <c r="T12" s="231"/>
      <c r="U12" s="231"/>
      <c r="V12" s="231"/>
      <c r="W12" s="231"/>
      <c r="X12" s="231"/>
      <c r="Y12" s="231"/>
      <c r="Z12" s="231"/>
      <c r="AA12" s="231"/>
      <c r="AB12" s="231"/>
      <c r="AC12" s="231"/>
      <c r="AD12" s="231"/>
      <c r="AE12" s="231"/>
      <c r="AF12" s="231"/>
      <c r="AG12" s="231"/>
      <c r="AH12" s="231"/>
      <c r="AI12" s="231"/>
      <c r="AJ12" s="231"/>
      <c r="AK12" s="231"/>
      <c r="AL12" s="231"/>
      <c r="AM12" s="232"/>
      <c r="AN12" s="152"/>
      <c r="AO12" s="152"/>
      <c r="AP12" s="219"/>
      <c r="AQ12" s="219"/>
      <c r="AR12" s="230"/>
      <c r="AS12" s="231"/>
      <c r="AT12" s="231"/>
      <c r="AU12" s="231"/>
      <c r="AV12" s="231"/>
      <c r="AW12" s="231"/>
      <c r="AX12" s="231"/>
      <c r="AY12" s="231"/>
      <c r="AZ12" s="231"/>
      <c r="BA12" s="231"/>
      <c r="BB12" s="231"/>
      <c r="BC12" s="231"/>
      <c r="BD12" s="231"/>
      <c r="BE12" s="231"/>
      <c r="BF12" s="231"/>
      <c r="BG12" s="231"/>
      <c r="BH12" s="231"/>
      <c r="BI12" s="231"/>
      <c r="BJ12" s="231"/>
      <c r="BK12" s="231"/>
      <c r="BL12" s="231"/>
      <c r="BM12" s="231"/>
      <c r="BN12" s="231"/>
      <c r="BO12" s="231"/>
      <c r="BP12" s="231"/>
      <c r="BQ12" s="231"/>
      <c r="BR12" s="231"/>
      <c r="BS12" s="231"/>
      <c r="BT12" s="231"/>
      <c r="BU12" s="231"/>
      <c r="BV12" s="231"/>
      <c r="BW12" s="231"/>
      <c r="BX12" s="231"/>
      <c r="BY12" s="231"/>
      <c r="BZ12" s="232"/>
      <c r="CA12" s="152"/>
      <c r="CB12" s="152"/>
      <c r="CC12" s="152"/>
      <c r="CD12" s="152"/>
    </row>
    <row r="13" ht="15.0" customHeight="1">
      <c r="A13" s="152"/>
      <c r="B13" s="152"/>
      <c r="C13" s="219">
        <f>C11</f>
        <v>1</v>
      </c>
      <c r="D13" s="225" t="s">
        <v>115</v>
      </c>
      <c r="E13" s="226" t="s">
        <v>115</v>
      </c>
      <c r="I13" s="227" t="str">
        <f t="array" ref="I13">xlookup(xlookup(C13&amp;D13&amp;"Nationality",'Roster Info'!$A:$A&amp;'Roster Info'!$G:$G&amp;'Roster Info'!$D:$D,'Roster Info'!$E:$E,""),'Roster Info'!$K:$K,'Roster Info'!$L:$L,"")</f>
        <v/>
      </c>
      <c r="K13" s="228" t="str">
        <f t="array" ref="K13">xlookup(C13&amp;D13,'Roster Info'!$A:$A&amp;'Roster Info'!$G:$G,'Roster Info'!$F:$F,"")</f>
        <v/>
      </c>
      <c r="U13" s="229" t="str">
        <f t="array" ref="U13">xlookup(C13&amp;D13&amp;"Full Name",'Roster Info'!$A:$A&amp;'Roster Info'!$G:$G&amp;'Roster Info'!$D:$D,'Roster Info'!$E:$E,"")</f>
        <v/>
      </c>
      <c r="AE13" s="63" t="str">
        <f t="array" ref="AE13">if(xlookup(C13&amp;D13&amp;"Steam",'Roster Info'!$A:$A&amp;'Roster Info'!$G:$G&amp;'Roster Info'!$D:$D,'Roster Info'!$E:$E,"")="","-",hyperlink(xlookup(C13&amp;D13&amp;"Steam",'Roster Info'!$A:$A&amp;'Roster Info'!$G:$G&amp;'Roster Info'!$D:$D,'Roster Info'!$E:$E,""),"Steam"))</f>
        <v>-</v>
      </c>
      <c r="AH13" s="63" t="str">
        <f t="array" ref="AH13">if(xlookup(C13&amp;D13&amp;"HLTV",'Roster Info'!$A:$A&amp;'Roster Info'!$G:$G&amp;'Roster Info'!$D:$D,'Roster Info'!$E:$E,"")="","-",hyperlink(xlookup(C13&amp;D13&amp;"HLTV",'Roster Info'!$A:$A&amp;'Roster Info'!$G:$G&amp;'Roster Info'!$D:$D,'Roster Info'!$E:$E,""),"HLTV"))</f>
        <v>-</v>
      </c>
      <c r="AK13" s="63" t="str">
        <f t="array" ref="AK13">if(xlookup(C13&amp;D13&amp;"FaceIt",'Roster Info'!$A:$A&amp;'Roster Info'!$G:$G&amp;'Roster Info'!$D:$D,'Roster Info'!$E:$E,"")="","-",hyperlink(xlookup(C13&amp;D13&amp;"FaceIt",'Roster Info'!$A:$A&amp;'Roster Info'!$G:$G&amp;'Roster Info'!$D:$D,'Roster Info'!$E:$E,""),"FaceIt"))</f>
        <v>-</v>
      </c>
      <c r="AM13" s="61"/>
      <c r="AN13" s="152"/>
      <c r="AO13" s="152"/>
      <c r="AP13" s="219">
        <f>AP11</f>
        <v>2</v>
      </c>
      <c r="AQ13" s="225" t="s">
        <v>115</v>
      </c>
      <c r="AR13" s="226" t="s">
        <v>115</v>
      </c>
      <c r="AV13" s="227" t="str">
        <f t="array" ref="AV13">xlookup(xlookup(AP13&amp;AQ13&amp;"Nationality",'Roster Info'!$A:$A&amp;'Roster Info'!$G:$G&amp;'Roster Info'!$D:$D,'Roster Info'!$E:$E,""),'Roster Info'!$K:$K,'Roster Info'!$L:$L,"")</f>
        <v/>
      </c>
      <c r="AX13" s="228" t="str">
        <f t="array" ref="AX13">xlookup(AP13&amp;AQ13,'Roster Info'!$A:$A&amp;'Roster Info'!$G:$G,'Roster Info'!$F:$F,"")</f>
        <v/>
      </c>
      <c r="BH13" s="229" t="str">
        <f t="array" ref="BH13">xlookup(AP13&amp;AQ13&amp;"Full Name",'Roster Info'!$A:$A&amp;'Roster Info'!$G:$G&amp;'Roster Info'!$D:$D,'Roster Info'!$E:$E,"")</f>
        <v/>
      </c>
      <c r="BR13" s="63" t="str">
        <f t="array" ref="BR13">if(xlookup(AP13&amp;AQ13&amp;"Steam",'Roster Info'!$A:$A&amp;'Roster Info'!$G:$G&amp;'Roster Info'!$D:$D,'Roster Info'!$E:$E,"")="","-",hyperlink(xlookup(AP13&amp;AQ13&amp;"Steam",'Roster Info'!$A:$A&amp;'Roster Info'!$G:$G&amp;'Roster Info'!$D:$D,'Roster Info'!$E:$E,""),"Steam"))</f>
        <v>-</v>
      </c>
      <c r="BU13" s="63" t="str">
        <f t="array" ref="BU13">if(xlookup(AP13&amp;AQ13&amp;"HLTV",'Roster Info'!$A:$A&amp;'Roster Info'!$G:$G&amp;'Roster Info'!$D:$D,'Roster Info'!$E:$E,"")="","-",hyperlink(xlookup(AP13&amp;AQ13&amp;"HLTV",'Roster Info'!$A:$A&amp;'Roster Info'!$G:$G&amp;'Roster Info'!$D:$D,'Roster Info'!$E:$E,""),"HLTV"))</f>
        <v>-</v>
      </c>
      <c r="BX13" s="63" t="str">
        <f t="array" ref="BX13">if(xlookup(AP13&amp;AQ13&amp;"FaceIt",'Roster Info'!$A:$A&amp;'Roster Info'!$G:$G&amp;'Roster Info'!$D:$D,'Roster Info'!$E:$E,"")="","-",hyperlink(xlookup(AP13&amp;AQ13&amp;"FaceIt",'Roster Info'!$A:$A&amp;'Roster Info'!$G:$G&amp;'Roster Info'!$D:$D,'Roster Info'!$E:$E,""),"FaceIt"))</f>
        <v>-</v>
      </c>
      <c r="BZ13" s="61"/>
      <c r="CA13" s="152"/>
      <c r="CB13" s="152"/>
      <c r="CC13" s="152"/>
      <c r="CD13" s="152"/>
    </row>
    <row r="14" ht="15.0" customHeight="1">
      <c r="A14" s="152"/>
      <c r="B14" s="152"/>
      <c r="C14" s="219"/>
      <c r="D14" s="219"/>
      <c r="E14" s="230"/>
      <c r="F14" s="231"/>
      <c r="G14" s="231"/>
      <c r="H14" s="231"/>
      <c r="I14" s="231"/>
      <c r="J14" s="231"/>
      <c r="K14" s="231"/>
      <c r="L14" s="231"/>
      <c r="M14" s="231"/>
      <c r="N14" s="231"/>
      <c r="O14" s="231"/>
      <c r="P14" s="231"/>
      <c r="Q14" s="231"/>
      <c r="R14" s="231"/>
      <c r="S14" s="231"/>
      <c r="T14" s="231"/>
      <c r="U14" s="231"/>
      <c r="V14" s="231"/>
      <c r="W14" s="231"/>
      <c r="X14" s="231"/>
      <c r="Y14" s="231"/>
      <c r="Z14" s="231"/>
      <c r="AA14" s="231"/>
      <c r="AB14" s="231"/>
      <c r="AC14" s="231"/>
      <c r="AD14" s="231"/>
      <c r="AE14" s="231"/>
      <c r="AF14" s="231"/>
      <c r="AG14" s="231"/>
      <c r="AH14" s="231"/>
      <c r="AI14" s="231"/>
      <c r="AJ14" s="231"/>
      <c r="AK14" s="231"/>
      <c r="AL14" s="231"/>
      <c r="AM14" s="232"/>
      <c r="AN14" s="152"/>
      <c r="AO14" s="152"/>
      <c r="AP14" s="219"/>
      <c r="AQ14" s="219"/>
      <c r="AR14" s="230"/>
      <c r="AS14" s="231"/>
      <c r="AT14" s="231"/>
      <c r="AU14" s="231"/>
      <c r="AV14" s="231"/>
      <c r="AW14" s="231"/>
      <c r="AX14" s="231"/>
      <c r="AY14" s="231"/>
      <c r="AZ14" s="231"/>
      <c r="BA14" s="231"/>
      <c r="BB14" s="231"/>
      <c r="BC14" s="231"/>
      <c r="BD14" s="231"/>
      <c r="BE14" s="231"/>
      <c r="BF14" s="231"/>
      <c r="BG14" s="231"/>
      <c r="BH14" s="231"/>
      <c r="BI14" s="231"/>
      <c r="BJ14" s="231"/>
      <c r="BK14" s="231"/>
      <c r="BL14" s="231"/>
      <c r="BM14" s="231"/>
      <c r="BN14" s="231"/>
      <c r="BO14" s="231"/>
      <c r="BP14" s="231"/>
      <c r="BQ14" s="231"/>
      <c r="BR14" s="231"/>
      <c r="BS14" s="231"/>
      <c r="BT14" s="231"/>
      <c r="BU14" s="231"/>
      <c r="BV14" s="231"/>
      <c r="BW14" s="231"/>
      <c r="BX14" s="231"/>
      <c r="BY14" s="231"/>
      <c r="BZ14" s="232"/>
      <c r="CA14" s="152"/>
      <c r="CB14" s="152"/>
      <c r="CC14" s="152"/>
      <c r="CD14" s="152"/>
    </row>
    <row r="15" ht="15.0" customHeight="1">
      <c r="A15" s="152"/>
      <c r="B15" s="152"/>
      <c r="C15" s="219">
        <f>C13</f>
        <v>1</v>
      </c>
      <c r="D15" s="225" t="s">
        <v>121</v>
      </c>
      <c r="E15" s="226" t="s">
        <v>121</v>
      </c>
      <c r="I15" s="227" t="str">
        <f t="array" ref="I15">xlookup(xlookup(C15&amp;D15&amp;"Nationality",'Roster Info'!$A:$A&amp;'Roster Info'!$G:$G&amp;'Roster Info'!$D:$D,'Roster Info'!$E:$E,""),'Roster Info'!$K:$K,'Roster Info'!$L:$L,"")</f>
        <v/>
      </c>
      <c r="K15" s="228" t="str">
        <f t="array" ref="K15">xlookup(C15&amp;D15,'Roster Info'!$A:$A&amp;'Roster Info'!$G:$G,'Roster Info'!$F:$F,"")</f>
        <v/>
      </c>
      <c r="U15" s="229" t="str">
        <f t="array" ref="U15">xlookup(C15&amp;D15&amp;"Full Name",'Roster Info'!$A:$A&amp;'Roster Info'!$G:$G&amp;'Roster Info'!$D:$D,'Roster Info'!$E:$E,"")</f>
        <v/>
      </c>
      <c r="AE15" s="63" t="str">
        <f t="array" ref="AE15">if(xlookup(C15&amp;D15&amp;"Steam",'Roster Info'!$A:$A&amp;'Roster Info'!$G:$G&amp;'Roster Info'!$D:$D,'Roster Info'!$E:$E,"")="","-",hyperlink(xlookup(C15&amp;D15&amp;"Steam",'Roster Info'!$A:$A&amp;'Roster Info'!$G:$G&amp;'Roster Info'!$D:$D,'Roster Info'!$E:$E,""),"Steam"))</f>
        <v>-</v>
      </c>
      <c r="AH15" s="63" t="str">
        <f t="array" ref="AH15">if(xlookup(C15&amp;D15&amp;"HLTV",'Roster Info'!$A:$A&amp;'Roster Info'!$G:$G&amp;'Roster Info'!$D:$D,'Roster Info'!$E:$E,"")="","-",hyperlink(xlookup(C15&amp;D15&amp;"HLTV",'Roster Info'!$A:$A&amp;'Roster Info'!$G:$G&amp;'Roster Info'!$D:$D,'Roster Info'!$E:$E,""),"HLTV"))</f>
        <v>-</v>
      </c>
      <c r="AK15" s="63" t="str">
        <f t="array" ref="AK15">if(xlookup(C15&amp;D15&amp;"FaceIt",'Roster Info'!$A:$A&amp;'Roster Info'!$G:$G&amp;'Roster Info'!$D:$D,'Roster Info'!$E:$E,"")="","-",hyperlink(xlookup(C15&amp;D15&amp;"FaceIt",'Roster Info'!$A:$A&amp;'Roster Info'!$G:$G&amp;'Roster Info'!$D:$D,'Roster Info'!$E:$E,""),"FaceIt"))</f>
        <v>-</v>
      </c>
      <c r="AM15" s="61"/>
      <c r="AN15" s="152"/>
      <c r="AO15" s="152"/>
      <c r="AP15" s="219">
        <f>AP13</f>
        <v>2</v>
      </c>
      <c r="AQ15" s="225" t="s">
        <v>121</v>
      </c>
      <c r="AR15" s="226" t="s">
        <v>121</v>
      </c>
      <c r="AV15" s="227" t="str">
        <f t="array" ref="AV15">xlookup(xlookup(AP15&amp;AQ15&amp;"Nationality",'Roster Info'!$A:$A&amp;'Roster Info'!$G:$G&amp;'Roster Info'!$D:$D,'Roster Info'!$E:$E,""),'Roster Info'!$K:$K,'Roster Info'!$L:$L,"")</f>
        <v/>
      </c>
      <c r="AX15" s="228" t="str">
        <f t="array" ref="AX15">xlookup(AP15&amp;AQ15,'Roster Info'!$A:$A&amp;'Roster Info'!$G:$G,'Roster Info'!$F:$F,"")</f>
        <v/>
      </c>
      <c r="BH15" s="229" t="str">
        <f t="array" ref="BH15">xlookup(AP15&amp;AQ15&amp;"Full Name",'Roster Info'!$A:$A&amp;'Roster Info'!$G:$G&amp;'Roster Info'!$D:$D,'Roster Info'!$E:$E,"")</f>
        <v/>
      </c>
      <c r="BR15" s="63" t="str">
        <f t="array" ref="BR15">if(xlookup(AP15&amp;AQ15&amp;"Steam",'Roster Info'!$A:$A&amp;'Roster Info'!$G:$G&amp;'Roster Info'!$D:$D,'Roster Info'!$E:$E,"")="","-",hyperlink(xlookup(AP15&amp;AQ15&amp;"Steam",'Roster Info'!$A:$A&amp;'Roster Info'!$G:$G&amp;'Roster Info'!$D:$D,'Roster Info'!$E:$E,""),"Steam"))</f>
        <v>-</v>
      </c>
      <c r="BU15" s="63" t="str">
        <f t="array" ref="BU15">if(xlookup(AP15&amp;AQ15&amp;"HLTV",'Roster Info'!$A:$A&amp;'Roster Info'!$G:$G&amp;'Roster Info'!$D:$D,'Roster Info'!$E:$E,"")="","-",hyperlink(xlookup(AP15&amp;AQ15&amp;"HLTV",'Roster Info'!$A:$A&amp;'Roster Info'!$G:$G&amp;'Roster Info'!$D:$D,'Roster Info'!$E:$E,""),"HLTV"))</f>
        <v>-</v>
      </c>
      <c r="BX15" s="63" t="str">
        <f t="array" ref="BX15">if(xlookup(AP15&amp;AQ15&amp;"FaceIt",'Roster Info'!$A:$A&amp;'Roster Info'!$G:$G&amp;'Roster Info'!$D:$D,'Roster Info'!$E:$E,"")="","-",hyperlink(xlookup(AP15&amp;AQ15&amp;"FaceIt",'Roster Info'!$A:$A&amp;'Roster Info'!$G:$G&amp;'Roster Info'!$D:$D,'Roster Info'!$E:$E,""),"FaceIt"))</f>
        <v>-</v>
      </c>
      <c r="BZ15" s="61"/>
      <c r="CA15" s="152"/>
      <c r="CB15" s="152"/>
      <c r="CC15" s="152"/>
      <c r="CD15" s="152"/>
    </row>
    <row r="16" ht="15.0" customHeight="1">
      <c r="A16" s="152"/>
      <c r="B16" s="152"/>
      <c r="C16" s="219"/>
      <c r="D16" s="219"/>
      <c r="E16" s="230"/>
      <c r="F16" s="231"/>
      <c r="G16" s="231"/>
      <c r="H16" s="231"/>
      <c r="I16" s="231"/>
      <c r="J16" s="231"/>
      <c r="K16" s="231"/>
      <c r="L16" s="231"/>
      <c r="M16" s="231"/>
      <c r="N16" s="231"/>
      <c r="O16" s="231"/>
      <c r="P16" s="231"/>
      <c r="Q16" s="231"/>
      <c r="R16" s="231"/>
      <c r="S16" s="231"/>
      <c r="T16" s="231"/>
      <c r="U16" s="231"/>
      <c r="V16" s="231"/>
      <c r="W16" s="231"/>
      <c r="X16" s="231"/>
      <c r="Y16" s="231"/>
      <c r="Z16" s="231"/>
      <c r="AA16" s="231"/>
      <c r="AB16" s="231"/>
      <c r="AC16" s="231"/>
      <c r="AD16" s="231"/>
      <c r="AE16" s="231"/>
      <c r="AF16" s="231"/>
      <c r="AG16" s="231"/>
      <c r="AH16" s="231"/>
      <c r="AI16" s="231"/>
      <c r="AJ16" s="231"/>
      <c r="AK16" s="231"/>
      <c r="AL16" s="231"/>
      <c r="AM16" s="232"/>
      <c r="AN16" s="152"/>
      <c r="AO16" s="152"/>
      <c r="AP16" s="219"/>
      <c r="AQ16" s="219"/>
      <c r="AR16" s="230"/>
      <c r="AS16" s="231"/>
      <c r="AT16" s="231"/>
      <c r="AU16" s="231"/>
      <c r="AV16" s="231"/>
      <c r="AW16" s="231"/>
      <c r="AX16" s="231"/>
      <c r="AY16" s="231"/>
      <c r="AZ16" s="231"/>
      <c r="BA16" s="231"/>
      <c r="BB16" s="231"/>
      <c r="BC16" s="231"/>
      <c r="BD16" s="231"/>
      <c r="BE16" s="231"/>
      <c r="BF16" s="231"/>
      <c r="BG16" s="231"/>
      <c r="BH16" s="231"/>
      <c r="BI16" s="231"/>
      <c r="BJ16" s="231"/>
      <c r="BK16" s="231"/>
      <c r="BL16" s="231"/>
      <c r="BM16" s="231"/>
      <c r="BN16" s="231"/>
      <c r="BO16" s="231"/>
      <c r="BP16" s="231"/>
      <c r="BQ16" s="231"/>
      <c r="BR16" s="231"/>
      <c r="BS16" s="231"/>
      <c r="BT16" s="231"/>
      <c r="BU16" s="231"/>
      <c r="BV16" s="231"/>
      <c r="BW16" s="231"/>
      <c r="BX16" s="231"/>
      <c r="BY16" s="231"/>
      <c r="BZ16" s="232"/>
      <c r="CA16" s="152"/>
      <c r="CB16" s="152"/>
      <c r="CC16" s="152"/>
      <c r="CD16" s="152"/>
    </row>
    <row r="17" ht="15.0" customHeight="1">
      <c r="A17" s="152"/>
      <c r="B17" s="152"/>
      <c r="C17" s="219">
        <f>C15</f>
        <v>1</v>
      </c>
      <c r="D17" s="225" t="s">
        <v>127</v>
      </c>
      <c r="E17" s="226" t="s">
        <v>127</v>
      </c>
      <c r="I17" s="227" t="str">
        <f t="array" ref="I17">xlookup(xlookup(C17&amp;D17&amp;"Nationality",'Roster Info'!$A:$A&amp;'Roster Info'!$G:$G&amp;'Roster Info'!$D:$D,'Roster Info'!$E:$E,""),'Roster Info'!$K:$K,'Roster Info'!$L:$L,"")</f>
        <v/>
      </c>
      <c r="K17" s="228" t="str">
        <f t="array" ref="K17">xlookup(C17&amp;D17,'Roster Info'!$A:$A&amp;'Roster Info'!$G:$G,'Roster Info'!$F:$F,"")</f>
        <v/>
      </c>
      <c r="U17" s="229" t="str">
        <f t="array" ref="U17">xlookup(C17&amp;D17&amp;"Full Name",'Roster Info'!$A:$A&amp;'Roster Info'!$G:$G&amp;'Roster Info'!$D:$D,'Roster Info'!$E:$E,"")</f>
        <v/>
      </c>
      <c r="AE17" s="63" t="str">
        <f t="array" ref="AE17">if(xlookup(C17&amp;D17&amp;"Steam",'Roster Info'!$A:$A&amp;'Roster Info'!$G:$G&amp;'Roster Info'!$D:$D,'Roster Info'!$E:$E,"")="","-",hyperlink(xlookup(C17&amp;D17&amp;"Steam",'Roster Info'!$A:$A&amp;'Roster Info'!$G:$G&amp;'Roster Info'!$D:$D,'Roster Info'!$E:$E,""),"Steam"))</f>
        <v>-</v>
      </c>
      <c r="AH17" s="63" t="str">
        <f t="array" ref="AH17">if(xlookup(C17&amp;D17&amp;"HLTV",'Roster Info'!$A:$A&amp;'Roster Info'!$G:$G&amp;'Roster Info'!$D:$D,'Roster Info'!$E:$E,"")="","-",hyperlink(xlookup(C17&amp;D17&amp;"HLTV",'Roster Info'!$A:$A&amp;'Roster Info'!$G:$G&amp;'Roster Info'!$D:$D,'Roster Info'!$E:$E,""),"HLTV"))</f>
        <v>-</v>
      </c>
      <c r="AK17" s="63" t="str">
        <f t="array" ref="AK17">if(xlookup(C17&amp;D17&amp;"FaceIt",'Roster Info'!$A:$A&amp;'Roster Info'!$G:$G&amp;'Roster Info'!$D:$D,'Roster Info'!$E:$E,"")="","-",hyperlink(xlookup(C17&amp;D17&amp;"FaceIt",'Roster Info'!$A:$A&amp;'Roster Info'!$G:$G&amp;'Roster Info'!$D:$D,'Roster Info'!$E:$E,""),"FaceIt"))</f>
        <v>-</v>
      </c>
      <c r="AM17" s="61"/>
      <c r="AN17" s="152"/>
      <c r="AO17" s="152"/>
      <c r="AP17" s="219">
        <f>AP15</f>
        <v>2</v>
      </c>
      <c r="AQ17" s="225" t="s">
        <v>127</v>
      </c>
      <c r="AR17" s="226" t="s">
        <v>127</v>
      </c>
      <c r="AV17" s="227" t="str">
        <f t="array" ref="AV17">xlookup(xlookup(AP17&amp;AQ17&amp;"Nationality",'Roster Info'!$A:$A&amp;'Roster Info'!$G:$G&amp;'Roster Info'!$D:$D,'Roster Info'!$E:$E,""),'Roster Info'!$K:$K,'Roster Info'!$L:$L,"")</f>
        <v/>
      </c>
      <c r="AX17" s="228" t="str">
        <f t="array" ref="AX17">xlookup(AP17&amp;AQ17,'Roster Info'!$A:$A&amp;'Roster Info'!$G:$G,'Roster Info'!$F:$F,"")</f>
        <v/>
      </c>
      <c r="BH17" s="229" t="str">
        <f t="array" ref="BH17">xlookup(AP17&amp;AQ17&amp;"Full Name",'Roster Info'!$A:$A&amp;'Roster Info'!$G:$G&amp;'Roster Info'!$D:$D,'Roster Info'!$E:$E,"")</f>
        <v/>
      </c>
      <c r="BR17" s="63" t="str">
        <f t="array" ref="BR17">if(xlookup(AP17&amp;AQ17&amp;"Steam",'Roster Info'!$A:$A&amp;'Roster Info'!$G:$G&amp;'Roster Info'!$D:$D,'Roster Info'!$E:$E,"")="","-",hyperlink(xlookup(AP17&amp;AQ17&amp;"Steam",'Roster Info'!$A:$A&amp;'Roster Info'!$G:$G&amp;'Roster Info'!$D:$D,'Roster Info'!$E:$E,""),"Steam"))</f>
        <v>-</v>
      </c>
      <c r="BU17" s="63" t="str">
        <f t="array" ref="BU17">if(xlookup(AP17&amp;AQ17&amp;"HLTV",'Roster Info'!$A:$A&amp;'Roster Info'!$G:$G&amp;'Roster Info'!$D:$D,'Roster Info'!$E:$E,"")="","-",hyperlink(xlookup(AP17&amp;AQ17&amp;"HLTV",'Roster Info'!$A:$A&amp;'Roster Info'!$G:$G&amp;'Roster Info'!$D:$D,'Roster Info'!$E:$E,""),"HLTV"))</f>
        <v>-</v>
      </c>
      <c r="BX17" s="63" t="str">
        <f t="array" ref="BX17">if(xlookup(AP17&amp;AQ17&amp;"FaceIt",'Roster Info'!$A:$A&amp;'Roster Info'!$G:$G&amp;'Roster Info'!$D:$D,'Roster Info'!$E:$E,"")="","-",hyperlink(xlookup(AP17&amp;AQ17&amp;"FaceIt",'Roster Info'!$A:$A&amp;'Roster Info'!$G:$G&amp;'Roster Info'!$D:$D,'Roster Info'!$E:$E,""),"FaceIt"))</f>
        <v>-</v>
      </c>
      <c r="BZ17" s="61"/>
      <c r="CA17" s="152"/>
      <c r="CB17" s="152"/>
      <c r="CC17" s="152"/>
      <c r="CD17" s="152"/>
    </row>
    <row r="18" ht="15.0" customHeight="1">
      <c r="A18" s="152"/>
      <c r="B18" s="152"/>
      <c r="C18" s="219"/>
      <c r="D18" s="219"/>
      <c r="E18" s="230"/>
      <c r="F18" s="231"/>
      <c r="G18" s="231"/>
      <c r="H18" s="231"/>
      <c r="I18" s="231"/>
      <c r="J18" s="231"/>
      <c r="K18" s="231"/>
      <c r="L18" s="231"/>
      <c r="M18" s="231"/>
      <c r="N18" s="231"/>
      <c r="O18" s="231"/>
      <c r="P18" s="231"/>
      <c r="Q18" s="231"/>
      <c r="R18" s="231"/>
      <c r="S18" s="231"/>
      <c r="T18" s="231"/>
      <c r="U18" s="231"/>
      <c r="V18" s="231"/>
      <c r="W18" s="231"/>
      <c r="X18" s="231"/>
      <c r="Y18" s="231"/>
      <c r="Z18" s="231"/>
      <c r="AA18" s="231"/>
      <c r="AB18" s="231"/>
      <c r="AC18" s="231"/>
      <c r="AD18" s="231"/>
      <c r="AE18" s="231"/>
      <c r="AF18" s="231"/>
      <c r="AG18" s="231"/>
      <c r="AH18" s="231"/>
      <c r="AI18" s="231"/>
      <c r="AJ18" s="231"/>
      <c r="AK18" s="231"/>
      <c r="AL18" s="231"/>
      <c r="AM18" s="232"/>
      <c r="AN18" s="152"/>
      <c r="AO18" s="152"/>
      <c r="AP18" s="219"/>
      <c r="AQ18" s="219"/>
      <c r="AR18" s="230"/>
      <c r="AS18" s="231"/>
      <c r="AT18" s="231"/>
      <c r="AU18" s="231"/>
      <c r="AV18" s="231"/>
      <c r="AW18" s="231"/>
      <c r="AX18" s="231"/>
      <c r="AY18" s="231"/>
      <c r="AZ18" s="231"/>
      <c r="BA18" s="231"/>
      <c r="BB18" s="231"/>
      <c r="BC18" s="231"/>
      <c r="BD18" s="231"/>
      <c r="BE18" s="231"/>
      <c r="BF18" s="231"/>
      <c r="BG18" s="231"/>
      <c r="BH18" s="231"/>
      <c r="BI18" s="231"/>
      <c r="BJ18" s="231"/>
      <c r="BK18" s="231"/>
      <c r="BL18" s="231"/>
      <c r="BM18" s="231"/>
      <c r="BN18" s="231"/>
      <c r="BO18" s="231"/>
      <c r="BP18" s="231"/>
      <c r="BQ18" s="231"/>
      <c r="BR18" s="231"/>
      <c r="BS18" s="231"/>
      <c r="BT18" s="231"/>
      <c r="BU18" s="231"/>
      <c r="BV18" s="231"/>
      <c r="BW18" s="231"/>
      <c r="BX18" s="231"/>
      <c r="BY18" s="231"/>
      <c r="BZ18" s="232"/>
      <c r="CA18" s="152"/>
      <c r="CB18" s="152"/>
      <c r="CC18" s="152"/>
      <c r="CD18" s="152"/>
    </row>
    <row r="19" ht="15.0" customHeight="1">
      <c r="A19" s="152"/>
      <c r="B19" s="152"/>
      <c r="C19" s="219">
        <f>C17</f>
        <v>1</v>
      </c>
      <c r="D19" s="225" t="s">
        <v>133</v>
      </c>
      <c r="E19" s="226" t="s">
        <v>133</v>
      </c>
      <c r="I19" s="227" t="str">
        <f t="array" ref="I19">xlookup(xlookup(C19&amp;D19&amp;"Nationality",'Roster Info'!$A:$A&amp;'Roster Info'!$G:$G&amp;'Roster Info'!$D:$D,'Roster Info'!$E:$E,""),'Roster Info'!$K:$K,'Roster Info'!$L:$L,"")</f>
        <v/>
      </c>
      <c r="K19" s="228" t="str">
        <f t="array" ref="K19">xlookup(C19&amp;D19,'Roster Info'!$A:$A&amp;'Roster Info'!$G:$G,'Roster Info'!$F:$F,"")</f>
        <v/>
      </c>
      <c r="U19" s="229" t="str">
        <f t="array" ref="U19">xlookup(C19&amp;D19&amp;"Full Name",'Roster Info'!$A:$A&amp;'Roster Info'!$G:$G&amp;'Roster Info'!$D:$D,'Roster Info'!$E:$E,"")</f>
        <v/>
      </c>
      <c r="AE19" s="63" t="str">
        <f t="array" ref="AE19">if(xlookup(C19&amp;D19&amp;"Steam",'Roster Info'!$A:$A&amp;'Roster Info'!$G:$G&amp;'Roster Info'!$D:$D,'Roster Info'!$E:$E,"")="","-",hyperlink(xlookup(C19&amp;D19&amp;"Steam",'Roster Info'!$A:$A&amp;'Roster Info'!$G:$G&amp;'Roster Info'!$D:$D,'Roster Info'!$E:$E,""),"Steam"))</f>
        <v>-</v>
      </c>
      <c r="AH19" s="63" t="str">
        <f t="array" ref="AH19">if(xlookup(C19&amp;D19&amp;"HLTV",'Roster Info'!$A:$A&amp;'Roster Info'!$G:$G&amp;'Roster Info'!$D:$D,'Roster Info'!$E:$E,"")="","-",hyperlink(xlookup(C19&amp;D19&amp;"HLTV",'Roster Info'!$A:$A&amp;'Roster Info'!$G:$G&amp;'Roster Info'!$D:$D,'Roster Info'!$E:$E,""),"HLTV"))</f>
        <v>-</v>
      </c>
      <c r="AK19" s="63" t="str">
        <f t="array" ref="AK19">if(xlookup(C19&amp;D19&amp;"FaceIt",'Roster Info'!$A:$A&amp;'Roster Info'!$G:$G&amp;'Roster Info'!$D:$D,'Roster Info'!$E:$E,"")="","-",hyperlink(xlookup(C19&amp;D19&amp;"FaceIt",'Roster Info'!$A:$A&amp;'Roster Info'!$G:$G&amp;'Roster Info'!$D:$D,'Roster Info'!$E:$E,""),"FaceIt"))</f>
        <v>-</v>
      </c>
      <c r="AM19" s="61"/>
      <c r="AN19" s="152"/>
      <c r="AO19" s="152"/>
      <c r="AP19" s="219">
        <f>AP17</f>
        <v>2</v>
      </c>
      <c r="AQ19" s="225" t="s">
        <v>133</v>
      </c>
      <c r="AR19" s="226" t="s">
        <v>133</v>
      </c>
      <c r="AV19" s="227" t="str">
        <f t="array" ref="AV19">xlookup(xlookup(AP19&amp;AQ19&amp;"Nationality",'Roster Info'!$A:$A&amp;'Roster Info'!$G:$G&amp;'Roster Info'!$D:$D,'Roster Info'!$E:$E,""),'Roster Info'!$K:$K,'Roster Info'!$L:$L,"")</f>
        <v/>
      </c>
      <c r="AX19" s="228" t="str">
        <f t="array" ref="AX19">xlookup(AP19&amp;AQ19,'Roster Info'!$A:$A&amp;'Roster Info'!$G:$G,'Roster Info'!$F:$F,"")</f>
        <v/>
      </c>
      <c r="BH19" s="229" t="str">
        <f t="array" ref="BH19">xlookup(AP19&amp;AQ19&amp;"Full Name",'Roster Info'!$A:$A&amp;'Roster Info'!$G:$G&amp;'Roster Info'!$D:$D,'Roster Info'!$E:$E,"")</f>
        <v/>
      </c>
      <c r="BR19" s="63" t="str">
        <f t="array" ref="BR19">if(xlookup(AP19&amp;AQ19&amp;"Steam",'Roster Info'!$A:$A&amp;'Roster Info'!$G:$G&amp;'Roster Info'!$D:$D,'Roster Info'!$E:$E,"")="","-",hyperlink(xlookup(AP19&amp;AQ19&amp;"Steam",'Roster Info'!$A:$A&amp;'Roster Info'!$G:$G&amp;'Roster Info'!$D:$D,'Roster Info'!$E:$E,""),"Steam"))</f>
        <v>-</v>
      </c>
      <c r="BU19" s="63" t="str">
        <f t="array" ref="BU19">if(xlookup(AP19&amp;AQ19&amp;"HLTV",'Roster Info'!$A:$A&amp;'Roster Info'!$G:$G&amp;'Roster Info'!$D:$D,'Roster Info'!$E:$E,"")="","-",hyperlink(xlookup(AP19&amp;AQ19&amp;"HLTV",'Roster Info'!$A:$A&amp;'Roster Info'!$G:$G&amp;'Roster Info'!$D:$D,'Roster Info'!$E:$E,""),"HLTV"))</f>
        <v>-</v>
      </c>
      <c r="BX19" s="63" t="str">
        <f t="array" ref="BX19">if(xlookup(AP19&amp;AQ19&amp;"FaceIt",'Roster Info'!$A:$A&amp;'Roster Info'!$G:$G&amp;'Roster Info'!$D:$D,'Roster Info'!$E:$E,"")="","-",hyperlink(xlookup(AP19&amp;AQ19&amp;"FaceIt",'Roster Info'!$A:$A&amp;'Roster Info'!$G:$G&amp;'Roster Info'!$D:$D,'Roster Info'!$E:$E,""),"FaceIt"))</f>
        <v>-</v>
      </c>
      <c r="BZ19" s="61"/>
      <c r="CA19" s="152"/>
      <c r="CB19" s="152"/>
      <c r="CC19" s="152"/>
      <c r="CD19" s="152"/>
    </row>
    <row r="20" ht="15.0" customHeight="1">
      <c r="A20" s="152"/>
      <c r="B20" s="152"/>
      <c r="C20" s="219"/>
      <c r="D20" s="219"/>
      <c r="E20" s="230"/>
      <c r="F20" s="231"/>
      <c r="G20" s="231"/>
      <c r="H20" s="231"/>
      <c r="I20" s="231"/>
      <c r="J20" s="231"/>
      <c r="K20" s="231"/>
      <c r="L20" s="231"/>
      <c r="M20" s="231"/>
      <c r="N20" s="231"/>
      <c r="O20" s="231"/>
      <c r="P20" s="231"/>
      <c r="Q20" s="231"/>
      <c r="R20" s="231"/>
      <c r="S20" s="231"/>
      <c r="T20" s="231"/>
      <c r="U20" s="231"/>
      <c r="V20" s="231"/>
      <c r="W20" s="231"/>
      <c r="X20" s="231"/>
      <c r="Y20" s="231"/>
      <c r="Z20" s="231"/>
      <c r="AA20" s="231"/>
      <c r="AB20" s="231"/>
      <c r="AC20" s="231"/>
      <c r="AD20" s="231"/>
      <c r="AE20" s="231"/>
      <c r="AF20" s="231"/>
      <c r="AG20" s="231"/>
      <c r="AH20" s="231"/>
      <c r="AI20" s="231"/>
      <c r="AJ20" s="231"/>
      <c r="AK20" s="231"/>
      <c r="AL20" s="231"/>
      <c r="AM20" s="232"/>
      <c r="AN20" s="152"/>
      <c r="AO20" s="152"/>
      <c r="AP20" s="219"/>
      <c r="AQ20" s="219"/>
      <c r="AR20" s="230"/>
      <c r="AS20" s="231"/>
      <c r="AT20" s="231"/>
      <c r="AU20" s="231"/>
      <c r="AV20" s="231"/>
      <c r="AW20" s="231"/>
      <c r="AX20" s="231"/>
      <c r="AY20" s="231"/>
      <c r="AZ20" s="231"/>
      <c r="BA20" s="231"/>
      <c r="BB20" s="231"/>
      <c r="BC20" s="231"/>
      <c r="BD20" s="231"/>
      <c r="BE20" s="231"/>
      <c r="BF20" s="231"/>
      <c r="BG20" s="231"/>
      <c r="BH20" s="231"/>
      <c r="BI20" s="231"/>
      <c r="BJ20" s="231"/>
      <c r="BK20" s="231"/>
      <c r="BL20" s="231"/>
      <c r="BM20" s="231"/>
      <c r="BN20" s="231"/>
      <c r="BO20" s="231"/>
      <c r="BP20" s="231"/>
      <c r="BQ20" s="231"/>
      <c r="BR20" s="231"/>
      <c r="BS20" s="231"/>
      <c r="BT20" s="231"/>
      <c r="BU20" s="231"/>
      <c r="BV20" s="231"/>
      <c r="BW20" s="231"/>
      <c r="BX20" s="231"/>
      <c r="BY20" s="231"/>
      <c r="BZ20" s="232"/>
      <c r="CA20" s="152"/>
      <c r="CB20" s="152"/>
      <c r="CC20" s="152"/>
      <c r="CD20" s="152"/>
    </row>
    <row r="21" ht="15.0" customHeight="1">
      <c r="A21" s="152"/>
      <c r="B21" s="152"/>
      <c r="C21" s="219">
        <f>C19</f>
        <v>1</v>
      </c>
      <c r="D21" s="233" t="s">
        <v>139</v>
      </c>
      <c r="E21" s="234" t="s">
        <v>319</v>
      </c>
      <c r="I21" s="227" t="str">
        <f t="array" ref="I21">xlookup(xlookup(C21&amp;D21&amp;"Nationality",'Roster Info'!$A:$A&amp;'Roster Info'!$G:$G&amp;'Roster Info'!$D:$D,'Roster Info'!$E:$E,""),'Roster Info'!$K:$K,'Roster Info'!$L:$L,"")</f>
        <v/>
      </c>
      <c r="K21" s="228" t="str">
        <f t="array" ref="K21">xlookup(C21&amp;D21,'Roster Info'!$A:$A&amp;'Roster Info'!$G:$G,'Roster Info'!$F:$F,"")</f>
        <v/>
      </c>
      <c r="U21" s="229" t="str">
        <f t="array" ref="U21">xlookup(C21&amp;D21&amp;"Full Name",'Roster Info'!$A:$A&amp;'Roster Info'!$G:$G&amp;'Roster Info'!$D:$D,'Roster Info'!$E:$E,"")</f>
        <v/>
      </c>
      <c r="AE21" s="63" t="str">
        <f t="array" ref="AE21">if(xlookup(C21&amp;D21&amp;"Steam",'Roster Info'!$A:$A&amp;'Roster Info'!$G:$G&amp;'Roster Info'!$D:$D,'Roster Info'!$E:$E,"")="","-",hyperlink(xlookup(C21&amp;D21&amp;"Steam",'Roster Info'!$A:$A&amp;'Roster Info'!$G:$G&amp;'Roster Info'!$D:$D,'Roster Info'!$E:$E,""),"Steam"))</f>
        <v>-</v>
      </c>
      <c r="AH21" s="63" t="str">
        <f t="array" ref="AH21">if(xlookup(C21&amp;D21&amp;"HLTV",'Roster Info'!$A:$A&amp;'Roster Info'!$G:$G&amp;'Roster Info'!$D:$D,'Roster Info'!$E:$E,"")="","-",hyperlink(xlookup(C21&amp;D21&amp;"HLTV",'Roster Info'!$A:$A&amp;'Roster Info'!$G:$G&amp;'Roster Info'!$D:$D,'Roster Info'!$E:$E,""),"HLTV"))</f>
        <v>-</v>
      </c>
      <c r="AK21" s="63" t="str">
        <f t="array" ref="AK21">if(xlookup(C21&amp;D21&amp;"FaceIt",'Roster Info'!$A:$A&amp;'Roster Info'!$G:$G&amp;'Roster Info'!$D:$D,'Roster Info'!$E:$E,"")="","-",hyperlink(xlookup(C21&amp;D21&amp;"FaceIt",'Roster Info'!$A:$A&amp;'Roster Info'!$G:$G&amp;'Roster Info'!$D:$D,'Roster Info'!$E:$E,""),"FaceIt"))</f>
        <v>-</v>
      </c>
      <c r="AM21" s="61"/>
      <c r="AN21" s="152"/>
      <c r="AO21" s="152"/>
      <c r="AP21" s="219">
        <f>AP19</f>
        <v>2</v>
      </c>
      <c r="AQ21" s="233" t="s">
        <v>139</v>
      </c>
      <c r="AR21" s="234" t="s">
        <v>319</v>
      </c>
      <c r="AV21" s="227" t="str">
        <f t="array" ref="AV21">xlookup(xlookup(AP21&amp;AQ21&amp;"Nationality",'Roster Info'!$A:$A&amp;'Roster Info'!$G:$G&amp;'Roster Info'!$D:$D,'Roster Info'!$E:$E,""),'Roster Info'!$K:$K,'Roster Info'!$L:$L,"")</f>
        <v/>
      </c>
      <c r="AX21" s="228" t="str">
        <f t="array" ref="AX21">xlookup(AP21&amp;AQ21,'Roster Info'!$A:$A&amp;'Roster Info'!$G:$G,'Roster Info'!$F:$F,"")</f>
        <v/>
      </c>
      <c r="BH21" s="229" t="str">
        <f t="array" ref="BH21">xlookup(AP21&amp;AQ21&amp;"Full Name",'Roster Info'!$A:$A&amp;'Roster Info'!$G:$G&amp;'Roster Info'!$D:$D,'Roster Info'!$E:$E,"")</f>
        <v/>
      </c>
      <c r="BR21" s="63" t="str">
        <f t="array" ref="BR21">if(xlookup(AP21&amp;AQ21&amp;"Steam",'Roster Info'!$A:$A&amp;'Roster Info'!$G:$G&amp;'Roster Info'!$D:$D,'Roster Info'!$E:$E,"")="","-",hyperlink(xlookup(AP21&amp;AQ21&amp;"Steam",'Roster Info'!$A:$A&amp;'Roster Info'!$G:$G&amp;'Roster Info'!$D:$D,'Roster Info'!$E:$E,""),"Steam"))</f>
        <v>-</v>
      </c>
      <c r="BU21" s="63" t="str">
        <f t="array" ref="BU21">if(xlookup(AP21&amp;AQ21&amp;"HLTV",'Roster Info'!$A:$A&amp;'Roster Info'!$G:$G&amp;'Roster Info'!$D:$D,'Roster Info'!$E:$E,"")="","-",hyperlink(xlookup(AP21&amp;AQ21&amp;"HLTV",'Roster Info'!$A:$A&amp;'Roster Info'!$G:$G&amp;'Roster Info'!$D:$D,'Roster Info'!$E:$E,""),"HLTV"))</f>
        <v>-</v>
      </c>
      <c r="BX21" s="63" t="str">
        <f t="array" ref="BX21">if(xlookup(AP21&amp;AQ21&amp;"FaceIt",'Roster Info'!$A:$A&amp;'Roster Info'!$G:$G&amp;'Roster Info'!$D:$D,'Roster Info'!$E:$E,"")="","-",hyperlink(xlookup(AP21&amp;AQ21&amp;"FaceIt",'Roster Info'!$A:$A&amp;'Roster Info'!$G:$G&amp;'Roster Info'!$D:$D,'Roster Info'!$E:$E,""),"FaceIt"))</f>
        <v>-</v>
      </c>
      <c r="BZ21" s="61"/>
      <c r="CA21" s="152"/>
      <c r="CB21" s="152"/>
      <c r="CC21" s="152"/>
      <c r="CD21" s="152"/>
    </row>
    <row r="22" ht="15.0" customHeight="1">
      <c r="A22" s="152"/>
      <c r="B22" s="152"/>
      <c r="C22" s="219"/>
      <c r="D22" s="219"/>
      <c r="E22" s="230"/>
      <c r="F22" s="231"/>
      <c r="G22" s="231"/>
      <c r="H22" s="231"/>
      <c r="I22" s="231"/>
      <c r="J22" s="231"/>
      <c r="K22" s="231"/>
      <c r="L22" s="231"/>
      <c r="M22" s="231"/>
      <c r="N22" s="231"/>
      <c r="O22" s="231"/>
      <c r="P22" s="231"/>
      <c r="Q22" s="231"/>
      <c r="R22" s="231"/>
      <c r="S22" s="231"/>
      <c r="T22" s="231"/>
      <c r="U22" s="231"/>
      <c r="V22" s="231"/>
      <c r="W22" s="231"/>
      <c r="X22" s="231"/>
      <c r="Y22" s="231"/>
      <c r="Z22" s="231"/>
      <c r="AA22" s="231"/>
      <c r="AB22" s="231"/>
      <c r="AC22" s="231"/>
      <c r="AD22" s="231"/>
      <c r="AE22" s="231"/>
      <c r="AF22" s="231"/>
      <c r="AG22" s="231"/>
      <c r="AH22" s="231"/>
      <c r="AI22" s="231"/>
      <c r="AJ22" s="231"/>
      <c r="AK22" s="231"/>
      <c r="AL22" s="231"/>
      <c r="AM22" s="232"/>
      <c r="AN22" s="152"/>
      <c r="AO22" s="152"/>
      <c r="AP22" s="219"/>
      <c r="AQ22" s="219"/>
      <c r="AR22" s="230"/>
      <c r="AS22" s="231"/>
      <c r="AT22" s="231"/>
      <c r="AU22" s="231"/>
      <c r="AV22" s="231"/>
      <c r="AW22" s="231"/>
      <c r="AX22" s="231"/>
      <c r="AY22" s="231"/>
      <c r="AZ22" s="231"/>
      <c r="BA22" s="231"/>
      <c r="BB22" s="231"/>
      <c r="BC22" s="231"/>
      <c r="BD22" s="231"/>
      <c r="BE22" s="231"/>
      <c r="BF22" s="231"/>
      <c r="BG22" s="231"/>
      <c r="BH22" s="231"/>
      <c r="BI22" s="231"/>
      <c r="BJ22" s="231"/>
      <c r="BK22" s="231"/>
      <c r="BL22" s="231"/>
      <c r="BM22" s="231"/>
      <c r="BN22" s="231"/>
      <c r="BO22" s="231"/>
      <c r="BP22" s="231"/>
      <c r="BQ22" s="231"/>
      <c r="BR22" s="231"/>
      <c r="BS22" s="231"/>
      <c r="BT22" s="231"/>
      <c r="BU22" s="231"/>
      <c r="BV22" s="231"/>
      <c r="BW22" s="231"/>
      <c r="BX22" s="231"/>
      <c r="BY22" s="231"/>
      <c r="BZ22" s="232"/>
      <c r="CA22" s="152"/>
      <c r="CB22" s="152"/>
      <c r="CC22" s="152"/>
      <c r="CD22" s="152"/>
    </row>
    <row r="23" ht="15.0" customHeight="1">
      <c r="A23" s="152"/>
      <c r="B23" s="152"/>
      <c r="C23" s="219">
        <f>C21</f>
        <v>1</v>
      </c>
      <c r="D23" s="225" t="s">
        <v>145</v>
      </c>
      <c r="E23" s="226" t="s">
        <v>145</v>
      </c>
      <c r="I23" s="227" t="str">
        <f t="array" ref="I23">xlookup(xlookup(C23&amp;D23&amp;"Nationality",'Roster Info'!$A:$A&amp;'Roster Info'!$G:$G&amp;'Roster Info'!$D:$D,'Roster Info'!$E:$E,""),'Roster Info'!$K:$K,'Roster Info'!$L:$L,"")</f>
        <v/>
      </c>
      <c r="K23" s="228" t="str">
        <f t="array" ref="K23">xlookup(C23&amp;D23,'Roster Info'!$A:$A&amp;'Roster Info'!$G:$G,'Roster Info'!$F:$F,"")</f>
        <v/>
      </c>
      <c r="U23" s="229" t="str">
        <f t="array" ref="U23">xlookup(C23&amp;D23&amp;"Full Name",'Roster Info'!$A:$A&amp;'Roster Info'!$G:$G&amp;'Roster Info'!$D:$D,'Roster Info'!$E:$E,"")</f>
        <v/>
      </c>
      <c r="AE23" s="63" t="str">
        <f t="array" ref="AE23">if(xlookup(C23&amp;D23&amp;"Steam",'Roster Info'!$A:$A&amp;'Roster Info'!$G:$G&amp;'Roster Info'!$D:$D,'Roster Info'!$E:$E,"")="","-",hyperlink(xlookup(C23&amp;D23&amp;"Steam",'Roster Info'!$A:$A&amp;'Roster Info'!$G:$G&amp;'Roster Info'!$D:$D,'Roster Info'!$E:$E,""),"Steam"))</f>
        <v>-</v>
      </c>
      <c r="AH23" s="63" t="str">
        <f t="array" ref="AH23">if(xlookup(C23&amp;D23&amp;"HLTV",'Roster Info'!$A:$A&amp;'Roster Info'!$G:$G&amp;'Roster Info'!$D:$D,'Roster Info'!$E:$E,"")="","-",hyperlink(xlookup(C23&amp;D23&amp;"HLTV",'Roster Info'!$A:$A&amp;'Roster Info'!$G:$G&amp;'Roster Info'!$D:$D,'Roster Info'!$E:$E,""),"HLTV"))</f>
        <v>-</v>
      </c>
      <c r="AK23" s="63" t="str">
        <f t="array" ref="AK23">if(xlookup(C23&amp;D23&amp;"FaceIt",'Roster Info'!$A:$A&amp;'Roster Info'!$G:$G&amp;'Roster Info'!$D:$D,'Roster Info'!$E:$E,"")="","-",hyperlink(xlookup(C23&amp;D23&amp;"FaceIt",'Roster Info'!$A:$A&amp;'Roster Info'!$G:$G&amp;'Roster Info'!$D:$D,'Roster Info'!$E:$E,""),"FaceIt"))</f>
        <v>-</v>
      </c>
      <c r="AM23" s="61"/>
      <c r="AN23" s="152"/>
      <c r="AO23" s="152"/>
      <c r="AP23" s="219">
        <f>AP21</f>
        <v>2</v>
      </c>
      <c r="AQ23" s="225" t="s">
        <v>145</v>
      </c>
      <c r="AR23" s="226" t="s">
        <v>145</v>
      </c>
      <c r="AV23" s="227" t="str">
        <f t="array" ref="AV23">xlookup(xlookup(AP23&amp;AQ23&amp;"Nationality",'Roster Info'!$A:$A&amp;'Roster Info'!$G:$G&amp;'Roster Info'!$D:$D,'Roster Info'!$E:$E,""),'Roster Info'!$K:$K,'Roster Info'!$L:$L,"")</f>
        <v/>
      </c>
      <c r="AX23" s="228" t="str">
        <f t="array" ref="AX23">xlookup(AP23&amp;AQ23,'Roster Info'!$A:$A&amp;'Roster Info'!$G:$G,'Roster Info'!$F:$F,"")</f>
        <v/>
      </c>
      <c r="BH23" s="229" t="str">
        <f t="array" ref="BH23">xlookup(AP23&amp;AQ23&amp;"Full Name",'Roster Info'!$A:$A&amp;'Roster Info'!$G:$G&amp;'Roster Info'!$D:$D,'Roster Info'!$E:$E,"")</f>
        <v/>
      </c>
      <c r="BR23" s="63" t="str">
        <f t="array" ref="BR23">if(xlookup(AP23&amp;AQ23&amp;"Steam",'Roster Info'!$A:$A&amp;'Roster Info'!$G:$G&amp;'Roster Info'!$D:$D,'Roster Info'!$E:$E,"")="","-",hyperlink(xlookup(AP23&amp;AQ23&amp;"Steam",'Roster Info'!$A:$A&amp;'Roster Info'!$G:$G&amp;'Roster Info'!$D:$D,'Roster Info'!$E:$E,""),"Steam"))</f>
        <v>-</v>
      </c>
      <c r="BU23" s="63" t="str">
        <f t="array" ref="BU23">if(xlookup(AP23&amp;AQ23&amp;"HLTV",'Roster Info'!$A:$A&amp;'Roster Info'!$G:$G&amp;'Roster Info'!$D:$D,'Roster Info'!$E:$E,"")="","-",hyperlink(xlookup(AP23&amp;AQ23&amp;"HLTV",'Roster Info'!$A:$A&amp;'Roster Info'!$G:$G&amp;'Roster Info'!$D:$D,'Roster Info'!$E:$E,""),"HLTV"))</f>
        <v>-</v>
      </c>
      <c r="BX23" s="63" t="str">
        <f t="array" ref="BX23">if(xlookup(AP23&amp;AQ23&amp;"FaceIt",'Roster Info'!$A:$A&amp;'Roster Info'!$G:$G&amp;'Roster Info'!$D:$D,'Roster Info'!$E:$E,"")="","-",hyperlink(xlookup(AP23&amp;AQ23&amp;"FaceIt",'Roster Info'!$A:$A&amp;'Roster Info'!$G:$G&amp;'Roster Info'!$D:$D,'Roster Info'!$E:$E,""),"FaceIt"))</f>
        <v>-</v>
      </c>
      <c r="BZ23" s="61"/>
      <c r="CA23" s="152"/>
      <c r="CB23" s="152"/>
      <c r="CC23" s="152"/>
      <c r="CD23" s="152"/>
    </row>
    <row r="24" ht="15.0" customHeight="1">
      <c r="A24" s="152"/>
      <c r="B24" s="152"/>
      <c r="C24" s="219"/>
      <c r="D24" s="219"/>
      <c r="E24" s="101"/>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64"/>
      <c r="AN24" s="152"/>
      <c r="AO24" s="152"/>
      <c r="AP24" s="219"/>
      <c r="AQ24" s="219"/>
      <c r="AR24" s="101"/>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2"/>
      <c r="BW24" s="102"/>
      <c r="BX24" s="102"/>
      <c r="BY24" s="102"/>
      <c r="BZ24" s="164"/>
      <c r="CA24" s="152"/>
      <c r="CB24" s="152"/>
      <c r="CC24" s="152"/>
      <c r="CD24" s="152"/>
    </row>
    <row r="25" ht="15.0" customHeight="1">
      <c r="A25" s="152"/>
      <c r="B25" s="152"/>
      <c r="C25" s="219"/>
      <c r="D25" s="219"/>
      <c r="E25" s="152"/>
      <c r="F25" s="152"/>
      <c r="G25" s="152"/>
      <c r="H25" s="152"/>
      <c r="I25" s="152"/>
      <c r="J25" s="152"/>
      <c r="K25" s="152"/>
      <c r="L25" s="152"/>
      <c r="M25" s="152"/>
      <c r="N25" s="152"/>
      <c r="O25" s="152"/>
      <c r="P25" s="152"/>
      <c r="Q25" s="152"/>
      <c r="R25" s="152"/>
      <c r="S25" s="152"/>
      <c r="T25" s="152"/>
      <c r="U25" s="152"/>
      <c r="V25" s="152"/>
      <c r="W25" s="152"/>
      <c r="X25" s="152"/>
      <c r="Y25" s="152"/>
      <c r="Z25" s="152"/>
      <c r="AA25" s="152"/>
      <c r="AB25" s="152"/>
      <c r="AC25" s="152"/>
      <c r="AD25" s="152"/>
      <c r="AE25" s="152"/>
      <c r="AF25" s="152"/>
      <c r="AG25" s="152"/>
      <c r="AH25" s="152"/>
      <c r="AI25" s="152"/>
      <c r="AJ25" s="152"/>
      <c r="AK25" s="152"/>
      <c r="AL25" s="152"/>
      <c r="AM25" s="152"/>
      <c r="AN25" s="152"/>
      <c r="AO25" s="152"/>
      <c r="AP25" s="219"/>
      <c r="AQ25" s="219"/>
      <c r="AR25" s="152"/>
      <c r="AS25" s="152"/>
      <c r="AT25" s="152"/>
      <c r="AU25" s="152"/>
      <c r="AV25" s="152"/>
      <c r="AW25" s="152"/>
      <c r="AX25" s="152"/>
      <c r="AY25" s="152"/>
      <c r="AZ25" s="152"/>
      <c r="BA25" s="152"/>
      <c r="BB25" s="152"/>
      <c r="BC25" s="152"/>
      <c r="BD25" s="152"/>
      <c r="BE25" s="152"/>
      <c r="BF25" s="152"/>
      <c r="BG25" s="152"/>
      <c r="BH25" s="152"/>
      <c r="BI25" s="152"/>
      <c r="BJ25" s="152"/>
      <c r="BK25" s="152"/>
      <c r="BL25" s="152"/>
      <c r="BM25" s="152"/>
      <c r="BN25" s="152"/>
      <c r="BO25" s="152"/>
      <c r="BP25" s="152"/>
      <c r="BQ25" s="152"/>
      <c r="BR25" s="152"/>
      <c r="BS25" s="152"/>
      <c r="BT25" s="152"/>
      <c r="BU25" s="152"/>
      <c r="BV25" s="152"/>
      <c r="BW25" s="152"/>
      <c r="BX25" s="152"/>
      <c r="BY25" s="152"/>
      <c r="BZ25" s="152"/>
      <c r="CA25" s="152"/>
      <c r="CB25" s="152"/>
      <c r="CC25" s="152"/>
      <c r="CD25" s="152"/>
    </row>
    <row r="26" ht="15.0" customHeight="1">
      <c r="A26" s="152"/>
      <c r="B26" s="152"/>
      <c r="C26" s="219"/>
      <c r="D26" s="219"/>
      <c r="E26" s="152"/>
      <c r="F26" s="152"/>
      <c r="G26" s="152"/>
      <c r="H26" s="152"/>
      <c r="I26" s="152"/>
      <c r="J26" s="152"/>
      <c r="K26" s="152"/>
      <c r="L26" s="152"/>
      <c r="M26" s="152"/>
      <c r="N26" s="152"/>
      <c r="O26" s="152"/>
      <c r="P26" s="152"/>
      <c r="Q26" s="152"/>
      <c r="R26" s="152"/>
      <c r="S26" s="152"/>
      <c r="T26" s="152"/>
      <c r="U26" s="152"/>
      <c r="V26" s="152"/>
      <c r="W26" s="152"/>
      <c r="X26" s="152"/>
      <c r="Y26" s="152"/>
      <c r="Z26" s="152"/>
      <c r="AA26" s="152"/>
      <c r="AB26" s="152"/>
      <c r="AC26" s="152"/>
      <c r="AD26" s="152"/>
      <c r="AE26" s="152"/>
      <c r="AF26" s="152"/>
      <c r="AG26" s="152"/>
      <c r="AH26" s="152"/>
      <c r="AI26" s="152"/>
      <c r="AJ26" s="152"/>
      <c r="AK26" s="152"/>
      <c r="AL26" s="152"/>
      <c r="AM26" s="152"/>
      <c r="AN26" s="152"/>
      <c r="AO26" s="152"/>
      <c r="AP26" s="219"/>
      <c r="AQ26" s="219"/>
      <c r="AR26" s="152"/>
      <c r="AS26" s="152"/>
      <c r="AT26" s="152"/>
      <c r="AU26" s="152"/>
      <c r="AV26" s="152"/>
      <c r="AW26" s="152"/>
      <c r="AX26" s="152"/>
      <c r="AY26" s="152"/>
      <c r="AZ26" s="152"/>
      <c r="BA26" s="152"/>
      <c r="BB26" s="152"/>
      <c r="BC26" s="152"/>
      <c r="BD26" s="152"/>
      <c r="BE26" s="152"/>
      <c r="BF26" s="152"/>
      <c r="BG26" s="152"/>
      <c r="BH26" s="152"/>
      <c r="BI26" s="152"/>
      <c r="BJ26" s="152"/>
      <c r="BK26" s="152"/>
      <c r="BL26" s="152"/>
      <c r="BM26" s="152"/>
      <c r="BN26" s="152"/>
      <c r="BO26" s="152"/>
      <c r="BP26" s="152"/>
      <c r="BQ26" s="152"/>
      <c r="BR26" s="152"/>
      <c r="BS26" s="152"/>
      <c r="BT26" s="152"/>
      <c r="BU26" s="152"/>
      <c r="BV26" s="152"/>
      <c r="BW26" s="152"/>
      <c r="BX26" s="152"/>
      <c r="BY26" s="152"/>
      <c r="BZ26" s="152"/>
      <c r="CA26" s="152"/>
      <c r="CB26" s="152"/>
      <c r="CC26" s="152"/>
      <c r="CD26" s="152"/>
    </row>
    <row r="27" ht="15.0" customHeight="1">
      <c r="A27" s="152"/>
      <c r="B27" s="152"/>
      <c r="C27" s="219"/>
      <c r="D27" s="219"/>
      <c r="E27" s="152"/>
      <c r="F27" s="152"/>
      <c r="G27" s="152"/>
      <c r="H27" s="152"/>
      <c r="I27" s="152"/>
      <c r="J27" s="152"/>
      <c r="K27" s="152"/>
      <c r="L27" s="152"/>
      <c r="M27" s="152"/>
      <c r="N27" s="152"/>
      <c r="O27" s="152"/>
      <c r="P27" s="152"/>
      <c r="Q27" s="152"/>
      <c r="R27" s="152"/>
      <c r="S27" s="152"/>
      <c r="T27" s="152"/>
      <c r="U27" s="152"/>
      <c r="V27" s="152"/>
      <c r="W27" s="152"/>
      <c r="X27" s="152"/>
      <c r="Y27" s="152"/>
      <c r="Z27" s="152"/>
      <c r="AA27" s="152"/>
      <c r="AB27" s="152"/>
      <c r="AC27" s="152"/>
      <c r="AD27" s="152"/>
      <c r="AE27" s="152"/>
      <c r="AF27" s="152"/>
      <c r="AG27" s="152"/>
      <c r="AH27" s="152"/>
      <c r="AI27" s="152"/>
      <c r="AJ27" s="152"/>
      <c r="AK27" s="152"/>
      <c r="AL27" s="152"/>
      <c r="AM27" s="152"/>
      <c r="AN27" s="152"/>
      <c r="AO27" s="152"/>
      <c r="AP27" s="219"/>
      <c r="AQ27" s="219"/>
      <c r="AR27" s="152"/>
      <c r="AS27" s="152"/>
      <c r="AT27" s="152"/>
      <c r="AU27" s="152"/>
      <c r="AV27" s="152"/>
      <c r="AW27" s="152"/>
      <c r="AX27" s="152"/>
      <c r="AY27" s="152"/>
      <c r="AZ27" s="152"/>
      <c r="BA27" s="152"/>
      <c r="BB27" s="152"/>
      <c r="BC27" s="152"/>
      <c r="BD27" s="152"/>
      <c r="BE27" s="152"/>
      <c r="BF27" s="152"/>
      <c r="BG27" s="152"/>
      <c r="BH27" s="152"/>
      <c r="BI27" s="152"/>
      <c r="BJ27" s="152"/>
      <c r="BK27" s="152"/>
      <c r="BL27" s="152"/>
      <c r="BM27" s="152"/>
      <c r="BN27" s="152"/>
      <c r="BO27" s="152"/>
      <c r="BP27" s="152"/>
      <c r="BQ27" s="152"/>
      <c r="BR27" s="152"/>
      <c r="BS27" s="152"/>
      <c r="BT27" s="152"/>
      <c r="BU27" s="152"/>
      <c r="BV27" s="152"/>
      <c r="BW27" s="152"/>
      <c r="BX27" s="152"/>
      <c r="BY27" s="152"/>
      <c r="BZ27" s="152"/>
      <c r="CA27" s="152"/>
      <c r="CB27" s="152"/>
      <c r="CC27" s="152"/>
      <c r="CD27" s="152"/>
    </row>
    <row r="28" ht="15.0" customHeight="1">
      <c r="A28" s="152"/>
      <c r="B28" s="152"/>
      <c r="C28" s="219"/>
      <c r="D28" s="219"/>
      <c r="E28" s="152"/>
      <c r="F28" s="152"/>
      <c r="G28" s="152"/>
      <c r="H28" s="152"/>
      <c r="I28" s="152"/>
      <c r="J28" s="152"/>
      <c r="K28" s="152"/>
      <c r="L28" s="152"/>
      <c r="M28" s="152"/>
      <c r="N28" s="152"/>
      <c r="O28" s="152"/>
      <c r="P28" s="152"/>
      <c r="Q28" s="152"/>
      <c r="R28" s="152"/>
      <c r="S28" s="152"/>
      <c r="T28" s="152"/>
      <c r="U28" s="152"/>
      <c r="V28" s="152"/>
      <c r="W28" s="152"/>
      <c r="X28" s="152"/>
      <c r="Y28" s="152"/>
      <c r="Z28" s="152"/>
      <c r="AA28" s="152"/>
      <c r="AB28" s="152"/>
      <c r="AC28" s="152"/>
      <c r="AD28" s="152"/>
      <c r="AE28" s="152"/>
      <c r="AF28" s="152"/>
      <c r="AG28" s="152"/>
      <c r="AH28" s="152"/>
      <c r="AI28" s="152"/>
      <c r="AJ28" s="152"/>
      <c r="AK28" s="152"/>
      <c r="AL28" s="152"/>
      <c r="AM28" s="152"/>
      <c r="AN28" s="152"/>
      <c r="AO28" s="152"/>
      <c r="AP28" s="219"/>
      <c r="AQ28" s="219"/>
      <c r="AR28" s="152"/>
      <c r="AS28" s="152"/>
      <c r="AT28" s="152"/>
      <c r="AU28" s="152"/>
      <c r="AV28" s="152"/>
      <c r="AW28" s="152"/>
      <c r="AX28" s="152"/>
      <c r="AY28" s="152"/>
      <c r="AZ28" s="152"/>
      <c r="BA28" s="152"/>
      <c r="BB28" s="152"/>
      <c r="BC28" s="152"/>
      <c r="BD28" s="152"/>
      <c r="BE28" s="152"/>
      <c r="BF28" s="152"/>
      <c r="BG28" s="152"/>
      <c r="BH28" s="152"/>
      <c r="BI28" s="152"/>
      <c r="BJ28" s="152"/>
      <c r="BK28" s="152"/>
      <c r="BL28" s="152"/>
      <c r="BM28" s="152"/>
      <c r="BN28" s="152"/>
      <c r="BO28" s="152"/>
      <c r="BP28" s="152"/>
      <c r="BQ28" s="152"/>
      <c r="BR28" s="152"/>
      <c r="BS28" s="152"/>
      <c r="BT28" s="152"/>
      <c r="BU28" s="152"/>
      <c r="BV28" s="152"/>
      <c r="BW28" s="152"/>
      <c r="BX28" s="152"/>
      <c r="BY28" s="152"/>
      <c r="BZ28" s="152"/>
      <c r="CA28" s="152"/>
      <c r="CB28" s="152"/>
      <c r="CC28" s="152"/>
      <c r="CD28" s="152"/>
    </row>
    <row r="29" ht="15.0" customHeight="1">
      <c r="A29" s="152"/>
      <c r="B29" s="152"/>
      <c r="C29" s="219"/>
      <c r="D29" s="219"/>
      <c r="E29" s="220" t="str">
        <f t="array" ref="E29">xlookup(M29,'Team Entry'!$A:$A,'Team Entry'!$B:$B,"")</f>
        <v/>
      </c>
      <c r="F29" s="58"/>
      <c r="G29" s="58"/>
      <c r="H29" s="58"/>
      <c r="I29" s="58"/>
      <c r="J29" s="58"/>
      <c r="K29" s="58"/>
      <c r="L29" s="58"/>
      <c r="M29" s="221" t="str">
        <f t="array" ref="M29">xlookup(C35,'Roster Info'!$A:$A,'Roster Info'!$B:$B,"")</f>
        <v>Team 3 (Playoff)</v>
      </c>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9"/>
      <c r="AN29" s="152"/>
      <c r="AO29" s="152"/>
      <c r="AP29" s="219"/>
      <c r="AQ29" s="219"/>
      <c r="AR29" s="220" t="str">
        <f t="array" ref="AR29">xlookup(AZ29,'Team Entry'!$A:$A,'Team Entry'!$B:$B,"")</f>
        <v/>
      </c>
      <c r="AS29" s="58"/>
      <c r="AT29" s="58"/>
      <c r="AU29" s="58"/>
      <c r="AV29" s="58"/>
      <c r="AW29" s="58"/>
      <c r="AX29" s="58"/>
      <c r="AY29" s="58"/>
      <c r="AZ29" s="221" t="str">
        <f t="array" ref="AZ29">xlookup(AP35,'Roster Info'!$A:$A,'Roster Info'!$B:$B,"")</f>
        <v>Team 4 (Playoff)</v>
      </c>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9"/>
      <c r="CA29" s="152"/>
      <c r="CB29" s="152"/>
      <c r="CC29" s="152"/>
      <c r="CD29" s="152"/>
    </row>
    <row r="30" ht="15.0" customHeight="1">
      <c r="A30" s="152"/>
      <c r="B30" s="152"/>
      <c r="C30" s="219"/>
      <c r="D30" s="219"/>
      <c r="E30" s="60"/>
      <c r="AM30" s="61"/>
      <c r="AN30" s="152"/>
      <c r="AO30" s="152"/>
      <c r="AP30" s="219"/>
      <c r="AQ30" s="219"/>
      <c r="AR30" s="60"/>
      <c r="BZ30" s="61"/>
      <c r="CA30" s="152"/>
      <c r="CB30" s="152"/>
      <c r="CC30" s="152"/>
      <c r="CD30" s="152"/>
    </row>
    <row r="31" ht="15.0" customHeight="1">
      <c r="A31" s="152"/>
      <c r="B31" s="152"/>
      <c r="C31" s="219"/>
      <c r="D31" s="219"/>
      <c r="E31" s="60"/>
      <c r="AM31" s="61"/>
      <c r="AN31" s="152"/>
      <c r="AO31" s="152"/>
      <c r="AP31" s="219"/>
      <c r="AQ31" s="219"/>
      <c r="AR31" s="60"/>
      <c r="BZ31" s="61"/>
      <c r="CA31" s="152"/>
      <c r="CB31" s="152"/>
      <c r="CC31" s="152"/>
      <c r="CD31" s="152"/>
    </row>
    <row r="32" ht="15.0" customHeight="1">
      <c r="A32" s="152"/>
      <c r="B32" s="152"/>
      <c r="C32" s="219"/>
      <c r="D32" s="219"/>
      <c r="E32" s="60"/>
      <c r="AM32" s="61"/>
      <c r="AN32" s="152"/>
      <c r="AO32" s="152"/>
      <c r="AP32" s="219"/>
      <c r="AQ32" s="219"/>
      <c r="AR32" s="60"/>
      <c r="BZ32" s="61"/>
      <c r="CA32" s="152"/>
      <c r="CB32" s="152"/>
      <c r="CC32" s="152"/>
      <c r="CD32" s="152"/>
    </row>
    <row r="33" ht="15.0" customHeight="1">
      <c r="A33" s="152"/>
      <c r="B33" s="152"/>
      <c r="C33" s="219"/>
      <c r="D33" s="219"/>
      <c r="E33" s="60"/>
      <c r="AM33" s="61"/>
      <c r="AN33" s="152"/>
      <c r="AO33" s="152"/>
      <c r="AP33" s="219"/>
      <c r="AQ33" s="219"/>
      <c r="AR33" s="60"/>
      <c r="BZ33" s="61"/>
      <c r="CA33" s="152"/>
      <c r="CB33" s="152"/>
      <c r="CC33" s="152"/>
      <c r="CD33" s="152"/>
    </row>
    <row r="34" ht="15.0" customHeight="1">
      <c r="A34" s="152"/>
      <c r="B34" s="152"/>
      <c r="C34" s="219"/>
      <c r="D34" s="219"/>
      <c r="E34" s="222"/>
      <c r="F34" s="223"/>
      <c r="G34" s="223"/>
      <c r="H34" s="223"/>
      <c r="I34" s="223"/>
      <c r="J34" s="223"/>
      <c r="K34" s="223"/>
      <c r="L34" s="223"/>
      <c r="M34" s="223"/>
      <c r="N34" s="223"/>
      <c r="O34" s="223"/>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4"/>
      <c r="AN34" s="152"/>
      <c r="AO34" s="152"/>
      <c r="AP34" s="219"/>
      <c r="AQ34" s="219"/>
      <c r="AR34" s="222"/>
      <c r="AS34" s="223"/>
      <c r="AT34" s="223"/>
      <c r="AU34" s="223"/>
      <c r="AV34" s="223"/>
      <c r="AW34" s="223"/>
      <c r="AX34" s="223"/>
      <c r="AY34" s="223"/>
      <c r="AZ34" s="223"/>
      <c r="BA34" s="223"/>
      <c r="BB34" s="223"/>
      <c r="BC34" s="223"/>
      <c r="BD34" s="223"/>
      <c r="BE34" s="223"/>
      <c r="BF34" s="223"/>
      <c r="BG34" s="223"/>
      <c r="BH34" s="223"/>
      <c r="BI34" s="223"/>
      <c r="BJ34" s="223"/>
      <c r="BK34" s="223"/>
      <c r="BL34" s="223"/>
      <c r="BM34" s="223"/>
      <c r="BN34" s="223"/>
      <c r="BO34" s="223"/>
      <c r="BP34" s="223"/>
      <c r="BQ34" s="223"/>
      <c r="BR34" s="223"/>
      <c r="BS34" s="223"/>
      <c r="BT34" s="223"/>
      <c r="BU34" s="223"/>
      <c r="BV34" s="223"/>
      <c r="BW34" s="223"/>
      <c r="BX34" s="223"/>
      <c r="BY34" s="223"/>
      <c r="BZ34" s="224"/>
      <c r="CA34" s="152"/>
      <c r="CB34" s="152"/>
      <c r="CC34" s="152"/>
      <c r="CD34" s="152"/>
    </row>
    <row r="35" ht="15.0" customHeight="1">
      <c r="A35" s="152"/>
      <c r="B35" s="152"/>
      <c r="C35" s="225">
        <f>AP11+1</f>
        <v>3</v>
      </c>
      <c r="D35" s="225" t="s">
        <v>109</v>
      </c>
      <c r="E35" s="226" t="s">
        <v>109</v>
      </c>
      <c r="I35" s="227" t="str">
        <f t="array" ref="I35">xlookup(xlookup(C35&amp;D35&amp;"Nationality",'Roster Info'!$A:$A&amp;'Roster Info'!$G:$G&amp;'Roster Info'!$D:$D,'Roster Info'!$E:$E,""),'Roster Info'!$K:$K,'Roster Info'!$L:$L,"")</f>
        <v/>
      </c>
      <c r="K35" s="228" t="str">
        <f t="array" ref="K35">xlookup(C35&amp;D35,'Roster Info'!$A:$A&amp;'Roster Info'!$G:$G,'Roster Info'!$F:$F,"")</f>
        <v/>
      </c>
      <c r="U35" s="229" t="str">
        <f t="array" ref="U35">xlookup(C35&amp;D35&amp;"Full Name",'Roster Info'!$A:$A&amp;'Roster Info'!$G:$G&amp;'Roster Info'!$D:$D,'Roster Info'!$E:$E,"")</f>
        <v/>
      </c>
      <c r="AE35" s="63" t="str">
        <f t="array" ref="AE35">if(xlookup(C35&amp;D35&amp;"Steam",'Roster Info'!$A:$A&amp;'Roster Info'!$G:$G&amp;'Roster Info'!$D:$D,'Roster Info'!$E:$E,"")="","-",hyperlink(xlookup(C35&amp;D35&amp;"Steam",'Roster Info'!$A:$A&amp;'Roster Info'!$G:$G&amp;'Roster Info'!$D:$D,'Roster Info'!$E:$E,""),"Steam"))</f>
        <v>-</v>
      </c>
      <c r="AH35" s="63" t="str">
        <f t="array" ref="AH35">if(xlookup(C35&amp;D35&amp;"HLTV",'Roster Info'!$A:$A&amp;'Roster Info'!$G:$G&amp;'Roster Info'!$D:$D,'Roster Info'!$E:$E,"")="","-",hyperlink(xlookup(C35&amp;D35&amp;"HLTV",'Roster Info'!$A:$A&amp;'Roster Info'!$G:$G&amp;'Roster Info'!$D:$D,'Roster Info'!$E:$E,""),"HLTV"))</f>
        <v>-</v>
      </c>
      <c r="AK35" s="63" t="str">
        <f t="array" ref="AK35">if(xlookup(C35&amp;D35&amp;"FaceIt",'Roster Info'!$A:$A&amp;'Roster Info'!$G:$G&amp;'Roster Info'!$D:$D,'Roster Info'!$E:$E,"")="","-",hyperlink(xlookup(C35&amp;D35&amp;"FaceIt",'Roster Info'!$A:$A&amp;'Roster Info'!$G:$G&amp;'Roster Info'!$D:$D,'Roster Info'!$E:$E,""),"FaceIt"))</f>
        <v>-</v>
      </c>
      <c r="AM35" s="61"/>
      <c r="AN35" s="152"/>
      <c r="AO35" s="152"/>
      <c r="AP35" s="225">
        <f>C35+1</f>
        <v>4</v>
      </c>
      <c r="AQ35" s="225" t="s">
        <v>109</v>
      </c>
      <c r="AR35" s="226" t="s">
        <v>109</v>
      </c>
      <c r="AV35" s="227" t="str">
        <f t="array" ref="AV35">xlookup(xlookup(AP35&amp;AQ35&amp;"Nationality",'Roster Info'!$A:$A&amp;'Roster Info'!$G:$G&amp;'Roster Info'!$D:$D,'Roster Info'!$E:$E,""),'Roster Info'!$K:$K,'Roster Info'!$L:$L,"")</f>
        <v/>
      </c>
      <c r="AX35" s="228" t="str">
        <f t="array" ref="AX35">xlookup(AP35&amp;AQ35,'Roster Info'!$A:$A&amp;'Roster Info'!$G:$G,'Roster Info'!$F:$F,"")</f>
        <v/>
      </c>
      <c r="BH35" s="229" t="str">
        <f t="array" ref="BH35">xlookup(AP35&amp;AQ35&amp;"Full Name",'Roster Info'!$A:$A&amp;'Roster Info'!$G:$G&amp;'Roster Info'!$D:$D,'Roster Info'!$E:$E,"")</f>
        <v/>
      </c>
      <c r="BR35" s="63" t="str">
        <f t="array" ref="BR35">if(xlookup(AP35&amp;AQ35&amp;"Steam",'Roster Info'!$A:$A&amp;'Roster Info'!$G:$G&amp;'Roster Info'!$D:$D,'Roster Info'!$E:$E,"")="","-",hyperlink(xlookup(AP35&amp;AQ35&amp;"Steam",'Roster Info'!$A:$A&amp;'Roster Info'!$G:$G&amp;'Roster Info'!$D:$D,'Roster Info'!$E:$E,""),"Steam"))</f>
        <v>-</v>
      </c>
      <c r="BU35" s="63" t="str">
        <f t="array" ref="BU35">if(xlookup(AP35&amp;AQ35&amp;"HLTV",'Roster Info'!$A:$A&amp;'Roster Info'!$G:$G&amp;'Roster Info'!$D:$D,'Roster Info'!$E:$E,"")="","-",hyperlink(xlookup(AP35&amp;AQ35&amp;"HLTV",'Roster Info'!$A:$A&amp;'Roster Info'!$G:$G&amp;'Roster Info'!$D:$D,'Roster Info'!$E:$E,""),"HLTV"))</f>
        <v>-</v>
      </c>
      <c r="BX35" s="63" t="str">
        <f t="array" ref="BX35">if(xlookup(AP35&amp;AQ35&amp;"FaceIt",'Roster Info'!$A:$A&amp;'Roster Info'!$G:$G&amp;'Roster Info'!$D:$D,'Roster Info'!$E:$E,"")="","-",hyperlink(xlookup(AP35&amp;AQ35&amp;"FaceIt",'Roster Info'!$A:$A&amp;'Roster Info'!$G:$G&amp;'Roster Info'!$D:$D,'Roster Info'!$E:$E,""),"FaceIt"))</f>
        <v>-</v>
      </c>
      <c r="BZ35" s="61"/>
      <c r="CA35" s="152"/>
      <c r="CB35" s="152"/>
      <c r="CC35" s="152"/>
      <c r="CD35" s="152"/>
    </row>
    <row r="36" ht="15.0" customHeight="1">
      <c r="A36" s="152"/>
      <c r="B36" s="152"/>
      <c r="C36" s="219"/>
      <c r="D36" s="219"/>
      <c r="E36" s="230"/>
      <c r="F36" s="231"/>
      <c r="G36" s="231"/>
      <c r="H36" s="231"/>
      <c r="I36" s="231"/>
      <c r="J36" s="231"/>
      <c r="K36" s="231"/>
      <c r="L36" s="231"/>
      <c r="M36" s="231"/>
      <c r="N36" s="231"/>
      <c r="O36" s="231"/>
      <c r="P36" s="231"/>
      <c r="Q36" s="231"/>
      <c r="R36" s="231"/>
      <c r="S36" s="231"/>
      <c r="T36" s="231"/>
      <c r="U36" s="231"/>
      <c r="V36" s="231"/>
      <c r="W36" s="231"/>
      <c r="X36" s="231"/>
      <c r="Y36" s="231"/>
      <c r="Z36" s="231"/>
      <c r="AA36" s="231"/>
      <c r="AB36" s="231"/>
      <c r="AC36" s="231"/>
      <c r="AD36" s="231"/>
      <c r="AE36" s="231"/>
      <c r="AF36" s="231"/>
      <c r="AG36" s="231"/>
      <c r="AH36" s="231"/>
      <c r="AI36" s="231"/>
      <c r="AJ36" s="231"/>
      <c r="AK36" s="231"/>
      <c r="AL36" s="231"/>
      <c r="AM36" s="232"/>
      <c r="AN36" s="152"/>
      <c r="AO36" s="152"/>
      <c r="AP36" s="219"/>
      <c r="AQ36" s="219"/>
      <c r="AR36" s="230"/>
      <c r="AS36" s="231"/>
      <c r="AT36" s="231"/>
      <c r="AU36" s="231"/>
      <c r="AV36" s="231"/>
      <c r="AW36" s="231"/>
      <c r="AX36" s="231"/>
      <c r="AY36" s="231"/>
      <c r="AZ36" s="231"/>
      <c r="BA36" s="231"/>
      <c r="BB36" s="231"/>
      <c r="BC36" s="231"/>
      <c r="BD36" s="231"/>
      <c r="BE36" s="231"/>
      <c r="BF36" s="231"/>
      <c r="BG36" s="231"/>
      <c r="BH36" s="231"/>
      <c r="BI36" s="231"/>
      <c r="BJ36" s="231"/>
      <c r="BK36" s="231"/>
      <c r="BL36" s="231"/>
      <c r="BM36" s="231"/>
      <c r="BN36" s="231"/>
      <c r="BO36" s="231"/>
      <c r="BP36" s="231"/>
      <c r="BQ36" s="231"/>
      <c r="BR36" s="231"/>
      <c r="BS36" s="231"/>
      <c r="BT36" s="231"/>
      <c r="BU36" s="231"/>
      <c r="BV36" s="231"/>
      <c r="BW36" s="231"/>
      <c r="BX36" s="231"/>
      <c r="BY36" s="231"/>
      <c r="BZ36" s="232"/>
      <c r="CA36" s="152"/>
      <c r="CB36" s="152"/>
      <c r="CC36" s="152"/>
      <c r="CD36" s="152"/>
    </row>
    <row r="37" ht="15.0" customHeight="1">
      <c r="A37" s="152"/>
      <c r="B37" s="152"/>
      <c r="C37" s="219">
        <f>C35</f>
        <v>3</v>
      </c>
      <c r="D37" s="225" t="s">
        <v>115</v>
      </c>
      <c r="E37" s="226" t="s">
        <v>115</v>
      </c>
      <c r="I37" s="227" t="str">
        <f t="array" ref="I37">xlookup(xlookup(C37&amp;D37&amp;"Nationality",'Roster Info'!$A:$A&amp;'Roster Info'!$G:$G&amp;'Roster Info'!$D:$D,'Roster Info'!$E:$E,""),'Roster Info'!$K:$K,'Roster Info'!$L:$L,"")</f>
        <v/>
      </c>
      <c r="K37" s="228" t="str">
        <f t="array" ref="K37">xlookup(C37&amp;D37,'Roster Info'!$A:$A&amp;'Roster Info'!$G:$G,'Roster Info'!$F:$F,"")</f>
        <v/>
      </c>
      <c r="U37" s="229" t="str">
        <f t="array" ref="U37">xlookup(C37&amp;D37&amp;"Full Name",'Roster Info'!$A:$A&amp;'Roster Info'!$G:$G&amp;'Roster Info'!$D:$D,'Roster Info'!$E:$E,"")</f>
        <v/>
      </c>
      <c r="AE37" s="63" t="str">
        <f t="array" ref="AE37">if(xlookup(C37&amp;D37&amp;"Steam",'Roster Info'!$A:$A&amp;'Roster Info'!$G:$G&amp;'Roster Info'!$D:$D,'Roster Info'!$E:$E,"")="","-",hyperlink(xlookup(C37&amp;D37&amp;"Steam",'Roster Info'!$A:$A&amp;'Roster Info'!$G:$G&amp;'Roster Info'!$D:$D,'Roster Info'!$E:$E,""),"Steam"))</f>
        <v>-</v>
      </c>
      <c r="AH37" s="63" t="str">
        <f t="array" ref="AH37">if(xlookup(C37&amp;D37&amp;"HLTV",'Roster Info'!$A:$A&amp;'Roster Info'!$G:$G&amp;'Roster Info'!$D:$D,'Roster Info'!$E:$E,"")="","-",hyperlink(xlookup(C37&amp;D37&amp;"HLTV",'Roster Info'!$A:$A&amp;'Roster Info'!$G:$G&amp;'Roster Info'!$D:$D,'Roster Info'!$E:$E,""),"HLTV"))</f>
        <v>-</v>
      </c>
      <c r="AK37" s="63" t="str">
        <f t="array" ref="AK37">if(xlookup(C37&amp;D37&amp;"FaceIt",'Roster Info'!$A:$A&amp;'Roster Info'!$G:$G&amp;'Roster Info'!$D:$D,'Roster Info'!$E:$E,"")="","-",hyperlink(xlookup(C37&amp;D37&amp;"FaceIt",'Roster Info'!$A:$A&amp;'Roster Info'!$G:$G&amp;'Roster Info'!$D:$D,'Roster Info'!$E:$E,""),"FaceIt"))</f>
        <v>-</v>
      </c>
      <c r="AM37" s="61"/>
      <c r="AN37" s="152"/>
      <c r="AO37" s="152"/>
      <c r="AP37" s="219">
        <f>AP35</f>
        <v>4</v>
      </c>
      <c r="AQ37" s="225" t="s">
        <v>115</v>
      </c>
      <c r="AR37" s="226" t="s">
        <v>115</v>
      </c>
      <c r="AV37" s="227" t="str">
        <f t="array" ref="AV37">xlookup(xlookup(AP37&amp;AQ37&amp;"Nationality",'Roster Info'!$A:$A&amp;'Roster Info'!$G:$G&amp;'Roster Info'!$D:$D,'Roster Info'!$E:$E,""),'Roster Info'!$K:$K,'Roster Info'!$L:$L,"")</f>
        <v/>
      </c>
      <c r="AX37" s="228" t="str">
        <f t="array" ref="AX37">xlookup(AP37&amp;AQ37,'Roster Info'!$A:$A&amp;'Roster Info'!$G:$G,'Roster Info'!$F:$F,"")</f>
        <v/>
      </c>
      <c r="BH37" s="229" t="str">
        <f t="array" ref="BH37">xlookup(AP37&amp;AQ37&amp;"Full Name",'Roster Info'!$A:$A&amp;'Roster Info'!$G:$G&amp;'Roster Info'!$D:$D,'Roster Info'!$E:$E,"")</f>
        <v/>
      </c>
      <c r="BR37" s="63" t="str">
        <f t="array" ref="BR37">if(xlookup(AP37&amp;AQ37&amp;"Steam",'Roster Info'!$A:$A&amp;'Roster Info'!$G:$G&amp;'Roster Info'!$D:$D,'Roster Info'!$E:$E,"")="","-",hyperlink(xlookup(AP37&amp;AQ37&amp;"Steam",'Roster Info'!$A:$A&amp;'Roster Info'!$G:$G&amp;'Roster Info'!$D:$D,'Roster Info'!$E:$E,""),"Steam"))</f>
        <v>-</v>
      </c>
      <c r="BU37" s="63" t="str">
        <f t="array" ref="BU37">if(xlookup(AP37&amp;AQ37&amp;"HLTV",'Roster Info'!$A:$A&amp;'Roster Info'!$G:$G&amp;'Roster Info'!$D:$D,'Roster Info'!$E:$E,"")="","-",hyperlink(xlookup(AP37&amp;AQ37&amp;"HLTV",'Roster Info'!$A:$A&amp;'Roster Info'!$G:$G&amp;'Roster Info'!$D:$D,'Roster Info'!$E:$E,""),"HLTV"))</f>
        <v>-</v>
      </c>
      <c r="BX37" s="63" t="str">
        <f t="array" ref="BX37">if(xlookup(AP37&amp;AQ37&amp;"FaceIt",'Roster Info'!$A:$A&amp;'Roster Info'!$G:$G&amp;'Roster Info'!$D:$D,'Roster Info'!$E:$E,"")="","-",hyperlink(xlookup(AP37&amp;AQ37&amp;"FaceIt",'Roster Info'!$A:$A&amp;'Roster Info'!$G:$G&amp;'Roster Info'!$D:$D,'Roster Info'!$E:$E,""),"FaceIt"))</f>
        <v>-</v>
      </c>
      <c r="BZ37" s="61"/>
      <c r="CA37" s="152"/>
      <c r="CB37" s="152"/>
      <c r="CC37" s="152"/>
      <c r="CD37" s="152"/>
    </row>
    <row r="38" ht="15.0" customHeight="1">
      <c r="A38" s="152"/>
      <c r="B38" s="152"/>
      <c r="C38" s="219"/>
      <c r="D38" s="219"/>
      <c r="E38" s="230"/>
      <c r="F38" s="231"/>
      <c r="G38" s="231"/>
      <c r="H38" s="231"/>
      <c r="I38" s="231"/>
      <c r="J38" s="231"/>
      <c r="K38" s="231"/>
      <c r="L38" s="231"/>
      <c r="M38" s="231"/>
      <c r="N38" s="231"/>
      <c r="O38" s="231"/>
      <c r="P38" s="231"/>
      <c r="Q38" s="231"/>
      <c r="R38" s="231"/>
      <c r="S38" s="231"/>
      <c r="T38" s="231"/>
      <c r="U38" s="231"/>
      <c r="V38" s="231"/>
      <c r="W38" s="231"/>
      <c r="X38" s="231"/>
      <c r="Y38" s="231"/>
      <c r="Z38" s="231"/>
      <c r="AA38" s="231"/>
      <c r="AB38" s="231"/>
      <c r="AC38" s="231"/>
      <c r="AD38" s="231"/>
      <c r="AE38" s="231"/>
      <c r="AF38" s="231"/>
      <c r="AG38" s="231"/>
      <c r="AH38" s="231"/>
      <c r="AI38" s="231"/>
      <c r="AJ38" s="231"/>
      <c r="AK38" s="231"/>
      <c r="AL38" s="231"/>
      <c r="AM38" s="232"/>
      <c r="AN38" s="152"/>
      <c r="AO38" s="152"/>
      <c r="AP38" s="219"/>
      <c r="AQ38" s="219"/>
      <c r="AR38" s="230"/>
      <c r="AS38" s="231"/>
      <c r="AT38" s="231"/>
      <c r="AU38" s="231"/>
      <c r="AV38" s="231"/>
      <c r="AW38" s="231"/>
      <c r="AX38" s="231"/>
      <c r="AY38" s="231"/>
      <c r="AZ38" s="231"/>
      <c r="BA38" s="231"/>
      <c r="BB38" s="231"/>
      <c r="BC38" s="231"/>
      <c r="BD38" s="231"/>
      <c r="BE38" s="231"/>
      <c r="BF38" s="231"/>
      <c r="BG38" s="231"/>
      <c r="BH38" s="231"/>
      <c r="BI38" s="231"/>
      <c r="BJ38" s="231"/>
      <c r="BK38" s="231"/>
      <c r="BL38" s="231"/>
      <c r="BM38" s="231"/>
      <c r="BN38" s="231"/>
      <c r="BO38" s="231"/>
      <c r="BP38" s="231"/>
      <c r="BQ38" s="231"/>
      <c r="BR38" s="231"/>
      <c r="BS38" s="231"/>
      <c r="BT38" s="231"/>
      <c r="BU38" s="231"/>
      <c r="BV38" s="231"/>
      <c r="BW38" s="231"/>
      <c r="BX38" s="231"/>
      <c r="BY38" s="231"/>
      <c r="BZ38" s="232"/>
      <c r="CA38" s="152"/>
      <c r="CB38" s="152"/>
      <c r="CC38" s="152"/>
      <c r="CD38" s="152"/>
    </row>
    <row r="39" ht="15.0" customHeight="1">
      <c r="A39" s="152"/>
      <c r="B39" s="152"/>
      <c r="C39" s="219">
        <f>C37</f>
        <v>3</v>
      </c>
      <c r="D39" s="225" t="s">
        <v>121</v>
      </c>
      <c r="E39" s="226" t="s">
        <v>121</v>
      </c>
      <c r="I39" s="227" t="str">
        <f t="array" ref="I39">xlookup(xlookup(C39&amp;D39&amp;"Nationality",'Roster Info'!$A:$A&amp;'Roster Info'!$G:$G&amp;'Roster Info'!$D:$D,'Roster Info'!$E:$E,""),'Roster Info'!$K:$K,'Roster Info'!$L:$L,"")</f>
        <v/>
      </c>
      <c r="K39" s="228" t="str">
        <f t="array" ref="K39">xlookup(C39&amp;D39,'Roster Info'!$A:$A&amp;'Roster Info'!$G:$G,'Roster Info'!$F:$F,"")</f>
        <v/>
      </c>
      <c r="U39" s="229" t="str">
        <f t="array" ref="U39">xlookup(C39&amp;D39&amp;"Full Name",'Roster Info'!$A:$A&amp;'Roster Info'!$G:$G&amp;'Roster Info'!$D:$D,'Roster Info'!$E:$E,"")</f>
        <v/>
      </c>
      <c r="AE39" s="63" t="str">
        <f t="array" ref="AE39">if(xlookup(C39&amp;D39&amp;"Steam",'Roster Info'!$A:$A&amp;'Roster Info'!$G:$G&amp;'Roster Info'!$D:$D,'Roster Info'!$E:$E,"")="","-",hyperlink(xlookup(C39&amp;D39&amp;"Steam",'Roster Info'!$A:$A&amp;'Roster Info'!$G:$G&amp;'Roster Info'!$D:$D,'Roster Info'!$E:$E,""),"Steam"))</f>
        <v>-</v>
      </c>
      <c r="AH39" s="63" t="str">
        <f t="array" ref="AH39">if(xlookup(C39&amp;D39&amp;"HLTV",'Roster Info'!$A:$A&amp;'Roster Info'!$G:$G&amp;'Roster Info'!$D:$D,'Roster Info'!$E:$E,"")="","-",hyperlink(xlookup(C39&amp;D39&amp;"HLTV",'Roster Info'!$A:$A&amp;'Roster Info'!$G:$G&amp;'Roster Info'!$D:$D,'Roster Info'!$E:$E,""),"HLTV"))</f>
        <v>-</v>
      </c>
      <c r="AK39" s="63" t="str">
        <f t="array" ref="AK39">if(xlookup(C39&amp;D39&amp;"FaceIt",'Roster Info'!$A:$A&amp;'Roster Info'!$G:$G&amp;'Roster Info'!$D:$D,'Roster Info'!$E:$E,"")="","-",hyperlink(xlookup(C39&amp;D39&amp;"FaceIt",'Roster Info'!$A:$A&amp;'Roster Info'!$G:$G&amp;'Roster Info'!$D:$D,'Roster Info'!$E:$E,""),"FaceIt"))</f>
        <v>-</v>
      </c>
      <c r="AM39" s="61"/>
      <c r="AN39" s="152"/>
      <c r="AO39" s="152"/>
      <c r="AP39" s="219">
        <f>AP37</f>
        <v>4</v>
      </c>
      <c r="AQ39" s="225" t="s">
        <v>121</v>
      </c>
      <c r="AR39" s="226" t="s">
        <v>121</v>
      </c>
      <c r="AV39" s="227" t="str">
        <f t="array" ref="AV39">xlookup(xlookup(AP39&amp;AQ39&amp;"Nationality",'Roster Info'!$A:$A&amp;'Roster Info'!$G:$G&amp;'Roster Info'!$D:$D,'Roster Info'!$E:$E,""),'Roster Info'!$K:$K,'Roster Info'!$L:$L,"")</f>
        <v/>
      </c>
      <c r="AX39" s="228" t="str">
        <f t="array" ref="AX39">xlookup(AP39&amp;AQ39,'Roster Info'!$A:$A&amp;'Roster Info'!$G:$G,'Roster Info'!$F:$F,"")</f>
        <v/>
      </c>
      <c r="BH39" s="229" t="str">
        <f t="array" ref="BH39">xlookup(AP39&amp;AQ39&amp;"Full Name",'Roster Info'!$A:$A&amp;'Roster Info'!$G:$G&amp;'Roster Info'!$D:$D,'Roster Info'!$E:$E,"")</f>
        <v/>
      </c>
      <c r="BR39" s="63" t="str">
        <f t="array" ref="BR39">if(xlookup(AP39&amp;AQ39&amp;"Steam",'Roster Info'!$A:$A&amp;'Roster Info'!$G:$G&amp;'Roster Info'!$D:$D,'Roster Info'!$E:$E,"")="","-",hyperlink(xlookup(AP39&amp;AQ39&amp;"Steam",'Roster Info'!$A:$A&amp;'Roster Info'!$G:$G&amp;'Roster Info'!$D:$D,'Roster Info'!$E:$E,""),"Steam"))</f>
        <v>-</v>
      </c>
      <c r="BU39" s="63" t="str">
        <f t="array" ref="BU39">if(xlookup(AP39&amp;AQ39&amp;"HLTV",'Roster Info'!$A:$A&amp;'Roster Info'!$G:$G&amp;'Roster Info'!$D:$D,'Roster Info'!$E:$E,"")="","-",hyperlink(xlookup(AP39&amp;AQ39&amp;"HLTV",'Roster Info'!$A:$A&amp;'Roster Info'!$G:$G&amp;'Roster Info'!$D:$D,'Roster Info'!$E:$E,""),"HLTV"))</f>
        <v>-</v>
      </c>
      <c r="BX39" s="63" t="str">
        <f t="array" ref="BX39">if(xlookup(AP39&amp;AQ39&amp;"FaceIt",'Roster Info'!$A:$A&amp;'Roster Info'!$G:$G&amp;'Roster Info'!$D:$D,'Roster Info'!$E:$E,"")="","-",hyperlink(xlookup(AP39&amp;AQ39&amp;"FaceIt",'Roster Info'!$A:$A&amp;'Roster Info'!$G:$G&amp;'Roster Info'!$D:$D,'Roster Info'!$E:$E,""),"FaceIt"))</f>
        <v>-</v>
      </c>
      <c r="BZ39" s="61"/>
      <c r="CA39" s="152"/>
      <c r="CB39" s="152"/>
      <c r="CC39" s="152"/>
      <c r="CD39" s="152"/>
    </row>
    <row r="40" ht="15.0" customHeight="1">
      <c r="A40" s="152"/>
      <c r="B40" s="152"/>
      <c r="C40" s="219"/>
      <c r="D40" s="219"/>
      <c r="E40" s="230"/>
      <c r="F40" s="231"/>
      <c r="G40" s="231"/>
      <c r="H40" s="231"/>
      <c r="I40" s="231"/>
      <c r="J40" s="231"/>
      <c r="K40" s="231"/>
      <c r="L40" s="231"/>
      <c r="M40" s="231"/>
      <c r="N40" s="231"/>
      <c r="O40" s="231"/>
      <c r="P40" s="231"/>
      <c r="Q40" s="231"/>
      <c r="R40" s="231"/>
      <c r="S40" s="231"/>
      <c r="T40" s="231"/>
      <c r="U40" s="231"/>
      <c r="V40" s="231"/>
      <c r="W40" s="231"/>
      <c r="X40" s="231"/>
      <c r="Y40" s="231"/>
      <c r="Z40" s="231"/>
      <c r="AA40" s="231"/>
      <c r="AB40" s="231"/>
      <c r="AC40" s="231"/>
      <c r="AD40" s="231"/>
      <c r="AE40" s="231"/>
      <c r="AF40" s="231"/>
      <c r="AG40" s="231"/>
      <c r="AH40" s="231"/>
      <c r="AI40" s="231"/>
      <c r="AJ40" s="231"/>
      <c r="AK40" s="231"/>
      <c r="AL40" s="231"/>
      <c r="AM40" s="232"/>
      <c r="AN40" s="152"/>
      <c r="AO40" s="152"/>
      <c r="AP40" s="219"/>
      <c r="AQ40" s="219"/>
      <c r="AR40" s="230"/>
      <c r="AS40" s="231"/>
      <c r="AT40" s="231"/>
      <c r="AU40" s="231"/>
      <c r="AV40" s="231"/>
      <c r="AW40" s="231"/>
      <c r="AX40" s="231"/>
      <c r="AY40" s="231"/>
      <c r="AZ40" s="231"/>
      <c r="BA40" s="231"/>
      <c r="BB40" s="231"/>
      <c r="BC40" s="231"/>
      <c r="BD40" s="231"/>
      <c r="BE40" s="231"/>
      <c r="BF40" s="231"/>
      <c r="BG40" s="231"/>
      <c r="BH40" s="231"/>
      <c r="BI40" s="231"/>
      <c r="BJ40" s="231"/>
      <c r="BK40" s="231"/>
      <c r="BL40" s="231"/>
      <c r="BM40" s="231"/>
      <c r="BN40" s="231"/>
      <c r="BO40" s="231"/>
      <c r="BP40" s="231"/>
      <c r="BQ40" s="231"/>
      <c r="BR40" s="231"/>
      <c r="BS40" s="231"/>
      <c r="BT40" s="231"/>
      <c r="BU40" s="231"/>
      <c r="BV40" s="231"/>
      <c r="BW40" s="231"/>
      <c r="BX40" s="231"/>
      <c r="BY40" s="231"/>
      <c r="BZ40" s="232"/>
      <c r="CA40" s="152"/>
      <c r="CB40" s="152"/>
      <c r="CC40" s="152"/>
      <c r="CD40" s="152"/>
    </row>
    <row r="41" ht="15.0" customHeight="1">
      <c r="A41" s="152"/>
      <c r="B41" s="152"/>
      <c r="C41" s="219">
        <f>C39</f>
        <v>3</v>
      </c>
      <c r="D41" s="225" t="s">
        <v>127</v>
      </c>
      <c r="E41" s="226" t="s">
        <v>127</v>
      </c>
      <c r="I41" s="227" t="str">
        <f t="array" ref="I41">xlookup(xlookup(C41&amp;D41&amp;"Nationality",'Roster Info'!$A:$A&amp;'Roster Info'!$G:$G&amp;'Roster Info'!$D:$D,'Roster Info'!$E:$E,""),'Roster Info'!$K:$K,'Roster Info'!$L:$L,"")</f>
        <v/>
      </c>
      <c r="K41" s="228" t="str">
        <f t="array" ref="K41">xlookup(C41&amp;D41,'Roster Info'!$A:$A&amp;'Roster Info'!$G:$G,'Roster Info'!$F:$F,"")</f>
        <v/>
      </c>
      <c r="U41" s="229" t="str">
        <f t="array" ref="U41">xlookup(C41&amp;D41&amp;"Full Name",'Roster Info'!$A:$A&amp;'Roster Info'!$G:$G&amp;'Roster Info'!$D:$D,'Roster Info'!$E:$E,"")</f>
        <v/>
      </c>
      <c r="AE41" s="63" t="str">
        <f t="array" ref="AE41">if(xlookup(C41&amp;D41&amp;"Steam",'Roster Info'!$A:$A&amp;'Roster Info'!$G:$G&amp;'Roster Info'!$D:$D,'Roster Info'!$E:$E,"")="","-",hyperlink(xlookup(C41&amp;D41&amp;"Steam",'Roster Info'!$A:$A&amp;'Roster Info'!$G:$G&amp;'Roster Info'!$D:$D,'Roster Info'!$E:$E,""),"Steam"))</f>
        <v>-</v>
      </c>
      <c r="AH41" s="63" t="str">
        <f t="array" ref="AH41">if(xlookup(C41&amp;D41&amp;"HLTV",'Roster Info'!$A:$A&amp;'Roster Info'!$G:$G&amp;'Roster Info'!$D:$D,'Roster Info'!$E:$E,"")="","-",hyperlink(xlookup(C41&amp;D41&amp;"HLTV",'Roster Info'!$A:$A&amp;'Roster Info'!$G:$G&amp;'Roster Info'!$D:$D,'Roster Info'!$E:$E,""),"HLTV"))</f>
        <v>-</v>
      </c>
      <c r="AK41" s="63" t="str">
        <f t="array" ref="AK41">if(xlookup(C41&amp;D41&amp;"FaceIt",'Roster Info'!$A:$A&amp;'Roster Info'!$G:$G&amp;'Roster Info'!$D:$D,'Roster Info'!$E:$E,"")="","-",hyperlink(xlookup(C41&amp;D41&amp;"FaceIt",'Roster Info'!$A:$A&amp;'Roster Info'!$G:$G&amp;'Roster Info'!$D:$D,'Roster Info'!$E:$E,""),"FaceIt"))</f>
        <v>-</v>
      </c>
      <c r="AM41" s="61"/>
      <c r="AN41" s="152"/>
      <c r="AO41" s="152"/>
      <c r="AP41" s="219">
        <f>AP39</f>
        <v>4</v>
      </c>
      <c r="AQ41" s="225" t="s">
        <v>127</v>
      </c>
      <c r="AR41" s="226" t="s">
        <v>127</v>
      </c>
      <c r="AV41" s="227" t="str">
        <f t="array" ref="AV41">xlookup(xlookup(AP41&amp;AQ41&amp;"Nationality",'Roster Info'!$A:$A&amp;'Roster Info'!$G:$G&amp;'Roster Info'!$D:$D,'Roster Info'!$E:$E,""),'Roster Info'!$K:$K,'Roster Info'!$L:$L,"")</f>
        <v/>
      </c>
      <c r="AX41" s="228" t="str">
        <f t="array" ref="AX41">xlookup(AP41&amp;AQ41,'Roster Info'!$A:$A&amp;'Roster Info'!$G:$G,'Roster Info'!$F:$F,"")</f>
        <v/>
      </c>
      <c r="BH41" s="229" t="str">
        <f t="array" ref="BH41">xlookup(AP41&amp;AQ41&amp;"Full Name",'Roster Info'!$A:$A&amp;'Roster Info'!$G:$G&amp;'Roster Info'!$D:$D,'Roster Info'!$E:$E,"")</f>
        <v/>
      </c>
      <c r="BR41" s="63" t="str">
        <f t="array" ref="BR41">if(xlookup(AP41&amp;AQ41&amp;"Steam",'Roster Info'!$A:$A&amp;'Roster Info'!$G:$G&amp;'Roster Info'!$D:$D,'Roster Info'!$E:$E,"")="","-",hyperlink(xlookup(AP41&amp;AQ41&amp;"Steam",'Roster Info'!$A:$A&amp;'Roster Info'!$G:$G&amp;'Roster Info'!$D:$D,'Roster Info'!$E:$E,""),"Steam"))</f>
        <v>-</v>
      </c>
      <c r="BU41" s="63" t="str">
        <f t="array" ref="BU41">if(xlookup(AP41&amp;AQ41&amp;"HLTV",'Roster Info'!$A:$A&amp;'Roster Info'!$G:$G&amp;'Roster Info'!$D:$D,'Roster Info'!$E:$E,"")="","-",hyperlink(xlookup(AP41&amp;AQ41&amp;"HLTV",'Roster Info'!$A:$A&amp;'Roster Info'!$G:$G&amp;'Roster Info'!$D:$D,'Roster Info'!$E:$E,""),"HLTV"))</f>
        <v>-</v>
      </c>
      <c r="BX41" s="63" t="str">
        <f t="array" ref="BX41">if(xlookup(AP41&amp;AQ41&amp;"FaceIt",'Roster Info'!$A:$A&amp;'Roster Info'!$G:$G&amp;'Roster Info'!$D:$D,'Roster Info'!$E:$E,"")="","-",hyperlink(xlookup(AP41&amp;AQ41&amp;"FaceIt",'Roster Info'!$A:$A&amp;'Roster Info'!$G:$G&amp;'Roster Info'!$D:$D,'Roster Info'!$E:$E,""),"FaceIt"))</f>
        <v>-</v>
      </c>
      <c r="BZ41" s="61"/>
      <c r="CA41" s="152"/>
      <c r="CB41" s="152"/>
      <c r="CC41" s="152"/>
      <c r="CD41" s="152"/>
    </row>
    <row r="42" ht="15.0" customHeight="1">
      <c r="A42" s="152"/>
      <c r="B42" s="152"/>
      <c r="C42" s="219"/>
      <c r="D42" s="219"/>
      <c r="E42" s="230"/>
      <c r="F42" s="231"/>
      <c r="G42" s="231"/>
      <c r="H42" s="231"/>
      <c r="I42" s="231"/>
      <c r="J42" s="231"/>
      <c r="K42" s="231"/>
      <c r="L42" s="231"/>
      <c r="M42" s="231"/>
      <c r="N42" s="231"/>
      <c r="O42" s="231"/>
      <c r="P42" s="231"/>
      <c r="Q42" s="231"/>
      <c r="R42" s="231"/>
      <c r="S42" s="231"/>
      <c r="T42" s="231"/>
      <c r="U42" s="231"/>
      <c r="V42" s="231"/>
      <c r="W42" s="231"/>
      <c r="X42" s="231"/>
      <c r="Y42" s="231"/>
      <c r="Z42" s="231"/>
      <c r="AA42" s="231"/>
      <c r="AB42" s="231"/>
      <c r="AC42" s="231"/>
      <c r="AD42" s="231"/>
      <c r="AE42" s="231"/>
      <c r="AF42" s="231"/>
      <c r="AG42" s="231"/>
      <c r="AH42" s="231"/>
      <c r="AI42" s="231"/>
      <c r="AJ42" s="231"/>
      <c r="AK42" s="231"/>
      <c r="AL42" s="231"/>
      <c r="AM42" s="232"/>
      <c r="AN42" s="152"/>
      <c r="AO42" s="152"/>
      <c r="AP42" s="219"/>
      <c r="AQ42" s="219"/>
      <c r="AR42" s="230"/>
      <c r="AS42" s="231"/>
      <c r="AT42" s="231"/>
      <c r="AU42" s="231"/>
      <c r="AV42" s="231"/>
      <c r="AW42" s="231"/>
      <c r="AX42" s="231"/>
      <c r="AY42" s="231"/>
      <c r="AZ42" s="231"/>
      <c r="BA42" s="231"/>
      <c r="BB42" s="231"/>
      <c r="BC42" s="231"/>
      <c r="BD42" s="231"/>
      <c r="BE42" s="231"/>
      <c r="BF42" s="231"/>
      <c r="BG42" s="231"/>
      <c r="BH42" s="231"/>
      <c r="BI42" s="231"/>
      <c r="BJ42" s="231"/>
      <c r="BK42" s="231"/>
      <c r="BL42" s="231"/>
      <c r="BM42" s="231"/>
      <c r="BN42" s="231"/>
      <c r="BO42" s="231"/>
      <c r="BP42" s="231"/>
      <c r="BQ42" s="231"/>
      <c r="BR42" s="231"/>
      <c r="BS42" s="231"/>
      <c r="BT42" s="231"/>
      <c r="BU42" s="231"/>
      <c r="BV42" s="231"/>
      <c r="BW42" s="231"/>
      <c r="BX42" s="231"/>
      <c r="BY42" s="231"/>
      <c r="BZ42" s="232"/>
      <c r="CA42" s="152"/>
      <c r="CB42" s="152"/>
      <c r="CC42" s="152"/>
      <c r="CD42" s="152"/>
    </row>
    <row r="43" ht="15.0" customHeight="1">
      <c r="A43" s="152"/>
      <c r="B43" s="152"/>
      <c r="C43" s="219">
        <f>C41</f>
        <v>3</v>
      </c>
      <c r="D43" s="225" t="s">
        <v>133</v>
      </c>
      <c r="E43" s="226" t="s">
        <v>133</v>
      </c>
      <c r="I43" s="227" t="str">
        <f t="array" ref="I43">xlookup(xlookup(C43&amp;D43&amp;"Nationality",'Roster Info'!$A:$A&amp;'Roster Info'!$G:$G&amp;'Roster Info'!$D:$D,'Roster Info'!$E:$E,""),'Roster Info'!$K:$K,'Roster Info'!$L:$L,"")</f>
        <v/>
      </c>
      <c r="K43" s="228" t="str">
        <f t="array" ref="K43">xlookup(C43&amp;D43,'Roster Info'!$A:$A&amp;'Roster Info'!$G:$G,'Roster Info'!$F:$F,"")</f>
        <v/>
      </c>
      <c r="U43" s="229" t="str">
        <f t="array" ref="U43">xlookup(C43&amp;D43&amp;"Full Name",'Roster Info'!$A:$A&amp;'Roster Info'!$G:$G&amp;'Roster Info'!$D:$D,'Roster Info'!$E:$E,"")</f>
        <v/>
      </c>
      <c r="AE43" s="63" t="str">
        <f t="array" ref="AE43">if(xlookup(C43&amp;D43&amp;"Steam",'Roster Info'!$A:$A&amp;'Roster Info'!$G:$G&amp;'Roster Info'!$D:$D,'Roster Info'!$E:$E,"")="","-",hyperlink(xlookup(C43&amp;D43&amp;"Steam",'Roster Info'!$A:$A&amp;'Roster Info'!$G:$G&amp;'Roster Info'!$D:$D,'Roster Info'!$E:$E,""),"Steam"))</f>
        <v>-</v>
      </c>
      <c r="AH43" s="63" t="str">
        <f t="array" ref="AH43">if(xlookup(C43&amp;D43&amp;"HLTV",'Roster Info'!$A:$A&amp;'Roster Info'!$G:$G&amp;'Roster Info'!$D:$D,'Roster Info'!$E:$E,"")="","-",hyperlink(xlookup(C43&amp;D43&amp;"HLTV",'Roster Info'!$A:$A&amp;'Roster Info'!$G:$G&amp;'Roster Info'!$D:$D,'Roster Info'!$E:$E,""),"HLTV"))</f>
        <v>-</v>
      </c>
      <c r="AK43" s="63" t="str">
        <f t="array" ref="AK43">if(xlookup(C43&amp;D43&amp;"FaceIt",'Roster Info'!$A:$A&amp;'Roster Info'!$G:$G&amp;'Roster Info'!$D:$D,'Roster Info'!$E:$E,"")="","-",hyperlink(xlookup(C43&amp;D43&amp;"FaceIt",'Roster Info'!$A:$A&amp;'Roster Info'!$G:$G&amp;'Roster Info'!$D:$D,'Roster Info'!$E:$E,""),"FaceIt"))</f>
        <v>-</v>
      </c>
      <c r="AM43" s="61"/>
      <c r="AN43" s="152"/>
      <c r="AO43" s="152"/>
      <c r="AP43" s="219">
        <f>AP41</f>
        <v>4</v>
      </c>
      <c r="AQ43" s="225" t="s">
        <v>133</v>
      </c>
      <c r="AR43" s="226" t="s">
        <v>133</v>
      </c>
      <c r="AV43" s="227" t="str">
        <f t="array" ref="AV43">xlookup(xlookup(AP43&amp;AQ43&amp;"Nationality",'Roster Info'!$A:$A&amp;'Roster Info'!$G:$G&amp;'Roster Info'!$D:$D,'Roster Info'!$E:$E,""),'Roster Info'!$K:$K,'Roster Info'!$L:$L,"")</f>
        <v/>
      </c>
      <c r="AX43" s="228" t="str">
        <f t="array" ref="AX43">xlookup(AP43&amp;AQ43,'Roster Info'!$A:$A&amp;'Roster Info'!$G:$G,'Roster Info'!$F:$F,"")</f>
        <v/>
      </c>
      <c r="BH43" s="229" t="str">
        <f t="array" ref="BH43">xlookup(AP43&amp;AQ43&amp;"Full Name",'Roster Info'!$A:$A&amp;'Roster Info'!$G:$G&amp;'Roster Info'!$D:$D,'Roster Info'!$E:$E,"")</f>
        <v/>
      </c>
      <c r="BR43" s="63" t="str">
        <f t="array" ref="BR43">if(xlookup(AP43&amp;AQ43&amp;"Steam",'Roster Info'!$A:$A&amp;'Roster Info'!$G:$G&amp;'Roster Info'!$D:$D,'Roster Info'!$E:$E,"")="","-",hyperlink(xlookup(AP43&amp;AQ43&amp;"Steam",'Roster Info'!$A:$A&amp;'Roster Info'!$G:$G&amp;'Roster Info'!$D:$D,'Roster Info'!$E:$E,""),"Steam"))</f>
        <v>-</v>
      </c>
      <c r="BU43" s="63" t="str">
        <f t="array" ref="BU43">if(xlookup(AP43&amp;AQ43&amp;"HLTV",'Roster Info'!$A:$A&amp;'Roster Info'!$G:$G&amp;'Roster Info'!$D:$D,'Roster Info'!$E:$E,"")="","-",hyperlink(xlookup(AP43&amp;AQ43&amp;"HLTV",'Roster Info'!$A:$A&amp;'Roster Info'!$G:$G&amp;'Roster Info'!$D:$D,'Roster Info'!$E:$E,""),"HLTV"))</f>
        <v>-</v>
      </c>
      <c r="BX43" s="63" t="str">
        <f t="array" ref="BX43">if(xlookup(AP43&amp;AQ43&amp;"FaceIt",'Roster Info'!$A:$A&amp;'Roster Info'!$G:$G&amp;'Roster Info'!$D:$D,'Roster Info'!$E:$E,"")="","-",hyperlink(xlookup(AP43&amp;AQ43&amp;"FaceIt",'Roster Info'!$A:$A&amp;'Roster Info'!$G:$G&amp;'Roster Info'!$D:$D,'Roster Info'!$E:$E,""),"FaceIt"))</f>
        <v>-</v>
      </c>
      <c r="BZ43" s="61"/>
      <c r="CA43" s="152"/>
      <c r="CB43" s="152"/>
      <c r="CC43" s="152"/>
      <c r="CD43" s="152"/>
    </row>
    <row r="44" ht="15.0" customHeight="1">
      <c r="A44" s="152"/>
      <c r="B44" s="152"/>
      <c r="C44" s="219"/>
      <c r="D44" s="219"/>
      <c r="E44" s="230"/>
      <c r="F44" s="231"/>
      <c r="G44" s="231"/>
      <c r="H44" s="231"/>
      <c r="I44" s="231"/>
      <c r="J44" s="231"/>
      <c r="K44" s="231"/>
      <c r="L44" s="231"/>
      <c r="M44" s="231"/>
      <c r="N44" s="231"/>
      <c r="O44" s="231"/>
      <c r="P44" s="231"/>
      <c r="Q44" s="231"/>
      <c r="R44" s="231"/>
      <c r="S44" s="231"/>
      <c r="T44" s="231"/>
      <c r="U44" s="231"/>
      <c r="V44" s="231"/>
      <c r="W44" s="231"/>
      <c r="X44" s="231"/>
      <c r="Y44" s="231"/>
      <c r="Z44" s="231"/>
      <c r="AA44" s="231"/>
      <c r="AB44" s="231"/>
      <c r="AC44" s="231"/>
      <c r="AD44" s="231"/>
      <c r="AE44" s="231"/>
      <c r="AF44" s="231"/>
      <c r="AG44" s="231"/>
      <c r="AH44" s="231"/>
      <c r="AI44" s="231"/>
      <c r="AJ44" s="231"/>
      <c r="AK44" s="231"/>
      <c r="AL44" s="231"/>
      <c r="AM44" s="232"/>
      <c r="AN44" s="152"/>
      <c r="AO44" s="152"/>
      <c r="AP44" s="219"/>
      <c r="AQ44" s="219"/>
      <c r="AR44" s="230"/>
      <c r="AS44" s="231"/>
      <c r="AT44" s="231"/>
      <c r="AU44" s="231"/>
      <c r="AV44" s="231"/>
      <c r="AW44" s="231"/>
      <c r="AX44" s="231"/>
      <c r="AY44" s="231"/>
      <c r="AZ44" s="231"/>
      <c r="BA44" s="231"/>
      <c r="BB44" s="231"/>
      <c r="BC44" s="231"/>
      <c r="BD44" s="231"/>
      <c r="BE44" s="231"/>
      <c r="BF44" s="231"/>
      <c r="BG44" s="231"/>
      <c r="BH44" s="231"/>
      <c r="BI44" s="231"/>
      <c r="BJ44" s="231"/>
      <c r="BK44" s="231"/>
      <c r="BL44" s="231"/>
      <c r="BM44" s="231"/>
      <c r="BN44" s="231"/>
      <c r="BO44" s="231"/>
      <c r="BP44" s="231"/>
      <c r="BQ44" s="231"/>
      <c r="BR44" s="231"/>
      <c r="BS44" s="231"/>
      <c r="BT44" s="231"/>
      <c r="BU44" s="231"/>
      <c r="BV44" s="231"/>
      <c r="BW44" s="231"/>
      <c r="BX44" s="231"/>
      <c r="BY44" s="231"/>
      <c r="BZ44" s="232"/>
      <c r="CA44" s="152"/>
      <c r="CB44" s="152"/>
      <c r="CC44" s="152"/>
      <c r="CD44" s="152"/>
    </row>
    <row r="45" ht="15.0" customHeight="1">
      <c r="A45" s="152"/>
      <c r="B45" s="152"/>
      <c r="C45" s="219">
        <f>C43</f>
        <v>3</v>
      </c>
      <c r="D45" s="233" t="s">
        <v>139</v>
      </c>
      <c r="E45" s="234" t="s">
        <v>319</v>
      </c>
      <c r="I45" s="227" t="str">
        <f t="array" ref="I45">xlookup(xlookup(C45&amp;D45&amp;"Nationality",'Roster Info'!$A:$A&amp;'Roster Info'!$G:$G&amp;'Roster Info'!$D:$D,'Roster Info'!$E:$E,""),'Roster Info'!$K:$K,'Roster Info'!$L:$L,"")</f>
        <v/>
      </c>
      <c r="K45" s="228" t="str">
        <f t="array" ref="K45">xlookup(C45&amp;D45,'Roster Info'!$A:$A&amp;'Roster Info'!$G:$G,'Roster Info'!$F:$F,"")</f>
        <v/>
      </c>
      <c r="U45" s="229" t="str">
        <f t="array" ref="U45">xlookup(C45&amp;D45&amp;"Full Name",'Roster Info'!$A:$A&amp;'Roster Info'!$G:$G&amp;'Roster Info'!$D:$D,'Roster Info'!$E:$E,"")</f>
        <v/>
      </c>
      <c r="AE45" s="63" t="str">
        <f t="array" ref="AE45">if(xlookup(C45&amp;D45&amp;"Steam",'Roster Info'!$A:$A&amp;'Roster Info'!$G:$G&amp;'Roster Info'!$D:$D,'Roster Info'!$E:$E,"")="","-",hyperlink(xlookup(C45&amp;D45&amp;"Steam",'Roster Info'!$A:$A&amp;'Roster Info'!$G:$G&amp;'Roster Info'!$D:$D,'Roster Info'!$E:$E,""),"Steam"))</f>
        <v>-</v>
      </c>
      <c r="AH45" s="63" t="str">
        <f t="array" ref="AH45">if(xlookup(C45&amp;D45&amp;"HLTV",'Roster Info'!$A:$A&amp;'Roster Info'!$G:$G&amp;'Roster Info'!$D:$D,'Roster Info'!$E:$E,"")="","-",hyperlink(xlookup(C45&amp;D45&amp;"HLTV",'Roster Info'!$A:$A&amp;'Roster Info'!$G:$G&amp;'Roster Info'!$D:$D,'Roster Info'!$E:$E,""),"HLTV"))</f>
        <v>-</v>
      </c>
      <c r="AK45" s="63" t="str">
        <f t="array" ref="AK45">if(xlookup(C45&amp;D45&amp;"FaceIt",'Roster Info'!$A:$A&amp;'Roster Info'!$G:$G&amp;'Roster Info'!$D:$D,'Roster Info'!$E:$E,"")="","-",hyperlink(xlookup(C45&amp;D45&amp;"FaceIt",'Roster Info'!$A:$A&amp;'Roster Info'!$G:$G&amp;'Roster Info'!$D:$D,'Roster Info'!$E:$E,""),"FaceIt"))</f>
        <v>-</v>
      </c>
      <c r="AM45" s="61"/>
      <c r="AN45" s="152"/>
      <c r="AO45" s="152"/>
      <c r="AP45" s="219">
        <f>AP43</f>
        <v>4</v>
      </c>
      <c r="AQ45" s="233" t="s">
        <v>139</v>
      </c>
      <c r="AR45" s="234" t="s">
        <v>319</v>
      </c>
      <c r="AV45" s="227" t="str">
        <f t="array" ref="AV45">xlookup(xlookup(AP45&amp;AQ45&amp;"Nationality",'Roster Info'!$A:$A&amp;'Roster Info'!$G:$G&amp;'Roster Info'!$D:$D,'Roster Info'!$E:$E,""),'Roster Info'!$K:$K,'Roster Info'!$L:$L,"")</f>
        <v/>
      </c>
      <c r="AX45" s="228" t="str">
        <f t="array" ref="AX45">xlookup(AP45&amp;AQ45,'Roster Info'!$A:$A&amp;'Roster Info'!$G:$G,'Roster Info'!$F:$F,"")</f>
        <v/>
      </c>
      <c r="BH45" s="229" t="str">
        <f t="array" ref="BH45">xlookup(AP45&amp;AQ45&amp;"Full Name",'Roster Info'!$A:$A&amp;'Roster Info'!$G:$G&amp;'Roster Info'!$D:$D,'Roster Info'!$E:$E,"")</f>
        <v/>
      </c>
      <c r="BR45" s="63" t="str">
        <f t="array" ref="BR45">if(xlookup(AP45&amp;AQ45&amp;"Steam",'Roster Info'!$A:$A&amp;'Roster Info'!$G:$G&amp;'Roster Info'!$D:$D,'Roster Info'!$E:$E,"")="","-",hyperlink(xlookup(AP45&amp;AQ45&amp;"Steam",'Roster Info'!$A:$A&amp;'Roster Info'!$G:$G&amp;'Roster Info'!$D:$D,'Roster Info'!$E:$E,""),"Steam"))</f>
        <v>-</v>
      </c>
      <c r="BU45" s="63" t="str">
        <f t="array" ref="BU45">if(xlookup(AP45&amp;AQ45&amp;"HLTV",'Roster Info'!$A:$A&amp;'Roster Info'!$G:$G&amp;'Roster Info'!$D:$D,'Roster Info'!$E:$E,"")="","-",hyperlink(xlookup(AP45&amp;AQ45&amp;"HLTV",'Roster Info'!$A:$A&amp;'Roster Info'!$G:$G&amp;'Roster Info'!$D:$D,'Roster Info'!$E:$E,""),"HLTV"))</f>
        <v>-</v>
      </c>
      <c r="BX45" s="63" t="str">
        <f t="array" ref="BX45">if(xlookup(AP45&amp;AQ45&amp;"FaceIt",'Roster Info'!$A:$A&amp;'Roster Info'!$G:$G&amp;'Roster Info'!$D:$D,'Roster Info'!$E:$E,"")="","-",hyperlink(xlookup(AP45&amp;AQ45&amp;"FaceIt",'Roster Info'!$A:$A&amp;'Roster Info'!$G:$G&amp;'Roster Info'!$D:$D,'Roster Info'!$E:$E,""),"FaceIt"))</f>
        <v>-</v>
      </c>
      <c r="BZ45" s="61"/>
      <c r="CA45" s="152"/>
      <c r="CB45" s="152"/>
      <c r="CC45" s="152"/>
      <c r="CD45" s="152"/>
    </row>
    <row r="46" ht="15.0" customHeight="1">
      <c r="A46" s="152"/>
      <c r="B46" s="152"/>
      <c r="C46" s="219"/>
      <c r="D46" s="219"/>
      <c r="E46" s="230"/>
      <c r="F46" s="231"/>
      <c r="G46" s="231"/>
      <c r="H46" s="231"/>
      <c r="I46" s="231"/>
      <c r="J46" s="231"/>
      <c r="K46" s="231"/>
      <c r="L46" s="231"/>
      <c r="M46" s="231"/>
      <c r="N46" s="231"/>
      <c r="O46" s="231"/>
      <c r="P46" s="231"/>
      <c r="Q46" s="231"/>
      <c r="R46" s="231"/>
      <c r="S46" s="231"/>
      <c r="T46" s="231"/>
      <c r="U46" s="231"/>
      <c r="V46" s="231"/>
      <c r="W46" s="231"/>
      <c r="X46" s="231"/>
      <c r="Y46" s="231"/>
      <c r="Z46" s="231"/>
      <c r="AA46" s="231"/>
      <c r="AB46" s="231"/>
      <c r="AC46" s="231"/>
      <c r="AD46" s="231"/>
      <c r="AE46" s="231"/>
      <c r="AF46" s="231"/>
      <c r="AG46" s="231"/>
      <c r="AH46" s="231"/>
      <c r="AI46" s="231"/>
      <c r="AJ46" s="231"/>
      <c r="AK46" s="231"/>
      <c r="AL46" s="231"/>
      <c r="AM46" s="232"/>
      <c r="AN46" s="152"/>
      <c r="AO46" s="152"/>
      <c r="AP46" s="219"/>
      <c r="AQ46" s="219"/>
      <c r="AR46" s="230"/>
      <c r="AS46" s="231"/>
      <c r="AT46" s="231"/>
      <c r="AU46" s="231"/>
      <c r="AV46" s="231"/>
      <c r="AW46" s="231"/>
      <c r="AX46" s="231"/>
      <c r="AY46" s="231"/>
      <c r="AZ46" s="231"/>
      <c r="BA46" s="231"/>
      <c r="BB46" s="231"/>
      <c r="BC46" s="231"/>
      <c r="BD46" s="231"/>
      <c r="BE46" s="231"/>
      <c r="BF46" s="231"/>
      <c r="BG46" s="231"/>
      <c r="BH46" s="231"/>
      <c r="BI46" s="231"/>
      <c r="BJ46" s="231"/>
      <c r="BK46" s="231"/>
      <c r="BL46" s="231"/>
      <c r="BM46" s="231"/>
      <c r="BN46" s="231"/>
      <c r="BO46" s="231"/>
      <c r="BP46" s="231"/>
      <c r="BQ46" s="231"/>
      <c r="BR46" s="231"/>
      <c r="BS46" s="231"/>
      <c r="BT46" s="231"/>
      <c r="BU46" s="231"/>
      <c r="BV46" s="231"/>
      <c r="BW46" s="231"/>
      <c r="BX46" s="231"/>
      <c r="BY46" s="231"/>
      <c r="BZ46" s="232"/>
      <c r="CA46" s="152"/>
      <c r="CB46" s="152"/>
      <c r="CC46" s="152"/>
      <c r="CD46" s="152"/>
    </row>
    <row r="47" ht="15.0" customHeight="1">
      <c r="A47" s="152"/>
      <c r="B47" s="152"/>
      <c r="C47" s="219">
        <f>C45</f>
        <v>3</v>
      </c>
      <c r="D47" s="225" t="s">
        <v>145</v>
      </c>
      <c r="E47" s="226" t="s">
        <v>145</v>
      </c>
      <c r="I47" s="227" t="str">
        <f t="array" ref="I47">xlookup(xlookup(C47&amp;D47&amp;"Nationality",'Roster Info'!$A:$A&amp;'Roster Info'!$G:$G&amp;'Roster Info'!$D:$D,'Roster Info'!$E:$E,""),'Roster Info'!$K:$K,'Roster Info'!$L:$L,"")</f>
        <v/>
      </c>
      <c r="K47" s="228" t="str">
        <f t="array" ref="K47">xlookup(C47&amp;D47,'Roster Info'!$A:$A&amp;'Roster Info'!$G:$G,'Roster Info'!$F:$F,"")</f>
        <v/>
      </c>
      <c r="U47" s="229" t="str">
        <f t="array" ref="U47">xlookup(C47&amp;D47&amp;"Full Name",'Roster Info'!$A:$A&amp;'Roster Info'!$G:$G&amp;'Roster Info'!$D:$D,'Roster Info'!$E:$E,"")</f>
        <v/>
      </c>
      <c r="AE47" s="63" t="str">
        <f t="array" ref="AE47">if(xlookup(C47&amp;D47&amp;"Steam",'Roster Info'!$A:$A&amp;'Roster Info'!$G:$G&amp;'Roster Info'!$D:$D,'Roster Info'!$E:$E,"")="","-",hyperlink(xlookup(C47&amp;D47&amp;"Steam",'Roster Info'!$A:$A&amp;'Roster Info'!$G:$G&amp;'Roster Info'!$D:$D,'Roster Info'!$E:$E,""),"Steam"))</f>
        <v>-</v>
      </c>
      <c r="AH47" s="63" t="str">
        <f t="array" ref="AH47">if(xlookup(C47&amp;D47&amp;"HLTV",'Roster Info'!$A:$A&amp;'Roster Info'!$G:$G&amp;'Roster Info'!$D:$D,'Roster Info'!$E:$E,"")="","-",hyperlink(xlookup(C47&amp;D47&amp;"HLTV",'Roster Info'!$A:$A&amp;'Roster Info'!$G:$G&amp;'Roster Info'!$D:$D,'Roster Info'!$E:$E,""),"HLTV"))</f>
        <v>-</v>
      </c>
      <c r="AK47" s="63" t="str">
        <f t="array" ref="AK47">if(xlookup(C47&amp;D47&amp;"FaceIt",'Roster Info'!$A:$A&amp;'Roster Info'!$G:$G&amp;'Roster Info'!$D:$D,'Roster Info'!$E:$E,"")="","-",hyperlink(xlookup(C47&amp;D47&amp;"FaceIt",'Roster Info'!$A:$A&amp;'Roster Info'!$G:$G&amp;'Roster Info'!$D:$D,'Roster Info'!$E:$E,""),"FaceIt"))</f>
        <v>-</v>
      </c>
      <c r="AM47" s="61"/>
      <c r="AN47" s="152"/>
      <c r="AO47" s="152"/>
      <c r="AP47" s="219">
        <f>AP45</f>
        <v>4</v>
      </c>
      <c r="AQ47" s="225" t="s">
        <v>145</v>
      </c>
      <c r="AR47" s="226" t="s">
        <v>145</v>
      </c>
      <c r="AV47" s="227" t="str">
        <f t="array" ref="AV47">xlookup(xlookup(AP47&amp;AQ47&amp;"Nationality",'Roster Info'!$A:$A&amp;'Roster Info'!$G:$G&amp;'Roster Info'!$D:$D,'Roster Info'!$E:$E,""),'Roster Info'!$K:$K,'Roster Info'!$L:$L,"")</f>
        <v/>
      </c>
      <c r="AX47" s="228" t="str">
        <f t="array" ref="AX47">xlookup(AP47&amp;AQ47,'Roster Info'!$A:$A&amp;'Roster Info'!$G:$G,'Roster Info'!$F:$F,"")</f>
        <v/>
      </c>
      <c r="BH47" s="229" t="str">
        <f t="array" ref="BH47">xlookup(AP47&amp;AQ47&amp;"Full Name",'Roster Info'!$A:$A&amp;'Roster Info'!$G:$G&amp;'Roster Info'!$D:$D,'Roster Info'!$E:$E,"")</f>
        <v/>
      </c>
      <c r="BR47" s="63" t="str">
        <f t="array" ref="BR47">if(xlookup(AP47&amp;AQ47&amp;"Steam",'Roster Info'!$A:$A&amp;'Roster Info'!$G:$G&amp;'Roster Info'!$D:$D,'Roster Info'!$E:$E,"")="","-",hyperlink(xlookup(AP47&amp;AQ47&amp;"Steam",'Roster Info'!$A:$A&amp;'Roster Info'!$G:$G&amp;'Roster Info'!$D:$D,'Roster Info'!$E:$E,""),"Steam"))</f>
        <v>-</v>
      </c>
      <c r="BU47" s="63" t="str">
        <f t="array" ref="BU47">if(xlookup(AP47&amp;AQ47&amp;"HLTV",'Roster Info'!$A:$A&amp;'Roster Info'!$G:$G&amp;'Roster Info'!$D:$D,'Roster Info'!$E:$E,"")="","-",hyperlink(xlookup(AP47&amp;AQ47&amp;"HLTV",'Roster Info'!$A:$A&amp;'Roster Info'!$G:$G&amp;'Roster Info'!$D:$D,'Roster Info'!$E:$E,""),"HLTV"))</f>
        <v>-</v>
      </c>
      <c r="BX47" s="63" t="str">
        <f t="array" ref="BX47">if(xlookup(AP47&amp;AQ47&amp;"FaceIt",'Roster Info'!$A:$A&amp;'Roster Info'!$G:$G&amp;'Roster Info'!$D:$D,'Roster Info'!$E:$E,"")="","-",hyperlink(xlookup(AP47&amp;AQ47&amp;"FaceIt",'Roster Info'!$A:$A&amp;'Roster Info'!$G:$G&amp;'Roster Info'!$D:$D,'Roster Info'!$E:$E,""),"FaceIt"))</f>
        <v>-</v>
      </c>
      <c r="BZ47" s="61"/>
      <c r="CA47" s="152"/>
      <c r="CB47" s="152"/>
      <c r="CC47" s="152"/>
      <c r="CD47" s="152"/>
    </row>
    <row r="48" ht="15.0" customHeight="1">
      <c r="A48" s="152"/>
      <c r="B48" s="152"/>
      <c r="C48" s="219"/>
      <c r="D48" s="219"/>
      <c r="E48" s="101"/>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64"/>
      <c r="AN48" s="152"/>
      <c r="AO48" s="152"/>
      <c r="AP48" s="219"/>
      <c r="AQ48" s="219"/>
      <c r="AR48" s="101"/>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64"/>
      <c r="CA48" s="152"/>
      <c r="CB48" s="152"/>
      <c r="CC48" s="152"/>
      <c r="CD48" s="152"/>
    </row>
    <row r="49" ht="15.0" customHeight="1">
      <c r="A49" s="152"/>
      <c r="B49" s="152"/>
      <c r="C49" s="219"/>
      <c r="D49" s="219"/>
      <c r="E49" s="152"/>
      <c r="F49" s="152"/>
      <c r="G49" s="152"/>
      <c r="H49" s="152"/>
      <c r="I49" s="152"/>
      <c r="J49" s="152"/>
      <c r="K49" s="152"/>
      <c r="L49" s="152"/>
      <c r="M49" s="152"/>
      <c r="N49" s="152"/>
      <c r="O49" s="152"/>
      <c r="P49" s="152"/>
      <c r="Q49" s="152"/>
      <c r="R49" s="152"/>
      <c r="S49" s="152"/>
      <c r="T49" s="152"/>
      <c r="U49" s="152"/>
      <c r="V49" s="152"/>
      <c r="W49" s="152"/>
      <c r="X49" s="152"/>
      <c r="Y49" s="152"/>
      <c r="Z49" s="152"/>
      <c r="AA49" s="152"/>
      <c r="AB49" s="152"/>
      <c r="AC49" s="152"/>
      <c r="AD49" s="152"/>
      <c r="AE49" s="152"/>
      <c r="AF49" s="152"/>
      <c r="AG49" s="152"/>
      <c r="AH49" s="152"/>
      <c r="AI49" s="152"/>
      <c r="AJ49" s="152"/>
      <c r="AK49" s="152"/>
      <c r="AL49" s="152"/>
      <c r="AM49" s="152"/>
      <c r="AN49" s="152"/>
      <c r="AO49" s="152"/>
      <c r="AP49" s="219"/>
      <c r="AQ49" s="219"/>
      <c r="AR49" s="152"/>
      <c r="AS49" s="152"/>
      <c r="AT49" s="152"/>
      <c r="AU49" s="152"/>
      <c r="AV49" s="152"/>
      <c r="AW49" s="152"/>
      <c r="AX49" s="152"/>
      <c r="AY49" s="152"/>
      <c r="AZ49" s="152"/>
      <c r="BA49" s="152"/>
      <c r="BB49" s="152"/>
      <c r="BC49" s="152"/>
      <c r="BD49" s="152"/>
      <c r="BE49" s="152"/>
      <c r="BF49" s="152"/>
      <c r="BG49" s="152"/>
      <c r="BH49" s="152"/>
      <c r="BI49" s="152"/>
      <c r="BJ49" s="152"/>
      <c r="BK49" s="152"/>
      <c r="BL49" s="152"/>
      <c r="BM49" s="152"/>
      <c r="BN49" s="152"/>
      <c r="BO49" s="152"/>
      <c r="BP49" s="152"/>
      <c r="BQ49" s="152"/>
      <c r="BR49" s="152"/>
      <c r="BS49" s="152"/>
      <c r="BT49" s="152"/>
      <c r="BU49" s="152"/>
      <c r="BV49" s="152"/>
      <c r="BW49" s="152"/>
      <c r="BX49" s="152"/>
      <c r="BY49" s="152"/>
      <c r="BZ49" s="152"/>
      <c r="CA49" s="152"/>
      <c r="CB49" s="152"/>
      <c r="CC49" s="152"/>
      <c r="CD49" s="152"/>
    </row>
    <row r="50" ht="15.0" customHeight="1">
      <c r="A50" s="152"/>
      <c r="B50" s="152"/>
      <c r="C50" s="219"/>
      <c r="D50" s="219"/>
      <c r="E50" s="152"/>
      <c r="F50" s="152"/>
      <c r="G50" s="152"/>
      <c r="H50" s="152"/>
      <c r="I50" s="152"/>
      <c r="J50" s="152"/>
      <c r="K50" s="152"/>
      <c r="L50" s="152"/>
      <c r="M50" s="152"/>
      <c r="N50" s="152"/>
      <c r="O50" s="152"/>
      <c r="P50" s="152"/>
      <c r="Q50" s="152"/>
      <c r="R50" s="152"/>
      <c r="S50" s="152"/>
      <c r="T50" s="152"/>
      <c r="U50" s="152"/>
      <c r="V50" s="152"/>
      <c r="W50" s="152"/>
      <c r="X50" s="152"/>
      <c r="Y50" s="152"/>
      <c r="Z50" s="152"/>
      <c r="AA50" s="152"/>
      <c r="AB50" s="152"/>
      <c r="AC50" s="152"/>
      <c r="AD50" s="152"/>
      <c r="AE50" s="152"/>
      <c r="AF50" s="152"/>
      <c r="AG50" s="152"/>
      <c r="AH50" s="152"/>
      <c r="AI50" s="152"/>
      <c r="AJ50" s="152"/>
      <c r="AK50" s="152"/>
      <c r="AL50" s="152"/>
      <c r="AM50" s="152"/>
      <c r="AN50" s="152"/>
      <c r="AO50" s="152"/>
      <c r="AP50" s="219"/>
      <c r="AQ50" s="219"/>
      <c r="AR50" s="152"/>
      <c r="AS50" s="152"/>
      <c r="AT50" s="152"/>
      <c r="AU50" s="152"/>
      <c r="AV50" s="152"/>
      <c r="AW50" s="152"/>
      <c r="AX50" s="152"/>
      <c r="AY50" s="152"/>
      <c r="AZ50" s="152"/>
      <c r="BA50" s="152"/>
      <c r="BB50" s="152"/>
      <c r="BC50" s="152"/>
      <c r="BD50" s="152"/>
      <c r="BE50" s="152"/>
      <c r="BF50" s="152"/>
      <c r="BG50" s="152"/>
      <c r="BH50" s="152"/>
      <c r="BI50" s="152"/>
      <c r="BJ50" s="152"/>
      <c r="BK50" s="152"/>
      <c r="BL50" s="152"/>
      <c r="BM50" s="152"/>
      <c r="BN50" s="152"/>
      <c r="BO50" s="152"/>
      <c r="BP50" s="152"/>
      <c r="BQ50" s="152"/>
      <c r="BR50" s="152"/>
      <c r="BS50" s="152"/>
      <c r="BT50" s="152"/>
      <c r="BU50" s="152"/>
      <c r="BV50" s="152"/>
      <c r="BW50" s="152"/>
      <c r="BX50" s="152"/>
      <c r="BY50" s="152"/>
      <c r="BZ50" s="152"/>
      <c r="CA50" s="152"/>
      <c r="CB50" s="152"/>
      <c r="CC50" s="152"/>
      <c r="CD50" s="152"/>
    </row>
    <row r="51" ht="15.0" customHeight="1">
      <c r="A51" s="152"/>
      <c r="B51" s="152"/>
      <c r="C51" s="219"/>
      <c r="D51" s="219"/>
      <c r="E51" s="152"/>
      <c r="F51" s="152"/>
      <c r="G51" s="152"/>
      <c r="H51" s="152"/>
      <c r="I51" s="152"/>
      <c r="J51" s="152"/>
      <c r="K51" s="152"/>
      <c r="L51" s="152"/>
      <c r="M51" s="152"/>
      <c r="N51" s="152"/>
      <c r="O51" s="152"/>
      <c r="P51" s="152"/>
      <c r="Q51" s="152"/>
      <c r="R51" s="152"/>
      <c r="S51" s="152"/>
      <c r="T51" s="152"/>
      <c r="U51" s="152"/>
      <c r="V51" s="152"/>
      <c r="W51" s="152"/>
      <c r="X51" s="152"/>
      <c r="Y51" s="152"/>
      <c r="Z51" s="152"/>
      <c r="AA51" s="152"/>
      <c r="AB51" s="152"/>
      <c r="AC51" s="152"/>
      <c r="AD51" s="152"/>
      <c r="AE51" s="152"/>
      <c r="AF51" s="152"/>
      <c r="AG51" s="152"/>
      <c r="AH51" s="152"/>
      <c r="AI51" s="152"/>
      <c r="AJ51" s="152"/>
      <c r="AK51" s="152"/>
      <c r="AL51" s="152"/>
      <c r="AM51" s="152"/>
      <c r="AN51" s="152"/>
      <c r="AO51" s="152"/>
      <c r="AP51" s="219"/>
      <c r="AQ51" s="219"/>
      <c r="AR51" s="152"/>
      <c r="AS51" s="152"/>
      <c r="AT51" s="152"/>
      <c r="AU51" s="152"/>
      <c r="AV51" s="152"/>
      <c r="AW51" s="152"/>
      <c r="AX51" s="152"/>
      <c r="AY51" s="152"/>
      <c r="AZ51" s="152"/>
      <c r="BA51" s="152"/>
      <c r="BB51" s="152"/>
      <c r="BC51" s="152"/>
      <c r="BD51" s="152"/>
      <c r="BE51" s="152"/>
      <c r="BF51" s="152"/>
      <c r="BG51" s="152"/>
      <c r="BH51" s="152"/>
      <c r="BI51" s="152"/>
      <c r="BJ51" s="152"/>
      <c r="BK51" s="152"/>
      <c r="BL51" s="152"/>
      <c r="BM51" s="152"/>
      <c r="BN51" s="152"/>
      <c r="BO51" s="152"/>
      <c r="BP51" s="152"/>
      <c r="BQ51" s="152"/>
      <c r="BR51" s="152"/>
      <c r="BS51" s="152"/>
      <c r="BT51" s="152"/>
      <c r="BU51" s="152"/>
      <c r="BV51" s="152"/>
      <c r="BW51" s="152"/>
      <c r="BX51" s="152"/>
      <c r="BY51" s="152"/>
      <c r="BZ51" s="152"/>
      <c r="CA51" s="152"/>
      <c r="CB51" s="152"/>
      <c r="CC51" s="152"/>
      <c r="CD51" s="152"/>
    </row>
    <row r="52" ht="15.0" customHeight="1">
      <c r="A52" s="152"/>
      <c r="B52" s="152"/>
      <c r="C52" s="219"/>
      <c r="D52" s="219"/>
      <c r="E52" s="152"/>
      <c r="F52" s="152"/>
      <c r="G52" s="152"/>
      <c r="H52" s="152"/>
      <c r="I52" s="152"/>
      <c r="J52" s="152"/>
      <c r="K52" s="152"/>
      <c r="L52" s="152"/>
      <c r="M52" s="152"/>
      <c r="N52" s="152"/>
      <c r="O52" s="152"/>
      <c r="P52" s="152"/>
      <c r="Q52" s="152"/>
      <c r="R52" s="152"/>
      <c r="S52" s="152"/>
      <c r="T52" s="152"/>
      <c r="U52" s="152"/>
      <c r="V52" s="152"/>
      <c r="W52" s="152"/>
      <c r="X52" s="152"/>
      <c r="Y52" s="152"/>
      <c r="Z52" s="152"/>
      <c r="AA52" s="152"/>
      <c r="AB52" s="152"/>
      <c r="AC52" s="152"/>
      <c r="AD52" s="152"/>
      <c r="AE52" s="152"/>
      <c r="AF52" s="152"/>
      <c r="AG52" s="152"/>
      <c r="AH52" s="152"/>
      <c r="AI52" s="152"/>
      <c r="AJ52" s="152"/>
      <c r="AK52" s="152"/>
      <c r="AL52" s="152"/>
      <c r="AM52" s="152"/>
      <c r="AN52" s="152"/>
      <c r="AO52" s="152"/>
      <c r="AP52" s="219"/>
      <c r="AQ52" s="219"/>
      <c r="AR52" s="152"/>
      <c r="AS52" s="152"/>
      <c r="AT52" s="152"/>
      <c r="AU52" s="152"/>
      <c r="AV52" s="152"/>
      <c r="AW52" s="152"/>
      <c r="AX52" s="152"/>
      <c r="AY52" s="152"/>
      <c r="AZ52" s="152"/>
      <c r="BA52" s="152"/>
      <c r="BB52" s="152"/>
      <c r="BC52" s="152"/>
      <c r="BD52" s="152"/>
      <c r="BE52" s="152"/>
      <c r="BF52" s="152"/>
      <c r="BG52" s="152"/>
      <c r="BH52" s="152"/>
      <c r="BI52" s="152"/>
      <c r="BJ52" s="152"/>
      <c r="BK52" s="152"/>
      <c r="BL52" s="152"/>
      <c r="BM52" s="152"/>
      <c r="BN52" s="152"/>
      <c r="BO52" s="152"/>
      <c r="BP52" s="152"/>
      <c r="BQ52" s="152"/>
      <c r="BR52" s="152"/>
      <c r="BS52" s="152"/>
      <c r="BT52" s="152"/>
      <c r="BU52" s="152"/>
      <c r="BV52" s="152"/>
      <c r="BW52" s="152"/>
      <c r="BX52" s="152"/>
      <c r="BY52" s="152"/>
      <c r="BZ52" s="152"/>
      <c r="CA52" s="152"/>
      <c r="CB52" s="152"/>
      <c r="CC52" s="152"/>
      <c r="CD52" s="152"/>
    </row>
    <row r="53" ht="15.0" customHeight="1">
      <c r="A53" s="152"/>
      <c r="B53" s="152"/>
      <c r="C53" s="219"/>
      <c r="D53" s="219"/>
      <c r="E53" s="220" t="str">
        <f t="array" ref="E53">xlookup(M53,'Team Entry'!$A:$A,'Team Entry'!$B:$B,"")</f>
        <v/>
      </c>
      <c r="F53" s="58"/>
      <c r="G53" s="58"/>
      <c r="H53" s="58"/>
      <c r="I53" s="58"/>
      <c r="J53" s="58"/>
      <c r="K53" s="58"/>
      <c r="L53" s="58"/>
      <c r="M53" s="221" t="str">
        <f t="array" ref="M53">xlookup(C59,'Roster Info'!$A:$A,'Roster Info'!$B:$B,"")</f>
        <v>Team 1 (Group 2)</v>
      </c>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9"/>
      <c r="AN53" s="152"/>
      <c r="AO53" s="152"/>
      <c r="AP53" s="219"/>
      <c r="AQ53" s="219"/>
      <c r="AR53" s="220" t="str">
        <f t="array" ref="AR53">xlookup(AZ53,'Team Entry'!$A:$A,'Team Entry'!$B:$B,"")</f>
        <v/>
      </c>
      <c r="AS53" s="58"/>
      <c r="AT53" s="58"/>
      <c r="AU53" s="58"/>
      <c r="AV53" s="58"/>
      <c r="AW53" s="58"/>
      <c r="AX53" s="58"/>
      <c r="AY53" s="58"/>
      <c r="AZ53" s="221" t="str">
        <f t="array" ref="AZ53">xlookup(AP59,'Roster Info'!$A:$A,'Roster Info'!$B:$B,"")</f>
        <v>Team 2 (Group 2)</v>
      </c>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9"/>
      <c r="CA53" s="152"/>
      <c r="CB53" s="152"/>
      <c r="CC53" s="152"/>
      <c r="CD53" s="152"/>
    </row>
    <row r="54" ht="15.0" customHeight="1">
      <c r="A54" s="152"/>
      <c r="B54" s="152"/>
      <c r="C54" s="219"/>
      <c r="D54" s="219"/>
      <c r="E54" s="60"/>
      <c r="AM54" s="61"/>
      <c r="AN54" s="152"/>
      <c r="AO54" s="152"/>
      <c r="AP54" s="219"/>
      <c r="AQ54" s="219"/>
      <c r="AR54" s="60"/>
      <c r="BZ54" s="61"/>
      <c r="CA54" s="152"/>
      <c r="CB54" s="152"/>
      <c r="CC54" s="152"/>
      <c r="CD54" s="152"/>
    </row>
    <row r="55" ht="15.0" customHeight="1">
      <c r="A55" s="152"/>
      <c r="B55" s="152"/>
      <c r="C55" s="219"/>
      <c r="D55" s="219"/>
      <c r="E55" s="60"/>
      <c r="AM55" s="61"/>
      <c r="AN55" s="152"/>
      <c r="AO55" s="152"/>
      <c r="AP55" s="219"/>
      <c r="AQ55" s="219"/>
      <c r="AR55" s="60"/>
      <c r="BZ55" s="61"/>
      <c r="CA55" s="152"/>
      <c r="CB55" s="152"/>
      <c r="CC55" s="152"/>
      <c r="CD55" s="152"/>
    </row>
    <row r="56" ht="15.0" customHeight="1">
      <c r="A56" s="152"/>
      <c r="B56" s="152"/>
      <c r="C56" s="219"/>
      <c r="D56" s="219"/>
      <c r="E56" s="60"/>
      <c r="AM56" s="61"/>
      <c r="AN56" s="152"/>
      <c r="AO56" s="152"/>
      <c r="AP56" s="219"/>
      <c r="AQ56" s="219"/>
      <c r="AR56" s="60"/>
      <c r="BZ56" s="61"/>
      <c r="CA56" s="152"/>
      <c r="CB56" s="152"/>
      <c r="CC56" s="152"/>
      <c r="CD56" s="152"/>
    </row>
    <row r="57" ht="15.0" customHeight="1">
      <c r="A57" s="152"/>
      <c r="B57" s="152"/>
      <c r="C57" s="219"/>
      <c r="D57" s="219"/>
      <c r="E57" s="60"/>
      <c r="AM57" s="61"/>
      <c r="AN57" s="152"/>
      <c r="AO57" s="152"/>
      <c r="AP57" s="219"/>
      <c r="AQ57" s="219"/>
      <c r="AR57" s="60"/>
      <c r="BZ57" s="61"/>
      <c r="CA57" s="152"/>
      <c r="CB57" s="152"/>
      <c r="CC57" s="152"/>
      <c r="CD57" s="152"/>
    </row>
    <row r="58" ht="15.0" customHeight="1">
      <c r="A58" s="152"/>
      <c r="B58" s="152"/>
      <c r="C58" s="219"/>
      <c r="D58" s="219"/>
      <c r="E58" s="222"/>
      <c r="F58" s="223"/>
      <c r="G58" s="223"/>
      <c r="H58" s="223"/>
      <c r="I58" s="223"/>
      <c r="J58" s="223"/>
      <c r="K58" s="223"/>
      <c r="L58" s="223"/>
      <c r="M58" s="223"/>
      <c r="N58" s="223"/>
      <c r="O58" s="223"/>
      <c r="P58" s="223"/>
      <c r="Q58" s="223"/>
      <c r="R58" s="223"/>
      <c r="S58" s="223"/>
      <c r="T58" s="223"/>
      <c r="U58" s="223"/>
      <c r="V58" s="223"/>
      <c r="W58" s="223"/>
      <c r="X58" s="223"/>
      <c r="Y58" s="223"/>
      <c r="Z58" s="223"/>
      <c r="AA58" s="223"/>
      <c r="AB58" s="223"/>
      <c r="AC58" s="223"/>
      <c r="AD58" s="223"/>
      <c r="AE58" s="223"/>
      <c r="AF58" s="223"/>
      <c r="AG58" s="223"/>
      <c r="AH58" s="223"/>
      <c r="AI58" s="223"/>
      <c r="AJ58" s="223"/>
      <c r="AK58" s="223"/>
      <c r="AL58" s="223"/>
      <c r="AM58" s="224"/>
      <c r="AN58" s="152"/>
      <c r="AO58" s="152"/>
      <c r="AP58" s="219"/>
      <c r="AQ58" s="219"/>
      <c r="AR58" s="222"/>
      <c r="AS58" s="223"/>
      <c r="AT58" s="223"/>
      <c r="AU58" s="223"/>
      <c r="AV58" s="223"/>
      <c r="AW58" s="223"/>
      <c r="AX58" s="223"/>
      <c r="AY58" s="223"/>
      <c r="AZ58" s="223"/>
      <c r="BA58" s="223"/>
      <c r="BB58" s="223"/>
      <c r="BC58" s="223"/>
      <c r="BD58" s="223"/>
      <c r="BE58" s="223"/>
      <c r="BF58" s="223"/>
      <c r="BG58" s="223"/>
      <c r="BH58" s="223"/>
      <c r="BI58" s="223"/>
      <c r="BJ58" s="223"/>
      <c r="BK58" s="223"/>
      <c r="BL58" s="223"/>
      <c r="BM58" s="223"/>
      <c r="BN58" s="223"/>
      <c r="BO58" s="223"/>
      <c r="BP58" s="223"/>
      <c r="BQ58" s="223"/>
      <c r="BR58" s="223"/>
      <c r="BS58" s="223"/>
      <c r="BT58" s="223"/>
      <c r="BU58" s="223"/>
      <c r="BV58" s="223"/>
      <c r="BW58" s="223"/>
      <c r="BX58" s="223"/>
      <c r="BY58" s="223"/>
      <c r="BZ58" s="224"/>
      <c r="CA58" s="152"/>
      <c r="CB58" s="152"/>
      <c r="CC58" s="152"/>
      <c r="CD58" s="152"/>
    </row>
    <row r="59" ht="15.0" customHeight="1">
      <c r="A59" s="152"/>
      <c r="B59" s="152"/>
      <c r="C59" s="225">
        <f>AP35+1</f>
        <v>5</v>
      </c>
      <c r="D59" s="225" t="s">
        <v>109</v>
      </c>
      <c r="E59" s="226" t="s">
        <v>109</v>
      </c>
      <c r="I59" s="227" t="str">
        <f t="array" ref="I59">xlookup(xlookup(C59&amp;D59&amp;"Nationality",'Roster Info'!$A:$A&amp;'Roster Info'!$G:$G&amp;'Roster Info'!$D:$D,'Roster Info'!$E:$E,""),'Roster Info'!$K:$K,'Roster Info'!$L:$L,"")</f>
        <v/>
      </c>
      <c r="K59" s="228" t="str">
        <f t="array" ref="K59">xlookup(C59&amp;D59,'Roster Info'!$A:$A&amp;'Roster Info'!$G:$G,'Roster Info'!$F:$F,"")</f>
        <v/>
      </c>
      <c r="U59" s="229" t="str">
        <f t="array" ref="U59">xlookup(C59&amp;D59&amp;"Full Name",'Roster Info'!$A:$A&amp;'Roster Info'!$G:$G&amp;'Roster Info'!$D:$D,'Roster Info'!$E:$E,"")</f>
        <v/>
      </c>
      <c r="AE59" s="63" t="str">
        <f t="array" ref="AE59">if(xlookup(C59&amp;D59&amp;"Steam",'Roster Info'!$A:$A&amp;'Roster Info'!$G:$G&amp;'Roster Info'!$D:$D,'Roster Info'!$E:$E,"")="","-",hyperlink(xlookup(C59&amp;D59&amp;"Steam",'Roster Info'!$A:$A&amp;'Roster Info'!$G:$G&amp;'Roster Info'!$D:$D,'Roster Info'!$E:$E,""),"Steam"))</f>
        <v>-</v>
      </c>
      <c r="AH59" s="63" t="str">
        <f t="array" ref="AH59">if(xlookup(C59&amp;D59&amp;"HLTV",'Roster Info'!$A:$A&amp;'Roster Info'!$G:$G&amp;'Roster Info'!$D:$D,'Roster Info'!$E:$E,"")="","-",hyperlink(xlookup(C59&amp;D59&amp;"HLTV",'Roster Info'!$A:$A&amp;'Roster Info'!$G:$G&amp;'Roster Info'!$D:$D,'Roster Info'!$E:$E,""),"HLTV"))</f>
        <v>-</v>
      </c>
      <c r="AK59" s="63" t="str">
        <f t="array" ref="AK59">if(xlookup(C59&amp;D59&amp;"FaceIt",'Roster Info'!$A:$A&amp;'Roster Info'!$G:$G&amp;'Roster Info'!$D:$D,'Roster Info'!$E:$E,"")="","-",hyperlink(xlookup(C59&amp;D59&amp;"FaceIt",'Roster Info'!$A:$A&amp;'Roster Info'!$G:$G&amp;'Roster Info'!$D:$D,'Roster Info'!$E:$E,""),"FaceIt"))</f>
        <v>-</v>
      </c>
      <c r="AM59" s="61"/>
      <c r="AN59" s="152"/>
      <c r="AO59" s="152"/>
      <c r="AP59" s="225">
        <f>C59+1</f>
        <v>6</v>
      </c>
      <c r="AQ59" s="225" t="s">
        <v>109</v>
      </c>
      <c r="AR59" s="226" t="s">
        <v>109</v>
      </c>
      <c r="AV59" s="227" t="str">
        <f t="array" ref="AV59">xlookup(xlookup(AP59&amp;AQ59&amp;"Nationality",'Roster Info'!$A:$A&amp;'Roster Info'!$G:$G&amp;'Roster Info'!$D:$D,'Roster Info'!$E:$E,""),'Roster Info'!$K:$K,'Roster Info'!$L:$L,"")</f>
        <v/>
      </c>
      <c r="AX59" s="228" t="str">
        <f t="array" ref="AX59">xlookup(AP59&amp;AQ59,'Roster Info'!$A:$A&amp;'Roster Info'!$G:$G,'Roster Info'!$F:$F,"")</f>
        <v/>
      </c>
      <c r="BH59" s="229" t="str">
        <f t="array" ref="BH59">xlookup(AP59&amp;AQ59&amp;"Full Name",'Roster Info'!$A:$A&amp;'Roster Info'!$G:$G&amp;'Roster Info'!$D:$D,'Roster Info'!$E:$E,"")</f>
        <v/>
      </c>
      <c r="BR59" s="63" t="str">
        <f t="array" ref="BR59">if(xlookup(AP59&amp;AQ59&amp;"Steam",'Roster Info'!$A:$A&amp;'Roster Info'!$G:$G&amp;'Roster Info'!$D:$D,'Roster Info'!$E:$E,"")="","-",hyperlink(xlookup(AP59&amp;AQ59&amp;"Steam",'Roster Info'!$A:$A&amp;'Roster Info'!$G:$G&amp;'Roster Info'!$D:$D,'Roster Info'!$E:$E,""),"Steam"))</f>
        <v>-</v>
      </c>
      <c r="BU59" s="63" t="str">
        <f t="array" ref="BU59">if(xlookup(AP59&amp;AQ59&amp;"HLTV",'Roster Info'!$A:$A&amp;'Roster Info'!$G:$G&amp;'Roster Info'!$D:$D,'Roster Info'!$E:$E,"")="","-",hyperlink(xlookup(AP59&amp;AQ59&amp;"HLTV",'Roster Info'!$A:$A&amp;'Roster Info'!$G:$G&amp;'Roster Info'!$D:$D,'Roster Info'!$E:$E,""),"HLTV"))</f>
        <v>-</v>
      </c>
      <c r="BX59" s="63" t="str">
        <f t="array" ref="BX59">if(xlookup(AP59&amp;AQ59&amp;"FaceIt",'Roster Info'!$A:$A&amp;'Roster Info'!$G:$G&amp;'Roster Info'!$D:$D,'Roster Info'!$E:$E,"")="","-",hyperlink(xlookup(AP59&amp;AQ59&amp;"FaceIt",'Roster Info'!$A:$A&amp;'Roster Info'!$G:$G&amp;'Roster Info'!$D:$D,'Roster Info'!$E:$E,""),"FaceIt"))</f>
        <v>-</v>
      </c>
      <c r="BZ59" s="61"/>
      <c r="CA59" s="152"/>
      <c r="CB59" s="152"/>
      <c r="CC59" s="152"/>
      <c r="CD59" s="152"/>
    </row>
    <row r="60" ht="15.0" customHeight="1">
      <c r="A60" s="152"/>
      <c r="B60" s="152"/>
      <c r="C60" s="219"/>
      <c r="D60" s="219"/>
      <c r="E60" s="230"/>
      <c r="F60" s="231"/>
      <c r="G60" s="231"/>
      <c r="H60" s="231"/>
      <c r="I60" s="231"/>
      <c r="J60" s="231"/>
      <c r="K60" s="231"/>
      <c r="L60" s="231"/>
      <c r="M60" s="231"/>
      <c r="N60" s="231"/>
      <c r="O60" s="231"/>
      <c r="P60" s="231"/>
      <c r="Q60" s="231"/>
      <c r="R60" s="231"/>
      <c r="S60" s="231"/>
      <c r="T60" s="231"/>
      <c r="U60" s="231"/>
      <c r="V60" s="231"/>
      <c r="W60" s="231"/>
      <c r="X60" s="231"/>
      <c r="Y60" s="231"/>
      <c r="Z60" s="231"/>
      <c r="AA60" s="231"/>
      <c r="AB60" s="231"/>
      <c r="AC60" s="231"/>
      <c r="AD60" s="231"/>
      <c r="AE60" s="231"/>
      <c r="AF60" s="231"/>
      <c r="AG60" s="231"/>
      <c r="AH60" s="231"/>
      <c r="AI60" s="231"/>
      <c r="AJ60" s="231"/>
      <c r="AK60" s="231"/>
      <c r="AL60" s="231"/>
      <c r="AM60" s="232"/>
      <c r="AN60" s="152"/>
      <c r="AO60" s="152"/>
      <c r="AP60" s="219"/>
      <c r="AQ60" s="219"/>
      <c r="AR60" s="230"/>
      <c r="AS60" s="231"/>
      <c r="AT60" s="231"/>
      <c r="AU60" s="231"/>
      <c r="AV60" s="231"/>
      <c r="AW60" s="231"/>
      <c r="AX60" s="231"/>
      <c r="AY60" s="231"/>
      <c r="AZ60" s="231"/>
      <c r="BA60" s="231"/>
      <c r="BB60" s="231"/>
      <c r="BC60" s="231"/>
      <c r="BD60" s="231"/>
      <c r="BE60" s="231"/>
      <c r="BF60" s="231"/>
      <c r="BG60" s="231"/>
      <c r="BH60" s="231"/>
      <c r="BI60" s="231"/>
      <c r="BJ60" s="231"/>
      <c r="BK60" s="231"/>
      <c r="BL60" s="231"/>
      <c r="BM60" s="231"/>
      <c r="BN60" s="231"/>
      <c r="BO60" s="231"/>
      <c r="BP60" s="231"/>
      <c r="BQ60" s="231"/>
      <c r="BR60" s="231"/>
      <c r="BS60" s="231"/>
      <c r="BT60" s="231"/>
      <c r="BU60" s="231"/>
      <c r="BV60" s="231"/>
      <c r="BW60" s="231"/>
      <c r="BX60" s="231"/>
      <c r="BY60" s="231"/>
      <c r="BZ60" s="232"/>
      <c r="CA60" s="152"/>
      <c r="CB60" s="152"/>
      <c r="CC60" s="152"/>
      <c r="CD60" s="152"/>
    </row>
    <row r="61" ht="15.0" customHeight="1">
      <c r="A61" s="152"/>
      <c r="B61" s="152"/>
      <c r="C61" s="219">
        <f>C59</f>
        <v>5</v>
      </c>
      <c r="D61" s="225" t="s">
        <v>115</v>
      </c>
      <c r="E61" s="226" t="s">
        <v>115</v>
      </c>
      <c r="I61" s="227" t="str">
        <f t="array" ref="I61">xlookup(xlookup(C61&amp;D61&amp;"Nationality",'Roster Info'!$A:$A&amp;'Roster Info'!$G:$G&amp;'Roster Info'!$D:$D,'Roster Info'!$E:$E,""),'Roster Info'!$K:$K,'Roster Info'!$L:$L,"")</f>
        <v/>
      </c>
      <c r="K61" s="228" t="str">
        <f t="array" ref="K61">xlookup(C61&amp;D61,'Roster Info'!$A:$A&amp;'Roster Info'!$G:$G,'Roster Info'!$F:$F,"")</f>
        <v/>
      </c>
      <c r="U61" s="229" t="str">
        <f t="array" ref="U61">xlookup(C61&amp;D61&amp;"Full Name",'Roster Info'!$A:$A&amp;'Roster Info'!$G:$G&amp;'Roster Info'!$D:$D,'Roster Info'!$E:$E,"")</f>
        <v/>
      </c>
      <c r="AE61" s="63" t="str">
        <f t="array" ref="AE61">if(xlookup(C61&amp;D61&amp;"Steam",'Roster Info'!$A:$A&amp;'Roster Info'!$G:$G&amp;'Roster Info'!$D:$D,'Roster Info'!$E:$E,"")="","-",hyperlink(xlookup(C61&amp;D61&amp;"Steam",'Roster Info'!$A:$A&amp;'Roster Info'!$G:$G&amp;'Roster Info'!$D:$D,'Roster Info'!$E:$E,""),"Steam"))</f>
        <v>-</v>
      </c>
      <c r="AH61" s="63" t="str">
        <f t="array" ref="AH61">if(xlookup(C61&amp;D61&amp;"HLTV",'Roster Info'!$A:$A&amp;'Roster Info'!$G:$G&amp;'Roster Info'!$D:$D,'Roster Info'!$E:$E,"")="","-",hyperlink(xlookup(C61&amp;D61&amp;"HLTV",'Roster Info'!$A:$A&amp;'Roster Info'!$G:$G&amp;'Roster Info'!$D:$D,'Roster Info'!$E:$E,""),"HLTV"))</f>
        <v>-</v>
      </c>
      <c r="AK61" s="63" t="str">
        <f t="array" ref="AK61">if(xlookup(C61&amp;D61&amp;"FaceIt",'Roster Info'!$A:$A&amp;'Roster Info'!$G:$G&amp;'Roster Info'!$D:$D,'Roster Info'!$E:$E,"")="","-",hyperlink(xlookup(C61&amp;D61&amp;"FaceIt",'Roster Info'!$A:$A&amp;'Roster Info'!$G:$G&amp;'Roster Info'!$D:$D,'Roster Info'!$E:$E,""),"FaceIt"))</f>
        <v>-</v>
      </c>
      <c r="AM61" s="61"/>
      <c r="AN61" s="152"/>
      <c r="AO61" s="152"/>
      <c r="AP61" s="219">
        <f>AP59</f>
        <v>6</v>
      </c>
      <c r="AQ61" s="225" t="s">
        <v>115</v>
      </c>
      <c r="AR61" s="226" t="s">
        <v>115</v>
      </c>
      <c r="AV61" s="227" t="str">
        <f t="array" ref="AV61">xlookup(xlookup(AP61&amp;AQ61&amp;"Nationality",'Roster Info'!$A:$A&amp;'Roster Info'!$G:$G&amp;'Roster Info'!$D:$D,'Roster Info'!$E:$E,""),'Roster Info'!$K:$K,'Roster Info'!$L:$L,"")</f>
        <v/>
      </c>
      <c r="AX61" s="228" t="str">
        <f t="array" ref="AX61">xlookup(AP61&amp;AQ61,'Roster Info'!$A:$A&amp;'Roster Info'!$G:$G,'Roster Info'!$F:$F,"")</f>
        <v/>
      </c>
      <c r="BH61" s="229" t="str">
        <f t="array" ref="BH61">xlookup(AP61&amp;AQ61&amp;"Full Name",'Roster Info'!$A:$A&amp;'Roster Info'!$G:$G&amp;'Roster Info'!$D:$D,'Roster Info'!$E:$E,"")</f>
        <v/>
      </c>
      <c r="BR61" s="63" t="str">
        <f t="array" ref="BR61">if(xlookup(AP61&amp;AQ61&amp;"Steam",'Roster Info'!$A:$A&amp;'Roster Info'!$G:$G&amp;'Roster Info'!$D:$D,'Roster Info'!$E:$E,"")="","-",hyperlink(xlookup(AP61&amp;AQ61&amp;"Steam",'Roster Info'!$A:$A&amp;'Roster Info'!$G:$G&amp;'Roster Info'!$D:$D,'Roster Info'!$E:$E,""),"Steam"))</f>
        <v>-</v>
      </c>
      <c r="BU61" s="63" t="str">
        <f t="array" ref="BU61">if(xlookup(AP61&amp;AQ61&amp;"HLTV",'Roster Info'!$A:$A&amp;'Roster Info'!$G:$G&amp;'Roster Info'!$D:$D,'Roster Info'!$E:$E,"")="","-",hyperlink(xlookup(AP61&amp;AQ61&amp;"HLTV",'Roster Info'!$A:$A&amp;'Roster Info'!$G:$G&amp;'Roster Info'!$D:$D,'Roster Info'!$E:$E,""),"HLTV"))</f>
        <v>-</v>
      </c>
      <c r="BX61" s="63" t="str">
        <f t="array" ref="BX61">if(xlookup(AP61&amp;AQ61&amp;"FaceIt",'Roster Info'!$A:$A&amp;'Roster Info'!$G:$G&amp;'Roster Info'!$D:$D,'Roster Info'!$E:$E,"")="","-",hyperlink(xlookup(AP61&amp;AQ61&amp;"FaceIt",'Roster Info'!$A:$A&amp;'Roster Info'!$G:$G&amp;'Roster Info'!$D:$D,'Roster Info'!$E:$E,""),"FaceIt"))</f>
        <v>-</v>
      </c>
      <c r="BZ61" s="61"/>
      <c r="CA61" s="152"/>
      <c r="CB61" s="152"/>
      <c r="CC61" s="152"/>
      <c r="CD61" s="152"/>
    </row>
    <row r="62" ht="15.0" customHeight="1">
      <c r="A62" s="152"/>
      <c r="B62" s="152"/>
      <c r="C62" s="219"/>
      <c r="D62" s="219"/>
      <c r="E62" s="230"/>
      <c r="F62" s="231"/>
      <c r="G62" s="231"/>
      <c r="H62" s="231"/>
      <c r="I62" s="231"/>
      <c r="J62" s="231"/>
      <c r="K62" s="231"/>
      <c r="L62" s="231"/>
      <c r="M62" s="231"/>
      <c r="N62" s="231"/>
      <c r="O62" s="231"/>
      <c r="P62" s="231"/>
      <c r="Q62" s="231"/>
      <c r="R62" s="231"/>
      <c r="S62" s="231"/>
      <c r="T62" s="231"/>
      <c r="U62" s="231"/>
      <c r="V62" s="231"/>
      <c r="W62" s="231"/>
      <c r="X62" s="231"/>
      <c r="Y62" s="231"/>
      <c r="Z62" s="231"/>
      <c r="AA62" s="231"/>
      <c r="AB62" s="231"/>
      <c r="AC62" s="231"/>
      <c r="AD62" s="231"/>
      <c r="AE62" s="231"/>
      <c r="AF62" s="231"/>
      <c r="AG62" s="231"/>
      <c r="AH62" s="231"/>
      <c r="AI62" s="231"/>
      <c r="AJ62" s="231"/>
      <c r="AK62" s="231"/>
      <c r="AL62" s="231"/>
      <c r="AM62" s="232"/>
      <c r="AN62" s="152"/>
      <c r="AO62" s="152"/>
      <c r="AP62" s="219"/>
      <c r="AQ62" s="219"/>
      <c r="AR62" s="230"/>
      <c r="AS62" s="231"/>
      <c r="AT62" s="231"/>
      <c r="AU62" s="231"/>
      <c r="AV62" s="231"/>
      <c r="AW62" s="231"/>
      <c r="AX62" s="231"/>
      <c r="AY62" s="231"/>
      <c r="AZ62" s="231"/>
      <c r="BA62" s="231"/>
      <c r="BB62" s="231"/>
      <c r="BC62" s="231"/>
      <c r="BD62" s="231"/>
      <c r="BE62" s="231"/>
      <c r="BF62" s="231"/>
      <c r="BG62" s="231"/>
      <c r="BH62" s="231"/>
      <c r="BI62" s="231"/>
      <c r="BJ62" s="231"/>
      <c r="BK62" s="231"/>
      <c r="BL62" s="231"/>
      <c r="BM62" s="231"/>
      <c r="BN62" s="231"/>
      <c r="BO62" s="231"/>
      <c r="BP62" s="231"/>
      <c r="BQ62" s="231"/>
      <c r="BR62" s="231"/>
      <c r="BS62" s="231"/>
      <c r="BT62" s="231"/>
      <c r="BU62" s="231"/>
      <c r="BV62" s="231"/>
      <c r="BW62" s="231"/>
      <c r="BX62" s="231"/>
      <c r="BY62" s="231"/>
      <c r="BZ62" s="232"/>
      <c r="CA62" s="152"/>
      <c r="CB62" s="152"/>
      <c r="CC62" s="152"/>
      <c r="CD62" s="152"/>
    </row>
    <row r="63" ht="15.0" customHeight="1">
      <c r="A63" s="152"/>
      <c r="B63" s="152"/>
      <c r="C63" s="219">
        <f>C61</f>
        <v>5</v>
      </c>
      <c r="D63" s="225" t="s">
        <v>121</v>
      </c>
      <c r="E63" s="226" t="s">
        <v>121</v>
      </c>
      <c r="I63" s="227" t="str">
        <f t="array" ref="I63">xlookup(xlookup(C63&amp;D63&amp;"Nationality",'Roster Info'!$A:$A&amp;'Roster Info'!$G:$G&amp;'Roster Info'!$D:$D,'Roster Info'!$E:$E,""),'Roster Info'!$K:$K,'Roster Info'!$L:$L,"")</f>
        <v/>
      </c>
      <c r="K63" s="228" t="str">
        <f t="array" ref="K63">xlookup(C63&amp;D63,'Roster Info'!$A:$A&amp;'Roster Info'!$G:$G,'Roster Info'!$F:$F,"")</f>
        <v/>
      </c>
      <c r="U63" s="229" t="str">
        <f t="array" ref="U63">xlookup(C63&amp;D63&amp;"Full Name",'Roster Info'!$A:$A&amp;'Roster Info'!$G:$G&amp;'Roster Info'!$D:$D,'Roster Info'!$E:$E,"")</f>
        <v/>
      </c>
      <c r="AE63" s="63" t="str">
        <f t="array" ref="AE63">if(xlookup(C63&amp;D63&amp;"Steam",'Roster Info'!$A:$A&amp;'Roster Info'!$G:$G&amp;'Roster Info'!$D:$D,'Roster Info'!$E:$E,"")="","-",hyperlink(xlookup(C63&amp;D63&amp;"Steam",'Roster Info'!$A:$A&amp;'Roster Info'!$G:$G&amp;'Roster Info'!$D:$D,'Roster Info'!$E:$E,""),"Steam"))</f>
        <v>-</v>
      </c>
      <c r="AH63" s="63" t="str">
        <f t="array" ref="AH63">if(xlookup(C63&amp;D63&amp;"HLTV",'Roster Info'!$A:$A&amp;'Roster Info'!$G:$G&amp;'Roster Info'!$D:$D,'Roster Info'!$E:$E,"")="","-",hyperlink(xlookup(C63&amp;D63&amp;"HLTV",'Roster Info'!$A:$A&amp;'Roster Info'!$G:$G&amp;'Roster Info'!$D:$D,'Roster Info'!$E:$E,""),"HLTV"))</f>
        <v>-</v>
      </c>
      <c r="AK63" s="63" t="str">
        <f t="array" ref="AK63">if(xlookup(C63&amp;D63&amp;"FaceIt",'Roster Info'!$A:$A&amp;'Roster Info'!$G:$G&amp;'Roster Info'!$D:$D,'Roster Info'!$E:$E,"")="","-",hyperlink(xlookup(C63&amp;D63&amp;"FaceIt",'Roster Info'!$A:$A&amp;'Roster Info'!$G:$G&amp;'Roster Info'!$D:$D,'Roster Info'!$E:$E,""),"FaceIt"))</f>
        <v>-</v>
      </c>
      <c r="AM63" s="61"/>
      <c r="AN63" s="152"/>
      <c r="AO63" s="152"/>
      <c r="AP63" s="219">
        <f>AP61</f>
        <v>6</v>
      </c>
      <c r="AQ63" s="225" t="s">
        <v>121</v>
      </c>
      <c r="AR63" s="226" t="s">
        <v>121</v>
      </c>
      <c r="AV63" s="227" t="str">
        <f t="array" ref="AV63">xlookup(xlookup(AP63&amp;AQ63&amp;"Nationality",'Roster Info'!$A:$A&amp;'Roster Info'!$G:$G&amp;'Roster Info'!$D:$D,'Roster Info'!$E:$E,""),'Roster Info'!$K:$K,'Roster Info'!$L:$L,"")</f>
        <v/>
      </c>
      <c r="AX63" s="228" t="str">
        <f t="array" ref="AX63">xlookup(AP63&amp;AQ63,'Roster Info'!$A:$A&amp;'Roster Info'!$G:$G,'Roster Info'!$F:$F,"")</f>
        <v/>
      </c>
      <c r="BH63" s="229" t="str">
        <f t="array" ref="BH63">xlookup(AP63&amp;AQ63&amp;"Full Name",'Roster Info'!$A:$A&amp;'Roster Info'!$G:$G&amp;'Roster Info'!$D:$D,'Roster Info'!$E:$E,"")</f>
        <v/>
      </c>
      <c r="BR63" s="63" t="str">
        <f t="array" ref="BR63">if(xlookup(AP63&amp;AQ63&amp;"Steam",'Roster Info'!$A:$A&amp;'Roster Info'!$G:$G&amp;'Roster Info'!$D:$D,'Roster Info'!$E:$E,"")="","-",hyperlink(xlookup(AP63&amp;AQ63&amp;"Steam",'Roster Info'!$A:$A&amp;'Roster Info'!$G:$G&amp;'Roster Info'!$D:$D,'Roster Info'!$E:$E,""),"Steam"))</f>
        <v>-</v>
      </c>
      <c r="BU63" s="63" t="str">
        <f t="array" ref="BU63">if(xlookup(AP63&amp;AQ63&amp;"HLTV",'Roster Info'!$A:$A&amp;'Roster Info'!$G:$G&amp;'Roster Info'!$D:$D,'Roster Info'!$E:$E,"")="","-",hyperlink(xlookup(AP63&amp;AQ63&amp;"HLTV",'Roster Info'!$A:$A&amp;'Roster Info'!$G:$G&amp;'Roster Info'!$D:$D,'Roster Info'!$E:$E,""),"HLTV"))</f>
        <v>-</v>
      </c>
      <c r="BX63" s="63" t="str">
        <f t="array" ref="BX63">if(xlookup(AP63&amp;AQ63&amp;"FaceIt",'Roster Info'!$A:$A&amp;'Roster Info'!$G:$G&amp;'Roster Info'!$D:$D,'Roster Info'!$E:$E,"")="","-",hyperlink(xlookup(AP63&amp;AQ63&amp;"FaceIt",'Roster Info'!$A:$A&amp;'Roster Info'!$G:$G&amp;'Roster Info'!$D:$D,'Roster Info'!$E:$E,""),"FaceIt"))</f>
        <v>-</v>
      </c>
      <c r="BZ63" s="61"/>
      <c r="CA63" s="152"/>
      <c r="CB63" s="152"/>
      <c r="CC63" s="152"/>
      <c r="CD63" s="152"/>
    </row>
    <row r="64" ht="15.0" customHeight="1">
      <c r="A64" s="152"/>
      <c r="B64" s="152"/>
      <c r="C64" s="219"/>
      <c r="D64" s="219"/>
      <c r="E64" s="230"/>
      <c r="F64" s="231"/>
      <c r="G64" s="231"/>
      <c r="H64" s="231"/>
      <c r="I64" s="231"/>
      <c r="J64" s="231"/>
      <c r="K64" s="231"/>
      <c r="L64" s="231"/>
      <c r="M64" s="231"/>
      <c r="N64" s="231"/>
      <c r="O64" s="231"/>
      <c r="P64" s="231"/>
      <c r="Q64" s="231"/>
      <c r="R64" s="231"/>
      <c r="S64" s="231"/>
      <c r="T64" s="231"/>
      <c r="U64" s="231"/>
      <c r="V64" s="231"/>
      <c r="W64" s="231"/>
      <c r="X64" s="231"/>
      <c r="Y64" s="231"/>
      <c r="Z64" s="231"/>
      <c r="AA64" s="231"/>
      <c r="AB64" s="231"/>
      <c r="AC64" s="231"/>
      <c r="AD64" s="231"/>
      <c r="AE64" s="231"/>
      <c r="AF64" s="231"/>
      <c r="AG64" s="231"/>
      <c r="AH64" s="231"/>
      <c r="AI64" s="231"/>
      <c r="AJ64" s="231"/>
      <c r="AK64" s="231"/>
      <c r="AL64" s="231"/>
      <c r="AM64" s="232"/>
      <c r="AN64" s="152"/>
      <c r="AO64" s="152"/>
      <c r="AP64" s="219"/>
      <c r="AQ64" s="219"/>
      <c r="AR64" s="230"/>
      <c r="AS64" s="231"/>
      <c r="AT64" s="231"/>
      <c r="AU64" s="231"/>
      <c r="AV64" s="231"/>
      <c r="AW64" s="231"/>
      <c r="AX64" s="231"/>
      <c r="AY64" s="231"/>
      <c r="AZ64" s="231"/>
      <c r="BA64" s="231"/>
      <c r="BB64" s="231"/>
      <c r="BC64" s="231"/>
      <c r="BD64" s="231"/>
      <c r="BE64" s="231"/>
      <c r="BF64" s="231"/>
      <c r="BG64" s="231"/>
      <c r="BH64" s="231"/>
      <c r="BI64" s="231"/>
      <c r="BJ64" s="231"/>
      <c r="BK64" s="231"/>
      <c r="BL64" s="231"/>
      <c r="BM64" s="231"/>
      <c r="BN64" s="231"/>
      <c r="BO64" s="231"/>
      <c r="BP64" s="231"/>
      <c r="BQ64" s="231"/>
      <c r="BR64" s="231"/>
      <c r="BS64" s="231"/>
      <c r="BT64" s="231"/>
      <c r="BU64" s="231"/>
      <c r="BV64" s="231"/>
      <c r="BW64" s="231"/>
      <c r="BX64" s="231"/>
      <c r="BY64" s="231"/>
      <c r="BZ64" s="232"/>
      <c r="CA64" s="152"/>
      <c r="CB64" s="152"/>
      <c r="CC64" s="152"/>
      <c r="CD64" s="152"/>
    </row>
    <row r="65" ht="15.0" customHeight="1">
      <c r="A65" s="152"/>
      <c r="B65" s="152"/>
      <c r="C65" s="219">
        <f>C63</f>
        <v>5</v>
      </c>
      <c r="D65" s="225" t="s">
        <v>127</v>
      </c>
      <c r="E65" s="226" t="s">
        <v>127</v>
      </c>
      <c r="I65" s="227" t="str">
        <f t="array" ref="I65">xlookup(xlookup(C65&amp;D65&amp;"Nationality",'Roster Info'!$A:$A&amp;'Roster Info'!$G:$G&amp;'Roster Info'!$D:$D,'Roster Info'!$E:$E,""),'Roster Info'!$K:$K,'Roster Info'!$L:$L,"")</f>
        <v/>
      </c>
      <c r="K65" s="228" t="str">
        <f t="array" ref="K65">xlookup(C65&amp;D65,'Roster Info'!$A:$A&amp;'Roster Info'!$G:$G,'Roster Info'!$F:$F,"")</f>
        <v/>
      </c>
      <c r="U65" s="229" t="str">
        <f t="array" ref="U65">xlookup(C65&amp;D65&amp;"Full Name",'Roster Info'!$A:$A&amp;'Roster Info'!$G:$G&amp;'Roster Info'!$D:$D,'Roster Info'!$E:$E,"")</f>
        <v/>
      </c>
      <c r="AE65" s="63" t="str">
        <f t="array" ref="AE65">if(xlookup(C65&amp;D65&amp;"Steam",'Roster Info'!$A:$A&amp;'Roster Info'!$G:$G&amp;'Roster Info'!$D:$D,'Roster Info'!$E:$E,"")="","-",hyperlink(xlookup(C65&amp;D65&amp;"Steam",'Roster Info'!$A:$A&amp;'Roster Info'!$G:$G&amp;'Roster Info'!$D:$D,'Roster Info'!$E:$E,""),"Steam"))</f>
        <v>-</v>
      </c>
      <c r="AH65" s="63" t="str">
        <f t="array" ref="AH65">if(xlookup(C65&amp;D65&amp;"HLTV",'Roster Info'!$A:$A&amp;'Roster Info'!$G:$G&amp;'Roster Info'!$D:$D,'Roster Info'!$E:$E,"")="","-",hyperlink(xlookup(C65&amp;D65&amp;"HLTV",'Roster Info'!$A:$A&amp;'Roster Info'!$G:$G&amp;'Roster Info'!$D:$D,'Roster Info'!$E:$E,""),"HLTV"))</f>
        <v>-</v>
      </c>
      <c r="AK65" s="63" t="str">
        <f t="array" ref="AK65">if(xlookup(C65&amp;D65&amp;"FaceIt",'Roster Info'!$A:$A&amp;'Roster Info'!$G:$G&amp;'Roster Info'!$D:$D,'Roster Info'!$E:$E,"")="","-",hyperlink(xlookup(C65&amp;D65&amp;"FaceIt",'Roster Info'!$A:$A&amp;'Roster Info'!$G:$G&amp;'Roster Info'!$D:$D,'Roster Info'!$E:$E,""),"FaceIt"))</f>
        <v>-</v>
      </c>
      <c r="AM65" s="61"/>
      <c r="AN65" s="152"/>
      <c r="AO65" s="152"/>
      <c r="AP65" s="219">
        <f>AP63</f>
        <v>6</v>
      </c>
      <c r="AQ65" s="225" t="s">
        <v>127</v>
      </c>
      <c r="AR65" s="226" t="s">
        <v>127</v>
      </c>
      <c r="AV65" s="227" t="str">
        <f t="array" ref="AV65">xlookup(xlookup(AP65&amp;AQ65&amp;"Nationality",'Roster Info'!$A:$A&amp;'Roster Info'!$G:$G&amp;'Roster Info'!$D:$D,'Roster Info'!$E:$E,""),'Roster Info'!$K:$K,'Roster Info'!$L:$L,"")</f>
        <v/>
      </c>
      <c r="AX65" s="228" t="str">
        <f t="array" ref="AX65">xlookup(AP65&amp;AQ65,'Roster Info'!$A:$A&amp;'Roster Info'!$G:$G,'Roster Info'!$F:$F,"")</f>
        <v/>
      </c>
      <c r="BH65" s="229" t="str">
        <f t="array" ref="BH65">xlookup(AP65&amp;AQ65&amp;"Full Name",'Roster Info'!$A:$A&amp;'Roster Info'!$G:$G&amp;'Roster Info'!$D:$D,'Roster Info'!$E:$E,"")</f>
        <v/>
      </c>
      <c r="BR65" s="63" t="str">
        <f t="array" ref="BR65">if(xlookup(AP65&amp;AQ65&amp;"Steam",'Roster Info'!$A:$A&amp;'Roster Info'!$G:$G&amp;'Roster Info'!$D:$D,'Roster Info'!$E:$E,"")="","-",hyperlink(xlookup(AP65&amp;AQ65&amp;"Steam",'Roster Info'!$A:$A&amp;'Roster Info'!$G:$G&amp;'Roster Info'!$D:$D,'Roster Info'!$E:$E,""),"Steam"))</f>
        <v>-</v>
      </c>
      <c r="BU65" s="63" t="str">
        <f t="array" ref="BU65">if(xlookup(AP65&amp;AQ65&amp;"HLTV",'Roster Info'!$A:$A&amp;'Roster Info'!$G:$G&amp;'Roster Info'!$D:$D,'Roster Info'!$E:$E,"")="","-",hyperlink(xlookup(AP65&amp;AQ65&amp;"HLTV",'Roster Info'!$A:$A&amp;'Roster Info'!$G:$G&amp;'Roster Info'!$D:$D,'Roster Info'!$E:$E,""),"HLTV"))</f>
        <v>-</v>
      </c>
      <c r="BX65" s="63" t="str">
        <f t="array" ref="BX65">if(xlookup(AP65&amp;AQ65&amp;"FaceIt",'Roster Info'!$A:$A&amp;'Roster Info'!$G:$G&amp;'Roster Info'!$D:$D,'Roster Info'!$E:$E,"")="","-",hyperlink(xlookup(AP65&amp;AQ65&amp;"FaceIt",'Roster Info'!$A:$A&amp;'Roster Info'!$G:$G&amp;'Roster Info'!$D:$D,'Roster Info'!$E:$E,""),"FaceIt"))</f>
        <v>-</v>
      </c>
      <c r="BZ65" s="61"/>
      <c r="CA65" s="152"/>
      <c r="CB65" s="152"/>
      <c r="CC65" s="152"/>
      <c r="CD65" s="152"/>
    </row>
    <row r="66" ht="15.0" customHeight="1">
      <c r="A66" s="152"/>
      <c r="B66" s="152"/>
      <c r="C66" s="219"/>
      <c r="D66" s="219"/>
      <c r="E66" s="230"/>
      <c r="F66" s="231"/>
      <c r="G66" s="231"/>
      <c r="H66" s="231"/>
      <c r="I66" s="231"/>
      <c r="J66" s="231"/>
      <c r="K66" s="231"/>
      <c r="L66" s="231"/>
      <c r="M66" s="231"/>
      <c r="N66" s="231"/>
      <c r="O66" s="231"/>
      <c r="P66" s="231"/>
      <c r="Q66" s="231"/>
      <c r="R66" s="231"/>
      <c r="S66" s="231"/>
      <c r="T66" s="231"/>
      <c r="U66" s="231"/>
      <c r="V66" s="231"/>
      <c r="W66" s="231"/>
      <c r="X66" s="231"/>
      <c r="Y66" s="231"/>
      <c r="Z66" s="231"/>
      <c r="AA66" s="231"/>
      <c r="AB66" s="231"/>
      <c r="AC66" s="231"/>
      <c r="AD66" s="231"/>
      <c r="AE66" s="231"/>
      <c r="AF66" s="231"/>
      <c r="AG66" s="231"/>
      <c r="AH66" s="231"/>
      <c r="AI66" s="231"/>
      <c r="AJ66" s="231"/>
      <c r="AK66" s="231"/>
      <c r="AL66" s="231"/>
      <c r="AM66" s="232"/>
      <c r="AN66" s="152"/>
      <c r="AO66" s="152"/>
      <c r="AP66" s="219"/>
      <c r="AQ66" s="219"/>
      <c r="AR66" s="230"/>
      <c r="AS66" s="231"/>
      <c r="AT66" s="231"/>
      <c r="AU66" s="231"/>
      <c r="AV66" s="231"/>
      <c r="AW66" s="231"/>
      <c r="AX66" s="231"/>
      <c r="AY66" s="231"/>
      <c r="AZ66" s="231"/>
      <c r="BA66" s="231"/>
      <c r="BB66" s="231"/>
      <c r="BC66" s="231"/>
      <c r="BD66" s="231"/>
      <c r="BE66" s="231"/>
      <c r="BF66" s="231"/>
      <c r="BG66" s="231"/>
      <c r="BH66" s="231"/>
      <c r="BI66" s="231"/>
      <c r="BJ66" s="231"/>
      <c r="BK66" s="231"/>
      <c r="BL66" s="231"/>
      <c r="BM66" s="231"/>
      <c r="BN66" s="231"/>
      <c r="BO66" s="231"/>
      <c r="BP66" s="231"/>
      <c r="BQ66" s="231"/>
      <c r="BR66" s="231"/>
      <c r="BS66" s="231"/>
      <c r="BT66" s="231"/>
      <c r="BU66" s="231"/>
      <c r="BV66" s="231"/>
      <c r="BW66" s="231"/>
      <c r="BX66" s="231"/>
      <c r="BY66" s="231"/>
      <c r="BZ66" s="232"/>
      <c r="CA66" s="152"/>
      <c r="CB66" s="152"/>
      <c r="CC66" s="152"/>
      <c r="CD66" s="152"/>
    </row>
    <row r="67" ht="15.0" customHeight="1">
      <c r="A67" s="152"/>
      <c r="B67" s="152"/>
      <c r="C67" s="219">
        <f>C65</f>
        <v>5</v>
      </c>
      <c r="D67" s="225" t="s">
        <v>133</v>
      </c>
      <c r="E67" s="226" t="s">
        <v>133</v>
      </c>
      <c r="I67" s="227" t="str">
        <f t="array" ref="I67">xlookup(xlookup(C67&amp;D67&amp;"Nationality",'Roster Info'!$A:$A&amp;'Roster Info'!$G:$G&amp;'Roster Info'!$D:$D,'Roster Info'!$E:$E,""),'Roster Info'!$K:$K,'Roster Info'!$L:$L,"")</f>
        <v/>
      </c>
      <c r="K67" s="228" t="str">
        <f t="array" ref="K67">xlookup(C67&amp;D67,'Roster Info'!$A:$A&amp;'Roster Info'!$G:$G,'Roster Info'!$F:$F,"")</f>
        <v/>
      </c>
      <c r="U67" s="229" t="str">
        <f t="array" ref="U67">xlookup(C67&amp;D67&amp;"Full Name",'Roster Info'!$A:$A&amp;'Roster Info'!$G:$G&amp;'Roster Info'!$D:$D,'Roster Info'!$E:$E,"")</f>
        <v/>
      </c>
      <c r="AE67" s="63" t="str">
        <f t="array" ref="AE67">if(xlookup(C67&amp;D67&amp;"Steam",'Roster Info'!$A:$A&amp;'Roster Info'!$G:$G&amp;'Roster Info'!$D:$D,'Roster Info'!$E:$E,"")="","-",hyperlink(xlookup(C67&amp;D67&amp;"Steam",'Roster Info'!$A:$A&amp;'Roster Info'!$G:$G&amp;'Roster Info'!$D:$D,'Roster Info'!$E:$E,""),"Steam"))</f>
        <v>-</v>
      </c>
      <c r="AH67" s="63" t="str">
        <f t="array" ref="AH67">if(xlookup(C67&amp;D67&amp;"HLTV",'Roster Info'!$A:$A&amp;'Roster Info'!$G:$G&amp;'Roster Info'!$D:$D,'Roster Info'!$E:$E,"")="","-",hyperlink(xlookup(C67&amp;D67&amp;"HLTV",'Roster Info'!$A:$A&amp;'Roster Info'!$G:$G&amp;'Roster Info'!$D:$D,'Roster Info'!$E:$E,""),"HLTV"))</f>
        <v>-</v>
      </c>
      <c r="AK67" s="63" t="str">
        <f t="array" ref="AK67">if(xlookup(C67&amp;D67&amp;"FaceIt",'Roster Info'!$A:$A&amp;'Roster Info'!$G:$G&amp;'Roster Info'!$D:$D,'Roster Info'!$E:$E,"")="","-",hyperlink(xlookup(C67&amp;D67&amp;"FaceIt",'Roster Info'!$A:$A&amp;'Roster Info'!$G:$G&amp;'Roster Info'!$D:$D,'Roster Info'!$E:$E,""),"FaceIt"))</f>
        <v>-</v>
      </c>
      <c r="AM67" s="61"/>
      <c r="AN67" s="152"/>
      <c r="AO67" s="152"/>
      <c r="AP67" s="219">
        <f>AP65</f>
        <v>6</v>
      </c>
      <c r="AQ67" s="225" t="s">
        <v>133</v>
      </c>
      <c r="AR67" s="226" t="s">
        <v>133</v>
      </c>
      <c r="AV67" s="227" t="str">
        <f t="array" ref="AV67">xlookup(xlookup(AP67&amp;AQ67&amp;"Nationality",'Roster Info'!$A:$A&amp;'Roster Info'!$G:$G&amp;'Roster Info'!$D:$D,'Roster Info'!$E:$E,""),'Roster Info'!$K:$K,'Roster Info'!$L:$L,"")</f>
        <v/>
      </c>
      <c r="AX67" s="228" t="str">
        <f t="array" ref="AX67">xlookup(AP67&amp;AQ67,'Roster Info'!$A:$A&amp;'Roster Info'!$G:$G,'Roster Info'!$F:$F,"")</f>
        <v/>
      </c>
      <c r="BH67" s="229" t="str">
        <f t="array" ref="BH67">xlookup(AP67&amp;AQ67&amp;"Full Name",'Roster Info'!$A:$A&amp;'Roster Info'!$G:$G&amp;'Roster Info'!$D:$D,'Roster Info'!$E:$E,"")</f>
        <v/>
      </c>
      <c r="BR67" s="63" t="str">
        <f t="array" ref="BR67">if(xlookup(AP67&amp;AQ67&amp;"Steam",'Roster Info'!$A:$A&amp;'Roster Info'!$G:$G&amp;'Roster Info'!$D:$D,'Roster Info'!$E:$E,"")="","-",hyperlink(xlookup(AP67&amp;AQ67&amp;"Steam",'Roster Info'!$A:$A&amp;'Roster Info'!$G:$G&amp;'Roster Info'!$D:$D,'Roster Info'!$E:$E,""),"Steam"))</f>
        <v>-</v>
      </c>
      <c r="BU67" s="63" t="str">
        <f t="array" ref="BU67">if(xlookup(AP67&amp;AQ67&amp;"HLTV",'Roster Info'!$A:$A&amp;'Roster Info'!$G:$G&amp;'Roster Info'!$D:$D,'Roster Info'!$E:$E,"")="","-",hyperlink(xlookup(AP67&amp;AQ67&amp;"HLTV",'Roster Info'!$A:$A&amp;'Roster Info'!$G:$G&amp;'Roster Info'!$D:$D,'Roster Info'!$E:$E,""),"HLTV"))</f>
        <v>-</v>
      </c>
      <c r="BX67" s="63" t="str">
        <f t="array" ref="BX67">if(xlookup(AP67&amp;AQ67&amp;"FaceIt",'Roster Info'!$A:$A&amp;'Roster Info'!$G:$G&amp;'Roster Info'!$D:$D,'Roster Info'!$E:$E,"")="","-",hyperlink(xlookup(AP67&amp;AQ67&amp;"FaceIt",'Roster Info'!$A:$A&amp;'Roster Info'!$G:$G&amp;'Roster Info'!$D:$D,'Roster Info'!$E:$E,""),"FaceIt"))</f>
        <v>-</v>
      </c>
      <c r="BZ67" s="61"/>
      <c r="CA67" s="152"/>
      <c r="CB67" s="152"/>
      <c r="CC67" s="152"/>
      <c r="CD67" s="152"/>
    </row>
    <row r="68" ht="15.0" customHeight="1">
      <c r="A68" s="152"/>
      <c r="B68" s="152"/>
      <c r="C68" s="219"/>
      <c r="D68" s="219"/>
      <c r="E68" s="230"/>
      <c r="F68" s="231"/>
      <c r="G68" s="231"/>
      <c r="H68" s="231"/>
      <c r="I68" s="231"/>
      <c r="J68" s="231"/>
      <c r="K68" s="231"/>
      <c r="L68" s="231"/>
      <c r="M68" s="231"/>
      <c r="N68" s="231"/>
      <c r="O68" s="231"/>
      <c r="P68" s="231"/>
      <c r="Q68" s="231"/>
      <c r="R68" s="231"/>
      <c r="S68" s="231"/>
      <c r="T68" s="231"/>
      <c r="U68" s="231"/>
      <c r="V68" s="231"/>
      <c r="W68" s="231"/>
      <c r="X68" s="231"/>
      <c r="Y68" s="231"/>
      <c r="Z68" s="231"/>
      <c r="AA68" s="231"/>
      <c r="AB68" s="231"/>
      <c r="AC68" s="231"/>
      <c r="AD68" s="231"/>
      <c r="AE68" s="231"/>
      <c r="AF68" s="231"/>
      <c r="AG68" s="231"/>
      <c r="AH68" s="231"/>
      <c r="AI68" s="231"/>
      <c r="AJ68" s="231"/>
      <c r="AK68" s="231"/>
      <c r="AL68" s="231"/>
      <c r="AM68" s="232"/>
      <c r="AN68" s="152"/>
      <c r="AO68" s="152"/>
      <c r="AP68" s="219"/>
      <c r="AQ68" s="219"/>
      <c r="AR68" s="230"/>
      <c r="AS68" s="231"/>
      <c r="AT68" s="231"/>
      <c r="AU68" s="231"/>
      <c r="AV68" s="231"/>
      <c r="AW68" s="231"/>
      <c r="AX68" s="231"/>
      <c r="AY68" s="231"/>
      <c r="AZ68" s="231"/>
      <c r="BA68" s="231"/>
      <c r="BB68" s="231"/>
      <c r="BC68" s="231"/>
      <c r="BD68" s="231"/>
      <c r="BE68" s="231"/>
      <c r="BF68" s="231"/>
      <c r="BG68" s="231"/>
      <c r="BH68" s="231"/>
      <c r="BI68" s="231"/>
      <c r="BJ68" s="231"/>
      <c r="BK68" s="231"/>
      <c r="BL68" s="231"/>
      <c r="BM68" s="231"/>
      <c r="BN68" s="231"/>
      <c r="BO68" s="231"/>
      <c r="BP68" s="231"/>
      <c r="BQ68" s="231"/>
      <c r="BR68" s="231"/>
      <c r="BS68" s="231"/>
      <c r="BT68" s="231"/>
      <c r="BU68" s="231"/>
      <c r="BV68" s="231"/>
      <c r="BW68" s="231"/>
      <c r="BX68" s="231"/>
      <c r="BY68" s="231"/>
      <c r="BZ68" s="232"/>
      <c r="CA68" s="152"/>
      <c r="CB68" s="152"/>
      <c r="CC68" s="152"/>
      <c r="CD68" s="152"/>
    </row>
    <row r="69" ht="15.0" customHeight="1">
      <c r="A69" s="152"/>
      <c r="B69" s="152"/>
      <c r="C69" s="219">
        <f>C67</f>
        <v>5</v>
      </c>
      <c r="D69" s="233" t="s">
        <v>139</v>
      </c>
      <c r="E69" s="234" t="s">
        <v>319</v>
      </c>
      <c r="I69" s="227" t="str">
        <f t="array" ref="I69">xlookup(xlookup(C69&amp;D69&amp;"Nationality",'Roster Info'!$A:$A&amp;'Roster Info'!$G:$G&amp;'Roster Info'!$D:$D,'Roster Info'!$E:$E,""),'Roster Info'!$K:$K,'Roster Info'!$L:$L,"")</f>
        <v/>
      </c>
      <c r="K69" s="228" t="str">
        <f t="array" ref="K69">xlookup(C69&amp;D69,'Roster Info'!$A:$A&amp;'Roster Info'!$G:$G,'Roster Info'!$F:$F,"")</f>
        <v/>
      </c>
      <c r="U69" s="229" t="str">
        <f t="array" ref="U69">xlookup(C69&amp;D69&amp;"Full Name",'Roster Info'!$A:$A&amp;'Roster Info'!$G:$G&amp;'Roster Info'!$D:$D,'Roster Info'!$E:$E,"")</f>
        <v/>
      </c>
      <c r="AE69" s="63" t="str">
        <f t="array" ref="AE69">if(xlookup(C69&amp;D69&amp;"Steam",'Roster Info'!$A:$A&amp;'Roster Info'!$G:$G&amp;'Roster Info'!$D:$D,'Roster Info'!$E:$E,"")="","-",hyperlink(xlookup(C69&amp;D69&amp;"Steam",'Roster Info'!$A:$A&amp;'Roster Info'!$G:$G&amp;'Roster Info'!$D:$D,'Roster Info'!$E:$E,""),"Steam"))</f>
        <v>-</v>
      </c>
      <c r="AH69" s="63" t="str">
        <f t="array" ref="AH69">if(xlookup(C69&amp;D69&amp;"HLTV",'Roster Info'!$A:$A&amp;'Roster Info'!$G:$G&amp;'Roster Info'!$D:$D,'Roster Info'!$E:$E,"")="","-",hyperlink(xlookup(C69&amp;D69&amp;"HLTV",'Roster Info'!$A:$A&amp;'Roster Info'!$G:$G&amp;'Roster Info'!$D:$D,'Roster Info'!$E:$E,""),"HLTV"))</f>
        <v>-</v>
      </c>
      <c r="AK69" s="63" t="str">
        <f t="array" ref="AK69">if(xlookup(C69&amp;D69&amp;"FaceIt",'Roster Info'!$A:$A&amp;'Roster Info'!$G:$G&amp;'Roster Info'!$D:$D,'Roster Info'!$E:$E,"")="","-",hyperlink(xlookup(C69&amp;D69&amp;"FaceIt",'Roster Info'!$A:$A&amp;'Roster Info'!$G:$G&amp;'Roster Info'!$D:$D,'Roster Info'!$E:$E,""),"FaceIt"))</f>
        <v>-</v>
      </c>
      <c r="AM69" s="61"/>
      <c r="AN69" s="152"/>
      <c r="AO69" s="152"/>
      <c r="AP69" s="219">
        <f>AP67</f>
        <v>6</v>
      </c>
      <c r="AQ69" s="233" t="s">
        <v>139</v>
      </c>
      <c r="AR69" s="234" t="s">
        <v>319</v>
      </c>
      <c r="AV69" s="227" t="str">
        <f t="array" ref="AV69">xlookup(xlookup(AP69&amp;AQ69&amp;"Nationality",'Roster Info'!$A:$A&amp;'Roster Info'!$G:$G&amp;'Roster Info'!$D:$D,'Roster Info'!$E:$E,""),'Roster Info'!$K:$K,'Roster Info'!$L:$L,"")</f>
        <v/>
      </c>
      <c r="AX69" s="228" t="str">
        <f t="array" ref="AX69">xlookup(AP69&amp;AQ69,'Roster Info'!$A:$A&amp;'Roster Info'!$G:$G,'Roster Info'!$F:$F,"")</f>
        <v/>
      </c>
      <c r="BH69" s="229" t="str">
        <f t="array" ref="BH69">xlookup(AP69&amp;AQ69&amp;"Full Name",'Roster Info'!$A:$A&amp;'Roster Info'!$G:$G&amp;'Roster Info'!$D:$D,'Roster Info'!$E:$E,"")</f>
        <v/>
      </c>
      <c r="BR69" s="63" t="str">
        <f t="array" ref="BR69">if(xlookup(AP69&amp;AQ69&amp;"Steam",'Roster Info'!$A:$A&amp;'Roster Info'!$G:$G&amp;'Roster Info'!$D:$D,'Roster Info'!$E:$E,"")="","-",hyperlink(xlookup(AP69&amp;AQ69&amp;"Steam",'Roster Info'!$A:$A&amp;'Roster Info'!$G:$G&amp;'Roster Info'!$D:$D,'Roster Info'!$E:$E,""),"Steam"))</f>
        <v>-</v>
      </c>
      <c r="BU69" s="63" t="str">
        <f t="array" ref="BU69">if(xlookup(AP69&amp;AQ69&amp;"HLTV",'Roster Info'!$A:$A&amp;'Roster Info'!$G:$G&amp;'Roster Info'!$D:$D,'Roster Info'!$E:$E,"")="","-",hyperlink(xlookup(AP69&amp;AQ69&amp;"HLTV",'Roster Info'!$A:$A&amp;'Roster Info'!$G:$G&amp;'Roster Info'!$D:$D,'Roster Info'!$E:$E,""),"HLTV"))</f>
        <v>-</v>
      </c>
      <c r="BX69" s="63" t="str">
        <f t="array" ref="BX69">if(xlookup(AP69&amp;AQ69&amp;"FaceIt",'Roster Info'!$A:$A&amp;'Roster Info'!$G:$G&amp;'Roster Info'!$D:$D,'Roster Info'!$E:$E,"")="","-",hyperlink(xlookup(AP69&amp;AQ69&amp;"FaceIt",'Roster Info'!$A:$A&amp;'Roster Info'!$G:$G&amp;'Roster Info'!$D:$D,'Roster Info'!$E:$E,""),"FaceIt"))</f>
        <v>-</v>
      </c>
      <c r="BZ69" s="61"/>
      <c r="CA69" s="152"/>
      <c r="CB69" s="152"/>
      <c r="CC69" s="152"/>
      <c r="CD69" s="152"/>
    </row>
    <row r="70" ht="15.0" customHeight="1">
      <c r="A70" s="152"/>
      <c r="B70" s="152"/>
      <c r="C70" s="219"/>
      <c r="D70" s="219"/>
      <c r="E70" s="230"/>
      <c r="F70" s="231"/>
      <c r="G70" s="231"/>
      <c r="H70" s="231"/>
      <c r="I70" s="231"/>
      <c r="J70" s="231"/>
      <c r="K70" s="231"/>
      <c r="L70" s="231"/>
      <c r="M70" s="231"/>
      <c r="N70" s="231"/>
      <c r="O70" s="231"/>
      <c r="P70" s="231"/>
      <c r="Q70" s="231"/>
      <c r="R70" s="231"/>
      <c r="S70" s="231"/>
      <c r="T70" s="231"/>
      <c r="U70" s="231"/>
      <c r="V70" s="231"/>
      <c r="W70" s="231"/>
      <c r="X70" s="231"/>
      <c r="Y70" s="231"/>
      <c r="Z70" s="231"/>
      <c r="AA70" s="231"/>
      <c r="AB70" s="231"/>
      <c r="AC70" s="231"/>
      <c r="AD70" s="231"/>
      <c r="AE70" s="231"/>
      <c r="AF70" s="231"/>
      <c r="AG70" s="231"/>
      <c r="AH70" s="231"/>
      <c r="AI70" s="231"/>
      <c r="AJ70" s="231"/>
      <c r="AK70" s="231"/>
      <c r="AL70" s="231"/>
      <c r="AM70" s="232"/>
      <c r="AN70" s="152"/>
      <c r="AO70" s="152"/>
      <c r="AP70" s="219"/>
      <c r="AQ70" s="219"/>
      <c r="AR70" s="230"/>
      <c r="AS70" s="231"/>
      <c r="AT70" s="231"/>
      <c r="AU70" s="231"/>
      <c r="AV70" s="231"/>
      <c r="AW70" s="231"/>
      <c r="AX70" s="231"/>
      <c r="AY70" s="231"/>
      <c r="AZ70" s="231"/>
      <c r="BA70" s="231"/>
      <c r="BB70" s="231"/>
      <c r="BC70" s="231"/>
      <c r="BD70" s="231"/>
      <c r="BE70" s="231"/>
      <c r="BF70" s="231"/>
      <c r="BG70" s="231"/>
      <c r="BH70" s="231"/>
      <c r="BI70" s="231"/>
      <c r="BJ70" s="231"/>
      <c r="BK70" s="231"/>
      <c r="BL70" s="231"/>
      <c r="BM70" s="231"/>
      <c r="BN70" s="231"/>
      <c r="BO70" s="231"/>
      <c r="BP70" s="231"/>
      <c r="BQ70" s="231"/>
      <c r="BR70" s="231"/>
      <c r="BS70" s="231"/>
      <c r="BT70" s="231"/>
      <c r="BU70" s="231"/>
      <c r="BV70" s="231"/>
      <c r="BW70" s="231"/>
      <c r="BX70" s="231"/>
      <c r="BY70" s="231"/>
      <c r="BZ70" s="232"/>
      <c r="CA70" s="152"/>
      <c r="CB70" s="152"/>
      <c r="CC70" s="152"/>
      <c r="CD70" s="152"/>
    </row>
    <row r="71" ht="15.0" customHeight="1">
      <c r="A71" s="152"/>
      <c r="B71" s="152"/>
      <c r="C71" s="219">
        <f>C69</f>
        <v>5</v>
      </c>
      <c r="D71" s="225" t="s">
        <v>145</v>
      </c>
      <c r="E71" s="226" t="s">
        <v>145</v>
      </c>
      <c r="I71" s="227" t="str">
        <f t="array" ref="I71">xlookup(xlookup(C71&amp;D71&amp;"Nationality",'Roster Info'!$A:$A&amp;'Roster Info'!$G:$G&amp;'Roster Info'!$D:$D,'Roster Info'!$E:$E,""),'Roster Info'!$K:$K,'Roster Info'!$L:$L,"")</f>
        <v/>
      </c>
      <c r="K71" s="228" t="str">
        <f t="array" ref="K71">xlookup(C71&amp;D71,'Roster Info'!$A:$A&amp;'Roster Info'!$G:$G,'Roster Info'!$F:$F,"")</f>
        <v/>
      </c>
      <c r="U71" s="229" t="str">
        <f t="array" ref="U71">xlookup(C71&amp;D71&amp;"Full Name",'Roster Info'!$A:$A&amp;'Roster Info'!$G:$G&amp;'Roster Info'!$D:$D,'Roster Info'!$E:$E,"")</f>
        <v/>
      </c>
      <c r="AE71" s="63" t="str">
        <f t="array" ref="AE71">if(xlookup(C71&amp;D71&amp;"Steam",'Roster Info'!$A:$A&amp;'Roster Info'!$G:$G&amp;'Roster Info'!$D:$D,'Roster Info'!$E:$E,"")="","-",hyperlink(xlookup(C71&amp;D71&amp;"Steam",'Roster Info'!$A:$A&amp;'Roster Info'!$G:$G&amp;'Roster Info'!$D:$D,'Roster Info'!$E:$E,""),"Steam"))</f>
        <v>-</v>
      </c>
      <c r="AH71" s="63" t="str">
        <f t="array" ref="AH71">if(xlookup(C71&amp;D71&amp;"HLTV",'Roster Info'!$A:$A&amp;'Roster Info'!$G:$G&amp;'Roster Info'!$D:$D,'Roster Info'!$E:$E,"")="","-",hyperlink(xlookup(C71&amp;D71&amp;"HLTV",'Roster Info'!$A:$A&amp;'Roster Info'!$G:$G&amp;'Roster Info'!$D:$D,'Roster Info'!$E:$E,""),"HLTV"))</f>
        <v>-</v>
      </c>
      <c r="AK71" s="63" t="str">
        <f t="array" ref="AK71">if(xlookup(C71&amp;D71&amp;"FaceIt",'Roster Info'!$A:$A&amp;'Roster Info'!$G:$G&amp;'Roster Info'!$D:$D,'Roster Info'!$E:$E,"")="","-",hyperlink(xlookup(C71&amp;D71&amp;"FaceIt",'Roster Info'!$A:$A&amp;'Roster Info'!$G:$G&amp;'Roster Info'!$D:$D,'Roster Info'!$E:$E,""),"FaceIt"))</f>
        <v>-</v>
      </c>
      <c r="AM71" s="61"/>
      <c r="AN71" s="152"/>
      <c r="AO71" s="152"/>
      <c r="AP71" s="219">
        <f>AP69</f>
        <v>6</v>
      </c>
      <c r="AQ71" s="225" t="s">
        <v>145</v>
      </c>
      <c r="AR71" s="226" t="s">
        <v>145</v>
      </c>
      <c r="AV71" s="227" t="str">
        <f t="array" ref="AV71">xlookup(xlookup(AP71&amp;AQ71&amp;"Nationality",'Roster Info'!$A:$A&amp;'Roster Info'!$G:$G&amp;'Roster Info'!$D:$D,'Roster Info'!$E:$E,""),'Roster Info'!$K:$K,'Roster Info'!$L:$L,"")</f>
        <v/>
      </c>
      <c r="AX71" s="228" t="str">
        <f t="array" ref="AX71">xlookup(AP71&amp;AQ71,'Roster Info'!$A:$A&amp;'Roster Info'!$G:$G,'Roster Info'!$F:$F,"")</f>
        <v/>
      </c>
      <c r="BH71" s="229" t="str">
        <f t="array" ref="BH71">xlookup(AP71&amp;AQ71&amp;"Full Name",'Roster Info'!$A:$A&amp;'Roster Info'!$G:$G&amp;'Roster Info'!$D:$D,'Roster Info'!$E:$E,"")</f>
        <v/>
      </c>
      <c r="BR71" s="63" t="str">
        <f t="array" ref="BR71">if(xlookup(AP71&amp;AQ71&amp;"Steam",'Roster Info'!$A:$A&amp;'Roster Info'!$G:$G&amp;'Roster Info'!$D:$D,'Roster Info'!$E:$E,"")="","-",hyperlink(xlookup(AP71&amp;AQ71&amp;"Steam",'Roster Info'!$A:$A&amp;'Roster Info'!$G:$G&amp;'Roster Info'!$D:$D,'Roster Info'!$E:$E,""),"Steam"))</f>
        <v>-</v>
      </c>
      <c r="BU71" s="63" t="str">
        <f t="array" ref="BU71">if(xlookup(AP71&amp;AQ71&amp;"HLTV",'Roster Info'!$A:$A&amp;'Roster Info'!$G:$G&amp;'Roster Info'!$D:$D,'Roster Info'!$E:$E,"")="","-",hyperlink(xlookup(AP71&amp;AQ71&amp;"HLTV",'Roster Info'!$A:$A&amp;'Roster Info'!$G:$G&amp;'Roster Info'!$D:$D,'Roster Info'!$E:$E,""),"HLTV"))</f>
        <v>-</v>
      </c>
      <c r="BX71" s="63" t="str">
        <f t="array" ref="BX71">if(xlookup(AP71&amp;AQ71&amp;"FaceIt",'Roster Info'!$A:$A&amp;'Roster Info'!$G:$G&amp;'Roster Info'!$D:$D,'Roster Info'!$E:$E,"")="","-",hyperlink(xlookup(AP71&amp;AQ71&amp;"FaceIt",'Roster Info'!$A:$A&amp;'Roster Info'!$G:$G&amp;'Roster Info'!$D:$D,'Roster Info'!$E:$E,""),"FaceIt"))</f>
        <v>-</v>
      </c>
      <c r="BZ71" s="61"/>
      <c r="CA71" s="152"/>
      <c r="CB71" s="152"/>
      <c r="CC71" s="152"/>
      <c r="CD71" s="152"/>
    </row>
    <row r="72" ht="15.0" customHeight="1">
      <c r="A72" s="152"/>
      <c r="B72" s="152"/>
      <c r="C72" s="219"/>
      <c r="D72" s="219"/>
      <c r="E72" s="101"/>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02"/>
      <c r="AJ72" s="102"/>
      <c r="AK72" s="102"/>
      <c r="AL72" s="102"/>
      <c r="AM72" s="164"/>
      <c r="AN72" s="152"/>
      <c r="AO72" s="152"/>
      <c r="AP72" s="219"/>
      <c r="AQ72" s="219"/>
      <c r="AR72" s="101"/>
      <c r="AS72" s="102"/>
      <c r="AT72" s="102"/>
      <c r="AU72" s="102"/>
      <c r="AV72" s="102"/>
      <c r="AW72" s="102"/>
      <c r="AX72" s="102"/>
      <c r="AY72" s="102"/>
      <c r="AZ72" s="102"/>
      <c r="BA72" s="102"/>
      <c r="BB72" s="102"/>
      <c r="BC72" s="102"/>
      <c r="BD72" s="102"/>
      <c r="BE72" s="102"/>
      <c r="BF72" s="102"/>
      <c r="BG72" s="102"/>
      <c r="BH72" s="102"/>
      <c r="BI72" s="102"/>
      <c r="BJ72" s="102"/>
      <c r="BK72" s="102"/>
      <c r="BL72" s="102"/>
      <c r="BM72" s="102"/>
      <c r="BN72" s="102"/>
      <c r="BO72" s="102"/>
      <c r="BP72" s="102"/>
      <c r="BQ72" s="102"/>
      <c r="BR72" s="102"/>
      <c r="BS72" s="102"/>
      <c r="BT72" s="102"/>
      <c r="BU72" s="102"/>
      <c r="BV72" s="102"/>
      <c r="BW72" s="102"/>
      <c r="BX72" s="102"/>
      <c r="BY72" s="102"/>
      <c r="BZ72" s="164"/>
      <c r="CA72" s="152"/>
      <c r="CB72" s="152"/>
      <c r="CC72" s="152"/>
      <c r="CD72" s="152"/>
    </row>
    <row r="73" ht="15.0" customHeight="1">
      <c r="A73" s="152"/>
      <c r="B73" s="152"/>
      <c r="C73" s="219"/>
      <c r="D73" s="219"/>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c r="AD73" s="152"/>
      <c r="AE73" s="152"/>
      <c r="AF73" s="152"/>
      <c r="AG73" s="152"/>
      <c r="AH73" s="152"/>
      <c r="AI73" s="152"/>
      <c r="AJ73" s="152"/>
      <c r="AK73" s="152"/>
      <c r="AL73" s="152"/>
      <c r="AM73" s="152"/>
      <c r="AN73" s="152"/>
      <c r="AO73" s="152"/>
      <c r="AP73" s="219"/>
      <c r="AQ73" s="219"/>
      <c r="AR73" s="152"/>
      <c r="AS73" s="152"/>
      <c r="AT73" s="152"/>
      <c r="AU73" s="152"/>
      <c r="AV73" s="152"/>
      <c r="AW73" s="152"/>
      <c r="AX73" s="152"/>
      <c r="AY73" s="152"/>
      <c r="AZ73" s="152"/>
      <c r="BA73" s="152"/>
      <c r="BB73" s="152"/>
      <c r="BC73" s="152"/>
      <c r="BD73" s="152"/>
      <c r="BE73" s="152"/>
      <c r="BF73" s="152"/>
      <c r="BG73" s="152"/>
      <c r="BH73" s="152"/>
      <c r="BI73" s="152"/>
      <c r="BJ73" s="152"/>
      <c r="BK73" s="152"/>
      <c r="BL73" s="152"/>
      <c r="BM73" s="152"/>
      <c r="BN73" s="152"/>
      <c r="BO73" s="152"/>
      <c r="BP73" s="152"/>
      <c r="BQ73" s="152"/>
      <c r="BR73" s="152"/>
      <c r="BS73" s="152"/>
      <c r="BT73" s="152"/>
      <c r="BU73" s="152"/>
      <c r="BV73" s="152"/>
      <c r="BW73" s="152"/>
      <c r="BX73" s="152"/>
      <c r="BY73" s="152"/>
      <c r="BZ73" s="152"/>
      <c r="CA73" s="152"/>
      <c r="CB73" s="152"/>
      <c r="CC73" s="152"/>
      <c r="CD73" s="152"/>
    </row>
    <row r="74" ht="15.0" customHeight="1">
      <c r="A74" s="152"/>
      <c r="B74" s="152"/>
      <c r="C74" s="219"/>
      <c r="D74" s="219"/>
      <c r="E74" s="152"/>
      <c r="F74" s="152"/>
      <c r="G74" s="152"/>
      <c r="H74" s="152"/>
      <c r="I74" s="152"/>
      <c r="J74" s="152"/>
      <c r="K74" s="152"/>
      <c r="L74" s="152"/>
      <c r="M74" s="152"/>
      <c r="N74" s="152"/>
      <c r="O74" s="152"/>
      <c r="P74" s="152"/>
      <c r="Q74" s="152"/>
      <c r="R74" s="152"/>
      <c r="S74" s="152"/>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219"/>
      <c r="AQ74" s="219"/>
      <c r="AR74" s="152"/>
      <c r="AS74" s="152"/>
      <c r="AT74" s="152"/>
      <c r="AU74" s="152"/>
      <c r="AV74" s="152"/>
      <c r="AW74" s="152"/>
      <c r="AX74" s="152"/>
      <c r="AY74" s="152"/>
      <c r="AZ74" s="152"/>
      <c r="BA74" s="152"/>
      <c r="BB74" s="152"/>
      <c r="BC74" s="152"/>
      <c r="BD74" s="152"/>
      <c r="BE74" s="152"/>
      <c r="BF74" s="152"/>
      <c r="BG74" s="152"/>
      <c r="BH74" s="152"/>
      <c r="BI74" s="152"/>
      <c r="BJ74" s="152"/>
      <c r="BK74" s="152"/>
      <c r="BL74" s="152"/>
      <c r="BM74" s="152"/>
      <c r="BN74" s="152"/>
      <c r="BO74" s="152"/>
      <c r="BP74" s="152"/>
      <c r="BQ74" s="152"/>
      <c r="BR74" s="152"/>
      <c r="BS74" s="152"/>
      <c r="BT74" s="152"/>
      <c r="BU74" s="152"/>
      <c r="BV74" s="152"/>
      <c r="BW74" s="152"/>
      <c r="BX74" s="152"/>
      <c r="BY74" s="152"/>
      <c r="BZ74" s="152"/>
      <c r="CA74" s="152"/>
      <c r="CB74" s="152"/>
      <c r="CC74" s="152"/>
      <c r="CD74" s="152"/>
    </row>
    <row r="75" ht="15.0" customHeight="1">
      <c r="A75" s="152"/>
      <c r="B75" s="152"/>
      <c r="C75" s="219"/>
      <c r="D75" s="219"/>
      <c r="E75" s="152"/>
      <c r="F75" s="152"/>
      <c r="G75" s="152"/>
      <c r="H75" s="152"/>
      <c r="I75" s="152"/>
      <c r="J75" s="152"/>
      <c r="K75" s="152"/>
      <c r="L75" s="152"/>
      <c r="M75" s="152"/>
      <c r="N75" s="152"/>
      <c r="O75" s="152"/>
      <c r="P75" s="152"/>
      <c r="Q75" s="152"/>
      <c r="R75" s="152"/>
      <c r="S75" s="152"/>
      <c r="T75" s="152"/>
      <c r="U75" s="152"/>
      <c r="V75" s="152"/>
      <c r="W75" s="152"/>
      <c r="X75" s="152"/>
      <c r="Y75" s="152"/>
      <c r="Z75" s="152"/>
      <c r="AA75" s="152"/>
      <c r="AB75" s="152"/>
      <c r="AC75" s="152"/>
      <c r="AD75" s="152"/>
      <c r="AE75" s="152"/>
      <c r="AF75" s="152"/>
      <c r="AG75" s="152"/>
      <c r="AH75" s="152"/>
      <c r="AI75" s="152"/>
      <c r="AJ75" s="152"/>
      <c r="AK75" s="152"/>
      <c r="AL75" s="152"/>
      <c r="AM75" s="152"/>
      <c r="AN75" s="152"/>
      <c r="AO75" s="152"/>
      <c r="AP75" s="219"/>
      <c r="AQ75" s="219"/>
      <c r="AR75" s="152"/>
      <c r="AS75" s="152"/>
      <c r="AT75" s="152"/>
      <c r="AU75" s="152"/>
      <c r="AV75" s="152"/>
      <c r="AW75" s="152"/>
      <c r="AX75" s="152"/>
      <c r="AY75" s="152"/>
      <c r="AZ75" s="152"/>
      <c r="BA75" s="152"/>
      <c r="BB75" s="152"/>
      <c r="BC75" s="152"/>
      <c r="BD75" s="152"/>
      <c r="BE75" s="152"/>
      <c r="BF75" s="152"/>
      <c r="BG75" s="152"/>
      <c r="BH75" s="152"/>
      <c r="BI75" s="152"/>
      <c r="BJ75" s="152"/>
      <c r="BK75" s="152"/>
      <c r="BL75" s="152"/>
      <c r="BM75" s="152"/>
      <c r="BN75" s="152"/>
      <c r="BO75" s="152"/>
      <c r="BP75" s="152"/>
      <c r="BQ75" s="152"/>
      <c r="BR75" s="152"/>
      <c r="BS75" s="152"/>
      <c r="BT75" s="152"/>
      <c r="BU75" s="152"/>
      <c r="BV75" s="152"/>
      <c r="BW75" s="152"/>
      <c r="BX75" s="152"/>
      <c r="BY75" s="152"/>
      <c r="BZ75" s="152"/>
      <c r="CA75" s="152"/>
      <c r="CB75" s="152"/>
      <c r="CC75" s="152"/>
      <c r="CD75" s="152"/>
    </row>
    <row r="76" ht="15.0" customHeight="1">
      <c r="A76" s="152"/>
      <c r="B76" s="152"/>
      <c r="C76" s="219"/>
      <c r="D76" s="219"/>
      <c r="E76" s="152"/>
      <c r="F76" s="152"/>
      <c r="G76" s="152"/>
      <c r="H76" s="152"/>
      <c r="I76" s="152"/>
      <c r="J76" s="152"/>
      <c r="K76" s="152"/>
      <c r="L76" s="152"/>
      <c r="M76" s="152"/>
      <c r="N76" s="152"/>
      <c r="O76" s="152"/>
      <c r="P76" s="152"/>
      <c r="Q76" s="152"/>
      <c r="R76" s="152"/>
      <c r="S76" s="152"/>
      <c r="T76" s="152"/>
      <c r="U76" s="152"/>
      <c r="V76" s="152"/>
      <c r="W76" s="152"/>
      <c r="X76" s="152"/>
      <c r="Y76" s="152"/>
      <c r="Z76" s="152"/>
      <c r="AA76" s="152"/>
      <c r="AB76" s="152"/>
      <c r="AC76" s="152"/>
      <c r="AD76" s="152"/>
      <c r="AE76" s="152"/>
      <c r="AF76" s="152"/>
      <c r="AG76" s="152"/>
      <c r="AH76" s="152"/>
      <c r="AI76" s="152"/>
      <c r="AJ76" s="152"/>
      <c r="AK76" s="152"/>
      <c r="AL76" s="152"/>
      <c r="AM76" s="152"/>
      <c r="AN76" s="152"/>
      <c r="AO76" s="152"/>
      <c r="AP76" s="219"/>
      <c r="AQ76" s="219"/>
      <c r="AR76" s="152"/>
      <c r="AS76" s="152"/>
      <c r="AT76" s="152"/>
      <c r="AU76" s="152"/>
      <c r="AV76" s="152"/>
      <c r="AW76" s="152"/>
      <c r="AX76" s="152"/>
      <c r="AY76" s="152"/>
      <c r="AZ76" s="152"/>
      <c r="BA76" s="152"/>
      <c r="BB76" s="152"/>
      <c r="BC76" s="152"/>
      <c r="BD76" s="152"/>
      <c r="BE76" s="152"/>
      <c r="BF76" s="152"/>
      <c r="BG76" s="152"/>
      <c r="BH76" s="152"/>
      <c r="BI76" s="152"/>
      <c r="BJ76" s="152"/>
      <c r="BK76" s="152"/>
      <c r="BL76" s="152"/>
      <c r="BM76" s="152"/>
      <c r="BN76" s="152"/>
      <c r="BO76" s="152"/>
      <c r="BP76" s="152"/>
      <c r="BQ76" s="152"/>
      <c r="BR76" s="152"/>
      <c r="BS76" s="152"/>
      <c r="BT76" s="152"/>
      <c r="BU76" s="152"/>
      <c r="BV76" s="152"/>
      <c r="BW76" s="152"/>
      <c r="BX76" s="152"/>
      <c r="BY76" s="152"/>
      <c r="BZ76" s="152"/>
      <c r="CA76" s="152"/>
      <c r="CB76" s="152"/>
      <c r="CC76" s="152"/>
      <c r="CD76" s="152"/>
    </row>
    <row r="77" ht="15.0" customHeight="1">
      <c r="A77" s="152"/>
      <c r="B77" s="152"/>
      <c r="C77" s="219"/>
      <c r="D77" s="219"/>
      <c r="E77" s="220" t="str">
        <f t="array" ref="E77">xlookup(M77,'Team Entry'!$A:$A,'Team Entry'!$B:$B,"")</f>
        <v/>
      </c>
      <c r="F77" s="58"/>
      <c r="G77" s="58"/>
      <c r="H77" s="58"/>
      <c r="I77" s="58"/>
      <c r="J77" s="58"/>
      <c r="K77" s="58"/>
      <c r="L77" s="58"/>
      <c r="M77" s="221" t="str">
        <f t="array" ref="M77">xlookup(C83,'Roster Info'!$A:$A,'Roster Info'!$B:$B,"")</f>
        <v>Team 3 (Group 2)</v>
      </c>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9"/>
      <c r="AN77" s="152"/>
      <c r="AO77" s="152"/>
      <c r="AP77" s="219"/>
      <c r="AQ77" s="219"/>
      <c r="AR77" s="220" t="str">
        <f t="array" ref="AR77">xlookup(AZ77,'Team Entry'!$A:$A,'Team Entry'!$B:$B,"")</f>
        <v/>
      </c>
      <c r="AS77" s="58"/>
      <c r="AT77" s="58"/>
      <c r="AU77" s="58"/>
      <c r="AV77" s="58"/>
      <c r="AW77" s="58"/>
      <c r="AX77" s="58"/>
      <c r="AY77" s="58"/>
      <c r="AZ77" s="221" t="str">
        <f t="array" ref="AZ77">xlookup(AP83,'Roster Info'!$A:$A,'Roster Info'!$B:$B,"")</f>
        <v>Team 4 (Group 2)</v>
      </c>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9"/>
      <c r="CA77" s="152"/>
      <c r="CB77" s="152"/>
      <c r="CC77" s="152"/>
      <c r="CD77" s="152"/>
    </row>
    <row r="78" ht="15.0" customHeight="1">
      <c r="A78" s="152"/>
      <c r="B78" s="152"/>
      <c r="C78" s="219"/>
      <c r="D78" s="219"/>
      <c r="E78" s="60"/>
      <c r="AM78" s="61"/>
      <c r="AN78" s="152"/>
      <c r="AO78" s="152"/>
      <c r="AP78" s="219"/>
      <c r="AQ78" s="219"/>
      <c r="AR78" s="60"/>
      <c r="BZ78" s="61"/>
      <c r="CA78" s="152"/>
      <c r="CB78" s="152"/>
      <c r="CC78" s="152"/>
      <c r="CD78" s="152"/>
    </row>
    <row r="79" ht="15.0" customHeight="1">
      <c r="A79" s="152"/>
      <c r="B79" s="152"/>
      <c r="C79" s="219"/>
      <c r="D79" s="219"/>
      <c r="E79" s="60"/>
      <c r="AM79" s="61"/>
      <c r="AN79" s="152"/>
      <c r="AO79" s="152"/>
      <c r="AP79" s="219"/>
      <c r="AQ79" s="219"/>
      <c r="AR79" s="60"/>
      <c r="BZ79" s="61"/>
      <c r="CA79" s="152"/>
      <c r="CB79" s="152"/>
      <c r="CC79" s="152"/>
      <c r="CD79" s="152"/>
    </row>
    <row r="80" ht="15.0" customHeight="1">
      <c r="A80" s="152"/>
      <c r="B80" s="152"/>
      <c r="C80" s="219"/>
      <c r="D80" s="219"/>
      <c r="E80" s="60"/>
      <c r="AM80" s="61"/>
      <c r="AN80" s="152"/>
      <c r="AO80" s="152"/>
      <c r="AP80" s="219"/>
      <c r="AQ80" s="219"/>
      <c r="AR80" s="60"/>
      <c r="BZ80" s="61"/>
      <c r="CA80" s="152"/>
      <c r="CB80" s="152"/>
      <c r="CC80" s="152"/>
      <c r="CD80" s="152"/>
    </row>
    <row r="81" ht="15.0" customHeight="1">
      <c r="A81" s="152"/>
      <c r="B81" s="152"/>
      <c r="C81" s="219"/>
      <c r="D81" s="219"/>
      <c r="E81" s="60"/>
      <c r="AM81" s="61"/>
      <c r="AN81" s="152"/>
      <c r="AO81" s="152"/>
      <c r="AP81" s="219"/>
      <c r="AQ81" s="219"/>
      <c r="AR81" s="60"/>
      <c r="BZ81" s="61"/>
      <c r="CA81" s="152"/>
      <c r="CB81" s="152"/>
      <c r="CC81" s="152"/>
      <c r="CD81" s="152"/>
    </row>
    <row r="82" ht="15.0" customHeight="1">
      <c r="A82" s="152"/>
      <c r="B82" s="152"/>
      <c r="C82" s="219"/>
      <c r="D82" s="219"/>
      <c r="E82" s="222"/>
      <c r="F82" s="223"/>
      <c r="G82" s="223"/>
      <c r="H82" s="223"/>
      <c r="I82" s="223"/>
      <c r="J82" s="223"/>
      <c r="K82" s="223"/>
      <c r="L82" s="223"/>
      <c r="M82" s="223"/>
      <c r="N82" s="223"/>
      <c r="O82" s="223"/>
      <c r="P82" s="223"/>
      <c r="Q82" s="223"/>
      <c r="R82" s="223"/>
      <c r="S82" s="223"/>
      <c r="T82" s="223"/>
      <c r="U82" s="223"/>
      <c r="V82" s="223"/>
      <c r="W82" s="223"/>
      <c r="X82" s="223"/>
      <c r="Y82" s="223"/>
      <c r="Z82" s="223"/>
      <c r="AA82" s="223"/>
      <c r="AB82" s="223"/>
      <c r="AC82" s="223"/>
      <c r="AD82" s="223"/>
      <c r="AE82" s="223"/>
      <c r="AF82" s="223"/>
      <c r="AG82" s="223"/>
      <c r="AH82" s="223"/>
      <c r="AI82" s="223"/>
      <c r="AJ82" s="223"/>
      <c r="AK82" s="223"/>
      <c r="AL82" s="223"/>
      <c r="AM82" s="224"/>
      <c r="AN82" s="152"/>
      <c r="AO82" s="152"/>
      <c r="AP82" s="219"/>
      <c r="AQ82" s="219"/>
      <c r="AR82" s="222"/>
      <c r="AS82" s="223"/>
      <c r="AT82" s="223"/>
      <c r="AU82" s="223"/>
      <c r="AV82" s="223"/>
      <c r="AW82" s="223"/>
      <c r="AX82" s="223"/>
      <c r="AY82" s="223"/>
      <c r="AZ82" s="223"/>
      <c r="BA82" s="223"/>
      <c r="BB82" s="223"/>
      <c r="BC82" s="223"/>
      <c r="BD82" s="223"/>
      <c r="BE82" s="223"/>
      <c r="BF82" s="223"/>
      <c r="BG82" s="223"/>
      <c r="BH82" s="223"/>
      <c r="BI82" s="223"/>
      <c r="BJ82" s="223"/>
      <c r="BK82" s="223"/>
      <c r="BL82" s="223"/>
      <c r="BM82" s="223"/>
      <c r="BN82" s="223"/>
      <c r="BO82" s="223"/>
      <c r="BP82" s="223"/>
      <c r="BQ82" s="223"/>
      <c r="BR82" s="223"/>
      <c r="BS82" s="223"/>
      <c r="BT82" s="223"/>
      <c r="BU82" s="223"/>
      <c r="BV82" s="223"/>
      <c r="BW82" s="223"/>
      <c r="BX82" s="223"/>
      <c r="BY82" s="223"/>
      <c r="BZ82" s="224"/>
      <c r="CA82" s="152"/>
      <c r="CB82" s="152"/>
      <c r="CC82" s="152"/>
      <c r="CD82" s="152"/>
    </row>
    <row r="83" ht="15.0" customHeight="1">
      <c r="A83" s="152"/>
      <c r="B83" s="152"/>
      <c r="C83" s="225">
        <f>AP59+1</f>
        <v>7</v>
      </c>
      <c r="D83" s="225" t="s">
        <v>109</v>
      </c>
      <c r="E83" s="226" t="s">
        <v>109</v>
      </c>
      <c r="I83" s="227" t="str">
        <f t="array" ref="I83">xlookup(xlookup(C83&amp;D83&amp;"Nationality",'Roster Info'!$A:$A&amp;'Roster Info'!$G:$G&amp;'Roster Info'!$D:$D,'Roster Info'!$E:$E,""),'Roster Info'!$K:$K,'Roster Info'!$L:$L,"")</f>
        <v/>
      </c>
      <c r="K83" s="228" t="str">
        <f t="array" ref="K83">xlookup(C83&amp;D83,'Roster Info'!$A:$A&amp;'Roster Info'!$G:$G,'Roster Info'!$F:$F,"")</f>
        <v/>
      </c>
      <c r="U83" s="229" t="str">
        <f t="array" ref="U83">xlookup(C83&amp;D83&amp;"Full Name",'Roster Info'!$A:$A&amp;'Roster Info'!$G:$G&amp;'Roster Info'!$D:$D,'Roster Info'!$E:$E,"")</f>
        <v/>
      </c>
      <c r="AE83" s="63" t="str">
        <f t="array" ref="AE83">if(xlookup(C83&amp;D83&amp;"Steam",'Roster Info'!$A:$A&amp;'Roster Info'!$G:$G&amp;'Roster Info'!$D:$D,'Roster Info'!$E:$E,"")="","-",hyperlink(xlookup(C83&amp;D83&amp;"Steam",'Roster Info'!$A:$A&amp;'Roster Info'!$G:$G&amp;'Roster Info'!$D:$D,'Roster Info'!$E:$E,""),"Steam"))</f>
        <v>-</v>
      </c>
      <c r="AH83" s="63" t="str">
        <f t="array" ref="AH83">if(xlookup(C83&amp;D83&amp;"HLTV",'Roster Info'!$A:$A&amp;'Roster Info'!$G:$G&amp;'Roster Info'!$D:$D,'Roster Info'!$E:$E,"")="","-",hyperlink(xlookup(C83&amp;D83&amp;"HLTV",'Roster Info'!$A:$A&amp;'Roster Info'!$G:$G&amp;'Roster Info'!$D:$D,'Roster Info'!$E:$E,""),"HLTV"))</f>
        <v>-</v>
      </c>
      <c r="AK83" s="63" t="str">
        <f t="array" ref="AK83">if(xlookup(C83&amp;D83&amp;"FaceIt",'Roster Info'!$A:$A&amp;'Roster Info'!$G:$G&amp;'Roster Info'!$D:$D,'Roster Info'!$E:$E,"")="","-",hyperlink(xlookup(C83&amp;D83&amp;"FaceIt",'Roster Info'!$A:$A&amp;'Roster Info'!$G:$G&amp;'Roster Info'!$D:$D,'Roster Info'!$E:$E,""),"FaceIt"))</f>
        <v>-</v>
      </c>
      <c r="AM83" s="61"/>
      <c r="AN83" s="152"/>
      <c r="AO83" s="152"/>
      <c r="AP83" s="225">
        <f>C83+1</f>
        <v>8</v>
      </c>
      <c r="AQ83" s="225" t="s">
        <v>109</v>
      </c>
      <c r="AR83" s="226" t="s">
        <v>109</v>
      </c>
      <c r="AV83" s="227" t="str">
        <f t="array" ref="AV83">xlookup(xlookup(AP83&amp;AQ83&amp;"Nationality",'Roster Info'!$A:$A&amp;'Roster Info'!$G:$G&amp;'Roster Info'!$D:$D,'Roster Info'!$E:$E,""),'Roster Info'!$K:$K,'Roster Info'!$L:$L,"")</f>
        <v/>
      </c>
      <c r="AX83" s="228" t="str">
        <f t="array" ref="AX83">xlookup(AP83&amp;AQ83,'Roster Info'!$A:$A&amp;'Roster Info'!$G:$G,'Roster Info'!$F:$F,"")</f>
        <v/>
      </c>
      <c r="BH83" s="229" t="str">
        <f t="array" ref="BH83">xlookup(AP83&amp;AQ83&amp;"Full Name",'Roster Info'!$A:$A&amp;'Roster Info'!$G:$G&amp;'Roster Info'!$D:$D,'Roster Info'!$E:$E,"")</f>
        <v/>
      </c>
      <c r="BR83" s="63" t="str">
        <f t="array" ref="BR83">if(xlookup(AP83&amp;AQ83&amp;"Steam",'Roster Info'!$A:$A&amp;'Roster Info'!$G:$G&amp;'Roster Info'!$D:$D,'Roster Info'!$E:$E,"")="","-",hyperlink(xlookup(AP83&amp;AQ83&amp;"Steam",'Roster Info'!$A:$A&amp;'Roster Info'!$G:$G&amp;'Roster Info'!$D:$D,'Roster Info'!$E:$E,""),"Steam"))</f>
        <v>-</v>
      </c>
      <c r="BU83" s="63" t="str">
        <f t="array" ref="BU83">if(xlookup(AP83&amp;AQ83&amp;"HLTV",'Roster Info'!$A:$A&amp;'Roster Info'!$G:$G&amp;'Roster Info'!$D:$D,'Roster Info'!$E:$E,"")="","-",hyperlink(xlookup(AP83&amp;AQ83&amp;"HLTV",'Roster Info'!$A:$A&amp;'Roster Info'!$G:$G&amp;'Roster Info'!$D:$D,'Roster Info'!$E:$E,""),"HLTV"))</f>
        <v>-</v>
      </c>
      <c r="BX83" s="63" t="str">
        <f t="array" ref="BX83">if(xlookup(AP83&amp;AQ83&amp;"FaceIt",'Roster Info'!$A:$A&amp;'Roster Info'!$G:$G&amp;'Roster Info'!$D:$D,'Roster Info'!$E:$E,"")="","-",hyperlink(xlookup(AP83&amp;AQ83&amp;"FaceIt",'Roster Info'!$A:$A&amp;'Roster Info'!$G:$G&amp;'Roster Info'!$D:$D,'Roster Info'!$E:$E,""),"FaceIt"))</f>
        <v>-</v>
      </c>
      <c r="BZ83" s="61"/>
      <c r="CA83" s="152"/>
      <c r="CB83" s="152"/>
      <c r="CC83" s="152"/>
      <c r="CD83" s="152"/>
    </row>
    <row r="84" ht="15.0" customHeight="1">
      <c r="A84" s="152"/>
      <c r="B84" s="152"/>
      <c r="C84" s="219"/>
      <c r="D84" s="219"/>
      <c r="E84" s="230"/>
      <c r="F84" s="231"/>
      <c r="G84" s="231"/>
      <c r="H84" s="231"/>
      <c r="I84" s="231"/>
      <c r="J84" s="231"/>
      <c r="K84" s="231"/>
      <c r="L84" s="231"/>
      <c r="M84" s="231"/>
      <c r="N84" s="231"/>
      <c r="O84" s="231"/>
      <c r="P84" s="231"/>
      <c r="Q84" s="231"/>
      <c r="R84" s="231"/>
      <c r="S84" s="231"/>
      <c r="T84" s="231"/>
      <c r="U84" s="231"/>
      <c r="V84" s="231"/>
      <c r="W84" s="231"/>
      <c r="X84" s="231"/>
      <c r="Y84" s="231"/>
      <c r="Z84" s="231"/>
      <c r="AA84" s="231"/>
      <c r="AB84" s="231"/>
      <c r="AC84" s="231"/>
      <c r="AD84" s="231"/>
      <c r="AE84" s="231"/>
      <c r="AF84" s="231"/>
      <c r="AG84" s="231"/>
      <c r="AH84" s="231"/>
      <c r="AI84" s="231"/>
      <c r="AJ84" s="231"/>
      <c r="AK84" s="231"/>
      <c r="AL84" s="231"/>
      <c r="AM84" s="232"/>
      <c r="AN84" s="152"/>
      <c r="AO84" s="152"/>
      <c r="AP84" s="219"/>
      <c r="AQ84" s="219"/>
      <c r="AR84" s="230"/>
      <c r="AS84" s="231"/>
      <c r="AT84" s="231"/>
      <c r="AU84" s="231"/>
      <c r="AV84" s="231"/>
      <c r="AW84" s="231"/>
      <c r="AX84" s="231"/>
      <c r="AY84" s="231"/>
      <c r="AZ84" s="231"/>
      <c r="BA84" s="231"/>
      <c r="BB84" s="231"/>
      <c r="BC84" s="231"/>
      <c r="BD84" s="231"/>
      <c r="BE84" s="231"/>
      <c r="BF84" s="231"/>
      <c r="BG84" s="231"/>
      <c r="BH84" s="231"/>
      <c r="BI84" s="231"/>
      <c r="BJ84" s="231"/>
      <c r="BK84" s="231"/>
      <c r="BL84" s="231"/>
      <c r="BM84" s="231"/>
      <c r="BN84" s="231"/>
      <c r="BO84" s="231"/>
      <c r="BP84" s="231"/>
      <c r="BQ84" s="231"/>
      <c r="BR84" s="231"/>
      <c r="BS84" s="231"/>
      <c r="BT84" s="231"/>
      <c r="BU84" s="231"/>
      <c r="BV84" s="231"/>
      <c r="BW84" s="231"/>
      <c r="BX84" s="231"/>
      <c r="BY84" s="231"/>
      <c r="BZ84" s="232"/>
      <c r="CA84" s="152"/>
      <c r="CB84" s="152"/>
      <c r="CC84" s="152"/>
      <c r="CD84" s="152"/>
    </row>
    <row r="85" ht="15.0" customHeight="1">
      <c r="A85" s="152"/>
      <c r="B85" s="152"/>
      <c r="C85" s="219">
        <f>C83</f>
        <v>7</v>
      </c>
      <c r="D85" s="225" t="s">
        <v>115</v>
      </c>
      <c r="E85" s="226" t="s">
        <v>115</v>
      </c>
      <c r="I85" s="227" t="str">
        <f t="array" ref="I85">xlookup(xlookup(C85&amp;D85&amp;"Nationality",'Roster Info'!$A:$A&amp;'Roster Info'!$G:$G&amp;'Roster Info'!$D:$D,'Roster Info'!$E:$E,""),'Roster Info'!$K:$K,'Roster Info'!$L:$L,"")</f>
        <v/>
      </c>
      <c r="K85" s="228" t="str">
        <f t="array" ref="K85">xlookup(C85&amp;D85,'Roster Info'!$A:$A&amp;'Roster Info'!$G:$G,'Roster Info'!$F:$F,"")</f>
        <v/>
      </c>
      <c r="U85" s="229" t="str">
        <f t="array" ref="U85">xlookup(C85&amp;D85&amp;"Full Name",'Roster Info'!$A:$A&amp;'Roster Info'!$G:$G&amp;'Roster Info'!$D:$D,'Roster Info'!$E:$E,"")</f>
        <v/>
      </c>
      <c r="AE85" s="63" t="str">
        <f t="array" ref="AE85">if(xlookup(C85&amp;D85&amp;"Steam",'Roster Info'!$A:$A&amp;'Roster Info'!$G:$G&amp;'Roster Info'!$D:$D,'Roster Info'!$E:$E,"")="","-",hyperlink(xlookup(C85&amp;D85&amp;"Steam",'Roster Info'!$A:$A&amp;'Roster Info'!$G:$G&amp;'Roster Info'!$D:$D,'Roster Info'!$E:$E,""),"Steam"))</f>
        <v>-</v>
      </c>
      <c r="AH85" s="63" t="str">
        <f t="array" ref="AH85">if(xlookup(C85&amp;D85&amp;"HLTV",'Roster Info'!$A:$A&amp;'Roster Info'!$G:$G&amp;'Roster Info'!$D:$D,'Roster Info'!$E:$E,"")="","-",hyperlink(xlookup(C85&amp;D85&amp;"HLTV",'Roster Info'!$A:$A&amp;'Roster Info'!$G:$G&amp;'Roster Info'!$D:$D,'Roster Info'!$E:$E,""),"HLTV"))</f>
        <v>-</v>
      </c>
      <c r="AK85" s="63" t="str">
        <f t="array" ref="AK85">if(xlookup(C85&amp;D85&amp;"FaceIt",'Roster Info'!$A:$A&amp;'Roster Info'!$G:$G&amp;'Roster Info'!$D:$D,'Roster Info'!$E:$E,"")="","-",hyperlink(xlookup(C85&amp;D85&amp;"FaceIt",'Roster Info'!$A:$A&amp;'Roster Info'!$G:$G&amp;'Roster Info'!$D:$D,'Roster Info'!$E:$E,""),"FaceIt"))</f>
        <v>-</v>
      </c>
      <c r="AM85" s="61"/>
      <c r="AN85" s="152"/>
      <c r="AO85" s="152"/>
      <c r="AP85" s="219">
        <f>AP83</f>
        <v>8</v>
      </c>
      <c r="AQ85" s="225" t="s">
        <v>115</v>
      </c>
      <c r="AR85" s="226" t="s">
        <v>115</v>
      </c>
      <c r="AV85" s="227" t="str">
        <f t="array" ref="AV85">xlookup(xlookup(AP85&amp;AQ85&amp;"Nationality",'Roster Info'!$A:$A&amp;'Roster Info'!$G:$G&amp;'Roster Info'!$D:$D,'Roster Info'!$E:$E,""),'Roster Info'!$K:$K,'Roster Info'!$L:$L,"")</f>
        <v/>
      </c>
      <c r="AX85" s="228" t="str">
        <f t="array" ref="AX85">xlookup(AP85&amp;AQ85,'Roster Info'!$A:$A&amp;'Roster Info'!$G:$G,'Roster Info'!$F:$F,"")</f>
        <v/>
      </c>
      <c r="BH85" s="229" t="str">
        <f t="array" ref="BH85">xlookup(AP85&amp;AQ85&amp;"Full Name",'Roster Info'!$A:$A&amp;'Roster Info'!$G:$G&amp;'Roster Info'!$D:$D,'Roster Info'!$E:$E,"")</f>
        <v/>
      </c>
      <c r="BR85" s="63" t="str">
        <f t="array" ref="BR85">if(xlookup(AP85&amp;AQ85&amp;"Steam",'Roster Info'!$A:$A&amp;'Roster Info'!$G:$G&amp;'Roster Info'!$D:$D,'Roster Info'!$E:$E,"")="","-",hyperlink(xlookup(AP85&amp;AQ85&amp;"Steam",'Roster Info'!$A:$A&amp;'Roster Info'!$G:$G&amp;'Roster Info'!$D:$D,'Roster Info'!$E:$E,""),"Steam"))</f>
        <v>-</v>
      </c>
      <c r="BU85" s="63" t="str">
        <f t="array" ref="BU85">if(xlookup(AP85&amp;AQ85&amp;"HLTV",'Roster Info'!$A:$A&amp;'Roster Info'!$G:$G&amp;'Roster Info'!$D:$D,'Roster Info'!$E:$E,"")="","-",hyperlink(xlookup(AP85&amp;AQ85&amp;"HLTV",'Roster Info'!$A:$A&amp;'Roster Info'!$G:$G&amp;'Roster Info'!$D:$D,'Roster Info'!$E:$E,""),"HLTV"))</f>
        <v>-</v>
      </c>
      <c r="BX85" s="63" t="str">
        <f t="array" ref="BX85">if(xlookup(AP85&amp;AQ85&amp;"FaceIt",'Roster Info'!$A:$A&amp;'Roster Info'!$G:$G&amp;'Roster Info'!$D:$D,'Roster Info'!$E:$E,"")="","-",hyperlink(xlookup(AP85&amp;AQ85&amp;"FaceIt",'Roster Info'!$A:$A&amp;'Roster Info'!$G:$G&amp;'Roster Info'!$D:$D,'Roster Info'!$E:$E,""),"FaceIt"))</f>
        <v>-</v>
      </c>
      <c r="BZ85" s="61"/>
      <c r="CA85" s="152"/>
      <c r="CB85" s="152"/>
      <c r="CC85" s="152"/>
      <c r="CD85" s="152"/>
    </row>
    <row r="86" ht="15.0" customHeight="1">
      <c r="A86" s="152"/>
      <c r="B86" s="152"/>
      <c r="C86" s="219"/>
      <c r="D86" s="219"/>
      <c r="E86" s="230"/>
      <c r="F86" s="231"/>
      <c r="G86" s="231"/>
      <c r="H86" s="231"/>
      <c r="I86" s="231"/>
      <c r="J86" s="231"/>
      <c r="K86" s="231"/>
      <c r="L86" s="231"/>
      <c r="M86" s="231"/>
      <c r="N86" s="231"/>
      <c r="O86" s="231"/>
      <c r="P86" s="231"/>
      <c r="Q86" s="231"/>
      <c r="R86" s="231"/>
      <c r="S86" s="231"/>
      <c r="T86" s="231"/>
      <c r="U86" s="231"/>
      <c r="V86" s="231"/>
      <c r="W86" s="231"/>
      <c r="X86" s="231"/>
      <c r="Y86" s="231"/>
      <c r="Z86" s="231"/>
      <c r="AA86" s="231"/>
      <c r="AB86" s="231"/>
      <c r="AC86" s="231"/>
      <c r="AD86" s="231"/>
      <c r="AE86" s="231"/>
      <c r="AF86" s="231"/>
      <c r="AG86" s="231"/>
      <c r="AH86" s="231"/>
      <c r="AI86" s="231"/>
      <c r="AJ86" s="231"/>
      <c r="AK86" s="231"/>
      <c r="AL86" s="231"/>
      <c r="AM86" s="232"/>
      <c r="AN86" s="152"/>
      <c r="AO86" s="152"/>
      <c r="AP86" s="219"/>
      <c r="AQ86" s="219"/>
      <c r="AR86" s="230"/>
      <c r="AS86" s="231"/>
      <c r="AT86" s="231"/>
      <c r="AU86" s="231"/>
      <c r="AV86" s="231"/>
      <c r="AW86" s="231"/>
      <c r="AX86" s="231"/>
      <c r="AY86" s="231"/>
      <c r="AZ86" s="231"/>
      <c r="BA86" s="231"/>
      <c r="BB86" s="231"/>
      <c r="BC86" s="231"/>
      <c r="BD86" s="231"/>
      <c r="BE86" s="231"/>
      <c r="BF86" s="231"/>
      <c r="BG86" s="231"/>
      <c r="BH86" s="231"/>
      <c r="BI86" s="231"/>
      <c r="BJ86" s="231"/>
      <c r="BK86" s="231"/>
      <c r="BL86" s="231"/>
      <c r="BM86" s="231"/>
      <c r="BN86" s="231"/>
      <c r="BO86" s="231"/>
      <c r="BP86" s="231"/>
      <c r="BQ86" s="231"/>
      <c r="BR86" s="231"/>
      <c r="BS86" s="231"/>
      <c r="BT86" s="231"/>
      <c r="BU86" s="231"/>
      <c r="BV86" s="231"/>
      <c r="BW86" s="231"/>
      <c r="BX86" s="231"/>
      <c r="BY86" s="231"/>
      <c r="BZ86" s="232"/>
      <c r="CA86" s="152"/>
      <c r="CB86" s="152"/>
      <c r="CC86" s="152"/>
      <c r="CD86" s="152"/>
    </row>
    <row r="87" ht="15.0" customHeight="1">
      <c r="A87" s="152"/>
      <c r="B87" s="152"/>
      <c r="C87" s="219">
        <f>C85</f>
        <v>7</v>
      </c>
      <c r="D87" s="225" t="s">
        <v>121</v>
      </c>
      <c r="E87" s="226" t="s">
        <v>121</v>
      </c>
      <c r="I87" s="227" t="str">
        <f t="array" ref="I87">xlookup(xlookup(C87&amp;D87&amp;"Nationality",'Roster Info'!$A:$A&amp;'Roster Info'!$G:$G&amp;'Roster Info'!$D:$D,'Roster Info'!$E:$E,""),'Roster Info'!$K:$K,'Roster Info'!$L:$L,"")</f>
        <v/>
      </c>
      <c r="K87" s="228" t="str">
        <f t="array" ref="K87">xlookup(C87&amp;D87,'Roster Info'!$A:$A&amp;'Roster Info'!$G:$G,'Roster Info'!$F:$F,"")</f>
        <v/>
      </c>
      <c r="U87" s="229" t="str">
        <f t="array" ref="U87">xlookup(C87&amp;D87&amp;"Full Name",'Roster Info'!$A:$A&amp;'Roster Info'!$G:$G&amp;'Roster Info'!$D:$D,'Roster Info'!$E:$E,"")</f>
        <v/>
      </c>
      <c r="AE87" s="63" t="str">
        <f t="array" ref="AE87">if(xlookup(C87&amp;D87&amp;"Steam",'Roster Info'!$A:$A&amp;'Roster Info'!$G:$G&amp;'Roster Info'!$D:$D,'Roster Info'!$E:$E,"")="","-",hyperlink(xlookup(C87&amp;D87&amp;"Steam",'Roster Info'!$A:$A&amp;'Roster Info'!$G:$G&amp;'Roster Info'!$D:$D,'Roster Info'!$E:$E,""),"Steam"))</f>
        <v>-</v>
      </c>
      <c r="AH87" s="63" t="str">
        <f t="array" ref="AH87">if(xlookup(C87&amp;D87&amp;"HLTV",'Roster Info'!$A:$A&amp;'Roster Info'!$G:$G&amp;'Roster Info'!$D:$D,'Roster Info'!$E:$E,"")="","-",hyperlink(xlookup(C87&amp;D87&amp;"HLTV",'Roster Info'!$A:$A&amp;'Roster Info'!$G:$G&amp;'Roster Info'!$D:$D,'Roster Info'!$E:$E,""),"HLTV"))</f>
        <v>-</v>
      </c>
      <c r="AK87" s="63" t="str">
        <f t="array" ref="AK87">if(xlookup(C87&amp;D87&amp;"FaceIt",'Roster Info'!$A:$A&amp;'Roster Info'!$G:$G&amp;'Roster Info'!$D:$D,'Roster Info'!$E:$E,"")="","-",hyperlink(xlookup(C87&amp;D87&amp;"FaceIt",'Roster Info'!$A:$A&amp;'Roster Info'!$G:$G&amp;'Roster Info'!$D:$D,'Roster Info'!$E:$E,""),"FaceIt"))</f>
        <v>-</v>
      </c>
      <c r="AM87" s="61"/>
      <c r="AN87" s="152"/>
      <c r="AO87" s="152"/>
      <c r="AP87" s="219">
        <f>AP85</f>
        <v>8</v>
      </c>
      <c r="AQ87" s="225" t="s">
        <v>121</v>
      </c>
      <c r="AR87" s="226" t="s">
        <v>121</v>
      </c>
      <c r="AV87" s="227" t="str">
        <f t="array" ref="AV87">xlookup(xlookup(AP87&amp;AQ87&amp;"Nationality",'Roster Info'!$A:$A&amp;'Roster Info'!$G:$G&amp;'Roster Info'!$D:$D,'Roster Info'!$E:$E,""),'Roster Info'!$K:$K,'Roster Info'!$L:$L,"")</f>
        <v/>
      </c>
      <c r="AX87" s="228" t="str">
        <f t="array" ref="AX87">xlookup(AP87&amp;AQ87,'Roster Info'!$A:$A&amp;'Roster Info'!$G:$G,'Roster Info'!$F:$F,"")</f>
        <v/>
      </c>
      <c r="BH87" s="229" t="str">
        <f t="array" ref="BH87">xlookup(AP87&amp;AQ87&amp;"Full Name",'Roster Info'!$A:$A&amp;'Roster Info'!$G:$G&amp;'Roster Info'!$D:$D,'Roster Info'!$E:$E,"")</f>
        <v/>
      </c>
      <c r="BR87" s="63" t="str">
        <f t="array" ref="BR87">if(xlookup(AP87&amp;AQ87&amp;"Steam",'Roster Info'!$A:$A&amp;'Roster Info'!$G:$G&amp;'Roster Info'!$D:$D,'Roster Info'!$E:$E,"")="","-",hyperlink(xlookup(AP87&amp;AQ87&amp;"Steam",'Roster Info'!$A:$A&amp;'Roster Info'!$G:$G&amp;'Roster Info'!$D:$D,'Roster Info'!$E:$E,""),"Steam"))</f>
        <v>-</v>
      </c>
      <c r="BU87" s="63" t="str">
        <f t="array" ref="BU87">if(xlookup(AP87&amp;AQ87&amp;"HLTV",'Roster Info'!$A:$A&amp;'Roster Info'!$G:$G&amp;'Roster Info'!$D:$D,'Roster Info'!$E:$E,"")="","-",hyperlink(xlookup(AP87&amp;AQ87&amp;"HLTV",'Roster Info'!$A:$A&amp;'Roster Info'!$G:$G&amp;'Roster Info'!$D:$D,'Roster Info'!$E:$E,""),"HLTV"))</f>
        <v>-</v>
      </c>
      <c r="BX87" s="63" t="str">
        <f t="array" ref="BX87">if(xlookup(AP87&amp;AQ87&amp;"FaceIt",'Roster Info'!$A:$A&amp;'Roster Info'!$G:$G&amp;'Roster Info'!$D:$D,'Roster Info'!$E:$E,"")="","-",hyperlink(xlookup(AP87&amp;AQ87&amp;"FaceIt",'Roster Info'!$A:$A&amp;'Roster Info'!$G:$G&amp;'Roster Info'!$D:$D,'Roster Info'!$E:$E,""),"FaceIt"))</f>
        <v>-</v>
      </c>
      <c r="BZ87" s="61"/>
      <c r="CA87" s="152"/>
      <c r="CB87" s="152"/>
      <c r="CC87" s="152"/>
      <c r="CD87" s="152"/>
    </row>
    <row r="88" ht="15.0" customHeight="1">
      <c r="A88" s="152"/>
      <c r="B88" s="152"/>
      <c r="C88" s="219"/>
      <c r="D88" s="219"/>
      <c r="E88" s="230"/>
      <c r="F88" s="231"/>
      <c r="G88" s="231"/>
      <c r="H88" s="231"/>
      <c r="I88" s="231"/>
      <c r="J88" s="231"/>
      <c r="K88" s="231"/>
      <c r="L88" s="231"/>
      <c r="M88" s="231"/>
      <c r="N88" s="231"/>
      <c r="O88" s="231"/>
      <c r="P88" s="231"/>
      <c r="Q88" s="231"/>
      <c r="R88" s="231"/>
      <c r="S88" s="231"/>
      <c r="T88" s="231"/>
      <c r="U88" s="231"/>
      <c r="V88" s="231"/>
      <c r="W88" s="231"/>
      <c r="X88" s="231"/>
      <c r="Y88" s="231"/>
      <c r="Z88" s="231"/>
      <c r="AA88" s="231"/>
      <c r="AB88" s="231"/>
      <c r="AC88" s="231"/>
      <c r="AD88" s="231"/>
      <c r="AE88" s="231"/>
      <c r="AF88" s="231"/>
      <c r="AG88" s="231"/>
      <c r="AH88" s="231"/>
      <c r="AI88" s="231"/>
      <c r="AJ88" s="231"/>
      <c r="AK88" s="231"/>
      <c r="AL88" s="231"/>
      <c r="AM88" s="232"/>
      <c r="AN88" s="152"/>
      <c r="AO88" s="152"/>
      <c r="AP88" s="219"/>
      <c r="AQ88" s="219"/>
      <c r="AR88" s="230"/>
      <c r="AS88" s="231"/>
      <c r="AT88" s="231"/>
      <c r="AU88" s="231"/>
      <c r="AV88" s="231"/>
      <c r="AW88" s="231"/>
      <c r="AX88" s="231"/>
      <c r="AY88" s="231"/>
      <c r="AZ88" s="231"/>
      <c r="BA88" s="231"/>
      <c r="BB88" s="231"/>
      <c r="BC88" s="231"/>
      <c r="BD88" s="231"/>
      <c r="BE88" s="231"/>
      <c r="BF88" s="231"/>
      <c r="BG88" s="231"/>
      <c r="BH88" s="231"/>
      <c r="BI88" s="231"/>
      <c r="BJ88" s="231"/>
      <c r="BK88" s="231"/>
      <c r="BL88" s="231"/>
      <c r="BM88" s="231"/>
      <c r="BN88" s="231"/>
      <c r="BO88" s="231"/>
      <c r="BP88" s="231"/>
      <c r="BQ88" s="231"/>
      <c r="BR88" s="231"/>
      <c r="BS88" s="231"/>
      <c r="BT88" s="231"/>
      <c r="BU88" s="231"/>
      <c r="BV88" s="231"/>
      <c r="BW88" s="231"/>
      <c r="BX88" s="231"/>
      <c r="BY88" s="231"/>
      <c r="BZ88" s="232"/>
      <c r="CA88" s="152"/>
      <c r="CB88" s="152"/>
      <c r="CC88" s="152"/>
      <c r="CD88" s="152"/>
    </row>
    <row r="89" ht="15.0" customHeight="1">
      <c r="A89" s="152"/>
      <c r="B89" s="152"/>
      <c r="C89" s="219">
        <f>C87</f>
        <v>7</v>
      </c>
      <c r="D89" s="225" t="s">
        <v>127</v>
      </c>
      <c r="E89" s="226" t="s">
        <v>127</v>
      </c>
      <c r="I89" s="227" t="str">
        <f t="array" ref="I89">xlookup(xlookup(C89&amp;D89&amp;"Nationality",'Roster Info'!$A:$A&amp;'Roster Info'!$G:$G&amp;'Roster Info'!$D:$D,'Roster Info'!$E:$E,""),'Roster Info'!$K:$K,'Roster Info'!$L:$L,"")</f>
        <v/>
      </c>
      <c r="K89" s="228" t="str">
        <f t="array" ref="K89">xlookup(C89&amp;D89,'Roster Info'!$A:$A&amp;'Roster Info'!$G:$G,'Roster Info'!$F:$F,"")</f>
        <v/>
      </c>
      <c r="U89" s="229" t="str">
        <f t="array" ref="U89">xlookup(C89&amp;D89&amp;"Full Name",'Roster Info'!$A:$A&amp;'Roster Info'!$G:$G&amp;'Roster Info'!$D:$D,'Roster Info'!$E:$E,"")</f>
        <v/>
      </c>
      <c r="AE89" s="63" t="str">
        <f t="array" ref="AE89">if(xlookup(C89&amp;D89&amp;"Steam",'Roster Info'!$A:$A&amp;'Roster Info'!$G:$G&amp;'Roster Info'!$D:$D,'Roster Info'!$E:$E,"")="","-",hyperlink(xlookup(C89&amp;D89&amp;"Steam",'Roster Info'!$A:$A&amp;'Roster Info'!$G:$G&amp;'Roster Info'!$D:$D,'Roster Info'!$E:$E,""),"Steam"))</f>
        <v>-</v>
      </c>
      <c r="AH89" s="63" t="str">
        <f t="array" ref="AH89">if(xlookup(C89&amp;D89&amp;"HLTV",'Roster Info'!$A:$A&amp;'Roster Info'!$G:$G&amp;'Roster Info'!$D:$D,'Roster Info'!$E:$E,"")="","-",hyperlink(xlookup(C89&amp;D89&amp;"HLTV",'Roster Info'!$A:$A&amp;'Roster Info'!$G:$G&amp;'Roster Info'!$D:$D,'Roster Info'!$E:$E,""),"HLTV"))</f>
        <v>-</v>
      </c>
      <c r="AK89" s="63" t="str">
        <f t="array" ref="AK89">if(xlookup(C89&amp;D89&amp;"FaceIt",'Roster Info'!$A:$A&amp;'Roster Info'!$G:$G&amp;'Roster Info'!$D:$D,'Roster Info'!$E:$E,"")="","-",hyperlink(xlookup(C89&amp;D89&amp;"FaceIt",'Roster Info'!$A:$A&amp;'Roster Info'!$G:$G&amp;'Roster Info'!$D:$D,'Roster Info'!$E:$E,""),"FaceIt"))</f>
        <v>-</v>
      </c>
      <c r="AM89" s="61"/>
      <c r="AN89" s="152"/>
      <c r="AO89" s="152"/>
      <c r="AP89" s="219">
        <f>AP87</f>
        <v>8</v>
      </c>
      <c r="AQ89" s="225" t="s">
        <v>127</v>
      </c>
      <c r="AR89" s="226" t="s">
        <v>127</v>
      </c>
      <c r="AV89" s="227" t="str">
        <f t="array" ref="AV89">xlookup(xlookup(AP89&amp;AQ89&amp;"Nationality",'Roster Info'!$A:$A&amp;'Roster Info'!$G:$G&amp;'Roster Info'!$D:$D,'Roster Info'!$E:$E,""),'Roster Info'!$K:$K,'Roster Info'!$L:$L,"")</f>
        <v/>
      </c>
      <c r="AX89" s="228" t="str">
        <f t="array" ref="AX89">xlookup(AP89&amp;AQ89,'Roster Info'!$A:$A&amp;'Roster Info'!$G:$G,'Roster Info'!$F:$F,"")</f>
        <v/>
      </c>
      <c r="BH89" s="229" t="str">
        <f t="array" ref="BH89">xlookup(AP89&amp;AQ89&amp;"Full Name",'Roster Info'!$A:$A&amp;'Roster Info'!$G:$G&amp;'Roster Info'!$D:$D,'Roster Info'!$E:$E,"")</f>
        <v/>
      </c>
      <c r="BR89" s="63" t="str">
        <f t="array" ref="BR89">if(xlookup(AP89&amp;AQ89&amp;"Steam",'Roster Info'!$A:$A&amp;'Roster Info'!$G:$G&amp;'Roster Info'!$D:$D,'Roster Info'!$E:$E,"")="","-",hyperlink(xlookup(AP89&amp;AQ89&amp;"Steam",'Roster Info'!$A:$A&amp;'Roster Info'!$G:$G&amp;'Roster Info'!$D:$D,'Roster Info'!$E:$E,""),"Steam"))</f>
        <v>-</v>
      </c>
      <c r="BU89" s="63" t="str">
        <f t="array" ref="BU89">if(xlookup(AP89&amp;AQ89&amp;"HLTV",'Roster Info'!$A:$A&amp;'Roster Info'!$G:$G&amp;'Roster Info'!$D:$D,'Roster Info'!$E:$E,"")="","-",hyperlink(xlookup(AP89&amp;AQ89&amp;"HLTV",'Roster Info'!$A:$A&amp;'Roster Info'!$G:$G&amp;'Roster Info'!$D:$D,'Roster Info'!$E:$E,""),"HLTV"))</f>
        <v>-</v>
      </c>
      <c r="BX89" s="63" t="str">
        <f t="array" ref="BX89">if(xlookup(AP89&amp;AQ89&amp;"FaceIt",'Roster Info'!$A:$A&amp;'Roster Info'!$G:$G&amp;'Roster Info'!$D:$D,'Roster Info'!$E:$E,"")="","-",hyperlink(xlookup(AP89&amp;AQ89&amp;"FaceIt",'Roster Info'!$A:$A&amp;'Roster Info'!$G:$G&amp;'Roster Info'!$D:$D,'Roster Info'!$E:$E,""),"FaceIt"))</f>
        <v>-</v>
      </c>
      <c r="BZ89" s="61"/>
      <c r="CA89" s="152"/>
      <c r="CB89" s="152"/>
      <c r="CC89" s="152"/>
      <c r="CD89" s="152"/>
    </row>
    <row r="90" ht="15.0" customHeight="1">
      <c r="A90" s="152"/>
      <c r="B90" s="152"/>
      <c r="C90" s="219"/>
      <c r="D90" s="219"/>
      <c r="E90" s="230"/>
      <c r="F90" s="231"/>
      <c r="G90" s="231"/>
      <c r="H90" s="231"/>
      <c r="I90" s="231"/>
      <c r="J90" s="231"/>
      <c r="K90" s="231"/>
      <c r="L90" s="231"/>
      <c r="M90" s="231"/>
      <c r="N90" s="231"/>
      <c r="O90" s="231"/>
      <c r="P90" s="231"/>
      <c r="Q90" s="231"/>
      <c r="R90" s="231"/>
      <c r="S90" s="231"/>
      <c r="T90" s="231"/>
      <c r="U90" s="231"/>
      <c r="V90" s="231"/>
      <c r="W90" s="231"/>
      <c r="X90" s="231"/>
      <c r="Y90" s="231"/>
      <c r="Z90" s="231"/>
      <c r="AA90" s="231"/>
      <c r="AB90" s="231"/>
      <c r="AC90" s="231"/>
      <c r="AD90" s="231"/>
      <c r="AE90" s="231"/>
      <c r="AF90" s="231"/>
      <c r="AG90" s="231"/>
      <c r="AH90" s="231"/>
      <c r="AI90" s="231"/>
      <c r="AJ90" s="231"/>
      <c r="AK90" s="231"/>
      <c r="AL90" s="231"/>
      <c r="AM90" s="232"/>
      <c r="AN90" s="152"/>
      <c r="AO90" s="152"/>
      <c r="AP90" s="219"/>
      <c r="AQ90" s="219"/>
      <c r="AR90" s="230"/>
      <c r="AS90" s="231"/>
      <c r="AT90" s="231"/>
      <c r="AU90" s="231"/>
      <c r="AV90" s="231"/>
      <c r="AW90" s="231"/>
      <c r="AX90" s="231"/>
      <c r="AY90" s="231"/>
      <c r="AZ90" s="231"/>
      <c r="BA90" s="231"/>
      <c r="BB90" s="231"/>
      <c r="BC90" s="231"/>
      <c r="BD90" s="231"/>
      <c r="BE90" s="231"/>
      <c r="BF90" s="231"/>
      <c r="BG90" s="231"/>
      <c r="BH90" s="231"/>
      <c r="BI90" s="231"/>
      <c r="BJ90" s="231"/>
      <c r="BK90" s="231"/>
      <c r="BL90" s="231"/>
      <c r="BM90" s="231"/>
      <c r="BN90" s="231"/>
      <c r="BO90" s="231"/>
      <c r="BP90" s="231"/>
      <c r="BQ90" s="231"/>
      <c r="BR90" s="231"/>
      <c r="BS90" s="231"/>
      <c r="BT90" s="231"/>
      <c r="BU90" s="231"/>
      <c r="BV90" s="231"/>
      <c r="BW90" s="231"/>
      <c r="BX90" s="231"/>
      <c r="BY90" s="231"/>
      <c r="BZ90" s="232"/>
      <c r="CA90" s="152"/>
      <c r="CB90" s="152"/>
      <c r="CC90" s="152"/>
      <c r="CD90" s="152"/>
    </row>
    <row r="91" ht="15.0" customHeight="1">
      <c r="A91" s="152"/>
      <c r="B91" s="152"/>
      <c r="C91" s="219">
        <f>C89</f>
        <v>7</v>
      </c>
      <c r="D91" s="225" t="s">
        <v>133</v>
      </c>
      <c r="E91" s="226" t="s">
        <v>133</v>
      </c>
      <c r="I91" s="227" t="str">
        <f t="array" ref="I91">xlookup(xlookup(C91&amp;D91&amp;"Nationality",'Roster Info'!$A:$A&amp;'Roster Info'!$G:$G&amp;'Roster Info'!$D:$D,'Roster Info'!$E:$E,""),'Roster Info'!$K:$K,'Roster Info'!$L:$L,"")</f>
        <v/>
      </c>
      <c r="K91" s="228" t="str">
        <f t="array" ref="K91">xlookup(C91&amp;D91,'Roster Info'!$A:$A&amp;'Roster Info'!$G:$G,'Roster Info'!$F:$F,"")</f>
        <v/>
      </c>
      <c r="U91" s="229" t="str">
        <f t="array" ref="U91">xlookup(C91&amp;D91&amp;"Full Name",'Roster Info'!$A:$A&amp;'Roster Info'!$G:$G&amp;'Roster Info'!$D:$D,'Roster Info'!$E:$E,"")</f>
        <v/>
      </c>
      <c r="AE91" s="63" t="str">
        <f t="array" ref="AE91">if(xlookup(C91&amp;D91&amp;"Steam",'Roster Info'!$A:$A&amp;'Roster Info'!$G:$G&amp;'Roster Info'!$D:$D,'Roster Info'!$E:$E,"")="","-",hyperlink(xlookup(C91&amp;D91&amp;"Steam",'Roster Info'!$A:$A&amp;'Roster Info'!$G:$G&amp;'Roster Info'!$D:$D,'Roster Info'!$E:$E,""),"Steam"))</f>
        <v>-</v>
      </c>
      <c r="AH91" s="63" t="str">
        <f t="array" ref="AH91">if(xlookup(C91&amp;D91&amp;"HLTV",'Roster Info'!$A:$A&amp;'Roster Info'!$G:$G&amp;'Roster Info'!$D:$D,'Roster Info'!$E:$E,"")="","-",hyperlink(xlookup(C91&amp;D91&amp;"HLTV",'Roster Info'!$A:$A&amp;'Roster Info'!$G:$G&amp;'Roster Info'!$D:$D,'Roster Info'!$E:$E,""),"HLTV"))</f>
        <v>-</v>
      </c>
      <c r="AK91" s="63" t="str">
        <f t="array" ref="AK91">if(xlookup(C91&amp;D91&amp;"FaceIt",'Roster Info'!$A:$A&amp;'Roster Info'!$G:$G&amp;'Roster Info'!$D:$D,'Roster Info'!$E:$E,"")="","-",hyperlink(xlookup(C91&amp;D91&amp;"FaceIt",'Roster Info'!$A:$A&amp;'Roster Info'!$G:$G&amp;'Roster Info'!$D:$D,'Roster Info'!$E:$E,""),"FaceIt"))</f>
        <v>-</v>
      </c>
      <c r="AM91" s="61"/>
      <c r="AN91" s="152"/>
      <c r="AO91" s="152"/>
      <c r="AP91" s="219">
        <f>AP89</f>
        <v>8</v>
      </c>
      <c r="AQ91" s="225" t="s">
        <v>133</v>
      </c>
      <c r="AR91" s="226" t="s">
        <v>133</v>
      </c>
      <c r="AV91" s="227" t="str">
        <f t="array" ref="AV91">xlookup(xlookup(AP91&amp;AQ91&amp;"Nationality",'Roster Info'!$A:$A&amp;'Roster Info'!$G:$G&amp;'Roster Info'!$D:$D,'Roster Info'!$E:$E,""),'Roster Info'!$K:$K,'Roster Info'!$L:$L,"")</f>
        <v/>
      </c>
      <c r="AX91" s="228" t="str">
        <f t="array" ref="AX91">xlookup(AP91&amp;AQ91,'Roster Info'!$A:$A&amp;'Roster Info'!$G:$G,'Roster Info'!$F:$F,"")</f>
        <v/>
      </c>
      <c r="BH91" s="229" t="str">
        <f t="array" ref="BH91">xlookup(AP91&amp;AQ91&amp;"Full Name",'Roster Info'!$A:$A&amp;'Roster Info'!$G:$G&amp;'Roster Info'!$D:$D,'Roster Info'!$E:$E,"")</f>
        <v/>
      </c>
      <c r="BR91" s="63" t="str">
        <f t="array" ref="BR91">if(xlookup(AP91&amp;AQ91&amp;"Steam",'Roster Info'!$A:$A&amp;'Roster Info'!$G:$G&amp;'Roster Info'!$D:$D,'Roster Info'!$E:$E,"")="","-",hyperlink(xlookup(AP91&amp;AQ91&amp;"Steam",'Roster Info'!$A:$A&amp;'Roster Info'!$G:$G&amp;'Roster Info'!$D:$D,'Roster Info'!$E:$E,""),"Steam"))</f>
        <v>-</v>
      </c>
      <c r="BU91" s="63" t="str">
        <f t="array" ref="BU91">if(xlookup(AP91&amp;AQ91&amp;"HLTV",'Roster Info'!$A:$A&amp;'Roster Info'!$G:$G&amp;'Roster Info'!$D:$D,'Roster Info'!$E:$E,"")="","-",hyperlink(xlookup(AP91&amp;AQ91&amp;"HLTV",'Roster Info'!$A:$A&amp;'Roster Info'!$G:$G&amp;'Roster Info'!$D:$D,'Roster Info'!$E:$E,""),"HLTV"))</f>
        <v>-</v>
      </c>
      <c r="BX91" s="63" t="str">
        <f t="array" ref="BX91">if(xlookup(AP91&amp;AQ91&amp;"FaceIt",'Roster Info'!$A:$A&amp;'Roster Info'!$G:$G&amp;'Roster Info'!$D:$D,'Roster Info'!$E:$E,"")="","-",hyperlink(xlookup(AP91&amp;AQ91&amp;"FaceIt",'Roster Info'!$A:$A&amp;'Roster Info'!$G:$G&amp;'Roster Info'!$D:$D,'Roster Info'!$E:$E,""),"FaceIt"))</f>
        <v>-</v>
      </c>
      <c r="BZ91" s="61"/>
      <c r="CA91" s="152"/>
      <c r="CB91" s="152"/>
      <c r="CC91" s="152"/>
      <c r="CD91" s="152"/>
    </row>
    <row r="92" ht="15.0" customHeight="1">
      <c r="A92" s="152"/>
      <c r="B92" s="152"/>
      <c r="C92" s="219"/>
      <c r="D92" s="219"/>
      <c r="E92" s="230"/>
      <c r="F92" s="231"/>
      <c r="G92" s="231"/>
      <c r="H92" s="231"/>
      <c r="I92" s="231"/>
      <c r="J92" s="231"/>
      <c r="K92" s="231"/>
      <c r="L92" s="231"/>
      <c r="M92" s="231"/>
      <c r="N92" s="231"/>
      <c r="O92" s="231"/>
      <c r="P92" s="231"/>
      <c r="Q92" s="231"/>
      <c r="R92" s="231"/>
      <c r="S92" s="231"/>
      <c r="T92" s="231"/>
      <c r="U92" s="231"/>
      <c r="V92" s="231"/>
      <c r="W92" s="231"/>
      <c r="X92" s="231"/>
      <c r="Y92" s="231"/>
      <c r="Z92" s="231"/>
      <c r="AA92" s="231"/>
      <c r="AB92" s="231"/>
      <c r="AC92" s="231"/>
      <c r="AD92" s="231"/>
      <c r="AE92" s="231"/>
      <c r="AF92" s="231"/>
      <c r="AG92" s="231"/>
      <c r="AH92" s="231"/>
      <c r="AI92" s="231"/>
      <c r="AJ92" s="231"/>
      <c r="AK92" s="231"/>
      <c r="AL92" s="231"/>
      <c r="AM92" s="232"/>
      <c r="AN92" s="152"/>
      <c r="AO92" s="152"/>
      <c r="AP92" s="219"/>
      <c r="AQ92" s="219"/>
      <c r="AR92" s="230"/>
      <c r="AS92" s="231"/>
      <c r="AT92" s="231"/>
      <c r="AU92" s="231"/>
      <c r="AV92" s="231"/>
      <c r="AW92" s="231"/>
      <c r="AX92" s="231"/>
      <c r="AY92" s="231"/>
      <c r="AZ92" s="231"/>
      <c r="BA92" s="231"/>
      <c r="BB92" s="231"/>
      <c r="BC92" s="231"/>
      <c r="BD92" s="231"/>
      <c r="BE92" s="231"/>
      <c r="BF92" s="231"/>
      <c r="BG92" s="231"/>
      <c r="BH92" s="231"/>
      <c r="BI92" s="231"/>
      <c r="BJ92" s="231"/>
      <c r="BK92" s="231"/>
      <c r="BL92" s="231"/>
      <c r="BM92" s="231"/>
      <c r="BN92" s="231"/>
      <c r="BO92" s="231"/>
      <c r="BP92" s="231"/>
      <c r="BQ92" s="231"/>
      <c r="BR92" s="231"/>
      <c r="BS92" s="231"/>
      <c r="BT92" s="231"/>
      <c r="BU92" s="231"/>
      <c r="BV92" s="231"/>
      <c r="BW92" s="231"/>
      <c r="BX92" s="231"/>
      <c r="BY92" s="231"/>
      <c r="BZ92" s="232"/>
      <c r="CA92" s="152"/>
      <c r="CB92" s="152"/>
      <c r="CC92" s="152"/>
      <c r="CD92" s="152"/>
    </row>
    <row r="93" ht="15.0" customHeight="1">
      <c r="A93" s="152"/>
      <c r="B93" s="152"/>
      <c r="C93" s="219">
        <f>C91</f>
        <v>7</v>
      </c>
      <c r="D93" s="233" t="s">
        <v>139</v>
      </c>
      <c r="E93" s="234" t="s">
        <v>319</v>
      </c>
      <c r="I93" s="227" t="str">
        <f t="array" ref="I93">xlookup(xlookup(C93&amp;D93&amp;"Nationality",'Roster Info'!$A:$A&amp;'Roster Info'!$G:$G&amp;'Roster Info'!$D:$D,'Roster Info'!$E:$E,""),'Roster Info'!$K:$K,'Roster Info'!$L:$L,"")</f>
        <v/>
      </c>
      <c r="K93" s="228" t="str">
        <f t="array" ref="K93">xlookup(C93&amp;D93,'Roster Info'!$A:$A&amp;'Roster Info'!$G:$G,'Roster Info'!$F:$F,"")</f>
        <v/>
      </c>
      <c r="U93" s="229" t="str">
        <f t="array" ref="U93">xlookup(C93&amp;D93&amp;"Full Name",'Roster Info'!$A:$A&amp;'Roster Info'!$G:$G&amp;'Roster Info'!$D:$D,'Roster Info'!$E:$E,"")</f>
        <v/>
      </c>
      <c r="AE93" s="63" t="str">
        <f t="array" ref="AE93">if(xlookup(C93&amp;D93&amp;"Steam",'Roster Info'!$A:$A&amp;'Roster Info'!$G:$G&amp;'Roster Info'!$D:$D,'Roster Info'!$E:$E,"")="","-",hyperlink(xlookup(C93&amp;D93&amp;"Steam",'Roster Info'!$A:$A&amp;'Roster Info'!$G:$G&amp;'Roster Info'!$D:$D,'Roster Info'!$E:$E,""),"Steam"))</f>
        <v>-</v>
      </c>
      <c r="AH93" s="63" t="str">
        <f t="array" ref="AH93">if(xlookup(C93&amp;D93&amp;"HLTV",'Roster Info'!$A:$A&amp;'Roster Info'!$G:$G&amp;'Roster Info'!$D:$D,'Roster Info'!$E:$E,"")="","-",hyperlink(xlookup(C93&amp;D93&amp;"HLTV",'Roster Info'!$A:$A&amp;'Roster Info'!$G:$G&amp;'Roster Info'!$D:$D,'Roster Info'!$E:$E,""),"HLTV"))</f>
        <v>-</v>
      </c>
      <c r="AK93" s="63" t="str">
        <f t="array" ref="AK93">if(xlookup(C93&amp;D93&amp;"FaceIt",'Roster Info'!$A:$A&amp;'Roster Info'!$G:$G&amp;'Roster Info'!$D:$D,'Roster Info'!$E:$E,"")="","-",hyperlink(xlookup(C93&amp;D93&amp;"FaceIt",'Roster Info'!$A:$A&amp;'Roster Info'!$G:$G&amp;'Roster Info'!$D:$D,'Roster Info'!$E:$E,""),"FaceIt"))</f>
        <v>-</v>
      </c>
      <c r="AM93" s="61"/>
      <c r="AN93" s="152"/>
      <c r="AO93" s="152"/>
      <c r="AP93" s="219">
        <f>AP91</f>
        <v>8</v>
      </c>
      <c r="AQ93" s="233" t="s">
        <v>139</v>
      </c>
      <c r="AR93" s="234" t="s">
        <v>319</v>
      </c>
      <c r="AV93" s="227" t="str">
        <f t="array" ref="AV93">xlookup(xlookup(AP93&amp;AQ93&amp;"Nationality",'Roster Info'!$A:$A&amp;'Roster Info'!$G:$G&amp;'Roster Info'!$D:$D,'Roster Info'!$E:$E,""),'Roster Info'!$K:$K,'Roster Info'!$L:$L,"")</f>
        <v/>
      </c>
      <c r="AX93" s="228" t="str">
        <f t="array" ref="AX93">xlookup(AP93&amp;AQ93,'Roster Info'!$A:$A&amp;'Roster Info'!$G:$G,'Roster Info'!$F:$F,"")</f>
        <v/>
      </c>
      <c r="BH93" s="229" t="str">
        <f t="array" ref="BH93">xlookup(AP93&amp;AQ93&amp;"Full Name",'Roster Info'!$A:$A&amp;'Roster Info'!$G:$G&amp;'Roster Info'!$D:$D,'Roster Info'!$E:$E,"")</f>
        <v/>
      </c>
      <c r="BR93" s="63" t="str">
        <f t="array" ref="BR93">if(xlookup(AP93&amp;AQ93&amp;"Steam",'Roster Info'!$A:$A&amp;'Roster Info'!$G:$G&amp;'Roster Info'!$D:$D,'Roster Info'!$E:$E,"")="","-",hyperlink(xlookup(AP93&amp;AQ93&amp;"Steam",'Roster Info'!$A:$A&amp;'Roster Info'!$G:$G&amp;'Roster Info'!$D:$D,'Roster Info'!$E:$E,""),"Steam"))</f>
        <v>-</v>
      </c>
      <c r="BU93" s="63" t="str">
        <f t="array" ref="BU93">if(xlookup(AP93&amp;AQ93&amp;"HLTV",'Roster Info'!$A:$A&amp;'Roster Info'!$G:$G&amp;'Roster Info'!$D:$D,'Roster Info'!$E:$E,"")="","-",hyperlink(xlookup(AP93&amp;AQ93&amp;"HLTV",'Roster Info'!$A:$A&amp;'Roster Info'!$G:$G&amp;'Roster Info'!$D:$D,'Roster Info'!$E:$E,""),"HLTV"))</f>
        <v>-</v>
      </c>
      <c r="BX93" s="63" t="str">
        <f t="array" ref="BX93">if(xlookup(AP93&amp;AQ93&amp;"FaceIt",'Roster Info'!$A:$A&amp;'Roster Info'!$G:$G&amp;'Roster Info'!$D:$D,'Roster Info'!$E:$E,"")="","-",hyperlink(xlookup(AP93&amp;AQ93&amp;"FaceIt",'Roster Info'!$A:$A&amp;'Roster Info'!$G:$G&amp;'Roster Info'!$D:$D,'Roster Info'!$E:$E,""),"FaceIt"))</f>
        <v>-</v>
      </c>
      <c r="BZ93" s="61"/>
      <c r="CA93" s="152"/>
      <c r="CB93" s="152"/>
      <c r="CC93" s="152"/>
      <c r="CD93" s="152"/>
    </row>
    <row r="94" ht="15.0" customHeight="1">
      <c r="A94" s="152"/>
      <c r="B94" s="152"/>
      <c r="C94" s="219"/>
      <c r="D94" s="219"/>
      <c r="E94" s="230"/>
      <c r="F94" s="231"/>
      <c r="G94" s="231"/>
      <c r="H94" s="231"/>
      <c r="I94" s="231"/>
      <c r="J94" s="231"/>
      <c r="K94" s="231"/>
      <c r="L94" s="231"/>
      <c r="M94" s="231"/>
      <c r="N94" s="231"/>
      <c r="O94" s="231"/>
      <c r="P94" s="231"/>
      <c r="Q94" s="231"/>
      <c r="R94" s="231"/>
      <c r="S94" s="231"/>
      <c r="T94" s="231"/>
      <c r="U94" s="231"/>
      <c r="V94" s="231"/>
      <c r="W94" s="231"/>
      <c r="X94" s="231"/>
      <c r="Y94" s="231"/>
      <c r="Z94" s="231"/>
      <c r="AA94" s="231"/>
      <c r="AB94" s="231"/>
      <c r="AC94" s="231"/>
      <c r="AD94" s="231"/>
      <c r="AE94" s="231"/>
      <c r="AF94" s="231"/>
      <c r="AG94" s="231"/>
      <c r="AH94" s="231"/>
      <c r="AI94" s="231"/>
      <c r="AJ94" s="231"/>
      <c r="AK94" s="231"/>
      <c r="AL94" s="231"/>
      <c r="AM94" s="232"/>
      <c r="AN94" s="152"/>
      <c r="AO94" s="152"/>
      <c r="AP94" s="219"/>
      <c r="AQ94" s="219"/>
      <c r="AR94" s="230"/>
      <c r="AS94" s="231"/>
      <c r="AT94" s="231"/>
      <c r="AU94" s="231"/>
      <c r="AV94" s="231"/>
      <c r="AW94" s="231"/>
      <c r="AX94" s="231"/>
      <c r="AY94" s="231"/>
      <c r="AZ94" s="231"/>
      <c r="BA94" s="231"/>
      <c r="BB94" s="231"/>
      <c r="BC94" s="231"/>
      <c r="BD94" s="231"/>
      <c r="BE94" s="231"/>
      <c r="BF94" s="231"/>
      <c r="BG94" s="231"/>
      <c r="BH94" s="231"/>
      <c r="BI94" s="231"/>
      <c r="BJ94" s="231"/>
      <c r="BK94" s="231"/>
      <c r="BL94" s="231"/>
      <c r="BM94" s="231"/>
      <c r="BN94" s="231"/>
      <c r="BO94" s="231"/>
      <c r="BP94" s="231"/>
      <c r="BQ94" s="231"/>
      <c r="BR94" s="231"/>
      <c r="BS94" s="231"/>
      <c r="BT94" s="231"/>
      <c r="BU94" s="231"/>
      <c r="BV94" s="231"/>
      <c r="BW94" s="231"/>
      <c r="BX94" s="231"/>
      <c r="BY94" s="231"/>
      <c r="BZ94" s="232"/>
      <c r="CA94" s="152"/>
      <c r="CB94" s="152"/>
      <c r="CC94" s="152"/>
      <c r="CD94" s="152"/>
    </row>
    <row r="95" ht="15.0" customHeight="1">
      <c r="A95" s="152"/>
      <c r="B95" s="152"/>
      <c r="C95" s="219">
        <f>C93</f>
        <v>7</v>
      </c>
      <c r="D95" s="225" t="s">
        <v>145</v>
      </c>
      <c r="E95" s="226" t="s">
        <v>145</v>
      </c>
      <c r="I95" s="227" t="str">
        <f t="array" ref="I95">xlookup(xlookup(C95&amp;D95&amp;"Nationality",'Roster Info'!$A:$A&amp;'Roster Info'!$G:$G&amp;'Roster Info'!$D:$D,'Roster Info'!$E:$E,""),'Roster Info'!$K:$K,'Roster Info'!$L:$L,"")</f>
        <v/>
      </c>
      <c r="K95" s="228" t="str">
        <f t="array" ref="K95">xlookup(C95&amp;D95,'Roster Info'!$A:$A&amp;'Roster Info'!$G:$G,'Roster Info'!$F:$F,"")</f>
        <v/>
      </c>
      <c r="U95" s="229" t="str">
        <f t="array" ref="U95">xlookup(C95&amp;D95&amp;"Full Name",'Roster Info'!$A:$A&amp;'Roster Info'!$G:$G&amp;'Roster Info'!$D:$D,'Roster Info'!$E:$E,"")</f>
        <v/>
      </c>
      <c r="AE95" s="63" t="str">
        <f t="array" ref="AE95">if(xlookup(C95&amp;D95&amp;"Steam",'Roster Info'!$A:$A&amp;'Roster Info'!$G:$G&amp;'Roster Info'!$D:$D,'Roster Info'!$E:$E,"")="","-",hyperlink(xlookup(C95&amp;D95&amp;"Steam",'Roster Info'!$A:$A&amp;'Roster Info'!$G:$G&amp;'Roster Info'!$D:$D,'Roster Info'!$E:$E,""),"Steam"))</f>
        <v>-</v>
      </c>
      <c r="AH95" s="63" t="str">
        <f t="array" ref="AH95">if(xlookup(C95&amp;D95&amp;"HLTV",'Roster Info'!$A:$A&amp;'Roster Info'!$G:$G&amp;'Roster Info'!$D:$D,'Roster Info'!$E:$E,"")="","-",hyperlink(xlookup(C95&amp;D95&amp;"HLTV",'Roster Info'!$A:$A&amp;'Roster Info'!$G:$G&amp;'Roster Info'!$D:$D,'Roster Info'!$E:$E,""),"HLTV"))</f>
        <v>-</v>
      </c>
      <c r="AK95" s="63" t="str">
        <f t="array" ref="AK95">if(xlookup(C95&amp;D95&amp;"FaceIt",'Roster Info'!$A:$A&amp;'Roster Info'!$G:$G&amp;'Roster Info'!$D:$D,'Roster Info'!$E:$E,"")="","-",hyperlink(xlookup(C95&amp;D95&amp;"FaceIt",'Roster Info'!$A:$A&amp;'Roster Info'!$G:$G&amp;'Roster Info'!$D:$D,'Roster Info'!$E:$E,""),"FaceIt"))</f>
        <v>-</v>
      </c>
      <c r="AM95" s="61"/>
      <c r="AN95" s="152"/>
      <c r="AO95" s="152"/>
      <c r="AP95" s="219">
        <f>AP93</f>
        <v>8</v>
      </c>
      <c r="AQ95" s="225" t="s">
        <v>145</v>
      </c>
      <c r="AR95" s="226" t="s">
        <v>145</v>
      </c>
      <c r="AV95" s="227" t="str">
        <f t="array" ref="AV95">xlookup(xlookup(AP95&amp;AQ95&amp;"Nationality",'Roster Info'!$A:$A&amp;'Roster Info'!$G:$G&amp;'Roster Info'!$D:$D,'Roster Info'!$E:$E,""),'Roster Info'!$K:$K,'Roster Info'!$L:$L,"")</f>
        <v/>
      </c>
      <c r="AX95" s="228" t="str">
        <f t="array" ref="AX95">xlookup(AP95&amp;AQ95,'Roster Info'!$A:$A&amp;'Roster Info'!$G:$G,'Roster Info'!$F:$F,"")</f>
        <v/>
      </c>
      <c r="BH95" s="229" t="str">
        <f t="array" ref="BH95">xlookup(AP95&amp;AQ95&amp;"Full Name",'Roster Info'!$A:$A&amp;'Roster Info'!$G:$G&amp;'Roster Info'!$D:$D,'Roster Info'!$E:$E,"")</f>
        <v/>
      </c>
      <c r="BR95" s="63" t="str">
        <f t="array" ref="BR95">if(xlookup(AP95&amp;AQ95&amp;"Steam",'Roster Info'!$A:$A&amp;'Roster Info'!$G:$G&amp;'Roster Info'!$D:$D,'Roster Info'!$E:$E,"")="","-",hyperlink(xlookup(AP95&amp;AQ95&amp;"Steam",'Roster Info'!$A:$A&amp;'Roster Info'!$G:$G&amp;'Roster Info'!$D:$D,'Roster Info'!$E:$E,""),"Steam"))</f>
        <v>-</v>
      </c>
      <c r="BU95" s="63" t="str">
        <f t="array" ref="BU95">if(xlookup(AP95&amp;AQ95&amp;"HLTV",'Roster Info'!$A:$A&amp;'Roster Info'!$G:$G&amp;'Roster Info'!$D:$D,'Roster Info'!$E:$E,"")="","-",hyperlink(xlookup(AP95&amp;AQ95&amp;"HLTV",'Roster Info'!$A:$A&amp;'Roster Info'!$G:$G&amp;'Roster Info'!$D:$D,'Roster Info'!$E:$E,""),"HLTV"))</f>
        <v>-</v>
      </c>
      <c r="BX95" s="63" t="str">
        <f t="array" ref="BX95">if(xlookup(AP95&amp;AQ95&amp;"FaceIt",'Roster Info'!$A:$A&amp;'Roster Info'!$G:$G&amp;'Roster Info'!$D:$D,'Roster Info'!$E:$E,"")="","-",hyperlink(xlookup(AP95&amp;AQ95&amp;"FaceIt",'Roster Info'!$A:$A&amp;'Roster Info'!$G:$G&amp;'Roster Info'!$D:$D,'Roster Info'!$E:$E,""),"FaceIt"))</f>
        <v>-</v>
      </c>
      <c r="BZ95" s="61"/>
      <c r="CA95" s="152"/>
      <c r="CB95" s="152"/>
      <c r="CC95" s="152"/>
      <c r="CD95" s="152"/>
    </row>
    <row r="96" ht="15.0" customHeight="1">
      <c r="A96" s="152"/>
      <c r="B96" s="152"/>
      <c r="C96" s="219"/>
      <c r="D96" s="219"/>
      <c r="E96" s="101"/>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02"/>
      <c r="AK96" s="102"/>
      <c r="AL96" s="102"/>
      <c r="AM96" s="164"/>
      <c r="AN96" s="152"/>
      <c r="AO96" s="152"/>
      <c r="AP96" s="219"/>
      <c r="AQ96" s="219"/>
      <c r="AR96" s="101"/>
      <c r="AS96" s="102"/>
      <c r="AT96" s="102"/>
      <c r="AU96" s="102"/>
      <c r="AV96" s="102"/>
      <c r="AW96" s="102"/>
      <c r="AX96" s="102"/>
      <c r="AY96" s="102"/>
      <c r="AZ96" s="102"/>
      <c r="BA96" s="102"/>
      <c r="BB96" s="102"/>
      <c r="BC96" s="102"/>
      <c r="BD96" s="102"/>
      <c r="BE96" s="102"/>
      <c r="BF96" s="102"/>
      <c r="BG96" s="102"/>
      <c r="BH96" s="102"/>
      <c r="BI96" s="102"/>
      <c r="BJ96" s="102"/>
      <c r="BK96" s="102"/>
      <c r="BL96" s="102"/>
      <c r="BM96" s="102"/>
      <c r="BN96" s="102"/>
      <c r="BO96" s="102"/>
      <c r="BP96" s="102"/>
      <c r="BQ96" s="102"/>
      <c r="BR96" s="102"/>
      <c r="BS96" s="102"/>
      <c r="BT96" s="102"/>
      <c r="BU96" s="102"/>
      <c r="BV96" s="102"/>
      <c r="BW96" s="102"/>
      <c r="BX96" s="102"/>
      <c r="BY96" s="102"/>
      <c r="BZ96" s="164"/>
      <c r="CA96" s="152"/>
      <c r="CB96" s="152"/>
      <c r="CC96" s="152"/>
      <c r="CD96" s="152"/>
    </row>
    <row r="97" ht="15.0" customHeight="1">
      <c r="A97" s="152"/>
      <c r="B97" s="152"/>
      <c r="C97" s="219"/>
      <c r="D97" s="219"/>
      <c r="E97" s="152"/>
      <c r="F97" s="152"/>
      <c r="G97" s="152"/>
      <c r="H97" s="152"/>
      <c r="I97" s="152"/>
      <c r="J97" s="152"/>
      <c r="K97" s="152"/>
      <c r="L97" s="152"/>
      <c r="M97" s="152"/>
      <c r="N97" s="152"/>
      <c r="O97" s="152"/>
      <c r="P97" s="152"/>
      <c r="Q97" s="152"/>
      <c r="R97" s="152"/>
      <c r="S97" s="152"/>
      <c r="T97" s="152"/>
      <c r="U97" s="152"/>
      <c r="V97" s="152"/>
      <c r="W97" s="152"/>
      <c r="X97" s="152"/>
      <c r="Y97" s="152"/>
      <c r="Z97" s="152"/>
      <c r="AA97" s="152"/>
      <c r="AB97" s="152"/>
      <c r="AC97" s="152"/>
      <c r="AD97" s="152"/>
      <c r="AE97" s="152"/>
      <c r="AF97" s="152"/>
      <c r="AG97" s="152"/>
      <c r="AH97" s="152"/>
      <c r="AI97" s="152"/>
      <c r="AJ97" s="152"/>
      <c r="AK97" s="152"/>
      <c r="AL97" s="152"/>
      <c r="AM97" s="152"/>
      <c r="AN97" s="152"/>
      <c r="AO97" s="152"/>
      <c r="AP97" s="219"/>
      <c r="AQ97" s="219"/>
      <c r="AR97" s="152"/>
      <c r="AS97" s="152"/>
      <c r="AT97" s="152"/>
      <c r="AU97" s="152"/>
      <c r="AV97" s="152"/>
      <c r="AW97" s="152"/>
      <c r="AX97" s="152"/>
      <c r="AY97" s="152"/>
      <c r="AZ97" s="152"/>
      <c r="BA97" s="152"/>
      <c r="BB97" s="152"/>
      <c r="BC97" s="152"/>
      <c r="BD97" s="152"/>
      <c r="BE97" s="152"/>
      <c r="BF97" s="152"/>
      <c r="BG97" s="152"/>
      <c r="BH97" s="152"/>
      <c r="BI97" s="152"/>
      <c r="BJ97" s="152"/>
      <c r="BK97" s="152"/>
      <c r="BL97" s="152"/>
      <c r="BM97" s="152"/>
      <c r="BN97" s="152"/>
      <c r="BO97" s="152"/>
      <c r="BP97" s="152"/>
      <c r="BQ97" s="152"/>
      <c r="BR97" s="152"/>
      <c r="BS97" s="152"/>
      <c r="BT97" s="152"/>
      <c r="BU97" s="152"/>
      <c r="BV97" s="152"/>
      <c r="BW97" s="152"/>
      <c r="BX97" s="152"/>
      <c r="BY97" s="152"/>
      <c r="BZ97" s="152"/>
      <c r="CA97" s="152"/>
      <c r="CB97" s="152"/>
      <c r="CC97" s="152"/>
      <c r="CD97" s="152"/>
    </row>
    <row r="98" ht="15.0" customHeight="1">
      <c r="A98" s="152"/>
      <c r="B98" s="152"/>
      <c r="C98" s="219"/>
      <c r="D98" s="219"/>
      <c r="E98" s="152"/>
      <c r="F98" s="152"/>
      <c r="G98" s="152"/>
      <c r="H98" s="152"/>
      <c r="I98" s="152"/>
      <c r="J98" s="152"/>
      <c r="K98" s="152"/>
      <c r="L98" s="152"/>
      <c r="M98" s="152"/>
      <c r="N98" s="152"/>
      <c r="O98" s="152"/>
      <c r="P98" s="152"/>
      <c r="Q98" s="152"/>
      <c r="R98" s="152"/>
      <c r="S98" s="152"/>
      <c r="T98" s="152"/>
      <c r="U98" s="152"/>
      <c r="V98" s="152"/>
      <c r="W98" s="152"/>
      <c r="X98" s="152"/>
      <c r="Y98" s="152"/>
      <c r="Z98" s="152"/>
      <c r="AA98" s="152"/>
      <c r="AB98" s="152"/>
      <c r="AC98" s="152"/>
      <c r="AD98" s="152"/>
      <c r="AE98" s="152"/>
      <c r="AF98" s="152"/>
      <c r="AG98" s="152"/>
      <c r="AH98" s="152"/>
      <c r="AI98" s="152"/>
      <c r="AJ98" s="152"/>
      <c r="AK98" s="152"/>
      <c r="AL98" s="152"/>
      <c r="AM98" s="152"/>
      <c r="AN98" s="152"/>
      <c r="AO98" s="152"/>
      <c r="AP98" s="219"/>
      <c r="AQ98" s="219"/>
      <c r="AR98" s="152"/>
      <c r="AS98" s="152"/>
      <c r="AT98" s="152"/>
      <c r="AU98" s="152"/>
      <c r="AV98" s="152"/>
      <c r="AW98" s="152"/>
      <c r="AX98" s="152"/>
      <c r="AY98" s="152"/>
      <c r="AZ98" s="152"/>
      <c r="BA98" s="152"/>
      <c r="BB98" s="152"/>
      <c r="BC98" s="152"/>
      <c r="BD98" s="152"/>
      <c r="BE98" s="152"/>
      <c r="BF98" s="152"/>
      <c r="BG98" s="152"/>
      <c r="BH98" s="152"/>
      <c r="BI98" s="152"/>
      <c r="BJ98" s="152"/>
      <c r="BK98" s="152"/>
      <c r="BL98" s="152"/>
      <c r="BM98" s="152"/>
      <c r="BN98" s="152"/>
      <c r="BO98" s="152"/>
      <c r="BP98" s="152"/>
      <c r="BQ98" s="152"/>
      <c r="BR98" s="152"/>
      <c r="BS98" s="152"/>
      <c r="BT98" s="152"/>
      <c r="BU98" s="152"/>
      <c r="BV98" s="152"/>
      <c r="BW98" s="152"/>
      <c r="BX98" s="152"/>
      <c r="BY98" s="152"/>
      <c r="BZ98" s="152"/>
      <c r="CA98" s="152"/>
      <c r="CB98" s="152"/>
      <c r="CC98" s="152"/>
      <c r="CD98" s="152"/>
    </row>
    <row r="99" ht="15.0" customHeight="1">
      <c r="A99" s="152"/>
      <c r="B99" s="152"/>
      <c r="C99" s="219"/>
      <c r="D99" s="219"/>
      <c r="E99" s="152"/>
      <c r="F99" s="152"/>
      <c r="G99" s="152"/>
      <c r="H99" s="152"/>
      <c r="I99" s="152"/>
      <c r="J99" s="152"/>
      <c r="K99" s="152"/>
      <c r="L99" s="152"/>
      <c r="M99" s="152"/>
      <c r="N99" s="152"/>
      <c r="O99" s="152"/>
      <c r="P99" s="152"/>
      <c r="Q99" s="152"/>
      <c r="R99" s="152"/>
      <c r="S99" s="152"/>
      <c r="T99" s="152"/>
      <c r="U99" s="152"/>
      <c r="V99" s="152"/>
      <c r="W99" s="152"/>
      <c r="X99" s="152"/>
      <c r="Y99" s="152"/>
      <c r="Z99" s="152"/>
      <c r="AA99" s="152"/>
      <c r="AB99" s="152"/>
      <c r="AC99" s="152"/>
      <c r="AD99" s="152"/>
      <c r="AE99" s="152"/>
      <c r="AF99" s="152"/>
      <c r="AG99" s="152"/>
      <c r="AH99" s="152"/>
      <c r="AI99" s="152"/>
      <c r="AJ99" s="152"/>
      <c r="AK99" s="152"/>
      <c r="AL99" s="152"/>
      <c r="AM99" s="152"/>
      <c r="AN99" s="152"/>
      <c r="AO99" s="152"/>
      <c r="AP99" s="219"/>
      <c r="AQ99" s="219"/>
      <c r="AR99" s="152"/>
      <c r="AS99" s="152"/>
      <c r="AT99" s="152"/>
      <c r="AU99" s="152"/>
      <c r="AV99" s="152"/>
      <c r="AW99" s="152"/>
      <c r="AX99" s="152"/>
      <c r="AY99" s="152"/>
      <c r="AZ99" s="152"/>
      <c r="BA99" s="152"/>
      <c r="BB99" s="152"/>
      <c r="BC99" s="152"/>
      <c r="BD99" s="152"/>
      <c r="BE99" s="152"/>
      <c r="BF99" s="152"/>
      <c r="BG99" s="152"/>
      <c r="BH99" s="152"/>
      <c r="BI99" s="152"/>
      <c r="BJ99" s="152"/>
      <c r="BK99" s="152"/>
      <c r="BL99" s="152"/>
      <c r="BM99" s="152"/>
      <c r="BN99" s="152"/>
      <c r="BO99" s="152"/>
      <c r="BP99" s="152"/>
      <c r="BQ99" s="152"/>
      <c r="BR99" s="152"/>
      <c r="BS99" s="152"/>
      <c r="BT99" s="152"/>
      <c r="BU99" s="152"/>
      <c r="BV99" s="152"/>
      <c r="BW99" s="152"/>
      <c r="BX99" s="152"/>
      <c r="BY99" s="152"/>
      <c r="BZ99" s="152"/>
      <c r="CA99" s="152"/>
      <c r="CB99" s="152"/>
      <c r="CC99" s="152"/>
      <c r="CD99" s="152"/>
    </row>
    <row r="100" ht="15.0" customHeight="1">
      <c r="A100" s="152"/>
      <c r="B100" s="152"/>
      <c r="C100" s="219"/>
      <c r="D100" s="219"/>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c r="AA100" s="152"/>
      <c r="AB100" s="152"/>
      <c r="AC100" s="152"/>
      <c r="AD100" s="152"/>
      <c r="AE100" s="152"/>
      <c r="AF100" s="152"/>
      <c r="AG100" s="152"/>
      <c r="AH100" s="152"/>
      <c r="AI100" s="152"/>
      <c r="AJ100" s="152"/>
      <c r="AK100" s="152"/>
      <c r="AL100" s="152"/>
      <c r="AM100" s="152"/>
      <c r="AN100" s="152"/>
      <c r="AO100" s="152"/>
      <c r="AP100" s="219"/>
      <c r="AQ100" s="219"/>
      <c r="AR100" s="152"/>
      <c r="AS100" s="152"/>
      <c r="AT100" s="152"/>
      <c r="AU100" s="152"/>
      <c r="AV100" s="152"/>
      <c r="AW100" s="152"/>
      <c r="AX100" s="152"/>
      <c r="AY100" s="152"/>
      <c r="AZ100" s="152"/>
      <c r="BA100" s="152"/>
      <c r="BB100" s="152"/>
      <c r="BC100" s="152"/>
      <c r="BD100" s="152"/>
      <c r="BE100" s="152"/>
      <c r="BF100" s="152"/>
      <c r="BG100" s="152"/>
      <c r="BH100" s="152"/>
      <c r="BI100" s="152"/>
      <c r="BJ100" s="152"/>
      <c r="BK100" s="152"/>
      <c r="BL100" s="152"/>
      <c r="BM100" s="152"/>
      <c r="BN100" s="152"/>
      <c r="BO100" s="152"/>
      <c r="BP100" s="152"/>
      <c r="BQ100" s="152"/>
      <c r="BR100" s="152"/>
      <c r="BS100" s="152"/>
      <c r="BT100" s="152"/>
      <c r="BU100" s="152"/>
      <c r="BV100" s="152"/>
      <c r="BW100" s="152"/>
      <c r="BX100" s="152"/>
      <c r="BY100" s="152"/>
      <c r="BZ100" s="152"/>
      <c r="CA100" s="152"/>
      <c r="CB100" s="152"/>
      <c r="CC100" s="152"/>
      <c r="CD100" s="152"/>
    </row>
    <row r="101" ht="15.0" customHeight="1">
      <c r="A101" s="152"/>
      <c r="B101" s="152"/>
      <c r="C101" s="219"/>
      <c r="D101" s="219"/>
      <c r="E101" s="220" t="str">
        <f t="array" ref="E101">xlookup(M101,'Team Entry'!$A:$A,'Team Entry'!$B:$B,"")</f>
        <v/>
      </c>
      <c r="F101" s="58"/>
      <c r="G101" s="58"/>
      <c r="H101" s="58"/>
      <c r="I101" s="58"/>
      <c r="J101" s="58"/>
      <c r="K101" s="58"/>
      <c r="L101" s="58"/>
      <c r="M101" s="221" t="str">
        <f t="array" ref="M101">xlookup(C107,'Roster Info'!$A:$A,'Roster Info'!$B:$B,"")</f>
        <v>Team 5 (Group 2)</v>
      </c>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9"/>
      <c r="AN101" s="152"/>
      <c r="AO101" s="152"/>
      <c r="AP101" s="219"/>
      <c r="AQ101" s="219"/>
      <c r="AR101" s="220" t="str">
        <f t="array" ref="AR101">xlookup(AZ101,'Team Entry'!$A:$A,'Team Entry'!$B:$B,"")</f>
        <v/>
      </c>
      <c r="AS101" s="58"/>
      <c r="AT101" s="58"/>
      <c r="AU101" s="58"/>
      <c r="AV101" s="58"/>
      <c r="AW101" s="58"/>
      <c r="AX101" s="58"/>
      <c r="AY101" s="58"/>
      <c r="AZ101" s="221" t="str">
        <f t="array" ref="AZ101">xlookup(AP107,'Roster Info'!$A:$A,'Roster Info'!$B:$B,"")</f>
        <v>Team 6 (Group 2)</v>
      </c>
      <c r="BA101" s="58"/>
      <c r="BB101" s="58"/>
      <c r="BC101" s="58"/>
      <c r="BD101" s="58"/>
      <c r="BE101" s="58"/>
      <c r="BF101" s="58"/>
      <c r="BG101" s="58"/>
      <c r="BH101" s="58"/>
      <c r="BI101" s="58"/>
      <c r="BJ101" s="58"/>
      <c r="BK101" s="58"/>
      <c r="BL101" s="58"/>
      <c r="BM101" s="58"/>
      <c r="BN101" s="58"/>
      <c r="BO101" s="58"/>
      <c r="BP101" s="58"/>
      <c r="BQ101" s="58"/>
      <c r="BR101" s="58"/>
      <c r="BS101" s="58"/>
      <c r="BT101" s="58"/>
      <c r="BU101" s="58"/>
      <c r="BV101" s="58"/>
      <c r="BW101" s="58"/>
      <c r="BX101" s="58"/>
      <c r="BY101" s="58"/>
      <c r="BZ101" s="59"/>
      <c r="CA101" s="152"/>
      <c r="CB101" s="152"/>
      <c r="CC101" s="152"/>
      <c r="CD101" s="152"/>
    </row>
    <row r="102" ht="15.0" customHeight="1">
      <c r="A102" s="152"/>
      <c r="B102" s="152"/>
      <c r="C102" s="219"/>
      <c r="D102" s="219"/>
      <c r="E102" s="60"/>
      <c r="AM102" s="61"/>
      <c r="AN102" s="152"/>
      <c r="AO102" s="152"/>
      <c r="AP102" s="219"/>
      <c r="AQ102" s="219"/>
      <c r="AR102" s="60"/>
      <c r="BZ102" s="61"/>
      <c r="CA102" s="152"/>
      <c r="CB102" s="152"/>
      <c r="CC102" s="152"/>
      <c r="CD102" s="152"/>
    </row>
    <row r="103" ht="15.0" customHeight="1">
      <c r="A103" s="152"/>
      <c r="B103" s="152"/>
      <c r="C103" s="219"/>
      <c r="D103" s="219"/>
      <c r="E103" s="60"/>
      <c r="AM103" s="61"/>
      <c r="AN103" s="152"/>
      <c r="AO103" s="152"/>
      <c r="AP103" s="219"/>
      <c r="AQ103" s="219"/>
      <c r="AR103" s="60"/>
      <c r="BZ103" s="61"/>
      <c r="CA103" s="152"/>
      <c r="CB103" s="152"/>
      <c r="CC103" s="152"/>
      <c r="CD103" s="152"/>
    </row>
    <row r="104" ht="15.0" customHeight="1">
      <c r="A104" s="152"/>
      <c r="B104" s="152"/>
      <c r="C104" s="219"/>
      <c r="D104" s="219"/>
      <c r="E104" s="60"/>
      <c r="AM104" s="61"/>
      <c r="AN104" s="152"/>
      <c r="AO104" s="152"/>
      <c r="AP104" s="219"/>
      <c r="AQ104" s="219"/>
      <c r="AR104" s="60"/>
      <c r="BZ104" s="61"/>
      <c r="CA104" s="152"/>
      <c r="CB104" s="152"/>
      <c r="CC104" s="152"/>
      <c r="CD104" s="152"/>
    </row>
    <row r="105" ht="15.0" customHeight="1">
      <c r="A105" s="152"/>
      <c r="B105" s="152"/>
      <c r="C105" s="219"/>
      <c r="D105" s="219"/>
      <c r="E105" s="60"/>
      <c r="AM105" s="61"/>
      <c r="AN105" s="152"/>
      <c r="AO105" s="152"/>
      <c r="AP105" s="219"/>
      <c r="AQ105" s="219"/>
      <c r="AR105" s="60"/>
      <c r="BZ105" s="61"/>
      <c r="CA105" s="152"/>
      <c r="CB105" s="152"/>
      <c r="CC105" s="152"/>
      <c r="CD105" s="152"/>
    </row>
    <row r="106" ht="15.0" customHeight="1">
      <c r="A106" s="152"/>
      <c r="B106" s="152"/>
      <c r="C106" s="219"/>
      <c r="D106" s="219"/>
      <c r="E106" s="222"/>
      <c r="F106" s="223"/>
      <c r="G106" s="223"/>
      <c r="H106" s="223"/>
      <c r="I106" s="223"/>
      <c r="J106" s="223"/>
      <c r="K106" s="223"/>
      <c r="L106" s="223"/>
      <c r="M106" s="223"/>
      <c r="N106" s="223"/>
      <c r="O106" s="223"/>
      <c r="P106" s="223"/>
      <c r="Q106" s="223"/>
      <c r="R106" s="223"/>
      <c r="S106" s="223"/>
      <c r="T106" s="223"/>
      <c r="U106" s="223"/>
      <c r="V106" s="223"/>
      <c r="W106" s="223"/>
      <c r="X106" s="223"/>
      <c r="Y106" s="223"/>
      <c r="Z106" s="223"/>
      <c r="AA106" s="223"/>
      <c r="AB106" s="223"/>
      <c r="AC106" s="223"/>
      <c r="AD106" s="223"/>
      <c r="AE106" s="223"/>
      <c r="AF106" s="223"/>
      <c r="AG106" s="223"/>
      <c r="AH106" s="223"/>
      <c r="AI106" s="223"/>
      <c r="AJ106" s="223"/>
      <c r="AK106" s="223"/>
      <c r="AL106" s="223"/>
      <c r="AM106" s="224"/>
      <c r="AN106" s="152"/>
      <c r="AO106" s="152"/>
      <c r="AP106" s="219"/>
      <c r="AQ106" s="219"/>
      <c r="AR106" s="222"/>
      <c r="AS106" s="223"/>
      <c r="AT106" s="223"/>
      <c r="AU106" s="223"/>
      <c r="AV106" s="223"/>
      <c r="AW106" s="223"/>
      <c r="AX106" s="223"/>
      <c r="AY106" s="223"/>
      <c r="AZ106" s="223"/>
      <c r="BA106" s="223"/>
      <c r="BB106" s="223"/>
      <c r="BC106" s="223"/>
      <c r="BD106" s="223"/>
      <c r="BE106" s="223"/>
      <c r="BF106" s="223"/>
      <c r="BG106" s="223"/>
      <c r="BH106" s="223"/>
      <c r="BI106" s="223"/>
      <c r="BJ106" s="223"/>
      <c r="BK106" s="223"/>
      <c r="BL106" s="223"/>
      <c r="BM106" s="223"/>
      <c r="BN106" s="223"/>
      <c r="BO106" s="223"/>
      <c r="BP106" s="223"/>
      <c r="BQ106" s="223"/>
      <c r="BR106" s="223"/>
      <c r="BS106" s="223"/>
      <c r="BT106" s="223"/>
      <c r="BU106" s="223"/>
      <c r="BV106" s="223"/>
      <c r="BW106" s="223"/>
      <c r="BX106" s="223"/>
      <c r="BY106" s="223"/>
      <c r="BZ106" s="224"/>
      <c r="CA106" s="152"/>
      <c r="CB106" s="152"/>
      <c r="CC106" s="152"/>
      <c r="CD106" s="152"/>
    </row>
    <row r="107" ht="15.0" customHeight="1">
      <c r="A107" s="152"/>
      <c r="B107" s="152"/>
      <c r="C107" s="225">
        <f>AP83+1</f>
        <v>9</v>
      </c>
      <c r="D107" s="225" t="s">
        <v>109</v>
      </c>
      <c r="E107" s="226" t="s">
        <v>109</v>
      </c>
      <c r="I107" s="227" t="str">
        <f t="array" ref="I107">xlookup(xlookup(C107&amp;D107&amp;"Nationality",'Roster Info'!$A:$A&amp;'Roster Info'!$G:$G&amp;'Roster Info'!$D:$D,'Roster Info'!$E:$E,""),'Roster Info'!$K:$K,'Roster Info'!$L:$L,"")</f>
        <v/>
      </c>
      <c r="K107" s="228" t="str">
        <f t="array" ref="K107">xlookup(C107&amp;D107,'Roster Info'!$A:$A&amp;'Roster Info'!$G:$G,'Roster Info'!$F:$F,"")</f>
        <v/>
      </c>
      <c r="U107" s="229" t="str">
        <f t="array" ref="U107">xlookup(C107&amp;D107&amp;"Full Name",'Roster Info'!$A:$A&amp;'Roster Info'!$G:$G&amp;'Roster Info'!$D:$D,'Roster Info'!$E:$E,"")</f>
        <v/>
      </c>
      <c r="AE107" s="63" t="str">
        <f t="array" ref="AE107">if(xlookup(C107&amp;D107&amp;"Steam",'Roster Info'!$A:$A&amp;'Roster Info'!$G:$G&amp;'Roster Info'!$D:$D,'Roster Info'!$E:$E,"")="","-",hyperlink(xlookup(C107&amp;D107&amp;"Steam",'Roster Info'!$A:$A&amp;'Roster Info'!$G:$G&amp;'Roster Info'!$D:$D,'Roster Info'!$E:$E,""),"Steam"))</f>
        <v>-</v>
      </c>
      <c r="AH107" s="63" t="str">
        <f t="array" ref="AH107">if(xlookup(C107&amp;D107&amp;"HLTV",'Roster Info'!$A:$A&amp;'Roster Info'!$G:$G&amp;'Roster Info'!$D:$D,'Roster Info'!$E:$E,"")="","-",hyperlink(xlookup(C107&amp;D107&amp;"HLTV",'Roster Info'!$A:$A&amp;'Roster Info'!$G:$G&amp;'Roster Info'!$D:$D,'Roster Info'!$E:$E,""),"HLTV"))</f>
        <v>-</v>
      </c>
      <c r="AK107" s="63" t="str">
        <f t="array" ref="AK107">if(xlookup(C107&amp;D107&amp;"FaceIt",'Roster Info'!$A:$A&amp;'Roster Info'!$G:$G&amp;'Roster Info'!$D:$D,'Roster Info'!$E:$E,"")="","-",hyperlink(xlookup(C107&amp;D107&amp;"FaceIt",'Roster Info'!$A:$A&amp;'Roster Info'!$G:$G&amp;'Roster Info'!$D:$D,'Roster Info'!$E:$E,""),"FaceIt"))</f>
        <v>-</v>
      </c>
      <c r="AM107" s="61"/>
      <c r="AN107" s="152"/>
      <c r="AO107" s="152"/>
      <c r="AP107" s="225">
        <f>C107+1</f>
        <v>10</v>
      </c>
      <c r="AQ107" s="225" t="s">
        <v>109</v>
      </c>
      <c r="AR107" s="226" t="s">
        <v>109</v>
      </c>
      <c r="AV107" s="227" t="str">
        <f t="array" ref="AV107">xlookup(xlookup(AP107&amp;AQ107&amp;"Nationality",'Roster Info'!$A:$A&amp;'Roster Info'!$G:$G&amp;'Roster Info'!$D:$D,'Roster Info'!$E:$E,""),'Roster Info'!$K:$K,'Roster Info'!$L:$L,"")</f>
        <v/>
      </c>
      <c r="AX107" s="228" t="str">
        <f t="array" ref="AX107">xlookup(AP107&amp;AQ107,'Roster Info'!$A:$A&amp;'Roster Info'!$G:$G,'Roster Info'!$F:$F,"")</f>
        <v/>
      </c>
      <c r="BH107" s="229" t="str">
        <f t="array" ref="BH107">xlookup(AP107&amp;AQ107&amp;"Full Name",'Roster Info'!$A:$A&amp;'Roster Info'!$G:$G&amp;'Roster Info'!$D:$D,'Roster Info'!$E:$E,"")</f>
        <v/>
      </c>
      <c r="BR107" s="63" t="str">
        <f t="array" ref="BR107">if(xlookup(AP107&amp;AQ107&amp;"Steam",'Roster Info'!$A:$A&amp;'Roster Info'!$G:$G&amp;'Roster Info'!$D:$D,'Roster Info'!$E:$E,"")="","-",hyperlink(xlookup(AP107&amp;AQ107&amp;"Steam",'Roster Info'!$A:$A&amp;'Roster Info'!$G:$G&amp;'Roster Info'!$D:$D,'Roster Info'!$E:$E,""),"Steam"))</f>
        <v>-</v>
      </c>
      <c r="BU107" s="63" t="str">
        <f t="array" ref="BU107">if(xlookup(AP107&amp;AQ107&amp;"HLTV",'Roster Info'!$A:$A&amp;'Roster Info'!$G:$G&amp;'Roster Info'!$D:$D,'Roster Info'!$E:$E,"")="","-",hyperlink(xlookup(AP107&amp;AQ107&amp;"HLTV",'Roster Info'!$A:$A&amp;'Roster Info'!$G:$G&amp;'Roster Info'!$D:$D,'Roster Info'!$E:$E,""),"HLTV"))</f>
        <v>-</v>
      </c>
      <c r="BX107" s="63" t="str">
        <f t="array" ref="BX107">if(xlookup(AP107&amp;AQ107&amp;"FaceIt",'Roster Info'!$A:$A&amp;'Roster Info'!$G:$G&amp;'Roster Info'!$D:$D,'Roster Info'!$E:$E,"")="","-",hyperlink(xlookup(AP107&amp;AQ107&amp;"FaceIt",'Roster Info'!$A:$A&amp;'Roster Info'!$G:$G&amp;'Roster Info'!$D:$D,'Roster Info'!$E:$E,""),"FaceIt"))</f>
        <v>-</v>
      </c>
      <c r="BZ107" s="61"/>
      <c r="CA107" s="152"/>
      <c r="CB107" s="152"/>
      <c r="CC107" s="152"/>
      <c r="CD107" s="152"/>
    </row>
    <row r="108" ht="15.0" customHeight="1">
      <c r="A108" s="152"/>
      <c r="B108" s="152"/>
      <c r="C108" s="219"/>
      <c r="D108" s="219"/>
      <c r="E108" s="230"/>
      <c r="F108" s="231"/>
      <c r="G108" s="231"/>
      <c r="H108" s="231"/>
      <c r="I108" s="231"/>
      <c r="J108" s="231"/>
      <c r="K108" s="231"/>
      <c r="L108" s="231"/>
      <c r="M108" s="231"/>
      <c r="N108" s="231"/>
      <c r="O108" s="231"/>
      <c r="P108" s="231"/>
      <c r="Q108" s="231"/>
      <c r="R108" s="231"/>
      <c r="S108" s="231"/>
      <c r="T108" s="231"/>
      <c r="U108" s="231"/>
      <c r="V108" s="231"/>
      <c r="W108" s="231"/>
      <c r="X108" s="231"/>
      <c r="Y108" s="231"/>
      <c r="Z108" s="231"/>
      <c r="AA108" s="231"/>
      <c r="AB108" s="231"/>
      <c r="AC108" s="231"/>
      <c r="AD108" s="231"/>
      <c r="AE108" s="231"/>
      <c r="AF108" s="231"/>
      <c r="AG108" s="231"/>
      <c r="AH108" s="231"/>
      <c r="AI108" s="231"/>
      <c r="AJ108" s="231"/>
      <c r="AK108" s="231"/>
      <c r="AL108" s="231"/>
      <c r="AM108" s="232"/>
      <c r="AN108" s="152"/>
      <c r="AO108" s="152"/>
      <c r="AP108" s="219"/>
      <c r="AQ108" s="219"/>
      <c r="AR108" s="230"/>
      <c r="AS108" s="231"/>
      <c r="AT108" s="231"/>
      <c r="AU108" s="231"/>
      <c r="AV108" s="231"/>
      <c r="AW108" s="231"/>
      <c r="AX108" s="231"/>
      <c r="AY108" s="231"/>
      <c r="AZ108" s="231"/>
      <c r="BA108" s="231"/>
      <c r="BB108" s="231"/>
      <c r="BC108" s="231"/>
      <c r="BD108" s="231"/>
      <c r="BE108" s="231"/>
      <c r="BF108" s="231"/>
      <c r="BG108" s="231"/>
      <c r="BH108" s="231"/>
      <c r="BI108" s="231"/>
      <c r="BJ108" s="231"/>
      <c r="BK108" s="231"/>
      <c r="BL108" s="231"/>
      <c r="BM108" s="231"/>
      <c r="BN108" s="231"/>
      <c r="BO108" s="231"/>
      <c r="BP108" s="231"/>
      <c r="BQ108" s="231"/>
      <c r="BR108" s="231"/>
      <c r="BS108" s="231"/>
      <c r="BT108" s="231"/>
      <c r="BU108" s="231"/>
      <c r="BV108" s="231"/>
      <c r="BW108" s="231"/>
      <c r="BX108" s="231"/>
      <c r="BY108" s="231"/>
      <c r="BZ108" s="232"/>
      <c r="CA108" s="152"/>
      <c r="CB108" s="152"/>
      <c r="CC108" s="152"/>
      <c r="CD108" s="152"/>
    </row>
    <row r="109" ht="15.0" customHeight="1">
      <c r="A109" s="152"/>
      <c r="B109" s="152"/>
      <c r="C109" s="219">
        <f>C107</f>
        <v>9</v>
      </c>
      <c r="D109" s="225" t="s">
        <v>115</v>
      </c>
      <c r="E109" s="226" t="s">
        <v>115</v>
      </c>
      <c r="I109" s="227" t="str">
        <f t="array" ref="I109">xlookup(xlookup(C109&amp;D109&amp;"Nationality",'Roster Info'!$A:$A&amp;'Roster Info'!$G:$G&amp;'Roster Info'!$D:$D,'Roster Info'!$E:$E,""),'Roster Info'!$K:$K,'Roster Info'!$L:$L,"")</f>
        <v/>
      </c>
      <c r="K109" s="228" t="str">
        <f t="array" ref="K109">xlookup(C109&amp;D109,'Roster Info'!$A:$A&amp;'Roster Info'!$G:$G,'Roster Info'!$F:$F,"")</f>
        <v/>
      </c>
      <c r="U109" s="229" t="str">
        <f t="array" ref="U109">xlookup(C109&amp;D109&amp;"Full Name",'Roster Info'!$A:$A&amp;'Roster Info'!$G:$G&amp;'Roster Info'!$D:$D,'Roster Info'!$E:$E,"")</f>
        <v/>
      </c>
      <c r="AE109" s="63" t="str">
        <f t="array" ref="AE109">if(xlookup(C109&amp;D109&amp;"Steam",'Roster Info'!$A:$A&amp;'Roster Info'!$G:$G&amp;'Roster Info'!$D:$D,'Roster Info'!$E:$E,"")="","-",hyperlink(xlookup(C109&amp;D109&amp;"Steam",'Roster Info'!$A:$A&amp;'Roster Info'!$G:$G&amp;'Roster Info'!$D:$D,'Roster Info'!$E:$E,""),"Steam"))</f>
        <v>-</v>
      </c>
      <c r="AH109" s="63" t="str">
        <f t="array" ref="AH109">if(xlookup(C109&amp;D109&amp;"HLTV",'Roster Info'!$A:$A&amp;'Roster Info'!$G:$G&amp;'Roster Info'!$D:$D,'Roster Info'!$E:$E,"")="","-",hyperlink(xlookup(C109&amp;D109&amp;"HLTV",'Roster Info'!$A:$A&amp;'Roster Info'!$G:$G&amp;'Roster Info'!$D:$D,'Roster Info'!$E:$E,""),"HLTV"))</f>
        <v>-</v>
      </c>
      <c r="AK109" s="63" t="str">
        <f t="array" ref="AK109">if(xlookup(C109&amp;D109&amp;"FaceIt",'Roster Info'!$A:$A&amp;'Roster Info'!$G:$G&amp;'Roster Info'!$D:$D,'Roster Info'!$E:$E,"")="","-",hyperlink(xlookup(C109&amp;D109&amp;"FaceIt",'Roster Info'!$A:$A&amp;'Roster Info'!$G:$G&amp;'Roster Info'!$D:$D,'Roster Info'!$E:$E,""),"FaceIt"))</f>
        <v>-</v>
      </c>
      <c r="AM109" s="61"/>
      <c r="AN109" s="152"/>
      <c r="AO109" s="152"/>
      <c r="AP109" s="219">
        <f>AP107</f>
        <v>10</v>
      </c>
      <c r="AQ109" s="225" t="s">
        <v>115</v>
      </c>
      <c r="AR109" s="226" t="s">
        <v>115</v>
      </c>
      <c r="AV109" s="227" t="str">
        <f t="array" ref="AV109">xlookup(xlookup(AP109&amp;AQ109&amp;"Nationality",'Roster Info'!$A:$A&amp;'Roster Info'!$G:$G&amp;'Roster Info'!$D:$D,'Roster Info'!$E:$E,""),'Roster Info'!$K:$K,'Roster Info'!$L:$L,"")</f>
        <v/>
      </c>
      <c r="AX109" s="228" t="str">
        <f t="array" ref="AX109">xlookup(AP109&amp;AQ109,'Roster Info'!$A:$A&amp;'Roster Info'!$G:$G,'Roster Info'!$F:$F,"")</f>
        <v/>
      </c>
      <c r="BH109" s="229" t="str">
        <f t="array" ref="BH109">xlookup(AP109&amp;AQ109&amp;"Full Name",'Roster Info'!$A:$A&amp;'Roster Info'!$G:$G&amp;'Roster Info'!$D:$D,'Roster Info'!$E:$E,"")</f>
        <v/>
      </c>
      <c r="BR109" s="63" t="str">
        <f t="array" ref="BR109">if(xlookup(AP109&amp;AQ109&amp;"Steam",'Roster Info'!$A:$A&amp;'Roster Info'!$G:$G&amp;'Roster Info'!$D:$D,'Roster Info'!$E:$E,"")="","-",hyperlink(xlookup(AP109&amp;AQ109&amp;"Steam",'Roster Info'!$A:$A&amp;'Roster Info'!$G:$G&amp;'Roster Info'!$D:$D,'Roster Info'!$E:$E,""),"Steam"))</f>
        <v>-</v>
      </c>
      <c r="BU109" s="63" t="str">
        <f t="array" ref="BU109">if(xlookup(AP109&amp;AQ109&amp;"HLTV",'Roster Info'!$A:$A&amp;'Roster Info'!$G:$G&amp;'Roster Info'!$D:$D,'Roster Info'!$E:$E,"")="","-",hyperlink(xlookup(AP109&amp;AQ109&amp;"HLTV",'Roster Info'!$A:$A&amp;'Roster Info'!$G:$G&amp;'Roster Info'!$D:$D,'Roster Info'!$E:$E,""),"HLTV"))</f>
        <v>-</v>
      </c>
      <c r="BX109" s="63" t="str">
        <f t="array" ref="BX109">if(xlookup(AP109&amp;AQ109&amp;"FaceIt",'Roster Info'!$A:$A&amp;'Roster Info'!$G:$G&amp;'Roster Info'!$D:$D,'Roster Info'!$E:$E,"")="","-",hyperlink(xlookup(AP109&amp;AQ109&amp;"FaceIt",'Roster Info'!$A:$A&amp;'Roster Info'!$G:$G&amp;'Roster Info'!$D:$D,'Roster Info'!$E:$E,""),"FaceIt"))</f>
        <v>-</v>
      </c>
      <c r="BZ109" s="61"/>
      <c r="CA109" s="152"/>
      <c r="CB109" s="152"/>
      <c r="CC109" s="152"/>
      <c r="CD109" s="152"/>
    </row>
    <row r="110" ht="15.0" customHeight="1">
      <c r="A110" s="152"/>
      <c r="B110" s="152"/>
      <c r="C110" s="219"/>
      <c r="D110" s="219"/>
      <c r="E110" s="230"/>
      <c r="F110" s="231"/>
      <c r="G110" s="231"/>
      <c r="H110" s="231"/>
      <c r="I110" s="231"/>
      <c r="J110" s="231"/>
      <c r="K110" s="231"/>
      <c r="L110" s="231"/>
      <c r="M110" s="231"/>
      <c r="N110" s="231"/>
      <c r="O110" s="231"/>
      <c r="P110" s="231"/>
      <c r="Q110" s="231"/>
      <c r="R110" s="231"/>
      <c r="S110" s="231"/>
      <c r="T110" s="231"/>
      <c r="U110" s="231"/>
      <c r="V110" s="231"/>
      <c r="W110" s="231"/>
      <c r="X110" s="231"/>
      <c r="Y110" s="231"/>
      <c r="Z110" s="231"/>
      <c r="AA110" s="231"/>
      <c r="AB110" s="231"/>
      <c r="AC110" s="231"/>
      <c r="AD110" s="231"/>
      <c r="AE110" s="231"/>
      <c r="AF110" s="231"/>
      <c r="AG110" s="231"/>
      <c r="AH110" s="231"/>
      <c r="AI110" s="231"/>
      <c r="AJ110" s="231"/>
      <c r="AK110" s="231"/>
      <c r="AL110" s="231"/>
      <c r="AM110" s="232"/>
      <c r="AN110" s="152"/>
      <c r="AO110" s="152"/>
      <c r="AP110" s="219"/>
      <c r="AQ110" s="219"/>
      <c r="AR110" s="230"/>
      <c r="AS110" s="231"/>
      <c r="AT110" s="231"/>
      <c r="AU110" s="231"/>
      <c r="AV110" s="231"/>
      <c r="AW110" s="231"/>
      <c r="AX110" s="231"/>
      <c r="AY110" s="231"/>
      <c r="AZ110" s="231"/>
      <c r="BA110" s="231"/>
      <c r="BB110" s="231"/>
      <c r="BC110" s="231"/>
      <c r="BD110" s="231"/>
      <c r="BE110" s="231"/>
      <c r="BF110" s="231"/>
      <c r="BG110" s="231"/>
      <c r="BH110" s="231"/>
      <c r="BI110" s="231"/>
      <c r="BJ110" s="231"/>
      <c r="BK110" s="231"/>
      <c r="BL110" s="231"/>
      <c r="BM110" s="231"/>
      <c r="BN110" s="231"/>
      <c r="BO110" s="231"/>
      <c r="BP110" s="231"/>
      <c r="BQ110" s="231"/>
      <c r="BR110" s="231"/>
      <c r="BS110" s="231"/>
      <c r="BT110" s="231"/>
      <c r="BU110" s="231"/>
      <c r="BV110" s="231"/>
      <c r="BW110" s="231"/>
      <c r="BX110" s="231"/>
      <c r="BY110" s="231"/>
      <c r="BZ110" s="232"/>
      <c r="CA110" s="152"/>
      <c r="CB110" s="152"/>
      <c r="CC110" s="152"/>
      <c r="CD110" s="152"/>
    </row>
    <row r="111" ht="15.0" customHeight="1">
      <c r="A111" s="152"/>
      <c r="B111" s="152"/>
      <c r="C111" s="219">
        <f>C109</f>
        <v>9</v>
      </c>
      <c r="D111" s="225" t="s">
        <v>121</v>
      </c>
      <c r="E111" s="226" t="s">
        <v>121</v>
      </c>
      <c r="I111" s="227" t="str">
        <f t="array" ref="I111">xlookup(xlookup(C111&amp;D111&amp;"Nationality",'Roster Info'!$A:$A&amp;'Roster Info'!$G:$G&amp;'Roster Info'!$D:$D,'Roster Info'!$E:$E,""),'Roster Info'!$K:$K,'Roster Info'!$L:$L,"")</f>
        <v/>
      </c>
      <c r="K111" s="228" t="str">
        <f t="array" ref="K111">xlookup(C111&amp;D111,'Roster Info'!$A:$A&amp;'Roster Info'!$G:$G,'Roster Info'!$F:$F,"")</f>
        <v/>
      </c>
      <c r="U111" s="229" t="str">
        <f t="array" ref="U111">xlookup(C111&amp;D111&amp;"Full Name",'Roster Info'!$A:$A&amp;'Roster Info'!$G:$G&amp;'Roster Info'!$D:$D,'Roster Info'!$E:$E,"")</f>
        <v/>
      </c>
      <c r="AE111" s="63" t="str">
        <f t="array" ref="AE111">if(xlookup(C111&amp;D111&amp;"Steam",'Roster Info'!$A:$A&amp;'Roster Info'!$G:$G&amp;'Roster Info'!$D:$D,'Roster Info'!$E:$E,"")="","-",hyperlink(xlookup(C111&amp;D111&amp;"Steam",'Roster Info'!$A:$A&amp;'Roster Info'!$G:$G&amp;'Roster Info'!$D:$D,'Roster Info'!$E:$E,""),"Steam"))</f>
        <v>-</v>
      </c>
      <c r="AH111" s="63" t="str">
        <f t="array" ref="AH111">if(xlookup(C111&amp;D111&amp;"HLTV",'Roster Info'!$A:$A&amp;'Roster Info'!$G:$G&amp;'Roster Info'!$D:$D,'Roster Info'!$E:$E,"")="","-",hyperlink(xlookup(C111&amp;D111&amp;"HLTV",'Roster Info'!$A:$A&amp;'Roster Info'!$G:$G&amp;'Roster Info'!$D:$D,'Roster Info'!$E:$E,""),"HLTV"))</f>
        <v>-</v>
      </c>
      <c r="AK111" s="63" t="str">
        <f t="array" ref="AK111">if(xlookup(C111&amp;D111&amp;"FaceIt",'Roster Info'!$A:$A&amp;'Roster Info'!$G:$G&amp;'Roster Info'!$D:$D,'Roster Info'!$E:$E,"")="","-",hyperlink(xlookup(C111&amp;D111&amp;"FaceIt",'Roster Info'!$A:$A&amp;'Roster Info'!$G:$G&amp;'Roster Info'!$D:$D,'Roster Info'!$E:$E,""),"FaceIt"))</f>
        <v>-</v>
      </c>
      <c r="AM111" s="61"/>
      <c r="AN111" s="152"/>
      <c r="AO111" s="152"/>
      <c r="AP111" s="219">
        <f>AP109</f>
        <v>10</v>
      </c>
      <c r="AQ111" s="225" t="s">
        <v>121</v>
      </c>
      <c r="AR111" s="226" t="s">
        <v>121</v>
      </c>
      <c r="AV111" s="227" t="str">
        <f t="array" ref="AV111">xlookup(xlookup(AP111&amp;AQ111&amp;"Nationality",'Roster Info'!$A:$A&amp;'Roster Info'!$G:$G&amp;'Roster Info'!$D:$D,'Roster Info'!$E:$E,""),'Roster Info'!$K:$K,'Roster Info'!$L:$L,"")</f>
        <v/>
      </c>
      <c r="AX111" s="228" t="str">
        <f t="array" ref="AX111">xlookup(AP111&amp;AQ111,'Roster Info'!$A:$A&amp;'Roster Info'!$G:$G,'Roster Info'!$F:$F,"")</f>
        <v/>
      </c>
      <c r="BH111" s="229" t="str">
        <f t="array" ref="BH111">xlookup(AP111&amp;AQ111&amp;"Full Name",'Roster Info'!$A:$A&amp;'Roster Info'!$G:$G&amp;'Roster Info'!$D:$D,'Roster Info'!$E:$E,"")</f>
        <v/>
      </c>
      <c r="BR111" s="63" t="str">
        <f t="array" ref="BR111">if(xlookup(AP111&amp;AQ111&amp;"Steam",'Roster Info'!$A:$A&amp;'Roster Info'!$G:$G&amp;'Roster Info'!$D:$D,'Roster Info'!$E:$E,"")="","-",hyperlink(xlookup(AP111&amp;AQ111&amp;"Steam",'Roster Info'!$A:$A&amp;'Roster Info'!$G:$G&amp;'Roster Info'!$D:$D,'Roster Info'!$E:$E,""),"Steam"))</f>
        <v>-</v>
      </c>
      <c r="BU111" s="63" t="str">
        <f t="array" ref="BU111">if(xlookup(AP111&amp;AQ111&amp;"HLTV",'Roster Info'!$A:$A&amp;'Roster Info'!$G:$G&amp;'Roster Info'!$D:$D,'Roster Info'!$E:$E,"")="","-",hyperlink(xlookup(AP111&amp;AQ111&amp;"HLTV",'Roster Info'!$A:$A&amp;'Roster Info'!$G:$G&amp;'Roster Info'!$D:$D,'Roster Info'!$E:$E,""),"HLTV"))</f>
        <v>-</v>
      </c>
      <c r="BX111" s="63" t="str">
        <f t="array" ref="BX111">if(xlookup(AP111&amp;AQ111&amp;"FaceIt",'Roster Info'!$A:$A&amp;'Roster Info'!$G:$G&amp;'Roster Info'!$D:$D,'Roster Info'!$E:$E,"")="","-",hyperlink(xlookup(AP111&amp;AQ111&amp;"FaceIt",'Roster Info'!$A:$A&amp;'Roster Info'!$G:$G&amp;'Roster Info'!$D:$D,'Roster Info'!$E:$E,""),"FaceIt"))</f>
        <v>-</v>
      </c>
      <c r="BZ111" s="61"/>
      <c r="CA111" s="152"/>
      <c r="CB111" s="152"/>
      <c r="CC111" s="152"/>
      <c r="CD111" s="152"/>
    </row>
    <row r="112" ht="15.0" customHeight="1">
      <c r="A112" s="152"/>
      <c r="B112" s="152"/>
      <c r="C112" s="219"/>
      <c r="D112" s="219"/>
      <c r="E112" s="230"/>
      <c r="F112" s="231"/>
      <c r="G112" s="231"/>
      <c r="H112" s="231"/>
      <c r="I112" s="231"/>
      <c r="J112" s="231"/>
      <c r="K112" s="231"/>
      <c r="L112" s="231"/>
      <c r="M112" s="231"/>
      <c r="N112" s="231"/>
      <c r="O112" s="231"/>
      <c r="P112" s="231"/>
      <c r="Q112" s="231"/>
      <c r="R112" s="231"/>
      <c r="S112" s="231"/>
      <c r="T112" s="231"/>
      <c r="U112" s="231"/>
      <c r="V112" s="231"/>
      <c r="W112" s="231"/>
      <c r="X112" s="231"/>
      <c r="Y112" s="231"/>
      <c r="Z112" s="231"/>
      <c r="AA112" s="231"/>
      <c r="AB112" s="231"/>
      <c r="AC112" s="231"/>
      <c r="AD112" s="231"/>
      <c r="AE112" s="231"/>
      <c r="AF112" s="231"/>
      <c r="AG112" s="231"/>
      <c r="AH112" s="231"/>
      <c r="AI112" s="231"/>
      <c r="AJ112" s="231"/>
      <c r="AK112" s="231"/>
      <c r="AL112" s="231"/>
      <c r="AM112" s="232"/>
      <c r="AN112" s="152"/>
      <c r="AO112" s="152"/>
      <c r="AP112" s="219"/>
      <c r="AQ112" s="219"/>
      <c r="AR112" s="230"/>
      <c r="AS112" s="231"/>
      <c r="AT112" s="231"/>
      <c r="AU112" s="231"/>
      <c r="AV112" s="231"/>
      <c r="AW112" s="231"/>
      <c r="AX112" s="231"/>
      <c r="AY112" s="231"/>
      <c r="AZ112" s="231"/>
      <c r="BA112" s="231"/>
      <c r="BB112" s="231"/>
      <c r="BC112" s="231"/>
      <c r="BD112" s="231"/>
      <c r="BE112" s="231"/>
      <c r="BF112" s="231"/>
      <c r="BG112" s="231"/>
      <c r="BH112" s="231"/>
      <c r="BI112" s="231"/>
      <c r="BJ112" s="231"/>
      <c r="BK112" s="231"/>
      <c r="BL112" s="231"/>
      <c r="BM112" s="231"/>
      <c r="BN112" s="231"/>
      <c r="BO112" s="231"/>
      <c r="BP112" s="231"/>
      <c r="BQ112" s="231"/>
      <c r="BR112" s="231"/>
      <c r="BS112" s="231"/>
      <c r="BT112" s="231"/>
      <c r="BU112" s="231"/>
      <c r="BV112" s="231"/>
      <c r="BW112" s="231"/>
      <c r="BX112" s="231"/>
      <c r="BY112" s="231"/>
      <c r="BZ112" s="232"/>
      <c r="CA112" s="152"/>
      <c r="CB112" s="152"/>
      <c r="CC112" s="152"/>
      <c r="CD112" s="152"/>
    </row>
    <row r="113" ht="15.0" customHeight="1">
      <c r="A113" s="152"/>
      <c r="B113" s="152"/>
      <c r="C113" s="219">
        <f>C111</f>
        <v>9</v>
      </c>
      <c r="D113" s="225" t="s">
        <v>127</v>
      </c>
      <c r="E113" s="226" t="s">
        <v>127</v>
      </c>
      <c r="I113" s="227" t="str">
        <f t="array" ref="I113">xlookup(xlookup(C113&amp;D113&amp;"Nationality",'Roster Info'!$A:$A&amp;'Roster Info'!$G:$G&amp;'Roster Info'!$D:$D,'Roster Info'!$E:$E,""),'Roster Info'!$K:$K,'Roster Info'!$L:$L,"")</f>
        <v/>
      </c>
      <c r="K113" s="228" t="str">
        <f t="array" ref="K113">xlookup(C113&amp;D113,'Roster Info'!$A:$A&amp;'Roster Info'!$G:$G,'Roster Info'!$F:$F,"")</f>
        <v/>
      </c>
      <c r="U113" s="229" t="str">
        <f t="array" ref="U113">xlookup(C113&amp;D113&amp;"Full Name",'Roster Info'!$A:$A&amp;'Roster Info'!$G:$G&amp;'Roster Info'!$D:$D,'Roster Info'!$E:$E,"")</f>
        <v/>
      </c>
      <c r="AE113" s="63" t="str">
        <f t="array" ref="AE113">if(xlookup(C113&amp;D113&amp;"Steam",'Roster Info'!$A:$A&amp;'Roster Info'!$G:$G&amp;'Roster Info'!$D:$D,'Roster Info'!$E:$E,"")="","-",hyperlink(xlookup(C113&amp;D113&amp;"Steam",'Roster Info'!$A:$A&amp;'Roster Info'!$G:$G&amp;'Roster Info'!$D:$D,'Roster Info'!$E:$E,""),"Steam"))</f>
        <v>-</v>
      </c>
      <c r="AH113" s="63" t="str">
        <f t="array" ref="AH113">if(xlookup(C113&amp;D113&amp;"HLTV",'Roster Info'!$A:$A&amp;'Roster Info'!$G:$G&amp;'Roster Info'!$D:$D,'Roster Info'!$E:$E,"")="","-",hyperlink(xlookup(C113&amp;D113&amp;"HLTV",'Roster Info'!$A:$A&amp;'Roster Info'!$G:$G&amp;'Roster Info'!$D:$D,'Roster Info'!$E:$E,""),"HLTV"))</f>
        <v>-</v>
      </c>
      <c r="AK113" s="63" t="str">
        <f t="array" ref="AK113">if(xlookup(C113&amp;D113&amp;"FaceIt",'Roster Info'!$A:$A&amp;'Roster Info'!$G:$G&amp;'Roster Info'!$D:$D,'Roster Info'!$E:$E,"")="","-",hyperlink(xlookup(C113&amp;D113&amp;"FaceIt",'Roster Info'!$A:$A&amp;'Roster Info'!$G:$G&amp;'Roster Info'!$D:$D,'Roster Info'!$E:$E,""),"FaceIt"))</f>
        <v>-</v>
      </c>
      <c r="AM113" s="61"/>
      <c r="AN113" s="152"/>
      <c r="AO113" s="152"/>
      <c r="AP113" s="219">
        <f>AP111</f>
        <v>10</v>
      </c>
      <c r="AQ113" s="225" t="s">
        <v>127</v>
      </c>
      <c r="AR113" s="226" t="s">
        <v>127</v>
      </c>
      <c r="AV113" s="227" t="str">
        <f t="array" ref="AV113">xlookup(xlookup(AP113&amp;AQ113&amp;"Nationality",'Roster Info'!$A:$A&amp;'Roster Info'!$G:$G&amp;'Roster Info'!$D:$D,'Roster Info'!$E:$E,""),'Roster Info'!$K:$K,'Roster Info'!$L:$L,"")</f>
        <v/>
      </c>
      <c r="AX113" s="228" t="str">
        <f t="array" ref="AX113">xlookup(AP113&amp;AQ113,'Roster Info'!$A:$A&amp;'Roster Info'!$G:$G,'Roster Info'!$F:$F,"")</f>
        <v/>
      </c>
      <c r="BH113" s="229" t="str">
        <f t="array" ref="BH113">xlookup(AP113&amp;AQ113&amp;"Full Name",'Roster Info'!$A:$A&amp;'Roster Info'!$G:$G&amp;'Roster Info'!$D:$D,'Roster Info'!$E:$E,"")</f>
        <v/>
      </c>
      <c r="BR113" s="63" t="str">
        <f t="array" ref="BR113">if(xlookup(AP113&amp;AQ113&amp;"Steam",'Roster Info'!$A:$A&amp;'Roster Info'!$G:$G&amp;'Roster Info'!$D:$D,'Roster Info'!$E:$E,"")="","-",hyperlink(xlookup(AP113&amp;AQ113&amp;"Steam",'Roster Info'!$A:$A&amp;'Roster Info'!$G:$G&amp;'Roster Info'!$D:$D,'Roster Info'!$E:$E,""),"Steam"))</f>
        <v>-</v>
      </c>
      <c r="BU113" s="63" t="str">
        <f t="array" ref="BU113">if(xlookup(AP113&amp;AQ113&amp;"HLTV",'Roster Info'!$A:$A&amp;'Roster Info'!$G:$G&amp;'Roster Info'!$D:$D,'Roster Info'!$E:$E,"")="","-",hyperlink(xlookup(AP113&amp;AQ113&amp;"HLTV",'Roster Info'!$A:$A&amp;'Roster Info'!$G:$G&amp;'Roster Info'!$D:$D,'Roster Info'!$E:$E,""),"HLTV"))</f>
        <v>-</v>
      </c>
      <c r="BX113" s="63" t="str">
        <f t="array" ref="BX113">if(xlookup(AP113&amp;AQ113&amp;"FaceIt",'Roster Info'!$A:$A&amp;'Roster Info'!$G:$G&amp;'Roster Info'!$D:$D,'Roster Info'!$E:$E,"")="","-",hyperlink(xlookup(AP113&amp;AQ113&amp;"FaceIt",'Roster Info'!$A:$A&amp;'Roster Info'!$G:$G&amp;'Roster Info'!$D:$D,'Roster Info'!$E:$E,""),"FaceIt"))</f>
        <v>-</v>
      </c>
      <c r="BZ113" s="61"/>
      <c r="CA113" s="152"/>
      <c r="CB113" s="152"/>
      <c r="CC113" s="152"/>
      <c r="CD113" s="152"/>
    </row>
    <row r="114" ht="15.0" customHeight="1">
      <c r="A114" s="152"/>
      <c r="B114" s="152"/>
      <c r="C114" s="219"/>
      <c r="D114" s="219"/>
      <c r="E114" s="230"/>
      <c r="F114" s="231"/>
      <c r="G114" s="231"/>
      <c r="H114" s="231"/>
      <c r="I114" s="231"/>
      <c r="J114" s="231"/>
      <c r="K114" s="231"/>
      <c r="L114" s="231"/>
      <c r="M114" s="231"/>
      <c r="N114" s="231"/>
      <c r="O114" s="231"/>
      <c r="P114" s="231"/>
      <c r="Q114" s="231"/>
      <c r="R114" s="231"/>
      <c r="S114" s="231"/>
      <c r="T114" s="231"/>
      <c r="U114" s="231"/>
      <c r="V114" s="231"/>
      <c r="W114" s="231"/>
      <c r="X114" s="231"/>
      <c r="Y114" s="231"/>
      <c r="Z114" s="231"/>
      <c r="AA114" s="231"/>
      <c r="AB114" s="231"/>
      <c r="AC114" s="231"/>
      <c r="AD114" s="231"/>
      <c r="AE114" s="231"/>
      <c r="AF114" s="231"/>
      <c r="AG114" s="231"/>
      <c r="AH114" s="231"/>
      <c r="AI114" s="231"/>
      <c r="AJ114" s="231"/>
      <c r="AK114" s="231"/>
      <c r="AL114" s="231"/>
      <c r="AM114" s="232"/>
      <c r="AN114" s="152"/>
      <c r="AO114" s="152"/>
      <c r="AP114" s="219"/>
      <c r="AQ114" s="219"/>
      <c r="AR114" s="230"/>
      <c r="AS114" s="231"/>
      <c r="AT114" s="231"/>
      <c r="AU114" s="231"/>
      <c r="AV114" s="231"/>
      <c r="AW114" s="231"/>
      <c r="AX114" s="231"/>
      <c r="AY114" s="231"/>
      <c r="AZ114" s="231"/>
      <c r="BA114" s="231"/>
      <c r="BB114" s="231"/>
      <c r="BC114" s="231"/>
      <c r="BD114" s="231"/>
      <c r="BE114" s="231"/>
      <c r="BF114" s="231"/>
      <c r="BG114" s="231"/>
      <c r="BH114" s="231"/>
      <c r="BI114" s="231"/>
      <c r="BJ114" s="231"/>
      <c r="BK114" s="231"/>
      <c r="BL114" s="231"/>
      <c r="BM114" s="231"/>
      <c r="BN114" s="231"/>
      <c r="BO114" s="231"/>
      <c r="BP114" s="231"/>
      <c r="BQ114" s="231"/>
      <c r="BR114" s="231"/>
      <c r="BS114" s="231"/>
      <c r="BT114" s="231"/>
      <c r="BU114" s="231"/>
      <c r="BV114" s="231"/>
      <c r="BW114" s="231"/>
      <c r="BX114" s="231"/>
      <c r="BY114" s="231"/>
      <c r="BZ114" s="232"/>
      <c r="CA114" s="152"/>
      <c r="CB114" s="152"/>
      <c r="CC114" s="152"/>
      <c r="CD114" s="152"/>
    </row>
    <row r="115" ht="15.0" customHeight="1">
      <c r="A115" s="152"/>
      <c r="B115" s="152"/>
      <c r="C115" s="219">
        <f>C113</f>
        <v>9</v>
      </c>
      <c r="D115" s="225" t="s">
        <v>133</v>
      </c>
      <c r="E115" s="226" t="s">
        <v>133</v>
      </c>
      <c r="I115" s="227" t="str">
        <f t="array" ref="I115">xlookup(xlookup(C115&amp;D115&amp;"Nationality",'Roster Info'!$A:$A&amp;'Roster Info'!$G:$G&amp;'Roster Info'!$D:$D,'Roster Info'!$E:$E,""),'Roster Info'!$K:$K,'Roster Info'!$L:$L,"")</f>
        <v/>
      </c>
      <c r="K115" s="228" t="str">
        <f t="array" ref="K115">xlookup(C115&amp;D115,'Roster Info'!$A:$A&amp;'Roster Info'!$G:$G,'Roster Info'!$F:$F,"")</f>
        <v/>
      </c>
      <c r="U115" s="229" t="str">
        <f t="array" ref="U115">xlookup(C115&amp;D115&amp;"Full Name",'Roster Info'!$A:$A&amp;'Roster Info'!$G:$G&amp;'Roster Info'!$D:$D,'Roster Info'!$E:$E,"")</f>
        <v/>
      </c>
      <c r="AE115" s="63" t="str">
        <f t="array" ref="AE115">if(xlookup(C115&amp;D115&amp;"Steam",'Roster Info'!$A:$A&amp;'Roster Info'!$G:$G&amp;'Roster Info'!$D:$D,'Roster Info'!$E:$E,"")="","-",hyperlink(xlookup(C115&amp;D115&amp;"Steam",'Roster Info'!$A:$A&amp;'Roster Info'!$G:$G&amp;'Roster Info'!$D:$D,'Roster Info'!$E:$E,""),"Steam"))</f>
        <v>-</v>
      </c>
      <c r="AH115" s="63" t="str">
        <f t="array" ref="AH115">if(xlookup(C115&amp;D115&amp;"HLTV",'Roster Info'!$A:$A&amp;'Roster Info'!$G:$G&amp;'Roster Info'!$D:$D,'Roster Info'!$E:$E,"")="","-",hyperlink(xlookup(C115&amp;D115&amp;"HLTV",'Roster Info'!$A:$A&amp;'Roster Info'!$G:$G&amp;'Roster Info'!$D:$D,'Roster Info'!$E:$E,""),"HLTV"))</f>
        <v>-</v>
      </c>
      <c r="AK115" s="63" t="str">
        <f t="array" ref="AK115">if(xlookup(C115&amp;D115&amp;"FaceIt",'Roster Info'!$A:$A&amp;'Roster Info'!$G:$G&amp;'Roster Info'!$D:$D,'Roster Info'!$E:$E,"")="","-",hyperlink(xlookup(C115&amp;D115&amp;"FaceIt",'Roster Info'!$A:$A&amp;'Roster Info'!$G:$G&amp;'Roster Info'!$D:$D,'Roster Info'!$E:$E,""),"FaceIt"))</f>
        <v>-</v>
      </c>
      <c r="AM115" s="61"/>
      <c r="AN115" s="152"/>
      <c r="AO115" s="152"/>
      <c r="AP115" s="219">
        <f>AP113</f>
        <v>10</v>
      </c>
      <c r="AQ115" s="225" t="s">
        <v>133</v>
      </c>
      <c r="AR115" s="226" t="s">
        <v>133</v>
      </c>
      <c r="AV115" s="227" t="str">
        <f t="array" ref="AV115">xlookup(xlookup(AP115&amp;AQ115&amp;"Nationality",'Roster Info'!$A:$A&amp;'Roster Info'!$G:$G&amp;'Roster Info'!$D:$D,'Roster Info'!$E:$E,""),'Roster Info'!$K:$K,'Roster Info'!$L:$L,"")</f>
        <v/>
      </c>
      <c r="AX115" s="228" t="str">
        <f t="array" ref="AX115">xlookup(AP115&amp;AQ115,'Roster Info'!$A:$A&amp;'Roster Info'!$G:$G,'Roster Info'!$F:$F,"")</f>
        <v/>
      </c>
      <c r="BH115" s="229" t="str">
        <f t="array" ref="BH115">xlookup(AP115&amp;AQ115&amp;"Full Name",'Roster Info'!$A:$A&amp;'Roster Info'!$G:$G&amp;'Roster Info'!$D:$D,'Roster Info'!$E:$E,"")</f>
        <v/>
      </c>
      <c r="BR115" s="63" t="str">
        <f t="array" ref="BR115">if(xlookup(AP115&amp;AQ115&amp;"Steam",'Roster Info'!$A:$A&amp;'Roster Info'!$G:$G&amp;'Roster Info'!$D:$D,'Roster Info'!$E:$E,"")="","-",hyperlink(xlookup(AP115&amp;AQ115&amp;"Steam",'Roster Info'!$A:$A&amp;'Roster Info'!$G:$G&amp;'Roster Info'!$D:$D,'Roster Info'!$E:$E,""),"Steam"))</f>
        <v>-</v>
      </c>
      <c r="BU115" s="63" t="str">
        <f t="array" ref="BU115">if(xlookup(AP115&amp;AQ115&amp;"HLTV",'Roster Info'!$A:$A&amp;'Roster Info'!$G:$G&amp;'Roster Info'!$D:$D,'Roster Info'!$E:$E,"")="","-",hyperlink(xlookup(AP115&amp;AQ115&amp;"HLTV",'Roster Info'!$A:$A&amp;'Roster Info'!$G:$G&amp;'Roster Info'!$D:$D,'Roster Info'!$E:$E,""),"HLTV"))</f>
        <v>-</v>
      </c>
      <c r="BX115" s="63" t="str">
        <f t="array" ref="BX115">if(xlookup(AP115&amp;AQ115&amp;"FaceIt",'Roster Info'!$A:$A&amp;'Roster Info'!$G:$G&amp;'Roster Info'!$D:$D,'Roster Info'!$E:$E,"")="","-",hyperlink(xlookup(AP115&amp;AQ115&amp;"FaceIt",'Roster Info'!$A:$A&amp;'Roster Info'!$G:$G&amp;'Roster Info'!$D:$D,'Roster Info'!$E:$E,""),"FaceIt"))</f>
        <v>-</v>
      </c>
      <c r="BZ115" s="61"/>
      <c r="CA115" s="152"/>
      <c r="CB115" s="152"/>
      <c r="CC115" s="152"/>
      <c r="CD115" s="152"/>
    </row>
    <row r="116" ht="15.0" customHeight="1">
      <c r="A116" s="152"/>
      <c r="B116" s="152"/>
      <c r="C116" s="219"/>
      <c r="D116" s="219"/>
      <c r="E116" s="230"/>
      <c r="F116" s="231"/>
      <c r="G116" s="231"/>
      <c r="H116" s="231"/>
      <c r="I116" s="231"/>
      <c r="J116" s="231"/>
      <c r="K116" s="231"/>
      <c r="L116" s="231"/>
      <c r="M116" s="231"/>
      <c r="N116" s="231"/>
      <c r="O116" s="231"/>
      <c r="P116" s="231"/>
      <c r="Q116" s="231"/>
      <c r="R116" s="231"/>
      <c r="S116" s="231"/>
      <c r="T116" s="231"/>
      <c r="U116" s="231"/>
      <c r="V116" s="231"/>
      <c r="W116" s="231"/>
      <c r="X116" s="231"/>
      <c r="Y116" s="231"/>
      <c r="Z116" s="231"/>
      <c r="AA116" s="231"/>
      <c r="AB116" s="231"/>
      <c r="AC116" s="231"/>
      <c r="AD116" s="231"/>
      <c r="AE116" s="231"/>
      <c r="AF116" s="231"/>
      <c r="AG116" s="231"/>
      <c r="AH116" s="231"/>
      <c r="AI116" s="231"/>
      <c r="AJ116" s="231"/>
      <c r="AK116" s="231"/>
      <c r="AL116" s="231"/>
      <c r="AM116" s="232"/>
      <c r="AN116" s="152"/>
      <c r="AO116" s="152"/>
      <c r="AP116" s="219"/>
      <c r="AQ116" s="219"/>
      <c r="AR116" s="230"/>
      <c r="AS116" s="231"/>
      <c r="AT116" s="231"/>
      <c r="AU116" s="231"/>
      <c r="AV116" s="231"/>
      <c r="AW116" s="231"/>
      <c r="AX116" s="231"/>
      <c r="AY116" s="231"/>
      <c r="AZ116" s="231"/>
      <c r="BA116" s="231"/>
      <c r="BB116" s="231"/>
      <c r="BC116" s="231"/>
      <c r="BD116" s="231"/>
      <c r="BE116" s="231"/>
      <c r="BF116" s="231"/>
      <c r="BG116" s="231"/>
      <c r="BH116" s="231"/>
      <c r="BI116" s="231"/>
      <c r="BJ116" s="231"/>
      <c r="BK116" s="231"/>
      <c r="BL116" s="231"/>
      <c r="BM116" s="231"/>
      <c r="BN116" s="231"/>
      <c r="BO116" s="231"/>
      <c r="BP116" s="231"/>
      <c r="BQ116" s="231"/>
      <c r="BR116" s="231"/>
      <c r="BS116" s="231"/>
      <c r="BT116" s="231"/>
      <c r="BU116" s="231"/>
      <c r="BV116" s="231"/>
      <c r="BW116" s="231"/>
      <c r="BX116" s="231"/>
      <c r="BY116" s="231"/>
      <c r="BZ116" s="232"/>
      <c r="CA116" s="152"/>
      <c r="CB116" s="152"/>
      <c r="CC116" s="152"/>
      <c r="CD116" s="152"/>
    </row>
    <row r="117" ht="15.0" customHeight="1">
      <c r="A117" s="152"/>
      <c r="B117" s="152"/>
      <c r="C117" s="219">
        <f>C115</f>
        <v>9</v>
      </c>
      <c r="D117" s="233" t="s">
        <v>139</v>
      </c>
      <c r="E117" s="234" t="s">
        <v>319</v>
      </c>
      <c r="I117" s="227" t="str">
        <f t="array" ref="I117">xlookup(xlookup(C117&amp;D117&amp;"Nationality",'Roster Info'!$A:$A&amp;'Roster Info'!$G:$G&amp;'Roster Info'!$D:$D,'Roster Info'!$E:$E,""),'Roster Info'!$K:$K,'Roster Info'!$L:$L,"")</f>
        <v/>
      </c>
      <c r="K117" s="228" t="str">
        <f t="array" ref="K117">xlookup(C117&amp;D117,'Roster Info'!$A:$A&amp;'Roster Info'!$G:$G,'Roster Info'!$F:$F,"")</f>
        <v/>
      </c>
      <c r="U117" s="229" t="str">
        <f t="array" ref="U117">xlookup(C117&amp;D117&amp;"Full Name",'Roster Info'!$A:$A&amp;'Roster Info'!$G:$G&amp;'Roster Info'!$D:$D,'Roster Info'!$E:$E,"")</f>
        <v/>
      </c>
      <c r="AE117" s="63" t="str">
        <f t="array" ref="AE117">if(xlookup(C117&amp;D117&amp;"Steam",'Roster Info'!$A:$A&amp;'Roster Info'!$G:$G&amp;'Roster Info'!$D:$D,'Roster Info'!$E:$E,"")="","-",hyperlink(xlookup(C117&amp;D117&amp;"Steam",'Roster Info'!$A:$A&amp;'Roster Info'!$G:$G&amp;'Roster Info'!$D:$D,'Roster Info'!$E:$E,""),"Steam"))</f>
        <v>-</v>
      </c>
      <c r="AH117" s="63" t="str">
        <f t="array" ref="AH117">if(xlookup(C117&amp;D117&amp;"HLTV",'Roster Info'!$A:$A&amp;'Roster Info'!$G:$G&amp;'Roster Info'!$D:$D,'Roster Info'!$E:$E,"")="","-",hyperlink(xlookup(C117&amp;D117&amp;"HLTV",'Roster Info'!$A:$A&amp;'Roster Info'!$G:$G&amp;'Roster Info'!$D:$D,'Roster Info'!$E:$E,""),"HLTV"))</f>
        <v>-</v>
      </c>
      <c r="AK117" s="63" t="str">
        <f t="array" ref="AK117">if(xlookup(C117&amp;D117&amp;"FaceIt",'Roster Info'!$A:$A&amp;'Roster Info'!$G:$G&amp;'Roster Info'!$D:$D,'Roster Info'!$E:$E,"")="","-",hyperlink(xlookup(C117&amp;D117&amp;"FaceIt",'Roster Info'!$A:$A&amp;'Roster Info'!$G:$G&amp;'Roster Info'!$D:$D,'Roster Info'!$E:$E,""),"FaceIt"))</f>
        <v>-</v>
      </c>
      <c r="AM117" s="61"/>
      <c r="AN117" s="152"/>
      <c r="AO117" s="152"/>
      <c r="AP117" s="219">
        <f>AP115</f>
        <v>10</v>
      </c>
      <c r="AQ117" s="233" t="s">
        <v>139</v>
      </c>
      <c r="AR117" s="234" t="s">
        <v>319</v>
      </c>
      <c r="AV117" s="227" t="str">
        <f t="array" ref="AV117">xlookup(xlookup(AP117&amp;AQ117&amp;"Nationality",'Roster Info'!$A:$A&amp;'Roster Info'!$G:$G&amp;'Roster Info'!$D:$D,'Roster Info'!$E:$E,""),'Roster Info'!$K:$K,'Roster Info'!$L:$L,"")</f>
        <v/>
      </c>
      <c r="AX117" s="228" t="str">
        <f t="array" ref="AX117">xlookup(AP117&amp;AQ117,'Roster Info'!$A:$A&amp;'Roster Info'!$G:$G,'Roster Info'!$F:$F,"")</f>
        <v/>
      </c>
      <c r="BH117" s="229" t="str">
        <f t="array" ref="BH117">xlookup(AP117&amp;AQ117&amp;"Full Name",'Roster Info'!$A:$A&amp;'Roster Info'!$G:$G&amp;'Roster Info'!$D:$D,'Roster Info'!$E:$E,"")</f>
        <v/>
      </c>
      <c r="BR117" s="63" t="str">
        <f t="array" ref="BR117">if(xlookup(AP117&amp;AQ117&amp;"Steam",'Roster Info'!$A:$A&amp;'Roster Info'!$G:$G&amp;'Roster Info'!$D:$D,'Roster Info'!$E:$E,"")="","-",hyperlink(xlookup(AP117&amp;AQ117&amp;"Steam",'Roster Info'!$A:$A&amp;'Roster Info'!$G:$G&amp;'Roster Info'!$D:$D,'Roster Info'!$E:$E,""),"Steam"))</f>
        <v>-</v>
      </c>
      <c r="BU117" s="63" t="str">
        <f t="array" ref="BU117">if(xlookup(AP117&amp;AQ117&amp;"HLTV",'Roster Info'!$A:$A&amp;'Roster Info'!$G:$G&amp;'Roster Info'!$D:$D,'Roster Info'!$E:$E,"")="","-",hyperlink(xlookup(AP117&amp;AQ117&amp;"HLTV",'Roster Info'!$A:$A&amp;'Roster Info'!$G:$G&amp;'Roster Info'!$D:$D,'Roster Info'!$E:$E,""),"HLTV"))</f>
        <v>-</v>
      </c>
      <c r="BX117" s="63" t="str">
        <f t="array" ref="BX117">if(xlookup(AP117&amp;AQ117&amp;"FaceIt",'Roster Info'!$A:$A&amp;'Roster Info'!$G:$G&amp;'Roster Info'!$D:$D,'Roster Info'!$E:$E,"")="","-",hyperlink(xlookup(AP117&amp;AQ117&amp;"FaceIt",'Roster Info'!$A:$A&amp;'Roster Info'!$G:$G&amp;'Roster Info'!$D:$D,'Roster Info'!$E:$E,""),"FaceIt"))</f>
        <v>-</v>
      </c>
      <c r="BZ117" s="61"/>
      <c r="CA117" s="152"/>
      <c r="CB117" s="152"/>
      <c r="CC117" s="152"/>
      <c r="CD117" s="152"/>
    </row>
    <row r="118" ht="15.0" customHeight="1">
      <c r="A118" s="152"/>
      <c r="B118" s="152"/>
      <c r="C118" s="219"/>
      <c r="D118" s="219"/>
      <c r="E118" s="230"/>
      <c r="F118" s="231"/>
      <c r="G118" s="231"/>
      <c r="H118" s="231"/>
      <c r="I118" s="231"/>
      <c r="J118" s="231"/>
      <c r="K118" s="231"/>
      <c r="L118" s="231"/>
      <c r="M118" s="231"/>
      <c r="N118" s="231"/>
      <c r="O118" s="231"/>
      <c r="P118" s="231"/>
      <c r="Q118" s="231"/>
      <c r="R118" s="231"/>
      <c r="S118" s="231"/>
      <c r="T118" s="231"/>
      <c r="U118" s="231"/>
      <c r="V118" s="231"/>
      <c r="W118" s="231"/>
      <c r="X118" s="231"/>
      <c r="Y118" s="231"/>
      <c r="Z118" s="231"/>
      <c r="AA118" s="231"/>
      <c r="AB118" s="231"/>
      <c r="AC118" s="231"/>
      <c r="AD118" s="231"/>
      <c r="AE118" s="231"/>
      <c r="AF118" s="231"/>
      <c r="AG118" s="231"/>
      <c r="AH118" s="231"/>
      <c r="AI118" s="231"/>
      <c r="AJ118" s="231"/>
      <c r="AK118" s="231"/>
      <c r="AL118" s="231"/>
      <c r="AM118" s="232"/>
      <c r="AN118" s="152"/>
      <c r="AO118" s="152"/>
      <c r="AP118" s="219"/>
      <c r="AQ118" s="219"/>
      <c r="AR118" s="230"/>
      <c r="AS118" s="231"/>
      <c r="AT118" s="231"/>
      <c r="AU118" s="231"/>
      <c r="AV118" s="231"/>
      <c r="AW118" s="231"/>
      <c r="AX118" s="231"/>
      <c r="AY118" s="231"/>
      <c r="AZ118" s="231"/>
      <c r="BA118" s="231"/>
      <c r="BB118" s="231"/>
      <c r="BC118" s="231"/>
      <c r="BD118" s="231"/>
      <c r="BE118" s="231"/>
      <c r="BF118" s="231"/>
      <c r="BG118" s="231"/>
      <c r="BH118" s="231"/>
      <c r="BI118" s="231"/>
      <c r="BJ118" s="231"/>
      <c r="BK118" s="231"/>
      <c r="BL118" s="231"/>
      <c r="BM118" s="231"/>
      <c r="BN118" s="231"/>
      <c r="BO118" s="231"/>
      <c r="BP118" s="231"/>
      <c r="BQ118" s="231"/>
      <c r="BR118" s="231"/>
      <c r="BS118" s="231"/>
      <c r="BT118" s="231"/>
      <c r="BU118" s="231"/>
      <c r="BV118" s="231"/>
      <c r="BW118" s="231"/>
      <c r="BX118" s="231"/>
      <c r="BY118" s="231"/>
      <c r="BZ118" s="232"/>
      <c r="CA118" s="152"/>
      <c r="CB118" s="152"/>
      <c r="CC118" s="152"/>
      <c r="CD118" s="152"/>
    </row>
    <row r="119" ht="15.0" customHeight="1">
      <c r="A119" s="152"/>
      <c r="B119" s="152"/>
      <c r="C119" s="219">
        <f>C117</f>
        <v>9</v>
      </c>
      <c r="D119" s="225" t="s">
        <v>145</v>
      </c>
      <c r="E119" s="226" t="s">
        <v>145</v>
      </c>
      <c r="I119" s="227" t="str">
        <f t="array" ref="I119">xlookup(xlookup(C119&amp;D119&amp;"Nationality",'Roster Info'!$A:$A&amp;'Roster Info'!$G:$G&amp;'Roster Info'!$D:$D,'Roster Info'!$E:$E,""),'Roster Info'!$K:$K,'Roster Info'!$L:$L,"")</f>
        <v/>
      </c>
      <c r="K119" s="228" t="str">
        <f t="array" ref="K119">xlookup(C119&amp;D119,'Roster Info'!$A:$A&amp;'Roster Info'!$G:$G,'Roster Info'!$F:$F,"")</f>
        <v/>
      </c>
      <c r="U119" s="229" t="str">
        <f t="array" ref="U119">xlookup(C119&amp;D119&amp;"Full Name",'Roster Info'!$A:$A&amp;'Roster Info'!$G:$G&amp;'Roster Info'!$D:$D,'Roster Info'!$E:$E,"")</f>
        <v/>
      </c>
      <c r="AE119" s="63" t="str">
        <f t="array" ref="AE119">if(xlookup(C119&amp;D119&amp;"Steam",'Roster Info'!$A:$A&amp;'Roster Info'!$G:$G&amp;'Roster Info'!$D:$D,'Roster Info'!$E:$E,"")="","-",hyperlink(xlookup(C119&amp;D119&amp;"Steam",'Roster Info'!$A:$A&amp;'Roster Info'!$G:$G&amp;'Roster Info'!$D:$D,'Roster Info'!$E:$E,""),"Steam"))</f>
        <v>-</v>
      </c>
      <c r="AH119" s="63" t="str">
        <f t="array" ref="AH119">if(xlookup(C119&amp;D119&amp;"HLTV",'Roster Info'!$A:$A&amp;'Roster Info'!$G:$G&amp;'Roster Info'!$D:$D,'Roster Info'!$E:$E,"")="","-",hyperlink(xlookup(C119&amp;D119&amp;"HLTV",'Roster Info'!$A:$A&amp;'Roster Info'!$G:$G&amp;'Roster Info'!$D:$D,'Roster Info'!$E:$E,""),"HLTV"))</f>
        <v>-</v>
      </c>
      <c r="AK119" s="63" t="str">
        <f t="array" ref="AK119">if(xlookup(C119&amp;D119&amp;"FaceIt",'Roster Info'!$A:$A&amp;'Roster Info'!$G:$G&amp;'Roster Info'!$D:$D,'Roster Info'!$E:$E,"")="","-",hyperlink(xlookup(C119&amp;D119&amp;"FaceIt",'Roster Info'!$A:$A&amp;'Roster Info'!$G:$G&amp;'Roster Info'!$D:$D,'Roster Info'!$E:$E,""),"FaceIt"))</f>
        <v>-</v>
      </c>
      <c r="AM119" s="61"/>
      <c r="AN119" s="152"/>
      <c r="AO119" s="152"/>
      <c r="AP119" s="219">
        <f>AP117</f>
        <v>10</v>
      </c>
      <c r="AQ119" s="225" t="s">
        <v>145</v>
      </c>
      <c r="AR119" s="226" t="s">
        <v>145</v>
      </c>
      <c r="AV119" s="227" t="str">
        <f t="array" ref="AV119">xlookup(xlookup(AP119&amp;AQ119&amp;"Nationality",'Roster Info'!$A:$A&amp;'Roster Info'!$G:$G&amp;'Roster Info'!$D:$D,'Roster Info'!$E:$E,""),'Roster Info'!$K:$K,'Roster Info'!$L:$L,"")</f>
        <v/>
      </c>
      <c r="AX119" s="228" t="str">
        <f t="array" ref="AX119">xlookup(AP119&amp;AQ119,'Roster Info'!$A:$A&amp;'Roster Info'!$G:$G,'Roster Info'!$F:$F,"")</f>
        <v/>
      </c>
      <c r="BH119" s="229" t="str">
        <f t="array" ref="BH119">xlookup(AP119&amp;AQ119&amp;"Full Name",'Roster Info'!$A:$A&amp;'Roster Info'!$G:$G&amp;'Roster Info'!$D:$D,'Roster Info'!$E:$E,"")</f>
        <v/>
      </c>
      <c r="BR119" s="63" t="str">
        <f t="array" ref="BR119">if(xlookup(AP119&amp;AQ119&amp;"Steam",'Roster Info'!$A:$A&amp;'Roster Info'!$G:$G&amp;'Roster Info'!$D:$D,'Roster Info'!$E:$E,"")="","-",hyperlink(xlookup(AP119&amp;AQ119&amp;"Steam",'Roster Info'!$A:$A&amp;'Roster Info'!$G:$G&amp;'Roster Info'!$D:$D,'Roster Info'!$E:$E,""),"Steam"))</f>
        <v>-</v>
      </c>
      <c r="BU119" s="63" t="str">
        <f t="array" ref="BU119">if(xlookup(AP119&amp;AQ119&amp;"HLTV",'Roster Info'!$A:$A&amp;'Roster Info'!$G:$G&amp;'Roster Info'!$D:$D,'Roster Info'!$E:$E,"")="","-",hyperlink(xlookup(AP119&amp;AQ119&amp;"HLTV",'Roster Info'!$A:$A&amp;'Roster Info'!$G:$G&amp;'Roster Info'!$D:$D,'Roster Info'!$E:$E,""),"HLTV"))</f>
        <v>-</v>
      </c>
      <c r="BX119" s="63" t="str">
        <f t="array" ref="BX119">if(xlookup(AP119&amp;AQ119&amp;"FaceIt",'Roster Info'!$A:$A&amp;'Roster Info'!$G:$G&amp;'Roster Info'!$D:$D,'Roster Info'!$E:$E,"")="","-",hyperlink(xlookup(AP119&amp;AQ119&amp;"FaceIt",'Roster Info'!$A:$A&amp;'Roster Info'!$G:$G&amp;'Roster Info'!$D:$D,'Roster Info'!$E:$E,""),"FaceIt"))</f>
        <v>-</v>
      </c>
      <c r="BZ119" s="61"/>
      <c r="CA119" s="152"/>
      <c r="CB119" s="152"/>
      <c r="CC119" s="152"/>
      <c r="CD119" s="152"/>
    </row>
    <row r="120" ht="15.0" customHeight="1">
      <c r="A120" s="152"/>
      <c r="B120" s="152"/>
      <c r="C120" s="219"/>
      <c r="D120" s="219"/>
      <c r="E120" s="101"/>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64"/>
      <c r="AN120" s="152"/>
      <c r="AO120" s="152"/>
      <c r="AP120" s="219"/>
      <c r="AQ120" s="219"/>
      <c r="AR120" s="101"/>
      <c r="AS120" s="102"/>
      <c r="AT120" s="102"/>
      <c r="AU120" s="102"/>
      <c r="AV120" s="102"/>
      <c r="AW120" s="102"/>
      <c r="AX120" s="102"/>
      <c r="AY120" s="102"/>
      <c r="AZ120" s="102"/>
      <c r="BA120" s="102"/>
      <c r="BB120" s="102"/>
      <c r="BC120" s="102"/>
      <c r="BD120" s="102"/>
      <c r="BE120" s="102"/>
      <c r="BF120" s="102"/>
      <c r="BG120" s="102"/>
      <c r="BH120" s="102"/>
      <c r="BI120" s="102"/>
      <c r="BJ120" s="102"/>
      <c r="BK120" s="102"/>
      <c r="BL120" s="102"/>
      <c r="BM120" s="102"/>
      <c r="BN120" s="102"/>
      <c r="BO120" s="102"/>
      <c r="BP120" s="102"/>
      <c r="BQ120" s="102"/>
      <c r="BR120" s="102"/>
      <c r="BS120" s="102"/>
      <c r="BT120" s="102"/>
      <c r="BU120" s="102"/>
      <c r="BV120" s="102"/>
      <c r="BW120" s="102"/>
      <c r="BX120" s="102"/>
      <c r="BY120" s="102"/>
      <c r="BZ120" s="164"/>
      <c r="CA120" s="152"/>
      <c r="CB120" s="152"/>
      <c r="CC120" s="152"/>
      <c r="CD120" s="152"/>
    </row>
    <row r="121" ht="15.0" customHeight="1">
      <c r="A121" s="152"/>
      <c r="B121" s="152"/>
      <c r="C121" s="219"/>
      <c r="D121" s="219"/>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c r="AA121" s="152"/>
      <c r="AB121" s="152"/>
      <c r="AC121" s="152"/>
      <c r="AD121" s="152"/>
      <c r="AE121" s="152"/>
      <c r="AF121" s="152"/>
      <c r="AG121" s="152"/>
      <c r="AH121" s="152"/>
      <c r="AI121" s="152"/>
      <c r="AJ121" s="152"/>
      <c r="AK121" s="152"/>
      <c r="AL121" s="152"/>
      <c r="AM121" s="152"/>
      <c r="AN121" s="152"/>
      <c r="AO121" s="152"/>
      <c r="AP121" s="219"/>
      <c r="AQ121" s="219"/>
      <c r="AR121" s="152"/>
      <c r="AS121" s="152"/>
      <c r="AT121" s="152"/>
      <c r="AU121" s="152"/>
      <c r="AV121" s="152"/>
      <c r="AW121" s="152"/>
      <c r="AX121" s="152"/>
      <c r="AY121" s="152"/>
      <c r="AZ121" s="152"/>
      <c r="BA121" s="152"/>
      <c r="BB121" s="152"/>
      <c r="BC121" s="152"/>
      <c r="BD121" s="152"/>
      <c r="BE121" s="152"/>
      <c r="BF121" s="152"/>
      <c r="BG121" s="152"/>
      <c r="BH121" s="152"/>
      <c r="BI121" s="152"/>
      <c r="BJ121" s="152"/>
      <c r="BK121" s="152"/>
      <c r="BL121" s="152"/>
      <c r="BM121" s="152"/>
      <c r="BN121" s="152"/>
      <c r="BO121" s="152"/>
      <c r="BP121" s="152"/>
      <c r="BQ121" s="152"/>
      <c r="BR121" s="152"/>
      <c r="BS121" s="152"/>
      <c r="BT121" s="152"/>
      <c r="BU121" s="152"/>
      <c r="BV121" s="152"/>
      <c r="BW121" s="152"/>
      <c r="BX121" s="152"/>
      <c r="BY121" s="152"/>
      <c r="BZ121" s="152"/>
      <c r="CA121" s="152"/>
      <c r="CB121" s="152"/>
      <c r="CC121" s="152"/>
      <c r="CD121" s="152"/>
    </row>
    <row r="122" ht="15.0" customHeight="1">
      <c r="A122" s="152"/>
      <c r="B122" s="152"/>
      <c r="C122" s="219"/>
      <c r="D122" s="219"/>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c r="AA122" s="152"/>
      <c r="AB122" s="152"/>
      <c r="AC122" s="152"/>
      <c r="AD122" s="152"/>
      <c r="AE122" s="152"/>
      <c r="AF122" s="152"/>
      <c r="AG122" s="152"/>
      <c r="AH122" s="152"/>
      <c r="AI122" s="152"/>
      <c r="AJ122" s="152"/>
      <c r="AK122" s="152"/>
      <c r="AL122" s="152"/>
      <c r="AM122" s="152"/>
      <c r="AN122" s="152"/>
      <c r="AO122" s="152"/>
      <c r="AP122" s="219"/>
      <c r="AQ122" s="219"/>
      <c r="AR122" s="152"/>
      <c r="AS122" s="152"/>
      <c r="AT122" s="152"/>
      <c r="AU122" s="152"/>
      <c r="AV122" s="152"/>
      <c r="AW122" s="152"/>
      <c r="AX122" s="152"/>
      <c r="AY122" s="152"/>
      <c r="AZ122" s="152"/>
      <c r="BA122" s="152"/>
      <c r="BB122" s="152"/>
      <c r="BC122" s="152"/>
      <c r="BD122" s="152"/>
      <c r="BE122" s="152"/>
      <c r="BF122" s="152"/>
      <c r="BG122" s="152"/>
      <c r="BH122" s="152"/>
      <c r="BI122" s="152"/>
      <c r="BJ122" s="152"/>
      <c r="BK122" s="152"/>
      <c r="BL122" s="152"/>
      <c r="BM122" s="152"/>
      <c r="BN122" s="152"/>
      <c r="BO122" s="152"/>
      <c r="BP122" s="152"/>
      <c r="BQ122" s="152"/>
      <c r="BR122" s="152"/>
      <c r="BS122" s="152"/>
      <c r="BT122" s="152"/>
      <c r="BU122" s="152"/>
      <c r="BV122" s="152"/>
      <c r="BW122" s="152"/>
      <c r="BX122" s="152"/>
      <c r="BY122" s="152"/>
      <c r="BZ122" s="152"/>
      <c r="CA122" s="152"/>
      <c r="CB122" s="152"/>
      <c r="CC122" s="152"/>
      <c r="CD122" s="152"/>
    </row>
    <row r="123" ht="15.0" customHeight="1">
      <c r="A123" s="152"/>
      <c r="B123" s="152"/>
      <c r="C123" s="219"/>
      <c r="D123" s="219"/>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c r="AA123" s="152"/>
      <c r="AB123" s="152"/>
      <c r="AC123" s="152"/>
      <c r="AD123" s="152"/>
      <c r="AE123" s="152"/>
      <c r="AF123" s="152"/>
      <c r="AG123" s="152"/>
      <c r="AH123" s="152"/>
      <c r="AI123" s="152"/>
      <c r="AJ123" s="152"/>
      <c r="AK123" s="152"/>
      <c r="AL123" s="152"/>
      <c r="AM123" s="152"/>
      <c r="AN123" s="152"/>
      <c r="AO123" s="152"/>
      <c r="AP123" s="219"/>
      <c r="AQ123" s="219"/>
      <c r="AR123" s="152"/>
      <c r="AS123" s="152"/>
      <c r="AT123" s="152"/>
      <c r="AU123" s="152"/>
      <c r="AV123" s="152"/>
      <c r="AW123" s="152"/>
      <c r="AX123" s="152"/>
      <c r="AY123" s="152"/>
      <c r="AZ123" s="152"/>
      <c r="BA123" s="152"/>
      <c r="BB123" s="152"/>
      <c r="BC123" s="152"/>
      <c r="BD123" s="152"/>
      <c r="BE123" s="152"/>
      <c r="BF123" s="152"/>
      <c r="BG123" s="152"/>
      <c r="BH123" s="152"/>
      <c r="BI123" s="152"/>
      <c r="BJ123" s="152"/>
      <c r="BK123" s="152"/>
      <c r="BL123" s="152"/>
      <c r="BM123" s="152"/>
      <c r="BN123" s="152"/>
      <c r="BO123" s="152"/>
      <c r="BP123" s="152"/>
      <c r="BQ123" s="152"/>
      <c r="BR123" s="152"/>
      <c r="BS123" s="152"/>
      <c r="BT123" s="152"/>
      <c r="BU123" s="152"/>
      <c r="BV123" s="152"/>
      <c r="BW123" s="152"/>
      <c r="BX123" s="152"/>
      <c r="BY123" s="152"/>
      <c r="BZ123" s="152"/>
      <c r="CA123" s="152"/>
      <c r="CB123" s="152"/>
      <c r="CC123" s="152"/>
      <c r="CD123" s="152"/>
    </row>
    <row r="124" ht="15.0" customHeight="1">
      <c r="A124" s="152"/>
      <c r="B124" s="152"/>
      <c r="C124" s="219"/>
      <c r="D124" s="219"/>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c r="AA124" s="152"/>
      <c r="AB124" s="152"/>
      <c r="AC124" s="152"/>
      <c r="AD124" s="152"/>
      <c r="AE124" s="152"/>
      <c r="AF124" s="152"/>
      <c r="AG124" s="152"/>
      <c r="AH124" s="152"/>
      <c r="AI124" s="152"/>
      <c r="AJ124" s="152"/>
      <c r="AK124" s="152"/>
      <c r="AL124" s="152"/>
      <c r="AM124" s="152"/>
      <c r="AN124" s="152"/>
      <c r="AO124" s="152"/>
      <c r="AP124" s="219"/>
      <c r="AQ124" s="219"/>
      <c r="AR124" s="152"/>
      <c r="AS124" s="152"/>
      <c r="AT124" s="152"/>
      <c r="AU124" s="152"/>
      <c r="AV124" s="152"/>
      <c r="AW124" s="152"/>
      <c r="AX124" s="152"/>
      <c r="AY124" s="152"/>
      <c r="AZ124" s="152"/>
      <c r="BA124" s="152"/>
      <c r="BB124" s="152"/>
      <c r="BC124" s="152"/>
      <c r="BD124" s="152"/>
      <c r="BE124" s="152"/>
      <c r="BF124" s="152"/>
      <c r="BG124" s="152"/>
      <c r="BH124" s="152"/>
      <c r="BI124" s="152"/>
      <c r="BJ124" s="152"/>
      <c r="BK124" s="152"/>
      <c r="BL124" s="152"/>
      <c r="BM124" s="152"/>
      <c r="BN124" s="152"/>
      <c r="BO124" s="152"/>
      <c r="BP124" s="152"/>
      <c r="BQ124" s="152"/>
      <c r="BR124" s="152"/>
      <c r="BS124" s="152"/>
      <c r="BT124" s="152"/>
      <c r="BU124" s="152"/>
      <c r="BV124" s="152"/>
      <c r="BW124" s="152"/>
      <c r="BX124" s="152"/>
      <c r="BY124" s="152"/>
      <c r="BZ124" s="152"/>
      <c r="CA124" s="152"/>
      <c r="CB124" s="152"/>
      <c r="CC124" s="152"/>
      <c r="CD124" s="152"/>
    </row>
    <row r="125" ht="15.0" customHeight="1">
      <c r="A125" s="152"/>
      <c r="B125" s="152"/>
      <c r="C125" s="219"/>
      <c r="D125" s="219"/>
      <c r="E125" s="220" t="str">
        <f t="array" ref="E125">xlookup(M125,'Team Entry'!$A:$A,'Team Entry'!$B:$B,"")</f>
        <v/>
      </c>
      <c r="F125" s="58"/>
      <c r="G125" s="58"/>
      <c r="H125" s="58"/>
      <c r="I125" s="58"/>
      <c r="J125" s="58"/>
      <c r="K125" s="58"/>
      <c r="L125" s="58"/>
      <c r="M125" s="221" t="str">
        <f t="array" ref="M125">xlookup(C131,'Roster Info'!$A:$A,'Roster Info'!$B:$B,"")</f>
        <v>Team 7 (Group 2)</v>
      </c>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9"/>
      <c r="AN125" s="152"/>
      <c r="AO125" s="152"/>
      <c r="AP125" s="219"/>
      <c r="AQ125" s="219"/>
      <c r="AR125" s="220" t="str">
        <f t="array" ref="AR125">xlookup(AZ125,'Team Entry'!$A:$A,'Team Entry'!$B:$B,"")</f>
        <v/>
      </c>
      <c r="AS125" s="58"/>
      <c r="AT125" s="58"/>
      <c r="AU125" s="58"/>
      <c r="AV125" s="58"/>
      <c r="AW125" s="58"/>
      <c r="AX125" s="58"/>
      <c r="AY125" s="58"/>
      <c r="AZ125" s="221" t="str">
        <f t="array" ref="AZ125">xlookup(AP131,'Roster Info'!$A:$A,'Roster Info'!$B:$B,"")</f>
        <v>Team 8 (Group 2)</v>
      </c>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9"/>
      <c r="CA125" s="152"/>
      <c r="CB125" s="152"/>
      <c r="CC125" s="152"/>
      <c r="CD125" s="152"/>
    </row>
    <row r="126" ht="15.0" customHeight="1">
      <c r="A126" s="152"/>
      <c r="B126" s="152"/>
      <c r="C126" s="219"/>
      <c r="D126" s="219"/>
      <c r="E126" s="60"/>
      <c r="AM126" s="61"/>
      <c r="AN126" s="152"/>
      <c r="AO126" s="152"/>
      <c r="AP126" s="219"/>
      <c r="AQ126" s="219"/>
      <c r="AR126" s="60"/>
      <c r="BZ126" s="61"/>
      <c r="CA126" s="152"/>
      <c r="CB126" s="152"/>
      <c r="CC126" s="152"/>
      <c r="CD126" s="152"/>
    </row>
    <row r="127" ht="15.0" customHeight="1">
      <c r="A127" s="152"/>
      <c r="B127" s="152"/>
      <c r="C127" s="219"/>
      <c r="D127" s="219"/>
      <c r="E127" s="60"/>
      <c r="AM127" s="61"/>
      <c r="AN127" s="152"/>
      <c r="AO127" s="152"/>
      <c r="AP127" s="219"/>
      <c r="AQ127" s="219"/>
      <c r="AR127" s="60"/>
      <c r="BZ127" s="61"/>
      <c r="CA127" s="152"/>
      <c r="CB127" s="152"/>
      <c r="CC127" s="152"/>
      <c r="CD127" s="152"/>
    </row>
    <row r="128" ht="15.0" customHeight="1">
      <c r="A128" s="152"/>
      <c r="B128" s="152"/>
      <c r="C128" s="219"/>
      <c r="D128" s="219"/>
      <c r="E128" s="60"/>
      <c r="AM128" s="61"/>
      <c r="AN128" s="152"/>
      <c r="AO128" s="152"/>
      <c r="AP128" s="219"/>
      <c r="AQ128" s="219"/>
      <c r="AR128" s="60"/>
      <c r="BZ128" s="61"/>
      <c r="CA128" s="152"/>
      <c r="CB128" s="152"/>
      <c r="CC128" s="152"/>
      <c r="CD128" s="152"/>
    </row>
    <row r="129" ht="15.0" customHeight="1">
      <c r="A129" s="152"/>
      <c r="B129" s="152"/>
      <c r="C129" s="219"/>
      <c r="D129" s="219"/>
      <c r="E129" s="60"/>
      <c r="AM129" s="61"/>
      <c r="AN129" s="152"/>
      <c r="AO129" s="152"/>
      <c r="AP129" s="219"/>
      <c r="AQ129" s="219"/>
      <c r="AR129" s="60"/>
      <c r="BZ129" s="61"/>
      <c r="CA129" s="152"/>
      <c r="CB129" s="152"/>
      <c r="CC129" s="152"/>
      <c r="CD129" s="152"/>
    </row>
    <row r="130" ht="15.0" customHeight="1">
      <c r="A130" s="152"/>
      <c r="B130" s="152"/>
      <c r="C130" s="219"/>
      <c r="D130" s="219"/>
      <c r="E130" s="222"/>
      <c r="F130" s="223"/>
      <c r="G130" s="223"/>
      <c r="H130" s="223"/>
      <c r="I130" s="223"/>
      <c r="J130" s="223"/>
      <c r="K130" s="223"/>
      <c r="L130" s="223"/>
      <c r="M130" s="223"/>
      <c r="N130" s="223"/>
      <c r="O130" s="223"/>
      <c r="P130" s="223"/>
      <c r="Q130" s="223"/>
      <c r="R130" s="223"/>
      <c r="S130" s="223"/>
      <c r="T130" s="223"/>
      <c r="U130" s="223"/>
      <c r="V130" s="223"/>
      <c r="W130" s="223"/>
      <c r="X130" s="223"/>
      <c r="Y130" s="223"/>
      <c r="Z130" s="223"/>
      <c r="AA130" s="223"/>
      <c r="AB130" s="223"/>
      <c r="AC130" s="223"/>
      <c r="AD130" s="223"/>
      <c r="AE130" s="223"/>
      <c r="AF130" s="223"/>
      <c r="AG130" s="223"/>
      <c r="AH130" s="223"/>
      <c r="AI130" s="223"/>
      <c r="AJ130" s="223"/>
      <c r="AK130" s="223"/>
      <c r="AL130" s="223"/>
      <c r="AM130" s="224"/>
      <c r="AN130" s="152"/>
      <c r="AO130" s="152"/>
      <c r="AP130" s="219"/>
      <c r="AQ130" s="219"/>
      <c r="AR130" s="222"/>
      <c r="AS130" s="223"/>
      <c r="AT130" s="223"/>
      <c r="AU130" s="223"/>
      <c r="AV130" s="223"/>
      <c r="AW130" s="223"/>
      <c r="AX130" s="223"/>
      <c r="AY130" s="223"/>
      <c r="AZ130" s="223"/>
      <c r="BA130" s="223"/>
      <c r="BB130" s="223"/>
      <c r="BC130" s="223"/>
      <c r="BD130" s="223"/>
      <c r="BE130" s="223"/>
      <c r="BF130" s="223"/>
      <c r="BG130" s="223"/>
      <c r="BH130" s="223"/>
      <c r="BI130" s="223"/>
      <c r="BJ130" s="223"/>
      <c r="BK130" s="223"/>
      <c r="BL130" s="223"/>
      <c r="BM130" s="223"/>
      <c r="BN130" s="223"/>
      <c r="BO130" s="223"/>
      <c r="BP130" s="223"/>
      <c r="BQ130" s="223"/>
      <c r="BR130" s="223"/>
      <c r="BS130" s="223"/>
      <c r="BT130" s="223"/>
      <c r="BU130" s="223"/>
      <c r="BV130" s="223"/>
      <c r="BW130" s="223"/>
      <c r="BX130" s="223"/>
      <c r="BY130" s="223"/>
      <c r="BZ130" s="224"/>
      <c r="CA130" s="152"/>
      <c r="CB130" s="152"/>
      <c r="CC130" s="152"/>
      <c r="CD130" s="152"/>
    </row>
    <row r="131" ht="15.0" customHeight="1">
      <c r="A131" s="152"/>
      <c r="B131" s="152"/>
      <c r="C131" s="225">
        <f>AP107+1</f>
        <v>11</v>
      </c>
      <c r="D131" s="225" t="s">
        <v>109</v>
      </c>
      <c r="E131" s="226" t="s">
        <v>109</v>
      </c>
      <c r="I131" s="227" t="str">
        <f t="array" ref="I131">xlookup(xlookup(C131&amp;D131&amp;"Nationality",'Roster Info'!$A:$A&amp;'Roster Info'!$G:$G&amp;'Roster Info'!$D:$D,'Roster Info'!$E:$E,""),'Roster Info'!$K:$K,'Roster Info'!$L:$L,"")</f>
        <v/>
      </c>
      <c r="K131" s="228" t="str">
        <f t="array" ref="K131">xlookup(C131&amp;D131,'Roster Info'!$A:$A&amp;'Roster Info'!$G:$G,'Roster Info'!$F:$F,"")</f>
        <v/>
      </c>
      <c r="U131" s="229" t="str">
        <f t="array" ref="U131">xlookup(C131&amp;D131&amp;"Full Name",'Roster Info'!$A:$A&amp;'Roster Info'!$G:$G&amp;'Roster Info'!$D:$D,'Roster Info'!$E:$E,"")</f>
        <v/>
      </c>
      <c r="AE131" s="63" t="str">
        <f t="array" ref="AE131">if(xlookup(C131&amp;D131&amp;"Steam",'Roster Info'!$A:$A&amp;'Roster Info'!$G:$G&amp;'Roster Info'!$D:$D,'Roster Info'!$E:$E,"")="","-",hyperlink(xlookup(C131&amp;D131&amp;"Steam",'Roster Info'!$A:$A&amp;'Roster Info'!$G:$G&amp;'Roster Info'!$D:$D,'Roster Info'!$E:$E,""),"Steam"))</f>
        <v>-</v>
      </c>
      <c r="AH131" s="63" t="str">
        <f t="array" ref="AH131">if(xlookup(C131&amp;D131&amp;"HLTV",'Roster Info'!$A:$A&amp;'Roster Info'!$G:$G&amp;'Roster Info'!$D:$D,'Roster Info'!$E:$E,"")="","-",hyperlink(xlookup(C131&amp;D131&amp;"HLTV",'Roster Info'!$A:$A&amp;'Roster Info'!$G:$G&amp;'Roster Info'!$D:$D,'Roster Info'!$E:$E,""),"HLTV"))</f>
        <v>-</v>
      </c>
      <c r="AK131" s="63" t="str">
        <f t="array" ref="AK131">if(xlookup(C131&amp;D131&amp;"FaceIt",'Roster Info'!$A:$A&amp;'Roster Info'!$G:$G&amp;'Roster Info'!$D:$D,'Roster Info'!$E:$E,"")="","-",hyperlink(xlookup(C131&amp;D131&amp;"FaceIt",'Roster Info'!$A:$A&amp;'Roster Info'!$G:$G&amp;'Roster Info'!$D:$D,'Roster Info'!$E:$E,""),"FaceIt"))</f>
        <v>-</v>
      </c>
      <c r="AM131" s="61"/>
      <c r="AN131" s="152"/>
      <c r="AO131" s="152"/>
      <c r="AP131" s="225">
        <f>C131+1</f>
        <v>12</v>
      </c>
      <c r="AQ131" s="225" t="s">
        <v>109</v>
      </c>
      <c r="AR131" s="226" t="s">
        <v>109</v>
      </c>
      <c r="AV131" s="227" t="str">
        <f t="array" ref="AV131">xlookup(xlookup(AP131&amp;AQ131&amp;"Nationality",'Roster Info'!$A:$A&amp;'Roster Info'!$G:$G&amp;'Roster Info'!$D:$D,'Roster Info'!$E:$E,""),'Roster Info'!$K:$K,'Roster Info'!$L:$L,"")</f>
        <v/>
      </c>
      <c r="AX131" s="228" t="str">
        <f t="array" ref="AX131">xlookup(AP131&amp;AQ131,'Roster Info'!$A:$A&amp;'Roster Info'!$G:$G,'Roster Info'!$F:$F,"")</f>
        <v/>
      </c>
      <c r="BH131" s="229" t="str">
        <f t="array" ref="BH131">xlookup(AP131&amp;AQ131&amp;"Full Name",'Roster Info'!$A:$A&amp;'Roster Info'!$G:$G&amp;'Roster Info'!$D:$D,'Roster Info'!$E:$E,"")</f>
        <v/>
      </c>
      <c r="BR131" s="63" t="str">
        <f t="array" ref="BR131">if(xlookup(AP131&amp;AQ131&amp;"Steam",'Roster Info'!$A:$A&amp;'Roster Info'!$G:$G&amp;'Roster Info'!$D:$D,'Roster Info'!$E:$E,"")="","-",hyperlink(xlookup(AP131&amp;AQ131&amp;"Steam",'Roster Info'!$A:$A&amp;'Roster Info'!$G:$G&amp;'Roster Info'!$D:$D,'Roster Info'!$E:$E,""),"Steam"))</f>
        <v>-</v>
      </c>
      <c r="BU131" s="63" t="str">
        <f t="array" ref="BU131">if(xlookup(AP131&amp;AQ131&amp;"HLTV",'Roster Info'!$A:$A&amp;'Roster Info'!$G:$G&amp;'Roster Info'!$D:$D,'Roster Info'!$E:$E,"")="","-",hyperlink(xlookup(AP131&amp;AQ131&amp;"HLTV",'Roster Info'!$A:$A&amp;'Roster Info'!$G:$G&amp;'Roster Info'!$D:$D,'Roster Info'!$E:$E,""),"HLTV"))</f>
        <v>-</v>
      </c>
      <c r="BX131" s="63" t="str">
        <f t="array" ref="BX131">if(xlookup(AP131&amp;AQ131&amp;"FaceIt",'Roster Info'!$A:$A&amp;'Roster Info'!$G:$G&amp;'Roster Info'!$D:$D,'Roster Info'!$E:$E,"")="","-",hyperlink(xlookup(AP131&amp;AQ131&amp;"FaceIt",'Roster Info'!$A:$A&amp;'Roster Info'!$G:$G&amp;'Roster Info'!$D:$D,'Roster Info'!$E:$E,""),"FaceIt"))</f>
        <v>-</v>
      </c>
      <c r="BZ131" s="61"/>
      <c r="CA131" s="152"/>
      <c r="CB131" s="152"/>
      <c r="CC131" s="152"/>
      <c r="CD131" s="152"/>
    </row>
    <row r="132" ht="15.0" customHeight="1">
      <c r="A132" s="152"/>
      <c r="B132" s="152"/>
      <c r="C132" s="219"/>
      <c r="D132" s="219"/>
      <c r="E132" s="230"/>
      <c r="F132" s="231"/>
      <c r="G132" s="231"/>
      <c r="H132" s="231"/>
      <c r="I132" s="231"/>
      <c r="J132" s="231"/>
      <c r="K132" s="231"/>
      <c r="L132" s="231"/>
      <c r="M132" s="231"/>
      <c r="N132" s="231"/>
      <c r="O132" s="231"/>
      <c r="P132" s="231"/>
      <c r="Q132" s="231"/>
      <c r="R132" s="231"/>
      <c r="S132" s="231"/>
      <c r="T132" s="231"/>
      <c r="U132" s="231"/>
      <c r="V132" s="231"/>
      <c r="W132" s="231"/>
      <c r="X132" s="231"/>
      <c r="Y132" s="231"/>
      <c r="Z132" s="231"/>
      <c r="AA132" s="231"/>
      <c r="AB132" s="231"/>
      <c r="AC132" s="231"/>
      <c r="AD132" s="231"/>
      <c r="AE132" s="231"/>
      <c r="AF132" s="231"/>
      <c r="AG132" s="231"/>
      <c r="AH132" s="231"/>
      <c r="AI132" s="231"/>
      <c r="AJ132" s="231"/>
      <c r="AK132" s="231"/>
      <c r="AL132" s="231"/>
      <c r="AM132" s="232"/>
      <c r="AN132" s="152"/>
      <c r="AO132" s="152"/>
      <c r="AP132" s="219"/>
      <c r="AQ132" s="219"/>
      <c r="AR132" s="230"/>
      <c r="AS132" s="231"/>
      <c r="AT132" s="231"/>
      <c r="AU132" s="231"/>
      <c r="AV132" s="231"/>
      <c r="AW132" s="231"/>
      <c r="AX132" s="231"/>
      <c r="AY132" s="231"/>
      <c r="AZ132" s="231"/>
      <c r="BA132" s="231"/>
      <c r="BB132" s="231"/>
      <c r="BC132" s="231"/>
      <c r="BD132" s="231"/>
      <c r="BE132" s="231"/>
      <c r="BF132" s="231"/>
      <c r="BG132" s="231"/>
      <c r="BH132" s="231"/>
      <c r="BI132" s="231"/>
      <c r="BJ132" s="231"/>
      <c r="BK132" s="231"/>
      <c r="BL132" s="231"/>
      <c r="BM132" s="231"/>
      <c r="BN132" s="231"/>
      <c r="BO132" s="231"/>
      <c r="BP132" s="231"/>
      <c r="BQ132" s="231"/>
      <c r="BR132" s="231"/>
      <c r="BS132" s="231"/>
      <c r="BT132" s="231"/>
      <c r="BU132" s="231"/>
      <c r="BV132" s="231"/>
      <c r="BW132" s="231"/>
      <c r="BX132" s="231"/>
      <c r="BY132" s="231"/>
      <c r="BZ132" s="232"/>
      <c r="CA132" s="152"/>
      <c r="CB132" s="152"/>
      <c r="CC132" s="152"/>
      <c r="CD132" s="152"/>
    </row>
    <row r="133" ht="15.0" customHeight="1">
      <c r="A133" s="152"/>
      <c r="B133" s="152"/>
      <c r="C133" s="219">
        <f>C131</f>
        <v>11</v>
      </c>
      <c r="D133" s="225" t="s">
        <v>115</v>
      </c>
      <c r="E133" s="226" t="s">
        <v>115</v>
      </c>
      <c r="I133" s="227" t="str">
        <f t="array" ref="I133">xlookup(xlookup(C133&amp;D133&amp;"Nationality",'Roster Info'!$A:$A&amp;'Roster Info'!$G:$G&amp;'Roster Info'!$D:$D,'Roster Info'!$E:$E,""),'Roster Info'!$K:$K,'Roster Info'!$L:$L,"")</f>
        <v/>
      </c>
      <c r="K133" s="228" t="str">
        <f t="array" ref="K133">xlookup(C133&amp;D133,'Roster Info'!$A:$A&amp;'Roster Info'!$G:$G,'Roster Info'!$F:$F,"")</f>
        <v/>
      </c>
      <c r="U133" s="229" t="str">
        <f t="array" ref="U133">xlookup(C133&amp;D133&amp;"Full Name",'Roster Info'!$A:$A&amp;'Roster Info'!$G:$G&amp;'Roster Info'!$D:$D,'Roster Info'!$E:$E,"")</f>
        <v/>
      </c>
      <c r="AE133" s="63" t="str">
        <f t="array" ref="AE133">if(xlookup(C133&amp;D133&amp;"Steam",'Roster Info'!$A:$A&amp;'Roster Info'!$G:$G&amp;'Roster Info'!$D:$D,'Roster Info'!$E:$E,"")="","-",hyperlink(xlookup(C133&amp;D133&amp;"Steam",'Roster Info'!$A:$A&amp;'Roster Info'!$G:$G&amp;'Roster Info'!$D:$D,'Roster Info'!$E:$E,""),"Steam"))</f>
        <v>-</v>
      </c>
      <c r="AH133" s="63" t="str">
        <f t="array" ref="AH133">if(xlookup(C133&amp;D133&amp;"HLTV",'Roster Info'!$A:$A&amp;'Roster Info'!$G:$G&amp;'Roster Info'!$D:$D,'Roster Info'!$E:$E,"")="","-",hyperlink(xlookup(C133&amp;D133&amp;"HLTV",'Roster Info'!$A:$A&amp;'Roster Info'!$G:$G&amp;'Roster Info'!$D:$D,'Roster Info'!$E:$E,""),"HLTV"))</f>
        <v>-</v>
      </c>
      <c r="AK133" s="63" t="str">
        <f t="array" ref="AK133">if(xlookup(C133&amp;D133&amp;"FaceIt",'Roster Info'!$A:$A&amp;'Roster Info'!$G:$G&amp;'Roster Info'!$D:$D,'Roster Info'!$E:$E,"")="","-",hyperlink(xlookup(C133&amp;D133&amp;"FaceIt",'Roster Info'!$A:$A&amp;'Roster Info'!$G:$G&amp;'Roster Info'!$D:$D,'Roster Info'!$E:$E,""),"FaceIt"))</f>
        <v>-</v>
      </c>
      <c r="AM133" s="61"/>
      <c r="AN133" s="152"/>
      <c r="AO133" s="152"/>
      <c r="AP133" s="219">
        <f>AP131</f>
        <v>12</v>
      </c>
      <c r="AQ133" s="225" t="s">
        <v>115</v>
      </c>
      <c r="AR133" s="226" t="s">
        <v>115</v>
      </c>
      <c r="AV133" s="227" t="str">
        <f t="array" ref="AV133">xlookup(xlookup(AP133&amp;AQ133&amp;"Nationality",'Roster Info'!$A:$A&amp;'Roster Info'!$G:$G&amp;'Roster Info'!$D:$D,'Roster Info'!$E:$E,""),'Roster Info'!$K:$K,'Roster Info'!$L:$L,"")</f>
        <v/>
      </c>
      <c r="AX133" s="228" t="str">
        <f t="array" ref="AX133">xlookup(AP133&amp;AQ133,'Roster Info'!$A:$A&amp;'Roster Info'!$G:$G,'Roster Info'!$F:$F,"")</f>
        <v/>
      </c>
      <c r="BH133" s="229" t="str">
        <f t="array" ref="BH133">xlookup(AP133&amp;AQ133&amp;"Full Name",'Roster Info'!$A:$A&amp;'Roster Info'!$G:$G&amp;'Roster Info'!$D:$D,'Roster Info'!$E:$E,"")</f>
        <v/>
      </c>
      <c r="BR133" s="63" t="str">
        <f t="array" ref="BR133">if(xlookup(AP133&amp;AQ133&amp;"Steam",'Roster Info'!$A:$A&amp;'Roster Info'!$G:$G&amp;'Roster Info'!$D:$D,'Roster Info'!$E:$E,"")="","-",hyperlink(xlookup(AP133&amp;AQ133&amp;"Steam",'Roster Info'!$A:$A&amp;'Roster Info'!$G:$G&amp;'Roster Info'!$D:$D,'Roster Info'!$E:$E,""),"Steam"))</f>
        <v>-</v>
      </c>
      <c r="BU133" s="63" t="str">
        <f t="array" ref="BU133">if(xlookup(AP133&amp;AQ133&amp;"HLTV",'Roster Info'!$A:$A&amp;'Roster Info'!$G:$G&amp;'Roster Info'!$D:$D,'Roster Info'!$E:$E,"")="","-",hyperlink(xlookup(AP133&amp;AQ133&amp;"HLTV",'Roster Info'!$A:$A&amp;'Roster Info'!$G:$G&amp;'Roster Info'!$D:$D,'Roster Info'!$E:$E,""),"HLTV"))</f>
        <v>-</v>
      </c>
      <c r="BX133" s="63" t="str">
        <f t="array" ref="BX133">if(xlookup(AP133&amp;AQ133&amp;"FaceIt",'Roster Info'!$A:$A&amp;'Roster Info'!$G:$G&amp;'Roster Info'!$D:$D,'Roster Info'!$E:$E,"")="","-",hyperlink(xlookup(AP133&amp;AQ133&amp;"FaceIt",'Roster Info'!$A:$A&amp;'Roster Info'!$G:$G&amp;'Roster Info'!$D:$D,'Roster Info'!$E:$E,""),"FaceIt"))</f>
        <v>-</v>
      </c>
      <c r="BZ133" s="61"/>
      <c r="CA133" s="152"/>
      <c r="CB133" s="152"/>
      <c r="CC133" s="152"/>
      <c r="CD133" s="152"/>
    </row>
    <row r="134" ht="15.0" customHeight="1">
      <c r="A134" s="152"/>
      <c r="B134" s="152"/>
      <c r="C134" s="219"/>
      <c r="D134" s="219"/>
      <c r="E134" s="230"/>
      <c r="F134" s="231"/>
      <c r="G134" s="231"/>
      <c r="H134" s="231"/>
      <c r="I134" s="231"/>
      <c r="J134" s="231"/>
      <c r="K134" s="231"/>
      <c r="L134" s="231"/>
      <c r="M134" s="231"/>
      <c r="N134" s="231"/>
      <c r="O134" s="231"/>
      <c r="P134" s="231"/>
      <c r="Q134" s="231"/>
      <c r="R134" s="231"/>
      <c r="S134" s="231"/>
      <c r="T134" s="231"/>
      <c r="U134" s="231"/>
      <c r="V134" s="231"/>
      <c r="W134" s="231"/>
      <c r="X134" s="231"/>
      <c r="Y134" s="231"/>
      <c r="Z134" s="231"/>
      <c r="AA134" s="231"/>
      <c r="AB134" s="231"/>
      <c r="AC134" s="231"/>
      <c r="AD134" s="231"/>
      <c r="AE134" s="231"/>
      <c r="AF134" s="231"/>
      <c r="AG134" s="231"/>
      <c r="AH134" s="231"/>
      <c r="AI134" s="231"/>
      <c r="AJ134" s="231"/>
      <c r="AK134" s="231"/>
      <c r="AL134" s="231"/>
      <c r="AM134" s="232"/>
      <c r="AN134" s="152"/>
      <c r="AO134" s="152"/>
      <c r="AP134" s="219"/>
      <c r="AQ134" s="219"/>
      <c r="AR134" s="230"/>
      <c r="AS134" s="231"/>
      <c r="AT134" s="231"/>
      <c r="AU134" s="231"/>
      <c r="AV134" s="231"/>
      <c r="AW134" s="231"/>
      <c r="AX134" s="231"/>
      <c r="AY134" s="231"/>
      <c r="AZ134" s="231"/>
      <c r="BA134" s="231"/>
      <c r="BB134" s="231"/>
      <c r="BC134" s="231"/>
      <c r="BD134" s="231"/>
      <c r="BE134" s="231"/>
      <c r="BF134" s="231"/>
      <c r="BG134" s="231"/>
      <c r="BH134" s="231"/>
      <c r="BI134" s="231"/>
      <c r="BJ134" s="231"/>
      <c r="BK134" s="231"/>
      <c r="BL134" s="231"/>
      <c r="BM134" s="231"/>
      <c r="BN134" s="231"/>
      <c r="BO134" s="231"/>
      <c r="BP134" s="231"/>
      <c r="BQ134" s="231"/>
      <c r="BR134" s="231"/>
      <c r="BS134" s="231"/>
      <c r="BT134" s="231"/>
      <c r="BU134" s="231"/>
      <c r="BV134" s="231"/>
      <c r="BW134" s="231"/>
      <c r="BX134" s="231"/>
      <c r="BY134" s="231"/>
      <c r="BZ134" s="232"/>
      <c r="CA134" s="152"/>
      <c r="CB134" s="152"/>
      <c r="CC134" s="152"/>
      <c r="CD134" s="152"/>
    </row>
    <row r="135" ht="15.0" customHeight="1">
      <c r="A135" s="152"/>
      <c r="B135" s="152"/>
      <c r="C135" s="219">
        <f>C133</f>
        <v>11</v>
      </c>
      <c r="D135" s="225" t="s">
        <v>121</v>
      </c>
      <c r="E135" s="226" t="s">
        <v>121</v>
      </c>
      <c r="I135" s="227" t="str">
        <f t="array" ref="I135">xlookup(xlookup(C135&amp;D135&amp;"Nationality",'Roster Info'!$A:$A&amp;'Roster Info'!$G:$G&amp;'Roster Info'!$D:$D,'Roster Info'!$E:$E,""),'Roster Info'!$K:$K,'Roster Info'!$L:$L,"")</f>
        <v/>
      </c>
      <c r="K135" s="228" t="str">
        <f t="array" ref="K135">xlookup(C135&amp;D135,'Roster Info'!$A:$A&amp;'Roster Info'!$G:$G,'Roster Info'!$F:$F,"")</f>
        <v/>
      </c>
      <c r="U135" s="229" t="str">
        <f t="array" ref="U135">xlookup(C135&amp;D135&amp;"Full Name",'Roster Info'!$A:$A&amp;'Roster Info'!$G:$G&amp;'Roster Info'!$D:$D,'Roster Info'!$E:$E,"")</f>
        <v/>
      </c>
      <c r="AE135" s="63" t="str">
        <f t="array" ref="AE135">if(xlookup(C135&amp;D135&amp;"Steam",'Roster Info'!$A:$A&amp;'Roster Info'!$G:$G&amp;'Roster Info'!$D:$D,'Roster Info'!$E:$E,"")="","-",hyperlink(xlookup(C135&amp;D135&amp;"Steam",'Roster Info'!$A:$A&amp;'Roster Info'!$G:$G&amp;'Roster Info'!$D:$D,'Roster Info'!$E:$E,""),"Steam"))</f>
        <v>-</v>
      </c>
      <c r="AH135" s="63" t="str">
        <f t="array" ref="AH135">if(xlookup(C135&amp;D135&amp;"HLTV",'Roster Info'!$A:$A&amp;'Roster Info'!$G:$G&amp;'Roster Info'!$D:$D,'Roster Info'!$E:$E,"")="","-",hyperlink(xlookup(C135&amp;D135&amp;"HLTV",'Roster Info'!$A:$A&amp;'Roster Info'!$G:$G&amp;'Roster Info'!$D:$D,'Roster Info'!$E:$E,""),"HLTV"))</f>
        <v>-</v>
      </c>
      <c r="AK135" s="63" t="str">
        <f t="array" ref="AK135">if(xlookup(C135&amp;D135&amp;"FaceIt",'Roster Info'!$A:$A&amp;'Roster Info'!$G:$G&amp;'Roster Info'!$D:$D,'Roster Info'!$E:$E,"")="","-",hyperlink(xlookup(C135&amp;D135&amp;"FaceIt",'Roster Info'!$A:$A&amp;'Roster Info'!$G:$G&amp;'Roster Info'!$D:$D,'Roster Info'!$E:$E,""),"FaceIt"))</f>
        <v>-</v>
      </c>
      <c r="AM135" s="61"/>
      <c r="AN135" s="152"/>
      <c r="AO135" s="152"/>
      <c r="AP135" s="219">
        <f>AP133</f>
        <v>12</v>
      </c>
      <c r="AQ135" s="225" t="s">
        <v>121</v>
      </c>
      <c r="AR135" s="226" t="s">
        <v>121</v>
      </c>
      <c r="AV135" s="227" t="str">
        <f t="array" ref="AV135">xlookup(xlookup(AP135&amp;AQ135&amp;"Nationality",'Roster Info'!$A:$A&amp;'Roster Info'!$G:$G&amp;'Roster Info'!$D:$D,'Roster Info'!$E:$E,""),'Roster Info'!$K:$K,'Roster Info'!$L:$L,"")</f>
        <v/>
      </c>
      <c r="AX135" s="228" t="str">
        <f t="array" ref="AX135">xlookup(AP135&amp;AQ135,'Roster Info'!$A:$A&amp;'Roster Info'!$G:$G,'Roster Info'!$F:$F,"")</f>
        <v/>
      </c>
      <c r="BH135" s="229" t="str">
        <f t="array" ref="BH135">xlookup(AP135&amp;AQ135&amp;"Full Name",'Roster Info'!$A:$A&amp;'Roster Info'!$G:$G&amp;'Roster Info'!$D:$D,'Roster Info'!$E:$E,"")</f>
        <v/>
      </c>
      <c r="BR135" s="63" t="str">
        <f t="array" ref="BR135">if(xlookup(AP135&amp;AQ135&amp;"Steam",'Roster Info'!$A:$A&amp;'Roster Info'!$G:$G&amp;'Roster Info'!$D:$D,'Roster Info'!$E:$E,"")="","-",hyperlink(xlookup(AP135&amp;AQ135&amp;"Steam",'Roster Info'!$A:$A&amp;'Roster Info'!$G:$G&amp;'Roster Info'!$D:$D,'Roster Info'!$E:$E,""),"Steam"))</f>
        <v>-</v>
      </c>
      <c r="BU135" s="63" t="str">
        <f t="array" ref="BU135">if(xlookup(AP135&amp;AQ135&amp;"HLTV",'Roster Info'!$A:$A&amp;'Roster Info'!$G:$G&amp;'Roster Info'!$D:$D,'Roster Info'!$E:$E,"")="","-",hyperlink(xlookup(AP135&amp;AQ135&amp;"HLTV",'Roster Info'!$A:$A&amp;'Roster Info'!$G:$G&amp;'Roster Info'!$D:$D,'Roster Info'!$E:$E,""),"HLTV"))</f>
        <v>-</v>
      </c>
      <c r="BX135" s="63" t="str">
        <f t="array" ref="BX135">if(xlookup(AP135&amp;AQ135&amp;"FaceIt",'Roster Info'!$A:$A&amp;'Roster Info'!$G:$G&amp;'Roster Info'!$D:$D,'Roster Info'!$E:$E,"")="","-",hyperlink(xlookup(AP135&amp;AQ135&amp;"FaceIt",'Roster Info'!$A:$A&amp;'Roster Info'!$G:$G&amp;'Roster Info'!$D:$D,'Roster Info'!$E:$E,""),"FaceIt"))</f>
        <v>-</v>
      </c>
      <c r="BZ135" s="61"/>
      <c r="CA135" s="152"/>
      <c r="CB135" s="152"/>
      <c r="CC135" s="152"/>
      <c r="CD135" s="152"/>
    </row>
    <row r="136" ht="15.0" customHeight="1">
      <c r="A136" s="152"/>
      <c r="B136" s="152"/>
      <c r="C136" s="219"/>
      <c r="D136" s="219"/>
      <c r="E136" s="230"/>
      <c r="F136" s="231"/>
      <c r="G136" s="231"/>
      <c r="H136" s="231"/>
      <c r="I136" s="231"/>
      <c r="J136" s="231"/>
      <c r="K136" s="231"/>
      <c r="L136" s="231"/>
      <c r="M136" s="231"/>
      <c r="N136" s="231"/>
      <c r="O136" s="231"/>
      <c r="P136" s="231"/>
      <c r="Q136" s="231"/>
      <c r="R136" s="231"/>
      <c r="S136" s="231"/>
      <c r="T136" s="231"/>
      <c r="U136" s="231"/>
      <c r="V136" s="231"/>
      <c r="W136" s="231"/>
      <c r="X136" s="231"/>
      <c r="Y136" s="231"/>
      <c r="Z136" s="231"/>
      <c r="AA136" s="231"/>
      <c r="AB136" s="231"/>
      <c r="AC136" s="231"/>
      <c r="AD136" s="231"/>
      <c r="AE136" s="231"/>
      <c r="AF136" s="231"/>
      <c r="AG136" s="231"/>
      <c r="AH136" s="231"/>
      <c r="AI136" s="231"/>
      <c r="AJ136" s="231"/>
      <c r="AK136" s="231"/>
      <c r="AL136" s="231"/>
      <c r="AM136" s="232"/>
      <c r="AN136" s="152"/>
      <c r="AO136" s="152"/>
      <c r="AP136" s="219"/>
      <c r="AQ136" s="219"/>
      <c r="AR136" s="230"/>
      <c r="AS136" s="231"/>
      <c r="AT136" s="231"/>
      <c r="AU136" s="231"/>
      <c r="AV136" s="231"/>
      <c r="AW136" s="231"/>
      <c r="AX136" s="231"/>
      <c r="AY136" s="231"/>
      <c r="AZ136" s="231"/>
      <c r="BA136" s="231"/>
      <c r="BB136" s="231"/>
      <c r="BC136" s="231"/>
      <c r="BD136" s="231"/>
      <c r="BE136" s="231"/>
      <c r="BF136" s="231"/>
      <c r="BG136" s="231"/>
      <c r="BH136" s="231"/>
      <c r="BI136" s="231"/>
      <c r="BJ136" s="231"/>
      <c r="BK136" s="231"/>
      <c r="BL136" s="231"/>
      <c r="BM136" s="231"/>
      <c r="BN136" s="231"/>
      <c r="BO136" s="231"/>
      <c r="BP136" s="231"/>
      <c r="BQ136" s="231"/>
      <c r="BR136" s="231"/>
      <c r="BS136" s="231"/>
      <c r="BT136" s="231"/>
      <c r="BU136" s="231"/>
      <c r="BV136" s="231"/>
      <c r="BW136" s="231"/>
      <c r="BX136" s="231"/>
      <c r="BY136" s="231"/>
      <c r="BZ136" s="232"/>
      <c r="CA136" s="152"/>
      <c r="CB136" s="152"/>
      <c r="CC136" s="152"/>
      <c r="CD136" s="152"/>
    </row>
    <row r="137" ht="15.0" customHeight="1">
      <c r="A137" s="152"/>
      <c r="B137" s="152"/>
      <c r="C137" s="219">
        <f>C135</f>
        <v>11</v>
      </c>
      <c r="D137" s="225" t="s">
        <v>127</v>
      </c>
      <c r="E137" s="226" t="s">
        <v>127</v>
      </c>
      <c r="I137" s="227" t="str">
        <f t="array" ref="I137">xlookup(xlookup(C137&amp;D137&amp;"Nationality",'Roster Info'!$A:$A&amp;'Roster Info'!$G:$G&amp;'Roster Info'!$D:$D,'Roster Info'!$E:$E,""),'Roster Info'!$K:$K,'Roster Info'!$L:$L,"")</f>
        <v/>
      </c>
      <c r="K137" s="228" t="str">
        <f t="array" ref="K137">xlookup(C137&amp;D137,'Roster Info'!$A:$A&amp;'Roster Info'!$G:$G,'Roster Info'!$F:$F,"")</f>
        <v/>
      </c>
      <c r="U137" s="229" t="str">
        <f t="array" ref="U137">xlookup(C137&amp;D137&amp;"Full Name",'Roster Info'!$A:$A&amp;'Roster Info'!$G:$G&amp;'Roster Info'!$D:$D,'Roster Info'!$E:$E,"")</f>
        <v/>
      </c>
      <c r="AE137" s="63" t="str">
        <f t="array" ref="AE137">if(xlookup(C137&amp;D137&amp;"Steam",'Roster Info'!$A:$A&amp;'Roster Info'!$G:$G&amp;'Roster Info'!$D:$D,'Roster Info'!$E:$E,"")="","-",hyperlink(xlookup(C137&amp;D137&amp;"Steam",'Roster Info'!$A:$A&amp;'Roster Info'!$G:$G&amp;'Roster Info'!$D:$D,'Roster Info'!$E:$E,""),"Steam"))</f>
        <v>-</v>
      </c>
      <c r="AH137" s="63" t="str">
        <f t="array" ref="AH137">if(xlookup(C137&amp;D137&amp;"HLTV",'Roster Info'!$A:$A&amp;'Roster Info'!$G:$G&amp;'Roster Info'!$D:$D,'Roster Info'!$E:$E,"")="","-",hyperlink(xlookup(C137&amp;D137&amp;"HLTV",'Roster Info'!$A:$A&amp;'Roster Info'!$G:$G&amp;'Roster Info'!$D:$D,'Roster Info'!$E:$E,""),"HLTV"))</f>
        <v>-</v>
      </c>
      <c r="AK137" s="63" t="str">
        <f t="array" ref="AK137">if(xlookup(C137&amp;D137&amp;"FaceIt",'Roster Info'!$A:$A&amp;'Roster Info'!$G:$G&amp;'Roster Info'!$D:$D,'Roster Info'!$E:$E,"")="","-",hyperlink(xlookup(C137&amp;D137&amp;"FaceIt",'Roster Info'!$A:$A&amp;'Roster Info'!$G:$G&amp;'Roster Info'!$D:$D,'Roster Info'!$E:$E,""),"FaceIt"))</f>
        <v>-</v>
      </c>
      <c r="AM137" s="61"/>
      <c r="AN137" s="152"/>
      <c r="AO137" s="152"/>
      <c r="AP137" s="219">
        <f>AP135</f>
        <v>12</v>
      </c>
      <c r="AQ137" s="225" t="s">
        <v>127</v>
      </c>
      <c r="AR137" s="226" t="s">
        <v>127</v>
      </c>
      <c r="AV137" s="227" t="str">
        <f t="array" ref="AV137">xlookup(xlookup(AP137&amp;AQ137&amp;"Nationality",'Roster Info'!$A:$A&amp;'Roster Info'!$G:$G&amp;'Roster Info'!$D:$D,'Roster Info'!$E:$E,""),'Roster Info'!$K:$K,'Roster Info'!$L:$L,"")</f>
        <v/>
      </c>
      <c r="AX137" s="228" t="str">
        <f t="array" ref="AX137">xlookup(AP137&amp;AQ137,'Roster Info'!$A:$A&amp;'Roster Info'!$G:$G,'Roster Info'!$F:$F,"")</f>
        <v/>
      </c>
      <c r="BH137" s="229" t="str">
        <f t="array" ref="BH137">xlookup(AP137&amp;AQ137&amp;"Full Name",'Roster Info'!$A:$A&amp;'Roster Info'!$G:$G&amp;'Roster Info'!$D:$D,'Roster Info'!$E:$E,"")</f>
        <v/>
      </c>
      <c r="BR137" s="63" t="str">
        <f t="array" ref="BR137">if(xlookup(AP137&amp;AQ137&amp;"Steam",'Roster Info'!$A:$A&amp;'Roster Info'!$G:$G&amp;'Roster Info'!$D:$D,'Roster Info'!$E:$E,"")="","-",hyperlink(xlookup(AP137&amp;AQ137&amp;"Steam",'Roster Info'!$A:$A&amp;'Roster Info'!$G:$G&amp;'Roster Info'!$D:$D,'Roster Info'!$E:$E,""),"Steam"))</f>
        <v>-</v>
      </c>
      <c r="BU137" s="63" t="str">
        <f t="array" ref="BU137">if(xlookup(AP137&amp;AQ137&amp;"HLTV",'Roster Info'!$A:$A&amp;'Roster Info'!$G:$G&amp;'Roster Info'!$D:$D,'Roster Info'!$E:$E,"")="","-",hyperlink(xlookup(AP137&amp;AQ137&amp;"HLTV",'Roster Info'!$A:$A&amp;'Roster Info'!$G:$G&amp;'Roster Info'!$D:$D,'Roster Info'!$E:$E,""),"HLTV"))</f>
        <v>-</v>
      </c>
      <c r="BX137" s="63" t="str">
        <f t="array" ref="BX137">if(xlookup(AP137&amp;AQ137&amp;"FaceIt",'Roster Info'!$A:$A&amp;'Roster Info'!$G:$G&amp;'Roster Info'!$D:$D,'Roster Info'!$E:$E,"")="","-",hyperlink(xlookup(AP137&amp;AQ137&amp;"FaceIt",'Roster Info'!$A:$A&amp;'Roster Info'!$G:$G&amp;'Roster Info'!$D:$D,'Roster Info'!$E:$E,""),"FaceIt"))</f>
        <v>-</v>
      </c>
      <c r="BZ137" s="61"/>
      <c r="CA137" s="152"/>
      <c r="CB137" s="152"/>
      <c r="CC137" s="152"/>
      <c r="CD137" s="152"/>
    </row>
    <row r="138" ht="15.0" customHeight="1">
      <c r="A138" s="152"/>
      <c r="B138" s="152"/>
      <c r="C138" s="219"/>
      <c r="D138" s="219"/>
      <c r="E138" s="230"/>
      <c r="F138" s="231"/>
      <c r="G138" s="231"/>
      <c r="H138" s="231"/>
      <c r="I138" s="231"/>
      <c r="J138" s="231"/>
      <c r="K138" s="231"/>
      <c r="L138" s="231"/>
      <c r="M138" s="231"/>
      <c r="N138" s="231"/>
      <c r="O138" s="231"/>
      <c r="P138" s="231"/>
      <c r="Q138" s="231"/>
      <c r="R138" s="231"/>
      <c r="S138" s="231"/>
      <c r="T138" s="231"/>
      <c r="U138" s="231"/>
      <c r="V138" s="231"/>
      <c r="W138" s="231"/>
      <c r="X138" s="231"/>
      <c r="Y138" s="231"/>
      <c r="Z138" s="231"/>
      <c r="AA138" s="231"/>
      <c r="AB138" s="231"/>
      <c r="AC138" s="231"/>
      <c r="AD138" s="231"/>
      <c r="AE138" s="231"/>
      <c r="AF138" s="231"/>
      <c r="AG138" s="231"/>
      <c r="AH138" s="231"/>
      <c r="AI138" s="231"/>
      <c r="AJ138" s="231"/>
      <c r="AK138" s="231"/>
      <c r="AL138" s="231"/>
      <c r="AM138" s="232"/>
      <c r="AN138" s="152"/>
      <c r="AO138" s="152"/>
      <c r="AP138" s="219"/>
      <c r="AQ138" s="219"/>
      <c r="AR138" s="230"/>
      <c r="AS138" s="231"/>
      <c r="AT138" s="231"/>
      <c r="AU138" s="231"/>
      <c r="AV138" s="231"/>
      <c r="AW138" s="231"/>
      <c r="AX138" s="231"/>
      <c r="AY138" s="231"/>
      <c r="AZ138" s="231"/>
      <c r="BA138" s="231"/>
      <c r="BB138" s="231"/>
      <c r="BC138" s="231"/>
      <c r="BD138" s="231"/>
      <c r="BE138" s="231"/>
      <c r="BF138" s="231"/>
      <c r="BG138" s="231"/>
      <c r="BH138" s="231"/>
      <c r="BI138" s="231"/>
      <c r="BJ138" s="231"/>
      <c r="BK138" s="231"/>
      <c r="BL138" s="231"/>
      <c r="BM138" s="231"/>
      <c r="BN138" s="231"/>
      <c r="BO138" s="231"/>
      <c r="BP138" s="231"/>
      <c r="BQ138" s="231"/>
      <c r="BR138" s="231"/>
      <c r="BS138" s="231"/>
      <c r="BT138" s="231"/>
      <c r="BU138" s="231"/>
      <c r="BV138" s="231"/>
      <c r="BW138" s="231"/>
      <c r="BX138" s="231"/>
      <c r="BY138" s="231"/>
      <c r="BZ138" s="232"/>
      <c r="CA138" s="152"/>
      <c r="CB138" s="152"/>
      <c r="CC138" s="152"/>
      <c r="CD138" s="152"/>
    </row>
    <row r="139" ht="15.0" customHeight="1">
      <c r="A139" s="152"/>
      <c r="B139" s="152"/>
      <c r="C139" s="219">
        <f>C137</f>
        <v>11</v>
      </c>
      <c r="D139" s="225" t="s">
        <v>133</v>
      </c>
      <c r="E139" s="226" t="s">
        <v>133</v>
      </c>
      <c r="I139" s="227" t="str">
        <f t="array" ref="I139">xlookup(xlookup(C139&amp;D139&amp;"Nationality",'Roster Info'!$A:$A&amp;'Roster Info'!$G:$G&amp;'Roster Info'!$D:$D,'Roster Info'!$E:$E,""),'Roster Info'!$K:$K,'Roster Info'!$L:$L,"")</f>
        <v/>
      </c>
      <c r="K139" s="228" t="str">
        <f t="array" ref="K139">xlookup(C139&amp;D139,'Roster Info'!$A:$A&amp;'Roster Info'!$G:$G,'Roster Info'!$F:$F,"")</f>
        <v/>
      </c>
      <c r="U139" s="229" t="str">
        <f t="array" ref="U139">xlookup(C139&amp;D139&amp;"Full Name",'Roster Info'!$A:$A&amp;'Roster Info'!$G:$G&amp;'Roster Info'!$D:$D,'Roster Info'!$E:$E,"")</f>
        <v/>
      </c>
      <c r="AE139" s="63" t="str">
        <f t="array" ref="AE139">if(xlookup(C139&amp;D139&amp;"Steam",'Roster Info'!$A:$A&amp;'Roster Info'!$G:$G&amp;'Roster Info'!$D:$D,'Roster Info'!$E:$E,"")="","-",hyperlink(xlookup(C139&amp;D139&amp;"Steam",'Roster Info'!$A:$A&amp;'Roster Info'!$G:$G&amp;'Roster Info'!$D:$D,'Roster Info'!$E:$E,""),"Steam"))</f>
        <v>-</v>
      </c>
      <c r="AH139" s="63" t="str">
        <f t="array" ref="AH139">if(xlookup(C139&amp;D139&amp;"HLTV",'Roster Info'!$A:$A&amp;'Roster Info'!$G:$G&amp;'Roster Info'!$D:$D,'Roster Info'!$E:$E,"")="","-",hyperlink(xlookup(C139&amp;D139&amp;"HLTV",'Roster Info'!$A:$A&amp;'Roster Info'!$G:$G&amp;'Roster Info'!$D:$D,'Roster Info'!$E:$E,""),"HLTV"))</f>
        <v>-</v>
      </c>
      <c r="AK139" s="63" t="str">
        <f t="array" ref="AK139">if(xlookup(C139&amp;D139&amp;"FaceIt",'Roster Info'!$A:$A&amp;'Roster Info'!$G:$G&amp;'Roster Info'!$D:$D,'Roster Info'!$E:$E,"")="","-",hyperlink(xlookup(C139&amp;D139&amp;"FaceIt",'Roster Info'!$A:$A&amp;'Roster Info'!$G:$G&amp;'Roster Info'!$D:$D,'Roster Info'!$E:$E,""),"FaceIt"))</f>
        <v>-</v>
      </c>
      <c r="AM139" s="61"/>
      <c r="AN139" s="152"/>
      <c r="AO139" s="152"/>
      <c r="AP139" s="219">
        <f>AP137</f>
        <v>12</v>
      </c>
      <c r="AQ139" s="225" t="s">
        <v>133</v>
      </c>
      <c r="AR139" s="226" t="s">
        <v>133</v>
      </c>
      <c r="AV139" s="227" t="str">
        <f t="array" ref="AV139">xlookup(xlookup(AP139&amp;AQ139&amp;"Nationality",'Roster Info'!$A:$A&amp;'Roster Info'!$G:$G&amp;'Roster Info'!$D:$D,'Roster Info'!$E:$E,""),'Roster Info'!$K:$K,'Roster Info'!$L:$L,"")</f>
        <v/>
      </c>
      <c r="AX139" s="228" t="str">
        <f t="array" ref="AX139">xlookup(AP139&amp;AQ139,'Roster Info'!$A:$A&amp;'Roster Info'!$G:$G,'Roster Info'!$F:$F,"")</f>
        <v/>
      </c>
      <c r="BH139" s="229" t="str">
        <f t="array" ref="BH139">xlookup(AP139&amp;AQ139&amp;"Full Name",'Roster Info'!$A:$A&amp;'Roster Info'!$G:$G&amp;'Roster Info'!$D:$D,'Roster Info'!$E:$E,"")</f>
        <v/>
      </c>
      <c r="BR139" s="63" t="str">
        <f t="array" ref="BR139">if(xlookup(AP139&amp;AQ139&amp;"Steam",'Roster Info'!$A:$A&amp;'Roster Info'!$G:$G&amp;'Roster Info'!$D:$D,'Roster Info'!$E:$E,"")="","-",hyperlink(xlookup(AP139&amp;AQ139&amp;"Steam",'Roster Info'!$A:$A&amp;'Roster Info'!$G:$G&amp;'Roster Info'!$D:$D,'Roster Info'!$E:$E,""),"Steam"))</f>
        <v>-</v>
      </c>
      <c r="BU139" s="63" t="str">
        <f t="array" ref="BU139">if(xlookup(AP139&amp;AQ139&amp;"HLTV",'Roster Info'!$A:$A&amp;'Roster Info'!$G:$G&amp;'Roster Info'!$D:$D,'Roster Info'!$E:$E,"")="","-",hyperlink(xlookup(AP139&amp;AQ139&amp;"HLTV",'Roster Info'!$A:$A&amp;'Roster Info'!$G:$G&amp;'Roster Info'!$D:$D,'Roster Info'!$E:$E,""),"HLTV"))</f>
        <v>-</v>
      </c>
      <c r="BX139" s="63" t="str">
        <f t="array" ref="BX139">if(xlookup(AP139&amp;AQ139&amp;"FaceIt",'Roster Info'!$A:$A&amp;'Roster Info'!$G:$G&amp;'Roster Info'!$D:$D,'Roster Info'!$E:$E,"")="","-",hyperlink(xlookup(AP139&amp;AQ139&amp;"FaceIt",'Roster Info'!$A:$A&amp;'Roster Info'!$G:$G&amp;'Roster Info'!$D:$D,'Roster Info'!$E:$E,""),"FaceIt"))</f>
        <v>-</v>
      </c>
      <c r="BZ139" s="61"/>
      <c r="CA139" s="152"/>
      <c r="CB139" s="152"/>
      <c r="CC139" s="152"/>
      <c r="CD139" s="152"/>
    </row>
    <row r="140" ht="15.0" customHeight="1">
      <c r="A140" s="152"/>
      <c r="B140" s="152"/>
      <c r="C140" s="219"/>
      <c r="D140" s="219"/>
      <c r="E140" s="230"/>
      <c r="F140" s="231"/>
      <c r="G140" s="231"/>
      <c r="H140" s="231"/>
      <c r="I140" s="231"/>
      <c r="J140" s="231"/>
      <c r="K140" s="231"/>
      <c r="L140" s="231"/>
      <c r="M140" s="231"/>
      <c r="N140" s="231"/>
      <c r="O140" s="231"/>
      <c r="P140" s="231"/>
      <c r="Q140" s="231"/>
      <c r="R140" s="231"/>
      <c r="S140" s="231"/>
      <c r="T140" s="231"/>
      <c r="U140" s="231"/>
      <c r="V140" s="231"/>
      <c r="W140" s="231"/>
      <c r="X140" s="231"/>
      <c r="Y140" s="231"/>
      <c r="Z140" s="231"/>
      <c r="AA140" s="231"/>
      <c r="AB140" s="231"/>
      <c r="AC140" s="231"/>
      <c r="AD140" s="231"/>
      <c r="AE140" s="231"/>
      <c r="AF140" s="231"/>
      <c r="AG140" s="231"/>
      <c r="AH140" s="231"/>
      <c r="AI140" s="231"/>
      <c r="AJ140" s="231"/>
      <c r="AK140" s="231"/>
      <c r="AL140" s="231"/>
      <c r="AM140" s="232"/>
      <c r="AN140" s="152"/>
      <c r="AO140" s="152"/>
      <c r="AP140" s="219"/>
      <c r="AQ140" s="219"/>
      <c r="AR140" s="230"/>
      <c r="AS140" s="231"/>
      <c r="AT140" s="231"/>
      <c r="AU140" s="231"/>
      <c r="AV140" s="231"/>
      <c r="AW140" s="231"/>
      <c r="AX140" s="231"/>
      <c r="AY140" s="231"/>
      <c r="AZ140" s="231"/>
      <c r="BA140" s="231"/>
      <c r="BB140" s="231"/>
      <c r="BC140" s="231"/>
      <c r="BD140" s="231"/>
      <c r="BE140" s="231"/>
      <c r="BF140" s="231"/>
      <c r="BG140" s="231"/>
      <c r="BH140" s="231"/>
      <c r="BI140" s="231"/>
      <c r="BJ140" s="231"/>
      <c r="BK140" s="231"/>
      <c r="BL140" s="231"/>
      <c r="BM140" s="231"/>
      <c r="BN140" s="231"/>
      <c r="BO140" s="231"/>
      <c r="BP140" s="231"/>
      <c r="BQ140" s="231"/>
      <c r="BR140" s="231"/>
      <c r="BS140" s="231"/>
      <c r="BT140" s="231"/>
      <c r="BU140" s="231"/>
      <c r="BV140" s="231"/>
      <c r="BW140" s="231"/>
      <c r="BX140" s="231"/>
      <c r="BY140" s="231"/>
      <c r="BZ140" s="232"/>
      <c r="CA140" s="152"/>
      <c r="CB140" s="152"/>
      <c r="CC140" s="152"/>
      <c r="CD140" s="152"/>
    </row>
    <row r="141" ht="15.0" customHeight="1">
      <c r="A141" s="152"/>
      <c r="B141" s="152"/>
      <c r="C141" s="219">
        <f>C139</f>
        <v>11</v>
      </c>
      <c r="D141" s="233" t="s">
        <v>139</v>
      </c>
      <c r="E141" s="234" t="s">
        <v>319</v>
      </c>
      <c r="I141" s="227" t="str">
        <f t="array" ref="I141">xlookup(xlookup(C141&amp;D141&amp;"Nationality",'Roster Info'!$A:$A&amp;'Roster Info'!$G:$G&amp;'Roster Info'!$D:$D,'Roster Info'!$E:$E,""),'Roster Info'!$K:$K,'Roster Info'!$L:$L,"")</f>
        <v/>
      </c>
      <c r="K141" s="228" t="str">
        <f t="array" ref="K141">xlookup(C141&amp;D141,'Roster Info'!$A:$A&amp;'Roster Info'!$G:$G,'Roster Info'!$F:$F,"")</f>
        <v/>
      </c>
      <c r="U141" s="229" t="str">
        <f t="array" ref="U141">xlookup(C141&amp;D141&amp;"Full Name",'Roster Info'!$A:$A&amp;'Roster Info'!$G:$G&amp;'Roster Info'!$D:$D,'Roster Info'!$E:$E,"")</f>
        <v/>
      </c>
      <c r="AE141" s="63" t="str">
        <f t="array" ref="AE141">if(xlookup(C141&amp;D141&amp;"Steam",'Roster Info'!$A:$A&amp;'Roster Info'!$G:$G&amp;'Roster Info'!$D:$D,'Roster Info'!$E:$E,"")="","-",hyperlink(xlookup(C141&amp;D141&amp;"Steam",'Roster Info'!$A:$A&amp;'Roster Info'!$G:$G&amp;'Roster Info'!$D:$D,'Roster Info'!$E:$E,""),"Steam"))</f>
        <v>-</v>
      </c>
      <c r="AH141" s="63" t="str">
        <f t="array" ref="AH141">if(xlookup(C141&amp;D141&amp;"HLTV",'Roster Info'!$A:$A&amp;'Roster Info'!$G:$G&amp;'Roster Info'!$D:$D,'Roster Info'!$E:$E,"")="","-",hyperlink(xlookup(C141&amp;D141&amp;"HLTV",'Roster Info'!$A:$A&amp;'Roster Info'!$G:$G&amp;'Roster Info'!$D:$D,'Roster Info'!$E:$E,""),"HLTV"))</f>
        <v>-</v>
      </c>
      <c r="AK141" s="63" t="str">
        <f t="array" ref="AK141">if(xlookup(C141&amp;D141&amp;"FaceIt",'Roster Info'!$A:$A&amp;'Roster Info'!$G:$G&amp;'Roster Info'!$D:$D,'Roster Info'!$E:$E,"")="","-",hyperlink(xlookup(C141&amp;D141&amp;"FaceIt",'Roster Info'!$A:$A&amp;'Roster Info'!$G:$G&amp;'Roster Info'!$D:$D,'Roster Info'!$E:$E,""),"FaceIt"))</f>
        <v>-</v>
      </c>
      <c r="AM141" s="61"/>
      <c r="AN141" s="152"/>
      <c r="AO141" s="152"/>
      <c r="AP141" s="219">
        <f>AP139</f>
        <v>12</v>
      </c>
      <c r="AQ141" s="233" t="s">
        <v>139</v>
      </c>
      <c r="AR141" s="234" t="s">
        <v>319</v>
      </c>
      <c r="AV141" s="227" t="str">
        <f t="array" ref="AV141">xlookup(xlookup(AP141&amp;AQ141&amp;"Nationality",'Roster Info'!$A:$A&amp;'Roster Info'!$G:$G&amp;'Roster Info'!$D:$D,'Roster Info'!$E:$E,""),'Roster Info'!$K:$K,'Roster Info'!$L:$L,"")</f>
        <v/>
      </c>
      <c r="AX141" s="228" t="str">
        <f t="array" ref="AX141">xlookup(AP141&amp;AQ141,'Roster Info'!$A:$A&amp;'Roster Info'!$G:$G,'Roster Info'!$F:$F,"")</f>
        <v/>
      </c>
      <c r="BH141" s="229" t="str">
        <f t="array" ref="BH141">xlookup(AP141&amp;AQ141&amp;"Full Name",'Roster Info'!$A:$A&amp;'Roster Info'!$G:$G&amp;'Roster Info'!$D:$D,'Roster Info'!$E:$E,"")</f>
        <v/>
      </c>
      <c r="BR141" s="63" t="str">
        <f t="array" ref="BR141">if(xlookup(AP141&amp;AQ141&amp;"Steam",'Roster Info'!$A:$A&amp;'Roster Info'!$G:$G&amp;'Roster Info'!$D:$D,'Roster Info'!$E:$E,"")="","-",hyperlink(xlookup(AP141&amp;AQ141&amp;"Steam",'Roster Info'!$A:$A&amp;'Roster Info'!$G:$G&amp;'Roster Info'!$D:$D,'Roster Info'!$E:$E,""),"Steam"))</f>
        <v>-</v>
      </c>
      <c r="BU141" s="63" t="str">
        <f t="array" ref="BU141">if(xlookup(AP141&amp;AQ141&amp;"HLTV",'Roster Info'!$A:$A&amp;'Roster Info'!$G:$G&amp;'Roster Info'!$D:$D,'Roster Info'!$E:$E,"")="","-",hyperlink(xlookup(AP141&amp;AQ141&amp;"HLTV",'Roster Info'!$A:$A&amp;'Roster Info'!$G:$G&amp;'Roster Info'!$D:$D,'Roster Info'!$E:$E,""),"HLTV"))</f>
        <v>-</v>
      </c>
      <c r="BX141" s="63" t="str">
        <f t="array" ref="BX141">if(xlookup(AP141&amp;AQ141&amp;"FaceIt",'Roster Info'!$A:$A&amp;'Roster Info'!$G:$G&amp;'Roster Info'!$D:$D,'Roster Info'!$E:$E,"")="","-",hyperlink(xlookup(AP141&amp;AQ141&amp;"FaceIt",'Roster Info'!$A:$A&amp;'Roster Info'!$G:$G&amp;'Roster Info'!$D:$D,'Roster Info'!$E:$E,""),"FaceIt"))</f>
        <v>-</v>
      </c>
      <c r="BZ141" s="61"/>
      <c r="CA141" s="152"/>
      <c r="CB141" s="152"/>
      <c r="CC141" s="152"/>
      <c r="CD141" s="152"/>
    </row>
    <row r="142" ht="15.0" customHeight="1">
      <c r="A142" s="152"/>
      <c r="B142" s="152"/>
      <c r="C142" s="219"/>
      <c r="D142" s="219"/>
      <c r="E142" s="230"/>
      <c r="F142" s="231"/>
      <c r="G142" s="231"/>
      <c r="H142" s="231"/>
      <c r="I142" s="231"/>
      <c r="J142" s="231"/>
      <c r="K142" s="231"/>
      <c r="L142" s="231"/>
      <c r="M142" s="231"/>
      <c r="N142" s="231"/>
      <c r="O142" s="231"/>
      <c r="P142" s="231"/>
      <c r="Q142" s="231"/>
      <c r="R142" s="231"/>
      <c r="S142" s="231"/>
      <c r="T142" s="231"/>
      <c r="U142" s="231"/>
      <c r="V142" s="231"/>
      <c r="W142" s="231"/>
      <c r="X142" s="231"/>
      <c r="Y142" s="231"/>
      <c r="Z142" s="231"/>
      <c r="AA142" s="231"/>
      <c r="AB142" s="231"/>
      <c r="AC142" s="231"/>
      <c r="AD142" s="231"/>
      <c r="AE142" s="231"/>
      <c r="AF142" s="231"/>
      <c r="AG142" s="231"/>
      <c r="AH142" s="231"/>
      <c r="AI142" s="231"/>
      <c r="AJ142" s="231"/>
      <c r="AK142" s="231"/>
      <c r="AL142" s="231"/>
      <c r="AM142" s="232"/>
      <c r="AN142" s="152"/>
      <c r="AO142" s="152"/>
      <c r="AP142" s="219"/>
      <c r="AQ142" s="219"/>
      <c r="AR142" s="230"/>
      <c r="AS142" s="231"/>
      <c r="AT142" s="231"/>
      <c r="AU142" s="231"/>
      <c r="AV142" s="231"/>
      <c r="AW142" s="231"/>
      <c r="AX142" s="231"/>
      <c r="AY142" s="231"/>
      <c r="AZ142" s="231"/>
      <c r="BA142" s="231"/>
      <c r="BB142" s="231"/>
      <c r="BC142" s="231"/>
      <c r="BD142" s="231"/>
      <c r="BE142" s="231"/>
      <c r="BF142" s="231"/>
      <c r="BG142" s="231"/>
      <c r="BH142" s="231"/>
      <c r="BI142" s="231"/>
      <c r="BJ142" s="231"/>
      <c r="BK142" s="231"/>
      <c r="BL142" s="231"/>
      <c r="BM142" s="231"/>
      <c r="BN142" s="231"/>
      <c r="BO142" s="231"/>
      <c r="BP142" s="231"/>
      <c r="BQ142" s="231"/>
      <c r="BR142" s="231"/>
      <c r="BS142" s="231"/>
      <c r="BT142" s="231"/>
      <c r="BU142" s="231"/>
      <c r="BV142" s="231"/>
      <c r="BW142" s="231"/>
      <c r="BX142" s="231"/>
      <c r="BY142" s="231"/>
      <c r="BZ142" s="232"/>
      <c r="CA142" s="152"/>
      <c r="CB142" s="152"/>
      <c r="CC142" s="152"/>
      <c r="CD142" s="152"/>
    </row>
    <row r="143" ht="15.0" customHeight="1">
      <c r="A143" s="152"/>
      <c r="B143" s="152"/>
      <c r="C143" s="219">
        <f>C141</f>
        <v>11</v>
      </c>
      <c r="D143" s="225" t="s">
        <v>145</v>
      </c>
      <c r="E143" s="226" t="s">
        <v>145</v>
      </c>
      <c r="I143" s="227" t="str">
        <f t="array" ref="I143">xlookup(xlookup(C143&amp;D143&amp;"Nationality",'Roster Info'!$A:$A&amp;'Roster Info'!$G:$G&amp;'Roster Info'!$D:$D,'Roster Info'!$E:$E,""),'Roster Info'!$K:$K,'Roster Info'!$L:$L,"")</f>
        <v/>
      </c>
      <c r="K143" s="228" t="str">
        <f t="array" ref="K143">xlookup(C143&amp;D143,'Roster Info'!$A:$A&amp;'Roster Info'!$G:$G,'Roster Info'!$F:$F,"")</f>
        <v/>
      </c>
      <c r="U143" s="229" t="str">
        <f t="array" ref="U143">xlookup(C143&amp;D143&amp;"Full Name",'Roster Info'!$A:$A&amp;'Roster Info'!$G:$G&amp;'Roster Info'!$D:$D,'Roster Info'!$E:$E,"")</f>
        <v/>
      </c>
      <c r="AE143" s="63" t="str">
        <f t="array" ref="AE143">if(xlookup(C143&amp;D143&amp;"Steam",'Roster Info'!$A:$A&amp;'Roster Info'!$G:$G&amp;'Roster Info'!$D:$D,'Roster Info'!$E:$E,"")="","-",hyperlink(xlookup(C143&amp;D143&amp;"Steam",'Roster Info'!$A:$A&amp;'Roster Info'!$G:$G&amp;'Roster Info'!$D:$D,'Roster Info'!$E:$E,""),"Steam"))</f>
        <v>-</v>
      </c>
      <c r="AH143" s="63" t="str">
        <f t="array" ref="AH143">if(xlookup(C143&amp;D143&amp;"HLTV",'Roster Info'!$A:$A&amp;'Roster Info'!$G:$G&amp;'Roster Info'!$D:$D,'Roster Info'!$E:$E,"")="","-",hyperlink(xlookup(C143&amp;D143&amp;"HLTV",'Roster Info'!$A:$A&amp;'Roster Info'!$G:$G&amp;'Roster Info'!$D:$D,'Roster Info'!$E:$E,""),"HLTV"))</f>
        <v>-</v>
      </c>
      <c r="AK143" s="63" t="str">
        <f t="array" ref="AK143">if(xlookup(C143&amp;D143&amp;"FaceIt",'Roster Info'!$A:$A&amp;'Roster Info'!$G:$G&amp;'Roster Info'!$D:$D,'Roster Info'!$E:$E,"")="","-",hyperlink(xlookup(C143&amp;D143&amp;"FaceIt",'Roster Info'!$A:$A&amp;'Roster Info'!$G:$G&amp;'Roster Info'!$D:$D,'Roster Info'!$E:$E,""),"FaceIt"))</f>
        <v>-</v>
      </c>
      <c r="AM143" s="61"/>
      <c r="AN143" s="152"/>
      <c r="AO143" s="152"/>
      <c r="AP143" s="219">
        <f>AP141</f>
        <v>12</v>
      </c>
      <c r="AQ143" s="225" t="s">
        <v>145</v>
      </c>
      <c r="AR143" s="226" t="s">
        <v>145</v>
      </c>
      <c r="AV143" s="227" t="str">
        <f t="array" ref="AV143">xlookup(xlookup(AP143&amp;AQ143&amp;"Nationality",'Roster Info'!$A:$A&amp;'Roster Info'!$G:$G&amp;'Roster Info'!$D:$D,'Roster Info'!$E:$E,""),'Roster Info'!$K:$K,'Roster Info'!$L:$L,"")</f>
        <v/>
      </c>
      <c r="AX143" s="228" t="str">
        <f t="array" ref="AX143">xlookup(AP143&amp;AQ143,'Roster Info'!$A:$A&amp;'Roster Info'!$G:$G,'Roster Info'!$F:$F,"")</f>
        <v/>
      </c>
      <c r="BH143" s="229" t="str">
        <f t="array" ref="BH143">xlookup(AP143&amp;AQ143&amp;"Full Name",'Roster Info'!$A:$A&amp;'Roster Info'!$G:$G&amp;'Roster Info'!$D:$D,'Roster Info'!$E:$E,"")</f>
        <v/>
      </c>
      <c r="BR143" s="63" t="str">
        <f t="array" ref="BR143">if(xlookup(AP143&amp;AQ143&amp;"Steam",'Roster Info'!$A:$A&amp;'Roster Info'!$G:$G&amp;'Roster Info'!$D:$D,'Roster Info'!$E:$E,"")="","-",hyperlink(xlookup(AP143&amp;AQ143&amp;"Steam",'Roster Info'!$A:$A&amp;'Roster Info'!$G:$G&amp;'Roster Info'!$D:$D,'Roster Info'!$E:$E,""),"Steam"))</f>
        <v>-</v>
      </c>
      <c r="BU143" s="63" t="str">
        <f t="array" ref="BU143">if(xlookup(AP143&amp;AQ143&amp;"HLTV",'Roster Info'!$A:$A&amp;'Roster Info'!$G:$G&amp;'Roster Info'!$D:$D,'Roster Info'!$E:$E,"")="","-",hyperlink(xlookup(AP143&amp;AQ143&amp;"HLTV",'Roster Info'!$A:$A&amp;'Roster Info'!$G:$G&amp;'Roster Info'!$D:$D,'Roster Info'!$E:$E,""),"HLTV"))</f>
        <v>-</v>
      </c>
      <c r="BX143" s="63" t="str">
        <f t="array" ref="BX143">if(xlookup(AP143&amp;AQ143&amp;"FaceIt",'Roster Info'!$A:$A&amp;'Roster Info'!$G:$G&amp;'Roster Info'!$D:$D,'Roster Info'!$E:$E,"")="","-",hyperlink(xlookup(AP143&amp;AQ143&amp;"FaceIt",'Roster Info'!$A:$A&amp;'Roster Info'!$G:$G&amp;'Roster Info'!$D:$D,'Roster Info'!$E:$E,""),"FaceIt"))</f>
        <v>-</v>
      </c>
      <c r="BZ143" s="61"/>
      <c r="CA143" s="152"/>
      <c r="CB143" s="152"/>
      <c r="CC143" s="152"/>
      <c r="CD143" s="152"/>
    </row>
    <row r="144" ht="15.0" customHeight="1">
      <c r="A144" s="152"/>
      <c r="B144" s="152"/>
      <c r="C144" s="219"/>
      <c r="D144" s="219"/>
      <c r="E144" s="101"/>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c r="AL144" s="102"/>
      <c r="AM144" s="164"/>
      <c r="AN144" s="152"/>
      <c r="AO144" s="152"/>
      <c r="AP144" s="219"/>
      <c r="AQ144" s="219"/>
      <c r="AR144" s="101"/>
      <c r="AS144" s="102"/>
      <c r="AT144" s="102"/>
      <c r="AU144" s="102"/>
      <c r="AV144" s="102"/>
      <c r="AW144" s="102"/>
      <c r="AX144" s="102"/>
      <c r="AY144" s="102"/>
      <c r="AZ144" s="102"/>
      <c r="BA144" s="102"/>
      <c r="BB144" s="102"/>
      <c r="BC144" s="102"/>
      <c r="BD144" s="102"/>
      <c r="BE144" s="102"/>
      <c r="BF144" s="102"/>
      <c r="BG144" s="102"/>
      <c r="BH144" s="102"/>
      <c r="BI144" s="102"/>
      <c r="BJ144" s="102"/>
      <c r="BK144" s="102"/>
      <c r="BL144" s="102"/>
      <c r="BM144" s="102"/>
      <c r="BN144" s="102"/>
      <c r="BO144" s="102"/>
      <c r="BP144" s="102"/>
      <c r="BQ144" s="102"/>
      <c r="BR144" s="102"/>
      <c r="BS144" s="102"/>
      <c r="BT144" s="102"/>
      <c r="BU144" s="102"/>
      <c r="BV144" s="102"/>
      <c r="BW144" s="102"/>
      <c r="BX144" s="102"/>
      <c r="BY144" s="102"/>
      <c r="BZ144" s="164"/>
      <c r="CA144" s="152"/>
      <c r="CB144" s="152"/>
      <c r="CC144" s="152"/>
      <c r="CD144" s="152"/>
    </row>
    <row r="145" ht="15.0" customHeight="1">
      <c r="A145" s="152"/>
      <c r="B145" s="152"/>
      <c r="C145" s="219"/>
      <c r="D145" s="219"/>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c r="AA145" s="152"/>
      <c r="AB145" s="152"/>
      <c r="AC145" s="152"/>
      <c r="AD145" s="152"/>
      <c r="AE145" s="152"/>
      <c r="AF145" s="152"/>
      <c r="AG145" s="152"/>
      <c r="AH145" s="152"/>
      <c r="AI145" s="152"/>
      <c r="AJ145" s="152"/>
      <c r="AK145" s="152"/>
      <c r="AL145" s="152"/>
      <c r="AM145" s="152"/>
      <c r="AN145" s="152"/>
      <c r="AO145" s="152"/>
      <c r="AP145" s="219"/>
      <c r="AQ145" s="219"/>
      <c r="AR145" s="152"/>
      <c r="AS145" s="152"/>
      <c r="AT145" s="152"/>
      <c r="AU145" s="152"/>
      <c r="AV145" s="152"/>
      <c r="AW145" s="152"/>
      <c r="AX145" s="152"/>
      <c r="AY145" s="152"/>
      <c r="AZ145" s="152"/>
      <c r="BA145" s="152"/>
      <c r="BB145" s="152"/>
      <c r="BC145" s="152"/>
      <c r="BD145" s="152"/>
      <c r="BE145" s="152"/>
      <c r="BF145" s="152"/>
      <c r="BG145" s="152"/>
      <c r="BH145" s="152"/>
      <c r="BI145" s="152"/>
      <c r="BJ145" s="152"/>
      <c r="BK145" s="152"/>
      <c r="BL145" s="152"/>
      <c r="BM145" s="152"/>
      <c r="BN145" s="152"/>
      <c r="BO145" s="152"/>
      <c r="BP145" s="152"/>
      <c r="BQ145" s="152"/>
      <c r="BR145" s="152"/>
      <c r="BS145" s="152"/>
      <c r="BT145" s="152"/>
      <c r="BU145" s="152"/>
      <c r="BV145" s="152"/>
      <c r="BW145" s="152"/>
      <c r="BX145" s="152"/>
      <c r="BY145" s="152"/>
      <c r="BZ145" s="152"/>
      <c r="CA145" s="152"/>
      <c r="CB145" s="152"/>
      <c r="CC145" s="152"/>
      <c r="CD145" s="152"/>
    </row>
    <row r="146" ht="15.0" customHeight="1">
      <c r="A146" s="152"/>
      <c r="B146" s="152"/>
      <c r="C146" s="219"/>
      <c r="D146" s="219"/>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c r="AA146" s="152"/>
      <c r="AB146" s="152"/>
      <c r="AC146" s="152"/>
      <c r="AD146" s="152"/>
      <c r="AE146" s="152"/>
      <c r="AF146" s="152"/>
      <c r="AG146" s="152"/>
      <c r="AH146" s="152"/>
      <c r="AI146" s="152"/>
      <c r="AJ146" s="152"/>
      <c r="AK146" s="152"/>
      <c r="AL146" s="152"/>
      <c r="AM146" s="152"/>
      <c r="AN146" s="152"/>
      <c r="AO146" s="152"/>
      <c r="AP146" s="219"/>
      <c r="AQ146" s="219"/>
      <c r="AR146" s="152"/>
      <c r="AS146" s="152"/>
      <c r="AT146" s="152"/>
      <c r="AU146" s="152"/>
      <c r="AV146" s="152"/>
      <c r="AW146" s="152"/>
      <c r="AX146" s="152"/>
      <c r="AY146" s="152"/>
      <c r="AZ146" s="152"/>
      <c r="BA146" s="152"/>
      <c r="BB146" s="152"/>
      <c r="BC146" s="152"/>
      <c r="BD146" s="152"/>
      <c r="BE146" s="152"/>
      <c r="BF146" s="152"/>
      <c r="BG146" s="152"/>
      <c r="BH146" s="152"/>
      <c r="BI146" s="152"/>
      <c r="BJ146" s="152"/>
      <c r="BK146" s="152"/>
      <c r="BL146" s="152"/>
      <c r="BM146" s="152"/>
      <c r="BN146" s="152"/>
      <c r="BO146" s="152"/>
      <c r="BP146" s="152"/>
      <c r="BQ146" s="152"/>
      <c r="BR146" s="152"/>
      <c r="BS146" s="152"/>
      <c r="BT146" s="152"/>
      <c r="BU146" s="152"/>
      <c r="BV146" s="152"/>
      <c r="BW146" s="152"/>
      <c r="BX146" s="152"/>
      <c r="BY146" s="152"/>
      <c r="BZ146" s="152"/>
      <c r="CA146" s="152"/>
      <c r="CB146" s="152"/>
      <c r="CC146" s="152"/>
      <c r="CD146" s="152"/>
    </row>
    <row r="147" ht="15.0" customHeight="1">
      <c r="A147" s="152"/>
      <c r="B147" s="152"/>
      <c r="C147" s="219"/>
      <c r="D147" s="219"/>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c r="AA147" s="152"/>
      <c r="AB147" s="152"/>
      <c r="AC147" s="152"/>
      <c r="AD147" s="152"/>
      <c r="AE147" s="152"/>
      <c r="AF147" s="152"/>
      <c r="AG147" s="152"/>
      <c r="AH147" s="152"/>
      <c r="AI147" s="152"/>
      <c r="AJ147" s="152"/>
      <c r="AK147" s="152"/>
      <c r="AL147" s="152"/>
      <c r="AM147" s="152"/>
      <c r="AN147" s="152"/>
      <c r="AO147" s="152"/>
      <c r="AP147" s="219"/>
      <c r="AQ147" s="219"/>
      <c r="AR147" s="152"/>
      <c r="AS147" s="152"/>
      <c r="AT147" s="152"/>
      <c r="AU147" s="152"/>
      <c r="AV147" s="152"/>
      <c r="AW147" s="152"/>
      <c r="AX147" s="152"/>
      <c r="AY147" s="152"/>
      <c r="AZ147" s="152"/>
      <c r="BA147" s="152"/>
      <c r="BB147" s="152"/>
      <c r="BC147" s="152"/>
      <c r="BD147" s="152"/>
      <c r="BE147" s="152"/>
      <c r="BF147" s="152"/>
      <c r="BG147" s="152"/>
      <c r="BH147" s="152"/>
      <c r="BI147" s="152"/>
      <c r="BJ147" s="152"/>
      <c r="BK147" s="152"/>
      <c r="BL147" s="152"/>
      <c r="BM147" s="152"/>
      <c r="BN147" s="152"/>
      <c r="BO147" s="152"/>
      <c r="BP147" s="152"/>
      <c r="BQ147" s="152"/>
      <c r="BR147" s="152"/>
      <c r="BS147" s="152"/>
      <c r="BT147" s="152"/>
      <c r="BU147" s="152"/>
      <c r="BV147" s="152"/>
      <c r="BW147" s="152"/>
      <c r="BX147" s="152"/>
      <c r="BY147" s="152"/>
      <c r="BZ147" s="152"/>
      <c r="CA147" s="152"/>
      <c r="CB147" s="152"/>
      <c r="CC147" s="152"/>
      <c r="CD147" s="152"/>
    </row>
    <row r="148" ht="15.0" customHeight="1">
      <c r="A148" s="152"/>
      <c r="B148" s="152"/>
      <c r="C148" s="219"/>
      <c r="D148" s="219"/>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c r="AA148" s="152"/>
      <c r="AB148" s="152"/>
      <c r="AC148" s="152"/>
      <c r="AD148" s="152"/>
      <c r="AE148" s="152"/>
      <c r="AF148" s="152"/>
      <c r="AG148" s="152"/>
      <c r="AH148" s="152"/>
      <c r="AI148" s="152"/>
      <c r="AJ148" s="152"/>
      <c r="AK148" s="152"/>
      <c r="AL148" s="152"/>
      <c r="AM148" s="152"/>
      <c r="AN148" s="152"/>
      <c r="AO148" s="152"/>
      <c r="AP148" s="219"/>
      <c r="AQ148" s="219"/>
      <c r="AR148" s="152"/>
      <c r="AS148" s="152"/>
      <c r="AT148" s="152"/>
      <c r="AU148" s="152"/>
      <c r="AV148" s="152"/>
      <c r="AW148" s="152"/>
      <c r="AX148" s="152"/>
      <c r="AY148" s="152"/>
      <c r="AZ148" s="152"/>
      <c r="BA148" s="152"/>
      <c r="BB148" s="152"/>
      <c r="BC148" s="152"/>
      <c r="BD148" s="152"/>
      <c r="BE148" s="152"/>
      <c r="BF148" s="152"/>
      <c r="BG148" s="152"/>
      <c r="BH148" s="152"/>
      <c r="BI148" s="152"/>
      <c r="BJ148" s="152"/>
      <c r="BK148" s="152"/>
      <c r="BL148" s="152"/>
      <c r="BM148" s="152"/>
      <c r="BN148" s="152"/>
      <c r="BO148" s="152"/>
      <c r="BP148" s="152"/>
      <c r="BQ148" s="152"/>
      <c r="BR148" s="152"/>
      <c r="BS148" s="152"/>
      <c r="BT148" s="152"/>
      <c r="BU148" s="152"/>
      <c r="BV148" s="152"/>
      <c r="BW148" s="152"/>
      <c r="BX148" s="152"/>
      <c r="BY148" s="152"/>
      <c r="BZ148" s="152"/>
      <c r="CA148" s="152"/>
      <c r="CB148" s="152"/>
      <c r="CC148" s="152"/>
      <c r="CD148" s="152"/>
    </row>
    <row r="149" ht="15.0" customHeight="1">
      <c r="A149" s="152"/>
      <c r="B149" s="152"/>
      <c r="C149" s="219"/>
      <c r="D149" s="219"/>
      <c r="E149" s="220" t="str">
        <f t="array" ref="E149">xlookup(M149,'Team Entry'!$A:$A,'Team Entry'!$B:$B,"")</f>
        <v/>
      </c>
      <c r="F149" s="58"/>
      <c r="G149" s="58"/>
      <c r="H149" s="58"/>
      <c r="I149" s="58"/>
      <c r="J149" s="58"/>
      <c r="K149" s="58"/>
      <c r="L149" s="58"/>
      <c r="M149" s="221" t="str">
        <f t="array" ref="M149">xlookup(C155,'Roster Info'!$A:$A,'Roster Info'!$B:$B,"")</f>
        <v>Team 1 (Group 1)</v>
      </c>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9"/>
      <c r="AN149" s="152"/>
      <c r="AO149" s="152"/>
      <c r="AP149" s="219"/>
      <c r="AQ149" s="219"/>
      <c r="AR149" s="220" t="str">
        <f t="array" ref="AR149">xlookup(AZ149,'Team Entry'!$A:$A,'Team Entry'!$B:$B,"")</f>
        <v/>
      </c>
      <c r="AS149" s="58"/>
      <c r="AT149" s="58"/>
      <c r="AU149" s="58"/>
      <c r="AV149" s="58"/>
      <c r="AW149" s="58"/>
      <c r="AX149" s="58"/>
      <c r="AY149" s="58"/>
      <c r="AZ149" s="221" t="str">
        <f t="array" ref="AZ149">xlookup(AP155,'Roster Info'!$A:$A,'Roster Info'!$B:$B,"")</f>
        <v>Team 2 (Group 1)</v>
      </c>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9"/>
      <c r="CA149" s="152"/>
      <c r="CB149" s="152"/>
      <c r="CC149" s="152"/>
      <c r="CD149" s="152"/>
    </row>
    <row r="150" ht="15.0" customHeight="1">
      <c r="A150" s="152"/>
      <c r="B150" s="152"/>
      <c r="C150" s="219"/>
      <c r="D150" s="219"/>
      <c r="E150" s="60"/>
      <c r="AM150" s="61"/>
      <c r="AN150" s="152"/>
      <c r="AO150" s="152"/>
      <c r="AP150" s="219"/>
      <c r="AQ150" s="219"/>
      <c r="AR150" s="60"/>
      <c r="BZ150" s="61"/>
      <c r="CA150" s="152"/>
      <c r="CB150" s="152"/>
      <c r="CC150" s="152"/>
      <c r="CD150" s="152"/>
    </row>
    <row r="151" ht="15.0" customHeight="1">
      <c r="A151" s="152"/>
      <c r="B151" s="152"/>
      <c r="C151" s="219"/>
      <c r="D151" s="219"/>
      <c r="E151" s="60"/>
      <c r="AM151" s="61"/>
      <c r="AN151" s="152"/>
      <c r="AO151" s="152"/>
      <c r="AP151" s="219"/>
      <c r="AQ151" s="219"/>
      <c r="AR151" s="60"/>
      <c r="BZ151" s="61"/>
      <c r="CA151" s="152"/>
      <c r="CB151" s="152"/>
      <c r="CC151" s="152"/>
      <c r="CD151" s="152"/>
    </row>
    <row r="152" ht="15.0" customHeight="1">
      <c r="A152" s="152"/>
      <c r="B152" s="152"/>
      <c r="C152" s="219"/>
      <c r="D152" s="219"/>
      <c r="E152" s="60"/>
      <c r="AM152" s="61"/>
      <c r="AN152" s="152"/>
      <c r="AO152" s="152"/>
      <c r="AP152" s="219"/>
      <c r="AQ152" s="219"/>
      <c r="AR152" s="60"/>
      <c r="BZ152" s="61"/>
      <c r="CA152" s="152"/>
      <c r="CB152" s="152"/>
      <c r="CC152" s="152"/>
      <c r="CD152" s="152"/>
    </row>
    <row r="153" ht="15.0" customHeight="1">
      <c r="A153" s="152"/>
      <c r="B153" s="152"/>
      <c r="C153" s="219"/>
      <c r="D153" s="219"/>
      <c r="E153" s="60"/>
      <c r="AM153" s="61"/>
      <c r="AN153" s="152"/>
      <c r="AO153" s="152"/>
      <c r="AP153" s="219"/>
      <c r="AQ153" s="219"/>
      <c r="AR153" s="60"/>
      <c r="BZ153" s="61"/>
      <c r="CA153" s="152"/>
      <c r="CB153" s="152"/>
      <c r="CC153" s="152"/>
      <c r="CD153" s="152"/>
    </row>
    <row r="154" ht="15.0" customHeight="1">
      <c r="A154" s="152"/>
      <c r="B154" s="152"/>
      <c r="C154" s="219"/>
      <c r="D154" s="219"/>
      <c r="E154" s="222"/>
      <c r="F154" s="223"/>
      <c r="G154" s="223"/>
      <c r="H154" s="223"/>
      <c r="I154" s="223"/>
      <c r="J154" s="223"/>
      <c r="K154" s="223"/>
      <c r="L154" s="223"/>
      <c r="M154" s="223"/>
      <c r="N154" s="223"/>
      <c r="O154" s="223"/>
      <c r="P154" s="223"/>
      <c r="Q154" s="223"/>
      <c r="R154" s="223"/>
      <c r="S154" s="223"/>
      <c r="T154" s="223"/>
      <c r="U154" s="223"/>
      <c r="V154" s="223"/>
      <c r="W154" s="223"/>
      <c r="X154" s="223"/>
      <c r="Y154" s="223"/>
      <c r="Z154" s="223"/>
      <c r="AA154" s="223"/>
      <c r="AB154" s="223"/>
      <c r="AC154" s="223"/>
      <c r="AD154" s="223"/>
      <c r="AE154" s="223"/>
      <c r="AF154" s="223"/>
      <c r="AG154" s="223"/>
      <c r="AH154" s="223"/>
      <c r="AI154" s="223"/>
      <c r="AJ154" s="223"/>
      <c r="AK154" s="223"/>
      <c r="AL154" s="223"/>
      <c r="AM154" s="224"/>
      <c r="AN154" s="152"/>
      <c r="AO154" s="152"/>
      <c r="AP154" s="219"/>
      <c r="AQ154" s="219"/>
      <c r="AR154" s="222"/>
      <c r="AS154" s="223"/>
      <c r="AT154" s="223"/>
      <c r="AU154" s="223"/>
      <c r="AV154" s="223"/>
      <c r="AW154" s="223"/>
      <c r="AX154" s="223"/>
      <c r="AY154" s="223"/>
      <c r="AZ154" s="223"/>
      <c r="BA154" s="223"/>
      <c r="BB154" s="223"/>
      <c r="BC154" s="223"/>
      <c r="BD154" s="223"/>
      <c r="BE154" s="223"/>
      <c r="BF154" s="223"/>
      <c r="BG154" s="223"/>
      <c r="BH154" s="223"/>
      <c r="BI154" s="223"/>
      <c r="BJ154" s="223"/>
      <c r="BK154" s="223"/>
      <c r="BL154" s="223"/>
      <c r="BM154" s="223"/>
      <c r="BN154" s="223"/>
      <c r="BO154" s="223"/>
      <c r="BP154" s="223"/>
      <c r="BQ154" s="223"/>
      <c r="BR154" s="223"/>
      <c r="BS154" s="223"/>
      <c r="BT154" s="223"/>
      <c r="BU154" s="223"/>
      <c r="BV154" s="223"/>
      <c r="BW154" s="223"/>
      <c r="BX154" s="223"/>
      <c r="BY154" s="223"/>
      <c r="BZ154" s="224"/>
      <c r="CA154" s="152"/>
      <c r="CB154" s="152"/>
      <c r="CC154" s="152"/>
      <c r="CD154" s="152"/>
    </row>
    <row r="155" ht="15.0" customHeight="1">
      <c r="A155" s="152"/>
      <c r="B155" s="152"/>
      <c r="C155" s="225">
        <f>AP131+1</f>
        <v>13</v>
      </c>
      <c r="D155" s="225" t="s">
        <v>109</v>
      </c>
      <c r="E155" s="226" t="s">
        <v>109</v>
      </c>
      <c r="I155" s="227" t="str">
        <f t="array" ref="I155">xlookup(xlookup(C155&amp;D155&amp;"Nationality",'Roster Info'!$A:$A&amp;'Roster Info'!$G:$G&amp;'Roster Info'!$D:$D,'Roster Info'!$E:$E,""),'Roster Info'!$K:$K,'Roster Info'!$L:$L,"")</f>
        <v/>
      </c>
      <c r="K155" s="228" t="str">
        <f t="array" ref="K155">xlookup(C155&amp;D155,'Roster Info'!$A:$A&amp;'Roster Info'!$G:$G,'Roster Info'!$F:$F,"")</f>
        <v/>
      </c>
      <c r="U155" s="229" t="str">
        <f t="array" ref="U155">xlookup(C155&amp;D155&amp;"Full Name",'Roster Info'!$A:$A&amp;'Roster Info'!$G:$G&amp;'Roster Info'!$D:$D,'Roster Info'!$E:$E,"")</f>
        <v/>
      </c>
      <c r="AE155" s="63" t="str">
        <f t="array" ref="AE155">if(xlookup(C155&amp;D155&amp;"Steam",'Roster Info'!$A:$A&amp;'Roster Info'!$G:$G&amp;'Roster Info'!$D:$D,'Roster Info'!$E:$E,"")="","-",hyperlink(xlookup(C155&amp;D155&amp;"Steam",'Roster Info'!$A:$A&amp;'Roster Info'!$G:$G&amp;'Roster Info'!$D:$D,'Roster Info'!$E:$E,""),"Steam"))</f>
        <v>-</v>
      </c>
      <c r="AH155" s="63" t="str">
        <f t="array" ref="AH155">if(xlookup(C155&amp;D155&amp;"HLTV",'Roster Info'!$A:$A&amp;'Roster Info'!$G:$G&amp;'Roster Info'!$D:$D,'Roster Info'!$E:$E,"")="","-",hyperlink(xlookup(C155&amp;D155&amp;"HLTV",'Roster Info'!$A:$A&amp;'Roster Info'!$G:$G&amp;'Roster Info'!$D:$D,'Roster Info'!$E:$E,""),"HLTV"))</f>
        <v>-</v>
      </c>
      <c r="AK155" s="63" t="str">
        <f t="array" ref="AK155">if(xlookup(C155&amp;D155&amp;"FaceIt",'Roster Info'!$A:$A&amp;'Roster Info'!$G:$G&amp;'Roster Info'!$D:$D,'Roster Info'!$E:$E,"")="","-",hyperlink(xlookup(C155&amp;D155&amp;"FaceIt",'Roster Info'!$A:$A&amp;'Roster Info'!$G:$G&amp;'Roster Info'!$D:$D,'Roster Info'!$E:$E,""),"FaceIt"))</f>
        <v>-</v>
      </c>
      <c r="AM155" s="61"/>
      <c r="AN155" s="152"/>
      <c r="AO155" s="152"/>
      <c r="AP155" s="225">
        <f>C155+1</f>
        <v>14</v>
      </c>
      <c r="AQ155" s="225" t="s">
        <v>109</v>
      </c>
      <c r="AR155" s="226" t="s">
        <v>109</v>
      </c>
      <c r="AV155" s="227" t="str">
        <f t="array" ref="AV155">xlookup(xlookup(AP155&amp;AQ155&amp;"Nationality",'Roster Info'!$A:$A&amp;'Roster Info'!$G:$G&amp;'Roster Info'!$D:$D,'Roster Info'!$E:$E,""),'Roster Info'!$K:$K,'Roster Info'!$L:$L,"")</f>
        <v/>
      </c>
      <c r="AX155" s="228" t="str">
        <f t="array" ref="AX155">xlookup(AP155&amp;AQ155,'Roster Info'!$A:$A&amp;'Roster Info'!$G:$G,'Roster Info'!$F:$F,"")</f>
        <v/>
      </c>
      <c r="BH155" s="229" t="str">
        <f t="array" ref="BH155">xlookup(AP155&amp;AQ155&amp;"Full Name",'Roster Info'!$A:$A&amp;'Roster Info'!$G:$G&amp;'Roster Info'!$D:$D,'Roster Info'!$E:$E,"")</f>
        <v/>
      </c>
      <c r="BR155" s="63" t="str">
        <f t="array" ref="BR155">if(xlookup(AP155&amp;AQ155&amp;"Steam",'Roster Info'!$A:$A&amp;'Roster Info'!$G:$G&amp;'Roster Info'!$D:$D,'Roster Info'!$E:$E,"")="","-",hyperlink(xlookup(AP155&amp;AQ155&amp;"Steam",'Roster Info'!$A:$A&amp;'Roster Info'!$G:$G&amp;'Roster Info'!$D:$D,'Roster Info'!$E:$E,""),"Steam"))</f>
        <v>-</v>
      </c>
      <c r="BU155" s="63" t="str">
        <f t="array" ref="BU155">if(xlookup(AP155&amp;AQ155&amp;"HLTV",'Roster Info'!$A:$A&amp;'Roster Info'!$G:$G&amp;'Roster Info'!$D:$D,'Roster Info'!$E:$E,"")="","-",hyperlink(xlookup(AP155&amp;AQ155&amp;"HLTV",'Roster Info'!$A:$A&amp;'Roster Info'!$G:$G&amp;'Roster Info'!$D:$D,'Roster Info'!$E:$E,""),"HLTV"))</f>
        <v>-</v>
      </c>
      <c r="BX155" s="63" t="str">
        <f t="array" ref="BX155">if(xlookup(AP155&amp;AQ155&amp;"FaceIt",'Roster Info'!$A:$A&amp;'Roster Info'!$G:$G&amp;'Roster Info'!$D:$D,'Roster Info'!$E:$E,"")="","-",hyperlink(xlookup(AP155&amp;AQ155&amp;"FaceIt",'Roster Info'!$A:$A&amp;'Roster Info'!$G:$G&amp;'Roster Info'!$D:$D,'Roster Info'!$E:$E,""),"FaceIt"))</f>
        <v>-</v>
      </c>
      <c r="BZ155" s="61"/>
      <c r="CA155" s="152"/>
      <c r="CB155" s="152"/>
      <c r="CC155" s="152"/>
      <c r="CD155" s="152"/>
    </row>
    <row r="156" ht="15.0" customHeight="1">
      <c r="A156" s="152"/>
      <c r="B156" s="152"/>
      <c r="C156" s="219"/>
      <c r="D156" s="219"/>
      <c r="E156" s="230"/>
      <c r="F156" s="231"/>
      <c r="G156" s="231"/>
      <c r="H156" s="231"/>
      <c r="I156" s="231"/>
      <c r="J156" s="231"/>
      <c r="K156" s="231"/>
      <c r="L156" s="231"/>
      <c r="M156" s="231"/>
      <c r="N156" s="231"/>
      <c r="O156" s="231"/>
      <c r="P156" s="231"/>
      <c r="Q156" s="231"/>
      <c r="R156" s="231"/>
      <c r="S156" s="231"/>
      <c r="T156" s="231"/>
      <c r="U156" s="231"/>
      <c r="V156" s="231"/>
      <c r="W156" s="231"/>
      <c r="X156" s="231"/>
      <c r="Y156" s="231"/>
      <c r="Z156" s="231"/>
      <c r="AA156" s="231"/>
      <c r="AB156" s="231"/>
      <c r="AC156" s="231"/>
      <c r="AD156" s="231"/>
      <c r="AE156" s="231"/>
      <c r="AF156" s="231"/>
      <c r="AG156" s="231"/>
      <c r="AH156" s="231"/>
      <c r="AI156" s="231"/>
      <c r="AJ156" s="231"/>
      <c r="AK156" s="231"/>
      <c r="AL156" s="231"/>
      <c r="AM156" s="232"/>
      <c r="AN156" s="152"/>
      <c r="AO156" s="152"/>
      <c r="AP156" s="219"/>
      <c r="AQ156" s="219"/>
      <c r="AR156" s="230"/>
      <c r="AS156" s="231"/>
      <c r="AT156" s="231"/>
      <c r="AU156" s="231"/>
      <c r="AV156" s="231"/>
      <c r="AW156" s="231"/>
      <c r="AX156" s="231"/>
      <c r="AY156" s="231"/>
      <c r="AZ156" s="231"/>
      <c r="BA156" s="231"/>
      <c r="BB156" s="231"/>
      <c r="BC156" s="231"/>
      <c r="BD156" s="231"/>
      <c r="BE156" s="231"/>
      <c r="BF156" s="231"/>
      <c r="BG156" s="231"/>
      <c r="BH156" s="231"/>
      <c r="BI156" s="231"/>
      <c r="BJ156" s="231"/>
      <c r="BK156" s="231"/>
      <c r="BL156" s="231"/>
      <c r="BM156" s="231"/>
      <c r="BN156" s="231"/>
      <c r="BO156" s="231"/>
      <c r="BP156" s="231"/>
      <c r="BQ156" s="231"/>
      <c r="BR156" s="231"/>
      <c r="BS156" s="231"/>
      <c r="BT156" s="231"/>
      <c r="BU156" s="231"/>
      <c r="BV156" s="231"/>
      <c r="BW156" s="231"/>
      <c r="BX156" s="231"/>
      <c r="BY156" s="231"/>
      <c r="BZ156" s="232"/>
      <c r="CA156" s="152"/>
      <c r="CB156" s="152"/>
      <c r="CC156" s="152"/>
      <c r="CD156" s="152"/>
    </row>
    <row r="157" ht="15.0" customHeight="1">
      <c r="A157" s="152"/>
      <c r="B157" s="152"/>
      <c r="C157" s="219">
        <f>C155</f>
        <v>13</v>
      </c>
      <c r="D157" s="225" t="s">
        <v>115</v>
      </c>
      <c r="E157" s="226" t="s">
        <v>115</v>
      </c>
      <c r="I157" s="227" t="str">
        <f t="array" ref="I157">xlookup(xlookup(C157&amp;D157&amp;"Nationality",'Roster Info'!$A:$A&amp;'Roster Info'!$G:$G&amp;'Roster Info'!$D:$D,'Roster Info'!$E:$E,""),'Roster Info'!$K:$K,'Roster Info'!$L:$L,"")</f>
        <v/>
      </c>
      <c r="K157" s="228" t="str">
        <f t="array" ref="K157">xlookup(C157&amp;D157,'Roster Info'!$A:$A&amp;'Roster Info'!$G:$G,'Roster Info'!$F:$F,"")</f>
        <v/>
      </c>
      <c r="U157" s="229" t="str">
        <f t="array" ref="U157">xlookup(C157&amp;D157&amp;"Full Name",'Roster Info'!$A:$A&amp;'Roster Info'!$G:$G&amp;'Roster Info'!$D:$D,'Roster Info'!$E:$E,"")</f>
        <v/>
      </c>
      <c r="AE157" s="63" t="str">
        <f t="array" ref="AE157">if(xlookup(C157&amp;D157&amp;"Steam",'Roster Info'!$A:$A&amp;'Roster Info'!$G:$G&amp;'Roster Info'!$D:$D,'Roster Info'!$E:$E,"")="","-",hyperlink(xlookup(C157&amp;D157&amp;"Steam",'Roster Info'!$A:$A&amp;'Roster Info'!$G:$G&amp;'Roster Info'!$D:$D,'Roster Info'!$E:$E,""),"Steam"))</f>
        <v>-</v>
      </c>
      <c r="AH157" s="63" t="str">
        <f t="array" ref="AH157">if(xlookup(C157&amp;D157&amp;"HLTV",'Roster Info'!$A:$A&amp;'Roster Info'!$G:$G&amp;'Roster Info'!$D:$D,'Roster Info'!$E:$E,"")="","-",hyperlink(xlookup(C157&amp;D157&amp;"HLTV",'Roster Info'!$A:$A&amp;'Roster Info'!$G:$G&amp;'Roster Info'!$D:$D,'Roster Info'!$E:$E,""),"HLTV"))</f>
        <v>-</v>
      </c>
      <c r="AK157" s="63" t="str">
        <f t="array" ref="AK157">if(xlookup(C157&amp;D157&amp;"FaceIt",'Roster Info'!$A:$A&amp;'Roster Info'!$G:$G&amp;'Roster Info'!$D:$D,'Roster Info'!$E:$E,"")="","-",hyperlink(xlookup(C157&amp;D157&amp;"FaceIt",'Roster Info'!$A:$A&amp;'Roster Info'!$G:$G&amp;'Roster Info'!$D:$D,'Roster Info'!$E:$E,""),"FaceIt"))</f>
        <v>-</v>
      </c>
      <c r="AM157" s="61"/>
      <c r="AN157" s="152"/>
      <c r="AO157" s="152"/>
      <c r="AP157" s="219">
        <f>AP155</f>
        <v>14</v>
      </c>
      <c r="AQ157" s="225" t="s">
        <v>115</v>
      </c>
      <c r="AR157" s="226" t="s">
        <v>115</v>
      </c>
      <c r="AV157" s="227" t="str">
        <f t="array" ref="AV157">xlookup(xlookup(AP157&amp;AQ157&amp;"Nationality",'Roster Info'!$A:$A&amp;'Roster Info'!$G:$G&amp;'Roster Info'!$D:$D,'Roster Info'!$E:$E,""),'Roster Info'!$K:$K,'Roster Info'!$L:$L,"")</f>
        <v/>
      </c>
      <c r="AX157" s="228" t="str">
        <f t="array" ref="AX157">xlookup(AP157&amp;AQ157,'Roster Info'!$A:$A&amp;'Roster Info'!$G:$G,'Roster Info'!$F:$F,"")</f>
        <v/>
      </c>
      <c r="BH157" s="229" t="str">
        <f t="array" ref="BH157">xlookup(AP157&amp;AQ157&amp;"Full Name",'Roster Info'!$A:$A&amp;'Roster Info'!$G:$G&amp;'Roster Info'!$D:$D,'Roster Info'!$E:$E,"")</f>
        <v/>
      </c>
      <c r="BR157" s="63" t="str">
        <f t="array" ref="BR157">if(xlookup(AP157&amp;AQ157&amp;"Steam",'Roster Info'!$A:$A&amp;'Roster Info'!$G:$G&amp;'Roster Info'!$D:$D,'Roster Info'!$E:$E,"")="","-",hyperlink(xlookup(AP157&amp;AQ157&amp;"Steam",'Roster Info'!$A:$A&amp;'Roster Info'!$G:$G&amp;'Roster Info'!$D:$D,'Roster Info'!$E:$E,""),"Steam"))</f>
        <v>-</v>
      </c>
      <c r="BU157" s="63" t="str">
        <f t="array" ref="BU157">if(xlookup(AP157&amp;AQ157&amp;"HLTV",'Roster Info'!$A:$A&amp;'Roster Info'!$G:$G&amp;'Roster Info'!$D:$D,'Roster Info'!$E:$E,"")="","-",hyperlink(xlookup(AP157&amp;AQ157&amp;"HLTV",'Roster Info'!$A:$A&amp;'Roster Info'!$G:$G&amp;'Roster Info'!$D:$D,'Roster Info'!$E:$E,""),"HLTV"))</f>
        <v>-</v>
      </c>
      <c r="BX157" s="63" t="str">
        <f t="array" ref="BX157">if(xlookup(AP157&amp;AQ157&amp;"FaceIt",'Roster Info'!$A:$A&amp;'Roster Info'!$G:$G&amp;'Roster Info'!$D:$D,'Roster Info'!$E:$E,"")="","-",hyperlink(xlookup(AP157&amp;AQ157&amp;"FaceIt",'Roster Info'!$A:$A&amp;'Roster Info'!$G:$G&amp;'Roster Info'!$D:$D,'Roster Info'!$E:$E,""),"FaceIt"))</f>
        <v>-</v>
      </c>
      <c r="BZ157" s="61"/>
      <c r="CA157" s="152"/>
      <c r="CB157" s="152"/>
      <c r="CC157" s="152"/>
      <c r="CD157" s="152"/>
    </row>
    <row r="158" ht="15.0" customHeight="1">
      <c r="A158" s="152"/>
      <c r="B158" s="152"/>
      <c r="C158" s="219"/>
      <c r="D158" s="219"/>
      <c r="E158" s="230"/>
      <c r="F158" s="231"/>
      <c r="G158" s="231"/>
      <c r="H158" s="231"/>
      <c r="I158" s="231"/>
      <c r="J158" s="231"/>
      <c r="K158" s="231"/>
      <c r="L158" s="231"/>
      <c r="M158" s="231"/>
      <c r="N158" s="231"/>
      <c r="O158" s="231"/>
      <c r="P158" s="231"/>
      <c r="Q158" s="231"/>
      <c r="R158" s="231"/>
      <c r="S158" s="231"/>
      <c r="T158" s="231"/>
      <c r="U158" s="231"/>
      <c r="V158" s="231"/>
      <c r="W158" s="231"/>
      <c r="X158" s="231"/>
      <c r="Y158" s="231"/>
      <c r="Z158" s="231"/>
      <c r="AA158" s="231"/>
      <c r="AB158" s="231"/>
      <c r="AC158" s="231"/>
      <c r="AD158" s="231"/>
      <c r="AE158" s="231"/>
      <c r="AF158" s="231"/>
      <c r="AG158" s="231"/>
      <c r="AH158" s="231"/>
      <c r="AI158" s="231"/>
      <c r="AJ158" s="231"/>
      <c r="AK158" s="231"/>
      <c r="AL158" s="231"/>
      <c r="AM158" s="232"/>
      <c r="AN158" s="152"/>
      <c r="AO158" s="152"/>
      <c r="AP158" s="219"/>
      <c r="AQ158" s="219"/>
      <c r="AR158" s="230"/>
      <c r="AS158" s="231"/>
      <c r="AT158" s="231"/>
      <c r="AU158" s="231"/>
      <c r="AV158" s="231"/>
      <c r="AW158" s="231"/>
      <c r="AX158" s="231"/>
      <c r="AY158" s="231"/>
      <c r="AZ158" s="231"/>
      <c r="BA158" s="231"/>
      <c r="BB158" s="231"/>
      <c r="BC158" s="231"/>
      <c r="BD158" s="231"/>
      <c r="BE158" s="231"/>
      <c r="BF158" s="231"/>
      <c r="BG158" s="231"/>
      <c r="BH158" s="231"/>
      <c r="BI158" s="231"/>
      <c r="BJ158" s="231"/>
      <c r="BK158" s="231"/>
      <c r="BL158" s="231"/>
      <c r="BM158" s="231"/>
      <c r="BN158" s="231"/>
      <c r="BO158" s="231"/>
      <c r="BP158" s="231"/>
      <c r="BQ158" s="231"/>
      <c r="BR158" s="231"/>
      <c r="BS158" s="231"/>
      <c r="BT158" s="231"/>
      <c r="BU158" s="231"/>
      <c r="BV158" s="231"/>
      <c r="BW158" s="231"/>
      <c r="BX158" s="231"/>
      <c r="BY158" s="231"/>
      <c r="BZ158" s="232"/>
      <c r="CA158" s="152"/>
      <c r="CB158" s="152"/>
      <c r="CC158" s="152"/>
      <c r="CD158" s="152"/>
    </row>
    <row r="159" ht="15.0" customHeight="1">
      <c r="A159" s="152"/>
      <c r="B159" s="152"/>
      <c r="C159" s="219">
        <f>C157</f>
        <v>13</v>
      </c>
      <c r="D159" s="225" t="s">
        <v>121</v>
      </c>
      <c r="E159" s="226" t="s">
        <v>121</v>
      </c>
      <c r="I159" s="227" t="str">
        <f t="array" ref="I159">xlookup(xlookup(C159&amp;D159&amp;"Nationality",'Roster Info'!$A:$A&amp;'Roster Info'!$G:$G&amp;'Roster Info'!$D:$D,'Roster Info'!$E:$E,""),'Roster Info'!$K:$K,'Roster Info'!$L:$L,"")</f>
        <v/>
      </c>
      <c r="K159" s="228" t="str">
        <f t="array" ref="K159">xlookup(C159&amp;D159,'Roster Info'!$A:$A&amp;'Roster Info'!$G:$G,'Roster Info'!$F:$F,"")</f>
        <v/>
      </c>
      <c r="U159" s="229" t="str">
        <f t="array" ref="U159">xlookup(C159&amp;D159&amp;"Full Name",'Roster Info'!$A:$A&amp;'Roster Info'!$G:$G&amp;'Roster Info'!$D:$D,'Roster Info'!$E:$E,"")</f>
        <v/>
      </c>
      <c r="AE159" s="63" t="str">
        <f t="array" ref="AE159">if(xlookup(C159&amp;D159&amp;"Steam",'Roster Info'!$A:$A&amp;'Roster Info'!$G:$G&amp;'Roster Info'!$D:$D,'Roster Info'!$E:$E,"")="","-",hyperlink(xlookup(C159&amp;D159&amp;"Steam",'Roster Info'!$A:$A&amp;'Roster Info'!$G:$G&amp;'Roster Info'!$D:$D,'Roster Info'!$E:$E,""),"Steam"))</f>
        <v>-</v>
      </c>
      <c r="AH159" s="63" t="str">
        <f t="array" ref="AH159">if(xlookup(C159&amp;D159&amp;"HLTV",'Roster Info'!$A:$A&amp;'Roster Info'!$G:$G&amp;'Roster Info'!$D:$D,'Roster Info'!$E:$E,"")="","-",hyperlink(xlookup(C159&amp;D159&amp;"HLTV",'Roster Info'!$A:$A&amp;'Roster Info'!$G:$G&amp;'Roster Info'!$D:$D,'Roster Info'!$E:$E,""),"HLTV"))</f>
        <v>-</v>
      </c>
      <c r="AK159" s="63" t="str">
        <f t="array" ref="AK159">if(xlookup(C159&amp;D159&amp;"FaceIt",'Roster Info'!$A:$A&amp;'Roster Info'!$G:$G&amp;'Roster Info'!$D:$D,'Roster Info'!$E:$E,"")="","-",hyperlink(xlookup(C159&amp;D159&amp;"FaceIt",'Roster Info'!$A:$A&amp;'Roster Info'!$G:$G&amp;'Roster Info'!$D:$D,'Roster Info'!$E:$E,""),"FaceIt"))</f>
        <v>-</v>
      </c>
      <c r="AM159" s="61"/>
      <c r="AN159" s="152"/>
      <c r="AO159" s="152"/>
      <c r="AP159" s="219">
        <f>AP157</f>
        <v>14</v>
      </c>
      <c r="AQ159" s="225" t="s">
        <v>121</v>
      </c>
      <c r="AR159" s="226" t="s">
        <v>121</v>
      </c>
      <c r="AV159" s="227" t="str">
        <f t="array" ref="AV159">xlookup(xlookup(AP159&amp;AQ159&amp;"Nationality",'Roster Info'!$A:$A&amp;'Roster Info'!$G:$G&amp;'Roster Info'!$D:$D,'Roster Info'!$E:$E,""),'Roster Info'!$K:$K,'Roster Info'!$L:$L,"")</f>
        <v/>
      </c>
      <c r="AX159" s="228" t="str">
        <f t="array" ref="AX159">xlookup(AP159&amp;AQ159,'Roster Info'!$A:$A&amp;'Roster Info'!$G:$G,'Roster Info'!$F:$F,"")</f>
        <v/>
      </c>
      <c r="BH159" s="229" t="str">
        <f t="array" ref="BH159">xlookup(AP159&amp;AQ159&amp;"Full Name",'Roster Info'!$A:$A&amp;'Roster Info'!$G:$G&amp;'Roster Info'!$D:$D,'Roster Info'!$E:$E,"")</f>
        <v/>
      </c>
      <c r="BR159" s="63" t="str">
        <f t="array" ref="BR159">if(xlookup(AP159&amp;AQ159&amp;"Steam",'Roster Info'!$A:$A&amp;'Roster Info'!$G:$G&amp;'Roster Info'!$D:$D,'Roster Info'!$E:$E,"")="","-",hyperlink(xlookup(AP159&amp;AQ159&amp;"Steam",'Roster Info'!$A:$A&amp;'Roster Info'!$G:$G&amp;'Roster Info'!$D:$D,'Roster Info'!$E:$E,""),"Steam"))</f>
        <v>-</v>
      </c>
      <c r="BU159" s="63" t="str">
        <f t="array" ref="BU159">if(xlookup(AP159&amp;AQ159&amp;"HLTV",'Roster Info'!$A:$A&amp;'Roster Info'!$G:$G&amp;'Roster Info'!$D:$D,'Roster Info'!$E:$E,"")="","-",hyperlink(xlookup(AP159&amp;AQ159&amp;"HLTV",'Roster Info'!$A:$A&amp;'Roster Info'!$G:$G&amp;'Roster Info'!$D:$D,'Roster Info'!$E:$E,""),"HLTV"))</f>
        <v>-</v>
      </c>
      <c r="BX159" s="63" t="str">
        <f t="array" ref="BX159">if(xlookup(AP159&amp;AQ159&amp;"FaceIt",'Roster Info'!$A:$A&amp;'Roster Info'!$G:$G&amp;'Roster Info'!$D:$D,'Roster Info'!$E:$E,"")="","-",hyperlink(xlookup(AP159&amp;AQ159&amp;"FaceIt",'Roster Info'!$A:$A&amp;'Roster Info'!$G:$G&amp;'Roster Info'!$D:$D,'Roster Info'!$E:$E,""),"FaceIt"))</f>
        <v>-</v>
      </c>
      <c r="BZ159" s="61"/>
      <c r="CA159" s="152"/>
      <c r="CB159" s="152"/>
      <c r="CC159" s="152"/>
      <c r="CD159" s="152"/>
    </row>
    <row r="160" ht="15.0" customHeight="1">
      <c r="A160" s="152"/>
      <c r="B160" s="152"/>
      <c r="C160" s="219"/>
      <c r="D160" s="219"/>
      <c r="E160" s="230"/>
      <c r="F160" s="231"/>
      <c r="G160" s="231"/>
      <c r="H160" s="231"/>
      <c r="I160" s="231"/>
      <c r="J160" s="231"/>
      <c r="K160" s="231"/>
      <c r="L160" s="231"/>
      <c r="M160" s="231"/>
      <c r="N160" s="231"/>
      <c r="O160" s="231"/>
      <c r="P160" s="231"/>
      <c r="Q160" s="231"/>
      <c r="R160" s="231"/>
      <c r="S160" s="231"/>
      <c r="T160" s="231"/>
      <c r="U160" s="231"/>
      <c r="V160" s="231"/>
      <c r="W160" s="231"/>
      <c r="X160" s="231"/>
      <c r="Y160" s="231"/>
      <c r="Z160" s="231"/>
      <c r="AA160" s="231"/>
      <c r="AB160" s="231"/>
      <c r="AC160" s="231"/>
      <c r="AD160" s="231"/>
      <c r="AE160" s="231"/>
      <c r="AF160" s="231"/>
      <c r="AG160" s="231"/>
      <c r="AH160" s="231"/>
      <c r="AI160" s="231"/>
      <c r="AJ160" s="231"/>
      <c r="AK160" s="231"/>
      <c r="AL160" s="231"/>
      <c r="AM160" s="232"/>
      <c r="AN160" s="152"/>
      <c r="AO160" s="152"/>
      <c r="AP160" s="219"/>
      <c r="AQ160" s="219"/>
      <c r="AR160" s="230"/>
      <c r="AS160" s="231"/>
      <c r="AT160" s="231"/>
      <c r="AU160" s="231"/>
      <c r="AV160" s="231"/>
      <c r="AW160" s="231"/>
      <c r="AX160" s="231"/>
      <c r="AY160" s="231"/>
      <c r="AZ160" s="231"/>
      <c r="BA160" s="231"/>
      <c r="BB160" s="231"/>
      <c r="BC160" s="231"/>
      <c r="BD160" s="231"/>
      <c r="BE160" s="231"/>
      <c r="BF160" s="231"/>
      <c r="BG160" s="231"/>
      <c r="BH160" s="231"/>
      <c r="BI160" s="231"/>
      <c r="BJ160" s="231"/>
      <c r="BK160" s="231"/>
      <c r="BL160" s="231"/>
      <c r="BM160" s="231"/>
      <c r="BN160" s="231"/>
      <c r="BO160" s="231"/>
      <c r="BP160" s="231"/>
      <c r="BQ160" s="231"/>
      <c r="BR160" s="231"/>
      <c r="BS160" s="231"/>
      <c r="BT160" s="231"/>
      <c r="BU160" s="231"/>
      <c r="BV160" s="231"/>
      <c r="BW160" s="231"/>
      <c r="BX160" s="231"/>
      <c r="BY160" s="231"/>
      <c r="BZ160" s="232"/>
      <c r="CA160" s="152"/>
      <c r="CB160" s="152"/>
      <c r="CC160" s="152"/>
      <c r="CD160" s="152"/>
    </row>
    <row r="161" ht="15.0" customHeight="1">
      <c r="A161" s="152"/>
      <c r="B161" s="152"/>
      <c r="C161" s="219">
        <f>C159</f>
        <v>13</v>
      </c>
      <c r="D161" s="225" t="s">
        <v>127</v>
      </c>
      <c r="E161" s="226" t="s">
        <v>127</v>
      </c>
      <c r="I161" s="227" t="str">
        <f t="array" ref="I161">xlookup(xlookup(C161&amp;D161&amp;"Nationality",'Roster Info'!$A:$A&amp;'Roster Info'!$G:$G&amp;'Roster Info'!$D:$D,'Roster Info'!$E:$E,""),'Roster Info'!$K:$K,'Roster Info'!$L:$L,"")</f>
        <v/>
      </c>
      <c r="K161" s="228" t="str">
        <f t="array" ref="K161">xlookup(C161&amp;D161,'Roster Info'!$A:$A&amp;'Roster Info'!$G:$G,'Roster Info'!$F:$F,"")</f>
        <v/>
      </c>
      <c r="U161" s="229" t="str">
        <f t="array" ref="U161">xlookup(C161&amp;D161&amp;"Full Name",'Roster Info'!$A:$A&amp;'Roster Info'!$G:$G&amp;'Roster Info'!$D:$D,'Roster Info'!$E:$E,"")</f>
        <v/>
      </c>
      <c r="AE161" s="63" t="str">
        <f t="array" ref="AE161">if(xlookup(C161&amp;D161&amp;"Steam",'Roster Info'!$A:$A&amp;'Roster Info'!$G:$G&amp;'Roster Info'!$D:$D,'Roster Info'!$E:$E,"")="","-",hyperlink(xlookup(C161&amp;D161&amp;"Steam",'Roster Info'!$A:$A&amp;'Roster Info'!$G:$G&amp;'Roster Info'!$D:$D,'Roster Info'!$E:$E,""),"Steam"))</f>
        <v>-</v>
      </c>
      <c r="AH161" s="63" t="str">
        <f t="array" ref="AH161">if(xlookup(C161&amp;D161&amp;"HLTV",'Roster Info'!$A:$A&amp;'Roster Info'!$G:$G&amp;'Roster Info'!$D:$D,'Roster Info'!$E:$E,"")="","-",hyperlink(xlookup(C161&amp;D161&amp;"HLTV",'Roster Info'!$A:$A&amp;'Roster Info'!$G:$G&amp;'Roster Info'!$D:$D,'Roster Info'!$E:$E,""),"HLTV"))</f>
        <v>-</v>
      </c>
      <c r="AK161" s="63" t="str">
        <f t="array" ref="AK161">if(xlookup(C161&amp;D161&amp;"FaceIt",'Roster Info'!$A:$A&amp;'Roster Info'!$G:$G&amp;'Roster Info'!$D:$D,'Roster Info'!$E:$E,"")="","-",hyperlink(xlookup(C161&amp;D161&amp;"FaceIt",'Roster Info'!$A:$A&amp;'Roster Info'!$G:$G&amp;'Roster Info'!$D:$D,'Roster Info'!$E:$E,""),"FaceIt"))</f>
        <v>-</v>
      </c>
      <c r="AM161" s="61"/>
      <c r="AN161" s="152"/>
      <c r="AO161" s="152"/>
      <c r="AP161" s="219">
        <f>AP159</f>
        <v>14</v>
      </c>
      <c r="AQ161" s="225" t="s">
        <v>127</v>
      </c>
      <c r="AR161" s="226" t="s">
        <v>127</v>
      </c>
      <c r="AV161" s="227" t="str">
        <f t="array" ref="AV161">xlookup(xlookup(AP161&amp;AQ161&amp;"Nationality",'Roster Info'!$A:$A&amp;'Roster Info'!$G:$G&amp;'Roster Info'!$D:$D,'Roster Info'!$E:$E,""),'Roster Info'!$K:$K,'Roster Info'!$L:$L,"")</f>
        <v/>
      </c>
      <c r="AX161" s="228" t="str">
        <f t="array" ref="AX161">xlookup(AP161&amp;AQ161,'Roster Info'!$A:$A&amp;'Roster Info'!$G:$G,'Roster Info'!$F:$F,"")</f>
        <v/>
      </c>
      <c r="BH161" s="229" t="str">
        <f t="array" ref="BH161">xlookup(AP161&amp;AQ161&amp;"Full Name",'Roster Info'!$A:$A&amp;'Roster Info'!$G:$G&amp;'Roster Info'!$D:$D,'Roster Info'!$E:$E,"")</f>
        <v/>
      </c>
      <c r="BR161" s="63" t="str">
        <f t="array" ref="BR161">if(xlookup(AP161&amp;AQ161&amp;"Steam",'Roster Info'!$A:$A&amp;'Roster Info'!$G:$G&amp;'Roster Info'!$D:$D,'Roster Info'!$E:$E,"")="","-",hyperlink(xlookup(AP161&amp;AQ161&amp;"Steam",'Roster Info'!$A:$A&amp;'Roster Info'!$G:$G&amp;'Roster Info'!$D:$D,'Roster Info'!$E:$E,""),"Steam"))</f>
        <v>-</v>
      </c>
      <c r="BU161" s="63" t="str">
        <f t="array" ref="BU161">if(xlookup(AP161&amp;AQ161&amp;"HLTV",'Roster Info'!$A:$A&amp;'Roster Info'!$G:$G&amp;'Roster Info'!$D:$D,'Roster Info'!$E:$E,"")="","-",hyperlink(xlookup(AP161&amp;AQ161&amp;"HLTV",'Roster Info'!$A:$A&amp;'Roster Info'!$G:$G&amp;'Roster Info'!$D:$D,'Roster Info'!$E:$E,""),"HLTV"))</f>
        <v>-</v>
      </c>
      <c r="BX161" s="63" t="str">
        <f t="array" ref="BX161">if(xlookup(AP161&amp;AQ161&amp;"FaceIt",'Roster Info'!$A:$A&amp;'Roster Info'!$G:$G&amp;'Roster Info'!$D:$D,'Roster Info'!$E:$E,"")="","-",hyperlink(xlookup(AP161&amp;AQ161&amp;"FaceIt",'Roster Info'!$A:$A&amp;'Roster Info'!$G:$G&amp;'Roster Info'!$D:$D,'Roster Info'!$E:$E,""),"FaceIt"))</f>
        <v>-</v>
      </c>
      <c r="BZ161" s="61"/>
      <c r="CA161" s="152"/>
      <c r="CB161" s="152"/>
      <c r="CC161" s="152"/>
      <c r="CD161" s="152"/>
    </row>
    <row r="162" ht="15.0" customHeight="1">
      <c r="A162" s="152"/>
      <c r="B162" s="152"/>
      <c r="C162" s="219"/>
      <c r="D162" s="219"/>
      <c r="E162" s="230"/>
      <c r="F162" s="231"/>
      <c r="G162" s="231"/>
      <c r="H162" s="231"/>
      <c r="I162" s="231"/>
      <c r="J162" s="231"/>
      <c r="K162" s="231"/>
      <c r="L162" s="231"/>
      <c r="M162" s="231"/>
      <c r="N162" s="231"/>
      <c r="O162" s="231"/>
      <c r="P162" s="231"/>
      <c r="Q162" s="231"/>
      <c r="R162" s="231"/>
      <c r="S162" s="231"/>
      <c r="T162" s="231"/>
      <c r="U162" s="231"/>
      <c r="V162" s="231"/>
      <c r="W162" s="231"/>
      <c r="X162" s="231"/>
      <c r="Y162" s="231"/>
      <c r="Z162" s="231"/>
      <c r="AA162" s="231"/>
      <c r="AB162" s="231"/>
      <c r="AC162" s="231"/>
      <c r="AD162" s="231"/>
      <c r="AE162" s="231"/>
      <c r="AF162" s="231"/>
      <c r="AG162" s="231"/>
      <c r="AH162" s="231"/>
      <c r="AI162" s="231"/>
      <c r="AJ162" s="231"/>
      <c r="AK162" s="231"/>
      <c r="AL162" s="231"/>
      <c r="AM162" s="232"/>
      <c r="AN162" s="152"/>
      <c r="AO162" s="152"/>
      <c r="AP162" s="219"/>
      <c r="AQ162" s="219"/>
      <c r="AR162" s="230"/>
      <c r="AS162" s="231"/>
      <c r="AT162" s="231"/>
      <c r="AU162" s="231"/>
      <c r="AV162" s="231"/>
      <c r="AW162" s="231"/>
      <c r="AX162" s="231"/>
      <c r="AY162" s="231"/>
      <c r="AZ162" s="231"/>
      <c r="BA162" s="231"/>
      <c r="BB162" s="231"/>
      <c r="BC162" s="231"/>
      <c r="BD162" s="231"/>
      <c r="BE162" s="231"/>
      <c r="BF162" s="231"/>
      <c r="BG162" s="231"/>
      <c r="BH162" s="231"/>
      <c r="BI162" s="231"/>
      <c r="BJ162" s="231"/>
      <c r="BK162" s="231"/>
      <c r="BL162" s="231"/>
      <c r="BM162" s="231"/>
      <c r="BN162" s="231"/>
      <c r="BO162" s="231"/>
      <c r="BP162" s="231"/>
      <c r="BQ162" s="231"/>
      <c r="BR162" s="231"/>
      <c r="BS162" s="231"/>
      <c r="BT162" s="231"/>
      <c r="BU162" s="231"/>
      <c r="BV162" s="231"/>
      <c r="BW162" s="231"/>
      <c r="BX162" s="231"/>
      <c r="BY162" s="231"/>
      <c r="BZ162" s="232"/>
      <c r="CA162" s="152"/>
      <c r="CB162" s="152"/>
      <c r="CC162" s="152"/>
      <c r="CD162" s="152"/>
    </row>
    <row r="163" ht="15.0" customHeight="1">
      <c r="A163" s="152"/>
      <c r="B163" s="152"/>
      <c r="C163" s="219">
        <f>C161</f>
        <v>13</v>
      </c>
      <c r="D163" s="225" t="s">
        <v>133</v>
      </c>
      <c r="E163" s="226" t="s">
        <v>133</v>
      </c>
      <c r="I163" s="227" t="str">
        <f t="array" ref="I163">xlookup(xlookup(C163&amp;D163&amp;"Nationality",'Roster Info'!$A:$A&amp;'Roster Info'!$G:$G&amp;'Roster Info'!$D:$D,'Roster Info'!$E:$E,""),'Roster Info'!$K:$K,'Roster Info'!$L:$L,"")</f>
        <v/>
      </c>
      <c r="K163" s="228" t="str">
        <f t="array" ref="K163">xlookup(C163&amp;D163,'Roster Info'!$A:$A&amp;'Roster Info'!$G:$G,'Roster Info'!$F:$F,"")</f>
        <v/>
      </c>
      <c r="U163" s="229" t="str">
        <f t="array" ref="U163">xlookup(C163&amp;D163&amp;"Full Name",'Roster Info'!$A:$A&amp;'Roster Info'!$G:$G&amp;'Roster Info'!$D:$D,'Roster Info'!$E:$E,"")</f>
        <v/>
      </c>
      <c r="AE163" s="63" t="str">
        <f t="array" ref="AE163">if(xlookup(C163&amp;D163&amp;"Steam",'Roster Info'!$A:$A&amp;'Roster Info'!$G:$G&amp;'Roster Info'!$D:$D,'Roster Info'!$E:$E,"")="","-",hyperlink(xlookup(C163&amp;D163&amp;"Steam",'Roster Info'!$A:$A&amp;'Roster Info'!$G:$G&amp;'Roster Info'!$D:$D,'Roster Info'!$E:$E,""),"Steam"))</f>
        <v>-</v>
      </c>
      <c r="AH163" s="63" t="str">
        <f t="array" ref="AH163">if(xlookup(C163&amp;D163&amp;"HLTV",'Roster Info'!$A:$A&amp;'Roster Info'!$G:$G&amp;'Roster Info'!$D:$D,'Roster Info'!$E:$E,"")="","-",hyperlink(xlookup(C163&amp;D163&amp;"HLTV",'Roster Info'!$A:$A&amp;'Roster Info'!$G:$G&amp;'Roster Info'!$D:$D,'Roster Info'!$E:$E,""),"HLTV"))</f>
        <v>-</v>
      </c>
      <c r="AK163" s="63" t="str">
        <f t="array" ref="AK163">if(xlookup(C163&amp;D163&amp;"FaceIt",'Roster Info'!$A:$A&amp;'Roster Info'!$G:$G&amp;'Roster Info'!$D:$D,'Roster Info'!$E:$E,"")="","-",hyperlink(xlookup(C163&amp;D163&amp;"FaceIt",'Roster Info'!$A:$A&amp;'Roster Info'!$G:$G&amp;'Roster Info'!$D:$D,'Roster Info'!$E:$E,""),"FaceIt"))</f>
        <v>-</v>
      </c>
      <c r="AM163" s="61"/>
      <c r="AN163" s="152"/>
      <c r="AO163" s="152"/>
      <c r="AP163" s="219">
        <f>AP161</f>
        <v>14</v>
      </c>
      <c r="AQ163" s="225" t="s">
        <v>133</v>
      </c>
      <c r="AR163" s="226" t="s">
        <v>133</v>
      </c>
      <c r="AV163" s="227" t="str">
        <f t="array" ref="AV163">xlookup(xlookup(AP163&amp;AQ163&amp;"Nationality",'Roster Info'!$A:$A&amp;'Roster Info'!$G:$G&amp;'Roster Info'!$D:$D,'Roster Info'!$E:$E,""),'Roster Info'!$K:$K,'Roster Info'!$L:$L,"")</f>
        <v/>
      </c>
      <c r="AX163" s="228" t="str">
        <f t="array" ref="AX163">xlookup(AP163&amp;AQ163,'Roster Info'!$A:$A&amp;'Roster Info'!$G:$G,'Roster Info'!$F:$F,"")</f>
        <v/>
      </c>
      <c r="BH163" s="229" t="str">
        <f t="array" ref="BH163">xlookup(AP163&amp;AQ163&amp;"Full Name",'Roster Info'!$A:$A&amp;'Roster Info'!$G:$G&amp;'Roster Info'!$D:$D,'Roster Info'!$E:$E,"")</f>
        <v/>
      </c>
      <c r="BR163" s="63" t="str">
        <f t="array" ref="BR163">if(xlookup(AP163&amp;AQ163&amp;"Steam",'Roster Info'!$A:$A&amp;'Roster Info'!$G:$G&amp;'Roster Info'!$D:$D,'Roster Info'!$E:$E,"")="","-",hyperlink(xlookup(AP163&amp;AQ163&amp;"Steam",'Roster Info'!$A:$A&amp;'Roster Info'!$G:$G&amp;'Roster Info'!$D:$D,'Roster Info'!$E:$E,""),"Steam"))</f>
        <v>-</v>
      </c>
      <c r="BU163" s="63" t="str">
        <f t="array" ref="BU163">if(xlookup(AP163&amp;AQ163&amp;"HLTV",'Roster Info'!$A:$A&amp;'Roster Info'!$G:$G&amp;'Roster Info'!$D:$D,'Roster Info'!$E:$E,"")="","-",hyperlink(xlookup(AP163&amp;AQ163&amp;"HLTV",'Roster Info'!$A:$A&amp;'Roster Info'!$G:$G&amp;'Roster Info'!$D:$D,'Roster Info'!$E:$E,""),"HLTV"))</f>
        <v>-</v>
      </c>
      <c r="BX163" s="63" t="str">
        <f t="array" ref="BX163">if(xlookup(AP163&amp;AQ163&amp;"FaceIt",'Roster Info'!$A:$A&amp;'Roster Info'!$G:$G&amp;'Roster Info'!$D:$D,'Roster Info'!$E:$E,"")="","-",hyperlink(xlookup(AP163&amp;AQ163&amp;"FaceIt",'Roster Info'!$A:$A&amp;'Roster Info'!$G:$G&amp;'Roster Info'!$D:$D,'Roster Info'!$E:$E,""),"FaceIt"))</f>
        <v>-</v>
      </c>
      <c r="BZ163" s="61"/>
      <c r="CA163" s="152"/>
      <c r="CB163" s="152"/>
      <c r="CC163" s="152"/>
      <c r="CD163" s="152"/>
    </row>
    <row r="164" ht="15.0" customHeight="1">
      <c r="A164" s="152"/>
      <c r="B164" s="152"/>
      <c r="C164" s="219"/>
      <c r="D164" s="219"/>
      <c r="E164" s="230"/>
      <c r="F164" s="231"/>
      <c r="G164" s="231"/>
      <c r="H164" s="231"/>
      <c r="I164" s="231"/>
      <c r="J164" s="231"/>
      <c r="K164" s="231"/>
      <c r="L164" s="231"/>
      <c r="M164" s="231"/>
      <c r="N164" s="231"/>
      <c r="O164" s="231"/>
      <c r="P164" s="231"/>
      <c r="Q164" s="231"/>
      <c r="R164" s="231"/>
      <c r="S164" s="231"/>
      <c r="T164" s="231"/>
      <c r="U164" s="231"/>
      <c r="V164" s="231"/>
      <c r="W164" s="231"/>
      <c r="X164" s="231"/>
      <c r="Y164" s="231"/>
      <c r="Z164" s="231"/>
      <c r="AA164" s="231"/>
      <c r="AB164" s="231"/>
      <c r="AC164" s="231"/>
      <c r="AD164" s="231"/>
      <c r="AE164" s="231"/>
      <c r="AF164" s="231"/>
      <c r="AG164" s="231"/>
      <c r="AH164" s="231"/>
      <c r="AI164" s="231"/>
      <c r="AJ164" s="231"/>
      <c r="AK164" s="231"/>
      <c r="AL164" s="231"/>
      <c r="AM164" s="232"/>
      <c r="AN164" s="152"/>
      <c r="AO164" s="152"/>
      <c r="AP164" s="219"/>
      <c r="AQ164" s="219"/>
      <c r="AR164" s="230"/>
      <c r="AS164" s="231"/>
      <c r="AT164" s="231"/>
      <c r="AU164" s="231"/>
      <c r="AV164" s="231"/>
      <c r="AW164" s="231"/>
      <c r="AX164" s="231"/>
      <c r="AY164" s="231"/>
      <c r="AZ164" s="231"/>
      <c r="BA164" s="231"/>
      <c r="BB164" s="231"/>
      <c r="BC164" s="231"/>
      <c r="BD164" s="231"/>
      <c r="BE164" s="231"/>
      <c r="BF164" s="231"/>
      <c r="BG164" s="231"/>
      <c r="BH164" s="231"/>
      <c r="BI164" s="231"/>
      <c r="BJ164" s="231"/>
      <c r="BK164" s="231"/>
      <c r="BL164" s="231"/>
      <c r="BM164" s="231"/>
      <c r="BN164" s="231"/>
      <c r="BO164" s="231"/>
      <c r="BP164" s="231"/>
      <c r="BQ164" s="231"/>
      <c r="BR164" s="231"/>
      <c r="BS164" s="231"/>
      <c r="BT164" s="231"/>
      <c r="BU164" s="231"/>
      <c r="BV164" s="231"/>
      <c r="BW164" s="231"/>
      <c r="BX164" s="231"/>
      <c r="BY164" s="231"/>
      <c r="BZ164" s="232"/>
      <c r="CA164" s="152"/>
      <c r="CB164" s="152"/>
      <c r="CC164" s="152"/>
      <c r="CD164" s="152"/>
    </row>
    <row r="165" ht="15.0" customHeight="1">
      <c r="A165" s="152"/>
      <c r="B165" s="152"/>
      <c r="C165" s="219">
        <f>C163</f>
        <v>13</v>
      </c>
      <c r="D165" s="233" t="s">
        <v>139</v>
      </c>
      <c r="E165" s="234" t="s">
        <v>319</v>
      </c>
      <c r="I165" s="227" t="str">
        <f t="array" ref="I165">xlookup(xlookup(C165&amp;D165&amp;"Nationality",'Roster Info'!$A:$A&amp;'Roster Info'!$G:$G&amp;'Roster Info'!$D:$D,'Roster Info'!$E:$E,""),'Roster Info'!$K:$K,'Roster Info'!$L:$L,"")</f>
        <v/>
      </c>
      <c r="K165" s="228" t="str">
        <f t="array" ref="K165">xlookup(C165&amp;D165,'Roster Info'!$A:$A&amp;'Roster Info'!$G:$G,'Roster Info'!$F:$F,"")</f>
        <v/>
      </c>
      <c r="U165" s="229" t="str">
        <f t="array" ref="U165">xlookup(C165&amp;D165&amp;"Full Name",'Roster Info'!$A:$A&amp;'Roster Info'!$G:$G&amp;'Roster Info'!$D:$D,'Roster Info'!$E:$E,"")</f>
        <v/>
      </c>
      <c r="AE165" s="63" t="str">
        <f t="array" ref="AE165">if(xlookup(C165&amp;D165&amp;"Steam",'Roster Info'!$A:$A&amp;'Roster Info'!$G:$G&amp;'Roster Info'!$D:$D,'Roster Info'!$E:$E,"")="","-",hyperlink(xlookup(C165&amp;D165&amp;"Steam",'Roster Info'!$A:$A&amp;'Roster Info'!$G:$G&amp;'Roster Info'!$D:$D,'Roster Info'!$E:$E,""),"Steam"))</f>
        <v>-</v>
      </c>
      <c r="AH165" s="63" t="str">
        <f t="array" ref="AH165">if(xlookup(C165&amp;D165&amp;"HLTV",'Roster Info'!$A:$A&amp;'Roster Info'!$G:$G&amp;'Roster Info'!$D:$D,'Roster Info'!$E:$E,"")="","-",hyperlink(xlookup(C165&amp;D165&amp;"HLTV",'Roster Info'!$A:$A&amp;'Roster Info'!$G:$G&amp;'Roster Info'!$D:$D,'Roster Info'!$E:$E,""),"HLTV"))</f>
        <v>-</v>
      </c>
      <c r="AK165" s="63" t="str">
        <f t="array" ref="AK165">if(xlookup(C165&amp;D165&amp;"FaceIt",'Roster Info'!$A:$A&amp;'Roster Info'!$G:$G&amp;'Roster Info'!$D:$D,'Roster Info'!$E:$E,"")="","-",hyperlink(xlookup(C165&amp;D165&amp;"FaceIt",'Roster Info'!$A:$A&amp;'Roster Info'!$G:$G&amp;'Roster Info'!$D:$D,'Roster Info'!$E:$E,""),"FaceIt"))</f>
        <v>-</v>
      </c>
      <c r="AM165" s="61"/>
      <c r="AN165" s="152"/>
      <c r="AO165" s="152"/>
      <c r="AP165" s="219">
        <f>AP163</f>
        <v>14</v>
      </c>
      <c r="AQ165" s="233" t="s">
        <v>139</v>
      </c>
      <c r="AR165" s="234" t="s">
        <v>319</v>
      </c>
      <c r="AV165" s="227" t="str">
        <f t="array" ref="AV165">xlookup(xlookup(AP165&amp;AQ165&amp;"Nationality",'Roster Info'!$A:$A&amp;'Roster Info'!$G:$G&amp;'Roster Info'!$D:$D,'Roster Info'!$E:$E,""),'Roster Info'!$K:$K,'Roster Info'!$L:$L,"")</f>
        <v/>
      </c>
      <c r="AX165" s="228" t="str">
        <f t="array" ref="AX165">xlookup(AP165&amp;AQ165,'Roster Info'!$A:$A&amp;'Roster Info'!$G:$G,'Roster Info'!$F:$F,"")</f>
        <v/>
      </c>
      <c r="BH165" s="229" t="str">
        <f t="array" ref="BH165">xlookup(AP165&amp;AQ165&amp;"Full Name",'Roster Info'!$A:$A&amp;'Roster Info'!$G:$G&amp;'Roster Info'!$D:$D,'Roster Info'!$E:$E,"")</f>
        <v/>
      </c>
      <c r="BR165" s="63" t="str">
        <f t="array" ref="BR165">if(xlookup(AP165&amp;AQ165&amp;"Steam",'Roster Info'!$A:$A&amp;'Roster Info'!$G:$G&amp;'Roster Info'!$D:$D,'Roster Info'!$E:$E,"")="","-",hyperlink(xlookup(AP165&amp;AQ165&amp;"Steam",'Roster Info'!$A:$A&amp;'Roster Info'!$G:$G&amp;'Roster Info'!$D:$D,'Roster Info'!$E:$E,""),"Steam"))</f>
        <v>-</v>
      </c>
      <c r="BU165" s="63" t="str">
        <f t="array" ref="BU165">if(xlookup(AP165&amp;AQ165&amp;"HLTV",'Roster Info'!$A:$A&amp;'Roster Info'!$G:$G&amp;'Roster Info'!$D:$D,'Roster Info'!$E:$E,"")="","-",hyperlink(xlookup(AP165&amp;AQ165&amp;"HLTV",'Roster Info'!$A:$A&amp;'Roster Info'!$G:$G&amp;'Roster Info'!$D:$D,'Roster Info'!$E:$E,""),"HLTV"))</f>
        <v>-</v>
      </c>
      <c r="BX165" s="63" t="str">
        <f t="array" ref="BX165">if(xlookup(AP165&amp;AQ165&amp;"FaceIt",'Roster Info'!$A:$A&amp;'Roster Info'!$G:$G&amp;'Roster Info'!$D:$D,'Roster Info'!$E:$E,"")="","-",hyperlink(xlookup(AP165&amp;AQ165&amp;"FaceIt",'Roster Info'!$A:$A&amp;'Roster Info'!$G:$G&amp;'Roster Info'!$D:$D,'Roster Info'!$E:$E,""),"FaceIt"))</f>
        <v>-</v>
      </c>
      <c r="BZ165" s="61"/>
      <c r="CA165" s="152"/>
      <c r="CB165" s="152"/>
      <c r="CC165" s="152"/>
      <c r="CD165" s="152"/>
    </row>
    <row r="166" ht="15.0" customHeight="1">
      <c r="A166" s="152"/>
      <c r="B166" s="152"/>
      <c r="C166" s="219"/>
      <c r="D166" s="219"/>
      <c r="E166" s="230"/>
      <c r="F166" s="231"/>
      <c r="G166" s="231"/>
      <c r="H166" s="231"/>
      <c r="I166" s="231"/>
      <c r="J166" s="231"/>
      <c r="K166" s="231"/>
      <c r="L166" s="231"/>
      <c r="M166" s="231"/>
      <c r="N166" s="231"/>
      <c r="O166" s="231"/>
      <c r="P166" s="231"/>
      <c r="Q166" s="231"/>
      <c r="R166" s="231"/>
      <c r="S166" s="231"/>
      <c r="T166" s="231"/>
      <c r="U166" s="231"/>
      <c r="V166" s="231"/>
      <c r="W166" s="231"/>
      <c r="X166" s="231"/>
      <c r="Y166" s="231"/>
      <c r="Z166" s="231"/>
      <c r="AA166" s="231"/>
      <c r="AB166" s="231"/>
      <c r="AC166" s="231"/>
      <c r="AD166" s="231"/>
      <c r="AE166" s="231"/>
      <c r="AF166" s="231"/>
      <c r="AG166" s="231"/>
      <c r="AH166" s="231"/>
      <c r="AI166" s="231"/>
      <c r="AJ166" s="231"/>
      <c r="AK166" s="231"/>
      <c r="AL166" s="231"/>
      <c r="AM166" s="232"/>
      <c r="AN166" s="152"/>
      <c r="AO166" s="152"/>
      <c r="AP166" s="219"/>
      <c r="AQ166" s="219"/>
      <c r="AR166" s="230"/>
      <c r="AS166" s="231"/>
      <c r="AT166" s="231"/>
      <c r="AU166" s="231"/>
      <c r="AV166" s="231"/>
      <c r="AW166" s="231"/>
      <c r="AX166" s="231"/>
      <c r="AY166" s="231"/>
      <c r="AZ166" s="231"/>
      <c r="BA166" s="231"/>
      <c r="BB166" s="231"/>
      <c r="BC166" s="231"/>
      <c r="BD166" s="231"/>
      <c r="BE166" s="231"/>
      <c r="BF166" s="231"/>
      <c r="BG166" s="231"/>
      <c r="BH166" s="231"/>
      <c r="BI166" s="231"/>
      <c r="BJ166" s="231"/>
      <c r="BK166" s="231"/>
      <c r="BL166" s="231"/>
      <c r="BM166" s="231"/>
      <c r="BN166" s="231"/>
      <c r="BO166" s="231"/>
      <c r="BP166" s="231"/>
      <c r="BQ166" s="231"/>
      <c r="BR166" s="231"/>
      <c r="BS166" s="231"/>
      <c r="BT166" s="231"/>
      <c r="BU166" s="231"/>
      <c r="BV166" s="231"/>
      <c r="BW166" s="231"/>
      <c r="BX166" s="231"/>
      <c r="BY166" s="231"/>
      <c r="BZ166" s="232"/>
      <c r="CA166" s="152"/>
      <c r="CB166" s="152"/>
      <c r="CC166" s="152"/>
      <c r="CD166" s="152"/>
    </row>
    <row r="167" ht="15.0" customHeight="1">
      <c r="A167" s="152"/>
      <c r="B167" s="152"/>
      <c r="C167" s="219">
        <f>C165</f>
        <v>13</v>
      </c>
      <c r="D167" s="225" t="s">
        <v>145</v>
      </c>
      <c r="E167" s="226" t="s">
        <v>145</v>
      </c>
      <c r="I167" s="227" t="str">
        <f t="array" ref="I167">xlookup(xlookup(C167&amp;D167&amp;"Nationality",'Roster Info'!$A:$A&amp;'Roster Info'!$G:$G&amp;'Roster Info'!$D:$D,'Roster Info'!$E:$E,""),'Roster Info'!$K:$K,'Roster Info'!$L:$L,"")</f>
        <v/>
      </c>
      <c r="K167" s="228" t="str">
        <f t="array" ref="K167">xlookup(C167&amp;D167,'Roster Info'!$A:$A&amp;'Roster Info'!$G:$G,'Roster Info'!$F:$F,"")</f>
        <v/>
      </c>
      <c r="U167" s="229" t="str">
        <f t="array" ref="U167">xlookup(C167&amp;D167&amp;"Full Name",'Roster Info'!$A:$A&amp;'Roster Info'!$G:$G&amp;'Roster Info'!$D:$D,'Roster Info'!$E:$E,"")</f>
        <v/>
      </c>
      <c r="AE167" s="63" t="str">
        <f t="array" ref="AE167">if(xlookup(C167&amp;D167&amp;"Steam",'Roster Info'!$A:$A&amp;'Roster Info'!$G:$G&amp;'Roster Info'!$D:$D,'Roster Info'!$E:$E,"")="","-",hyperlink(xlookup(C167&amp;D167&amp;"Steam",'Roster Info'!$A:$A&amp;'Roster Info'!$G:$G&amp;'Roster Info'!$D:$D,'Roster Info'!$E:$E,""),"Steam"))</f>
        <v>-</v>
      </c>
      <c r="AH167" s="63" t="str">
        <f t="array" ref="AH167">if(xlookup(C167&amp;D167&amp;"HLTV",'Roster Info'!$A:$A&amp;'Roster Info'!$G:$G&amp;'Roster Info'!$D:$D,'Roster Info'!$E:$E,"")="","-",hyperlink(xlookup(C167&amp;D167&amp;"HLTV",'Roster Info'!$A:$A&amp;'Roster Info'!$G:$G&amp;'Roster Info'!$D:$D,'Roster Info'!$E:$E,""),"HLTV"))</f>
        <v>-</v>
      </c>
      <c r="AK167" s="63" t="str">
        <f t="array" ref="AK167">if(xlookup(C167&amp;D167&amp;"FaceIt",'Roster Info'!$A:$A&amp;'Roster Info'!$G:$G&amp;'Roster Info'!$D:$D,'Roster Info'!$E:$E,"")="","-",hyperlink(xlookup(C167&amp;D167&amp;"FaceIt",'Roster Info'!$A:$A&amp;'Roster Info'!$G:$G&amp;'Roster Info'!$D:$D,'Roster Info'!$E:$E,""),"FaceIt"))</f>
        <v>-</v>
      </c>
      <c r="AM167" s="61"/>
      <c r="AN167" s="152"/>
      <c r="AO167" s="152"/>
      <c r="AP167" s="219">
        <f>AP165</f>
        <v>14</v>
      </c>
      <c r="AQ167" s="225" t="s">
        <v>145</v>
      </c>
      <c r="AR167" s="226" t="s">
        <v>145</v>
      </c>
      <c r="AV167" s="227" t="str">
        <f t="array" ref="AV167">xlookup(xlookup(AP167&amp;AQ167&amp;"Nationality",'Roster Info'!$A:$A&amp;'Roster Info'!$G:$G&amp;'Roster Info'!$D:$D,'Roster Info'!$E:$E,""),'Roster Info'!$K:$K,'Roster Info'!$L:$L,"")</f>
        <v/>
      </c>
      <c r="AX167" s="228" t="str">
        <f t="array" ref="AX167">xlookup(AP167&amp;AQ167,'Roster Info'!$A:$A&amp;'Roster Info'!$G:$G,'Roster Info'!$F:$F,"")</f>
        <v/>
      </c>
      <c r="BH167" s="229" t="str">
        <f t="array" ref="BH167">xlookup(AP167&amp;AQ167&amp;"Full Name",'Roster Info'!$A:$A&amp;'Roster Info'!$G:$G&amp;'Roster Info'!$D:$D,'Roster Info'!$E:$E,"")</f>
        <v/>
      </c>
      <c r="BR167" s="63" t="str">
        <f t="array" ref="BR167">if(xlookup(AP167&amp;AQ167&amp;"Steam",'Roster Info'!$A:$A&amp;'Roster Info'!$G:$G&amp;'Roster Info'!$D:$D,'Roster Info'!$E:$E,"")="","-",hyperlink(xlookup(AP167&amp;AQ167&amp;"Steam",'Roster Info'!$A:$A&amp;'Roster Info'!$G:$G&amp;'Roster Info'!$D:$D,'Roster Info'!$E:$E,""),"Steam"))</f>
        <v>-</v>
      </c>
      <c r="BU167" s="63" t="str">
        <f t="array" ref="BU167">if(xlookup(AP167&amp;AQ167&amp;"HLTV",'Roster Info'!$A:$A&amp;'Roster Info'!$G:$G&amp;'Roster Info'!$D:$D,'Roster Info'!$E:$E,"")="","-",hyperlink(xlookup(AP167&amp;AQ167&amp;"HLTV",'Roster Info'!$A:$A&amp;'Roster Info'!$G:$G&amp;'Roster Info'!$D:$D,'Roster Info'!$E:$E,""),"HLTV"))</f>
        <v>-</v>
      </c>
      <c r="BX167" s="63" t="str">
        <f t="array" ref="BX167">if(xlookup(AP167&amp;AQ167&amp;"FaceIt",'Roster Info'!$A:$A&amp;'Roster Info'!$G:$G&amp;'Roster Info'!$D:$D,'Roster Info'!$E:$E,"")="","-",hyperlink(xlookup(AP167&amp;AQ167&amp;"FaceIt",'Roster Info'!$A:$A&amp;'Roster Info'!$G:$G&amp;'Roster Info'!$D:$D,'Roster Info'!$E:$E,""),"FaceIt"))</f>
        <v>-</v>
      </c>
      <c r="BZ167" s="61"/>
      <c r="CA167" s="152"/>
      <c r="CB167" s="152"/>
      <c r="CC167" s="152"/>
      <c r="CD167" s="152"/>
    </row>
    <row r="168" ht="15.0" customHeight="1">
      <c r="A168" s="152"/>
      <c r="B168" s="152"/>
      <c r="C168" s="219"/>
      <c r="D168" s="219"/>
      <c r="E168" s="101"/>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64"/>
      <c r="AN168" s="152"/>
      <c r="AO168" s="152"/>
      <c r="AP168" s="219"/>
      <c r="AQ168" s="219"/>
      <c r="AR168" s="101"/>
      <c r="AS168" s="102"/>
      <c r="AT168" s="102"/>
      <c r="AU168" s="102"/>
      <c r="AV168" s="102"/>
      <c r="AW168" s="102"/>
      <c r="AX168" s="102"/>
      <c r="AY168" s="102"/>
      <c r="AZ168" s="102"/>
      <c r="BA168" s="102"/>
      <c r="BB168" s="102"/>
      <c r="BC168" s="102"/>
      <c r="BD168" s="102"/>
      <c r="BE168" s="102"/>
      <c r="BF168" s="102"/>
      <c r="BG168" s="102"/>
      <c r="BH168" s="102"/>
      <c r="BI168" s="102"/>
      <c r="BJ168" s="102"/>
      <c r="BK168" s="102"/>
      <c r="BL168" s="102"/>
      <c r="BM168" s="102"/>
      <c r="BN168" s="102"/>
      <c r="BO168" s="102"/>
      <c r="BP168" s="102"/>
      <c r="BQ168" s="102"/>
      <c r="BR168" s="102"/>
      <c r="BS168" s="102"/>
      <c r="BT168" s="102"/>
      <c r="BU168" s="102"/>
      <c r="BV168" s="102"/>
      <c r="BW168" s="102"/>
      <c r="BX168" s="102"/>
      <c r="BY168" s="102"/>
      <c r="BZ168" s="164"/>
      <c r="CA168" s="152"/>
      <c r="CB168" s="152"/>
      <c r="CC168" s="152"/>
      <c r="CD168" s="152"/>
    </row>
    <row r="169" ht="15.0" customHeight="1">
      <c r="A169" s="152"/>
      <c r="B169" s="152"/>
      <c r="C169" s="219"/>
      <c r="D169" s="219"/>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c r="AA169" s="152"/>
      <c r="AB169" s="152"/>
      <c r="AC169" s="152"/>
      <c r="AD169" s="152"/>
      <c r="AE169" s="152"/>
      <c r="AF169" s="152"/>
      <c r="AG169" s="152"/>
      <c r="AH169" s="152"/>
      <c r="AI169" s="152"/>
      <c r="AJ169" s="152"/>
      <c r="AK169" s="152"/>
      <c r="AL169" s="152"/>
      <c r="AM169" s="152"/>
      <c r="AN169" s="152"/>
      <c r="AO169" s="152"/>
      <c r="AP169" s="219"/>
      <c r="AQ169" s="219"/>
      <c r="AR169" s="152"/>
      <c r="AS169" s="152"/>
      <c r="AT169" s="152"/>
      <c r="AU169" s="152"/>
      <c r="AV169" s="152"/>
      <c r="AW169" s="152"/>
      <c r="AX169" s="152"/>
      <c r="AY169" s="152"/>
      <c r="AZ169" s="152"/>
      <c r="BA169" s="152"/>
      <c r="BB169" s="152"/>
      <c r="BC169" s="152"/>
      <c r="BD169" s="152"/>
      <c r="BE169" s="152"/>
      <c r="BF169" s="152"/>
      <c r="BG169" s="152"/>
      <c r="BH169" s="152"/>
      <c r="BI169" s="152"/>
      <c r="BJ169" s="152"/>
      <c r="BK169" s="152"/>
      <c r="BL169" s="152"/>
      <c r="BM169" s="152"/>
      <c r="BN169" s="152"/>
      <c r="BO169" s="152"/>
      <c r="BP169" s="152"/>
      <c r="BQ169" s="152"/>
      <c r="BR169" s="152"/>
      <c r="BS169" s="152"/>
      <c r="BT169" s="152"/>
      <c r="BU169" s="152"/>
      <c r="BV169" s="152"/>
      <c r="BW169" s="152"/>
      <c r="BX169" s="152"/>
      <c r="BY169" s="152"/>
      <c r="BZ169" s="152"/>
      <c r="CA169" s="152"/>
      <c r="CB169" s="152"/>
      <c r="CC169" s="152"/>
      <c r="CD169" s="152"/>
    </row>
    <row r="170" ht="15.0" customHeight="1">
      <c r="A170" s="152"/>
      <c r="B170" s="152"/>
      <c r="C170" s="219"/>
      <c r="D170" s="219"/>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c r="AA170" s="152"/>
      <c r="AB170" s="152"/>
      <c r="AC170" s="152"/>
      <c r="AD170" s="152"/>
      <c r="AE170" s="152"/>
      <c r="AF170" s="152"/>
      <c r="AG170" s="152"/>
      <c r="AH170" s="152"/>
      <c r="AI170" s="152"/>
      <c r="AJ170" s="152"/>
      <c r="AK170" s="152"/>
      <c r="AL170" s="152"/>
      <c r="AM170" s="152"/>
      <c r="AN170" s="152"/>
      <c r="AO170" s="152"/>
      <c r="AP170" s="219"/>
      <c r="AQ170" s="219"/>
      <c r="AR170" s="152"/>
      <c r="AS170" s="152"/>
      <c r="AT170" s="152"/>
      <c r="AU170" s="152"/>
      <c r="AV170" s="152"/>
      <c r="AW170" s="152"/>
      <c r="AX170" s="152"/>
      <c r="AY170" s="152"/>
      <c r="AZ170" s="152"/>
      <c r="BA170" s="152"/>
      <c r="BB170" s="152"/>
      <c r="BC170" s="152"/>
      <c r="BD170" s="152"/>
      <c r="BE170" s="152"/>
      <c r="BF170" s="152"/>
      <c r="BG170" s="152"/>
      <c r="BH170" s="152"/>
      <c r="BI170" s="152"/>
      <c r="BJ170" s="152"/>
      <c r="BK170" s="152"/>
      <c r="BL170" s="152"/>
      <c r="BM170" s="152"/>
      <c r="BN170" s="152"/>
      <c r="BO170" s="152"/>
      <c r="BP170" s="152"/>
      <c r="BQ170" s="152"/>
      <c r="BR170" s="152"/>
      <c r="BS170" s="152"/>
      <c r="BT170" s="152"/>
      <c r="BU170" s="152"/>
      <c r="BV170" s="152"/>
      <c r="BW170" s="152"/>
      <c r="BX170" s="152"/>
      <c r="BY170" s="152"/>
      <c r="BZ170" s="152"/>
      <c r="CA170" s="152"/>
      <c r="CB170" s="152"/>
      <c r="CC170" s="152"/>
      <c r="CD170" s="152"/>
    </row>
    <row r="171" ht="15.0" customHeight="1">
      <c r="A171" s="152"/>
      <c r="B171" s="152"/>
      <c r="C171" s="219"/>
      <c r="D171" s="219"/>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c r="AA171" s="152"/>
      <c r="AB171" s="152"/>
      <c r="AC171" s="152"/>
      <c r="AD171" s="152"/>
      <c r="AE171" s="152"/>
      <c r="AF171" s="152"/>
      <c r="AG171" s="152"/>
      <c r="AH171" s="152"/>
      <c r="AI171" s="152"/>
      <c r="AJ171" s="152"/>
      <c r="AK171" s="152"/>
      <c r="AL171" s="152"/>
      <c r="AM171" s="152"/>
      <c r="AN171" s="152"/>
      <c r="AO171" s="152"/>
      <c r="AP171" s="219"/>
      <c r="AQ171" s="219"/>
      <c r="AR171" s="152"/>
      <c r="AS171" s="152"/>
      <c r="AT171" s="152"/>
      <c r="AU171" s="152"/>
      <c r="AV171" s="152"/>
      <c r="AW171" s="152"/>
      <c r="AX171" s="152"/>
      <c r="AY171" s="152"/>
      <c r="AZ171" s="152"/>
      <c r="BA171" s="152"/>
      <c r="BB171" s="152"/>
      <c r="BC171" s="152"/>
      <c r="BD171" s="152"/>
      <c r="BE171" s="152"/>
      <c r="BF171" s="152"/>
      <c r="BG171" s="152"/>
      <c r="BH171" s="152"/>
      <c r="BI171" s="152"/>
      <c r="BJ171" s="152"/>
      <c r="BK171" s="152"/>
      <c r="BL171" s="152"/>
      <c r="BM171" s="152"/>
      <c r="BN171" s="152"/>
      <c r="BO171" s="152"/>
      <c r="BP171" s="152"/>
      <c r="BQ171" s="152"/>
      <c r="BR171" s="152"/>
      <c r="BS171" s="152"/>
      <c r="BT171" s="152"/>
      <c r="BU171" s="152"/>
      <c r="BV171" s="152"/>
      <c r="BW171" s="152"/>
      <c r="BX171" s="152"/>
      <c r="BY171" s="152"/>
      <c r="BZ171" s="152"/>
      <c r="CA171" s="152"/>
      <c r="CB171" s="152"/>
      <c r="CC171" s="152"/>
      <c r="CD171" s="152"/>
    </row>
    <row r="172" ht="15.0" customHeight="1">
      <c r="A172" s="152"/>
      <c r="B172" s="152"/>
      <c r="C172" s="219"/>
      <c r="D172" s="219"/>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c r="AA172" s="152"/>
      <c r="AB172" s="152"/>
      <c r="AC172" s="152"/>
      <c r="AD172" s="152"/>
      <c r="AE172" s="152"/>
      <c r="AF172" s="152"/>
      <c r="AG172" s="152"/>
      <c r="AH172" s="152"/>
      <c r="AI172" s="152"/>
      <c r="AJ172" s="152"/>
      <c r="AK172" s="152"/>
      <c r="AL172" s="152"/>
      <c r="AM172" s="152"/>
      <c r="AN172" s="152"/>
      <c r="AO172" s="152"/>
      <c r="AP172" s="219"/>
      <c r="AQ172" s="219"/>
      <c r="AR172" s="152"/>
      <c r="AS172" s="152"/>
      <c r="AT172" s="152"/>
      <c r="AU172" s="152"/>
      <c r="AV172" s="152"/>
      <c r="AW172" s="152"/>
      <c r="AX172" s="152"/>
      <c r="AY172" s="152"/>
      <c r="AZ172" s="152"/>
      <c r="BA172" s="152"/>
      <c r="BB172" s="152"/>
      <c r="BC172" s="152"/>
      <c r="BD172" s="152"/>
      <c r="BE172" s="152"/>
      <c r="BF172" s="152"/>
      <c r="BG172" s="152"/>
      <c r="BH172" s="152"/>
      <c r="BI172" s="152"/>
      <c r="BJ172" s="152"/>
      <c r="BK172" s="152"/>
      <c r="BL172" s="152"/>
      <c r="BM172" s="152"/>
      <c r="BN172" s="152"/>
      <c r="BO172" s="152"/>
      <c r="BP172" s="152"/>
      <c r="BQ172" s="152"/>
      <c r="BR172" s="152"/>
      <c r="BS172" s="152"/>
      <c r="BT172" s="152"/>
      <c r="BU172" s="152"/>
      <c r="BV172" s="152"/>
      <c r="BW172" s="152"/>
      <c r="BX172" s="152"/>
      <c r="BY172" s="152"/>
      <c r="BZ172" s="152"/>
      <c r="CA172" s="152"/>
      <c r="CB172" s="152"/>
      <c r="CC172" s="152"/>
      <c r="CD172" s="152"/>
    </row>
    <row r="173" ht="15.0" customHeight="1">
      <c r="A173" s="152"/>
      <c r="B173" s="152"/>
      <c r="C173" s="219"/>
      <c r="D173" s="219"/>
      <c r="E173" s="220" t="str">
        <f t="array" ref="E173">xlookup(M173,'Team Entry'!$A:$A,'Team Entry'!$B:$B,"")</f>
        <v/>
      </c>
      <c r="F173" s="58"/>
      <c r="G173" s="58"/>
      <c r="H173" s="58"/>
      <c r="I173" s="58"/>
      <c r="J173" s="58"/>
      <c r="K173" s="58"/>
      <c r="L173" s="58"/>
      <c r="M173" s="221" t="str">
        <f t="array" ref="M173">xlookup(C179,'Roster Info'!$A:$A,'Roster Info'!$B:$B,"")</f>
        <v>Team 3 (Group 1)</v>
      </c>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9"/>
      <c r="AN173" s="152"/>
      <c r="AO173" s="152"/>
      <c r="AP173" s="219"/>
      <c r="AQ173" s="219"/>
      <c r="AR173" s="220" t="str">
        <f t="array" ref="AR173">xlookup(AZ173,'Team Entry'!$A:$A,'Team Entry'!$B:$B,"")</f>
        <v/>
      </c>
      <c r="AS173" s="58"/>
      <c r="AT173" s="58"/>
      <c r="AU173" s="58"/>
      <c r="AV173" s="58"/>
      <c r="AW173" s="58"/>
      <c r="AX173" s="58"/>
      <c r="AY173" s="58"/>
      <c r="AZ173" s="221" t="str">
        <f t="array" ref="AZ173">xlookup(AP179,'Roster Info'!$A:$A,'Roster Info'!$B:$B,"")</f>
        <v>Team 4 (Group 1)</v>
      </c>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9"/>
      <c r="CA173" s="152"/>
      <c r="CB173" s="152"/>
      <c r="CC173" s="152"/>
      <c r="CD173" s="152"/>
    </row>
    <row r="174" ht="15.0" customHeight="1">
      <c r="A174" s="152"/>
      <c r="B174" s="152"/>
      <c r="C174" s="219"/>
      <c r="D174" s="219"/>
      <c r="E174" s="60"/>
      <c r="AM174" s="61"/>
      <c r="AN174" s="152"/>
      <c r="AO174" s="152"/>
      <c r="AP174" s="219"/>
      <c r="AQ174" s="219"/>
      <c r="AR174" s="60"/>
      <c r="BZ174" s="61"/>
      <c r="CA174" s="152"/>
      <c r="CB174" s="152"/>
      <c r="CC174" s="152"/>
      <c r="CD174" s="152"/>
    </row>
    <row r="175" ht="15.0" customHeight="1">
      <c r="A175" s="152"/>
      <c r="B175" s="152"/>
      <c r="C175" s="219"/>
      <c r="D175" s="219"/>
      <c r="E175" s="60"/>
      <c r="AM175" s="61"/>
      <c r="AN175" s="152"/>
      <c r="AO175" s="152"/>
      <c r="AP175" s="219"/>
      <c r="AQ175" s="219"/>
      <c r="AR175" s="60"/>
      <c r="BZ175" s="61"/>
      <c r="CA175" s="152"/>
      <c r="CB175" s="152"/>
      <c r="CC175" s="152"/>
      <c r="CD175" s="152"/>
    </row>
    <row r="176" ht="15.0" customHeight="1">
      <c r="A176" s="152"/>
      <c r="B176" s="152"/>
      <c r="C176" s="219"/>
      <c r="D176" s="219"/>
      <c r="E176" s="60"/>
      <c r="AM176" s="61"/>
      <c r="AN176" s="152"/>
      <c r="AO176" s="152"/>
      <c r="AP176" s="219"/>
      <c r="AQ176" s="219"/>
      <c r="AR176" s="60"/>
      <c r="BZ176" s="61"/>
      <c r="CA176" s="152"/>
      <c r="CB176" s="152"/>
      <c r="CC176" s="152"/>
      <c r="CD176" s="152"/>
    </row>
    <row r="177" ht="15.0" customHeight="1">
      <c r="A177" s="152"/>
      <c r="B177" s="152"/>
      <c r="C177" s="219"/>
      <c r="D177" s="219"/>
      <c r="E177" s="60"/>
      <c r="AM177" s="61"/>
      <c r="AN177" s="152"/>
      <c r="AO177" s="152"/>
      <c r="AP177" s="219"/>
      <c r="AQ177" s="219"/>
      <c r="AR177" s="60"/>
      <c r="BZ177" s="61"/>
      <c r="CA177" s="152"/>
      <c r="CB177" s="152"/>
      <c r="CC177" s="152"/>
      <c r="CD177" s="152"/>
    </row>
    <row r="178" ht="15.0" customHeight="1">
      <c r="A178" s="152"/>
      <c r="B178" s="152"/>
      <c r="C178" s="219"/>
      <c r="D178" s="219"/>
      <c r="E178" s="222"/>
      <c r="F178" s="223"/>
      <c r="G178" s="223"/>
      <c r="H178" s="223"/>
      <c r="I178" s="223"/>
      <c r="J178" s="223"/>
      <c r="K178" s="223"/>
      <c r="L178" s="223"/>
      <c r="M178" s="223"/>
      <c r="N178" s="223"/>
      <c r="O178" s="223"/>
      <c r="P178" s="223"/>
      <c r="Q178" s="223"/>
      <c r="R178" s="223"/>
      <c r="S178" s="223"/>
      <c r="T178" s="223"/>
      <c r="U178" s="223"/>
      <c r="V178" s="223"/>
      <c r="W178" s="223"/>
      <c r="X178" s="223"/>
      <c r="Y178" s="223"/>
      <c r="Z178" s="223"/>
      <c r="AA178" s="223"/>
      <c r="AB178" s="223"/>
      <c r="AC178" s="223"/>
      <c r="AD178" s="223"/>
      <c r="AE178" s="223"/>
      <c r="AF178" s="223"/>
      <c r="AG178" s="223"/>
      <c r="AH178" s="223"/>
      <c r="AI178" s="223"/>
      <c r="AJ178" s="223"/>
      <c r="AK178" s="223"/>
      <c r="AL178" s="223"/>
      <c r="AM178" s="224"/>
      <c r="AN178" s="152"/>
      <c r="AO178" s="152"/>
      <c r="AP178" s="219"/>
      <c r="AQ178" s="219"/>
      <c r="AR178" s="222"/>
      <c r="AS178" s="223"/>
      <c r="AT178" s="223"/>
      <c r="AU178" s="223"/>
      <c r="AV178" s="223"/>
      <c r="AW178" s="223"/>
      <c r="AX178" s="223"/>
      <c r="AY178" s="223"/>
      <c r="AZ178" s="223"/>
      <c r="BA178" s="223"/>
      <c r="BB178" s="223"/>
      <c r="BC178" s="223"/>
      <c r="BD178" s="223"/>
      <c r="BE178" s="223"/>
      <c r="BF178" s="223"/>
      <c r="BG178" s="223"/>
      <c r="BH178" s="223"/>
      <c r="BI178" s="223"/>
      <c r="BJ178" s="223"/>
      <c r="BK178" s="223"/>
      <c r="BL178" s="223"/>
      <c r="BM178" s="223"/>
      <c r="BN178" s="223"/>
      <c r="BO178" s="223"/>
      <c r="BP178" s="223"/>
      <c r="BQ178" s="223"/>
      <c r="BR178" s="223"/>
      <c r="BS178" s="223"/>
      <c r="BT178" s="223"/>
      <c r="BU178" s="223"/>
      <c r="BV178" s="223"/>
      <c r="BW178" s="223"/>
      <c r="BX178" s="223"/>
      <c r="BY178" s="223"/>
      <c r="BZ178" s="224"/>
      <c r="CA178" s="152"/>
      <c r="CB178" s="152"/>
      <c r="CC178" s="152"/>
      <c r="CD178" s="152"/>
    </row>
    <row r="179" ht="15.0" customHeight="1">
      <c r="A179" s="152"/>
      <c r="B179" s="152"/>
      <c r="C179" s="225">
        <f>AP155+1</f>
        <v>15</v>
      </c>
      <c r="D179" s="225" t="s">
        <v>109</v>
      </c>
      <c r="E179" s="226" t="s">
        <v>109</v>
      </c>
      <c r="I179" s="227" t="str">
        <f t="array" ref="I179">xlookup(xlookup(C179&amp;D179&amp;"Nationality",'Roster Info'!$A:$A&amp;'Roster Info'!$G:$G&amp;'Roster Info'!$D:$D,'Roster Info'!$E:$E,""),'Roster Info'!$K:$K,'Roster Info'!$L:$L,"")</f>
        <v/>
      </c>
      <c r="K179" s="228" t="str">
        <f t="array" ref="K179">xlookup(C179&amp;D179,'Roster Info'!$A:$A&amp;'Roster Info'!$G:$G,'Roster Info'!$F:$F,"")</f>
        <v/>
      </c>
      <c r="U179" s="229" t="str">
        <f t="array" ref="U179">xlookup(C179&amp;D179&amp;"Full Name",'Roster Info'!$A:$A&amp;'Roster Info'!$G:$G&amp;'Roster Info'!$D:$D,'Roster Info'!$E:$E,"")</f>
        <v/>
      </c>
      <c r="AE179" s="63" t="str">
        <f t="array" ref="AE179">if(xlookup(C179&amp;D179&amp;"Steam",'Roster Info'!$A:$A&amp;'Roster Info'!$G:$G&amp;'Roster Info'!$D:$D,'Roster Info'!$E:$E,"")="","-",hyperlink(xlookup(C179&amp;D179&amp;"Steam",'Roster Info'!$A:$A&amp;'Roster Info'!$G:$G&amp;'Roster Info'!$D:$D,'Roster Info'!$E:$E,""),"Steam"))</f>
        <v>-</v>
      </c>
      <c r="AH179" s="63" t="str">
        <f t="array" ref="AH179">if(xlookup(C179&amp;D179&amp;"HLTV",'Roster Info'!$A:$A&amp;'Roster Info'!$G:$G&amp;'Roster Info'!$D:$D,'Roster Info'!$E:$E,"")="","-",hyperlink(xlookup(C179&amp;D179&amp;"HLTV",'Roster Info'!$A:$A&amp;'Roster Info'!$G:$G&amp;'Roster Info'!$D:$D,'Roster Info'!$E:$E,""),"HLTV"))</f>
        <v>-</v>
      </c>
      <c r="AK179" s="63" t="str">
        <f t="array" ref="AK179">if(xlookup(C179&amp;D179&amp;"FaceIt",'Roster Info'!$A:$A&amp;'Roster Info'!$G:$G&amp;'Roster Info'!$D:$D,'Roster Info'!$E:$E,"")="","-",hyperlink(xlookup(C179&amp;D179&amp;"FaceIt",'Roster Info'!$A:$A&amp;'Roster Info'!$G:$G&amp;'Roster Info'!$D:$D,'Roster Info'!$E:$E,""),"FaceIt"))</f>
        <v>-</v>
      </c>
      <c r="AM179" s="61"/>
      <c r="AN179" s="152"/>
      <c r="AO179" s="152"/>
      <c r="AP179" s="225">
        <f>C179+1</f>
        <v>16</v>
      </c>
      <c r="AQ179" s="225" t="s">
        <v>109</v>
      </c>
      <c r="AR179" s="226" t="s">
        <v>109</v>
      </c>
      <c r="AV179" s="227" t="str">
        <f t="array" ref="AV179">xlookup(xlookup(AP179&amp;AQ179&amp;"Nationality",'Roster Info'!$A:$A&amp;'Roster Info'!$G:$G&amp;'Roster Info'!$D:$D,'Roster Info'!$E:$E,""),'Roster Info'!$K:$K,'Roster Info'!$L:$L,"")</f>
        <v/>
      </c>
      <c r="AX179" s="228" t="str">
        <f t="array" ref="AX179">xlookup(AP179&amp;AQ179,'Roster Info'!$A:$A&amp;'Roster Info'!$G:$G,'Roster Info'!$F:$F,"")</f>
        <v/>
      </c>
      <c r="BH179" s="229" t="str">
        <f t="array" ref="BH179">xlookup(AP179&amp;AQ179&amp;"Full Name",'Roster Info'!$A:$A&amp;'Roster Info'!$G:$G&amp;'Roster Info'!$D:$D,'Roster Info'!$E:$E,"")</f>
        <v/>
      </c>
      <c r="BR179" s="63" t="str">
        <f t="array" ref="BR179">if(xlookup(AP179&amp;AQ179&amp;"Steam",'Roster Info'!$A:$A&amp;'Roster Info'!$G:$G&amp;'Roster Info'!$D:$D,'Roster Info'!$E:$E,"")="","-",hyperlink(xlookup(AP179&amp;AQ179&amp;"Steam",'Roster Info'!$A:$A&amp;'Roster Info'!$G:$G&amp;'Roster Info'!$D:$D,'Roster Info'!$E:$E,""),"Steam"))</f>
        <v>-</v>
      </c>
      <c r="BU179" s="63" t="str">
        <f t="array" ref="BU179">if(xlookup(AP179&amp;AQ179&amp;"HLTV",'Roster Info'!$A:$A&amp;'Roster Info'!$G:$G&amp;'Roster Info'!$D:$D,'Roster Info'!$E:$E,"")="","-",hyperlink(xlookup(AP179&amp;AQ179&amp;"HLTV",'Roster Info'!$A:$A&amp;'Roster Info'!$G:$G&amp;'Roster Info'!$D:$D,'Roster Info'!$E:$E,""),"HLTV"))</f>
        <v>-</v>
      </c>
      <c r="BX179" s="63" t="str">
        <f t="array" ref="BX179">if(xlookup(AP179&amp;AQ179&amp;"FaceIt",'Roster Info'!$A:$A&amp;'Roster Info'!$G:$G&amp;'Roster Info'!$D:$D,'Roster Info'!$E:$E,"")="","-",hyperlink(xlookup(AP179&amp;AQ179&amp;"FaceIt",'Roster Info'!$A:$A&amp;'Roster Info'!$G:$G&amp;'Roster Info'!$D:$D,'Roster Info'!$E:$E,""),"FaceIt"))</f>
        <v>-</v>
      </c>
      <c r="BZ179" s="61"/>
      <c r="CA179" s="152"/>
      <c r="CB179" s="152"/>
      <c r="CC179" s="152"/>
      <c r="CD179" s="152"/>
    </row>
    <row r="180" ht="15.0" customHeight="1">
      <c r="A180" s="152"/>
      <c r="B180" s="152"/>
      <c r="C180" s="219"/>
      <c r="D180" s="219"/>
      <c r="E180" s="230"/>
      <c r="F180" s="231"/>
      <c r="G180" s="231"/>
      <c r="H180" s="231"/>
      <c r="I180" s="231"/>
      <c r="J180" s="231"/>
      <c r="K180" s="231"/>
      <c r="L180" s="231"/>
      <c r="M180" s="231"/>
      <c r="N180" s="231"/>
      <c r="O180" s="231"/>
      <c r="P180" s="231"/>
      <c r="Q180" s="231"/>
      <c r="R180" s="231"/>
      <c r="S180" s="231"/>
      <c r="T180" s="231"/>
      <c r="U180" s="231"/>
      <c r="V180" s="231"/>
      <c r="W180" s="231"/>
      <c r="X180" s="231"/>
      <c r="Y180" s="231"/>
      <c r="Z180" s="231"/>
      <c r="AA180" s="231"/>
      <c r="AB180" s="231"/>
      <c r="AC180" s="231"/>
      <c r="AD180" s="231"/>
      <c r="AE180" s="231"/>
      <c r="AF180" s="231"/>
      <c r="AG180" s="231"/>
      <c r="AH180" s="231"/>
      <c r="AI180" s="231"/>
      <c r="AJ180" s="231"/>
      <c r="AK180" s="231"/>
      <c r="AL180" s="231"/>
      <c r="AM180" s="232"/>
      <c r="AN180" s="152"/>
      <c r="AO180" s="152"/>
      <c r="AP180" s="219"/>
      <c r="AQ180" s="219"/>
      <c r="AR180" s="230"/>
      <c r="AS180" s="231"/>
      <c r="AT180" s="231"/>
      <c r="AU180" s="231"/>
      <c r="AV180" s="231"/>
      <c r="AW180" s="231"/>
      <c r="AX180" s="231"/>
      <c r="AY180" s="231"/>
      <c r="AZ180" s="231"/>
      <c r="BA180" s="231"/>
      <c r="BB180" s="231"/>
      <c r="BC180" s="231"/>
      <c r="BD180" s="231"/>
      <c r="BE180" s="231"/>
      <c r="BF180" s="231"/>
      <c r="BG180" s="231"/>
      <c r="BH180" s="231"/>
      <c r="BI180" s="231"/>
      <c r="BJ180" s="231"/>
      <c r="BK180" s="231"/>
      <c r="BL180" s="231"/>
      <c r="BM180" s="231"/>
      <c r="BN180" s="231"/>
      <c r="BO180" s="231"/>
      <c r="BP180" s="231"/>
      <c r="BQ180" s="231"/>
      <c r="BR180" s="231"/>
      <c r="BS180" s="231"/>
      <c r="BT180" s="231"/>
      <c r="BU180" s="231"/>
      <c r="BV180" s="231"/>
      <c r="BW180" s="231"/>
      <c r="BX180" s="231"/>
      <c r="BY180" s="231"/>
      <c r="BZ180" s="232"/>
      <c r="CA180" s="152"/>
      <c r="CB180" s="152"/>
      <c r="CC180" s="152"/>
      <c r="CD180" s="152"/>
    </row>
    <row r="181" ht="15.0" customHeight="1">
      <c r="A181" s="152"/>
      <c r="B181" s="152"/>
      <c r="C181" s="219">
        <f>C179</f>
        <v>15</v>
      </c>
      <c r="D181" s="225" t="s">
        <v>115</v>
      </c>
      <c r="E181" s="226" t="s">
        <v>115</v>
      </c>
      <c r="I181" s="227" t="str">
        <f t="array" ref="I181">xlookup(xlookup(C181&amp;D181&amp;"Nationality",'Roster Info'!$A:$A&amp;'Roster Info'!$G:$G&amp;'Roster Info'!$D:$D,'Roster Info'!$E:$E,""),'Roster Info'!$K:$K,'Roster Info'!$L:$L,"")</f>
        <v/>
      </c>
      <c r="K181" s="228" t="str">
        <f t="array" ref="K181">xlookup(C181&amp;D181,'Roster Info'!$A:$A&amp;'Roster Info'!$G:$G,'Roster Info'!$F:$F,"")</f>
        <v/>
      </c>
      <c r="U181" s="229" t="str">
        <f t="array" ref="U181">xlookup(C181&amp;D181&amp;"Full Name",'Roster Info'!$A:$A&amp;'Roster Info'!$G:$G&amp;'Roster Info'!$D:$D,'Roster Info'!$E:$E,"")</f>
        <v/>
      </c>
      <c r="AE181" s="63" t="str">
        <f t="array" ref="AE181">if(xlookup(C181&amp;D181&amp;"Steam",'Roster Info'!$A:$A&amp;'Roster Info'!$G:$G&amp;'Roster Info'!$D:$D,'Roster Info'!$E:$E,"")="","-",hyperlink(xlookup(C181&amp;D181&amp;"Steam",'Roster Info'!$A:$A&amp;'Roster Info'!$G:$G&amp;'Roster Info'!$D:$D,'Roster Info'!$E:$E,""),"Steam"))</f>
        <v>-</v>
      </c>
      <c r="AH181" s="63" t="str">
        <f t="array" ref="AH181">if(xlookup(C181&amp;D181&amp;"HLTV",'Roster Info'!$A:$A&amp;'Roster Info'!$G:$G&amp;'Roster Info'!$D:$D,'Roster Info'!$E:$E,"")="","-",hyperlink(xlookup(C181&amp;D181&amp;"HLTV",'Roster Info'!$A:$A&amp;'Roster Info'!$G:$G&amp;'Roster Info'!$D:$D,'Roster Info'!$E:$E,""),"HLTV"))</f>
        <v>-</v>
      </c>
      <c r="AK181" s="63" t="str">
        <f t="array" ref="AK181">if(xlookup(C181&amp;D181&amp;"FaceIt",'Roster Info'!$A:$A&amp;'Roster Info'!$G:$G&amp;'Roster Info'!$D:$D,'Roster Info'!$E:$E,"")="","-",hyperlink(xlookup(C181&amp;D181&amp;"FaceIt",'Roster Info'!$A:$A&amp;'Roster Info'!$G:$G&amp;'Roster Info'!$D:$D,'Roster Info'!$E:$E,""),"FaceIt"))</f>
        <v>-</v>
      </c>
      <c r="AM181" s="61"/>
      <c r="AN181" s="152"/>
      <c r="AO181" s="152"/>
      <c r="AP181" s="219">
        <f>AP179</f>
        <v>16</v>
      </c>
      <c r="AQ181" s="225" t="s">
        <v>115</v>
      </c>
      <c r="AR181" s="226" t="s">
        <v>115</v>
      </c>
      <c r="AV181" s="227" t="str">
        <f t="array" ref="AV181">xlookup(xlookup(AP181&amp;AQ181&amp;"Nationality",'Roster Info'!$A:$A&amp;'Roster Info'!$G:$G&amp;'Roster Info'!$D:$D,'Roster Info'!$E:$E,""),'Roster Info'!$K:$K,'Roster Info'!$L:$L,"")</f>
        <v/>
      </c>
      <c r="AX181" s="228" t="str">
        <f t="array" ref="AX181">xlookup(AP181&amp;AQ181,'Roster Info'!$A:$A&amp;'Roster Info'!$G:$G,'Roster Info'!$F:$F,"")</f>
        <v/>
      </c>
      <c r="BH181" s="229" t="str">
        <f t="array" ref="BH181">xlookup(AP181&amp;AQ181&amp;"Full Name",'Roster Info'!$A:$A&amp;'Roster Info'!$G:$G&amp;'Roster Info'!$D:$D,'Roster Info'!$E:$E,"")</f>
        <v/>
      </c>
      <c r="BR181" s="63" t="str">
        <f t="array" ref="BR181">if(xlookup(AP181&amp;AQ181&amp;"Steam",'Roster Info'!$A:$A&amp;'Roster Info'!$G:$G&amp;'Roster Info'!$D:$D,'Roster Info'!$E:$E,"")="","-",hyperlink(xlookup(AP181&amp;AQ181&amp;"Steam",'Roster Info'!$A:$A&amp;'Roster Info'!$G:$G&amp;'Roster Info'!$D:$D,'Roster Info'!$E:$E,""),"Steam"))</f>
        <v>-</v>
      </c>
      <c r="BU181" s="63" t="str">
        <f t="array" ref="BU181">if(xlookup(AP181&amp;AQ181&amp;"HLTV",'Roster Info'!$A:$A&amp;'Roster Info'!$G:$G&amp;'Roster Info'!$D:$D,'Roster Info'!$E:$E,"")="","-",hyperlink(xlookup(AP181&amp;AQ181&amp;"HLTV",'Roster Info'!$A:$A&amp;'Roster Info'!$G:$G&amp;'Roster Info'!$D:$D,'Roster Info'!$E:$E,""),"HLTV"))</f>
        <v>-</v>
      </c>
      <c r="BX181" s="63" t="str">
        <f t="array" ref="BX181">if(xlookup(AP181&amp;AQ181&amp;"FaceIt",'Roster Info'!$A:$A&amp;'Roster Info'!$G:$G&amp;'Roster Info'!$D:$D,'Roster Info'!$E:$E,"")="","-",hyperlink(xlookup(AP181&amp;AQ181&amp;"FaceIt",'Roster Info'!$A:$A&amp;'Roster Info'!$G:$G&amp;'Roster Info'!$D:$D,'Roster Info'!$E:$E,""),"FaceIt"))</f>
        <v>-</v>
      </c>
      <c r="BZ181" s="61"/>
      <c r="CA181" s="152"/>
      <c r="CB181" s="152"/>
      <c r="CC181" s="152"/>
      <c r="CD181" s="152"/>
    </row>
    <row r="182" ht="15.0" customHeight="1">
      <c r="A182" s="152"/>
      <c r="B182" s="152"/>
      <c r="C182" s="219"/>
      <c r="D182" s="219"/>
      <c r="E182" s="230"/>
      <c r="F182" s="231"/>
      <c r="G182" s="231"/>
      <c r="H182" s="231"/>
      <c r="I182" s="231"/>
      <c r="J182" s="231"/>
      <c r="K182" s="231"/>
      <c r="L182" s="231"/>
      <c r="M182" s="231"/>
      <c r="N182" s="231"/>
      <c r="O182" s="231"/>
      <c r="P182" s="231"/>
      <c r="Q182" s="231"/>
      <c r="R182" s="231"/>
      <c r="S182" s="231"/>
      <c r="T182" s="231"/>
      <c r="U182" s="231"/>
      <c r="V182" s="231"/>
      <c r="W182" s="231"/>
      <c r="X182" s="231"/>
      <c r="Y182" s="231"/>
      <c r="Z182" s="231"/>
      <c r="AA182" s="231"/>
      <c r="AB182" s="231"/>
      <c r="AC182" s="231"/>
      <c r="AD182" s="231"/>
      <c r="AE182" s="231"/>
      <c r="AF182" s="231"/>
      <c r="AG182" s="231"/>
      <c r="AH182" s="231"/>
      <c r="AI182" s="231"/>
      <c r="AJ182" s="231"/>
      <c r="AK182" s="231"/>
      <c r="AL182" s="231"/>
      <c r="AM182" s="232"/>
      <c r="AN182" s="152"/>
      <c r="AO182" s="152"/>
      <c r="AP182" s="219"/>
      <c r="AQ182" s="219"/>
      <c r="AR182" s="230"/>
      <c r="AS182" s="231"/>
      <c r="AT182" s="231"/>
      <c r="AU182" s="231"/>
      <c r="AV182" s="231"/>
      <c r="AW182" s="231"/>
      <c r="AX182" s="231"/>
      <c r="AY182" s="231"/>
      <c r="AZ182" s="231"/>
      <c r="BA182" s="231"/>
      <c r="BB182" s="231"/>
      <c r="BC182" s="231"/>
      <c r="BD182" s="231"/>
      <c r="BE182" s="231"/>
      <c r="BF182" s="231"/>
      <c r="BG182" s="231"/>
      <c r="BH182" s="231"/>
      <c r="BI182" s="231"/>
      <c r="BJ182" s="231"/>
      <c r="BK182" s="231"/>
      <c r="BL182" s="231"/>
      <c r="BM182" s="231"/>
      <c r="BN182" s="231"/>
      <c r="BO182" s="231"/>
      <c r="BP182" s="231"/>
      <c r="BQ182" s="231"/>
      <c r="BR182" s="231"/>
      <c r="BS182" s="231"/>
      <c r="BT182" s="231"/>
      <c r="BU182" s="231"/>
      <c r="BV182" s="231"/>
      <c r="BW182" s="231"/>
      <c r="BX182" s="231"/>
      <c r="BY182" s="231"/>
      <c r="BZ182" s="232"/>
      <c r="CA182" s="152"/>
      <c r="CB182" s="152"/>
      <c r="CC182" s="152"/>
      <c r="CD182" s="152"/>
    </row>
    <row r="183" ht="15.0" customHeight="1">
      <c r="A183" s="152"/>
      <c r="B183" s="152"/>
      <c r="C183" s="219">
        <f>C181</f>
        <v>15</v>
      </c>
      <c r="D183" s="225" t="s">
        <v>121</v>
      </c>
      <c r="E183" s="226" t="s">
        <v>121</v>
      </c>
      <c r="I183" s="227" t="str">
        <f t="array" ref="I183">xlookup(xlookup(C183&amp;D183&amp;"Nationality",'Roster Info'!$A:$A&amp;'Roster Info'!$G:$G&amp;'Roster Info'!$D:$D,'Roster Info'!$E:$E,""),'Roster Info'!$K:$K,'Roster Info'!$L:$L,"")</f>
        <v/>
      </c>
      <c r="K183" s="228" t="str">
        <f t="array" ref="K183">xlookup(C183&amp;D183,'Roster Info'!$A:$A&amp;'Roster Info'!$G:$G,'Roster Info'!$F:$F,"")</f>
        <v/>
      </c>
      <c r="U183" s="229" t="str">
        <f t="array" ref="U183">xlookup(C183&amp;D183&amp;"Full Name",'Roster Info'!$A:$A&amp;'Roster Info'!$G:$G&amp;'Roster Info'!$D:$D,'Roster Info'!$E:$E,"")</f>
        <v/>
      </c>
      <c r="AE183" s="63" t="str">
        <f t="array" ref="AE183">if(xlookup(C183&amp;D183&amp;"Steam",'Roster Info'!$A:$A&amp;'Roster Info'!$G:$G&amp;'Roster Info'!$D:$D,'Roster Info'!$E:$E,"")="","-",hyperlink(xlookup(C183&amp;D183&amp;"Steam",'Roster Info'!$A:$A&amp;'Roster Info'!$G:$G&amp;'Roster Info'!$D:$D,'Roster Info'!$E:$E,""),"Steam"))</f>
        <v>-</v>
      </c>
      <c r="AH183" s="63" t="str">
        <f t="array" ref="AH183">if(xlookup(C183&amp;D183&amp;"HLTV",'Roster Info'!$A:$A&amp;'Roster Info'!$G:$G&amp;'Roster Info'!$D:$D,'Roster Info'!$E:$E,"")="","-",hyperlink(xlookup(C183&amp;D183&amp;"HLTV",'Roster Info'!$A:$A&amp;'Roster Info'!$G:$G&amp;'Roster Info'!$D:$D,'Roster Info'!$E:$E,""),"HLTV"))</f>
        <v>-</v>
      </c>
      <c r="AK183" s="63" t="str">
        <f t="array" ref="AK183">if(xlookup(C183&amp;D183&amp;"FaceIt",'Roster Info'!$A:$A&amp;'Roster Info'!$G:$G&amp;'Roster Info'!$D:$D,'Roster Info'!$E:$E,"")="","-",hyperlink(xlookup(C183&amp;D183&amp;"FaceIt",'Roster Info'!$A:$A&amp;'Roster Info'!$G:$G&amp;'Roster Info'!$D:$D,'Roster Info'!$E:$E,""),"FaceIt"))</f>
        <v>-</v>
      </c>
      <c r="AM183" s="61"/>
      <c r="AN183" s="152"/>
      <c r="AO183" s="152"/>
      <c r="AP183" s="219">
        <f>AP181</f>
        <v>16</v>
      </c>
      <c r="AQ183" s="225" t="s">
        <v>121</v>
      </c>
      <c r="AR183" s="226" t="s">
        <v>121</v>
      </c>
      <c r="AV183" s="227" t="str">
        <f t="array" ref="AV183">xlookup(xlookup(AP183&amp;AQ183&amp;"Nationality",'Roster Info'!$A:$A&amp;'Roster Info'!$G:$G&amp;'Roster Info'!$D:$D,'Roster Info'!$E:$E,""),'Roster Info'!$K:$K,'Roster Info'!$L:$L,"")</f>
        <v/>
      </c>
      <c r="AX183" s="228" t="str">
        <f t="array" ref="AX183">xlookup(AP183&amp;AQ183,'Roster Info'!$A:$A&amp;'Roster Info'!$G:$G,'Roster Info'!$F:$F,"")</f>
        <v/>
      </c>
      <c r="BH183" s="229" t="str">
        <f t="array" ref="BH183">xlookup(AP183&amp;AQ183&amp;"Full Name",'Roster Info'!$A:$A&amp;'Roster Info'!$G:$G&amp;'Roster Info'!$D:$D,'Roster Info'!$E:$E,"")</f>
        <v/>
      </c>
      <c r="BR183" s="63" t="str">
        <f t="array" ref="BR183">if(xlookup(AP183&amp;AQ183&amp;"Steam",'Roster Info'!$A:$A&amp;'Roster Info'!$G:$G&amp;'Roster Info'!$D:$D,'Roster Info'!$E:$E,"")="","-",hyperlink(xlookup(AP183&amp;AQ183&amp;"Steam",'Roster Info'!$A:$A&amp;'Roster Info'!$G:$G&amp;'Roster Info'!$D:$D,'Roster Info'!$E:$E,""),"Steam"))</f>
        <v>-</v>
      </c>
      <c r="BU183" s="63" t="str">
        <f t="array" ref="BU183">if(xlookup(AP183&amp;AQ183&amp;"HLTV",'Roster Info'!$A:$A&amp;'Roster Info'!$G:$G&amp;'Roster Info'!$D:$D,'Roster Info'!$E:$E,"")="","-",hyperlink(xlookup(AP183&amp;AQ183&amp;"HLTV",'Roster Info'!$A:$A&amp;'Roster Info'!$G:$G&amp;'Roster Info'!$D:$D,'Roster Info'!$E:$E,""),"HLTV"))</f>
        <v>-</v>
      </c>
      <c r="BX183" s="63" t="str">
        <f t="array" ref="BX183">if(xlookup(AP183&amp;AQ183&amp;"FaceIt",'Roster Info'!$A:$A&amp;'Roster Info'!$G:$G&amp;'Roster Info'!$D:$D,'Roster Info'!$E:$E,"")="","-",hyperlink(xlookup(AP183&amp;AQ183&amp;"FaceIt",'Roster Info'!$A:$A&amp;'Roster Info'!$G:$G&amp;'Roster Info'!$D:$D,'Roster Info'!$E:$E,""),"FaceIt"))</f>
        <v>-</v>
      </c>
      <c r="BZ183" s="61"/>
      <c r="CA183" s="152"/>
      <c r="CB183" s="152"/>
      <c r="CC183" s="152"/>
      <c r="CD183" s="152"/>
    </row>
    <row r="184" ht="15.0" customHeight="1">
      <c r="A184" s="152"/>
      <c r="B184" s="152"/>
      <c r="C184" s="219"/>
      <c r="D184" s="219"/>
      <c r="E184" s="230"/>
      <c r="F184" s="231"/>
      <c r="G184" s="231"/>
      <c r="H184" s="231"/>
      <c r="I184" s="231"/>
      <c r="J184" s="231"/>
      <c r="K184" s="231"/>
      <c r="L184" s="231"/>
      <c r="M184" s="231"/>
      <c r="N184" s="231"/>
      <c r="O184" s="231"/>
      <c r="P184" s="231"/>
      <c r="Q184" s="231"/>
      <c r="R184" s="231"/>
      <c r="S184" s="231"/>
      <c r="T184" s="231"/>
      <c r="U184" s="231"/>
      <c r="V184" s="231"/>
      <c r="W184" s="231"/>
      <c r="X184" s="231"/>
      <c r="Y184" s="231"/>
      <c r="Z184" s="231"/>
      <c r="AA184" s="231"/>
      <c r="AB184" s="231"/>
      <c r="AC184" s="231"/>
      <c r="AD184" s="231"/>
      <c r="AE184" s="231"/>
      <c r="AF184" s="231"/>
      <c r="AG184" s="231"/>
      <c r="AH184" s="231"/>
      <c r="AI184" s="231"/>
      <c r="AJ184" s="231"/>
      <c r="AK184" s="231"/>
      <c r="AL184" s="231"/>
      <c r="AM184" s="232"/>
      <c r="AN184" s="152"/>
      <c r="AO184" s="152"/>
      <c r="AP184" s="219"/>
      <c r="AQ184" s="219"/>
      <c r="AR184" s="230"/>
      <c r="AS184" s="231"/>
      <c r="AT184" s="231"/>
      <c r="AU184" s="231"/>
      <c r="AV184" s="231"/>
      <c r="AW184" s="231"/>
      <c r="AX184" s="231"/>
      <c r="AY184" s="231"/>
      <c r="AZ184" s="231"/>
      <c r="BA184" s="231"/>
      <c r="BB184" s="231"/>
      <c r="BC184" s="231"/>
      <c r="BD184" s="231"/>
      <c r="BE184" s="231"/>
      <c r="BF184" s="231"/>
      <c r="BG184" s="231"/>
      <c r="BH184" s="231"/>
      <c r="BI184" s="231"/>
      <c r="BJ184" s="231"/>
      <c r="BK184" s="231"/>
      <c r="BL184" s="231"/>
      <c r="BM184" s="231"/>
      <c r="BN184" s="231"/>
      <c r="BO184" s="231"/>
      <c r="BP184" s="231"/>
      <c r="BQ184" s="231"/>
      <c r="BR184" s="231"/>
      <c r="BS184" s="231"/>
      <c r="BT184" s="231"/>
      <c r="BU184" s="231"/>
      <c r="BV184" s="231"/>
      <c r="BW184" s="231"/>
      <c r="BX184" s="231"/>
      <c r="BY184" s="231"/>
      <c r="BZ184" s="232"/>
      <c r="CA184" s="152"/>
      <c r="CB184" s="152"/>
      <c r="CC184" s="152"/>
      <c r="CD184" s="152"/>
    </row>
    <row r="185" ht="15.0" customHeight="1">
      <c r="A185" s="152"/>
      <c r="B185" s="152"/>
      <c r="C185" s="219">
        <f>C183</f>
        <v>15</v>
      </c>
      <c r="D185" s="225" t="s">
        <v>127</v>
      </c>
      <c r="E185" s="226" t="s">
        <v>127</v>
      </c>
      <c r="I185" s="227" t="str">
        <f t="array" ref="I185">xlookup(xlookup(C185&amp;D185&amp;"Nationality",'Roster Info'!$A:$A&amp;'Roster Info'!$G:$G&amp;'Roster Info'!$D:$D,'Roster Info'!$E:$E,""),'Roster Info'!$K:$K,'Roster Info'!$L:$L,"")</f>
        <v/>
      </c>
      <c r="K185" s="228" t="str">
        <f t="array" ref="K185">xlookup(C185&amp;D185,'Roster Info'!$A:$A&amp;'Roster Info'!$G:$G,'Roster Info'!$F:$F,"")</f>
        <v/>
      </c>
      <c r="U185" s="229" t="str">
        <f t="array" ref="U185">xlookup(C185&amp;D185&amp;"Full Name",'Roster Info'!$A:$A&amp;'Roster Info'!$G:$G&amp;'Roster Info'!$D:$D,'Roster Info'!$E:$E,"")</f>
        <v/>
      </c>
      <c r="AE185" s="63" t="str">
        <f t="array" ref="AE185">if(xlookup(C185&amp;D185&amp;"Steam",'Roster Info'!$A:$A&amp;'Roster Info'!$G:$G&amp;'Roster Info'!$D:$D,'Roster Info'!$E:$E,"")="","-",hyperlink(xlookup(C185&amp;D185&amp;"Steam",'Roster Info'!$A:$A&amp;'Roster Info'!$G:$G&amp;'Roster Info'!$D:$D,'Roster Info'!$E:$E,""),"Steam"))</f>
        <v>-</v>
      </c>
      <c r="AH185" s="63" t="str">
        <f t="array" ref="AH185">if(xlookup(C185&amp;D185&amp;"HLTV",'Roster Info'!$A:$A&amp;'Roster Info'!$G:$G&amp;'Roster Info'!$D:$D,'Roster Info'!$E:$E,"")="","-",hyperlink(xlookup(C185&amp;D185&amp;"HLTV",'Roster Info'!$A:$A&amp;'Roster Info'!$G:$G&amp;'Roster Info'!$D:$D,'Roster Info'!$E:$E,""),"HLTV"))</f>
        <v>-</v>
      </c>
      <c r="AK185" s="63" t="str">
        <f t="array" ref="AK185">if(xlookup(C185&amp;D185&amp;"FaceIt",'Roster Info'!$A:$A&amp;'Roster Info'!$G:$G&amp;'Roster Info'!$D:$D,'Roster Info'!$E:$E,"")="","-",hyperlink(xlookup(C185&amp;D185&amp;"FaceIt",'Roster Info'!$A:$A&amp;'Roster Info'!$G:$G&amp;'Roster Info'!$D:$D,'Roster Info'!$E:$E,""),"FaceIt"))</f>
        <v>-</v>
      </c>
      <c r="AM185" s="61"/>
      <c r="AN185" s="152"/>
      <c r="AO185" s="152"/>
      <c r="AP185" s="219">
        <f>AP183</f>
        <v>16</v>
      </c>
      <c r="AQ185" s="225" t="s">
        <v>127</v>
      </c>
      <c r="AR185" s="226" t="s">
        <v>127</v>
      </c>
      <c r="AV185" s="227" t="str">
        <f t="array" ref="AV185">xlookup(xlookup(AP185&amp;AQ185&amp;"Nationality",'Roster Info'!$A:$A&amp;'Roster Info'!$G:$G&amp;'Roster Info'!$D:$D,'Roster Info'!$E:$E,""),'Roster Info'!$K:$K,'Roster Info'!$L:$L,"")</f>
        <v/>
      </c>
      <c r="AX185" s="228" t="str">
        <f t="array" ref="AX185">xlookup(AP185&amp;AQ185,'Roster Info'!$A:$A&amp;'Roster Info'!$G:$G,'Roster Info'!$F:$F,"")</f>
        <v/>
      </c>
      <c r="BH185" s="229" t="str">
        <f t="array" ref="BH185">xlookup(AP185&amp;AQ185&amp;"Full Name",'Roster Info'!$A:$A&amp;'Roster Info'!$G:$G&amp;'Roster Info'!$D:$D,'Roster Info'!$E:$E,"")</f>
        <v/>
      </c>
      <c r="BR185" s="63" t="str">
        <f t="array" ref="BR185">if(xlookup(AP185&amp;AQ185&amp;"Steam",'Roster Info'!$A:$A&amp;'Roster Info'!$G:$G&amp;'Roster Info'!$D:$D,'Roster Info'!$E:$E,"")="","-",hyperlink(xlookup(AP185&amp;AQ185&amp;"Steam",'Roster Info'!$A:$A&amp;'Roster Info'!$G:$G&amp;'Roster Info'!$D:$D,'Roster Info'!$E:$E,""),"Steam"))</f>
        <v>-</v>
      </c>
      <c r="BU185" s="63" t="str">
        <f t="array" ref="BU185">if(xlookup(AP185&amp;AQ185&amp;"HLTV",'Roster Info'!$A:$A&amp;'Roster Info'!$G:$G&amp;'Roster Info'!$D:$D,'Roster Info'!$E:$E,"")="","-",hyperlink(xlookup(AP185&amp;AQ185&amp;"HLTV",'Roster Info'!$A:$A&amp;'Roster Info'!$G:$G&amp;'Roster Info'!$D:$D,'Roster Info'!$E:$E,""),"HLTV"))</f>
        <v>-</v>
      </c>
      <c r="BX185" s="63" t="str">
        <f t="array" ref="BX185">if(xlookup(AP185&amp;AQ185&amp;"FaceIt",'Roster Info'!$A:$A&amp;'Roster Info'!$G:$G&amp;'Roster Info'!$D:$D,'Roster Info'!$E:$E,"")="","-",hyperlink(xlookup(AP185&amp;AQ185&amp;"FaceIt",'Roster Info'!$A:$A&amp;'Roster Info'!$G:$G&amp;'Roster Info'!$D:$D,'Roster Info'!$E:$E,""),"FaceIt"))</f>
        <v>-</v>
      </c>
      <c r="BZ185" s="61"/>
      <c r="CA185" s="152"/>
      <c r="CB185" s="152"/>
      <c r="CC185" s="152"/>
      <c r="CD185" s="152"/>
    </row>
    <row r="186" ht="15.0" customHeight="1">
      <c r="A186" s="152"/>
      <c r="B186" s="152"/>
      <c r="C186" s="219"/>
      <c r="D186" s="219"/>
      <c r="E186" s="230"/>
      <c r="F186" s="231"/>
      <c r="G186" s="231"/>
      <c r="H186" s="231"/>
      <c r="I186" s="231"/>
      <c r="J186" s="231"/>
      <c r="K186" s="231"/>
      <c r="L186" s="231"/>
      <c r="M186" s="231"/>
      <c r="N186" s="231"/>
      <c r="O186" s="231"/>
      <c r="P186" s="231"/>
      <c r="Q186" s="231"/>
      <c r="R186" s="231"/>
      <c r="S186" s="231"/>
      <c r="T186" s="231"/>
      <c r="U186" s="231"/>
      <c r="V186" s="231"/>
      <c r="W186" s="231"/>
      <c r="X186" s="231"/>
      <c r="Y186" s="231"/>
      <c r="Z186" s="231"/>
      <c r="AA186" s="231"/>
      <c r="AB186" s="231"/>
      <c r="AC186" s="231"/>
      <c r="AD186" s="231"/>
      <c r="AE186" s="231"/>
      <c r="AF186" s="231"/>
      <c r="AG186" s="231"/>
      <c r="AH186" s="231"/>
      <c r="AI186" s="231"/>
      <c r="AJ186" s="231"/>
      <c r="AK186" s="231"/>
      <c r="AL186" s="231"/>
      <c r="AM186" s="232"/>
      <c r="AN186" s="152"/>
      <c r="AO186" s="152"/>
      <c r="AP186" s="219"/>
      <c r="AQ186" s="219"/>
      <c r="AR186" s="230"/>
      <c r="AS186" s="231"/>
      <c r="AT186" s="231"/>
      <c r="AU186" s="231"/>
      <c r="AV186" s="231"/>
      <c r="AW186" s="231"/>
      <c r="AX186" s="231"/>
      <c r="AY186" s="231"/>
      <c r="AZ186" s="231"/>
      <c r="BA186" s="231"/>
      <c r="BB186" s="231"/>
      <c r="BC186" s="231"/>
      <c r="BD186" s="231"/>
      <c r="BE186" s="231"/>
      <c r="BF186" s="231"/>
      <c r="BG186" s="231"/>
      <c r="BH186" s="231"/>
      <c r="BI186" s="231"/>
      <c r="BJ186" s="231"/>
      <c r="BK186" s="231"/>
      <c r="BL186" s="231"/>
      <c r="BM186" s="231"/>
      <c r="BN186" s="231"/>
      <c r="BO186" s="231"/>
      <c r="BP186" s="231"/>
      <c r="BQ186" s="231"/>
      <c r="BR186" s="231"/>
      <c r="BS186" s="231"/>
      <c r="BT186" s="231"/>
      <c r="BU186" s="231"/>
      <c r="BV186" s="231"/>
      <c r="BW186" s="231"/>
      <c r="BX186" s="231"/>
      <c r="BY186" s="231"/>
      <c r="BZ186" s="232"/>
      <c r="CA186" s="152"/>
      <c r="CB186" s="152"/>
      <c r="CC186" s="152"/>
      <c r="CD186" s="152"/>
    </row>
    <row r="187" ht="15.0" customHeight="1">
      <c r="A187" s="152"/>
      <c r="B187" s="152"/>
      <c r="C187" s="219">
        <f>C185</f>
        <v>15</v>
      </c>
      <c r="D187" s="225" t="s">
        <v>133</v>
      </c>
      <c r="E187" s="226" t="s">
        <v>133</v>
      </c>
      <c r="I187" s="227" t="str">
        <f t="array" ref="I187">xlookup(xlookup(C187&amp;D187&amp;"Nationality",'Roster Info'!$A:$A&amp;'Roster Info'!$G:$G&amp;'Roster Info'!$D:$D,'Roster Info'!$E:$E,""),'Roster Info'!$K:$K,'Roster Info'!$L:$L,"")</f>
        <v/>
      </c>
      <c r="K187" s="228" t="str">
        <f t="array" ref="K187">xlookup(C187&amp;D187,'Roster Info'!$A:$A&amp;'Roster Info'!$G:$G,'Roster Info'!$F:$F,"")</f>
        <v/>
      </c>
      <c r="U187" s="229" t="str">
        <f t="array" ref="U187">xlookup(C187&amp;D187&amp;"Full Name",'Roster Info'!$A:$A&amp;'Roster Info'!$G:$G&amp;'Roster Info'!$D:$D,'Roster Info'!$E:$E,"")</f>
        <v/>
      </c>
      <c r="AE187" s="63" t="str">
        <f t="array" ref="AE187">if(xlookup(C187&amp;D187&amp;"Steam",'Roster Info'!$A:$A&amp;'Roster Info'!$G:$G&amp;'Roster Info'!$D:$D,'Roster Info'!$E:$E,"")="","-",hyperlink(xlookup(C187&amp;D187&amp;"Steam",'Roster Info'!$A:$A&amp;'Roster Info'!$G:$G&amp;'Roster Info'!$D:$D,'Roster Info'!$E:$E,""),"Steam"))</f>
        <v>-</v>
      </c>
      <c r="AH187" s="63" t="str">
        <f t="array" ref="AH187">if(xlookup(C187&amp;D187&amp;"HLTV",'Roster Info'!$A:$A&amp;'Roster Info'!$G:$G&amp;'Roster Info'!$D:$D,'Roster Info'!$E:$E,"")="","-",hyperlink(xlookup(C187&amp;D187&amp;"HLTV",'Roster Info'!$A:$A&amp;'Roster Info'!$G:$G&amp;'Roster Info'!$D:$D,'Roster Info'!$E:$E,""),"HLTV"))</f>
        <v>-</v>
      </c>
      <c r="AK187" s="63" t="str">
        <f t="array" ref="AK187">if(xlookup(C187&amp;D187&amp;"FaceIt",'Roster Info'!$A:$A&amp;'Roster Info'!$G:$G&amp;'Roster Info'!$D:$D,'Roster Info'!$E:$E,"")="","-",hyperlink(xlookup(C187&amp;D187&amp;"FaceIt",'Roster Info'!$A:$A&amp;'Roster Info'!$G:$G&amp;'Roster Info'!$D:$D,'Roster Info'!$E:$E,""),"FaceIt"))</f>
        <v>-</v>
      </c>
      <c r="AM187" s="61"/>
      <c r="AN187" s="152"/>
      <c r="AO187" s="152"/>
      <c r="AP187" s="219">
        <f>AP185</f>
        <v>16</v>
      </c>
      <c r="AQ187" s="225" t="s">
        <v>133</v>
      </c>
      <c r="AR187" s="226" t="s">
        <v>133</v>
      </c>
      <c r="AV187" s="227" t="str">
        <f t="array" ref="AV187">xlookup(xlookup(AP187&amp;AQ187&amp;"Nationality",'Roster Info'!$A:$A&amp;'Roster Info'!$G:$G&amp;'Roster Info'!$D:$D,'Roster Info'!$E:$E,""),'Roster Info'!$K:$K,'Roster Info'!$L:$L,"")</f>
        <v/>
      </c>
      <c r="AX187" s="228" t="str">
        <f t="array" ref="AX187">xlookup(AP187&amp;AQ187,'Roster Info'!$A:$A&amp;'Roster Info'!$G:$G,'Roster Info'!$F:$F,"")</f>
        <v/>
      </c>
      <c r="BH187" s="229" t="str">
        <f t="array" ref="BH187">xlookup(AP187&amp;AQ187&amp;"Full Name",'Roster Info'!$A:$A&amp;'Roster Info'!$G:$G&amp;'Roster Info'!$D:$D,'Roster Info'!$E:$E,"")</f>
        <v/>
      </c>
      <c r="BR187" s="63" t="str">
        <f t="array" ref="BR187">if(xlookup(AP187&amp;AQ187&amp;"Steam",'Roster Info'!$A:$A&amp;'Roster Info'!$G:$G&amp;'Roster Info'!$D:$D,'Roster Info'!$E:$E,"")="","-",hyperlink(xlookup(AP187&amp;AQ187&amp;"Steam",'Roster Info'!$A:$A&amp;'Roster Info'!$G:$G&amp;'Roster Info'!$D:$D,'Roster Info'!$E:$E,""),"Steam"))</f>
        <v>-</v>
      </c>
      <c r="BU187" s="63" t="str">
        <f t="array" ref="BU187">if(xlookup(AP187&amp;AQ187&amp;"HLTV",'Roster Info'!$A:$A&amp;'Roster Info'!$G:$G&amp;'Roster Info'!$D:$D,'Roster Info'!$E:$E,"")="","-",hyperlink(xlookup(AP187&amp;AQ187&amp;"HLTV",'Roster Info'!$A:$A&amp;'Roster Info'!$G:$G&amp;'Roster Info'!$D:$D,'Roster Info'!$E:$E,""),"HLTV"))</f>
        <v>-</v>
      </c>
      <c r="BX187" s="63" t="str">
        <f t="array" ref="BX187">if(xlookup(AP187&amp;AQ187&amp;"FaceIt",'Roster Info'!$A:$A&amp;'Roster Info'!$G:$G&amp;'Roster Info'!$D:$D,'Roster Info'!$E:$E,"")="","-",hyperlink(xlookup(AP187&amp;AQ187&amp;"FaceIt",'Roster Info'!$A:$A&amp;'Roster Info'!$G:$G&amp;'Roster Info'!$D:$D,'Roster Info'!$E:$E,""),"FaceIt"))</f>
        <v>-</v>
      </c>
      <c r="BZ187" s="61"/>
      <c r="CA187" s="152"/>
      <c r="CB187" s="152"/>
      <c r="CC187" s="152"/>
      <c r="CD187" s="152"/>
    </row>
    <row r="188" ht="15.0" customHeight="1">
      <c r="A188" s="152"/>
      <c r="B188" s="152"/>
      <c r="C188" s="219"/>
      <c r="D188" s="219"/>
      <c r="E188" s="230"/>
      <c r="F188" s="231"/>
      <c r="G188" s="231"/>
      <c r="H188" s="231"/>
      <c r="I188" s="231"/>
      <c r="J188" s="231"/>
      <c r="K188" s="231"/>
      <c r="L188" s="231"/>
      <c r="M188" s="231"/>
      <c r="N188" s="231"/>
      <c r="O188" s="231"/>
      <c r="P188" s="231"/>
      <c r="Q188" s="231"/>
      <c r="R188" s="231"/>
      <c r="S188" s="231"/>
      <c r="T188" s="231"/>
      <c r="U188" s="231"/>
      <c r="V188" s="231"/>
      <c r="W188" s="231"/>
      <c r="X188" s="231"/>
      <c r="Y188" s="231"/>
      <c r="Z188" s="231"/>
      <c r="AA188" s="231"/>
      <c r="AB188" s="231"/>
      <c r="AC188" s="231"/>
      <c r="AD188" s="231"/>
      <c r="AE188" s="231"/>
      <c r="AF188" s="231"/>
      <c r="AG188" s="231"/>
      <c r="AH188" s="231"/>
      <c r="AI188" s="231"/>
      <c r="AJ188" s="231"/>
      <c r="AK188" s="231"/>
      <c r="AL188" s="231"/>
      <c r="AM188" s="232"/>
      <c r="AN188" s="152"/>
      <c r="AO188" s="152"/>
      <c r="AP188" s="219"/>
      <c r="AQ188" s="219"/>
      <c r="AR188" s="230"/>
      <c r="AS188" s="231"/>
      <c r="AT188" s="231"/>
      <c r="AU188" s="231"/>
      <c r="AV188" s="231"/>
      <c r="AW188" s="231"/>
      <c r="AX188" s="231"/>
      <c r="AY188" s="231"/>
      <c r="AZ188" s="231"/>
      <c r="BA188" s="231"/>
      <c r="BB188" s="231"/>
      <c r="BC188" s="231"/>
      <c r="BD188" s="231"/>
      <c r="BE188" s="231"/>
      <c r="BF188" s="231"/>
      <c r="BG188" s="231"/>
      <c r="BH188" s="231"/>
      <c r="BI188" s="231"/>
      <c r="BJ188" s="231"/>
      <c r="BK188" s="231"/>
      <c r="BL188" s="231"/>
      <c r="BM188" s="231"/>
      <c r="BN188" s="231"/>
      <c r="BO188" s="231"/>
      <c r="BP188" s="231"/>
      <c r="BQ188" s="231"/>
      <c r="BR188" s="231"/>
      <c r="BS188" s="231"/>
      <c r="BT188" s="231"/>
      <c r="BU188" s="231"/>
      <c r="BV188" s="231"/>
      <c r="BW188" s="231"/>
      <c r="BX188" s="231"/>
      <c r="BY188" s="231"/>
      <c r="BZ188" s="232"/>
      <c r="CA188" s="152"/>
      <c r="CB188" s="152"/>
      <c r="CC188" s="152"/>
      <c r="CD188" s="152"/>
    </row>
    <row r="189" ht="15.0" customHeight="1">
      <c r="A189" s="152"/>
      <c r="B189" s="152"/>
      <c r="C189" s="219">
        <f>C187</f>
        <v>15</v>
      </c>
      <c r="D189" s="233" t="s">
        <v>139</v>
      </c>
      <c r="E189" s="234" t="s">
        <v>319</v>
      </c>
      <c r="I189" s="227" t="str">
        <f t="array" ref="I189">xlookup(xlookup(C189&amp;D189&amp;"Nationality",'Roster Info'!$A:$A&amp;'Roster Info'!$G:$G&amp;'Roster Info'!$D:$D,'Roster Info'!$E:$E,""),'Roster Info'!$K:$K,'Roster Info'!$L:$L,"")</f>
        <v/>
      </c>
      <c r="K189" s="228" t="str">
        <f t="array" ref="K189">xlookup(C189&amp;D189,'Roster Info'!$A:$A&amp;'Roster Info'!$G:$G,'Roster Info'!$F:$F,"")</f>
        <v/>
      </c>
      <c r="U189" s="229" t="str">
        <f t="array" ref="U189">xlookup(C189&amp;D189&amp;"Full Name",'Roster Info'!$A:$A&amp;'Roster Info'!$G:$G&amp;'Roster Info'!$D:$D,'Roster Info'!$E:$E,"")</f>
        <v/>
      </c>
      <c r="AE189" s="63" t="str">
        <f t="array" ref="AE189">if(xlookup(C189&amp;D189&amp;"Steam",'Roster Info'!$A:$A&amp;'Roster Info'!$G:$G&amp;'Roster Info'!$D:$D,'Roster Info'!$E:$E,"")="","-",hyperlink(xlookup(C189&amp;D189&amp;"Steam",'Roster Info'!$A:$A&amp;'Roster Info'!$G:$G&amp;'Roster Info'!$D:$D,'Roster Info'!$E:$E,""),"Steam"))</f>
        <v>-</v>
      </c>
      <c r="AH189" s="63" t="str">
        <f t="array" ref="AH189">if(xlookup(C189&amp;D189&amp;"HLTV",'Roster Info'!$A:$A&amp;'Roster Info'!$G:$G&amp;'Roster Info'!$D:$D,'Roster Info'!$E:$E,"")="","-",hyperlink(xlookup(C189&amp;D189&amp;"HLTV",'Roster Info'!$A:$A&amp;'Roster Info'!$G:$G&amp;'Roster Info'!$D:$D,'Roster Info'!$E:$E,""),"HLTV"))</f>
        <v>-</v>
      </c>
      <c r="AK189" s="63" t="str">
        <f t="array" ref="AK189">if(xlookup(C189&amp;D189&amp;"FaceIt",'Roster Info'!$A:$A&amp;'Roster Info'!$G:$G&amp;'Roster Info'!$D:$D,'Roster Info'!$E:$E,"")="","-",hyperlink(xlookup(C189&amp;D189&amp;"FaceIt",'Roster Info'!$A:$A&amp;'Roster Info'!$G:$G&amp;'Roster Info'!$D:$D,'Roster Info'!$E:$E,""),"FaceIt"))</f>
        <v>-</v>
      </c>
      <c r="AM189" s="61"/>
      <c r="AN189" s="152"/>
      <c r="AO189" s="152"/>
      <c r="AP189" s="219">
        <f>AP187</f>
        <v>16</v>
      </c>
      <c r="AQ189" s="233" t="s">
        <v>139</v>
      </c>
      <c r="AR189" s="234" t="s">
        <v>319</v>
      </c>
      <c r="AV189" s="227" t="str">
        <f t="array" ref="AV189">xlookup(xlookup(AP189&amp;AQ189&amp;"Nationality",'Roster Info'!$A:$A&amp;'Roster Info'!$G:$G&amp;'Roster Info'!$D:$D,'Roster Info'!$E:$E,""),'Roster Info'!$K:$K,'Roster Info'!$L:$L,"")</f>
        <v/>
      </c>
      <c r="AX189" s="228" t="str">
        <f t="array" ref="AX189">xlookup(AP189&amp;AQ189,'Roster Info'!$A:$A&amp;'Roster Info'!$G:$G,'Roster Info'!$F:$F,"")</f>
        <v/>
      </c>
      <c r="BH189" s="229" t="str">
        <f t="array" ref="BH189">xlookup(AP189&amp;AQ189&amp;"Full Name",'Roster Info'!$A:$A&amp;'Roster Info'!$G:$G&amp;'Roster Info'!$D:$D,'Roster Info'!$E:$E,"")</f>
        <v/>
      </c>
      <c r="BR189" s="63" t="str">
        <f t="array" ref="BR189">if(xlookup(AP189&amp;AQ189&amp;"Steam",'Roster Info'!$A:$A&amp;'Roster Info'!$G:$G&amp;'Roster Info'!$D:$D,'Roster Info'!$E:$E,"")="","-",hyperlink(xlookup(AP189&amp;AQ189&amp;"Steam",'Roster Info'!$A:$A&amp;'Roster Info'!$G:$G&amp;'Roster Info'!$D:$D,'Roster Info'!$E:$E,""),"Steam"))</f>
        <v>-</v>
      </c>
      <c r="BU189" s="63" t="str">
        <f t="array" ref="BU189">if(xlookup(AP189&amp;AQ189&amp;"HLTV",'Roster Info'!$A:$A&amp;'Roster Info'!$G:$G&amp;'Roster Info'!$D:$D,'Roster Info'!$E:$E,"")="","-",hyperlink(xlookup(AP189&amp;AQ189&amp;"HLTV",'Roster Info'!$A:$A&amp;'Roster Info'!$G:$G&amp;'Roster Info'!$D:$D,'Roster Info'!$E:$E,""),"HLTV"))</f>
        <v>-</v>
      </c>
      <c r="BX189" s="63" t="str">
        <f t="array" ref="BX189">if(xlookup(AP189&amp;AQ189&amp;"FaceIt",'Roster Info'!$A:$A&amp;'Roster Info'!$G:$G&amp;'Roster Info'!$D:$D,'Roster Info'!$E:$E,"")="","-",hyperlink(xlookup(AP189&amp;AQ189&amp;"FaceIt",'Roster Info'!$A:$A&amp;'Roster Info'!$G:$G&amp;'Roster Info'!$D:$D,'Roster Info'!$E:$E,""),"FaceIt"))</f>
        <v>-</v>
      </c>
      <c r="BZ189" s="61"/>
      <c r="CA189" s="152"/>
      <c r="CB189" s="152"/>
      <c r="CC189" s="152"/>
      <c r="CD189" s="152"/>
    </row>
    <row r="190" ht="15.0" customHeight="1">
      <c r="A190" s="152"/>
      <c r="B190" s="152"/>
      <c r="C190" s="219"/>
      <c r="D190" s="219"/>
      <c r="E190" s="230"/>
      <c r="F190" s="231"/>
      <c r="G190" s="231"/>
      <c r="H190" s="231"/>
      <c r="I190" s="231"/>
      <c r="J190" s="231"/>
      <c r="K190" s="231"/>
      <c r="L190" s="231"/>
      <c r="M190" s="231"/>
      <c r="N190" s="231"/>
      <c r="O190" s="231"/>
      <c r="P190" s="231"/>
      <c r="Q190" s="231"/>
      <c r="R190" s="231"/>
      <c r="S190" s="231"/>
      <c r="T190" s="231"/>
      <c r="U190" s="231"/>
      <c r="V190" s="231"/>
      <c r="W190" s="231"/>
      <c r="X190" s="231"/>
      <c r="Y190" s="231"/>
      <c r="Z190" s="231"/>
      <c r="AA190" s="231"/>
      <c r="AB190" s="231"/>
      <c r="AC190" s="231"/>
      <c r="AD190" s="231"/>
      <c r="AE190" s="231"/>
      <c r="AF190" s="231"/>
      <c r="AG190" s="231"/>
      <c r="AH190" s="231"/>
      <c r="AI190" s="231"/>
      <c r="AJ190" s="231"/>
      <c r="AK190" s="231"/>
      <c r="AL190" s="231"/>
      <c r="AM190" s="232"/>
      <c r="AN190" s="152"/>
      <c r="AO190" s="152"/>
      <c r="AP190" s="219"/>
      <c r="AQ190" s="219"/>
      <c r="AR190" s="230"/>
      <c r="AS190" s="231"/>
      <c r="AT190" s="231"/>
      <c r="AU190" s="231"/>
      <c r="AV190" s="231"/>
      <c r="AW190" s="231"/>
      <c r="AX190" s="231"/>
      <c r="AY190" s="231"/>
      <c r="AZ190" s="231"/>
      <c r="BA190" s="231"/>
      <c r="BB190" s="231"/>
      <c r="BC190" s="231"/>
      <c r="BD190" s="231"/>
      <c r="BE190" s="231"/>
      <c r="BF190" s="231"/>
      <c r="BG190" s="231"/>
      <c r="BH190" s="231"/>
      <c r="BI190" s="231"/>
      <c r="BJ190" s="231"/>
      <c r="BK190" s="231"/>
      <c r="BL190" s="231"/>
      <c r="BM190" s="231"/>
      <c r="BN190" s="231"/>
      <c r="BO190" s="231"/>
      <c r="BP190" s="231"/>
      <c r="BQ190" s="231"/>
      <c r="BR190" s="231"/>
      <c r="BS190" s="231"/>
      <c r="BT190" s="231"/>
      <c r="BU190" s="231"/>
      <c r="BV190" s="231"/>
      <c r="BW190" s="231"/>
      <c r="BX190" s="231"/>
      <c r="BY190" s="231"/>
      <c r="BZ190" s="232"/>
      <c r="CA190" s="152"/>
      <c r="CB190" s="152"/>
      <c r="CC190" s="152"/>
      <c r="CD190" s="152"/>
    </row>
    <row r="191" ht="15.0" customHeight="1">
      <c r="A191" s="152"/>
      <c r="B191" s="152"/>
      <c r="C191" s="219">
        <f>C189</f>
        <v>15</v>
      </c>
      <c r="D191" s="225" t="s">
        <v>145</v>
      </c>
      <c r="E191" s="226" t="s">
        <v>145</v>
      </c>
      <c r="I191" s="227" t="str">
        <f t="array" ref="I191">xlookup(xlookup(C191&amp;D191&amp;"Nationality",'Roster Info'!$A:$A&amp;'Roster Info'!$G:$G&amp;'Roster Info'!$D:$D,'Roster Info'!$E:$E,""),'Roster Info'!$K:$K,'Roster Info'!$L:$L,"")</f>
        <v/>
      </c>
      <c r="K191" s="228" t="str">
        <f t="array" ref="K191">xlookup(C191&amp;D191,'Roster Info'!$A:$A&amp;'Roster Info'!$G:$G,'Roster Info'!$F:$F,"")</f>
        <v/>
      </c>
      <c r="U191" s="229" t="str">
        <f t="array" ref="U191">xlookup(C191&amp;D191&amp;"Full Name",'Roster Info'!$A:$A&amp;'Roster Info'!$G:$G&amp;'Roster Info'!$D:$D,'Roster Info'!$E:$E,"")</f>
        <v/>
      </c>
      <c r="AE191" s="63" t="str">
        <f t="array" ref="AE191">if(xlookup(C191&amp;D191&amp;"Steam",'Roster Info'!$A:$A&amp;'Roster Info'!$G:$G&amp;'Roster Info'!$D:$D,'Roster Info'!$E:$E,"")="","-",hyperlink(xlookup(C191&amp;D191&amp;"Steam",'Roster Info'!$A:$A&amp;'Roster Info'!$G:$G&amp;'Roster Info'!$D:$D,'Roster Info'!$E:$E,""),"Steam"))</f>
        <v>-</v>
      </c>
      <c r="AH191" s="63" t="str">
        <f t="array" ref="AH191">if(xlookup(C191&amp;D191&amp;"HLTV",'Roster Info'!$A:$A&amp;'Roster Info'!$G:$G&amp;'Roster Info'!$D:$D,'Roster Info'!$E:$E,"")="","-",hyperlink(xlookup(C191&amp;D191&amp;"HLTV",'Roster Info'!$A:$A&amp;'Roster Info'!$G:$G&amp;'Roster Info'!$D:$D,'Roster Info'!$E:$E,""),"HLTV"))</f>
        <v>-</v>
      </c>
      <c r="AK191" s="63" t="str">
        <f t="array" ref="AK191">if(xlookup(C191&amp;D191&amp;"FaceIt",'Roster Info'!$A:$A&amp;'Roster Info'!$G:$G&amp;'Roster Info'!$D:$D,'Roster Info'!$E:$E,"")="","-",hyperlink(xlookup(C191&amp;D191&amp;"FaceIt",'Roster Info'!$A:$A&amp;'Roster Info'!$G:$G&amp;'Roster Info'!$D:$D,'Roster Info'!$E:$E,""),"FaceIt"))</f>
        <v>-</v>
      </c>
      <c r="AM191" s="61"/>
      <c r="AN191" s="152"/>
      <c r="AO191" s="152"/>
      <c r="AP191" s="219">
        <f>AP189</f>
        <v>16</v>
      </c>
      <c r="AQ191" s="225" t="s">
        <v>145</v>
      </c>
      <c r="AR191" s="226" t="s">
        <v>145</v>
      </c>
      <c r="AV191" s="227" t="str">
        <f t="array" ref="AV191">xlookup(xlookup(AP191&amp;AQ191&amp;"Nationality",'Roster Info'!$A:$A&amp;'Roster Info'!$G:$G&amp;'Roster Info'!$D:$D,'Roster Info'!$E:$E,""),'Roster Info'!$K:$K,'Roster Info'!$L:$L,"")</f>
        <v/>
      </c>
      <c r="AX191" s="228" t="str">
        <f t="array" ref="AX191">xlookup(AP191&amp;AQ191,'Roster Info'!$A:$A&amp;'Roster Info'!$G:$G,'Roster Info'!$F:$F,"")</f>
        <v/>
      </c>
      <c r="BH191" s="229" t="str">
        <f t="array" ref="BH191">xlookup(AP191&amp;AQ191&amp;"Full Name",'Roster Info'!$A:$A&amp;'Roster Info'!$G:$G&amp;'Roster Info'!$D:$D,'Roster Info'!$E:$E,"")</f>
        <v/>
      </c>
      <c r="BR191" s="63" t="str">
        <f t="array" ref="BR191">if(xlookup(AP191&amp;AQ191&amp;"Steam",'Roster Info'!$A:$A&amp;'Roster Info'!$G:$G&amp;'Roster Info'!$D:$D,'Roster Info'!$E:$E,"")="","-",hyperlink(xlookup(AP191&amp;AQ191&amp;"Steam",'Roster Info'!$A:$A&amp;'Roster Info'!$G:$G&amp;'Roster Info'!$D:$D,'Roster Info'!$E:$E,""),"Steam"))</f>
        <v>-</v>
      </c>
      <c r="BU191" s="63" t="str">
        <f t="array" ref="BU191">if(xlookup(AP191&amp;AQ191&amp;"HLTV",'Roster Info'!$A:$A&amp;'Roster Info'!$G:$G&amp;'Roster Info'!$D:$D,'Roster Info'!$E:$E,"")="","-",hyperlink(xlookup(AP191&amp;AQ191&amp;"HLTV",'Roster Info'!$A:$A&amp;'Roster Info'!$G:$G&amp;'Roster Info'!$D:$D,'Roster Info'!$E:$E,""),"HLTV"))</f>
        <v>-</v>
      </c>
      <c r="BX191" s="63" t="str">
        <f t="array" ref="BX191">if(xlookup(AP191&amp;AQ191&amp;"FaceIt",'Roster Info'!$A:$A&amp;'Roster Info'!$G:$G&amp;'Roster Info'!$D:$D,'Roster Info'!$E:$E,"")="","-",hyperlink(xlookup(AP191&amp;AQ191&amp;"FaceIt",'Roster Info'!$A:$A&amp;'Roster Info'!$G:$G&amp;'Roster Info'!$D:$D,'Roster Info'!$E:$E,""),"FaceIt"))</f>
        <v>-</v>
      </c>
      <c r="BZ191" s="61"/>
      <c r="CA191" s="152"/>
      <c r="CB191" s="152"/>
      <c r="CC191" s="152"/>
      <c r="CD191" s="152"/>
    </row>
    <row r="192" ht="15.0" customHeight="1">
      <c r="A192" s="152"/>
      <c r="B192" s="152"/>
      <c r="C192" s="219"/>
      <c r="D192" s="219"/>
      <c r="E192" s="101"/>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02"/>
      <c r="AK192" s="102"/>
      <c r="AL192" s="102"/>
      <c r="AM192" s="164"/>
      <c r="AN192" s="152"/>
      <c r="AO192" s="152"/>
      <c r="AP192" s="219"/>
      <c r="AQ192" s="219"/>
      <c r="AR192" s="101"/>
      <c r="AS192" s="102"/>
      <c r="AT192" s="102"/>
      <c r="AU192" s="102"/>
      <c r="AV192" s="102"/>
      <c r="AW192" s="102"/>
      <c r="AX192" s="102"/>
      <c r="AY192" s="102"/>
      <c r="AZ192" s="102"/>
      <c r="BA192" s="102"/>
      <c r="BB192" s="102"/>
      <c r="BC192" s="102"/>
      <c r="BD192" s="102"/>
      <c r="BE192" s="102"/>
      <c r="BF192" s="102"/>
      <c r="BG192" s="102"/>
      <c r="BH192" s="102"/>
      <c r="BI192" s="102"/>
      <c r="BJ192" s="102"/>
      <c r="BK192" s="102"/>
      <c r="BL192" s="102"/>
      <c r="BM192" s="102"/>
      <c r="BN192" s="102"/>
      <c r="BO192" s="102"/>
      <c r="BP192" s="102"/>
      <c r="BQ192" s="102"/>
      <c r="BR192" s="102"/>
      <c r="BS192" s="102"/>
      <c r="BT192" s="102"/>
      <c r="BU192" s="102"/>
      <c r="BV192" s="102"/>
      <c r="BW192" s="102"/>
      <c r="BX192" s="102"/>
      <c r="BY192" s="102"/>
      <c r="BZ192" s="164"/>
      <c r="CA192" s="152"/>
      <c r="CB192" s="152"/>
      <c r="CC192" s="152"/>
      <c r="CD192" s="152"/>
    </row>
    <row r="193" ht="15.0" customHeight="1">
      <c r="A193" s="152"/>
      <c r="B193" s="152"/>
      <c r="C193" s="219"/>
      <c r="D193" s="219"/>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c r="AA193" s="152"/>
      <c r="AB193" s="152"/>
      <c r="AC193" s="152"/>
      <c r="AD193" s="152"/>
      <c r="AE193" s="152"/>
      <c r="AF193" s="152"/>
      <c r="AG193" s="152"/>
      <c r="AH193" s="152"/>
      <c r="AI193" s="152"/>
      <c r="AJ193" s="152"/>
      <c r="AK193" s="152"/>
      <c r="AL193" s="152"/>
      <c r="AM193" s="152"/>
      <c r="AN193" s="152"/>
      <c r="AO193" s="152"/>
      <c r="AP193" s="219"/>
      <c r="AQ193" s="219"/>
      <c r="AR193" s="152"/>
      <c r="AS193" s="152"/>
      <c r="AT193" s="152"/>
      <c r="AU193" s="152"/>
      <c r="AV193" s="152"/>
      <c r="AW193" s="152"/>
      <c r="AX193" s="152"/>
      <c r="AY193" s="152"/>
      <c r="AZ193" s="152"/>
      <c r="BA193" s="152"/>
      <c r="BB193" s="152"/>
      <c r="BC193" s="152"/>
      <c r="BD193" s="152"/>
      <c r="BE193" s="152"/>
      <c r="BF193" s="152"/>
      <c r="BG193" s="152"/>
      <c r="BH193" s="152"/>
      <c r="BI193" s="152"/>
      <c r="BJ193" s="152"/>
      <c r="BK193" s="152"/>
      <c r="BL193" s="152"/>
      <c r="BM193" s="152"/>
      <c r="BN193" s="152"/>
      <c r="BO193" s="152"/>
      <c r="BP193" s="152"/>
      <c r="BQ193" s="152"/>
      <c r="BR193" s="152"/>
      <c r="BS193" s="152"/>
      <c r="BT193" s="152"/>
      <c r="BU193" s="152"/>
      <c r="BV193" s="152"/>
      <c r="BW193" s="152"/>
      <c r="BX193" s="152"/>
      <c r="BY193" s="152"/>
      <c r="BZ193" s="152"/>
      <c r="CA193" s="152"/>
      <c r="CB193" s="152"/>
      <c r="CC193" s="152"/>
      <c r="CD193" s="152"/>
    </row>
    <row r="194" ht="15.0" customHeight="1">
      <c r="A194" s="152"/>
      <c r="B194" s="152"/>
      <c r="C194" s="219"/>
      <c r="D194" s="219"/>
      <c r="E194" s="152"/>
      <c r="F194" s="152"/>
      <c r="G194" s="152"/>
      <c r="H194" s="152"/>
      <c r="I194" s="152"/>
      <c r="J194" s="152"/>
      <c r="K194" s="152"/>
      <c r="L194" s="152"/>
      <c r="M194" s="152"/>
      <c r="N194" s="152"/>
      <c r="O194" s="152"/>
      <c r="P194" s="152"/>
      <c r="Q194" s="152"/>
      <c r="R194" s="152"/>
      <c r="S194" s="152"/>
      <c r="T194" s="152"/>
      <c r="U194" s="152"/>
      <c r="V194" s="152"/>
      <c r="W194" s="152"/>
      <c r="X194" s="152"/>
      <c r="Y194" s="152"/>
      <c r="Z194" s="152"/>
      <c r="AA194" s="152"/>
      <c r="AB194" s="152"/>
      <c r="AC194" s="152"/>
      <c r="AD194" s="152"/>
      <c r="AE194" s="152"/>
      <c r="AF194" s="152"/>
      <c r="AG194" s="152"/>
      <c r="AH194" s="152"/>
      <c r="AI194" s="152"/>
      <c r="AJ194" s="152"/>
      <c r="AK194" s="152"/>
      <c r="AL194" s="152"/>
      <c r="AM194" s="152"/>
      <c r="AN194" s="152"/>
      <c r="AO194" s="152"/>
      <c r="AP194" s="219"/>
      <c r="AQ194" s="219"/>
      <c r="AR194" s="152"/>
      <c r="AS194" s="152"/>
      <c r="AT194" s="152"/>
      <c r="AU194" s="152"/>
      <c r="AV194" s="152"/>
      <c r="AW194" s="152"/>
      <c r="AX194" s="152"/>
      <c r="AY194" s="152"/>
      <c r="AZ194" s="152"/>
      <c r="BA194" s="152"/>
      <c r="BB194" s="152"/>
      <c r="BC194" s="152"/>
      <c r="BD194" s="152"/>
      <c r="BE194" s="152"/>
      <c r="BF194" s="152"/>
      <c r="BG194" s="152"/>
      <c r="BH194" s="152"/>
      <c r="BI194" s="152"/>
      <c r="BJ194" s="152"/>
      <c r="BK194" s="152"/>
      <c r="BL194" s="152"/>
      <c r="BM194" s="152"/>
      <c r="BN194" s="152"/>
      <c r="BO194" s="152"/>
      <c r="BP194" s="152"/>
      <c r="BQ194" s="152"/>
      <c r="BR194" s="152"/>
      <c r="BS194" s="152"/>
      <c r="BT194" s="152"/>
      <c r="BU194" s="152"/>
      <c r="BV194" s="152"/>
      <c r="BW194" s="152"/>
      <c r="BX194" s="152"/>
      <c r="BY194" s="152"/>
      <c r="BZ194" s="152"/>
      <c r="CA194" s="152"/>
      <c r="CB194" s="152"/>
      <c r="CC194" s="152"/>
      <c r="CD194" s="152"/>
    </row>
    <row r="195" ht="15.0" customHeight="1">
      <c r="A195" s="152"/>
      <c r="B195" s="152"/>
      <c r="C195" s="219"/>
      <c r="D195" s="219"/>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c r="AA195" s="152"/>
      <c r="AB195" s="152"/>
      <c r="AC195" s="152"/>
      <c r="AD195" s="152"/>
      <c r="AE195" s="152"/>
      <c r="AF195" s="152"/>
      <c r="AG195" s="152"/>
      <c r="AH195" s="152"/>
      <c r="AI195" s="152"/>
      <c r="AJ195" s="152"/>
      <c r="AK195" s="152"/>
      <c r="AL195" s="152"/>
      <c r="AM195" s="152"/>
      <c r="AN195" s="152"/>
      <c r="AO195" s="152"/>
      <c r="AP195" s="219"/>
      <c r="AQ195" s="219"/>
      <c r="AR195" s="152"/>
      <c r="AS195" s="152"/>
      <c r="AT195" s="152"/>
      <c r="AU195" s="152"/>
      <c r="AV195" s="152"/>
      <c r="AW195" s="152"/>
      <c r="AX195" s="152"/>
      <c r="AY195" s="152"/>
      <c r="AZ195" s="152"/>
      <c r="BA195" s="152"/>
      <c r="BB195" s="152"/>
      <c r="BC195" s="152"/>
      <c r="BD195" s="152"/>
      <c r="BE195" s="152"/>
      <c r="BF195" s="152"/>
      <c r="BG195" s="152"/>
      <c r="BH195" s="152"/>
      <c r="BI195" s="152"/>
      <c r="BJ195" s="152"/>
      <c r="BK195" s="152"/>
      <c r="BL195" s="152"/>
      <c r="BM195" s="152"/>
      <c r="BN195" s="152"/>
      <c r="BO195" s="152"/>
      <c r="BP195" s="152"/>
      <c r="BQ195" s="152"/>
      <c r="BR195" s="152"/>
      <c r="BS195" s="152"/>
      <c r="BT195" s="152"/>
      <c r="BU195" s="152"/>
      <c r="BV195" s="152"/>
      <c r="BW195" s="152"/>
      <c r="BX195" s="152"/>
      <c r="BY195" s="152"/>
      <c r="BZ195" s="152"/>
      <c r="CA195" s="152"/>
      <c r="CB195" s="152"/>
      <c r="CC195" s="152"/>
      <c r="CD195" s="152"/>
    </row>
    <row r="196" ht="15.0" customHeight="1">
      <c r="A196" s="152"/>
      <c r="B196" s="152"/>
      <c r="C196" s="219"/>
      <c r="D196" s="219"/>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c r="AA196" s="152"/>
      <c r="AB196" s="152"/>
      <c r="AC196" s="152"/>
      <c r="AD196" s="152"/>
      <c r="AE196" s="152"/>
      <c r="AF196" s="152"/>
      <c r="AG196" s="152"/>
      <c r="AH196" s="152"/>
      <c r="AI196" s="152"/>
      <c r="AJ196" s="152"/>
      <c r="AK196" s="152"/>
      <c r="AL196" s="152"/>
      <c r="AM196" s="152"/>
      <c r="AN196" s="152"/>
      <c r="AO196" s="152"/>
      <c r="AP196" s="219"/>
      <c r="AQ196" s="219"/>
      <c r="AR196" s="152"/>
      <c r="AS196" s="152"/>
      <c r="AT196" s="152"/>
      <c r="AU196" s="152"/>
      <c r="AV196" s="152"/>
      <c r="AW196" s="152"/>
      <c r="AX196" s="152"/>
      <c r="AY196" s="152"/>
      <c r="AZ196" s="152"/>
      <c r="BA196" s="152"/>
      <c r="BB196" s="152"/>
      <c r="BC196" s="152"/>
      <c r="BD196" s="152"/>
      <c r="BE196" s="152"/>
      <c r="BF196" s="152"/>
      <c r="BG196" s="152"/>
      <c r="BH196" s="152"/>
      <c r="BI196" s="152"/>
      <c r="BJ196" s="152"/>
      <c r="BK196" s="152"/>
      <c r="BL196" s="152"/>
      <c r="BM196" s="152"/>
      <c r="BN196" s="152"/>
      <c r="BO196" s="152"/>
      <c r="BP196" s="152"/>
      <c r="BQ196" s="152"/>
      <c r="BR196" s="152"/>
      <c r="BS196" s="152"/>
      <c r="BT196" s="152"/>
      <c r="BU196" s="152"/>
      <c r="BV196" s="152"/>
      <c r="BW196" s="152"/>
      <c r="BX196" s="152"/>
      <c r="BY196" s="152"/>
      <c r="BZ196" s="152"/>
      <c r="CA196" s="152"/>
      <c r="CB196" s="152"/>
      <c r="CC196" s="152"/>
      <c r="CD196" s="152"/>
    </row>
    <row r="197" ht="15.0" customHeight="1">
      <c r="A197" s="152"/>
      <c r="B197" s="152"/>
      <c r="C197" s="219"/>
      <c r="D197" s="219"/>
      <c r="E197" s="220" t="str">
        <f t="array" ref="E197">xlookup(M197,'Team Entry'!$A:$A,'Team Entry'!$B:$B,"")</f>
        <v/>
      </c>
      <c r="F197" s="58"/>
      <c r="G197" s="58"/>
      <c r="H197" s="58"/>
      <c r="I197" s="58"/>
      <c r="J197" s="58"/>
      <c r="K197" s="58"/>
      <c r="L197" s="58"/>
      <c r="M197" s="221" t="str">
        <f t="array" ref="M197">xlookup(C203,'Roster Info'!$A:$A,'Roster Info'!$B:$B,"")</f>
        <v>Team 5 (Group 1)</v>
      </c>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9"/>
      <c r="AN197" s="152"/>
      <c r="AO197" s="152"/>
      <c r="AP197" s="219"/>
      <c r="AQ197" s="219"/>
      <c r="AR197" s="220" t="str">
        <f t="array" ref="AR197">xlookup(AZ197,'Team Entry'!$A:$A,'Team Entry'!$B:$B,"")</f>
        <v/>
      </c>
      <c r="AS197" s="58"/>
      <c r="AT197" s="58"/>
      <c r="AU197" s="58"/>
      <c r="AV197" s="58"/>
      <c r="AW197" s="58"/>
      <c r="AX197" s="58"/>
      <c r="AY197" s="58"/>
      <c r="AZ197" s="221" t="str">
        <f t="array" ref="AZ197">xlookup(AP203,'Roster Info'!$A:$A,'Roster Info'!$B:$B,"")</f>
        <v>Team 6 (Group 1)</v>
      </c>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9"/>
      <c r="CA197" s="152"/>
      <c r="CB197" s="152"/>
      <c r="CC197" s="152"/>
      <c r="CD197" s="152"/>
    </row>
    <row r="198" ht="15.0" customHeight="1">
      <c r="A198" s="152"/>
      <c r="B198" s="152"/>
      <c r="C198" s="219"/>
      <c r="D198" s="219"/>
      <c r="E198" s="60"/>
      <c r="AM198" s="61"/>
      <c r="AN198" s="152"/>
      <c r="AO198" s="152"/>
      <c r="AP198" s="219"/>
      <c r="AQ198" s="219"/>
      <c r="AR198" s="60"/>
      <c r="BZ198" s="61"/>
      <c r="CA198" s="152"/>
      <c r="CB198" s="152"/>
      <c r="CC198" s="152"/>
      <c r="CD198" s="152"/>
    </row>
    <row r="199" ht="15.0" customHeight="1">
      <c r="A199" s="152"/>
      <c r="B199" s="152"/>
      <c r="C199" s="219"/>
      <c r="D199" s="219"/>
      <c r="E199" s="60"/>
      <c r="AM199" s="61"/>
      <c r="AN199" s="152"/>
      <c r="AO199" s="152"/>
      <c r="AP199" s="219"/>
      <c r="AQ199" s="219"/>
      <c r="AR199" s="60"/>
      <c r="BZ199" s="61"/>
      <c r="CA199" s="152"/>
      <c r="CB199" s="152"/>
      <c r="CC199" s="152"/>
      <c r="CD199" s="152"/>
    </row>
    <row r="200" ht="15.0" customHeight="1">
      <c r="A200" s="152"/>
      <c r="B200" s="152"/>
      <c r="C200" s="219"/>
      <c r="D200" s="219"/>
      <c r="E200" s="60"/>
      <c r="AM200" s="61"/>
      <c r="AN200" s="152"/>
      <c r="AO200" s="152"/>
      <c r="AP200" s="219"/>
      <c r="AQ200" s="219"/>
      <c r="AR200" s="60"/>
      <c r="BZ200" s="61"/>
      <c r="CA200" s="152"/>
      <c r="CB200" s="152"/>
      <c r="CC200" s="152"/>
      <c r="CD200" s="152"/>
    </row>
    <row r="201" ht="15.0" customHeight="1">
      <c r="A201" s="152"/>
      <c r="B201" s="152"/>
      <c r="C201" s="219"/>
      <c r="D201" s="219"/>
      <c r="E201" s="60"/>
      <c r="AM201" s="61"/>
      <c r="AN201" s="152"/>
      <c r="AO201" s="152"/>
      <c r="AP201" s="219"/>
      <c r="AQ201" s="219"/>
      <c r="AR201" s="60"/>
      <c r="BZ201" s="61"/>
      <c r="CA201" s="152"/>
      <c r="CB201" s="152"/>
      <c r="CC201" s="152"/>
      <c r="CD201" s="152"/>
    </row>
    <row r="202" ht="15.0" customHeight="1">
      <c r="A202" s="152"/>
      <c r="B202" s="152"/>
      <c r="C202" s="219"/>
      <c r="D202" s="219"/>
      <c r="E202" s="222"/>
      <c r="F202" s="223"/>
      <c r="G202" s="223"/>
      <c r="H202" s="223"/>
      <c r="I202" s="223"/>
      <c r="J202" s="223"/>
      <c r="K202" s="223"/>
      <c r="L202" s="223"/>
      <c r="M202" s="223"/>
      <c r="N202" s="223"/>
      <c r="O202" s="223"/>
      <c r="P202" s="223"/>
      <c r="Q202" s="223"/>
      <c r="R202" s="223"/>
      <c r="S202" s="223"/>
      <c r="T202" s="223"/>
      <c r="U202" s="223"/>
      <c r="V202" s="223"/>
      <c r="W202" s="223"/>
      <c r="X202" s="223"/>
      <c r="Y202" s="223"/>
      <c r="Z202" s="223"/>
      <c r="AA202" s="223"/>
      <c r="AB202" s="223"/>
      <c r="AC202" s="223"/>
      <c r="AD202" s="223"/>
      <c r="AE202" s="223"/>
      <c r="AF202" s="223"/>
      <c r="AG202" s="223"/>
      <c r="AH202" s="223"/>
      <c r="AI202" s="223"/>
      <c r="AJ202" s="223"/>
      <c r="AK202" s="223"/>
      <c r="AL202" s="223"/>
      <c r="AM202" s="224"/>
      <c r="AN202" s="152"/>
      <c r="AO202" s="152"/>
      <c r="AP202" s="219"/>
      <c r="AQ202" s="219"/>
      <c r="AR202" s="222"/>
      <c r="AS202" s="223"/>
      <c r="AT202" s="223"/>
      <c r="AU202" s="223"/>
      <c r="AV202" s="223"/>
      <c r="AW202" s="223"/>
      <c r="AX202" s="223"/>
      <c r="AY202" s="223"/>
      <c r="AZ202" s="223"/>
      <c r="BA202" s="223"/>
      <c r="BB202" s="223"/>
      <c r="BC202" s="223"/>
      <c r="BD202" s="223"/>
      <c r="BE202" s="223"/>
      <c r="BF202" s="223"/>
      <c r="BG202" s="223"/>
      <c r="BH202" s="223"/>
      <c r="BI202" s="223"/>
      <c r="BJ202" s="223"/>
      <c r="BK202" s="223"/>
      <c r="BL202" s="223"/>
      <c r="BM202" s="223"/>
      <c r="BN202" s="223"/>
      <c r="BO202" s="223"/>
      <c r="BP202" s="223"/>
      <c r="BQ202" s="223"/>
      <c r="BR202" s="223"/>
      <c r="BS202" s="223"/>
      <c r="BT202" s="223"/>
      <c r="BU202" s="223"/>
      <c r="BV202" s="223"/>
      <c r="BW202" s="223"/>
      <c r="BX202" s="223"/>
      <c r="BY202" s="223"/>
      <c r="BZ202" s="224"/>
      <c r="CA202" s="152"/>
      <c r="CB202" s="152"/>
      <c r="CC202" s="152"/>
      <c r="CD202" s="152"/>
    </row>
    <row r="203" ht="15.0" customHeight="1">
      <c r="A203" s="152"/>
      <c r="B203" s="152"/>
      <c r="C203" s="225">
        <f>AP179+1</f>
        <v>17</v>
      </c>
      <c r="D203" s="225" t="s">
        <v>109</v>
      </c>
      <c r="E203" s="226" t="s">
        <v>109</v>
      </c>
      <c r="I203" s="227" t="str">
        <f t="array" ref="I203">xlookup(xlookup(C203&amp;D203&amp;"Nationality",'Roster Info'!$A:$A&amp;'Roster Info'!$G:$G&amp;'Roster Info'!$D:$D,'Roster Info'!$E:$E,""),'Roster Info'!$K:$K,'Roster Info'!$L:$L,"")</f>
        <v/>
      </c>
      <c r="K203" s="228" t="str">
        <f t="array" ref="K203">xlookup(C203&amp;D203,'Roster Info'!$A:$A&amp;'Roster Info'!$G:$G,'Roster Info'!$F:$F,"")</f>
        <v/>
      </c>
      <c r="U203" s="229" t="str">
        <f t="array" ref="U203">xlookup(C203&amp;D203&amp;"Full Name",'Roster Info'!$A:$A&amp;'Roster Info'!$G:$G&amp;'Roster Info'!$D:$D,'Roster Info'!$E:$E,"")</f>
        <v/>
      </c>
      <c r="AE203" s="63" t="str">
        <f t="array" ref="AE203">if(xlookup(C203&amp;D203&amp;"Steam",'Roster Info'!$A:$A&amp;'Roster Info'!$G:$G&amp;'Roster Info'!$D:$D,'Roster Info'!$E:$E,"")="","-",hyperlink(xlookup(C203&amp;D203&amp;"Steam",'Roster Info'!$A:$A&amp;'Roster Info'!$G:$G&amp;'Roster Info'!$D:$D,'Roster Info'!$E:$E,""),"Steam"))</f>
        <v>-</v>
      </c>
      <c r="AH203" s="63" t="str">
        <f t="array" ref="AH203">if(xlookup(C203&amp;D203&amp;"HLTV",'Roster Info'!$A:$A&amp;'Roster Info'!$G:$G&amp;'Roster Info'!$D:$D,'Roster Info'!$E:$E,"")="","-",hyperlink(xlookup(C203&amp;D203&amp;"HLTV",'Roster Info'!$A:$A&amp;'Roster Info'!$G:$G&amp;'Roster Info'!$D:$D,'Roster Info'!$E:$E,""),"HLTV"))</f>
        <v>-</v>
      </c>
      <c r="AK203" s="63" t="str">
        <f t="array" ref="AK203">if(xlookup(C203&amp;D203&amp;"FaceIt",'Roster Info'!$A:$A&amp;'Roster Info'!$G:$G&amp;'Roster Info'!$D:$D,'Roster Info'!$E:$E,"")="","-",hyperlink(xlookup(C203&amp;D203&amp;"FaceIt",'Roster Info'!$A:$A&amp;'Roster Info'!$G:$G&amp;'Roster Info'!$D:$D,'Roster Info'!$E:$E,""),"FaceIt"))</f>
        <v>-</v>
      </c>
      <c r="AM203" s="61"/>
      <c r="AN203" s="152"/>
      <c r="AO203" s="152"/>
      <c r="AP203" s="225">
        <f>C203+1</f>
        <v>18</v>
      </c>
      <c r="AQ203" s="225" t="s">
        <v>109</v>
      </c>
      <c r="AR203" s="226" t="s">
        <v>109</v>
      </c>
      <c r="AV203" s="227" t="str">
        <f t="array" ref="AV203">xlookup(xlookup(AP203&amp;AQ203&amp;"Nationality",'Roster Info'!$A:$A&amp;'Roster Info'!$G:$G&amp;'Roster Info'!$D:$D,'Roster Info'!$E:$E,""),'Roster Info'!$K:$K,'Roster Info'!$L:$L,"")</f>
        <v/>
      </c>
      <c r="AX203" s="228" t="str">
        <f t="array" ref="AX203">xlookup(AP203&amp;AQ203,'Roster Info'!$A:$A&amp;'Roster Info'!$G:$G,'Roster Info'!$F:$F,"")</f>
        <v/>
      </c>
      <c r="BH203" s="229" t="str">
        <f t="array" ref="BH203">xlookup(AP203&amp;AQ203&amp;"Full Name",'Roster Info'!$A:$A&amp;'Roster Info'!$G:$G&amp;'Roster Info'!$D:$D,'Roster Info'!$E:$E,"")</f>
        <v/>
      </c>
      <c r="BR203" s="63" t="str">
        <f t="array" ref="BR203">if(xlookup(AP203&amp;AQ203&amp;"Steam",'Roster Info'!$A:$A&amp;'Roster Info'!$G:$G&amp;'Roster Info'!$D:$D,'Roster Info'!$E:$E,"")="","-",hyperlink(xlookup(AP203&amp;AQ203&amp;"Steam",'Roster Info'!$A:$A&amp;'Roster Info'!$G:$G&amp;'Roster Info'!$D:$D,'Roster Info'!$E:$E,""),"Steam"))</f>
        <v>-</v>
      </c>
      <c r="BU203" s="63" t="str">
        <f t="array" ref="BU203">if(xlookup(AP203&amp;AQ203&amp;"HLTV",'Roster Info'!$A:$A&amp;'Roster Info'!$G:$G&amp;'Roster Info'!$D:$D,'Roster Info'!$E:$E,"")="","-",hyperlink(xlookup(AP203&amp;AQ203&amp;"HLTV",'Roster Info'!$A:$A&amp;'Roster Info'!$G:$G&amp;'Roster Info'!$D:$D,'Roster Info'!$E:$E,""),"HLTV"))</f>
        <v>-</v>
      </c>
      <c r="BX203" s="63" t="str">
        <f t="array" ref="BX203">if(xlookup(AP203&amp;AQ203&amp;"FaceIt",'Roster Info'!$A:$A&amp;'Roster Info'!$G:$G&amp;'Roster Info'!$D:$D,'Roster Info'!$E:$E,"")="","-",hyperlink(xlookup(AP203&amp;AQ203&amp;"FaceIt",'Roster Info'!$A:$A&amp;'Roster Info'!$G:$G&amp;'Roster Info'!$D:$D,'Roster Info'!$E:$E,""),"FaceIt"))</f>
        <v>-</v>
      </c>
      <c r="BZ203" s="61"/>
      <c r="CA203" s="152"/>
      <c r="CB203" s="152"/>
      <c r="CC203" s="152"/>
      <c r="CD203" s="152"/>
    </row>
    <row r="204" ht="15.0" customHeight="1">
      <c r="A204" s="152"/>
      <c r="B204" s="152"/>
      <c r="C204" s="219"/>
      <c r="D204" s="219"/>
      <c r="E204" s="230"/>
      <c r="F204" s="231"/>
      <c r="G204" s="231"/>
      <c r="H204" s="231"/>
      <c r="I204" s="231"/>
      <c r="J204" s="231"/>
      <c r="K204" s="231"/>
      <c r="L204" s="231"/>
      <c r="M204" s="231"/>
      <c r="N204" s="231"/>
      <c r="O204" s="231"/>
      <c r="P204" s="231"/>
      <c r="Q204" s="231"/>
      <c r="R204" s="231"/>
      <c r="S204" s="231"/>
      <c r="T204" s="231"/>
      <c r="U204" s="231"/>
      <c r="V204" s="231"/>
      <c r="W204" s="231"/>
      <c r="X204" s="231"/>
      <c r="Y204" s="231"/>
      <c r="Z204" s="231"/>
      <c r="AA204" s="231"/>
      <c r="AB204" s="231"/>
      <c r="AC204" s="231"/>
      <c r="AD204" s="231"/>
      <c r="AE204" s="231"/>
      <c r="AF204" s="231"/>
      <c r="AG204" s="231"/>
      <c r="AH204" s="231"/>
      <c r="AI204" s="231"/>
      <c r="AJ204" s="231"/>
      <c r="AK204" s="231"/>
      <c r="AL204" s="231"/>
      <c r="AM204" s="232"/>
      <c r="AN204" s="152"/>
      <c r="AO204" s="152"/>
      <c r="AP204" s="219"/>
      <c r="AQ204" s="219"/>
      <c r="AR204" s="230"/>
      <c r="AS204" s="231"/>
      <c r="AT204" s="231"/>
      <c r="AU204" s="231"/>
      <c r="AV204" s="231"/>
      <c r="AW204" s="231"/>
      <c r="AX204" s="231"/>
      <c r="AY204" s="231"/>
      <c r="AZ204" s="231"/>
      <c r="BA204" s="231"/>
      <c r="BB204" s="231"/>
      <c r="BC204" s="231"/>
      <c r="BD204" s="231"/>
      <c r="BE204" s="231"/>
      <c r="BF204" s="231"/>
      <c r="BG204" s="231"/>
      <c r="BH204" s="231"/>
      <c r="BI204" s="231"/>
      <c r="BJ204" s="231"/>
      <c r="BK204" s="231"/>
      <c r="BL204" s="231"/>
      <c r="BM204" s="231"/>
      <c r="BN204" s="231"/>
      <c r="BO204" s="231"/>
      <c r="BP204" s="231"/>
      <c r="BQ204" s="231"/>
      <c r="BR204" s="231"/>
      <c r="BS204" s="231"/>
      <c r="BT204" s="231"/>
      <c r="BU204" s="231"/>
      <c r="BV204" s="231"/>
      <c r="BW204" s="231"/>
      <c r="BX204" s="231"/>
      <c r="BY204" s="231"/>
      <c r="BZ204" s="232"/>
      <c r="CA204" s="152"/>
      <c r="CB204" s="152"/>
      <c r="CC204" s="152"/>
      <c r="CD204" s="152"/>
    </row>
    <row r="205" ht="15.0" customHeight="1">
      <c r="A205" s="152"/>
      <c r="B205" s="152"/>
      <c r="C205" s="219">
        <f>C203</f>
        <v>17</v>
      </c>
      <c r="D205" s="225" t="s">
        <v>115</v>
      </c>
      <c r="E205" s="226" t="s">
        <v>115</v>
      </c>
      <c r="I205" s="227" t="str">
        <f t="array" ref="I205">xlookup(xlookup(C205&amp;D205&amp;"Nationality",'Roster Info'!$A:$A&amp;'Roster Info'!$G:$G&amp;'Roster Info'!$D:$D,'Roster Info'!$E:$E,""),'Roster Info'!$K:$K,'Roster Info'!$L:$L,"")</f>
        <v/>
      </c>
      <c r="K205" s="228" t="str">
        <f t="array" ref="K205">xlookup(C205&amp;D205,'Roster Info'!$A:$A&amp;'Roster Info'!$G:$G,'Roster Info'!$F:$F,"")</f>
        <v/>
      </c>
      <c r="U205" s="229" t="str">
        <f t="array" ref="U205">xlookup(C205&amp;D205&amp;"Full Name",'Roster Info'!$A:$A&amp;'Roster Info'!$G:$G&amp;'Roster Info'!$D:$D,'Roster Info'!$E:$E,"")</f>
        <v/>
      </c>
      <c r="AE205" s="63" t="str">
        <f t="array" ref="AE205">if(xlookup(C205&amp;D205&amp;"Steam",'Roster Info'!$A:$A&amp;'Roster Info'!$G:$G&amp;'Roster Info'!$D:$D,'Roster Info'!$E:$E,"")="","-",hyperlink(xlookup(C205&amp;D205&amp;"Steam",'Roster Info'!$A:$A&amp;'Roster Info'!$G:$G&amp;'Roster Info'!$D:$D,'Roster Info'!$E:$E,""),"Steam"))</f>
        <v>-</v>
      </c>
      <c r="AH205" s="63" t="str">
        <f t="array" ref="AH205">if(xlookup(C205&amp;D205&amp;"HLTV",'Roster Info'!$A:$A&amp;'Roster Info'!$G:$G&amp;'Roster Info'!$D:$D,'Roster Info'!$E:$E,"")="","-",hyperlink(xlookup(C205&amp;D205&amp;"HLTV",'Roster Info'!$A:$A&amp;'Roster Info'!$G:$G&amp;'Roster Info'!$D:$D,'Roster Info'!$E:$E,""),"HLTV"))</f>
        <v>-</v>
      </c>
      <c r="AK205" s="63" t="str">
        <f t="array" ref="AK205">if(xlookup(C205&amp;D205&amp;"FaceIt",'Roster Info'!$A:$A&amp;'Roster Info'!$G:$G&amp;'Roster Info'!$D:$D,'Roster Info'!$E:$E,"")="","-",hyperlink(xlookup(C205&amp;D205&amp;"FaceIt",'Roster Info'!$A:$A&amp;'Roster Info'!$G:$G&amp;'Roster Info'!$D:$D,'Roster Info'!$E:$E,""),"FaceIt"))</f>
        <v>-</v>
      </c>
      <c r="AM205" s="61"/>
      <c r="AN205" s="152"/>
      <c r="AO205" s="152"/>
      <c r="AP205" s="219">
        <f>AP203</f>
        <v>18</v>
      </c>
      <c r="AQ205" s="225" t="s">
        <v>115</v>
      </c>
      <c r="AR205" s="226" t="s">
        <v>115</v>
      </c>
      <c r="AV205" s="227" t="str">
        <f t="array" ref="AV205">xlookup(xlookup(AP205&amp;AQ205&amp;"Nationality",'Roster Info'!$A:$A&amp;'Roster Info'!$G:$G&amp;'Roster Info'!$D:$D,'Roster Info'!$E:$E,""),'Roster Info'!$K:$K,'Roster Info'!$L:$L,"")</f>
        <v/>
      </c>
      <c r="AX205" s="228" t="str">
        <f t="array" ref="AX205">xlookup(AP205&amp;AQ205,'Roster Info'!$A:$A&amp;'Roster Info'!$G:$G,'Roster Info'!$F:$F,"")</f>
        <v/>
      </c>
      <c r="BH205" s="229" t="str">
        <f t="array" ref="BH205">xlookup(AP205&amp;AQ205&amp;"Full Name",'Roster Info'!$A:$A&amp;'Roster Info'!$G:$G&amp;'Roster Info'!$D:$D,'Roster Info'!$E:$E,"")</f>
        <v/>
      </c>
      <c r="BR205" s="63" t="str">
        <f t="array" ref="BR205">if(xlookup(AP205&amp;AQ205&amp;"Steam",'Roster Info'!$A:$A&amp;'Roster Info'!$G:$G&amp;'Roster Info'!$D:$D,'Roster Info'!$E:$E,"")="","-",hyperlink(xlookup(AP205&amp;AQ205&amp;"Steam",'Roster Info'!$A:$A&amp;'Roster Info'!$G:$G&amp;'Roster Info'!$D:$D,'Roster Info'!$E:$E,""),"Steam"))</f>
        <v>-</v>
      </c>
      <c r="BU205" s="63" t="str">
        <f t="array" ref="BU205">if(xlookup(AP205&amp;AQ205&amp;"HLTV",'Roster Info'!$A:$A&amp;'Roster Info'!$G:$G&amp;'Roster Info'!$D:$D,'Roster Info'!$E:$E,"")="","-",hyperlink(xlookup(AP205&amp;AQ205&amp;"HLTV",'Roster Info'!$A:$A&amp;'Roster Info'!$G:$G&amp;'Roster Info'!$D:$D,'Roster Info'!$E:$E,""),"HLTV"))</f>
        <v>-</v>
      </c>
      <c r="BX205" s="63" t="str">
        <f t="array" ref="BX205">if(xlookup(AP205&amp;AQ205&amp;"FaceIt",'Roster Info'!$A:$A&amp;'Roster Info'!$G:$G&amp;'Roster Info'!$D:$D,'Roster Info'!$E:$E,"")="","-",hyperlink(xlookup(AP205&amp;AQ205&amp;"FaceIt",'Roster Info'!$A:$A&amp;'Roster Info'!$G:$G&amp;'Roster Info'!$D:$D,'Roster Info'!$E:$E,""),"FaceIt"))</f>
        <v>-</v>
      </c>
      <c r="BZ205" s="61"/>
      <c r="CA205" s="152"/>
      <c r="CB205" s="152"/>
      <c r="CC205" s="152"/>
      <c r="CD205" s="152"/>
    </row>
    <row r="206" ht="15.0" customHeight="1">
      <c r="A206" s="152"/>
      <c r="B206" s="152"/>
      <c r="C206" s="219"/>
      <c r="D206" s="219"/>
      <c r="E206" s="230"/>
      <c r="F206" s="231"/>
      <c r="G206" s="231"/>
      <c r="H206" s="231"/>
      <c r="I206" s="231"/>
      <c r="J206" s="231"/>
      <c r="K206" s="231"/>
      <c r="L206" s="231"/>
      <c r="M206" s="231"/>
      <c r="N206" s="231"/>
      <c r="O206" s="231"/>
      <c r="P206" s="231"/>
      <c r="Q206" s="231"/>
      <c r="R206" s="231"/>
      <c r="S206" s="231"/>
      <c r="T206" s="231"/>
      <c r="U206" s="231"/>
      <c r="V206" s="231"/>
      <c r="W206" s="231"/>
      <c r="X206" s="231"/>
      <c r="Y206" s="231"/>
      <c r="Z206" s="231"/>
      <c r="AA206" s="231"/>
      <c r="AB206" s="231"/>
      <c r="AC206" s="231"/>
      <c r="AD206" s="231"/>
      <c r="AE206" s="231"/>
      <c r="AF206" s="231"/>
      <c r="AG206" s="231"/>
      <c r="AH206" s="231"/>
      <c r="AI206" s="231"/>
      <c r="AJ206" s="231"/>
      <c r="AK206" s="231"/>
      <c r="AL206" s="231"/>
      <c r="AM206" s="232"/>
      <c r="AN206" s="152"/>
      <c r="AO206" s="152"/>
      <c r="AP206" s="219"/>
      <c r="AQ206" s="219"/>
      <c r="AR206" s="230"/>
      <c r="AS206" s="231"/>
      <c r="AT206" s="231"/>
      <c r="AU206" s="231"/>
      <c r="AV206" s="231"/>
      <c r="AW206" s="231"/>
      <c r="AX206" s="231"/>
      <c r="AY206" s="231"/>
      <c r="AZ206" s="231"/>
      <c r="BA206" s="231"/>
      <c r="BB206" s="231"/>
      <c r="BC206" s="231"/>
      <c r="BD206" s="231"/>
      <c r="BE206" s="231"/>
      <c r="BF206" s="231"/>
      <c r="BG206" s="231"/>
      <c r="BH206" s="231"/>
      <c r="BI206" s="231"/>
      <c r="BJ206" s="231"/>
      <c r="BK206" s="231"/>
      <c r="BL206" s="231"/>
      <c r="BM206" s="231"/>
      <c r="BN206" s="231"/>
      <c r="BO206" s="231"/>
      <c r="BP206" s="231"/>
      <c r="BQ206" s="231"/>
      <c r="BR206" s="231"/>
      <c r="BS206" s="231"/>
      <c r="BT206" s="231"/>
      <c r="BU206" s="231"/>
      <c r="BV206" s="231"/>
      <c r="BW206" s="231"/>
      <c r="BX206" s="231"/>
      <c r="BY206" s="231"/>
      <c r="BZ206" s="232"/>
      <c r="CA206" s="152"/>
      <c r="CB206" s="152"/>
      <c r="CC206" s="152"/>
      <c r="CD206" s="152"/>
    </row>
    <row r="207" ht="15.0" customHeight="1">
      <c r="A207" s="152"/>
      <c r="B207" s="152"/>
      <c r="C207" s="219">
        <f>C205</f>
        <v>17</v>
      </c>
      <c r="D207" s="225" t="s">
        <v>121</v>
      </c>
      <c r="E207" s="226" t="s">
        <v>121</v>
      </c>
      <c r="I207" s="227" t="str">
        <f t="array" ref="I207">xlookup(xlookup(C207&amp;D207&amp;"Nationality",'Roster Info'!$A:$A&amp;'Roster Info'!$G:$G&amp;'Roster Info'!$D:$D,'Roster Info'!$E:$E,""),'Roster Info'!$K:$K,'Roster Info'!$L:$L,"")</f>
        <v/>
      </c>
      <c r="K207" s="228" t="str">
        <f t="array" ref="K207">xlookup(C207&amp;D207,'Roster Info'!$A:$A&amp;'Roster Info'!$G:$G,'Roster Info'!$F:$F,"")</f>
        <v/>
      </c>
      <c r="U207" s="229" t="str">
        <f t="array" ref="U207">xlookup(C207&amp;D207&amp;"Full Name",'Roster Info'!$A:$A&amp;'Roster Info'!$G:$G&amp;'Roster Info'!$D:$D,'Roster Info'!$E:$E,"")</f>
        <v/>
      </c>
      <c r="AE207" s="63" t="str">
        <f t="array" ref="AE207">if(xlookup(C207&amp;D207&amp;"Steam",'Roster Info'!$A:$A&amp;'Roster Info'!$G:$G&amp;'Roster Info'!$D:$D,'Roster Info'!$E:$E,"")="","-",hyperlink(xlookup(C207&amp;D207&amp;"Steam",'Roster Info'!$A:$A&amp;'Roster Info'!$G:$G&amp;'Roster Info'!$D:$D,'Roster Info'!$E:$E,""),"Steam"))</f>
        <v>-</v>
      </c>
      <c r="AH207" s="63" t="str">
        <f t="array" ref="AH207">if(xlookup(C207&amp;D207&amp;"HLTV",'Roster Info'!$A:$A&amp;'Roster Info'!$G:$G&amp;'Roster Info'!$D:$D,'Roster Info'!$E:$E,"")="","-",hyperlink(xlookup(C207&amp;D207&amp;"HLTV",'Roster Info'!$A:$A&amp;'Roster Info'!$G:$G&amp;'Roster Info'!$D:$D,'Roster Info'!$E:$E,""),"HLTV"))</f>
        <v>-</v>
      </c>
      <c r="AK207" s="63" t="str">
        <f t="array" ref="AK207">if(xlookup(C207&amp;D207&amp;"FaceIt",'Roster Info'!$A:$A&amp;'Roster Info'!$G:$G&amp;'Roster Info'!$D:$D,'Roster Info'!$E:$E,"")="","-",hyperlink(xlookup(C207&amp;D207&amp;"FaceIt",'Roster Info'!$A:$A&amp;'Roster Info'!$G:$G&amp;'Roster Info'!$D:$D,'Roster Info'!$E:$E,""),"FaceIt"))</f>
        <v>-</v>
      </c>
      <c r="AM207" s="61"/>
      <c r="AN207" s="152"/>
      <c r="AO207" s="152"/>
      <c r="AP207" s="219">
        <f>AP205</f>
        <v>18</v>
      </c>
      <c r="AQ207" s="225" t="s">
        <v>121</v>
      </c>
      <c r="AR207" s="226" t="s">
        <v>121</v>
      </c>
      <c r="AV207" s="227" t="str">
        <f t="array" ref="AV207">xlookup(xlookup(AP207&amp;AQ207&amp;"Nationality",'Roster Info'!$A:$A&amp;'Roster Info'!$G:$G&amp;'Roster Info'!$D:$D,'Roster Info'!$E:$E,""),'Roster Info'!$K:$K,'Roster Info'!$L:$L,"")</f>
        <v/>
      </c>
      <c r="AX207" s="228" t="str">
        <f t="array" ref="AX207">xlookup(AP207&amp;AQ207,'Roster Info'!$A:$A&amp;'Roster Info'!$G:$G,'Roster Info'!$F:$F,"")</f>
        <v/>
      </c>
      <c r="BH207" s="229" t="str">
        <f t="array" ref="BH207">xlookup(AP207&amp;AQ207&amp;"Full Name",'Roster Info'!$A:$A&amp;'Roster Info'!$G:$G&amp;'Roster Info'!$D:$D,'Roster Info'!$E:$E,"")</f>
        <v/>
      </c>
      <c r="BR207" s="63" t="str">
        <f t="array" ref="BR207">if(xlookup(AP207&amp;AQ207&amp;"Steam",'Roster Info'!$A:$A&amp;'Roster Info'!$G:$G&amp;'Roster Info'!$D:$D,'Roster Info'!$E:$E,"")="","-",hyperlink(xlookup(AP207&amp;AQ207&amp;"Steam",'Roster Info'!$A:$A&amp;'Roster Info'!$G:$G&amp;'Roster Info'!$D:$D,'Roster Info'!$E:$E,""),"Steam"))</f>
        <v>-</v>
      </c>
      <c r="BU207" s="63" t="str">
        <f t="array" ref="BU207">if(xlookup(AP207&amp;AQ207&amp;"HLTV",'Roster Info'!$A:$A&amp;'Roster Info'!$G:$G&amp;'Roster Info'!$D:$D,'Roster Info'!$E:$E,"")="","-",hyperlink(xlookup(AP207&amp;AQ207&amp;"HLTV",'Roster Info'!$A:$A&amp;'Roster Info'!$G:$G&amp;'Roster Info'!$D:$D,'Roster Info'!$E:$E,""),"HLTV"))</f>
        <v>-</v>
      </c>
      <c r="BX207" s="63" t="str">
        <f t="array" ref="BX207">if(xlookup(AP207&amp;AQ207&amp;"FaceIt",'Roster Info'!$A:$A&amp;'Roster Info'!$G:$G&amp;'Roster Info'!$D:$D,'Roster Info'!$E:$E,"")="","-",hyperlink(xlookup(AP207&amp;AQ207&amp;"FaceIt",'Roster Info'!$A:$A&amp;'Roster Info'!$G:$G&amp;'Roster Info'!$D:$D,'Roster Info'!$E:$E,""),"FaceIt"))</f>
        <v>-</v>
      </c>
      <c r="BZ207" s="61"/>
      <c r="CA207" s="152"/>
      <c r="CB207" s="152"/>
      <c r="CC207" s="152"/>
      <c r="CD207" s="152"/>
    </row>
    <row r="208" ht="15.0" customHeight="1">
      <c r="A208" s="152"/>
      <c r="B208" s="152"/>
      <c r="C208" s="219"/>
      <c r="D208" s="219"/>
      <c r="E208" s="230"/>
      <c r="F208" s="231"/>
      <c r="G208" s="231"/>
      <c r="H208" s="231"/>
      <c r="I208" s="231"/>
      <c r="J208" s="231"/>
      <c r="K208" s="231"/>
      <c r="L208" s="231"/>
      <c r="M208" s="231"/>
      <c r="N208" s="231"/>
      <c r="O208" s="231"/>
      <c r="P208" s="231"/>
      <c r="Q208" s="231"/>
      <c r="R208" s="231"/>
      <c r="S208" s="231"/>
      <c r="T208" s="231"/>
      <c r="U208" s="231"/>
      <c r="V208" s="231"/>
      <c r="W208" s="231"/>
      <c r="X208" s="231"/>
      <c r="Y208" s="231"/>
      <c r="Z208" s="231"/>
      <c r="AA208" s="231"/>
      <c r="AB208" s="231"/>
      <c r="AC208" s="231"/>
      <c r="AD208" s="231"/>
      <c r="AE208" s="231"/>
      <c r="AF208" s="231"/>
      <c r="AG208" s="231"/>
      <c r="AH208" s="231"/>
      <c r="AI208" s="231"/>
      <c r="AJ208" s="231"/>
      <c r="AK208" s="231"/>
      <c r="AL208" s="231"/>
      <c r="AM208" s="232"/>
      <c r="AN208" s="152"/>
      <c r="AO208" s="152"/>
      <c r="AP208" s="219"/>
      <c r="AQ208" s="219"/>
      <c r="AR208" s="230"/>
      <c r="AS208" s="231"/>
      <c r="AT208" s="231"/>
      <c r="AU208" s="231"/>
      <c r="AV208" s="231"/>
      <c r="AW208" s="231"/>
      <c r="AX208" s="231"/>
      <c r="AY208" s="231"/>
      <c r="AZ208" s="231"/>
      <c r="BA208" s="231"/>
      <c r="BB208" s="231"/>
      <c r="BC208" s="231"/>
      <c r="BD208" s="231"/>
      <c r="BE208" s="231"/>
      <c r="BF208" s="231"/>
      <c r="BG208" s="231"/>
      <c r="BH208" s="231"/>
      <c r="BI208" s="231"/>
      <c r="BJ208" s="231"/>
      <c r="BK208" s="231"/>
      <c r="BL208" s="231"/>
      <c r="BM208" s="231"/>
      <c r="BN208" s="231"/>
      <c r="BO208" s="231"/>
      <c r="BP208" s="231"/>
      <c r="BQ208" s="231"/>
      <c r="BR208" s="231"/>
      <c r="BS208" s="231"/>
      <c r="BT208" s="231"/>
      <c r="BU208" s="231"/>
      <c r="BV208" s="231"/>
      <c r="BW208" s="231"/>
      <c r="BX208" s="231"/>
      <c r="BY208" s="231"/>
      <c r="BZ208" s="232"/>
      <c r="CA208" s="152"/>
      <c r="CB208" s="152"/>
      <c r="CC208" s="152"/>
      <c r="CD208" s="152"/>
    </row>
    <row r="209" ht="15.0" customHeight="1">
      <c r="A209" s="152"/>
      <c r="B209" s="152"/>
      <c r="C209" s="219">
        <f>C207</f>
        <v>17</v>
      </c>
      <c r="D209" s="225" t="s">
        <v>127</v>
      </c>
      <c r="E209" s="226" t="s">
        <v>127</v>
      </c>
      <c r="I209" s="227" t="str">
        <f t="array" ref="I209">xlookup(xlookup(C209&amp;D209&amp;"Nationality",'Roster Info'!$A:$A&amp;'Roster Info'!$G:$G&amp;'Roster Info'!$D:$D,'Roster Info'!$E:$E,""),'Roster Info'!$K:$K,'Roster Info'!$L:$L,"")</f>
        <v/>
      </c>
      <c r="K209" s="228" t="str">
        <f t="array" ref="K209">xlookup(C209&amp;D209,'Roster Info'!$A:$A&amp;'Roster Info'!$G:$G,'Roster Info'!$F:$F,"")</f>
        <v/>
      </c>
      <c r="U209" s="229" t="str">
        <f t="array" ref="U209">xlookup(C209&amp;D209&amp;"Full Name",'Roster Info'!$A:$A&amp;'Roster Info'!$G:$G&amp;'Roster Info'!$D:$D,'Roster Info'!$E:$E,"")</f>
        <v/>
      </c>
      <c r="AE209" s="63" t="str">
        <f t="array" ref="AE209">if(xlookup(C209&amp;D209&amp;"Steam",'Roster Info'!$A:$A&amp;'Roster Info'!$G:$G&amp;'Roster Info'!$D:$D,'Roster Info'!$E:$E,"")="","-",hyperlink(xlookup(C209&amp;D209&amp;"Steam",'Roster Info'!$A:$A&amp;'Roster Info'!$G:$G&amp;'Roster Info'!$D:$D,'Roster Info'!$E:$E,""),"Steam"))</f>
        <v>-</v>
      </c>
      <c r="AH209" s="63" t="str">
        <f t="array" ref="AH209">if(xlookup(C209&amp;D209&amp;"HLTV",'Roster Info'!$A:$A&amp;'Roster Info'!$G:$G&amp;'Roster Info'!$D:$D,'Roster Info'!$E:$E,"")="","-",hyperlink(xlookup(C209&amp;D209&amp;"HLTV",'Roster Info'!$A:$A&amp;'Roster Info'!$G:$G&amp;'Roster Info'!$D:$D,'Roster Info'!$E:$E,""),"HLTV"))</f>
        <v>-</v>
      </c>
      <c r="AK209" s="63" t="str">
        <f t="array" ref="AK209">if(xlookup(C209&amp;D209&amp;"FaceIt",'Roster Info'!$A:$A&amp;'Roster Info'!$G:$G&amp;'Roster Info'!$D:$D,'Roster Info'!$E:$E,"")="","-",hyperlink(xlookup(C209&amp;D209&amp;"FaceIt",'Roster Info'!$A:$A&amp;'Roster Info'!$G:$G&amp;'Roster Info'!$D:$D,'Roster Info'!$E:$E,""),"FaceIt"))</f>
        <v>-</v>
      </c>
      <c r="AM209" s="61"/>
      <c r="AN209" s="152"/>
      <c r="AO209" s="152"/>
      <c r="AP209" s="219">
        <f>AP207</f>
        <v>18</v>
      </c>
      <c r="AQ209" s="225" t="s">
        <v>127</v>
      </c>
      <c r="AR209" s="226" t="s">
        <v>127</v>
      </c>
      <c r="AV209" s="227" t="str">
        <f t="array" ref="AV209">xlookup(xlookup(AP209&amp;AQ209&amp;"Nationality",'Roster Info'!$A:$A&amp;'Roster Info'!$G:$G&amp;'Roster Info'!$D:$D,'Roster Info'!$E:$E,""),'Roster Info'!$K:$K,'Roster Info'!$L:$L,"")</f>
        <v/>
      </c>
      <c r="AX209" s="228" t="str">
        <f t="array" ref="AX209">xlookup(AP209&amp;AQ209,'Roster Info'!$A:$A&amp;'Roster Info'!$G:$G,'Roster Info'!$F:$F,"")</f>
        <v/>
      </c>
      <c r="BH209" s="229" t="str">
        <f t="array" ref="BH209">xlookup(AP209&amp;AQ209&amp;"Full Name",'Roster Info'!$A:$A&amp;'Roster Info'!$G:$G&amp;'Roster Info'!$D:$D,'Roster Info'!$E:$E,"")</f>
        <v/>
      </c>
      <c r="BR209" s="63" t="str">
        <f t="array" ref="BR209">if(xlookup(AP209&amp;AQ209&amp;"Steam",'Roster Info'!$A:$A&amp;'Roster Info'!$G:$G&amp;'Roster Info'!$D:$D,'Roster Info'!$E:$E,"")="","-",hyperlink(xlookup(AP209&amp;AQ209&amp;"Steam",'Roster Info'!$A:$A&amp;'Roster Info'!$G:$G&amp;'Roster Info'!$D:$D,'Roster Info'!$E:$E,""),"Steam"))</f>
        <v>-</v>
      </c>
      <c r="BU209" s="63" t="str">
        <f t="array" ref="BU209">if(xlookup(AP209&amp;AQ209&amp;"HLTV",'Roster Info'!$A:$A&amp;'Roster Info'!$G:$G&amp;'Roster Info'!$D:$D,'Roster Info'!$E:$E,"")="","-",hyperlink(xlookup(AP209&amp;AQ209&amp;"HLTV",'Roster Info'!$A:$A&amp;'Roster Info'!$G:$G&amp;'Roster Info'!$D:$D,'Roster Info'!$E:$E,""),"HLTV"))</f>
        <v>-</v>
      </c>
      <c r="BX209" s="63" t="str">
        <f t="array" ref="BX209">if(xlookup(AP209&amp;AQ209&amp;"FaceIt",'Roster Info'!$A:$A&amp;'Roster Info'!$G:$G&amp;'Roster Info'!$D:$D,'Roster Info'!$E:$E,"")="","-",hyperlink(xlookup(AP209&amp;AQ209&amp;"FaceIt",'Roster Info'!$A:$A&amp;'Roster Info'!$G:$G&amp;'Roster Info'!$D:$D,'Roster Info'!$E:$E,""),"FaceIt"))</f>
        <v>-</v>
      </c>
      <c r="BZ209" s="61"/>
      <c r="CA209" s="152"/>
      <c r="CB209" s="152"/>
      <c r="CC209" s="152"/>
      <c r="CD209" s="152"/>
    </row>
    <row r="210" ht="15.0" customHeight="1">
      <c r="A210" s="152"/>
      <c r="B210" s="152"/>
      <c r="C210" s="219"/>
      <c r="D210" s="219"/>
      <c r="E210" s="230"/>
      <c r="F210" s="231"/>
      <c r="G210" s="231"/>
      <c r="H210" s="231"/>
      <c r="I210" s="231"/>
      <c r="J210" s="231"/>
      <c r="K210" s="231"/>
      <c r="L210" s="231"/>
      <c r="M210" s="231"/>
      <c r="N210" s="231"/>
      <c r="O210" s="231"/>
      <c r="P210" s="231"/>
      <c r="Q210" s="231"/>
      <c r="R210" s="231"/>
      <c r="S210" s="231"/>
      <c r="T210" s="231"/>
      <c r="U210" s="231"/>
      <c r="V210" s="231"/>
      <c r="W210" s="231"/>
      <c r="X210" s="231"/>
      <c r="Y210" s="231"/>
      <c r="Z210" s="231"/>
      <c r="AA210" s="231"/>
      <c r="AB210" s="231"/>
      <c r="AC210" s="231"/>
      <c r="AD210" s="231"/>
      <c r="AE210" s="231"/>
      <c r="AF210" s="231"/>
      <c r="AG210" s="231"/>
      <c r="AH210" s="231"/>
      <c r="AI210" s="231"/>
      <c r="AJ210" s="231"/>
      <c r="AK210" s="231"/>
      <c r="AL210" s="231"/>
      <c r="AM210" s="232"/>
      <c r="AN210" s="152"/>
      <c r="AO210" s="152"/>
      <c r="AP210" s="219"/>
      <c r="AQ210" s="219"/>
      <c r="AR210" s="230"/>
      <c r="AS210" s="231"/>
      <c r="AT210" s="231"/>
      <c r="AU210" s="231"/>
      <c r="AV210" s="231"/>
      <c r="AW210" s="231"/>
      <c r="AX210" s="231"/>
      <c r="AY210" s="231"/>
      <c r="AZ210" s="231"/>
      <c r="BA210" s="231"/>
      <c r="BB210" s="231"/>
      <c r="BC210" s="231"/>
      <c r="BD210" s="231"/>
      <c r="BE210" s="231"/>
      <c r="BF210" s="231"/>
      <c r="BG210" s="231"/>
      <c r="BH210" s="231"/>
      <c r="BI210" s="231"/>
      <c r="BJ210" s="231"/>
      <c r="BK210" s="231"/>
      <c r="BL210" s="231"/>
      <c r="BM210" s="231"/>
      <c r="BN210" s="231"/>
      <c r="BO210" s="231"/>
      <c r="BP210" s="231"/>
      <c r="BQ210" s="231"/>
      <c r="BR210" s="231"/>
      <c r="BS210" s="231"/>
      <c r="BT210" s="231"/>
      <c r="BU210" s="231"/>
      <c r="BV210" s="231"/>
      <c r="BW210" s="231"/>
      <c r="BX210" s="231"/>
      <c r="BY210" s="231"/>
      <c r="BZ210" s="232"/>
      <c r="CA210" s="152"/>
      <c r="CB210" s="152"/>
      <c r="CC210" s="152"/>
      <c r="CD210" s="152"/>
    </row>
    <row r="211" ht="15.0" customHeight="1">
      <c r="A211" s="152"/>
      <c r="B211" s="152"/>
      <c r="C211" s="219">
        <f>C209</f>
        <v>17</v>
      </c>
      <c r="D211" s="225" t="s">
        <v>133</v>
      </c>
      <c r="E211" s="226" t="s">
        <v>133</v>
      </c>
      <c r="I211" s="227" t="str">
        <f t="array" ref="I211">xlookup(xlookup(C211&amp;D211&amp;"Nationality",'Roster Info'!$A:$A&amp;'Roster Info'!$G:$G&amp;'Roster Info'!$D:$D,'Roster Info'!$E:$E,""),'Roster Info'!$K:$K,'Roster Info'!$L:$L,"")</f>
        <v/>
      </c>
      <c r="K211" s="228" t="str">
        <f t="array" ref="K211">xlookup(C211&amp;D211,'Roster Info'!$A:$A&amp;'Roster Info'!$G:$G,'Roster Info'!$F:$F,"")</f>
        <v/>
      </c>
      <c r="U211" s="229" t="str">
        <f t="array" ref="U211">xlookup(C211&amp;D211&amp;"Full Name",'Roster Info'!$A:$A&amp;'Roster Info'!$G:$G&amp;'Roster Info'!$D:$D,'Roster Info'!$E:$E,"")</f>
        <v/>
      </c>
      <c r="AE211" s="63" t="str">
        <f t="array" ref="AE211">if(xlookup(C211&amp;D211&amp;"Steam",'Roster Info'!$A:$A&amp;'Roster Info'!$G:$G&amp;'Roster Info'!$D:$D,'Roster Info'!$E:$E,"")="","-",hyperlink(xlookup(C211&amp;D211&amp;"Steam",'Roster Info'!$A:$A&amp;'Roster Info'!$G:$G&amp;'Roster Info'!$D:$D,'Roster Info'!$E:$E,""),"Steam"))</f>
        <v>-</v>
      </c>
      <c r="AH211" s="63" t="str">
        <f t="array" ref="AH211">if(xlookup(C211&amp;D211&amp;"HLTV",'Roster Info'!$A:$A&amp;'Roster Info'!$G:$G&amp;'Roster Info'!$D:$D,'Roster Info'!$E:$E,"")="","-",hyperlink(xlookup(C211&amp;D211&amp;"HLTV",'Roster Info'!$A:$A&amp;'Roster Info'!$G:$G&amp;'Roster Info'!$D:$D,'Roster Info'!$E:$E,""),"HLTV"))</f>
        <v>-</v>
      </c>
      <c r="AK211" s="63" t="str">
        <f t="array" ref="AK211">if(xlookup(C211&amp;D211&amp;"FaceIt",'Roster Info'!$A:$A&amp;'Roster Info'!$G:$G&amp;'Roster Info'!$D:$D,'Roster Info'!$E:$E,"")="","-",hyperlink(xlookup(C211&amp;D211&amp;"FaceIt",'Roster Info'!$A:$A&amp;'Roster Info'!$G:$G&amp;'Roster Info'!$D:$D,'Roster Info'!$E:$E,""),"FaceIt"))</f>
        <v>-</v>
      </c>
      <c r="AM211" s="61"/>
      <c r="AN211" s="152"/>
      <c r="AO211" s="152"/>
      <c r="AP211" s="219">
        <f>AP209</f>
        <v>18</v>
      </c>
      <c r="AQ211" s="225" t="s">
        <v>133</v>
      </c>
      <c r="AR211" s="226" t="s">
        <v>133</v>
      </c>
      <c r="AV211" s="227" t="str">
        <f t="array" ref="AV211">xlookup(xlookup(AP211&amp;AQ211&amp;"Nationality",'Roster Info'!$A:$A&amp;'Roster Info'!$G:$G&amp;'Roster Info'!$D:$D,'Roster Info'!$E:$E,""),'Roster Info'!$K:$K,'Roster Info'!$L:$L,"")</f>
        <v/>
      </c>
      <c r="AX211" s="228" t="str">
        <f t="array" ref="AX211">xlookup(AP211&amp;AQ211,'Roster Info'!$A:$A&amp;'Roster Info'!$G:$G,'Roster Info'!$F:$F,"")</f>
        <v/>
      </c>
      <c r="BH211" s="229" t="str">
        <f t="array" ref="BH211">xlookup(AP211&amp;AQ211&amp;"Full Name",'Roster Info'!$A:$A&amp;'Roster Info'!$G:$G&amp;'Roster Info'!$D:$D,'Roster Info'!$E:$E,"")</f>
        <v/>
      </c>
      <c r="BR211" s="63" t="str">
        <f t="array" ref="BR211">if(xlookup(AP211&amp;AQ211&amp;"Steam",'Roster Info'!$A:$A&amp;'Roster Info'!$G:$G&amp;'Roster Info'!$D:$D,'Roster Info'!$E:$E,"")="","-",hyperlink(xlookup(AP211&amp;AQ211&amp;"Steam",'Roster Info'!$A:$A&amp;'Roster Info'!$G:$G&amp;'Roster Info'!$D:$D,'Roster Info'!$E:$E,""),"Steam"))</f>
        <v>-</v>
      </c>
      <c r="BU211" s="63" t="str">
        <f t="array" ref="BU211">if(xlookup(AP211&amp;AQ211&amp;"HLTV",'Roster Info'!$A:$A&amp;'Roster Info'!$G:$G&amp;'Roster Info'!$D:$D,'Roster Info'!$E:$E,"")="","-",hyperlink(xlookup(AP211&amp;AQ211&amp;"HLTV",'Roster Info'!$A:$A&amp;'Roster Info'!$G:$G&amp;'Roster Info'!$D:$D,'Roster Info'!$E:$E,""),"HLTV"))</f>
        <v>-</v>
      </c>
      <c r="BX211" s="63" t="str">
        <f t="array" ref="BX211">if(xlookup(AP211&amp;AQ211&amp;"FaceIt",'Roster Info'!$A:$A&amp;'Roster Info'!$G:$G&amp;'Roster Info'!$D:$D,'Roster Info'!$E:$E,"")="","-",hyperlink(xlookup(AP211&amp;AQ211&amp;"FaceIt",'Roster Info'!$A:$A&amp;'Roster Info'!$G:$G&amp;'Roster Info'!$D:$D,'Roster Info'!$E:$E,""),"FaceIt"))</f>
        <v>-</v>
      </c>
      <c r="BZ211" s="61"/>
      <c r="CA211" s="152"/>
      <c r="CB211" s="152"/>
      <c r="CC211" s="152"/>
      <c r="CD211" s="152"/>
    </row>
    <row r="212" ht="15.0" customHeight="1">
      <c r="A212" s="152"/>
      <c r="B212" s="152"/>
      <c r="C212" s="219"/>
      <c r="D212" s="219"/>
      <c r="E212" s="230"/>
      <c r="F212" s="231"/>
      <c r="G212" s="231"/>
      <c r="H212" s="231"/>
      <c r="I212" s="231"/>
      <c r="J212" s="231"/>
      <c r="K212" s="231"/>
      <c r="L212" s="231"/>
      <c r="M212" s="231"/>
      <c r="N212" s="231"/>
      <c r="O212" s="231"/>
      <c r="P212" s="231"/>
      <c r="Q212" s="231"/>
      <c r="R212" s="231"/>
      <c r="S212" s="231"/>
      <c r="T212" s="231"/>
      <c r="U212" s="231"/>
      <c r="V212" s="231"/>
      <c r="W212" s="231"/>
      <c r="X212" s="231"/>
      <c r="Y212" s="231"/>
      <c r="Z212" s="231"/>
      <c r="AA212" s="231"/>
      <c r="AB212" s="231"/>
      <c r="AC212" s="231"/>
      <c r="AD212" s="231"/>
      <c r="AE212" s="231"/>
      <c r="AF212" s="231"/>
      <c r="AG212" s="231"/>
      <c r="AH212" s="231"/>
      <c r="AI212" s="231"/>
      <c r="AJ212" s="231"/>
      <c r="AK212" s="231"/>
      <c r="AL212" s="231"/>
      <c r="AM212" s="232"/>
      <c r="AN212" s="152"/>
      <c r="AO212" s="152"/>
      <c r="AP212" s="219"/>
      <c r="AQ212" s="219"/>
      <c r="AR212" s="230"/>
      <c r="AS212" s="231"/>
      <c r="AT212" s="231"/>
      <c r="AU212" s="231"/>
      <c r="AV212" s="231"/>
      <c r="AW212" s="231"/>
      <c r="AX212" s="231"/>
      <c r="AY212" s="231"/>
      <c r="AZ212" s="231"/>
      <c r="BA212" s="231"/>
      <c r="BB212" s="231"/>
      <c r="BC212" s="231"/>
      <c r="BD212" s="231"/>
      <c r="BE212" s="231"/>
      <c r="BF212" s="231"/>
      <c r="BG212" s="231"/>
      <c r="BH212" s="231"/>
      <c r="BI212" s="231"/>
      <c r="BJ212" s="231"/>
      <c r="BK212" s="231"/>
      <c r="BL212" s="231"/>
      <c r="BM212" s="231"/>
      <c r="BN212" s="231"/>
      <c r="BO212" s="231"/>
      <c r="BP212" s="231"/>
      <c r="BQ212" s="231"/>
      <c r="BR212" s="231"/>
      <c r="BS212" s="231"/>
      <c r="BT212" s="231"/>
      <c r="BU212" s="231"/>
      <c r="BV212" s="231"/>
      <c r="BW212" s="231"/>
      <c r="BX212" s="231"/>
      <c r="BY212" s="231"/>
      <c r="BZ212" s="232"/>
      <c r="CA212" s="152"/>
      <c r="CB212" s="152"/>
      <c r="CC212" s="152"/>
      <c r="CD212" s="152"/>
    </row>
    <row r="213" ht="15.0" customHeight="1">
      <c r="A213" s="152"/>
      <c r="B213" s="152"/>
      <c r="C213" s="219">
        <f>C211</f>
        <v>17</v>
      </c>
      <c r="D213" s="233" t="s">
        <v>139</v>
      </c>
      <c r="E213" s="234" t="s">
        <v>319</v>
      </c>
      <c r="I213" s="227" t="str">
        <f t="array" ref="I213">xlookup(xlookup(C213&amp;D213&amp;"Nationality",'Roster Info'!$A:$A&amp;'Roster Info'!$G:$G&amp;'Roster Info'!$D:$D,'Roster Info'!$E:$E,""),'Roster Info'!$K:$K,'Roster Info'!$L:$L,"")</f>
        <v/>
      </c>
      <c r="K213" s="228" t="str">
        <f t="array" ref="K213">xlookup(C213&amp;D213,'Roster Info'!$A:$A&amp;'Roster Info'!$G:$G,'Roster Info'!$F:$F,"")</f>
        <v/>
      </c>
      <c r="U213" s="229" t="str">
        <f t="array" ref="U213">xlookup(C213&amp;D213&amp;"Full Name",'Roster Info'!$A:$A&amp;'Roster Info'!$G:$G&amp;'Roster Info'!$D:$D,'Roster Info'!$E:$E,"")</f>
        <v/>
      </c>
      <c r="AE213" s="63" t="str">
        <f t="array" ref="AE213">if(xlookup(C213&amp;D213&amp;"Steam",'Roster Info'!$A:$A&amp;'Roster Info'!$G:$G&amp;'Roster Info'!$D:$D,'Roster Info'!$E:$E,"")="","-",hyperlink(xlookup(C213&amp;D213&amp;"Steam",'Roster Info'!$A:$A&amp;'Roster Info'!$G:$G&amp;'Roster Info'!$D:$D,'Roster Info'!$E:$E,""),"Steam"))</f>
        <v>-</v>
      </c>
      <c r="AH213" s="63" t="str">
        <f t="array" ref="AH213">if(xlookup(C213&amp;D213&amp;"HLTV",'Roster Info'!$A:$A&amp;'Roster Info'!$G:$G&amp;'Roster Info'!$D:$D,'Roster Info'!$E:$E,"")="","-",hyperlink(xlookup(C213&amp;D213&amp;"HLTV",'Roster Info'!$A:$A&amp;'Roster Info'!$G:$G&amp;'Roster Info'!$D:$D,'Roster Info'!$E:$E,""),"HLTV"))</f>
        <v>-</v>
      </c>
      <c r="AK213" s="63" t="str">
        <f t="array" ref="AK213">if(xlookup(C213&amp;D213&amp;"FaceIt",'Roster Info'!$A:$A&amp;'Roster Info'!$G:$G&amp;'Roster Info'!$D:$D,'Roster Info'!$E:$E,"")="","-",hyperlink(xlookup(C213&amp;D213&amp;"FaceIt",'Roster Info'!$A:$A&amp;'Roster Info'!$G:$G&amp;'Roster Info'!$D:$D,'Roster Info'!$E:$E,""),"FaceIt"))</f>
        <v>-</v>
      </c>
      <c r="AM213" s="61"/>
      <c r="AN213" s="152"/>
      <c r="AO213" s="152"/>
      <c r="AP213" s="219">
        <f>AP211</f>
        <v>18</v>
      </c>
      <c r="AQ213" s="233" t="s">
        <v>139</v>
      </c>
      <c r="AR213" s="234" t="s">
        <v>319</v>
      </c>
      <c r="AV213" s="227" t="str">
        <f t="array" ref="AV213">xlookup(xlookup(AP213&amp;AQ213&amp;"Nationality",'Roster Info'!$A:$A&amp;'Roster Info'!$G:$G&amp;'Roster Info'!$D:$D,'Roster Info'!$E:$E,""),'Roster Info'!$K:$K,'Roster Info'!$L:$L,"")</f>
        <v/>
      </c>
      <c r="AX213" s="228" t="str">
        <f t="array" ref="AX213">xlookup(AP213&amp;AQ213,'Roster Info'!$A:$A&amp;'Roster Info'!$G:$G,'Roster Info'!$F:$F,"")</f>
        <v/>
      </c>
      <c r="BH213" s="229" t="str">
        <f t="array" ref="BH213">xlookup(AP213&amp;AQ213&amp;"Full Name",'Roster Info'!$A:$A&amp;'Roster Info'!$G:$G&amp;'Roster Info'!$D:$D,'Roster Info'!$E:$E,"")</f>
        <v/>
      </c>
      <c r="BR213" s="63" t="str">
        <f t="array" ref="BR213">if(xlookup(AP213&amp;AQ213&amp;"Steam",'Roster Info'!$A:$A&amp;'Roster Info'!$G:$G&amp;'Roster Info'!$D:$D,'Roster Info'!$E:$E,"")="","-",hyperlink(xlookup(AP213&amp;AQ213&amp;"Steam",'Roster Info'!$A:$A&amp;'Roster Info'!$G:$G&amp;'Roster Info'!$D:$D,'Roster Info'!$E:$E,""),"Steam"))</f>
        <v>-</v>
      </c>
      <c r="BU213" s="63" t="str">
        <f t="array" ref="BU213">if(xlookup(AP213&amp;AQ213&amp;"HLTV",'Roster Info'!$A:$A&amp;'Roster Info'!$G:$G&amp;'Roster Info'!$D:$D,'Roster Info'!$E:$E,"")="","-",hyperlink(xlookup(AP213&amp;AQ213&amp;"HLTV",'Roster Info'!$A:$A&amp;'Roster Info'!$G:$G&amp;'Roster Info'!$D:$D,'Roster Info'!$E:$E,""),"HLTV"))</f>
        <v>-</v>
      </c>
      <c r="BX213" s="63" t="str">
        <f t="array" ref="BX213">if(xlookup(AP213&amp;AQ213&amp;"FaceIt",'Roster Info'!$A:$A&amp;'Roster Info'!$G:$G&amp;'Roster Info'!$D:$D,'Roster Info'!$E:$E,"")="","-",hyperlink(xlookup(AP213&amp;AQ213&amp;"FaceIt",'Roster Info'!$A:$A&amp;'Roster Info'!$G:$G&amp;'Roster Info'!$D:$D,'Roster Info'!$E:$E,""),"FaceIt"))</f>
        <v>-</v>
      </c>
      <c r="BZ213" s="61"/>
      <c r="CA213" s="152"/>
      <c r="CB213" s="152"/>
      <c r="CC213" s="152"/>
      <c r="CD213" s="152"/>
    </row>
    <row r="214" ht="15.0" customHeight="1">
      <c r="A214" s="152"/>
      <c r="B214" s="152"/>
      <c r="C214" s="219"/>
      <c r="D214" s="219"/>
      <c r="E214" s="230"/>
      <c r="F214" s="231"/>
      <c r="G214" s="231"/>
      <c r="H214" s="231"/>
      <c r="I214" s="231"/>
      <c r="J214" s="231"/>
      <c r="K214" s="231"/>
      <c r="L214" s="231"/>
      <c r="M214" s="231"/>
      <c r="N214" s="231"/>
      <c r="O214" s="231"/>
      <c r="P214" s="231"/>
      <c r="Q214" s="231"/>
      <c r="R214" s="231"/>
      <c r="S214" s="231"/>
      <c r="T214" s="231"/>
      <c r="U214" s="231"/>
      <c r="V214" s="231"/>
      <c r="W214" s="231"/>
      <c r="X214" s="231"/>
      <c r="Y214" s="231"/>
      <c r="Z214" s="231"/>
      <c r="AA214" s="231"/>
      <c r="AB214" s="231"/>
      <c r="AC214" s="231"/>
      <c r="AD214" s="231"/>
      <c r="AE214" s="231"/>
      <c r="AF214" s="231"/>
      <c r="AG214" s="231"/>
      <c r="AH214" s="231"/>
      <c r="AI214" s="231"/>
      <c r="AJ214" s="231"/>
      <c r="AK214" s="231"/>
      <c r="AL214" s="231"/>
      <c r="AM214" s="232"/>
      <c r="AN214" s="152"/>
      <c r="AO214" s="152"/>
      <c r="AP214" s="219"/>
      <c r="AQ214" s="219"/>
      <c r="AR214" s="230"/>
      <c r="AS214" s="231"/>
      <c r="AT214" s="231"/>
      <c r="AU214" s="231"/>
      <c r="AV214" s="231"/>
      <c r="AW214" s="231"/>
      <c r="AX214" s="231"/>
      <c r="AY214" s="231"/>
      <c r="AZ214" s="231"/>
      <c r="BA214" s="231"/>
      <c r="BB214" s="231"/>
      <c r="BC214" s="231"/>
      <c r="BD214" s="231"/>
      <c r="BE214" s="231"/>
      <c r="BF214" s="231"/>
      <c r="BG214" s="231"/>
      <c r="BH214" s="231"/>
      <c r="BI214" s="231"/>
      <c r="BJ214" s="231"/>
      <c r="BK214" s="231"/>
      <c r="BL214" s="231"/>
      <c r="BM214" s="231"/>
      <c r="BN214" s="231"/>
      <c r="BO214" s="231"/>
      <c r="BP214" s="231"/>
      <c r="BQ214" s="231"/>
      <c r="BR214" s="231"/>
      <c r="BS214" s="231"/>
      <c r="BT214" s="231"/>
      <c r="BU214" s="231"/>
      <c r="BV214" s="231"/>
      <c r="BW214" s="231"/>
      <c r="BX214" s="231"/>
      <c r="BY214" s="231"/>
      <c r="BZ214" s="232"/>
      <c r="CA214" s="152"/>
      <c r="CB214" s="152"/>
      <c r="CC214" s="152"/>
      <c r="CD214" s="152"/>
    </row>
    <row r="215" ht="15.0" customHeight="1">
      <c r="A215" s="152"/>
      <c r="B215" s="152"/>
      <c r="C215" s="219">
        <f>C213</f>
        <v>17</v>
      </c>
      <c r="D215" s="225" t="s">
        <v>145</v>
      </c>
      <c r="E215" s="226" t="s">
        <v>145</v>
      </c>
      <c r="I215" s="227" t="str">
        <f t="array" ref="I215">xlookup(xlookup(C215&amp;D215&amp;"Nationality",'Roster Info'!$A:$A&amp;'Roster Info'!$G:$G&amp;'Roster Info'!$D:$D,'Roster Info'!$E:$E,""),'Roster Info'!$K:$K,'Roster Info'!$L:$L,"")</f>
        <v/>
      </c>
      <c r="K215" s="228" t="str">
        <f t="array" ref="K215">xlookup(C215&amp;D215,'Roster Info'!$A:$A&amp;'Roster Info'!$G:$G,'Roster Info'!$F:$F,"")</f>
        <v/>
      </c>
      <c r="U215" s="229" t="str">
        <f t="array" ref="U215">xlookup(C215&amp;D215&amp;"Full Name",'Roster Info'!$A:$A&amp;'Roster Info'!$G:$G&amp;'Roster Info'!$D:$D,'Roster Info'!$E:$E,"")</f>
        <v/>
      </c>
      <c r="AE215" s="63" t="str">
        <f t="array" ref="AE215">if(xlookup(C215&amp;D215&amp;"Steam",'Roster Info'!$A:$A&amp;'Roster Info'!$G:$G&amp;'Roster Info'!$D:$D,'Roster Info'!$E:$E,"")="","-",hyperlink(xlookup(C215&amp;D215&amp;"Steam",'Roster Info'!$A:$A&amp;'Roster Info'!$G:$G&amp;'Roster Info'!$D:$D,'Roster Info'!$E:$E,""),"Steam"))</f>
        <v>-</v>
      </c>
      <c r="AH215" s="63" t="str">
        <f t="array" ref="AH215">if(xlookup(C215&amp;D215&amp;"HLTV",'Roster Info'!$A:$A&amp;'Roster Info'!$G:$G&amp;'Roster Info'!$D:$D,'Roster Info'!$E:$E,"")="","-",hyperlink(xlookup(C215&amp;D215&amp;"HLTV",'Roster Info'!$A:$A&amp;'Roster Info'!$G:$G&amp;'Roster Info'!$D:$D,'Roster Info'!$E:$E,""),"HLTV"))</f>
        <v>-</v>
      </c>
      <c r="AK215" s="63" t="str">
        <f t="array" ref="AK215">if(xlookup(C215&amp;D215&amp;"FaceIt",'Roster Info'!$A:$A&amp;'Roster Info'!$G:$G&amp;'Roster Info'!$D:$D,'Roster Info'!$E:$E,"")="","-",hyperlink(xlookup(C215&amp;D215&amp;"FaceIt",'Roster Info'!$A:$A&amp;'Roster Info'!$G:$G&amp;'Roster Info'!$D:$D,'Roster Info'!$E:$E,""),"FaceIt"))</f>
        <v>-</v>
      </c>
      <c r="AM215" s="61"/>
      <c r="AN215" s="152"/>
      <c r="AO215" s="152"/>
      <c r="AP215" s="219">
        <f>AP213</f>
        <v>18</v>
      </c>
      <c r="AQ215" s="225" t="s">
        <v>145</v>
      </c>
      <c r="AR215" s="226" t="s">
        <v>145</v>
      </c>
      <c r="AV215" s="227" t="str">
        <f t="array" ref="AV215">xlookup(xlookup(AP215&amp;AQ215&amp;"Nationality",'Roster Info'!$A:$A&amp;'Roster Info'!$G:$G&amp;'Roster Info'!$D:$D,'Roster Info'!$E:$E,""),'Roster Info'!$K:$K,'Roster Info'!$L:$L,"")</f>
        <v/>
      </c>
      <c r="AX215" s="228" t="str">
        <f t="array" ref="AX215">xlookup(AP215&amp;AQ215,'Roster Info'!$A:$A&amp;'Roster Info'!$G:$G,'Roster Info'!$F:$F,"")</f>
        <v/>
      </c>
      <c r="BH215" s="229" t="str">
        <f t="array" ref="BH215">xlookup(AP215&amp;AQ215&amp;"Full Name",'Roster Info'!$A:$A&amp;'Roster Info'!$G:$G&amp;'Roster Info'!$D:$D,'Roster Info'!$E:$E,"")</f>
        <v/>
      </c>
      <c r="BR215" s="63" t="str">
        <f t="array" ref="BR215">if(xlookup(AP215&amp;AQ215&amp;"Steam",'Roster Info'!$A:$A&amp;'Roster Info'!$G:$G&amp;'Roster Info'!$D:$D,'Roster Info'!$E:$E,"")="","-",hyperlink(xlookup(AP215&amp;AQ215&amp;"Steam",'Roster Info'!$A:$A&amp;'Roster Info'!$G:$G&amp;'Roster Info'!$D:$D,'Roster Info'!$E:$E,""),"Steam"))</f>
        <v>-</v>
      </c>
      <c r="BU215" s="63" t="str">
        <f t="array" ref="BU215">if(xlookup(AP215&amp;AQ215&amp;"HLTV",'Roster Info'!$A:$A&amp;'Roster Info'!$G:$G&amp;'Roster Info'!$D:$D,'Roster Info'!$E:$E,"")="","-",hyperlink(xlookup(AP215&amp;AQ215&amp;"HLTV",'Roster Info'!$A:$A&amp;'Roster Info'!$G:$G&amp;'Roster Info'!$D:$D,'Roster Info'!$E:$E,""),"HLTV"))</f>
        <v>-</v>
      </c>
      <c r="BX215" s="63" t="str">
        <f t="array" ref="BX215">if(xlookup(AP215&amp;AQ215&amp;"FaceIt",'Roster Info'!$A:$A&amp;'Roster Info'!$G:$G&amp;'Roster Info'!$D:$D,'Roster Info'!$E:$E,"")="","-",hyperlink(xlookup(AP215&amp;AQ215&amp;"FaceIt",'Roster Info'!$A:$A&amp;'Roster Info'!$G:$G&amp;'Roster Info'!$D:$D,'Roster Info'!$E:$E,""),"FaceIt"))</f>
        <v>-</v>
      </c>
      <c r="BZ215" s="61"/>
      <c r="CA215" s="152"/>
      <c r="CB215" s="152"/>
      <c r="CC215" s="152"/>
      <c r="CD215" s="152"/>
    </row>
    <row r="216" ht="15.0" customHeight="1">
      <c r="A216" s="152"/>
      <c r="B216" s="152"/>
      <c r="C216" s="219"/>
      <c r="D216" s="219"/>
      <c r="E216" s="101"/>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64"/>
      <c r="AN216" s="152"/>
      <c r="AO216" s="152"/>
      <c r="AP216" s="219"/>
      <c r="AQ216" s="219"/>
      <c r="AR216" s="101"/>
      <c r="AS216" s="102"/>
      <c r="AT216" s="102"/>
      <c r="AU216" s="102"/>
      <c r="AV216" s="102"/>
      <c r="AW216" s="102"/>
      <c r="AX216" s="102"/>
      <c r="AY216" s="102"/>
      <c r="AZ216" s="102"/>
      <c r="BA216" s="102"/>
      <c r="BB216" s="102"/>
      <c r="BC216" s="102"/>
      <c r="BD216" s="102"/>
      <c r="BE216" s="102"/>
      <c r="BF216" s="102"/>
      <c r="BG216" s="102"/>
      <c r="BH216" s="102"/>
      <c r="BI216" s="102"/>
      <c r="BJ216" s="102"/>
      <c r="BK216" s="102"/>
      <c r="BL216" s="102"/>
      <c r="BM216" s="102"/>
      <c r="BN216" s="102"/>
      <c r="BO216" s="102"/>
      <c r="BP216" s="102"/>
      <c r="BQ216" s="102"/>
      <c r="BR216" s="102"/>
      <c r="BS216" s="102"/>
      <c r="BT216" s="102"/>
      <c r="BU216" s="102"/>
      <c r="BV216" s="102"/>
      <c r="BW216" s="102"/>
      <c r="BX216" s="102"/>
      <c r="BY216" s="102"/>
      <c r="BZ216" s="164"/>
      <c r="CA216" s="152"/>
      <c r="CB216" s="152"/>
      <c r="CC216" s="152"/>
      <c r="CD216" s="152"/>
    </row>
    <row r="217" ht="15.0" customHeight="1">
      <c r="A217" s="152"/>
      <c r="B217" s="152"/>
      <c r="C217" s="219"/>
      <c r="D217" s="219"/>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c r="AA217" s="152"/>
      <c r="AB217" s="152"/>
      <c r="AC217" s="152"/>
      <c r="AD217" s="152"/>
      <c r="AE217" s="152"/>
      <c r="AF217" s="152"/>
      <c r="AG217" s="152"/>
      <c r="AH217" s="152"/>
      <c r="AI217" s="152"/>
      <c r="AJ217" s="152"/>
      <c r="AK217" s="152"/>
      <c r="AL217" s="152"/>
      <c r="AM217" s="152"/>
      <c r="AN217" s="152"/>
      <c r="AO217" s="152"/>
      <c r="AP217" s="219"/>
      <c r="AQ217" s="219"/>
      <c r="AR217" s="152"/>
      <c r="AS217" s="152"/>
      <c r="AT217" s="152"/>
      <c r="AU217" s="152"/>
      <c r="AV217" s="152"/>
      <c r="AW217" s="152"/>
      <c r="AX217" s="152"/>
      <c r="AY217" s="152"/>
      <c r="AZ217" s="152"/>
      <c r="BA217" s="152"/>
      <c r="BB217" s="152"/>
      <c r="BC217" s="152"/>
      <c r="BD217" s="152"/>
      <c r="BE217" s="152"/>
      <c r="BF217" s="152"/>
      <c r="BG217" s="152"/>
      <c r="BH217" s="152"/>
      <c r="BI217" s="152"/>
      <c r="BJ217" s="152"/>
      <c r="BK217" s="152"/>
      <c r="BL217" s="152"/>
      <c r="BM217" s="152"/>
      <c r="BN217" s="152"/>
      <c r="BO217" s="152"/>
      <c r="BP217" s="152"/>
      <c r="BQ217" s="152"/>
      <c r="BR217" s="152"/>
      <c r="BS217" s="152"/>
      <c r="BT217" s="152"/>
      <c r="BU217" s="152"/>
      <c r="BV217" s="152"/>
      <c r="BW217" s="152"/>
      <c r="BX217" s="152"/>
      <c r="BY217" s="152"/>
      <c r="BZ217" s="152"/>
      <c r="CA217" s="152"/>
      <c r="CB217" s="152"/>
      <c r="CC217" s="152"/>
      <c r="CD217" s="152"/>
    </row>
    <row r="218" ht="15.0" customHeight="1">
      <c r="A218" s="152"/>
      <c r="B218" s="152"/>
      <c r="C218" s="219"/>
      <c r="D218" s="219"/>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c r="AA218" s="152"/>
      <c r="AB218" s="152"/>
      <c r="AC218" s="152"/>
      <c r="AD218" s="152"/>
      <c r="AE218" s="152"/>
      <c r="AF218" s="152"/>
      <c r="AG218" s="152"/>
      <c r="AH218" s="152"/>
      <c r="AI218" s="152"/>
      <c r="AJ218" s="152"/>
      <c r="AK218" s="152"/>
      <c r="AL218" s="152"/>
      <c r="AM218" s="152"/>
      <c r="AN218" s="152"/>
      <c r="AO218" s="152"/>
      <c r="AP218" s="219"/>
      <c r="AQ218" s="219"/>
      <c r="AR218" s="152"/>
      <c r="AS218" s="152"/>
      <c r="AT218" s="152"/>
      <c r="AU218" s="152"/>
      <c r="AV218" s="152"/>
      <c r="AW218" s="152"/>
      <c r="AX218" s="152"/>
      <c r="AY218" s="152"/>
      <c r="AZ218" s="152"/>
      <c r="BA218" s="152"/>
      <c r="BB218" s="152"/>
      <c r="BC218" s="152"/>
      <c r="BD218" s="152"/>
      <c r="BE218" s="152"/>
      <c r="BF218" s="152"/>
      <c r="BG218" s="152"/>
      <c r="BH218" s="152"/>
      <c r="BI218" s="152"/>
      <c r="BJ218" s="152"/>
      <c r="BK218" s="152"/>
      <c r="BL218" s="152"/>
      <c r="BM218" s="152"/>
      <c r="BN218" s="152"/>
      <c r="BO218" s="152"/>
      <c r="BP218" s="152"/>
      <c r="BQ218" s="152"/>
      <c r="BR218" s="152"/>
      <c r="BS218" s="152"/>
      <c r="BT218" s="152"/>
      <c r="BU218" s="152"/>
      <c r="BV218" s="152"/>
      <c r="BW218" s="152"/>
      <c r="BX218" s="152"/>
      <c r="BY218" s="152"/>
      <c r="BZ218" s="152"/>
      <c r="CA218" s="152"/>
      <c r="CB218" s="152"/>
      <c r="CC218" s="152"/>
      <c r="CD218" s="152"/>
    </row>
    <row r="219" ht="15.0" customHeight="1">
      <c r="A219" s="152"/>
      <c r="B219" s="152"/>
      <c r="C219" s="219"/>
      <c r="D219" s="219"/>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c r="AA219" s="152"/>
      <c r="AB219" s="152"/>
      <c r="AC219" s="152"/>
      <c r="AD219" s="152"/>
      <c r="AE219" s="152"/>
      <c r="AF219" s="152"/>
      <c r="AG219" s="152"/>
      <c r="AH219" s="152"/>
      <c r="AI219" s="152"/>
      <c r="AJ219" s="152"/>
      <c r="AK219" s="152"/>
      <c r="AL219" s="152"/>
      <c r="AM219" s="152"/>
      <c r="AN219" s="152"/>
      <c r="AO219" s="152"/>
      <c r="AP219" s="219"/>
      <c r="AQ219" s="219"/>
      <c r="AR219" s="152"/>
      <c r="AS219" s="152"/>
      <c r="AT219" s="152"/>
      <c r="AU219" s="152"/>
      <c r="AV219" s="152"/>
      <c r="AW219" s="152"/>
      <c r="AX219" s="152"/>
      <c r="AY219" s="152"/>
      <c r="AZ219" s="152"/>
      <c r="BA219" s="152"/>
      <c r="BB219" s="152"/>
      <c r="BC219" s="152"/>
      <c r="BD219" s="152"/>
      <c r="BE219" s="152"/>
      <c r="BF219" s="152"/>
      <c r="BG219" s="152"/>
      <c r="BH219" s="152"/>
      <c r="BI219" s="152"/>
      <c r="BJ219" s="152"/>
      <c r="BK219" s="152"/>
      <c r="BL219" s="152"/>
      <c r="BM219" s="152"/>
      <c r="BN219" s="152"/>
      <c r="BO219" s="152"/>
      <c r="BP219" s="152"/>
      <c r="BQ219" s="152"/>
      <c r="BR219" s="152"/>
      <c r="BS219" s="152"/>
      <c r="BT219" s="152"/>
      <c r="BU219" s="152"/>
      <c r="BV219" s="152"/>
      <c r="BW219" s="152"/>
      <c r="BX219" s="152"/>
      <c r="BY219" s="152"/>
      <c r="BZ219" s="152"/>
      <c r="CA219" s="152"/>
      <c r="CB219" s="152"/>
      <c r="CC219" s="152"/>
      <c r="CD219" s="152"/>
    </row>
    <row r="220" ht="15.0" customHeight="1">
      <c r="A220" s="152"/>
      <c r="B220" s="152"/>
      <c r="C220" s="219"/>
      <c r="D220" s="219"/>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c r="AA220" s="152"/>
      <c r="AB220" s="152"/>
      <c r="AC220" s="152"/>
      <c r="AD220" s="152"/>
      <c r="AE220" s="152"/>
      <c r="AF220" s="152"/>
      <c r="AG220" s="152"/>
      <c r="AH220" s="152"/>
      <c r="AI220" s="152"/>
      <c r="AJ220" s="152"/>
      <c r="AK220" s="152"/>
      <c r="AL220" s="152"/>
      <c r="AM220" s="152"/>
      <c r="AN220" s="152"/>
      <c r="AO220" s="152"/>
      <c r="AP220" s="219"/>
      <c r="AQ220" s="219"/>
      <c r="AR220" s="152"/>
      <c r="AS220" s="152"/>
      <c r="AT220" s="152"/>
      <c r="AU220" s="152"/>
      <c r="AV220" s="152"/>
      <c r="AW220" s="152"/>
      <c r="AX220" s="152"/>
      <c r="AY220" s="152"/>
      <c r="AZ220" s="152"/>
      <c r="BA220" s="152"/>
      <c r="BB220" s="152"/>
      <c r="BC220" s="152"/>
      <c r="BD220" s="152"/>
      <c r="BE220" s="152"/>
      <c r="BF220" s="152"/>
      <c r="BG220" s="152"/>
      <c r="BH220" s="152"/>
      <c r="BI220" s="152"/>
      <c r="BJ220" s="152"/>
      <c r="BK220" s="152"/>
      <c r="BL220" s="152"/>
      <c r="BM220" s="152"/>
      <c r="BN220" s="152"/>
      <c r="BO220" s="152"/>
      <c r="BP220" s="152"/>
      <c r="BQ220" s="152"/>
      <c r="BR220" s="152"/>
      <c r="BS220" s="152"/>
      <c r="BT220" s="152"/>
      <c r="BU220" s="152"/>
      <c r="BV220" s="152"/>
      <c r="BW220" s="152"/>
      <c r="BX220" s="152"/>
      <c r="BY220" s="152"/>
      <c r="BZ220" s="152"/>
      <c r="CA220" s="152"/>
      <c r="CB220" s="152"/>
      <c r="CC220" s="152"/>
      <c r="CD220" s="152"/>
    </row>
    <row r="221" ht="15.0" customHeight="1">
      <c r="A221" s="152"/>
      <c r="B221" s="152"/>
      <c r="C221" s="219"/>
      <c r="D221" s="219"/>
      <c r="E221" s="220" t="str">
        <f t="array" ref="E221">xlookup(M221,'Team Entry'!$A:$A,'Team Entry'!$B:$B,"")</f>
        <v/>
      </c>
      <c r="F221" s="58"/>
      <c r="G221" s="58"/>
      <c r="H221" s="58"/>
      <c r="I221" s="58"/>
      <c r="J221" s="58"/>
      <c r="K221" s="58"/>
      <c r="L221" s="58"/>
      <c r="M221" s="221" t="str">
        <f t="array" ref="M221">xlookup(C227,'Roster Info'!$A:$A,'Roster Info'!$B:$B,"")</f>
        <v>Team 7 (Group 1)</v>
      </c>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9"/>
      <c r="AN221" s="152"/>
      <c r="AO221" s="152"/>
      <c r="AP221" s="219"/>
      <c r="AQ221" s="219"/>
      <c r="AR221" s="220" t="str">
        <f t="array" ref="AR221">xlookup(AZ221,'Team Entry'!$A:$A,'Team Entry'!$B:$B,"")</f>
        <v/>
      </c>
      <c r="AS221" s="58"/>
      <c r="AT221" s="58"/>
      <c r="AU221" s="58"/>
      <c r="AV221" s="58"/>
      <c r="AW221" s="58"/>
      <c r="AX221" s="58"/>
      <c r="AY221" s="58"/>
      <c r="AZ221" s="221" t="str">
        <f t="array" ref="AZ221">xlookup(AP227,'Roster Info'!$A:$A,'Roster Info'!$B:$B,"")</f>
        <v>Team 8 (Group 1)</v>
      </c>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9"/>
      <c r="CA221" s="152"/>
      <c r="CB221" s="152"/>
      <c r="CC221" s="152"/>
      <c r="CD221" s="152"/>
    </row>
    <row r="222" ht="15.0" customHeight="1">
      <c r="A222" s="152"/>
      <c r="B222" s="152"/>
      <c r="C222" s="219"/>
      <c r="D222" s="219"/>
      <c r="E222" s="60"/>
      <c r="AM222" s="61"/>
      <c r="AN222" s="152"/>
      <c r="AO222" s="152"/>
      <c r="AP222" s="219"/>
      <c r="AQ222" s="219"/>
      <c r="AR222" s="60"/>
      <c r="BZ222" s="61"/>
      <c r="CA222" s="152"/>
      <c r="CB222" s="152"/>
      <c r="CC222" s="152"/>
      <c r="CD222" s="152"/>
    </row>
    <row r="223" ht="15.0" customHeight="1">
      <c r="A223" s="152"/>
      <c r="B223" s="152"/>
      <c r="C223" s="219"/>
      <c r="D223" s="219"/>
      <c r="E223" s="60"/>
      <c r="AM223" s="61"/>
      <c r="AN223" s="152"/>
      <c r="AO223" s="152"/>
      <c r="AP223" s="219"/>
      <c r="AQ223" s="219"/>
      <c r="AR223" s="60"/>
      <c r="BZ223" s="61"/>
      <c r="CA223" s="152"/>
      <c r="CB223" s="152"/>
      <c r="CC223" s="152"/>
      <c r="CD223" s="152"/>
    </row>
    <row r="224" ht="15.0" customHeight="1">
      <c r="A224" s="152"/>
      <c r="B224" s="152"/>
      <c r="C224" s="219"/>
      <c r="D224" s="219"/>
      <c r="E224" s="60"/>
      <c r="AM224" s="61"/>
      <c r="AN224" s="152"/>
      <c r="AO224" s="152"/>
      <c r="AP224" s="219"/>
      <c r="AQ224" s="219"/>
      <c r="AR224" s="60"/>
      <c r="BZ224" s="61"/>
      <c r="CA224" s="152"/>
      <c r="CB224" s="152"/>
      <c r="CC224" s="152"/>
      <c r="CD224" s="152"/>
    </row>
    <row r="225" ht="15.0" customHeight="1">
      <c r="A225" s="152"/>
      <c r="B225" s="152"/>
      <c r="C225" s="219"/>
      <c r="D225" s="219"/>
      <c r="E225" s="60"/>
      <c r="AM225" s="61"/>
      <c r="AN225" s="152"/>
      <c r="AO225" s="152"/>
      <c r="AP225" s="219"/>
      <c r="AQ225" s="219"/>
      <c r="AR225" s="60"/>
      <c r="BZ225" s="61"/>
      <c r="CA225" s="152"/>
      <c r="CB225" s="152"/>
      <c r="CC225" s="152"/>
      <c r="CD225" s="152"/>
    </row>
    <row r="226" ht="15.0" customHeight="1">
      <c r="A226" s="152"/>
      <c r="B226" s="152"/>
      <c r="C226" s="219"/>
      <c r="D226" s="219"/>
      <c r="E226" s="222"/>
      <c r="F226" s="223"/>
      <c r="G226" s="223"/>
      <c r="H226" s="223"/>
      <c r="I226" s="223"/>
      <c r="J226" s="223"/>
      <c r="K226" s="223"/>
      <c r="L226" s="223"/>
      <c r="M226" s="223"/>
      <c r="N226" s="223"/>
      <c r="O226" s="223"/>
      <c r="P226" s="223"/>
      <c r="Q226" s="223"/>
      <c r="R226" s="223"/>
      <c r="S226" s="223"/>
      <c r="T226" s="223"/>
      <c r="U226" s="223"/>
      <c r="V226" s="223"/>
      <c r="W226" s="223"/>
      <c r="X226" s="223"/>
      <c r="Y226" s="223"/>
      <c r="Z226" s="223"/>
      <c r="AA226" s="223"/>
      <c r="AB226" s="223"/>
      <c r="AC226" s="223"/>
      <c r="AD226" s="223"/>
      <c r="AE226" s="223"/>
      <c r="AF226" s="223"/>
      <c r="AG226" s="223"/>
      <c r="AH226" s="223"/>
      <c r="AI226" s="223"/>
      <c r="AJ226" s="223"/>
      <c r="AK226" s="223"/>
      <c r="AL226" s="223"/>
      <c r="AM226" s="224"/>
      <c r="AN226" s="152"/>
      <c r="AO226" s="152"/>
      <c r="AP226" s="219"/>
      <c r="AQ226" s="219"/>
      <c r="AR226" s="222"/>
      <c r="AS226" s="223"/>
      <c r="AT226" s="223"/>
      <c r="AU226" s="223"/>
      <c r="AV226" s="223"/>
      <c r="AW226" s="223"/>
      <c r="AX226" s="223"/>
      <c r="AY226" s="223"/>
      <c r="AZ226" s="223"/>
      <c r="BA226" s="223"/>
      <c r="BB226" s="223"/>
      <c r="BC226" s="223"/>
      <c r="BD226" s="223"/>
      <c r="BE226" s="223"/>
      <c r="BF226" s="223"/>
      <c r="BG226" s="223"/>
      <c r="BH226" s="223"/>
      <c r="BI226" s="223"/>
      <c r="BJ226" s="223"/>
      <c r="BK226" s="223"/>
      <c r="BL226" s="223"/>
      <c r="BM226" s="223"/>
      <c r="BN226" s="223"/>
      <c r="BO226" s="223"/>
      <c r="BP226" s="223"/>
      <c r="BQ226" s="223"/>
      <c r="BR226" s="223"/>
      <c r="BS226" s="223"/>
      <c r="BT226" s="223"/>
      <c r="BU226" s="223"/>
      <c r="BV226" s="223"/>
      <c r="BW226" s="223"/>
      <c r="BX226" s="223"/>
      <c r="BY226" s="223"/>
      <c r="BZ226" s="224"/>
      <c r="CA226" s="152"/>
      <c r="CB226" s="152"/>
      <c r="CC226" s="152"/>
      <c r="CD226" s="152"/>
    </row>
    <row r="227" ht="15.0" customHeight="1">
      <c r="A227" s="152"/>
      <c r="B227" s="152"/>
      <c r="C227" s="225">
        <f>AP203+1</f>
        <v>19</v>
      </c>
      <c r="D227" s="225" t="s">
        <v>109</v>
      </c>
      <c r="E227" s="226" t="s">
        <v>109</v>
      </c>
      <c r="I227" s="227" t="str">
        <f t="array" ref="I227">xlookup(xlookup(C227&amp;D227&amp;"Nationality",'Roster Info'!$A:$A&amp;'Roster Info'!$G:$G&amp;'Roster Info'!$D:$D,'Roster Info'!$E:$E,""),'Roster Info'!$K:$K,'Roster Info'!$L:$L,"")</f>
        <v/>
      </c>
      <c r="K227" s="228" t="str">
        <f t="array" ref="K227">xlookup(C227&amp;D227,'Roster Info'!$A:$A&amp;'Roster Info'!$G:$G,'Roster Info'!$F:$F,"")</f>
        <v/>
      </c>
      <c r="U227" s="229" t="str">
        <f t="array" ref="U227">xlookup(C227&amp;D227&amp;"Full Name",'Roster Info'!$A:$A&amp;'Roster Info'!$G:$G&amp;'Roster Info'!$D:$D,'Roster Info'!$E:$E,"")</f>
        <v/>
      </c>
      <c r="AE227" s="63" t="str">
        <f t="array" ref="AE227">if(xlookup(C227&amp;D227&amp;"Steam",'Roster Info'!$A:$A&amp;'Roster Info'!$G:$G&amp;'Roster Info'!$D:$D,'Roster Info'!$E:$E,"")="","-",hyperlink(xlookup(C227&amp;D227&amp;"Steam",'Roster Info'!$A:$A&amp;'Roster Info'!$G:$G&amp;'Roster Info'!$D:$D,'Roster Info'!$E:$E,""),"Steam"))</f>
        <v>-</v>
      </c>
      <c r="AH227" s="63" t="str">
        <f t="array" ref="AH227">if(xlookup(C227&amp;D227&amp;"HLTV",'Roster Info'!$A:$A&amp;'Roster Info'!$G:$G&amp;'Roster Info'!$D:$D,'Roster Info'!$E:$E,"")="","-",hyperlink(xlookup(C227&amp;D227&amp;"HLTV",'Roster Info'!$A:$A&amp;'Roster Info'!$G:$G&amp;'Roster Info'!$D:$D,'Roster Info'!$E:$E,""),"HLTV"))</f>
        <v>-</v>
      </c>
      <c r="AK227" s="63" t="str">
        <f t="array" ref="AK227">if(xlookup(C227&amp;D227&amp;"FaceIt",'Roster Info'!$A:$A&amp;'Roster Info'!$G:$G&amp;'Roster Info'!$D:$D,'Roster Info'!$E:$E,"")="","-",hyperlink(xlookup(C227&amp;D227&amp;"FaceIt",'Roster Info'!$A:$A&amp;'Roster Info'!$G:$G&amp;'Roster Info'!$D:$D,'Roster Info'!$E:$E,""),"FaceIt"))</f>
        <v>-</v>
      </c>
      <c r="AM227" s="61"/>
      <c r="AN227" s="152"/>
      <c r="AO227" s="152"/>
      <c r="AP227" s="225">
        <f>C227+1</f>
        <v>20</v>
      </c>
      <c r="AQ227" s="225" t="s">
        <v>109</v>
      </c>
      <c r="AR227" s="226" t="s">
        <v>109</v>
      </c>
      <c r="AV227" s="227" t="str">
        <f t="array" ref="AV227">xlookup(xlookup(AP227&amp;AQ227&amp;"Nationality",'Roster Info'!$A:$A&amp;'Roster Info'!$G:$G&amp;'Roster Info'!$D:$D,'Roster Info'!$E:$E,""),'Roster Info'!$K:$K,'Roster Info'!$L:$L,"")</f>
        <v/>
      </c>
      <c r="AX227" s="228" t="str">
        <f t="array" ref="AX227">xlookup(AP227&amp;AQ227,'Roster Info'!$A:$A&amp;'Roster Info'!$G:$G,'Roster Info'!$F:$F,"")</f>
        <v/>
      </c>
      <c r="BH227" s="229" t="str">
        <f t="array" ref="BH227">xlookup(AP227&amp;AQ227&amp;"Full Name",'Roster Info'!$A:$A&amp;'Roster Info'!$G:$G&amp;'Roster Info'!$D:$D,'Roster Info'!$E:$E,"")</f>
        <v/>
      </c>
      <c r="BR227" s="63" t="str">
        <f t="array" ref="BR227">if(xlookup(AP227&amp;AQ227&amp;"Steam",'Roster Info'!$A:$A&amp;'Roster Info'!$G:$G&amp;'Roster Info'!$D:$D,'Roster Info'!$E:$E,"")="","-",hyperlink(xlookup(AP227&amp;AQ227&amp;"Steam",'Roster Info'!$A:$A&amp;'Roster Info'!$G:$G&amp;'Roster Info'!$D:$D,'Roster Info'!$E:$E,""),"Steam"))</f>
        <v>-</v>
      </c>
      <c r="BU227" s="63" t="str">
        <f t="array" ref="BU227">if(xlookup(AP227&amp;AQ227&amp;"HLTV",'Roster Info'!$A:$A&amp;'Roster Info'!$G:$G&amp;'Roster Info'!$D:$D,'Roster Info'!$E:$E,"")="","-",hyperlink(xlookup(AP227&amp;AQ227&amp;"HLTV",'Roster Info'!$A:$A&amp;'Roster Info'!$G:$G&amp;'Roster Info'!$D:$D,'Roster Info'!$E:$E,""),"HLTV"))</f>
        <v>-</v>
      </c>
      <c r="BX227" s="63" t="str">
        <f t="array" ref="BX227">if(xlookup(AP227&amp;AQ227&amp;"FaceIt",'Roster Info'!$A:$A&amp;'Roster Info'!$G:$G&amp;'Roster Info'!$D:$D,'Roster Info'!$E:$E,"")="","-",hyperlink(xlookup(AP227&amp;AQ227&amp;"FaceIt",'Roster Info'!$A:$A&amp;'Roster Info'!$G:$G&amp;'Roster Info'!$D:$D,'Roster Info'!$E:$E,""),"FaceIt"))</f>
        <v>-</v>
      </c>
      <c r="BZ227" s="61"/>
      <c r="CA227" s="152"/>
      <c r="CB227" s="152"/>
      <c r="CC227" s="152"/>
      <c r="CD227" s="152"/>
    </row>
    <row r="228" ht="15.0" customHeight="1">
      <c r="A228" s="152"/>
      <c r="B228" s="152"/>
      <c r="C228" s="219"/>
      <c r="D228" s="219"/>
      <c r="E228" s="230"/>
      <c r="F228" s="231"/>
      <c r="G228" s="231"/>
      <c r="H228" s="231"/>
      <c r="I228" s="231"/>
      <c r="J228" s="231"/>
      <c r="K228" s="231"/>
      <c r="L228" s="231"/>
      <c r="M228" s="231"/>
      <c r="N228" s="231"/>
      <c r="O228" s="231"/>
      <c r="P228" s="231"/>
      <c r="Q228" s="231"/>
      <c r="R228" s="231"/>
      <c r="S228" s="231"/>
      <c r="T228" s="231"/>
      <c r="U228" s="231"/>
      <c r="V228" s="231"/>
      <c r="W228" s="231"/>
      <c r="X228" s="231"/>
      <c r="Y228" s="231"/>
      <c r="Z228" s="231"/>
      <c r="AA228" s="231"/>
      <c r="AB228" s="231"/>
      <c r="AC228" s="231"/>
      <c r="AD228" s="231"/>
      <c r="AE228" s="231"/>
      <c r="AF228" s="231"/>
      <c r="AG228" s="231"/>
      <c r="AH228" s="231"/>
      <c r="AI228" s="231"/>
      <c r="AJ228" s="231"/>
      <c r="AK228" s="231"/>
      <c r="AL228" s="231"/>
      <c r="AM228" s="232"/>
      <c r="AN228" s="152"/>
      <c r="AO228" s="152"/>
      <c r="AP228" s="219"/>
      <c r="AQ228" s="219"/>
      <c r="AR228" s="230"/>
      <c r="AS228" s="231"/>
      <c r="AT228" s="231"/>
      <c r="AU228" s="231"/>
      <c r="AV228" s="231"/>
      <c r="AW228" s="231"/>
      <c r="AX228" s="231"/>
      <c r="AY228" s="231"/>
      <c r="AZ228" s="231"/>
      <c r="BA228" s="231"/>
      <c r="BB228" s="231"/>
      <c r="BC228" s="231"/>
      <c r="BD228" s="231"/>
      <c r="BE228" s="231"/>
      <c r="BF228" s="231"/>
      <c r="BG228" s="231"/>
      <c r="BH228" s="231"/>
      <c r="BI228" s="231"/>
      <c r="BJ228" s="231"/>
      <c r="BK228" s="231"/>
      <c r="BL228" s="231"/>
      <c r="BM228" s="231"/>
      <c r="BN228" s="231"/>
      <c r="BO228" s="231"/>
      <c r="BP228" s="231"/>
      <c r="BQ228" s="231"/>
      <c r="BR228" s="231"/>
      <c r="BS228" s="231"/>
      <c r="BT228" s="231"/>
      <c r="BU228" s="231"/>
      <c r="BV228" s="231"/>
      <c r="BW228" s="231"/>
      <c r="BX228" s="231"/>
      <c r="BY228" s="231"/>
      <c r="BZ228" s="232"/>
      <c r="CA228" s="152"/>
      <c r="CB228" s="152"/>
      <c r="CC228" s="152"/>
      <c r="CD228" s="152"/>
    </row>
    <row r="229" ht="15.0" customHeight="1">
      <c r="A229" s="152"/>
      <c r="B229" s="152"/>
      <c r="C229" s="219">
        <f>C227</f>
        <v>19</v>
      </c>
      <c r="D229" s="225" t="s">
        <v>115</v>
      </c>
      <c r="E229" s="226" t="s">
        <v>115</v>
      </c>
      <c r="I229" s="227" t="str">
        <f t="array" ref="I229">xlookup(xlookup(C229&amp;D229&amp;"Nationality",'Roster Info'!$A:$A&amp;'Roster Info'!$G:$G&amp;'Roster Info'!$D:$D,'Roster Info'!$E:$E,""),'Roster Info'!$K:$K,'Roster Info'!$L:$L,"")</f>
        <v/>
      </c>
      <c r="K229" s="228" t="str">
        <f t="array" ref="K229">xlookup(C229&amp;D229,'Roster Info'!$A:$A&amp;'Roster Info'!$G:$G,'Roster Info'!$F:$F,"")</f>
        <v/>
      </c>
      <c r="U229" s="229" t="str">
        <f t="array" ref="U229">xlookup(C229&amp;D229&amp;"Full Name",'Roster Info'!$A:$A&amp;'Roster Info'!$G:$G&amp;'Roster Info'!$D:$D,'Roster Info'!$E:$E,"")</f>
        <v/>
      </c>
      <c r="AE229" s="63" t="str">
        <f t="array" ref="AE229">if(xlookup(C229&amp;D229&amp;"Steam",'Roster Info'!$A:$A&amp;'Roster Info'!$G:$G&amp;'Roster Info'!$D:$D,'Roster Info'!$E:$E,"")="","-",hyperlink(xlookup(C229&amp;D229&amp;"Steam",'Roster Info'!$A:$A&amp;'Roster Info'!$G:$G&amp;'Roster Info'!$D:$D,'Roster Info'!$E:$E,""),"Steam"))</f>
        <v>-</v>
      </c>
      <c r="AH229" s="63" t="str">
        <f t="array" ref="AH229">if(xlookup(C229&amp;D229&amp;"HLTV",'Roster Info'!$A:$A&amp;'Roster Info'!$G:$G&amp;'Roster Info'!$D:$D,'Roster Info'!$E:$E,"")="","-",hyperlink(xlookup(C229&amp;D229&amp;"HLTV",'Roster Info'!$A:$A&amp;'Roster Info'!$G:$G&amp;'Roster Info'!$D:$D,'Roster Info'!$E:$E,""),"HLTV"))</f>
        <v>-</v>
      </c>
      <c r="AK229" s="63" t="str">
        <f t="array" ref="AK229">if(xlookup(C229&amp;D229&amp;"FaceIt",'Roster Info'!$A:$A&amp;'Roster Info'!$G:$G&amp;'Roster Info'!$D:$D,'Roster Info'!$E:$E,"")="","-",hyperlink(xlookup(C229&amp;D229&amp;"FaceIt",'Roster Info'!$A:$A&amp;'Roster Info'!$G:$G&amp;'Roster Info'!$D:$D,'Roster Info'!$E:$E,""),"FaceIt"))</f>
        <v>-</v>
      </c>
      <c r="AM229" s="61"/>
      <c r="AN229" s="152"/>
      <c r="AO229" s="152"/>
      <c r="AP229" s="219">
        <f>AP227</f>
        <v>20</v>
      </c>
      <c r="AQ229" s="225" t="s">
        <v>115</v>
      </c>
      <c r="AR229" s="226" t="s">
        <v>115</v>
      </c>
      <c r="AV229" s="227" t="str">
        <f t="array" ref="AV229">xlookup(xlookup(AP229&amp;AQ229&amp;"Nationality",'Roster Info'!$A:$A&amp;'Roster Info'!$G:$G&amp;'Roster Info'!$D:$D,'Roster Info'!$E:$E,""),'Roster Info'!$K:$K,'Roster Info'!$L:$L,"")</f>
        <v/>
      </c>
      <c r="AX229" s="228" t="str">
        <f t="array" ref="AX229">xlookup(AP229&amp;AQ229,'Roster Info'!$A:$A&amp;'Roster Info'!$G:$G,'Roster Info'!$F:$F,"")</f>
        <v/>
      </c>
      <c r="BH229" s="229" t="str">
        <f t="array" ref="BH229">xlookup(AP229&amp;AQ229&amp;"Full Name",'Roster Info'!$A:$A&amp;'Roster Info'!$G:$G&amp;'Roster Info'!$D:$D,'Roster Info'!$E:$E,"")</f>
        <v/>
      </c>
      <c r="BR229" s="63" t="str">
        <f t="array" ref="BR229">if(xlookup(AP229&amp;AQ229&amp;"Steam",'Roster Info'!$A:$A&amp;'Roster Info'!$G:$G&amp;'Roster Info'!$D:$D,'Roster Info'!$E:$E,"")="","-",hyperlink(xlookup(AP229&amp;AQ229&amp;"Steam",'Roster Info'!$A:$A&amp;'Roster Info'!$G:$G&amp;'Roster Info'!$D:$D,'Roster Info'!$E:$E,""),"Steam"))</f>
        <v>-</v>
      </c>
      <c r="BU229" s="63" t="str">
        <f t="array" ref="BU229">if(xlookup(AP229&amp;AQ229&amp;"HLTV",'Roster Info'!$A:$A&amp;'Roster Info'!$G:$G&amp;'Roster Info'!$D:$D,'Roster Info'!$E:$E,"")="","-",hyperlink(xlookup(AP229&amp;AQ229&amp;"HLTV",'Roster Info'!$A:$A&amp;'Roster Info'!$G:$G&amp;'Roster Info'!$D:$D,'Roster Info'!$E:$E,""),"HLTV"))</f>
        <v>-</v>
      </c>
      <c r="BX229" s="63" t="str">
        <f t="array" ref="BX229">if(xlookup(AP229&amp;AQ229&amp;"FaceIt",'Roster Info'!$A:$A&amp;'Roster Info'!$G:$G&amp;'Roster Info'!$D:$D,'Roster Info'!$E:$E,"")="","-",hyperlink(xlookup(AP229&amp;AQ229&amp;"FaceIt",'Roster Info'!$A:$A&amp;'Roster Info'!$G:$G&amp;'Roster Info'!$D:$D,'Roster Info'!$E:$E,""),"FaceIt"))</f>
        <v>-</v>
      </c>
      <c r="BZ229" s="61"/>
      <c r="CA229" s="152"/>
      <c r="CB229" s="152"/>
      <c r="CC229" s="152"/>
      <c r="CD229" s="152"/>
    </row>
    <row r="230" ht="15.0" customHeight="1">
      <c r="A230" s="152"/>
      <c r="B230" s="152"/>
      <c r="C230" s="219"/>
      <c r="D230" s="219"/>
      <c r="E230" s="230"/>
      <c r="F230" s="231"/>
      <c r="G230" s="231"/>
      <c r="H230" s="231"/>
      <c r="I230" s="231"/>
      <c r="J230" s="231"/>
      <c r="K230" s="231"/>
      <c r="L230" s="231"/>
      <c r="M230" s="231"/>
      <c r="N230" s="231"/>
      <c r="O230" s="231"/>
      <c r="P230" s="231"/>
      <c r="Q230" s="231"/>
      <c r="R230" s="231"/>
      <c r="S230" s="231"/>
      <c r="T230" s="231"/>
      <c r="U230" s="231"/>
      <c r="V230" s="231"/>
      <c r="W230" s="231"/>
      <c r="X230" s="231"/>
      <c r="Y230" s="231"/>
      <c r="Z230" s="231"/>
      <c r="AA230" s="231"/>
      <c r="AB230" s="231"/>
      <c r="AC230" s="231"/>
      <c r="AD230" s="231"/>
      <c r="AE230" s="231"/>
      <c r="AF230" s="231"/>
      <c r="AG230" s="231"/>
      <c r="AH230" s="231"/>
      <c r="AI230" s="231"/>
      <c r="AJ230" s="231"/>
      <c r="AK230" s="231"/>
      <c r="AL230" s="231"/>
      <c r="AM230" s="232"/>
      <c r="AN230" s="152"/>
      <c r="AO230" s="152"/>
      <c r="AP230" s="219"/>
      <c r="AQ230" s="219"/>
      <c r="AR230" s="230"/>
      <c r="AS230" s="231"/>
      <c r="AT230" s="231"/>
      <c r="AU230" s="231"/>
      <c r="AV230" s="231"/>
      <c r="AW230" s="231"/>
      <c r="AX230" s="231"/>
      <c r="AY230" s="231"/>
      <c r="AZ230" s="231"/>
      <c r="BA230" s="231"/>
      <c r="BB230" s="231"/>
      <c r="BC230" s="231"/>
      <c r="BD230" s="231"/>
      <c r="BE230" s="231"/>
      <c r="BF230" s="231"/>
      <c r="BG230" s="231"/>
      <c r="BH230" s="231"/>
      <c r="BI230" s="231"/>
      <c r="BJ230" s="231"/>
      <c r="BK230" s="231"/>
      <c r="BL230" s="231"/>
      <c r="BM230" s="231"/>
      <c r="BN230" s="231"/>
      <c r="BO230" s="231"/>
      <c r="BP230" s="231"/>
      <c r="BQ230" s="231"/>
      <c r="BR230" s="231"/>
      <c r="BS230" s="231"/>
      <c r="BT230" s="231"/>
      <c r="BU230" s="231"/>
      <c r="BV230" s="231"/>
      <c r="BW230" s="231"/>
      <c r="BX230" s="231"/>
      <c r="BY230" s="231"/>
      <c r="BZ230" s="232"/>
      <c r="CA230" s="152"/>
      <c r="CB230" s="152"/>
      <c r="CC230" s="152"/>
      <c r="CD230" s="152"/>
    </row>
    <row r="231" ht="15.0" customHeight="1">
      <c r="A231" s="152"/>
      <c r="B231" s="152"/>
      <c r="C231" s="219">
        <f>C229</f>
        <v>19</v>
      </c>
      <c r="D231" s="225" t="s">
        <v>121</v>
      </c>
      <c r="E231" s="226" t="s">
        <v>121</v>
      </c>
      <c r="I231" s="227" t="str">
        <f t="array" ref="I231">xlookup(xlookup(C231&amp;D231&amp;"Nationality",'Roster Info'!$A:$A&amp;'Roster Info'!$G:$G&amp;'Roster Info'!$D:$D,'Roster Info'!$E:$E,""),'Roster Info'!$K:$K,'Roster Info'!$L:$L,"")</f>
        <v/>
      </c>
      <c r="K231" s="228" t="str">
        <f t="array" ref="K231">xlookup(C231&amp;D231,'Roster Info'!$A:$A&amp;'Roster Info'!$G:$G,'Roster Info'!$F:$F,"")</f>
        <v/>
      </c>
      <c r="U231" s="229" t="str">
        <f t="array" ref="U231">xlookup(C231&amp;D231&amp;"Full Name",'Roster Info'!$A:$A&amp;'Roster Info'!$G:$G&amp;'Roster Info'!$D:$D,'Roster Info'!$E:$E,"")</f>
        <v/>
      </c>
      <c r="AE231" s="63" t="str">
        <f t="array" ref="AE231">if(xlookup(C231&amp;D231&amp;"Steam",'Roster Info'!$A:$A&amp;'Roster Info'!$G:$G&amp;'Roster Info'!$D:$D,'Roster Info'!$E:$E,"")="","-",hyperlink(xlookup(C231&amp;D231&amp;"Steam",'Roster Info'!$A:$A&amp;'Roster Info'!$G:$G&amp;'Roster Info'!$D:$D,'Roster Info'!$E:$E,""),"Steam"))</f>
        <v>-</v>
      </c>
      <c r="AH231" s="63" t="str">
        <f t="array" ref="AH231">if(xlookup(C231&amp;D231&amp;"HLTV",'Roster Info'!$A:$A&amp;'Roster Info'!$G:$G&amp;'Roster Info'!$D:$D,'Roster Info'!$E:$E,"")="","-",hyperlink(xlookup(C231&amp;D231&amp;"HLTV",'Roster Info'!$A:$A&amp;'Roster Info'!$G:$G&amp;'Roster Info'!$D:$D,'Roster Info'!$E:$E,""),"HLTV"))</f>
        <v>-</v>
      </c>
      <c r="AK231" s="63" t="str">
        <f t="array" ref="AK231">if(xlookup(C231&amp;D231&amp;"FaceIt",'Roster Info'!$A:$A&amp;'Roster Info'!$G:$G&amp;'Roster Info'!$D:$D,'Roster Info'!$E:$E,"")="","-",hyperlink(xlookup(C231&amp;D231&amp;"FaceIt",'Roster Info'!$A:$A&amp;'Roster Info'!$G:$G&amp;'Roster Info'!$D:$D,'Roster Info'!$E:$E,""),"FaceIt"))</f>
        <v>-</v>
      </c>
      <c r="AM231" s="61"/>
      <c r="AN231" s="152"/>
      <c r="AO231" s="152"/>
      <c r="AP231" s="219">
        <f>AP229</f>
        <v>20</v>
      </c>
      <c r="AQ231" s="225" t="s">
        <v>121</v>
      </c>
      <c r="AR231" s="226" t="s">
        <v>121</v>
      </c>
      <c r="AV231" s="227" t="str">
        <f t="array" ref="AV231">xlookup(xlookup(AP231&amp;AQ231&amp;"Nationality",'Roster Info'!$A:$A&amp;'Roster Info'!$G:$G&amp;'Roster Info'!$D:$D,'Roster Info'!$E:$E,""),'Roster Info'!$K:$K,'Roster Info'!$L:$L,"")</f>
        <v/>
      </c>
      <c r="AX231" s="228" t="str">
        <f t="array" ref="AX231">xlookup(AP231&amp;AQ231,'Roster Info'!$A:$A&amp;'Roster Info'!$G:$G,'Roster Info'!$F:$F,"")</f>
        <v/>
      </c>
      <c r="BH231" s="229" t="str">
        <f t="array" ref="BH231">xlookup(AP231&amp;AQ231&amp;"Full Name",'Roster Info'!$A:$A&amp;'Roster Info'!$G:$G&amp;'Roster Info'!$D:$D,'Roster Info'!$E:$E,"")</f>
        <v/>
      </c>
      <c r="BR231" s="63" t="str">
        <f t="array" ref="BR231">if(xlookup(AP231&amp;AQ231&amp;"Steam",'Roster Info'!$A:$A&amp;'Roster Info'!$G:$G&amp;'Roster Info'!$D:$D,'Roster Info'!$E:$E,"")="","-",hyperlink(xlookup(AP231&amp;AQ231&amp;"Steam",'Roster Info'!$A:$A&amp;'Roster Info'!$G:$G&amp;'Roster Info'!$D:$D,'Roster Info'!$E:$E,""),"Steam"))</f>
        <v>-</v>
      </c>
      <c r="BU231" s="63" t="str">
        <f t="array" ref="BU231">if(xlookup(AP231&amp;AQ231&amp;"HLTV",'Roster Info'!$A:$A&amp;'Roster Info'!$G:$G&amp;'Roster Info'!$D:$D,'Roster Info'!$E:$E,"")="","-",hyperlink(xlookup(AP231&amp;AQ231&amp;"HLTV",'Roster Info'!$A:$A&amp;'Roster Info'!$G:$G&amp;'Roster Info'!$D:$D,'Roster Info'!$E:$E,""),"HLTV"))</f>
        <v>-</v>
      </c>
      <c r="BX231" s="63" t="str">
        <f t="array" ref="BX231">if(xlookup(AP231&amp;AQ231&amp;"FaceIt",'Roster Info'!$A:$A&amp;'Roster Info'!$G:$G&amp;'Roster Info'!$D:$D,'Roster Info'!$E:$E,"")="","-",hyperlink(xlookup(AP231&amp;AQ231&amp;"FaceIt",'Roster Info'!$A:$A&amp;'Roster Info'!$G:$G&amp;'Roster Info'!$D:$D,'Roster Info'!$E:$E,""),"FaceIt"))</f>
        <v>-</v>
      </c>
      <c r="BZ231" s="61"/>
      <c r="CA231" s="152"/>
      <c r="CB231" s="152"/>
      <c r="CC231" s="152"/>
      <c r="CD231" s="152"/>
    </row>
    <row r="232" ht="15.0" customHeight="1">
      <c r="A232" s="152"/>
      <c r="B232" s="152"/>
      <c r="C232" s="219"/>
      <c r="D232" s="219"/>
      <c r="E232" s="230"/>
      <c r="F232" s="231"/>
      <c r="G232" s="231"/>
      <c r="H232" s="231"/>
      <c r="I232" s="231"/>
      <c r="J232" s="231"/>
      <c r="K232" s="231"/>
      <c r="L232" s="231"/>
      <c r="M232" s="231"/>
      <c r="N232" s="231"/>
      <c r="O232" s="231"/>
      <c r="P232" s="231"/>
      <c r="Q232" s="231"/>
      <c r="R232" s="231"/>
      <c r="S232" s="231"/>
      <c r="T232" s="231"/>
      <c r="U232" s="231"/>
      <c r="V232" s="231"/>
      <c r="W232" s="231"/>
      <c r="X232" s="231"/>
      <c r="Y232" s="231"/>
      <c r="Z232" s="231"/>
      <c r="AA232" s="231"/>
      <c r="AB232" s="231"/>
      <c r="AC232" s="231"/>
      <c r="AD232" s="231"/>
      <c r="AE232" s="231"/>
      <c r="AF232" s="231"/>
      <c r="AG232" s="231"/>
      <c r="AH232" s="231"/>
      <c r="AI232" s="231"/>
      <c r="AJ232" s="231"/>
      <c r="AK232" s="231"/>
      <c r="AL232" s="231"/>
      <c r="AM232" s="232"/>
      <c r="AN232" s="152"/>
      <c r="AO232" s="152"/>
      <c r="AP232" s="219"/>
      <c r="AQ232" s="219"/>
      <c r="AR232" s="230"/>
      <c r="AS232" s="231"/>
      <c r="AT232" s="231"/>
      <c r="AU232" s="231"/>
      <c r="AV232" s="231"/>
      <c r="AW232" s="231"/>
      <c r="AX232" s="231"/>
      <c r="AY232" s="231"/>
      <c r="AZ232" s="231"/>
      <c r="BA232" s="231"/>
      <c r="BB232" s="231"/>
      <c r="BC232" s="231"/>
      <c r="BD232" s="231"/>
      <c r="BE232" s="231"/>
      <c r="BF232" s="231"/>
      <c r="BG232" s="231"/>
      <c r="BH232" s="231"/>
      <c r="BI232" s="231"/>
      <c r="BJ232" s="231"/>
      <c r="BK232" s="231"/>
      <c r="BL232" s="231"/>
      <c r="BM232" s="231"/>
      <c r="BN232" s="231"/>
      <c r="BO232" s="231"/>
      <c r="BP232" s="231"/>
      <c r="BQ232" s="231"/>
      <c r="BR232" s="231"/>
      <c r="BS232" s="231"/>
      <c r="BT232" s="231"/>
      <c r="BU232" s="231"/>
      <c r="BV232" s="231"/>
      <c r="BW232" s="231"/>
      <c r="BX232" s="231"/>
      <c r="BY232" s="231"/>
      <c r="BZ232" s="232"/>
      <c r="CA232" s="152"/>
      <c r="CB232" s="152"/>
      <c r="CC232" s="152"/>
      <c r="CD232" s="152"/>
    </row>
    <row r="233" ht="15.0" customHeight="1">
      <c r="A233" s="152"/>
      <c r="B233" s="152"/>
      <c r="C233" s="219">
        <f>C231</f>
        <v>19</v>
      </c>
      <c r="D233" s="225" t="s">
        <v>127</v>
      </c>
      <c r="E233" s="226" t="s">
        <v>127</v>
      </c>
      <c r="I233" s="227" t="str">
        <f t="array" ref="I233">xlookup(xlookup(C233&amp;D233&amp;"Nationality",'Roster Info'!$A:$A&amp;'Roster Info'!$G:$G&amp;'Roster Info'!$D:$D,'Roster Info'!$E:$E,""),'Roster Info'!$K:$K,'Roster Info'!$L:$L,"")</f>
        <v/>
      </c>
      <c r="K233" s="228" t="str">
        <f t="array" ref="K233">xlookup(C233&amp;D233,'Roster Info'!$A:$A&amp;'Roster Info'!$G:$G,'Roster Info'!$F:$F,"")</f>
        <v/>
      </c>
      <c r="U233" s="229" t="str">
        <f t="array" ref="U233">xlookup(C233&amp;D233&amp;"Full Name",'Roster Info'!$A:$A&amp;'Roster Info'!$G:$G&amp;'Roster Info'!$D:$D,'Roster Info'!$E:$E,"")</f>
        <v/>
      </c>
      <c r="AE233" s="63" t="str">
        <f t="array" ref="AE233">if(xlookup(C233&amp;D233&amp;"Steam",'Roster Info'!$A:$A&amp;'Roster Info'!$G:$G&amp;'Roster Info'!$D:$D,'Roster Info'!$E:$E,"")="","-",hyperlink(xlookup(C233&amp;D233&amp;"Steam",'Roster Info'!$A:$A&amp;'Roster Info'!$G:$G&amp;'Roster Info'!$D:$D,'Roster Info'!$E:$E,""),"Steam"))</f>
        <v>-</v>
      </c>
      <c r="AH233" s="63" t="str">
        <f t="array" ref="AH233">if(xlookup(C233&amp;D233&amp;"HLTV",'Roster Info'!$A:$A&amp;'Roster Info'!$G:$G&amp;'Roster Info'!$D:$D,'Roster Info'!$E:$E,"")="","-",hyperlink(xlookup(C233&amp;D233&amp;"HLTV",'Roster Info'!$A:$A&amp;'Roster Info'!$G:$G&amp;'Roster Info'!$D:$D,'Roster Info'!$E:$E,""),"HLTV"))</f>
        <v>-</v>
      </c>
      <c r="AK233" s="63" t="str">
        <f t="array" ref="AK233">if(xlookup(C233&amp;D233&amp;"FaceIt",'Roster Info'!$A:$A&amp;'Roster Info'!$G:$G&amp;'Roster Info'!$D:$D,'Roster Info'!$E:$E,"")="","-",hyperlink(xlookup(C233&amp;D233&amp;"FaceIt",'Roster Info'!$A:$A&amp;'Roster Info'!$G:$G&amp;'Roster Info'!$D:$D,'Roster Info'!$E:$E,""),"FaceIt"))</f>
        <v>-</v>
      </c>
      <c r="AM233" s="61"/>
      <c r="AN233" s="152"/>
      <c r="AO233" s="152"/>
      <c r="AP233" s="219">
        <f>AP231</f>
        <v>20</v>
      </c>
      <c r="AQ233" s="225" t="s">
        <v>127</v>
      </c>
      <c r="AR233" s="226" t="s">
        <v>127</v>
      </c>
      <c r="AV233" s="227" t="str">
        <f t="array" ref="AV233">xlookup(xlookup(AP233&amp;AQ233&amp;"Nationality",'Roster Info'!$A:$A&amp;'Roster Info'!$G:$G&amp;'Roster Info'!$D:$D,'Roster Info'!$E:$E,""),'Roster Info'!$K:$K,'Roster Info'!$L:$L,"")</f>
        <v/>
      </c>
      <c r="AX233" s="228" t="str">
        <f t="array" ref="AX233">xlookup(AP233&amp;AQ233,'Roster Info'!$A:$A&amp;'Roster Info'!$G:$G,'Roster Info'!$F:$F,"")</f>
        <v/>
      </c>
      <c r="BH233" s="229" t="str">
        <f t="array" ref="BH233">xlookup(AP233&amp;AQ233&amp;"Full Name",'Roster Info'!$A:$A&amp;'Roster Info'!$G:$G&amp;'Roster Info'!$D:$D,'Roster Info'!$E:$E,"")</f>
        <v/>
      </c>
      <c r="BR233" s="63" t="str">
        <f t="array" ref="BR233">if(xlookup(AP233&amp;AQ233&amp;"Steam",'Roster Info'!$A:$A&amp;'Roster Info'!$G:$G&amp;'Roster Info'!$D:$D,'Roster Info'!$E:$E,"")="","-",hyperlink(xlookup(AP233&amp;AQ233&amp;"Steam",'Roster Info'!$A:$A&amp;'Roster Info'!$G:$G&amp;'Roster Info'!$D:$D,'Roster Info'!$E:$E,""),"Steam"))</f>
        <v>-</v>
      </c>
      <c r="BU233" s="63" t="str">
        <f t="array" ref="BU233">if(xlookup(AP233&amp;AQ233&amp;"HLTV",'Roster Info'!$A:$A&amp;'Roster Info'!$G:$G&amp;'Roster Info'!$D:$D,'Roster Info'!$E:$E,"")="","-",hyperlink(xlookup(AP233&amp;AQ233&amp;"HLTV",'Roster Info'!$A:$A&amp;'Roster Info'!$G:$G&amp;'Roster Info'!$D:$D,'Roster Info'!$E:$E,""),"HLTV"))</f>
        <v>-</v>
      </c>
      <c r="BX233" s="63" t="str">
        <f t="array" ref="BX233">if(xlookup(AP233&amp;AQ233&amp;"FaceIt",'Roster Info'!$A:$A&amp;'Roster Info'!$G:$G&amp;'Roster Info'!$D:$D,'Roster Info'!$E:$E,"")="","-",hyperlink(xlookup(AP233&amp;AQ233&amp;"FaceIt",'Roster Info'!$A:$A&amp;'Roster Info'!$G:$G&amp;'Roster Info'!$D:$D,'Roster Info'!$E:$E,""),"FaceIt"))</f>
        <v>-</v>
      </c>
      <c r="BZ233" s="61"/>
      <c r="CA233" s="152"/>
      <c r="CB233" s="152"/>
      <c r="CC233" s="152"/>
      <c r="CD233" s="152"/>
    </row>
    <row r="234" ht="15.0" customHeight="1">
      <c r="A234" s="152"/>
      <c r="B234" s="152"/>
      <c r="C234" s="219"/>
      <c r="D234" s="219"/>
      <c r="E234" s="230"/>
      <c r="F234" s="231"/>
      <c r="G234" s="231"/>
      <c r="H234" s="231"/>
      <c r="I234" s="231"/>
      <c r="J234" s="231"/>
      <c r="K234" s="231"/>
      <c r="L234" s="231"/>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2"/>
      <c r="AN234" s="152"/>
      <c r="AO234" s="152"/>
      <c r="AP234" s="219"/>
      <c r="AQ234" s="219"/>
      <c r="AR234" s="230"/>
      <c r="AS234" s="231"/>
      <c r="AT234" s="231"/>
      <c r="AU234" s="231"/>
      <c r="AV234" s="231"/>
      <c r="AW234" s="231"/>
      <c r="AX234" s="231"/>
      <c r="AY234" s="231"/>
      <c r="AZ234" s="231"/>
      <c r="BA234" s="231"/>
      <c r="BB234" s="231"/>
      <c r="BC234" s="231"/>
      <c r="BD234" s="231"/>
      <c r="BE234" s="231"/>
      <c r="BF234" s="231"/>
      <c r="BG234" s="231"/>
      <c r="BH234" s="231"/>
      <c r="BI234" s="231"/>
      <c r="BJ234" s="231"/>
      <c r="BK234" s="231"/>
      <c r="BL234" s="231"/>
      <c r="BM234" s="231"/>
      <c r="BN234" s="231"/>
      <c r="BO234" s="231"/>
      <c r="BP234" s="231"/>
      <c r="BQ234" s="231"/>
      <c r="BR234" s="231"/>
      <c r="BS234" s="231"/>
      <c r="BT234" s="231"/>
      <c r="BU234" s="231"/>
      <c r="BV234" s="231"/>
      <c r="BW234" s="231"/>
      <c r="BX234" s="231"/>
      <c r="BY234" s="231"/>
      <c r="BZ234" s="232"/>
      <c r="CA234" s="152"/>
      <c r="CB234" s="152"/>
      <c r="CC234" s="152"/>
      <c r="CD234" s="152"/>
    </row>
    <row r="235" ht="15.0" customHeight="1">
      <c r="A235" s="152"/>
      <c r="B235" s="152"/>
      <c r="C235" s="219">
        <f>C233</f>
        <v>19</v>
      </c>
      <c r="D235" s="225" t="s">
        <v>133</v>
      </c>
      <c r="E235" s="226" t="s">
        <v>133</v>
      </c>
      <c r="I235" s="227" t="str">
        <f t="array" ref="I235">xlookup(xlookup(C235&amp;D235&amp;"Nationality",'Roster Info'!$A:$A&amp;'Roster Info'!$G:$G&amp;'Roster Info'!$D:$D,'Roster Info'!$E:$E,""),'Roster Info'!$K:$K,'Roster Info'!$L:$L,"")</f>
        <v/>
      </c>
      <c r="K235" s="228" t="str">
        <f t="array" ref="K235">xlookup(C235&amp;D235,'Roster Info'!$A:$A&amp;'Roster Info'!$G:$G,'Roster Info'!$F:$F,"")</f>
        <v/>
      </c>
      <c r="U235" s="229" t="str">
        <f t="array" ref="U235">xlookup(C235&amp;D235&amp;"Full Name",'Roster Info'!$A:$A&amp;'Roster Info'!$G:$G&amp;'Roster Info'!$D:$D,'Roster Info'!$E:$E,"")</f>
        <v/>
      </c>
      <c r="AE235" s="63" t="str">
        <f t="array" ref="AE235">if(xlookup(C235&amp;D235&amp;"Steam",'Roster Info'!$A:$A&amp;'Roster Info'!$G:$G&amp;'Roster Info'!$D:$D,'Roster Info'!$E:$E,"")="","-",hyperlink(xlookup(C235&amp;D235&amp;"Steam",'Roster Info'!$A:$A&amp;'Roster Info'!$G:$G&amp;'Roster Info'!$D:$D,'Roster Info'!$E:$E,""),"Steam"))</f>
        <v>-</v>
      </c>
      <c r="AH235" s="63" t="str">
        <f t="array" ref="AH235">if(xlookup(C235&amp;D235&amp;"HLTV",'Roster Info'!$A:$A&amp;'Roster Info'!$G:$G&amp;'Roster Info'!$D:$D,'Roster Info'!$E:$E,"")="","-",hyperlink(xlookup(C235&amp;D235&amp;"HLTV",'Roster Info'!$A:$A&amp;'Roster Info'!$G:$G&amp;'Roster Info'!$D:$D,'Roster Info'!$E:$E,""),"HLTV"))</f>
        <v>-</v>
      </c>
      <c r="AK235" s="63" t="str">
        <f t="array" ref="AK235">if(xlookup(C235&amp;D235&amp;"FaceIt",'Roster Info'!$A:$A&amp;'Roster Info'!$G:$G&amp;'Roster Info'!$D:$D,'Roster Info'!$E:$E,"")="","-",hyperlink(xlookup(C235&amp;D235&amp;"FaceIt",'Roster Info'!$A:$A&amp;'Roster Info'!$G:$G&amp;'Roster Info'!$D:$D,'Roster Info'!$E:$E,""),"FaceIt"))</f>
        <v>-</v>
      </c>
      <c r="AM235" s="61"/>
      <c r="AN235" s="152"/>
      <c r="AO235" s="152"/>
      <c r="AP235" s="219">
        <f>AP233</f>
        <v>20</v>
      </c>
      <c r="AQ235" s="225" t="s">
        <v>133</v>
      </c>
      <c r="AR235" s="226" t="s">
        <v>133</v>
      </c>
      <c r="AV235" s="227" t="str">
        <f t="array" ref="AV235">xlookup(xlookup(AP235&amp;AQ235&amp;"Nationality",'Roster Info'!$A:$A&amp;'Roster Info'!$G:$G&amp;'Roster Info'!$D:$D,'Roster Info'!$E:$E,""),'Roster Info'!$K:$K,'Roster Info'!$L:$L,"")</f>
        <v/>
      </c>
      <c r="AX235" s="228" t="str">
        <f t="array" ref="AX235">xlookup(AP235&amp;AQ235,'Roster Info'!$A:$A&amp;'Roster Info'!$G:$G,'Roster Info'!$F:$F,"")</f>
        <v/>
      </c>
      <c r="BH235" s="229" t="str">
        <f t="array" ref="BH235">xlookup(AP235&amp;AQ235&amp;"Full Name",'Roster Info'!$A:$A&amp;'Roster Info'!$G:$G&amp;'Roster Info'!$D:$D,'Roster Info'!$E:$E,"")</f>
        <v/>
      </c>
      <c r="BR235" s="63" t="str">
        <f t="array" ref="BR235">if(xlookup(AP235&amp;AQ235&amp;"Steam",'Roster Info'!$A:$A&amp;'Roster Info'!$G:$G&amp;'Roster Info'!$D:$D,'Roster Info'!$E:$E,"")="","-",hyperlink(xlookup(AP235&amp;AQ235&amp;"Steam",'Roster Info'!$A:$A&amp;'Roster Info'!$G:$G&amp;'Roster Info'!$D:$D,'Roster Info'!$E:$E,""),"Steam"))</f>
        <v>-</v>
      </c>
      <c r="BU235" s="63" t="str">
        <f t="array" ref="BU235">if(xlookup(AP235&amp;AQ235&amp;"HLTV",'Roster Info'!$A:$A&amp;'Roster Info'!$G:$G&amp;'Roster Info'!$D:$D,'Roster Info'!$E:$E,"")="","-",hyperlink(xlookup(AP235&amp;AQ235&amp;"HLTV",'Roster Info'!$A:$A&amp;'Roster Info'!$G:$G&amp;'Roster Info'!$D:$D,'Roster Info'!$E:$E,""),"HLTV"))</f>
        <v>-</v>
      </c>
      <c r="BX235" s="63" t="str">
        <f t="array" ref="BX235">if(xlookup(AP235&amp;AQ235&amp;"FaceIt",'Roster Info'!$A:$A&amp;'Roster Info'!$G:$G&amp;'Roster Info'!$D:$D,'Roster Info'!$E:$E,"")="","-",hyperlink(xlookup(AP235&amp;AQ235&amp;"FaceIt",'Roster Info'!$A:$A&amp;'Roster Info'!$G:$G&amp;'Roster Info'!$D:$D,'Roster Info'!$E:$E,""),"FaceIt"))</f>
        <v>-</v>
      </c>
      <c r="BZ235" s="61"/>
      <c r="CA235" s="152"/>
      <c r="CB235" s="152"/>
      <c r="CC235" s="152"/>
      <c r="CD235" s="152"/>
    </row>
    <row r="236" ht="15.0" customHeight="1">
      <c r="A236" s="152"/>
      <c r="B236" s="152"/>
      <c r="C236" s="219"/>
      <c r="D236" s="219"/>
      <c r="E236" s="230"/>
      <c r="F236" s="231"/>
      <c r="G236" s="231"/>
      <c r="H236" s="231"/>
      <c r="I236" s="231"/>
      <c r="J236" s="231"/>
      <c r="K236" s="231"/>
      <c r="L236" s="231"/>
      <c r="M236" s="231"/>
      <c r="N236" s="231"/>
      <c r="O236" s="231"/>
      <c r="P236" s="231"/>
      <c r="Q236" s="231"/>
      <c r="R236" s="231"/>
      <c r="S236" s="231"/>
      <c r="T236" s="231"/>
      <c r="U236" s="231"/>
      <c r="V236" s="231"/>
      <c r="W236" s="231"/>
      <c r="X236" s="231"/>
      <c r="Y236" s="231"/>
      <c r="Z236" s="231"/>
      <c r="AA236" s="231"/>
      <c r="AB236" s="231"/>
      <c r="AC236" s="231"/>
      <c r="AD236" s="231"/>
      <c r="AE236" s="231"/>
      <c r="AF236" s="231"/>
      <c r="AG236" s="231"/>
      <c r="AH236" s="231"/>
      <c r="AI236" s="231"/>
      <c r="AJ236" s="231"/>
      <c r="AK236" s="231"/>
      <c r="AL236" s="231"/>
      <c r="AM236" s="232"/>
      <c r="AN236" s="152"/>
      <c r="AO236" s="152"/>
      <c r="AP236" s="219"/>
      <c r="AQ236" s="219"/>
      <c r="AR236" s="230"/>
      <c r="AS236" s="231"/>
      <c r="AT236" s="231"/>
      <c r="AU236" s="231"/>
      <c r="AV236" s="231"/>
      <c r="AW236" s="231"/>
      <c r="AX236" s="231"/>
      <c r="AY236" s="231"/>
      <c r="AZ236" s="231"/>
      <c r="BA236" s="231"/>
      <c r="BB236" s="231"/>
      <c r="BC236" s="231"/>
      <c r="BD236" s="231"/>
      <c r="BE236" s="231"/>
      <c r="BF236" s="231"/>
      <c r="BG236" s="231"/>
      <c r="BH236" s="231"/>
      <c r="BI236" s="231"/>
      <c r="BJ236" s="231"/>
      <c r="BK236" s="231"/>
      <c r="BL236" s="231"/>
      <c r="BM236" s="231"/>
      <c r="BN236" s="231"/>
      <c r="BO236" s="231"/>
      <c r="BP236" s="231"/>
      <c r="BQ236" s="231"/>
      <c r="BR236" s="231"/>
      <c r="BS236" s="231"/>
      <c r="BT236" s="231"/>
      <c r="BU236" s="231"/>
      <c r="BV236" s="231"/>
      <c r="BW236" s="231"/>
      <c r="BX236" s="231"/>
      <c r="BY236" s="231"/>
      <c r="BZ236" s="232"/>
      <c r="CA236" s="152"/>
      <c r="CB236" s="152"/>
      <c r="CC236" s="152"/>
      <c r="CD236" s="152"/>
    </row>
    <row r="237" ht="15.0" customHeight="1">
      <c r="A237" s="152"/>
      <c r="B237" s="152"/>
      <c r="C237" s="219">
        <f>C235</f>
        <v>19</v>
      </c>
      <c r="D237" s="233" t="s">
        <v>139</v>
      </c>
      <c r="E237" s="234" t="s">
        <v>319</v>
      </c>
      <c r="I237" s="227" t="str">
        <f t="array" ref="I237">xlookup(xlookup(C237&amp;D237&amp;"Nationality",'Roster Info'!$A:$A&amp;'Roster Info'!$G:$G&amp;'Roster Info'!$D:$D,'Roster Info'!$E:$E,""),'Roster Info'!$K:$K,'Roster Info'!$L:$L,"")</f>
        <v/>
      </c>
      <c r="K237" s="228" t="str">
        <f t="array" ref="K237">xlookup(C237&amp;D237,'Roster Info'!$A:$A&amp;'Roster Info'!$G:$G,'Roster Info'!$F:$F,"")</f>
        <v/>
      </c>
      <c r="U237" s="229" t="str">
        <f t="array" ref="U237">xlookup(C237&amp;D237&amp;"Full Name",'Roster Info'!$A:$A&amp;'Roster Info'!$G:$G&amp;'Roster Info'!$D:$D,'Roster Info'!$E:$E,"")</f>
        <v/>
      </c>
      <c r="AE237" s="63" t="str">
        <f t="array" ref="AE237">if(xlookup(C237&amp;D237&amp;"Steam",'Roster Info'!$A:$A&amp;'Roster Info'!$G:$G&amp;'Roster Info'!$D:$D,'Roster Info'!$E:$E,"")="","-",hyperlink(xlookup(C237&amp;D237&amp;"Steam",'Roster Info'!$A:$A&amp;'Roster Info'!$G:$G&amp;'Roster Info'!$D:$D,'Roster Info'!$E:$E,""),"Steam"))</f>
        <v>-</v>
      </c>
      <c r="AH237" s="63" t="str">
        <f t="array" ref="AH237">if(xlookup(C237&amp;D237&amp;"HLTV",'Roster Info'!$A:$A&amp;'Roster Info'!$G:$G&amp;'Roster Info'!$D:$D,'Roster Info'!$E:$E,"")="","-",hyperlink(xlookup(C237&amp;D237&amp;"HLTV",'Roster Info'!$A:$A&amp;'Roster Info'!$G:$G&amp;'Roster Info'!$D:$D,'Roster Info'!$E:$E,""),"HLTV"))</f>
        <v>-</v>
      </c>
      <c r="AK237" s="63" t="str">
        <f t="array" ref="AK237">if(xlookup(C237&amp;D237&amp;"FaceIt",'Roster Info'!$A:$A&amp;'Roster Info'!$G:$G&amp;'Roster Info'!$D:$D,'Roster Info'!$E:$E,"")="","-",hyperlink(xlookup(C237&amp;D237&amp;"FaceIt",'Roster Info'!$A:$A&amp;'Roster Info'!$G:$G&amp;'Roster Info'!$D:$D,'Roster Info'!$E:$E,""),"FaceIt"))</f>
        <v>-</v>
      </c>
      <c r="AM237" s="61"/>
      <c r="AN237" s="152"/>
      <c r="AO237" s="152"/>
      <c r="AP237" s="219">
        <f>AP235</f>
        <v>20</v>
      </c>
      <c r="AQ237" s="233" t="s">
        <v>139</v>
      </c>
      <c r="AR237" s="234" t="s">
        <v>319</v>
      </c>
      <c r="AV237" s="227" t="str">
        <f t="array" ref="AV237">xlookup(xlookup(AP237&amp;AQ237&amp;"Nationality",'Roster Info'!$A:$A&amp;'Roster Info'!$G:$G&amp;'Roster Info'!$D:$D,'Roster Info'!$E:$E,""),'Roster Info'!$K:$K,'Roster Info'!$L:$L,"")</f>
        <v/>
      </c>
      <c r="AX237" s="228" t="str">
        <f t="array" ref="AX237">xlookup(AP237&amp;AQ237,'Roster Info'!$A:$A&amp;'Roster Info'!$G:$G,'Roster Info'!$F:$F,"")</f>
        <v/>
      </c>
      <c r="BH237" s="229" t="str">
        <f t="array" ref="BH237">xlookup(AP237&amp;AQ237&amp;"Full Name",'Roster Info'!$A:$A&amp;'Roster Info'!$G:$G&amp;'Roster Info'!$D:$D,'Roster Info'!$E:$E,"")</f>
        <v/>
      </c>
      <c r="BR237" s="63" t="str">
        <f t="array" ref="BR237">if(xlookup(AP237&amp;AQ237&amp;"Steam",'Roster Info'!$A:$A&amp;'Roster Info'!$G:$G&amp;'Roster Info'!$D:$D,'Roster Info'!$E:$E,"")="","-",hyperlink(xlookup(AP237&amp;AQ237&amp;"Steam",'Roster Info'!$A:$A&amp;'Roster Info'!$G:$G&amp;'Roster Info'!$D:$D,'Roster Info'!$E:$E,""),"Steam"))</f>
        <v>-</v>
      </c>
      <c r="BU237" s="63" t="str">
        <f t="array" ref="BU237">if(xlookup(AP237&amp;AQ237&amp;"HLTV",'Roster Info'!$A:$A&amp;'Roster Info'!$G:$G&amp;'Roster Info'!$D:$D,'Roster Info'!$E:$E,"")="","-",hyperlink(xlookup(AP237&amp;AQ237&amp;"HLTV",'Roster Info'!$A:$A&amp;'Roster Info'!$G:$G&amp;'Roster Info'!$D:$D,'Roster Info'!$E:$E,""),"HLTV"))</f>
        <v>-</v>
      </c>
      <c r="BX237" s="63" t="str">
        <f t="array" ref="BX237">if(xlookup(AP237&amp;AQ237&amp;"FaceIt",'Roster Info'!$A:$A&amp;'Roster Info'!$G:$G&amp;'Roster Info'!$D:$D,'Roster Info'!$E:$E,"")="","-",hyperlink(xlookup(AP237&amp;AQ237&amp;"FaceIt",'Roster Info'!$A:$A&amp;'Roster Info'!$G:$G&amp;'Roster Info'!$D:$D,'Roster Info'!$E:$E,""),"FaceIt"))</f>
        <v>-</v>
      </c>
      <c r="BZ237" s="61"/>
      <c r="CA237" s="152"/>
      <c r="CB237" s="152"/>
      <c r="CC237" s="152"/>
      <c r="CD237" s="152"/>
    </row>
    <row r="238" ht="15.0" customHeight="1">
      <c r="A238" s="152"/>
      <c r="B238" s="152"/>
      <c r="C238" s="219"/>
      <c r="D238" s="219"/>
      <c r="E238" s="230"/>
      <c r="F238" s="231"/>
      <c r="G238" s="231"/>
      <c r="H238" s="231"/>
      <c r="I238" s="231"/>
      <c r="J238" s="231"/>
      <c r="K238" s="231"/>
      <c r="L238" s="231"/>
      <c r="M238" s="231"/>
      <c r="N238" s="231"/>
      <c r="O238" s="231"/>
      <c r="P238" s="231"/>
      <c r="Q238" s="231"/>
      <c r="R238" s="231"/>
      <c r="S238" s="231"/>
      <c r="T238" s="231"/>
      <c r="U238" s="231"/>
      <c r="V238" s="231"/>
      <c r="W238" s="231"/>
      <c r="X238" s="231"/>
      <c r="Y238" s="231"/>
      <c r="Z238" s="231"/>
      <c r="AA238" s="231"/>
      <c r="AB238" s="231"/>
      <c r="AC238" s="231"/>
      <c r="AD238" s="231"/>
      <c r="AE238" s="231"/>
      <c r="AF238" s="231"/>
      <c r="AG238" s="231"/>
      <c r="AH238" s="231"/>
      <c r="AI238" s="231"/>
      <c r="AJ238" s="231"/>
      <c r="AK238" s="231"/>
      <c r="AL238" s="231"/>
      <c r="AM238" s="232"/>
      <c r="AN238" s="152"/>
      <c r="AO238" s="152"/>
      <c r="AP238" s="219"/>
      <c r="AQ238" s="219"/>
      <c r="AR238" s="230"/>
      <c r="AS238" s="231"/>
      <c r="AT238" s="231"/>
      <c r="AU238" s="231"/>
      <c r="AV238" s="231"/>
      <c r="AW238" s="231"/>
      <c r="AX238" s="231"/>
      <c r="AY238" s="231"/>
      <c r="AZ238" s="231"/>
      <c r="BA238" s="231"/>
      <c r="BB238" s="231"/>
      <c r="BC238" s="231"/>
      <c r="BD238" s="231"/>
      <c r="BE238" s="231"/>
      <c r="BF238" s="231"/>
      <c r="BG238" s="231"/>
      <c r="BH238" s="231"/>
      <c r="BI238" s="231"/>
      <c r="BJ238" s="231"/>
      <c r="BK238" s="231"/>
      <c r="BL238" s="231"/>
      <c r="BM238" s="231"/>
      <c r="BN238" s="231"/>
      <c r="BO238" s="231"/>
      <c r="BP238" s="231"/>
      <c r="BQ238" s="231"/>
      <c r="BR238" s="231"/>
      <c r="BS238" s="231"/>
      <c r="BT238" s="231"/>
      <c r="BU238" s="231"/>
      <c r="BV238" s="231"/>
      <c r="BW238" s="231"/>
      <c r="BX238" s="231"/>
      <c r="BY238" s="231"/>
      <c r="BZ238" s="232"/>
      <c r="CA238" s="152"/>
      <c r="CB238" s="152"/>
      <c r="CC238" s="152"/>
      <c r="CD238" s="152"/>
    </row>
    <row r="239" ht="15.0" customHeight="1">
      <c r="A239" s="152"/>
      <c r="B239" s="152"/>
      <c r="C239" s="219">
        <f>C237</f>
        <v>19</v>
      </c>
      <c r="D239" s="225" t="s">
        <v>145</v>
      </c>
      <c r="E239" s="226" t="s">
        <v>145</v>
      </c>
      <c r="I239" s="227" t="str">
        <f t="array" ref="I239">xlookup(xlookup(C239&amp;D239&amp;"Nationality",'Roster Info'!$A:$A&amp;'Roster Info'!$G:$G&amp;'Roster Info'!$D:$D,'Roster Info'!$E:$E,""),'Roster Info'!$K:$K,'Roster Info'!$L:$L,"")</f>
        <v/>
      </c>
      <c r="K239" s="228" t="str">
        <f t="array" ref="K239">xlookup(C239&amp;D239,'Roster Info'!$A:$A&amp;'Roster Info'!$G:$G,'Roster Info'!$F:$F,"")</f>
        <v/>
      </c>
      <c r="U239" s="229" t="str">
        <f t="array" ref="U239">xlookup(C239&amp;D239&amp;"Full Name",'Roster Info'!$A:$A&amp;'Roster Info'!$G:$G&amp;'Roster Info'!$D:$D,'Roster Info'!$E:$E,"")</f>
        <v/>
      </c>
      <c r="AE239" s="63" t="str">
        <f t="array" ref="AE239">if(xlookup(C239&amp;D239&amp;"Steam",'Roster Info'!$A:$A&amp;'Roster Info'!$G:$G&amp;'Roster Info'!$D:$D,'Roster Info'!$E:$E,"")="","-",hyperlink(xlookup(C239&amp;D239&amp;"Steam",'Roster Info'!$A:$A&amp;'Roster Info'!$G:$G&amp;'Roster Info'!$D:$D,'Roster Info'!$E:$E,""),"Steam"))</f>
        <v>-</v>
      </c>
      <c r="AH239" s="63" t="str">
        <f t="array" ref="AH239">if(xlookup(C239&amp;D239&amp;"HLTV",'Roster Info'!$A:$A&amp;'Roster Info'!$G:$G&amp;'Roster Info'!$D:$D,'Roster Info'!$E:$E,"")="","-",hyperlink(xlookup(C239&amp;D239&amp;"HLTV",'Roster Info'!$A:$A&amp;'Roster Info'!$G:$G&amp;'Roster Info'!$D:$D,'Roster Info'!$E:$E,""),"HLTV"))</f>
        <v>-</v>
      </c>
      <c r="AK239" s="63" t="str">
        <f t="array" ref="AK239">if(xlookup(C239&amp;D239&amp;"FaceIt",'Roster Info'!$A:$A&amp;'Roster Info'!$G:$G&amp;'Roster Info'!$D:$D,'Roster Info'!$E:$E,"")="","-",hyperlink(xlookup(C239&amp;D239&amp;"FaceIt",'Roster Info'!$A:$A&amp;'Roster Info'!$G:$G&amp;'Roster Info'!$D:$D,'Roster Info'!$E:$E,""),"FaceIt"))</f>
        <v>-</v>
      </c>
      <c r="AM239" s="61"/>
      <c r="AN239" s="152"/>
      <c r="AO239" s="152"/>
      <c r="AP239" s="219">
        <f>AP237</f>
        <v>20</v>
      </c>
      <c r="AQ239" s="225" t="s">
        <v>145</v>
      </c>
      <c r="AR239" s="226" t="s">
        <v>145</v>
      </c>
      <c r="AV239" s="227" t="str">
        <f t="array" ref="AV239">xlookup(xlookup(AP239&amp;AQ239&amp;"Nationality",'Roster Info'!$A:$A&amp;'Roster Info'!$G:$G&amp;'Roster Info'!$D:$D,'Roster Info'!$E:$E,""),'Roster Info'!$K:$K,'Roster Info'!$L:$L,"")</f>
        <v/>
      </c>
      <c r="AX239" s="228" t="str">
        <f t="array" ref="AX239">xlookup(AP239&amp;AQ239,'Roster Info'!$A:$A&amp;'Roster Info'!$G:$G,'Roster Info'!$F:$F,"")</f>
        <v/>
      </c>
      <c r="BH239" s="229" t="str">
        <f t="array" ref="BH239">xlookup(AP239&amp;AQ239&amp;"Full Name",'Roster Info'!$A:$A&amp;'Roster Info'!$G:$G&amp;'Roster Info'!$D:$D,'Roster Info'!$E:$E,"")</f>
        <v/>
      </c>
      <c r="BR239" s="63" t="str">
        <f t="array" ref="BR239">if(xlookup(AP239&amp;AQ239&amp;"Steam",'Roster Info'!$A:$A&amp;'Roster Info'!$G:$G&amp;'Roster Info'!$D:$D,'Roster Info'!$E:$E,"")="","-",hyperlink(xlookup(AP239&amp;AQ239&amp;"Steam",'Roster Info'!$A:$A&amp;'Roster Info'!$G:$G&amp;'Roster Info'!$D:$D,'Roster Info'!$E:$E,""),"Steam"))</f>
        <v>-</v>
      </c>
      <c r="BU239" s="63" t="str">
        <f t="array" ref="BU239">if(xlookup(AP239&amp;AQ239&amp;"HLTV",'Roster Info'!$A:$A&amp;'Roster Info'!$G:$G&amp;'Roster Info'!$D:$D,'Roster Info'!$E:$E,"")="","-",hyperlink(xlookup(AP239&amp;AQ239&amp;"HLTV",'Roster Info'!$A:$A&amp;'Roster Info'!$G:$G&amp;'Roster Info'!$D:$D,'Roster Info'!$E:$E,""),"HLTV"))</f>
        <v>-</v>
      </c>
      <c r="BX239" s="63" t="str">
        <f t="array" ref="BX239">if(xlookup(AP239&amp;AQ239&amp;"FaceIt",'Roster Info'!$A:$A&amp;'Roster Info'!$G:$G&amp;'Roster Info'!$D:$D,'Roster Info'!$E:$E,"")="","-",hyperlink(xlookup(AP239&amp;AQ239&amp;"FaceIt",'Roster Info'!$A:$A&amp;'Roster Info'!$G:$G&amp;'Roster Info'!$D:$D,'Roster Info'!$E:$E,""),"FaceIt"))</f>
        <v>-</v>
      </c>
      <c r="BZ239" s="61"/>
      <c r="CA239" s="152"/>
      <c r="CB239" s="152"/>
      <c r="CC239" s="152"/>
      <c r="CD239" s="152"/>
    </row>
    <row r="240" ht="15.0" customHeight="1">
      <c r="A240" s="152"/>
      <c r="B240" s="152"/>
      <c r="C240" s="219"/>
      <c r="D240" s="219"/>
      <c r="E240" s="101"/>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02"/>
      <c r="AJ240" s="102"/>
      <c r="AK240" s="102"/>
      <c r="AL240" s="102"/>
      <c r="AM240" s="164"/>
      <c r="AN240" s="152"/>
      <c r="AO240" s="152"/>
      <c r="AP240" s="219"/>
      <c r="AQ240" s="219"/>
      <c r="AR240" s="101"/>
      <c r="AS240" s="102"/>
      <c r="AT240" s="102"/>
      <c r="AU240" s="102"/>
      <c r="AV240" s="102"/>
      <c r="AW240" s="102"/>
      <c r="AX240" s="102"/>
      <c r="AY240" s="102"/>
      <c r="AZ240" s="102"/>
      <c r="BA240" s="102"/>
      <c r="BB240" s="102"/>
      <c r="BC240" s="102"/>
      <c r="BD240" s="102"/>
      <c r="BE240" s="102"/>
      <c r="BF240" s="102"/>
      <c r="BG240" s="102"/>
      <c r="BH240" s="102"/>
      <c r="BI240" s="102"/>
      <c r="BJ240" s="102"/>
      <c r="BK240" s="102"/>
      <c r="BL240" s="102"/>
      <c r="BM240" s="102"/>
      <c r="BN240" s="102"/>
      <c r="BO240" s="102"/>
      <c r="BP240" s="102"/>
      <c r="BQ240" s="102"/>
      <c r="BR240" s="102"/>
      <c r="BS240" s="102"/>
      <c r="BT240" s="102"/>
      <c r="BU240" s="102"/>
      <c r="BV240" s="102"/>
      <c r="BW240" s="102"/>
      <c r="BX240" s="102"/>
      <c r="BY240" s="102"/>
      <c r="BZ240" s="164"/>
      <c r="CA240" s="152"/>
      <c r="CB240" s="152"/>
      <c r="CC240" s="152"/>
      <c r="CD240" s="152"/>
    </row>
    <row r="241" ht="15.0" customHeight="1">
      <c r="A241" s="152"/>
      <c r="B241" s="152"/>
      <c r="C241" s="219"/>
      <c r="D241" s="219"/>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c r="AA241" s="152"/>
      <c r="AB241" s="152"/>
      <c r="AC241" s="152"/>
      <c r="AD241" s="152"/>
      <c r="AE241" s="152"/>
      <c r="AF241" s="152"/>
      <c r="AG241" s="152"/>
      <c r="AH241" s="152"/>
      <c r="AI241" s="152"/>
      <c r="AJ241" s="152"/>
      <c r="AK241" s="152"/>
      <c r="AL241" s="152"/>
      <c r="AM241" s="152"/>
      <c r="AN241" s="152"/>
      <c r="AO241" s="152"/>
      <c r="AP241" s="219"/>
      <c r="AQ241" s="219"/>
      <c r="AR241" s="152"/>
      <c r="AS241" s="152"/>
      <c r="AT241" s="152"/>
      <c r="AU241" s="152"/>
      <c r="AV241" s="152"/>
      <c r="AW241" s="152"/>
      <c r="AX241" s="152"/>
      <c r="AY241" s="152"/>
      <c r="AZ241" s="152"/>
      <c r="BA241" s="152"/>
      <c r="BB241" s="152"/>
      <c r="BC241" s="152"/>
      <c r="BD241" s="152"/>
      <c r="BE241" s="152"/>
      <c r="BF241" s="152"/>
      <c r="BG241" s="152"/>
      <c r="BH241" s="152"/>
      <c r="BI241" s="152"/>
      <c r="BJ241" s="152"/>
      <c r="BK241" s="152"/>
      <c r="BL241" s="152"/>
      <c r="BM241" s="152"/>
      <c r="BN241" s="152"/>
      <c r="BO241" s="152"/>
      <c r="BP241" s="152"/>
      <c r="BQ241" s="152"/>
      <c r="BR241" s="152"/>
      <c r="BS241" s="152"/>
      <c r="BT241" s="152"/>
      <c r="BU241" s="152"/>
      <c r="BV241" s="152"/>
      <c r="BW241" s="152"/>
      <c r="BX241" s="152"/>
      <c r="BY241" s="152"/>
      <c r="BZ241" s="152"/>
      <c r="CA241" s="152"/>
      <c r="CB241" s="152"/>
      <c r="CC241" s="152"/>
      <c r="CD241" s="152"/>
    </row>
    <row r="242" ht="15.0" customHeight="1">
      <c r="A242" s="152"/>
      <c r="B242" s="152"/>
      <c r="C242" s="219"/>
      <c r="D242" s="219"/>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c r="AA242" s="152"/>
      <c r="AB242" s="152"/>
      <c r="AC242" s="152"/>
      <c r="AD242" s="152"/>
      <c r="AE242" s="152"/>
      <c r="AF242" s="152"/>
      <c r="AG242" s="152"/>
      <c r="AH242" s="152"/>
      <c r="AI242" s="152"/>
      <c r="AJ242" s="152"/>
      <c r="AK242" s="152"/>
      <c r="AL242" s="152"/>
      <c r="AM242" s="152"/>
      <c r="AN242" s="152"/>
      <c r="AO242" s="152"/>
      <c r="AP242" s="219"/>
      <c r="AQ242" s="219"/>
      <c r="AR242" s="152"/>
      <c r="AS242" s="152"/>
      <c r="AT242" s="152"/>
      <c r="AU242" s="152"/>
      <c r="AV242" s="152"/>
      <c r="AW242" s="152"/>
      <c r="AX242" s="152"/>
      <c r="AY242" s="152"/>
      <c r="AZ242" s="152"/>
      <c r="BA242" s="152"/>
      <c r="BB242" s="152"/>
      <c r="BC242" s="152"/>
      <c r="BD242" s="152"/>
      <c r="BE242" s="152"/>
      <c r="BF242" s="152"/>
      <c r="BG242" s="152"/>
      <c r="BH242" s="152"/>
      <c r="BI242" s="152"/>
      <c r="BJ242" s="152"/>
      <c r="BK242" s="152"/>
      <c r="BL242" s="152"/>
      <c r="BM242" s="152"/>
      <c r="BN242" s="152"/>
      <c r="BO242" s="152"/>
      <c r="BP242" s="152"/>
      <c r="BQ242" s="152"/>
      <c r="BR242" s="152"/>
      <c r="BS242" s="152"/>
      <c r="BT242" s="152"/>
      <c r="BU242" s="152"/>
      <c r="BV242" s="152"/>
      <c r="BW242" s="152"/>
      <c r="BX242" s="152"/>
      <c r="BY242" s="152"/>
      <c r="BZ242" s="152"/>
      <c r="CA242" s="152"/>
      <c r="CB242" s="152"/>
      <c r="CC242" s="152"/>
      <c r="CD242" s="152"/>
    </row>
    <row r="243" ht="15.0" customHeight="1">
      <c r="A243" s="152"/>
      <c r="B243" s="152"/>
      <c r="C243" s="219"/>
      <c r="D243" s="219"/>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c r="AA243" s="152"/>
      <c r="AB243" s="152"/>
      <c r="AC243" s="152"/>
      <c r="AD243" s="152"/>
      <c r="AE243" s="152"/>
      <c r="AF243" s="152"/>
      <c r="AG243" s="152"/>
      <c r="AH243" s="152"/>
      <c r="AI243" s="152"/>
      <c r="AJ243" s="152"/>
      <c r="AK243" s="152"/>
      <c r="AL243" s="152"/>
      <c r="AM243" s="152"/>
      <c r="AN243" s="152"/>
      <c r="AO243" s="152"/>
      <c r="AP243" s="219"/>
      <c r="AQ243" s="219"/>
      <c r="AR243" s="152"/>
      <c r="AS243" s="152"/>
      <c r="AT243" s="152"/>
      <c r="AU243" s="152"/>
      <c r="AV243" s="152"/>
      <c r="AW243" s="152"/>
      <c r="AX243" s="152"/>
      <c r="AY243" s="152"/>
      <c r="AZ243" s="152"/>
      <c r="BA243" s="152"/>
      <c r="BB243" s="152"/>
      <c r="BC243" s="152"/>
      <c r="BD243" s="152"/>
      <c r="BE243" s="152"/>
      <c r="BF243" s="152"/>
      <c r="BG243" s="152"/>
      <c r="BH243" s="152"/>
      <c r="BI243" s="152"/>
      <c r="BJ243" s="152"/>
      <c r="BK243" s="152"/>
      <c r="BL243" s="152"/>
      <c r="BM243" s="152"/>
      <c r="BN243" s="152"/>
      <c r="BO243" s="152"/>
      <c r="BP243" s="152"/>
      <c r="BQ243" s="152"/>
      <c r="BR243" s="152"/>
      <c r="BS243" s="152"/>
      <c r="BT243" s="152"/>
      <c r="BU243" s="152"/>
      <c r="BV243" s="152"/>
      <c r="BW243" s="152"/>
      <c r="BX243" s="152"/>
      <c r="BY243" s="152"/>
      <c r="BZ243" s="152"/>
      <c r="CA243" s="152"/>
      <c r="CB243" s="152"/>
      <c r="CC243" s="152"/>
      <c r="CD243" s="152"/>
    </row>
    <row r="244" ht="15.0" customHeight="1">
      <c r="A244" s="152"/>
      <c r="B244" s="152"/>
      <c r="C244" s="219"/>
      <c r="D244" s="219"/>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c r="AA244" s="152"/>
      <c r="AB244" s="152"/>
      <c r="AC244" s="152"/>
      <c r="AD244" s="152"/>
      <c r="AE244" s="152"/>
      <c r="AF244" s="152"/>
      <c r="AG244" s="152"/>
      <c r="AH244" s="152"/>
      <c r="AI244" s="152"/>
      <c r="AJ244" s="152"/>
      <c r="AK244" s="152"/>
      <c r="AL244" s="152"/>
      <c r="AM244" s="152"/>
      <c r="AN244" s="152"/>
      <c r="AO244" s="152"/>
      <c r="AP244" s="219"/>
      <c r="AQ244" s="219"/>
      <c r="AR244" s="152"/>
      <c r="AS244" s="152"/>
      <c r="AT244" s="152"/>
      <c r="AU244" s="152"/>
      <c r="AV244" s="152"/>
      <c r="AW244" s="152"/>
      <c r="AX244" s="152"/>
      <c r="AY244" s="152"/>
      <c r="AZ244" s="152"/>
      <c r="BA244" s="152"/>
      <c r="BB244" s="152"/>
      <c r="BC244" s="152"/>
      <c r="BD244" s="152"/>
      <c r="BE244" s="152"/>
      <c r="BF244" s="152"/>
      <c r="BG244" s="152"/>
      <c r="BH244" s="152"/>
      <c r="BI244" s="152"/>
      <c r="BJ244" s="152"/>
      <c r="BK244" s="152"/>
      <c r="BL244" s="152"/>
      <c r="BM244" s="152"/>
      <c r="BN244" s="152"/>
      <c r="BO244" s="152"/>
      <c r="BP244" s="152"/>
      <c r="BQ244" s="152"/>
      <c r="BR244" s="152"/>
      <c r="BS244" s="152"/>
      <c r="BT244" s="152"/>
      <c r="BU244" s="152"/>
      <c r="BV244" s="152"/>
      <c r="BW244" s="152"/>
      <c r="BX244" s="152"/>
      <c r="BY244" s="152"/>
      <c r="BZ244" s="152"/>
      <c r="CA244" s="152"/>
      <c r="CB244" s="152"/>
      <c r="CC244" s="152"/>
      <c r="CD244" s="152"/>
    </row>
    <row r="245" ht="15.0" customHeight="1">
      <c r="A245" s="152"/>
      <c r="B245" s="152"/>
      <c r="C245" s="219"/>
      <c r="D245" s="219"/>
      <c r="E245" s="220" t="str">
        <f t="array" ref="E245">xlookup(M245,'Team Entry'!$A:$A,'Team Entry'!$B:$B,"")</f>
        <v/>
      </c>
      <c r="F245" s="58"/>
      <c r="G245" s="58"/>
      <c r="H245" s="58"/>
      <c r="I245" s="58"/>
      <c r="J245" s="58"/>
      <c r="K245" s="58"/>
      <c r="L245" s="58"/>
      <c r="M245" s="221" t="str">
        <f t="array" ref="M245">xlookup(C251,'Roster Info'!$A:$A,'Roster Info'!$B:$B,"")</f>
        <v>Team 9 (Group 1)</v>
      </c>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9"/>
      <c r="AN245" s="152"/>
      <c r="AO245" s="152"/>
      <c r="AP245" s="219"/>
      <c r="AQ245" s="219"/>
      <c r="AR245" s="220" t="str">
        <f t="array" ref="AR245">xlookup(AZ245,'Team Entry'!$A:$A,'Team Entry'!$B:$B,"")</f>
        <v/>
      </c>
      <c r="AS245" s="58"/>
      <c r="AT245" s="58"/>
      <c r="AU245" s="58"/>
      <c r="AV245" s="58"/>
      <c r="AW245" s="58"/>
      <c r="AX245" s="58"/>
      <c r="AY245" s="58"/>
      <c r="AZ245" s="221" t="str">
        <f t="array" ref="AZ245">xlookup(AP251,'Roster Info'!$A:$A,'Roster Info'!$B:$B,"")</f>
        <v>Team 10 (Group 1)</v>
      </c>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9"/>
      <c r="CA245" s="152"/>
      <c r="CB245" s="152"/>
      <c r="CC245" s="152"/>
      <c r="CD245" s="152"/>
    </row>
    <row r="246" ht="15.0" customHeight="1">
      <c r="A246" s="152"/>
      <c r="B246" s="152"/>
      <c r="C246" s="219"/>
      <c r="D246" s="219"/>
      <c r="E246" s="60"/>
      <c r="AM246" s="61"/>
      <c r="AN246" s="152"/>
      <c r="AO246" s="152"/>
      <c r="AP246" s="219"/>
      <c r="AQ246" s="219"/>
      <c r="AR246" s="60"/>
      <c r="BZ246" s="61"/>
      <c r="CA246" s="152"/>
      <c r="CB246" s="152"/>
      <c r="CC246" s="152"/>
      <c r="CD246" s="152"/>
    </row>
    <row r="247" ht="15.0" customHeight="1">
      <c r="A247" s="152"/>
      <c r="B247" s="152"/>
      <c r="C247" s="219"/>
      <c r="D247" s="219"/>
      <c r="E247" s="60"/>
      <c r="AM247" s="61"/>
      <c r="AN247" s="152"/>
      <c r="AO247" s="152"/>
      <c r="AP247" s="219"/>
      <c r="AQ247" s="219"/>
      <c r="AR247" s="60"/>
      <c r="BZ247" s="61"/>
      <c r="CA247" s="152"/>
      <c r="CB247" s="152"/>
      <c r="CC247" s="152"/>
      <c r="CD247" s="152"/>
    </row>
    <row r="248" ht="15.0" customHeight="1">
      <c r="A248" s="152"/>
      <c r="B248" s="152"/>
      <c r="C248" s="219"/>
      <c r="D248" s="219"/>
      <c r="E248" s="60"/>
      <c r="AM248" s="61"/>
      <c r="AN248" s="152"/>
      <c r="AO248" s="152"/>
      <c r="AP248" s="219"/>
      <c r="AQ248" s="219"/>
      <c r="AR248" s="60"/>
      <c r="BZ248" s="61"/>
      <c r="CA248" s="152"/>
      <c r="CB248" s="152"/>
      <c r="CC248" s="152"/>
      <c r="CD248" s="152"/>
    </row>
    <row r="249" ht="15.0" customHeight="1">
      <c r="A249" s="152"/>
      <c r="B249" s="152"/>
      <c r="C249" s="219"/>
      <c r="D249" s="219"/>
      <c r="E249" s="60"/>
      <c r="AM249" s="61"/>
      <c r="AN249" s="152"/>
      <c r="AO249" s="152"/>
      <c r="AP249" s="219"/>
      <c r="AQ249" s="219"/>
      <c r="AR249" s="60"/>
      <c r="BZ249" s="61"/>
      <c r="CA249" s="152"/>
      <c r="CB249" s="152"/>
      <c r="CC249" s="152"/>
      <c r="CD249" s="152"/>
    </row>
    <row r="250" ht="15.0" customHeight="1">
      <c r="A250" s="152"/>
      <c r="B250" s="152"/>
      <c r="C250" s="219"/>
      <c r="D250" s="219"/>
      <c r="E250" s="222"/>
      <c r="F250" s="223"/>
      <c r="G250" s="223"/>
      <c r="H250" s="223"/>
      <c r="I250" s="223"/>
      <c r="J250" s="223"/>
      <c r="K250" s="223"/>
      <c r="L250" s="223"/>
      <c r="M250" s="223"/>
      <c r="N250" s="223"/>
      <c r="O250" s="223"/>
      <c r="P250" s="223"/>
      <c r="Q250" s="223"/>
      <c r="R250" s="223"/>
      <c r="S250" s="223"/>
      <c r="T250" s="223"/>
      <c r="U250" s="223"/>
      <c r="V250" s="223"/>
      <c r="W250" s="223"/>
      <c r="X250" s="223"/>
      <c r="Y250" s="223"/>
      <c r="Z250" s="223"/>
      <c r="AA250" s="223"/>
      <c r="AB250" s="223"/>
      <c r="AC250" s="223"/>
      <c r="AD250" s="223"/>
      <c r="AE250" s="223"/>
      <c r="AF250" s="223"/>
      <c r="AG250" s="223"/>
      <c r="AH250" s="223"/>
      <c r="AI250" s="223"/>
      <c r="AJ250" s="223"/>
      <c r="AK250" s="223"/>
      <c r="AL250" s="223"/>
      <c r="AM250" s="224"/>
      <c r="AN250" s="152"/>
      <c r="AO250" s="152"/>
      <c r="AP250" s="219"/>
      <c r="AQ250" s="219"/>
      <c r="AR250" s="222"/>
      <c r="AS250" s="223"/>
      <c r="AT250" s="223"/>
      <c r="AU250" s="223"/>
      <c r="AV250" s="223"/>
      <c r="AW250" s="223"/>
      <c r="AX250" s="223"/>
      <c r="AY250" s="223"/>
      <c r="AZ250" s="223"/>
      <c r="BA250" s="223"/>
      <c r="BB250" s="223"/>
      <c r="BC250" s="223"/>
      <c r="BD250" s="223"/>
      <c r="BE250" s="223"/>
      <c r="BF250" s="223"/>
      <c r="BG250" s="223"/>
      <c r="BH250" s="223"/>
      <c r="BI250" s="223"/>
      <c r="BJ250" s="223"/>
      <c r="BK250" s="223"/>
      <c r="BL250" s="223"/>
      <c r="BM250" s="223"/>
      <c r="BN250" s="223"/>
      <c r="BO250" s="223"/>
      <c r="BP250" s="223"/>
      <c r="BQ250" s="223"/>
      <c r="BR250" s="223"/>
      <c r="BS250" s="223"/>
      <c r="BT250" s="223"/>
      <c r="BU250" s="223"/>
      <c r="BV250" s="223"/>
      <c r="BW250" s="223"/>
      <c r="BX250" s="223"/>
      <c r="BY250" s="223"/>
      <c r="BZ250" s="224"/>
      <c r="CA250" s="152"/>
      <c r="CB250" s="152"/>
      <c r="CC250" s="152"/>
      <c r="CD250" s="152"/>
    </row>
    <row r="251" ht="15.0" customHeight="1">
      <c r="A251" s="152"/>
      <c r="B251" s="152"/>
      <c r="C251" s="225">
        <f>AP227+1</f>
        <v>21</v>
      </c>
      <c r="D251" s="225" t="s">
        <v>109</v>
      </c>
      <c r="E251" s="226" t="s">
        <v>109</v>
      </c>
      <c r="I251" s="227" t="str">
        <f t="array" ref="I251">xlookup(xlookup(C251&amp;D251&amp;"Nationality",'Roster Info'!$A:$A&amp;'Roster Info'!$G:$G&amp;'Roster Info'!$D:$D,'Roster Info'!$E:$E,""),'Roster Info'!$K:$K,'Roster Info'!$L:$L,"")</f>
        <v/>
      </c>
      <c r="K251" s="228" t="str">
        <f t="array" ref="K251">xlookup(C251&amp;D251,'Roster Info'!$A:$A&amp;'Roster Info'!$G:$G,'Roster Info'!$F:$F,"")</f>
        <v/>
      </c>
      <c r="U251" s="229" t="str">
        <f t="array" ref="U251">xlookup(C251&amp;D251&amp;"Full Name",'Roster Info'!$A:$A&amp;'Roster Info'!$G:$G&amp;'Roster Info'!$D:$D,'Roster Info'!$E:$E,"")</f>
        <v/>
      </c>
      <c r="AE251" s="63" t="str">
        <f t="array" ref="AE251">if(xlookup(C251&amp;D251&amp;"Steam",'Roster Info'!$A:$A&amp;'Roster Info'!$G:$G&amp;'Roster Info'!$D:$D,'Roster Info'!$E:$E,"")="","-",hyperlink(xlookup(C251&amp;D251&amp;"Steam",'Roster Info'!$A:$A&amp;'Roster Info'!$G:$G&amp;'Roster Info'!$D:$D,'Roster Info'!$E:$E,""),"Steam"))</f>
        <v>-</v>
      </c>
      <c r="AH251" s="63" t="str">
        <f t="array" ref="AH251">if(xlookup(C251&amp;D251&amp;"HLTV",'Roster Info'!$A:$A&amp;'Roster Info'!$G:$G&amp;'Roster Info'!$D:$D,'Roster Info'!$E:$E,"")="","-",hyperlink(xlookup(C251&amp;D251&amp;"HLTV",'Roster Info'!$A:$A&amp;'Roster Info'!$G:$G&amp;'Roster Info'!$D:$D,'Roster Info'!$E:$E,""),"HLTV"))</f>
        <v>-</v>
      </c>
      <c r="AK251" s="63" t="str">
        <f t="array" ref="AK251">if(xlookup(C251&amp;D251&amp;"FaceIt",'Roster Info'!$A:$A&amp;'Roster Info'!$G:$G&amp;'Roster Info'!$D:$D,'Roster Info'!$E:$E,"")="","-",hyperlink(xlookup(C251&amp;D251&amp;"FaceIt",'Roster Info'!$A:$A&amp;'Roster Info'!$G:$G&amp;'Roster Info'!$D:$D,'Roster Info'!$E:$E,""),"FaceIt"))</f>
        <v>-</v>
      </c>
      <c r="AM251" s="61"/>
      <c r="AN251" s="152"/>
      <c r="AO251" s="152"/>
      <c r="AP251" s="225">
        <f>C251+1</f>
        <v>22</v>
      </c>
      <c r="AQ251" s="225" t="s">
        <v>109</v>
      </c>
      <c r="AR251" s="226" t="s">
        <v>109</v>
      </c>
      <c r="AV251" s="227" t="str">
        <f t="array" ref="AV251">xlookup(xlookup(AP251&amp;AQ251&amp;"Nationality",'Roster Info'!$A:$A&amp;'Roster Info'!$G:$G&amp;'Roster Info'!$D:$D,'Roster Info'!$E:$E,""),'Roster Info'!$K:$K,'Roster Info'!$L:$L,"")</f>
        <v/>
      </c>
      <c r="AX251" s="228" t="str">
        <f t="array" ref="AX251">xlookup(AP251&amp;AQ251,'Roster Info'!$A:$A&amp;'Roster Info'!$G:$G,'Roster Info'!$F:$F,"")</f>
        <v/>
      </c>
      <c r="BH251" s="229" t="str">
        <f t="array" ref="BH251">xlookup(AP251&amp;AQ251&amp;"Full Name",'Roster Info'!$A:$A&amp;'Roster Info'!$G:$G&amp;'Roster Info'!$D:$D,'Roster Info'!$E:$E,"")</f>
        <v/>
      </c>
      <c r="BR251" s="63" t="str">
        <f t="array" ref="BR251">if(xlookup(AP251&amp;AQ251&amp;"Steam",'Roster Info'!$A:$A&amp;'Roster Info'!$G:$G&amp;'Roster Info'!$D:$D,'Roster Info'!$E:$E,"")="","-",hyperlink(xlookup(AP251&amp;AQ251&amp;"Steam",'Roster Info'!$A:$A&amp;'Roster Info'!$G:$G&amp;'Roster Info'!$D:$D,'Roster Info'!$E:$E,""),"Steam"))</f>
        <v>-</v>
      </c>
      <c r="BU251" s="63" t="str">
        <f t="array" ref="BU251">if(xlookup(AP251&amp;AQ251&amp;"HLTV",'Roster Info'!$A:$A&amp;'Roster Info'!$G:$G&amp;'Roster Info'!$D:$D,'Roster Info'!$E:$E,"")="","-",hyperlink(xlookup(AP251&amp;AQ251&amp;"HLTV",'Roster Info'!$A:$A&amp;'Roster Info'!$G:$G&amp;'Roster Info'!$D:$D,'Roster Info'!$E:$E,""),"HLTV"))</f>
        <v>-</v>
      </c>
      <c r="BX251" s="63" t="str">
        <f t="array" ref="BX251">if(xlookup(AP251&amp;AQ251&amp;"FaceIt",'Roster Info'!$A:$A&amp;'Roster Info'!$G:$G&amp;'Roster Info'!$D:$D,'Roster Info'!$E:$E,"")="","-",hyperlink(xlookup(AP251&amp;AQ251&amp;"FaceIt",'Roster Info'!$A:$A&amp;'Roster Info'!$G:$G&amp;'Roster Info'!$D:$D,'Roster Info'!$E:$E,""),"FaceIt"))</f>
        <v>-</v>
      </c>
      <c r="BZ251" s="61"/>
      <c r="CA251" s="152"/>
      <c r="CB251" s="152"/>
      <c r="CC251" s="152"/>
      <c r="CD251" s="152"/>
    </row>
    <row r="252" ht="15.0" customHeight="1">
      <c r="A252" s="152"/>
      <c r="B252" s="152"/>
      <c r="C252" s="219"/>
      <c r="D252" s="219"/>
      <c r="E252" s="230"/>
      <c r="F252" s="231"/>
      <c r="G252" s="231"/>
      <c r="H252" s="231"/>
      <c r="I252" s="231"/>
      <c r="J252" s="231"/>
      <c r="K252" s="231"/>
      <c r="L252" s="231"/>
      <c r="M252" s="231"/>
      <c r="N252" s="231"/>
      <c r="O252" s="231"/>
      <c r="P252" s="231"/>
      <c r="Q252" s="231"/>
      <c r="R252" s="231"/>
      <c r="S252" s="231"/>
      <c r="T252" s="231"/>
      <c r="U252" s="231"/>
      <c r="V252" s="231"/>
      <c r="W252" s="231"/>
      <c r="X252" s="231"/>
      <c r="Y252" s="231"/>
      <c r="Z252" s="231"/>
      <c r="AA252" s="231"/>
      <c r="AB252" s="231"/>
      <c r="AC252" s="231"/>
      <c r="AD252" s="231"/>
      <c r="AE252" s="231"/>
      <c r="AF252" s="231"/>
      <c r="AG252" s="231"/>
      <c r="AH252" s="231"/>
      <c r="AI252" s="231"/>
      <c r="AJ252" s="231"/>
      <c r="AK252" s="231"/>
      <c r="AL252" s="231"/>
      <c r="AM252" s="232"/>
      <c r="AN252" s="152"/>
      <c r="AO252" s="152"/>
      <c r="AP252" s="219"/>
      <c r="AQ252" s="219"/>
      <c r="AR252" s="230"/>
      <c r="AS252" s="231"/>
      <c r="AT252" s="231"/>
      <c r="AU252" s="231"/>
      <c r="AV252" s="231"/>
      <c r="AW252" s="231"/>
      <c r="AX252" s="231"/>
      <c r="AY252" s="231"/>
      <c r="AZ252" s="231"/>
      <c r="BA252" s="231"/>
      <c r="BB252" s="231"/>
      <c r="BC252" s="231"/>
      <c r="BD252" s="231"/>
      <c r="BE252" s="231"/>
      <c r="BF252" s="231"/>
      <c r="BG252" s="231"/>
      <c r="BH252" s="231"/>
      <c r="BI252" s="231"/>
      <c r="BJ252" s="231"/>
      <c r="BK252" s="231"/>
      <c r="BL252" s="231"/>
      <c r="BM252" s="231"/>
      <c r="BN252" s="231"/>
      <c r="BO252" s="231"/>
      <c r="BP252" s="231"/>
      <c r="BQ252" s="231"/>
      <c r="BR252" s="231"/>
      <c r="BS252" s="231"/>
      <c r="BT252" s="231"/>
      <c r="BU252" s="231"/>
      <c r="BV252" s="231"/>
      <c r="BW252" s="231"/>
      <c r="BX252" s="231"/>
      <c r="BY252" s="231"/>
      <c r="BZ252" s="232"/>
      <c r="CA252" s="152"/>
      <c r="CB252" s="152"/>
      <c r="CC252" s="152"/>
      <c r="CD252" s="152"/>
    </row>
    <row r="253" ht="15.0" customHeight="1">
      <c r="A253" s="152"/>
      <c r="B253" s="152"/>
      <c r="C253" s="219">
        <f>C251</f>
        <v>21</v>
      </c>
      <c r="D253" s="225" t="s">
        <v>115</v>
      </c>
      <c r="E253" s="226" t="s">
        <v>115</v>
      </c>
      <c r="I253" s="227" t="str">
        <f t="array" ref="I253">xlookup(xlookup(C253&amp;D253&amp;"Nationality",'Roster Info'!$A:$A&amp;'Roster Info'!$G:$G&amp;'Roster Info'!$D:$D,'Roster Info'!$E:$E,""),'Roster Info'!$K:$K,'Roster Info'!$L:$L,"")</f>
        <v/>
      </c>
      <c r="K253" s="228" t="str">
        <f t="array" ref="K253">xlookup(C253&amp;D253,'Roster Info'!$A:$A&amp;'Roster Info'!$G:$G,'Roster Info'!$F:$F,"")</f>
        <v/>
      </c>
      <c r="U253" s="229" t="str">
        <f t="array" ref="U253">xlookup(C253&amp;D253&amp;"Full Name",'Roster Info'!$A:$A&amp;'Roster Info'!$G:$G&amp;'Roster Info'!$D:$D,'Roster Info'!$E:$E,"")</f>
        <v/>
      </c>
      <c r="AE253" s="63" t="str">
        <f t="array" ref="AE253">if(xlookup(C253&amp;D253&amp;"Steam",'Roster Info'!$A:$A&amp;'Roster Info'!$G:$G&amp;'Roster Info'!$D:$D,'Roster Info'!$E:$E,"")="","-",hyperlink(xlookup(C253&amp;D253&amp;"Steam",'Roster Info'!$A:$A&amp;'Roster Info'!$G:$G&amp;'Roster Info'!$D:$D,'Roster Info'!$E:$E,""),"Steam"))</f>
        <v>-</v>
      </c>
      <c r="AH253" s="63" t="str">
        <f t="array" ref="AH253">if(xlookup(C253&amp;D253&amp;"HLTV",'Roster Info'!$A:$A&amp;'Roster Info'!$G:$G&amp;'Roster Info'!$D:$D,'Roster Info'!$E:$E,"")="","-",hyperlink(xlookup(C253&amp;D253&amp;"HLTV",'Roster Info'!$A:$A&amp;'Roster Info'!$G:$G&amp;'Roster Info'!$D:$D,'Roster Info'!$E:$E,""),"HLTV"))</f>
        <v>-</v>
      </c>
      <c r="AK253" s="63" t="str">
        <f t="array" ref="AK253">if(xlookup(C253&amp;D253&amp;"FaceIt",'Roster Info'!$A:$A&amp;'Roster Info'!$G:$G&amp;'Roster Info'!$D:$D,'Roster Info'!$E:$E,"")="","-",hyperlink(xlookup(C253&amp;D253&amp;"FaceIt",'Roster Info'!$A:$A&amp;'Roster Info'!$G:$G&amp;'Roster Info'!$D:$D,'Roster Info'!$E:$E,""),"FaceIt"))</f>
        <v>-</v>
      </c>
      <c r="AM253" s="61"/>
      <c r="AN253" s="152"/>
      <c r="AO253" s="152"/>
      <c r="AP253" s="219">
        <f>AP251</f>
        <v>22</v>
      </c>
      <c r="AQ253" s="225" t="s">
        <v>115</v>
      </c>
      <c r="AR253" s="226" t="s">
        <v>115</v>
      </c>
      <c r="AV253" s="227" t="str">
        <f t="array" ref="AV253">xlookup(xlookup(AP253&amp;AQ253&amp;"Nationality",'Roster Info'!$A:$A&amp;'Roster Info'!$G:$G&amp;'Roster Info'!$D:$D,'Roster Info'!$E:$E,""),'Roster Info'!$K:$K,'Roster Info'!$L:$L,"")</f>
        <v/>
      </c>
      <c r="AX253" s="228" t="str">
        <f t="array" ref="AX253">xlookup(AP253&amp;AQ253,'Roster Info'!$A:$A&amp;'Roster Info'!$G:$G,'Roster Info'!$F:$F,"")</f>
        <v/>
      </c>
      <c r="BH253" s="229" t="str">
        <f t="array" ref="BH253">xlookup(AP253&amp;AQ253&amp;"Full Name",'Roster Info'!$A:$A&amp;'Roster Info'!$G:$G&amp;'Roster Info'!$D:$D,'Roster Info'!$E:$E,"")</f>
        <v/>
      </c>
      <c r="BR253" s="63" t="str">
        <f t="array" ref="BR253">if(xlookup(AP253&amp;AQ253&amp;"Steam",'Roster Info'!$A:$A&amp;'Roster Info'!$G:$G&amp;'Roster Info'!$D:$D,'Roster Info'!$E:$E,"")="","-",hyperlink(xlookup(AP253&amp;AQ253&amp;"Steam",'Roster Info'!$A:$A&amp;'Roster Info'!$G:$G&amp;'Roster Info'!$D:$D,'Roster Info'!$E:$E,""),"Steam"))</f>
        <v>-</v>
      </c>
      <c r="BU253" s="63" t="str">
        <f t="array" ref="BU253">if(xlookup(AP253&amp;AQ253&amp;"HLTV",'Roster Info'!$A:$A&amp;'Roster Info'!$G:$G&amp;'Roster Info'!$D:$D,'Roster Info'!$E:$E,"")="","-",hyperlink(xlookup(AP253&amp;AQ253&amp;"HLTV",'Roster Info'!$A:$A&amp;'Roster Info'!$G:$G&amp;'Roster Info'!$D:$D,'Roster Info'!$E:$E,""),"HLTV"))</f>
        <v>-</v>
      </c>
      <c r="BX253" s="63" t="str">
        <f t="array" ref="BX253">if(xlookup(AP253&amp;AQ253&amp;"FaceIt",'Roster Info'!$A:$A&amp;'Roster Info'!$G:$G&amp;'Roster Info'!$D:$D,'Roster Info'!$E:$E,"")="","-",hyperlink(xlookup(AP253&amp;AQ253&amp;"FaceIt",'Roster Info'!$A:$A&amp;'Roster Info'!$G:$G&amp;'Roster Info'!$D:$D,'Roster Info'!$E:$E,""),"FaceIt"))</f>
        <v>-</v>
      </c>
      <c r="BZ253" s="61"/>
      <c r="CA253" s="152"/>
      <c r="CB253" s="152"/>
      <c r="CC253" s="152"/>
      <c r="CD253" s="152"/>
    </row>
    <row r="254" ht="15.0" customHeight="1">
      <c r="A254" s="152"/>
      <c r="B254" s="152"/>
      <c r="C254" s="219"/>
      <c r="D254" s="219"/>
      <c r="E254" s="230"/>
      <c r="F254" s="231"/>
      <c r="G254" s="231"/>
      <c r="H254" s="231"/>
      <c r="I254" s="231"/>
      <c r="J254" s="231"/>
      <c r="K254" s="231"/>
      <c r="L254" s="231"/>
      <c r="M254" s="231"/>
      <c r="N254" s="231"/>
      <c r="O254" s="231"/>
      <c r="P254" s="231"/>
      <c r="Q254" s="231"/>
      <c r="R254" s="231"/>
      <c r="S254" s="231"/>
      <c r="T254" s="231"/>
      <c r="U254" s="231"/>
      <c r="V254" s="231"/>
      <c r="W254" s="231"/>
      <c r="X254" s="231"/>
      <c r="Y254" s="231"/>
      <c r="Z254" s="231"/>
      <c r="AA254" s="231"/>
      <c r="AB254" s="231"/>
      <c r="AC254" s="231"/>
      <c r="AD254" s="231"/>
      <c r="AE254" s="231"/>
      <c r="AF254" s="231"/>
      <c r="AG254" s="231"/>
      <c r="AH254" s="231"/>
      <c r="AI254" s="231"/>
      <c r="AJ254" s="231"/>
      <c r="AK254" s="231"/>
      <c r="AL254" s="231"/>
      <c r="AM254" s="232"/>
      <c r="AN254" s="152"/>
      <c r="AO254" s="152"/>
      <c r="AP254" s="219"/>
      <c r="AQ254" s="219"/>
      <c r="AR254" s="230"/>
      <c r="AS254" s="231"/>
      <c r="AT254" s="231"/>
      <c r="AU254" s="231"/>
      <c r="AV254" s="231"/>
      <c r="AW254" s="231"/>
      <c r="AX254" s="231"/>
      <c r="AY254" s="231"/>
      <c r="AZ254" s="231"/>
      <c r="BA254" s="231"/>
      <c r="BB254" s="231"/>
      <c r="BC254" s="231"/>
      <c r="BD254" s="231"/>
      <c r="BE254" s="231"/>
      <c r="BF254" s="231"/>
      <c r="BG254" s="231"/>
      <c r="BH254" s="231"/>
      <c r="BI254" s="231"/>
      <c r="BJ254" s="231"/>
      <c r="BK254" s="231"/>
      <c r="BL254" s="231"/>
      <c r="BM254" s="231"/>
      <c r="BN254" s="231"/>
      <c r="BO254" s="231"/>
      <c r="BP254" s="231"/>
      <c r="BQ254" s="231"/>
      <c r="BR254" s="231"/>
      <c r="BS254" s="231"/>
      <c r="BT254" s="231"/>
      <c r="BU254" s="231"/>
      <c r="BV254" s="231"/>
      <c r="BW254" s="231"/>
      <c r="BX254" s="231"/>
      <c r="BY254" s="231"/>
      <c r="BZ254" s="232"/>
      <c r="CA254" s="152"/>
      <c r="CB254" s="152"/>
      <c r="CC254" s="152"/>
      <c r="CD254" s="152"/>
    </row>
    <row r="255" ht="15.0" customHeight="1">
      <c r="A255" s="152"/>
      <c r="B255" s="152"/>
      <c r="C255" s="219">
        <f>C253</f>
        <v>21</v>
      </c>
      <c r="D255" s="225" t="s">
        <v>121</v>
      </c>
      <c r="E255" s="226" t="s">
        <v>121</v>
      </c>
      <c r="I255" s="227" t="str">
        <f t="array" ref="I255">xlookup(xlookup(C255&amp;D255&amp;"Nationality",'Roster Info'!$A:$A&amp;'Roster Info'!$G:$G&amp;'Roster Info'!$D:$D,'Roster Info'!$E:$E,""),'Roster Info'!$K:$K,'Roster Info'!$L:$L,"")</f>
        <v/>
      </c>
      <c r="K255" s="228" t="str">
        <f t="array" ref="K255">xlookup(C255&amp;D255,'Roster Info'!$A:$A&amp;'Roster Info'!$G:$G,'Roster Info'!$F:$F,"")</f>
        <v/>
      </c>
      <c r="U255" s="229" t="str">
        <f t="array" ref="U255">xlookup(C255&amp;D255&amp;"Full Name",'Roster Info'!$A:$A&amp;'Roster Info'!$G:$G&amp;'Roster Info'!$D:$D,'Roster Info'!$E:$E,"")</f>
        <v/>
      </c>
      <c r="AE255" s="63" t="str">
        <f t="array" ref="AE255">if(xlookup(C255&amp;D255&amp;"Steam",'Roster Info'!$A:$A&amp;'Roster Info'!$G:$G&amp;'Roster Info'!$D:$D,'Roster Info'!$E:$E,"")="","-",hyperlink(xlookup(C255&amp;D255&amp;"Steam",'Roster Info'!$A:$A&amp;'Roster Info'!$G:$G&amp;'Roster Info'!$D:$D,'Roster Info'!$E:$E,""),"Steam"))</f>
        <v>-</v>
      </c>
      <c r="AH255" s="63" t="str">
        <f t="array" ref="AH255">if(xlookup(C255&amp;D255&amp;"HLTV",'Roster Info'!$A:$A&amp;'Roster Info'!$G:$G&amp;'Roster Info'!$D:$D,'Roster Info'!$E:$E,"")="","-",hyperlink(xlookup(C255&amp;D255&amp;"HLTV",'Roster Info'!$A:$A&amp;'Roster Info'!$G:$G&amp;'Roster Info'!$D:$D,'Roster Info'!$E:$E,""),"HLTV"))</f>
        <v>-</v>
      </c>
      <c r="AK255" s="63" t="str">
        <f t="array" ref="AK255">if(xlookup(C255&amp;D255&amp;"FaceIt",'Roster Info'!$A:$A&amp;'Roster Info'!$G:$G&amp;'Roster Info'!$D:$D,'Roster Info'!$E:$E,"")="","-",hyperlink(xlookup(C255&amp;D255&amp;"FaceIt",'Roster Info'!$A:$A&amp;'Roster Info'!$G:$G&amp;'Roster Info'!$D:$D,'Roster Info'!$E:$E,""),"FaceIt"))</f>
        <v>-</v>
      </c>
      <c r="AM255" s="61"/>
      <c r="AN255" s="152"/>
      <c r="AO255" s="152"/>
      <c r="AP255" s="219">
        <f>AP253</f>
        <v>22</v>
      </c>
      <c r="AQ255" s="225" t="s">
        <v>121</v>
      </c>
      <c r="AR255" s="226" t="s">
        <v>121</v>
      </c>
      <c r="AV255" s="227" t="str">
        <f t="array" ref="AV255">xlookup(xlookup(AP255&amp;AQ255&amp;"Nationality",'Roster Info'!$A:$A&amp;'Roster Info'!$G:$G&amp;'Roster Info'!$D:$D,'Roster Info'!$E:$E,""),'Roster Info'!$K:$K,'Roster Info'!$L:$L,"")</f>
        <v/>
      </c>
      <c r="AX255" s="228" t="str">
        <f t="array" ref="AX255">xlookup(AP255&amp;AQ255,'Roster Info'!$A:$A&amp;'Roster Info'!$G:$G,'Roster Info'!$F:$F,"")</f>
        <v/>
      </c>
      <c r="BH255" s="229" t="str">
        <f t="array" ref="BH255">xlookup(AP255&amp;AQ255&amp;"Full Name",'Roster Info'!$A:$A&amp;'Roster Info'!$G:$G&amp;'Roster Info'!$D:$D,'Roster Info'!$E:$E,"")</f>
        <v/>
      </c>
      <c r="BR255" s="63" t="str">
        <f t="array" ref="BR255">if(xlookup(AP255&amp;AQ255&amp;"Steam",'Roster Info'!$A:$A&amp;'Roster Info'!$G:$G&amp;'Roster Info'!$D:$D,'Roster Info'!$E:$E,"")="","-",hyperlink(xlookup(AP255&amp;AQ255&amp;"Steam",'Roster Info'!$A:$A&amp;'Roster Info'!$G:$G&amp;'Roster Info'!$D:$D,'Roster Info'!$E:$E,""),"Steam"))</f>
        <v>-</v>
      </c>
      <c r="BU255" s="63" t="str">
        <f t="array" ref="BU255">if(xlookup(AP255&amp;AQ255&amp;"HLTV",'Roster Info'!$A:$A&amp;'Roster Info'!$G:$G&amp;'Roster Info'!$D:$D,'Roster Info'!$E:$E,"")="","-",hyperlink(xlookup(AP255&amp;AQ255&amp;"HLTV",'Roster Info'!$A:$A&amp;'Roster Info'!$G:$G&amp;'Roster Info'!$D:$D,'Roster Info'!$E:$E,""),"HLTV"))</f>
        <v>-</v>
      </c>
      <c r="BX255" s="63" t="str">
        <f t="array" ref="BX255">if(xlookup(AP255&amp;AQ255&amp;"FaceIt",'Roster Info'!$A:$A&amp;'Roster Info'!$G:$G&amp;'Roster Info'!$D:$D,'Roster Info'!$E:$E,"")="","-",hyperlink(xlookup(AP255&amp;AQ255&amp;"FaceIt",'Roster Info'!$A:$A&amp;'Roster Info'!$G:$G&amp;'Roster Info'!$D:$D,'Roster Info'!$E:$E,""),"FaceIt"))</f>
        <v>-</v>
      </c>
      <c r="BZ255" s="61"/>
      <c r="CA255" s="152"/>
      <c r="CB255" s="152"/>
      <c r="CC255" s="152"/>
      <c r="CD255" s="152"/>
    </row>
    <row r="256" ht="15.0" customHeight="1">
      <c r="A256" s="152"/>
      <c r="B256" s="152"/>
      <c r="C256" s="219"/>
      <c r="D256" s="219"/>
      <c r="E256" s="230"/>
      <c r="F256" s="231"/>
      <c r="G256" s="231"/>
      <c r="H256" s="231"/>
      <c r="I256" s="231"/>
      <c r="J256" s="231"/>
      <c r="K256" s="231"/>
      <c r="L256" s="231"/>
      <c r="M256" s="231"/>
      <c r="N256" s="231"/>
      <c r="O256" s="231"/>
      <c r="P256" s="231"/>
      <c r="Q256" s="231"/>
      <c r="R256" s="231"/>
      <c r="S256" s="231"/>
      <c r="T256" s="231"/>
      <c r="U256" s="231"/>
      <c r="V256" s="231"/>
      <c r="W256" s="231"/>
      <c r="X256" s="231"/>
      <c r="Y256" s="231"/>
      <c r="Z256" s="231"/>
      <c r="AA256" s="231"/>
      <c r="AB256" s="231"/>
      <c r="AC256" s="231"/>
      <c r="AD256" s="231"/>
      <c r="AE256" s="231"/>
      <c r="AF256" s="231"/>
      <c r="AG256" s="231"/>
      <c r="AH256" s="231"/>
      <c r="AI256" s="231"/>
      <c r="AJ256" s="231"/>
      <c r="AK256" s="231"/>
      <c r="AL256" s="231"/>
      <c r="AM256" s="232"/>
      <c r="AN256" s="152"/>
      <c r="AO256" s="152"/>
      <c r="AP256" s="219"/>
      <c r="AQ256" s="219"/>
      <c r="AR256" s="230"/>
      <c r="AS256" s="231"/>
      <c r="AT256" s="231"/>
      <c r="AU256" s="231"/>
      <c r="AV256" s="231"/>
      <c r="AW256" s="231"/>
      <c r="AX256" s="231"/>
      <c r="AY256" s="231"/>
      <c r="AZ256" s="231"/>
      <c r="BA256" s="231"/>
      <c r="BB256" s="231"/>
      <c r="BC256" s="231"/>
      <c r="BD256" s="231"/>
      <c r="BE256" s="231"/>
      <c r="BF256" s="231"/>
      <c r="BG256" s="231"/>
      <c r="BH256" s="231"/>
      <c r="BI256" s="231"/>
      <c r="BJ256" s="231"/>
      <c r="BK256" s="231"/>
      <c r="BL256" s="231"/>
      <c r="BM256" s="231"/>
      <c r="BN256" s="231"/>
      <c r="BO256" s="231"/>
      <c r="BP256" s="231"/>
      <c r="BQ256" s="231"/>
      <c r="BR256" s="231"/>
      <c r="BS256" s="231"/>
      <c r="BT256" s="231"/>
      <c r="BU256" s="231"/>
      <c r="BV256" s="231"/>
      <c r="BW256" s="231"/>
      <c r="BX256" s="231"/>
      <c r="BY256" s="231"/>
      <c r="BZ256" s="232"/>
      <c r="CA256" s="152"/>
      <c r="CB256" s="152"/>
      <c r="CC256" s="152"/>
      <c r="CD256" s="152"/>
    </row>
    <row r="257" ht="15.0" customHeight="1">
      <c r="A257" s="152"/>
      <c r="B257" s="152"/>
      <c r="C257" s="219">
        <f>C255</f>
        <v>21</v>
      </c>
      <c r="D257" s="225" t="s">
        <v>127</v>
      </c>
      <c r="E257" s="226" t="s">
        <v>127</v>
      </c>
      <c r="I257" s="227" t="str">
        <f t="array" ref="I257">xlookup(xlookup(C257&amp;D257&amp;"Nationality",'Roster Info'!$A:$A&amp;'Roster Info'!$G:$G&amp;'Roster Info'!$D:$D,'Roster Info'!$E:$E,""),'Roster Info'!$K:$K,'Roster Info'!$L:$L,"")</f>
        <v/>
      </c>
      <c r="K257" s="228" t="str">
        <f t="array" ref="K257">xlookup(C257&amp;D257,'Roster Info'!$A:$A&amp;'Roster Info'!$G:$G,'Roster Info'!$F:$F,"")</f>
        <v/>
      </c>
      <c r="U257" s="229" t="str">
        <f t="array" ref="U257">xlookup(C257&amp;D257&amp;"Full Name",'Roster Info'!$A:$A&amp;'Roster Info'!$G:$G&amp;'Roster Info'!$D:$D,'Roster Info'!$E:$E,"")</f>
        <v/>
      </c>
      <c r="AE257" s="63" t="str">
        <f t="array" ref="AE257">if(xlookup(C257&amp;D257&amp;"Steam",'Roster Info'!$A:$A&amp;'Roster Info'!$G:$G&amp;'Roster Info'!$D:$D,'Roster Info'!$E:$E,"")="","-",hyperlink(xlookup(C257&amp;D257&amp;"Steam",'Roster Info'!$A:$A&amp;'Roster Info'!$G:$G&amp;'Roster Info'!$D:$D,'Roster Info'!$E:$E,""),"Steam"))</f>
        <v>-</v>
      </c>
      <c r="AH257" s="63" t="str">
        <f t="array" ref="AH257">if(xlookup(C257&amp;D257&amp;"HLTV",'Roster Info'!$A:$A&amp;'Roster Info'!$G:$G&amp;'Roster Info'!$D:$D,'Roster Info'!$E:$E,"")="","-",hyperlink(xlookup(C257&amp;D257&amp;"HLTV",'Roster Info'!$A:$A&amp;'Roster Info'!$G:$G&amp;'Roster Info'!$D:$D,'Roster Info'!$E:$E,""),"HLTV"))</f>
        <v>-</v>
      </c>
      <c r="AK257" s="63" t="str">
        <f t="array" ref="AK257">if(xlookup(C257&amp;D257&amp;"FaceIt",'Roster Info'!$A:$A&amp;'Roster Info'!$G:$G&amp;'Roster Info'!$D:$D,'Roster Info'!$E:$E,"")="","-",hyperlink(xlookup(C257&amp;D257&amp;"FaceIt",'Roster Info'!$A:$A&amp;'Roster Info'!$G:$G&amp;'Roster Info'!$D:$D,'Roster Info'!$E:$E,""),"FaceIt"))</f>
        <v>-</v>
      </c>
      <c r="AM257" s="61"/>
      <c r="AN257" s="152"/>
      <c r="AO257" s="152"/>
      <c r="AP257" s="219">
        <f>AP255</f>
        <v>22</v>
      </c>
      <c r="AQ257" s="225" t="s">
        <v>127</v>
      </c>
      <c r="AR257" s="226" t="s">
        <v>127</v>
      </c>
      <c r="AV257" s="227" t="str">
        <f t="array" ref="AV257">xlookup(xlookup(AP257&amp;AQ257&amp;"Nationality",'Roster Info'!$A:$A&amp;'Roster Info'!$G:$G&amp;'Roster Info'!$D:$D,'Roster Info'!$E:$E,""),'Roster Info'!$K:$K,'Roster Info'!$L:$L,"")</f>
        <v/>
      </c>
      <c r="AX257" s="228" t="str">
        <f t="array" ref="AX257">xlookup(AP257&amp;AQ257,'Roster Info'!$A:$A&amp;'Roster Info'!$G:$G,'Roster Info'!$F:$F,"")</f>
        <v/>
      </c>
      <c r="BH257" s="229" t="str">
        <f t="array" ref="BH257">xlookup(AP257&amp;AQ257&amp;"Full Name",'Roster Info'!$A:$A&amp;'Roster Info'!$G:$G&amp;'Roster Info'!$D:$D,'Roster Info'!$E:$E,"")</f>
        <v/>
      </c>
      <c r="BR257" s="63" t="str">
        <f t="array" ref="BR257">if(xlookup(AP257&amp;AQ257&amp;"Steam",'Roster Info'!$A:$A&amp;'Roster Info'!$G:$G&amp;'Roster Info'!$D:$D,'Roster Info'!$E:$E,"")="","-",hyperlink(xlookup(AP257&amp;AQ257&amp;"Steam",'Roster Info'!$A:$A&amp;'Roster Info'!$G:$G&amp;'Roster Info'!$D:$D,'Roster Info'!$E:$E,""),"Steam"))</f>
        <v>-</v>
      </c>
      <c r="BU257" s="63" t="str">
        <f t="array" ref="BU257">if(xlookup(AP257&amp;AQ257&amp;"HLTV",'Roster Info'!$A:$A&amp;'Roster Info'!$G:$G&amp;'Roster Info'!$D:$D,'Roster Info'!$E:$E,"")="","-",hyperlink(xlookup(AP257&amp;AQ257&amp;"HLTV",'Roster Info'!$A:$A&amp;'Roster Info'!$G:$G&amp;'Roster Info'!$D:$D,'Roster Info'!$E:$E,""),"HLTV"))</f>
        <v>-</v>
      </c>
      <c r="BX257" s="63" t="str">
        <f t="array" ref="BX257">if(xlookup(AP257&amp;AQ257&amp;"FaceIt",'Roster Info'!$A:$A&amp;'Roster Info'!$G:$G&amp;'Roster Info'!$D:$D,'Roster Info'!$E:$E,"")="","-",hyperlink(xlookup(AP257&amp;AQ257&amp;"FaceIt",'Roster Info'!$A:$A&amp;'Roster Info'!$G:$G&amp;'Roster Info'!$D:$D,'Roster Info'!$E:$E,""),"FaceIt"))</f>
        <v>-</v>
      </c>
      <c r="BZ257" s="61"/>
      <c r="CA257" s="152"/>
      <c r="CB257" s="152"/>
      <c r="CC257" s="152"/>
      <c r="CD257" s="152"/>
    </row>
    <row r="258" ht="15.0" customHeight="1">
      <c r="A258" s="152"/>
      <c r="B258" s="152"/>
      <c r="C258" s="219"/>
      <c r="D258" s="219"/>
      <c r="E258" s="230"/>
      <c r="F258" s="231"/>
      <c r="G258" s="231"/>
      <c r="H258" s="231"/>
      <c r="I258" s="231"/>
      <c r="J258" s="231"/>
      <c r="K258" s="231"/>
      <c r="L258" s="231"/>
      <c r="M258" s="231"/>
      <c r="N258" s="231"/>
      <c r="O258" s="231"/>
      <c r="P258" s="231"/>
      <c r="Q258" s="231"/>
      <c r="R258" s="231"/>
      <c r="S258" s="231"/>
      <c r="T258" s="231"/>
      <c r="U258" s="231"/>
      <c r="V258" s="231"/>
      <c r="W258" s="231"/>
      <c r="X258" s="231"/>
      <c r="Y258" s="231"/>
      <c r="Z258" s="231"/>
      <c r="AA258" s="231"/>
      <c r="AB258" s="231"/>
      <c r="AC258" s="231"/>
      <c r="AD258" s="231"/>
      <c r="AE258" s="231"/>
      <c r="AF258" s="231"/>
      <c r="AG258" s="231"/>
      <c r="AH258" s="231"/>
      <c r="AI258" s="231"/>
      <c r="AJ258" s="231"/>
      <c r="AK258" s="231"/>
      <c r="AL258" s="231"/>
      <c r="AM258" s="232"/>
      <c r="AN258" s="152"/>
      <c r="AO258" s="152"/>
      <c r="AP258" s="219"/>
      <c r="AQ258" s="219"/>
      <c r="AR258" s="230"/>
      <c r="AS258" s="231"/>
      <c r="AT258" s="231"/>
      <c r="AU258" s="231"/>
      <c r="AV258" s="231"/>
      <c r="AW258" s="231"/>
      <c r="AX258" s="231"/>
      <c r="AY258" s="231"/>
      <c r="AZ258" s="231"/>
      <c r="BA258" s="231"/>
      <c r="BB258" s="231"/>
      <c r="BC258" s="231"/>
      <c r="BD258" s="231"/>
      <c r="BE258" s="231"/>
      <c r="BF258" s="231"/>
      <c r="BG258" s="231"/>
      <c r="BH258" s="231"/>
      <c r="BI258" s="231"/>
      <c r="BJ258" s="231"/>
      <c r="BK258" s="231"/>
      <c r="BL258" s="231"/>
      <c r="BM258" s="231"/>
      <c r="BN258" s="231"/>
      <c r="BO258" s="231"/>
      <c r="BP258" s="231"/>
      <c r="BQ258" s="231"/>
      <c r="BR258" s="231"/>
      <c r="BS258" s="231"/>
      <c r="BT258" s="231"/>
      <c r="BU258" s="231"/>
      <c r="BV258" s="231"/>
      <c r="BW258" s="231"/>
      <c r="BX258" s="231"/>
      <c r="BY258" s="231"/>
      <c r="BZ258" s="232"/>
      <c r="CA258" s="152"/>
      <c r="CB258" s="152"/>
      <c r="CC258" s="152"/>
      <c r="CD258" s="152"/>
    </row>
    <row r="259" ht="15.0" customHeight="1">
      <c r="A259" s="152"/>
      <c r="B259" s="152"/>
      <c r="C259" s="219">
        <f>C257</f>
        <v>21</v>
      </c>
      <c r="D259" s="225" t="s">
        <v>133</v>
      </c>
      <c r="E259" s="226" t="s">
        <v>133</v>
      </c>
      <c r="I259" s="227" t="str">
        <f t="array" ref="I259">xlookup(xlookup(C259&amp;D259&amp;"Nationality",'Roster Info'!$A:$A&amp;'Roster Info'!$G:$G&amp;'Roster Info'!$D:$D,'Roster Info'!$E:$E,""),'Roster Info'!$K:$K,'Roster Info'!$L:$L,"")</f>
        <v/>
      </c>
      <c r="K259" s="228" t="str">
        <f t="array" ref="K259">xlookup(C259&amp;D259,'Roster Info'!$A:$A&amp;'Roster Info'!$G:$G,'Roster Info'!$F:$F,"")</f>
        <v/>
      </c>
      <c r="U259" s="229" t="str">
        <f t="array" ref="U259">xlookup(C259&amp;D259&amp;"Full Name",'Roster Info'!$A:$A&amp;'Roster Info'!$G:$G&amp;'Roster Info'!$D:$D,'Roster Info'!$E:$E,"")</f>
        <v/>
      </c>
      <c r="AE259" s="63" t="str">
        <f t="array" ref="AE259">if(xlookup(C259&amp;D259&amp;"Steam",'Roster Info'!$A:$A&amp;'Roster Info'!$G:$G&amp;'Roster Info'!$D:$D,'Roster Info'!$E:$E,"")="","-",hyperlink(xlookup(C259&amp;D259&amp;"Steam",'Roster Info'!$A:$A&amp;'Roster Info'!$G:$G&amp;'Roster Info'!$D:$D,'Roster Info'!$E:$E,""),"Steam"))</f>
        <v>-</v>
      </c>
      <c r="AH259" s="63" t="str">
        <f t="array" ref="AH259">if(xlookup(C259&amp;D259&amp;"HLTV",'Roster Info'!$A:$A&amp;'Roster Info'!$G:$G&amp;'Roster Info'!$D:$D,'Roster Info'!$E:$E,"")="","-",hyperlink(xlookup(C259&amp;D259&amp;"HLTV",'Roster Info'!$A:$A&amp;'Roster Info'!$G:$G&amp;'Roster Info'!$D:$D,'Roster Info'!$E:$E,""),"HLTV"))</f>
        <v>-</v>
      </c>
      <c r="AK259" s="63" t="str">
        <f t="array" ref="AK259">if(xlookup(C259&amp;D259&amp;"FaceIt",'Roster Info'!$A:$A&amp;'Roster Info'!$G:$G&amp;'Roster Info'!$D:$D,'Roster Info'!$E:$E,"")="","-",hyperlink(xlookup(C259&amp;D259&amp;"FaceIt",'Roster Info'!$A:$A&amp;'Roster Info'!$G:$G&amp;'Roster Info'!$D:$D,'Roster Info'!$E:$E,""),"FaceIt"))</f>
        <v>-</v>
      </c>
      <c r="AM259" s="61"/>
      <c r="AN259" s="152"/>
      <c r="AO259" s="152"/>
      <c r="AP259" s="219">
        <f>AP257</f>
        <v>22</v>
      </c>
      <c r="AQ259" s="225" t="s">
        <v>133</v>
      </c>
      <c r="AR259" s="226" t="s">
        <v>133</v>
      </c>
      <c r="AV259" s="227" t="str">
        <f t="array" ref="AV259">xlookup(xlookup(AP259&amp;AQ259&amp;"Nationality",'Roster Info'!$A:$A&amp;'Roster Info'!$G:$G&amp;'Roster Info'!$D:$D,'Roster Info'!$E:$E,""),'Roster Info'!$K:$K,'Roster Info'!$L:$L,"")</f>
        <v/>
      </c>
      <c r="AX259" s="228" t="str">
        <f t="array" ref="AX259">xlookup(AP259&amp;AQ259,'Roster Info'!$A:$A&amp;'Roster Info'!$G:$G,'Roster Info'!$F:$F,"")</f>
        <v/>
      </c>
      <c r="BH259" s="229" t="str">
        <f t="array" ref="BH259">xlookup(AP259&amp;AQ259&amp;"Full Name",'Roster Info'!$A:$A&amp;'Roster Info'!$G:$G&amp;'Roster Info'!$D:$D,'Roster Info'!$E:$E,"")</f>
        <v/>
      </c>
      <c r="BR259" s="63" t="str">
        <f t="array" ref="BR259">if(xlookup(AP259&amp;AQ259&amp;"Steam",'Roster Info'!$A:$A&amp;'Roster Info'!$G:$G&amp;'Roster Info'!$D:$D,'Roster Info'!$E:$E,"")="","-",hyperlink(xlookup(AP259&amp;AQ259&amp;"Steam",'Roster Info'!$A:$A&amp;'Roster Info'!$G:$G&amp;'Roster Info'!$D:$D,'Roster Info'!$E:$E,""),"Steam"))</f>
        <v>-</v>
      </c>
      <c r="BU259" s="63" t="str">
        <f t="array" ref="BU259">if(xlookup(AP259&amp;AQ259&amp;"HLTV",'Roster Info'!$A:$A&amp;'Roster Info'!$G:$G&amp;'Roster Info'!$D:$D,'Roster Info'!$E:$E,"")="","-",hyperlink(xlookup(AP259&amp;AQ259&amp;"HLTV",'Roster Info'!$A:$A&amp;'Roster Info'!$G:$G&amp;'Roster Info'!$D:$D,'Roster Info'!$E:$E,""),"HLTV"))</f>
        <v>-</v>
      </c>
      <c r="BX259" s="63" t="str">
        <f t="array" ref="BX259">if(xlookup(AP259&amp;AQ259&amp;"FaceIt",'Roster Info'!$A:$A&amp;'Roster Info'!$G:$G&amp;'Roster Info'!$D:$D,'Roster Info'!$E:$E,"")="","-",hyperlink(xlookup(AP259&amp;AQ259&amp;"FaceIt",'Roster Info'!$A:$A&amp;'Roster Info'!$G:$G&amp;'Roster Info'!$D:$D,'Roster Info'!$E:$E,""),"FaceIt"))</f>
        <v>-</v>
      </c>
      <c r="BZ259" s="61"/>
      <c r="CA259" s="152"/>
      <c r="CB259" s="152"/>
      <c r="CC259" s="152"/>
      <c r="CD259" s="152"/>
    </row>
    <row r="260" ht="15.0" customHeight="1">
      <c r="A260" s="152"/>
      <c r="B260" s="152"/>
      <c r="C260" s="219"/>
      <c r="D260" s="219"/>
      <c r="E260" s="230"/>
      <c r="F260" s="231"/>
      <c r="G260" s="231"/>
      <c r="H260" s="231"/>
      <c r="I260" s="231"/>
      <c r="J260" s="231"/>
      <c r="K260" s="231"/>
      <c r="L260" s="231"/>
      <c r="M260" s="231"/>
      <c r="N260" s="231"/>
      <c r="O260" s="231"/>
      <c r="P260" s="231"/>
      <c r="Q260" s="231"/>
      <c r="R260" s="231"/>
      <c r="S260" s="231"/>
      <c r="T260" s="231"/>
      <c r="U260" s="231"/>
      <c r="V260" s="231"/>
      <c r="W260" s="231"/>
      <c r="X260" s="231"/>
      <c r="Y260" s="231"/>
      <c r="Z260" s="231"/>
      <c r="AA260" s="231"/>
      <c r="AB260" s="231"/>
      <c r="AC260" s="231"/>
      <c r="AD260" s="231"/>
      <c r="AE260" s="231"/>
      <c r="AF260" s="231"/>
      <c r="AG260" s="231"/>
      <c r="AH260" s="231"/>
      <c r="AI260" s="231"/>
      <c r="AJ260" s="231"/>
      <c r="AK260" s="231"/>
      <c r="AL260" s="231"/>
      <c r="AM260" s="232"/>
      <c r="AN260" s="152"/>
      <c r="AO260" s="152"/>
      <c r="AP260" s="219"/>
      <c r="AQ260" s="219"/>
      <c r="AR260" s="230"/>
      <c r="AS260" s="231"/>
      <c r="AT260" s="231"/>
      <c r="AU260" s="231"/>
      <c r="AV260" s="231"/>
      <c r="AW260" s="231"/>
      <c r="AX260" s="231"/>
      <c r="AY260" s="231"/>
      <c r="AZ260" s="231"/>
      <c r="BA260" s="231"/>
      <c r="BB260" s="231"/>
      <c r="BC260" s="231"/>
      <c r="BD260" s="231"/>
      <c r="BE260" s="231"/>
      <c r="BF260" s="231"/>
      <c r="BG260" s="231"/>
      <c r="BH260" s="231"/>
      <c r="BI260" s="231"/>
      <c r="BJ260" s="231"/>
      <c r="BK260" s="231"/>
      <c r="BL260" s="231"/>
      <c r="BM260" s="231"/>
      <c r="BN260" s="231"/>
      <c r="BO260" s="231"/>
      <c r="BP260" s="231"/>
      <c r="BQ260" s="231"/>
      <c r="BR260" s="231"/>
      <c r="BS260" s="231"/>
      <c r="BT260" s="231"/>
      <c r="BU260" s="231"/>
      <c r="BV260" s="231"/>
      <c r="BW260" s="231"/>
      <c r="BX260" s="231"/>
      <c r="BY260" s="231"/>
      <c r="BZ260" s="232"/>
      <c r="CA260" s="152"/>
      <c r="CB260" s="152"/>
      <c r="CC260" s="152"/>
      <c r="CD260" s="152"/>
    </row>
    <row r="261" ht="15.0" customHeight="1">
      <c r="A261" s="152"/>
      <c r="B261" s="152"/>
      <c r="C261" s="219">
        <f>C259</f>
        <v>21</v>
      </c>
      <c r="D261" s="233" t="s">
        <v>139</v>
      </c>
      <c r="E261" s="234" t="s">
        <v>319</v>
      </c>
      <c r="I261" s="227" t="str">
        <f t="array" ref="I261">xlookup(xlookup(C261&amp;D261&amp;"Nationality",'Roster Info'!$A:$A&amp;'Roster Info'!$G:$G&amp;'Roster Info'!$D:$D,'Roster Info'!$E:$E,""),'Roster Info'!$K:$K,'Roster Info'!$L:$L,"")</f>
        <v/>
      </c>
      <c r="K261" s="228" t="str">
        <f t="array" ref="K261">xlookup(C261&amp;D261,'Roster Info'!$A:$A&amp;'Roster Info'!$G:$G,'Roster Info'!$F:$F,"")</f>
        <v/>
      </c>
      <c r="U261" s="229" t="str">
        <f t="array" ref="U261">xlookup(C261&amp;D261&amp;"Full Name",'Roster Info'!$A:$A&amp;'Roster Info'!$G:$G&amp;'Roster Info'!$D:$D,'Roster Info'!$E:$E,"")</f>
        <v/>
      </c>
      <c r="AE261" s="63" t="str">
        <f t="array" ref="AE261">if(xlookup(C261&amp;D261&amp;"Steam",'Roster Info'!$A:$A&amp;'Roster Info'!$G:$G&amp;'Roster Info'!$D:$D,'Roster Info'!$E:$E,"")="","-",hyperlink(xlookup(C261&amp;D261&amp;"Steam",'Roster Info'!$A:$A&amp;'Roster Info'!$G:$G&amp;'Roster Info'!$D:$D,'Roster Info'!$E:$E,""),"Steam"))</f>
        <v>-</v>
      </c>
      <c r="AH261" s="63" t="str">
        <f t="array" ref="AH261">if(xlookup(C261&amp;D261&amp;"HLTV",'Roster Info'!$A:$A&amp;'Roster Info'!$G:$G&amp;'Roster Info'!$D:$D,'Roster Info'!$E:$E,"")="","-",hyperlink(xlookup(C261&amp;D261&amp;"HLTV",'Roster Info'!$A:$A&amp;'Roster Info'!$G:$G&amp;'Roster Info'!$D:$D,'Roster Info'!$E:$E,""),"HLTV"))</f>
        <v>-</v>
      </c>
      <c r="AK261" s="63" t="str">
        <f t="array" ref="AK261">if(xlookup(C261&amp;D261&amp;"FaceIt",'Roster Info'!$A:$A&amp;'Roster Info'!$G:$G&amp;'Roster Info'!$D:$D,'Roster Info'!$E:$E,"")="","-",hyperlink(xlookup(C261&amp;D261&amp;"FaceIt",'Roster Info'!$A:$A&amp;'Roster Info'!$G:$G&amp;'Roster Info'!$D:$D,'Roster Info'!$E:$E,""),"FaceIt"))</f>
        <v>-</v>
      </c>
      <c r="AM261" s="61"/>
      <c r="AN261" s="152"/>
      <c r="AO261" s="152"/>
      <c r="AP261" s="219">
        <f>AP259</f>
        <v>22</v>
      </c>
      <c r="AQ261" s="233" t="s">
        <v>139</v>
      </c>
      <c r="AR261" s="234" t="s">
        <v>319</v>
      </c>
      <c r="AV261" s="227" t="str">
        <f t="array" ref="AV261">xlookup(xlookup(AP261&amp;AQ261&amp;"Nationality",'Roster Info'!$A:$A&amp;'Roster Info'!$G:$G&amp;'Roster Info'!$D:$D,'Roster Info'!$E:$E,""),'Roster Info'!$K:$K,'Roster Info'!$L:$L,"")</f>
        <v/>
      </c>
      <c r="AX261" s="228" t="str">
        <f t="array" ref="AX261">xlookup(AP261&amp;AQ261,'Roster Info'!$A:$A&amp;'Roster Info'!$G:$G,'Roster Info'!$F:$F,"")</f>
        <v/>
      </c>
      <c r="BH261" s="229" t="str">
        <f t="array" ref="BH261">xlookup(AP261&amp;AQ261&amp;"Full Name",'Roster Info'!$A:$A&amp;'Roster Info'!$G:$G&amp;'Roster Info'!$D:$D,'Roster Info'!$E:$E,"")</f>
        <v/>
      </c>
      <c r="BR261" s="63" t="str">
        <f t="array" ref="BR261">if(xlookup(AP261&amp;AQ261&amp;"Steam",'Roster Info'!$A:$A&amp;'Roster Info'!$G:$G&amp;'Roster Info'!$D:$D,'Roster Info'!$E:$E,"")="","-",hyperlink(xlookup(AP261&amp;AQ261&amp;"Steam",'Roster Info'!$A:$A&amp;'Roster Info'!$G:$G&amp;'Roster Info'!$D:$D,'Roster Info'!$E:$E,""),"Steam"))</f>
        <v>-</v>
      </c>
      <c r="BU261" s="63" t="str">
        <f t="array" ref="BU261">if(xlookup(AP261&amp;AQ261&amp;"HLTV",'Roster Info'!$A:$A&amp;'Roster Info'!$G:$G&amp;'Roster Info'!$D:$D,'Roster Info'!$E:$E,"")="","-",hyperlink(xlookup(AP261&amp;AQ261&amp;"HLTV",'Roster Info'!$A:$A&amp;'Roster Info'!$G:$G&amp;'Roster Info'!$D:$D,'Roster Info'!$E:$E,""),"HLTV"))</f>
        <v>-</v>
      </c>
      <c r="BX261" s="63" t="str">
        <f t="array" ref="BX261">if(xlookup(AP261&amp;AQ261&amp;"FaceIt",'Roster Info'!$A:$A&amp;'Roster Info'!$G:$G&amp;'Roster Info'!$D:$D,'Roster Info'!$E:$E,"")="","-",hyperlink(xlookup(AP261&amp;AQ261&amp;"FaceIt",'Roster Info'!$A:$A&amp;'Roster Info'!$G:$G&amp;'Roster Info'!$D:$D,'Roster Info'!$E:$E,""),"FaceIt"))</f>
        <v>-</v>
      </c>
      <c r="BZ261" s="61"/>
      <c r="CA261" s="152"/>
      <c r="CB261" s="152"/>
      <c r="CC261" s="152"/>
      <c r="CD261" s="152"/>
    </row>
    <row r="262" ht="15.0" customHeight="1">
      <c r="A262" s="152"/>
      <c r="B262" s="152"/>
      <c r="C262" s="219"/>
      <c r="D262" s="219"/>
      <c r="E262" s="230"/>
      <c r="F262" s="231"/>
      <c r="G262" s="231"/>
      <c r="H262" s="231"/>
      <c r="I262" s="231"/>
      <c r="J262" s="231"/>
      <c r="K262" s="231"/>
      <c r="L262" s="231"/>
      <c r="M262" s="231"/>
      <c r="N262" s="231"/>
      <c r="O262" s="231"/>
      <c r="P262" s="231"/>
      <c r="Q262" s="231"/>
      <c r="R262" s="231"/>
      <c r="S262" s="231"/>
      <c r="T262" s="231"/>
      <c r="U262" s="231"/>
      <c r="V262" s="231"/>
      <c r="W262" s="231"/>
      <c r="X262" s="231"/>
      <c r="Y262" s="231"/>
      <c r="Z262" s="231"/>
      <c r="AA262" s="231"/>
      <c r="AB262" s="231"/>
      <c r="AC262" s="231"/>
      <c r="AD262" s="231"/>
      <c r="AE262" s="231"/>
      <c r="AF262" s="231"/>
      <c r="AG262" s="231"/>
      <c r="AH262" s="231"/>
      <c r="AI262" s="231"/>
      <c r="AJ262" s="231"/>
      <c r="AK262" s="231"/>
      <c r="AL262" s="231"/>
      <c r="AM262" s="232"/>
      <c r="AN262" s="152"/>
      <c r="AO262" s="152"/>
      <c r="AP262" s="219"/>
      <c r="AQ262" s="219"/>
      <c r="AR262" s="230"/>
      <c r="AS262" s="231"/>
      <c r="AT262" s="231"/>
      <c r="AU262" s="231"/>
      <c r="AV262" s="231"/>
      <c r="AW262" s="231"/>
      <c r="AX262" s="231"/>
      <c r="AY262" s="231"/>
      <c r="AZ262" s="231"/>
      <c r="BA262" s="231"/>
      <c r="BB262" s="231"/>
      <c r="BC262" s="231"/>
      <c r="BD262" s="231"/>
      <c r="BE262" s="231"/>
      <c r="BF262" s="231"/>
      <c r="BG262" s="231"/>
      <c r="BH262" s="231"/>
      <c r="BI262" s="231"/>
      <c r="BJ262" s="231"/>
      <c r="BK262" s="231"/>
      <c r="BL262" s="231"/>
      <c r="BM262" s="231"/>
      <c r="BN262" s="231"/>
      <c r="BO262" s="231"/>
      <c r="BP262" s="231"/>
      <c r="BQ262" s="231"/>
      <c r="BR262" s="231"/>
      <c r="BS262" s="231"/>
      <c r="BT262" s="231"/>
      <c r="BU262" s="231"/>
      <c r="BV262" s="231"/>
      <c r="BW262" s="231"/>
      <c r="BX262" s="231"/>
      <c r="BY262" s="231"/>
      <c r="BZ262" s="232"/>
      <c r="CA262" s="152"/>
      <c r="CB262" s="152"/>
      <c r="CC262" s="152"/>
      <c r="CD262" s="152"/>
    </row>
    <row r="263" ht="15.0" customHeight="1">
      <c r="A263" s="152"/>
      <c r="B263" s="152"/>
      <c r="C263" s="219">
        <f>C261</f>
        <v>21</v>
      </c>
      <c r="D263" s="225" t="s">
        <v>145</v>
      </c>
      <c r="E263" s="226" t="s">
        <v>145</v>
      </c>
      <c r="I263" s="227" t="str">
        <f t="array" ref="I263">xlookup(xlookup(C263&amp;D263&amp;"Nationality",'Roster Info'!$A:$A&amp;'Roster Info'!$G:$G&amp;'Roster Info'!$D:$D,'Roster Info'!$E:$E,""),'Roster Info'!$K:$K,'Roster Info'!$L:$L,"")</f>
        <v/>
      </c>
      <c r="K263" s="228" t="str">
        <f t="array" ref="K263">xlookup(C263&amp;D263,'Roster Info'!$A:$A&amp;'Roster Info'!$G:$G,'Roster Info'!$F:$F,"")</f>
        <v/>
      </c>
      <c r="U263" s="229" t="str">
        <f t="array" ref="U263">xlookup(C263&amp;D263&amp;"Full Name",'Roster Info'!$A:$A&amp;'Roster Info'!$G:$G&amp;'Roster Info'!$D:$D,'Roster Info'!$E:$E,"")</f>
        <v/>
      </c>
      <c r="AE263" s="63" t="str">
        <f t="array" ref="AE263">if(xlookup(C263&amp;D263&amp;"Steam",'Roster Info'!$A:$A&amp;'Roster Info'!$G:$G&amp;'Roster Info'!$D:$D,'Roster Info'!$E:$E,"")="","-",hyperlink(xlookup(C263&amp;D263&amp;"Steam",'Roster Info'!$A:$A&amp;'Roster Info'!$G:$G&amp;'Roster Info'!$D:$D,'Roster Info'!$E:$E,""),"Steam"))</f>
        <v>-</v>
      </c>
      <c r="AH263" s="63" t="str">
        <f t="array" ref="AH263">if(xlookup(C263&amp;D263&amp;"HLTV",'Roster Info'!$A:$A&amp;'Roster Info'!$G:$G&amp;'Roster Info'!$D:$D,'Roster Info'!$E:$E,"")="","-",hyperlink(xlookup(C263&amp;D263&amp;"HLTV",'Roster Info'!$A:$A&amp;'Roster Info'!$G:$G&amp;'Roster Info'!$D:$D,'Roster Info'!$E:$E,""),"HLTV"))</f>
        <v>-</v>
      </c>
      <c r="AK263" s="63" t="str">
        <f t="array" ref="AK263">if(xlookup(C263&amp;D263&amp;"FaceIt",'Roster Info'!$A:$A&amp;'Roster Info'!$G:$G&amp;'Roster Info'!$D:$D,'Roster Info'!$E:$E,"")="","-",hyperlink(xlookup(C263&amp;D263&amp;"FaceIt",'Roster Info'!$A:$A&amp;'Roster Info'!$G:$G&amp;'Roster Info'!$D:$D,'Roster Info'!$E:$E,""),"FaceIt"))</f>
        <v>-</v>
      </c>
      <c r="AM263" s="61"/>
      <c r="AN263" s="152"/>
      <c r="AO263" s="152"/>
      <c r="AP263" s="219">
        <f>AP261</f>
        <v>22</v>
      </c>
      <c r="AQ263" s="225" t="s">
        <v>145</v>
      </c>
      <c r="AR263" s="226" t="s">
        <v>145</v>
      </c>
      <c r="AV263" s="227" t="str">
        <f t="array" ref="AV263">xlookup(xlookup(AP263&amp;AQ263&amp;"Nationality",'Roster Info'!$A:$A&amp;'Roster Info'!$G:$G&amp;'Roster Info'!$D:$D,'Roster Info'!$E:$E,""),'Roster Info'!$K:$K,'Roster Info'!$L:$L,"")</f>
        <v/>
      </c>
      <c r="AX263" s="228" t="str">
        <f t="array" ref="AX263">xlookup(AP263&amp;AQ263,'Roster Info'!$A:$A&amp;'Roster Info'!$G:$G,'Roster Info'!$F:$F,"")</f>
        <v/>
      </c>
      <c r="BH263" s="229" t="str">
        <f t="array" ref="BH263">xlookup(AP263&amp;AQ263&amp;"Full Name",'Roster Info'!$A:$A&amp;'Roster Info'!$G:$G&amp;'Roster Info'!$D:$D,'Roster Info'!$E:$E,"")</f>
        <v/>
      </c>
      <c r="BR263" s="63" t="str">
        <f t="array" ref="BR263">if(xlookup(AP263&amp;AQ263&amp;"Steam",'Roster Info'!$A:$A&amp;'Roster Info'!$G:$G&amp;'Roster Info'!$D:$D,'Roster Info'!$E:$E,"")="","-",hyperlink(xlookup(AP263&amp;AQ263&amp;"Steam",'Roster Info'!$A:$A&amp;'Roster Info'!$G:$G&amp;'Roster Info'!$D:$D,'Roster Info'!$E:$E,""),"Steam"))</f>
        <v>-</v>
      </c>
      <c r="BU263" s="63" t="str">
        <f t="array" ref="BU263">if(xlookup(AP263&amp;AQ263&amp;"HLTV",'Roster Info'!$A:$A&amp;'Roster Info'!$G:$G&amp;'Roster Info'!$D:$D,'Roster Info'!$E:$E,"")="","-",hyperlink(xlookup(AP263&amp;AQ263&amp;"HLTV",'Roster Info'!$A:$A&amp;'Roster Info'!$G:$G&amp;'Roster Info'!$D:$D,'Roster Info'!$E:$E,""),"HLTV"))</f>
        <v>-</v>
      </c>
      <c r="BX263" s="63" t="str">
        <f t="array" ref="BX263">if(xlookup(AP263&amp;AQ263&amp;"FaceIt",'Roster Info'!$A:$A&amp;'Roster Info'!$G:$G&amp;'Roster Info'!$D:$D,'Roster Info'!$E:$E,"")="","-",hyperlink(xlookup(AP263&amp;AQ263&amp;"FaceIt",'Roster Info'!$A:$A&amp;'Roster Info'!$G:$G&amp;'Roster Info'!$D:$D,'Roster Info'!$E:$E,""),"FaceIt"))</f>
        <v>-</v>
      </c>
      <c r="BZ263" s="61"/>
      <c r="CA263" s="152"/>
      <c r="CB263" s="152"/>
      <c r="CC263" s="152"/>
      <c r="CD263" s="152"/>
    </row>
    <row r="264" ht="15.0" customHeight="1">
      <c r="A264" s="152"/>
      <c r="B264" s="152"/>
      <c r="C264" s="219"/>
      <c r="D264" s="219"/>
      <c r="E264" s="101"/>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02"/>
      <c r="AJ264" s="102"/>
      <c r="AK264" s="102"/>
      <c r="AL264" s="102"/>
      <c r="AM264" s="164"/>
      <c r="AN264" s="152"/>
      <c r="AO264" s="152"/>
      <c r="AP264" s="219"/>
      <c r="AQ264" s="219"/>
      <c r="AR264" s="101"/>
      <c r="AS264" s="102"/>
      <c r="AT264" s="102"/>
      <c r="AU264" s="102"/>
      <c r="AV264" s="102"/>
      <c r="AW264" s="102"/>
      <c r="AX264" s="102"/>
      <c r="AY264" s="102"/>
      <c r="AZ264" s="102"/>
      <c r="BA264" s="102"/>
      <c r="BB264" s="102"/>
      <c r="BC264" s="102"/>
      <c r="BD264" s="102"/>
      <c r="BE264" s="102"/>
      <c r="BF264" s="102"/>
      <c r="BG264" s="102"/>
      <c r="BH264" s="102"/>
      <c r="BI264" s="102"/>
      <c r="BJ264" s="102"/>
      <c r="BK264" s="102"/>
      <c r="BL264" s="102"/>
      <c r="BM264" s="102"/>
      <c r="BN264" s="102"/>
      <c r="BO264" s="102"/>
      <c r="BP264" s="102"/>
      <c r="BQ264" s="102"/>
      <c r="BR264" s="102"/>
      <c r="BS264" s="102"/>
      <c r="BT264" s="102"/>
      <c r="BU264" s="102"/>
      <c r="BV264" s="102"/>
      <c r="BW264" s="102"/>
      <c r="BX264" s="102"/>
      <c r="BY264" s="102"/>
      <c r="BZ264" s="164"/>
      <c r="CA264" s="152"/>
      <c r="CB264" s="152"/>
      <c r="CC264" s="152"/>
      <c r="CD264" s="152"/>
    </row>
    <row r="265" ht="15.0" customHeight="1">
      <c r="A265" s="152"/>
      <c r="B265" s="152"/>
      <c r="C265" s="219"/>
      <c r="D265" s="219"/>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c r="AA265" s="152"/>
      <c r="AB265" s="152"/>
      <c r="AC265" s="152"/>
      <c r="AD265" s="152"/>
      <c r="AE265" s="152"/>
      <c r="AF265" s="152"/>
      <c r="AG265" s="152"/>
      <c r="AH265" s="152"/>
      <c r="AI265" s="152"/>
      <c r="AJ265" s="152"/>
      <c r="AK265" s="152"/>
      <c r="AL265" s="152"/>
      <c r="AM265" s="152"/>
      <c r="AN265" s="152"/>
      <c r="AO265" s="152"/>
      <c r="AP265" s="219"/>
      <c r="AQ265" s="219"/>
      <c r="AR265" s="152"/>
      <c r="AS265" s="152"/>
      <c r="AT265" s="152"/>
      <c r="AU265" s="152"/>
      <c r="AV265" s="152"/>
      <c r="AW265" s="152"/>
      <c r="AX265" s="152"/>
      <c r="AY265" s="152"/>
      <c r="AZ265" s="152"/>
      <c r="BA265" s="152"/>
      <c r="BB265" s="152"/>
      <c r="BC265" s="152"/>
      <c r="BD265" s="152"/>
      <c r="BE265" s="152"/>
      <c r="BF265" s="152"/>
      <c r="BG265" s="152"/>
      <c r="BH265" s="152"/>
      <c r="BI265" s="152"/>
      <c r="BJ265" s="152"/>
      <c r="BK265" s="152"/>
      <c r="BL265" s="152"/>
      <c r="BM265" s="152"/>
      <c r="BN265" s="152"/>
      <c r="BO265" s="152"/>
      <c r="BP265" s="152"/>
      <c r="BQ265" s="152"/>
      <c r="BR265" s="152"/>
      <c r="BS265" s="152"/>
      <c r="BT265" s="152"/>
      <c r="BU265" s="152"/>
      <c r="BV265" s="152"/>
      <c r="BW265" s="152"/>
      <c r="BX265" s="152"/>
      <c r="BY265" s="152"/>
      <c r="BZ265" s="152"/>
      <c r="CA265" s="152"/>
      <c r="CB265" s="152"/>
      <c r="CC265" s="152"/>
      <c r="CD265" s="152"/>
    </row>
    <row r="266" ht="15.0" customHeight="1">
      <c r="A266" s="152"/>
      <c r="B266" s="152"/>
      <c r="C266" s="219"/>
      <c r="D266" s="219"/>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c r="AA266" s="152"/>
      <c r="AB266" s="152"/>
      <c r="AC266" s="152"/>
      <c r="AD266" s="152"/>
      <c r="AE266" s="152"/>
      <c r="AF266" s="152"/>
      <c r="AG266" s="152"/>
      <c r="AH266" s="152"/>
      <c r="AI266" s="152"/>
      <c r="AJ266" s="152"/>
      <c r="AK266" s="152"/>
      <c r="AL266" s="152"/>
      <c r="AM266" s="152"/>
      <c r="AN266" s="152"/>
      <c r="AO266" s="152"/>
      <c r="AP266" s="219"/>
      <c r="AQ266" s="219"/>
      <c r="AR266" s="152"/>
      <c r="AS266" s="152"/>
      <c r="AT266" s="152"/>
      <c r="AU266" s="152"/>
      <c r="AV266" s="152"/>
      <c r="AW266" s="152"/>
      <c r="AX266" s="152"/>
      <c r="AY266" s="152"/>
      <c r="AZ266" s="152"/>
      <c r="BA266" s="152"/>
      <c r="BB266" s="152"/>
      <c r="BC266" s="152"/>
      <c r="BD266" s="152"/>
      <c r="BE266" s="152"/>
      <c r="BF266" s="152"/>
      <c r="BG266" s="152"/>
      <c r="BH266" s="152"/>
      <c r="BI266" s="152"/>
      <c r="BJ266" s="152"/>
      <c r="BK266" s="152"/>
      <c r="BL266" s="152"/>
      <c r="BM266" s="152"/>
      <c r="BN266" s="152"/>
      <c r="BO266" s="152"/>
      <c r="BP266" s="152"/>
      <c r="BQ266" s="152"/>
      <c r="BR266" s="152"/>
      <c r="BS266" s="152"/>
      <c r="BT266" s="152"/>
      <c r="BU266" s="152"/>
      <c r="BV266" s="152"/>
      <c r="BW266" s="152"/>
      <c r="BX266" s="152"/>
      <c r="BY266" s="152"/>
      <c r="BZ266" s="152"/>
      <c r="CA266" s="152"/>
      <c r="CB266" s="152"/>
      <c r="CC266" s="152"/>
      <c r="CD266" s="152"/>
    </row>
    <row r="267" ht="15.0" customHeight="1">
      <c r="A267" s="152"/>
      <c r="B267" s="152"/>
      <c r="C267" s="219"/>
      <c r="D267" s="219"/>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c r="AA267" s="152"/>
      <c r="AB267" s="152"/>
      <c r="AC267" s="152"/>
      <c r="AD267" s="152"/>
      <c r="AE267" s="152"/>
      <c r="AF267" s="152"/>
      <c r="AG267" s="152"/>
      <c r="AH267" s="152"/>
      <c r="AI267" s="152"/>
      <c r="AJ267" s="152"/>
      <c r="AK267" s="152"/>
      <c r="AL267" s="152"/>
      <c r="AM267" s="152"/>
      <c r="AN267" s="152"/>
      <c r="AO267" s="152"/>
      <c r="AP267" s="219"/>
      <c r="AQ267" s="219"/>
      <c r="AR267" s="152"/>
      <c r="AS267" s="152"/>
      <c r="AT267" s="152"/>
      <c r="AU267" s="152"/>
      <c r="AV267" s="152"/>
      <c r="AW267" s="152"/>
      <c r="AX267" s="152"/>
      <c r="AY267" s="152"/>
      <c r="AZ267" s="152"/>
      <c r="BA267" s="152"/>
      <c r="BB267" s="152"/>
      <c r="BC267" s="152"/>
      <c r="BD267" s="152"/>
      <c r="BE267" s="152"/>
      <c r="BF267" s="152"/>
      <c r="BG267" s="152"/>
      <c r="BH267" s="152"/>
      <c r="BI267" s="152"/>
      <c r="BJ267" s="152"/>
      <c r="BK267" s="152"/>
      <c r="BL267" s="152"/>
      <c r="BM267" s="152"/>
      <c r="BN267" s="152"/>
      <c r="BO267" s="152"/>
      <c r="BP267" s="152"/>
      <c r="BQ267" s="152"/>
      <c r="BR267" s="152"/>
      <c r="BS267" s="152"/>
      <c r="BT267" s="152"/>
      <c r="BU267" s="152"/>
      <c r="BV267" s="152"/>
      <c r="BW267" s="152"/>
      <c r="BX267" s="152"/>
      <c r="BY267" s="152"/>
      <c r="BZ267" s="152"/>
      <c r="CA267" s="152"/>
      <c r="CB267" s="152"/>
      <c r="CC267" s="152"/>
      <c r="CD267" s="152"/>
    </row>
    <row r="268" ht="15.0" customHeight="1">
      <c r="A268" s="152"/>
      <c r="B268" s="152"/>
      <c r="C268" s="219"/>
      <c r="D268" s="219"/>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c r="AA268" s="152"/>
      <c r="AB268" s="152"/>
      <c r="AC268" s="152"/>
      <c r="AD268" s="152"/>
      <c r="AE268" s="152"/>
      <c r="AF268" s="152"/>
      <c r="AG268" s="152"/>
      <c r="AH268" s="152"/>
      <c r="AI268" s="152"/>
      <c r="AJ268" s="152"/>
      <c r="AK268" s="152"/>
      <c r="AL268" s="152"/>
      <c r="AM268" s="152"/>
      <c r="AN268" s="152"/>
      <c r="AO268" s="152"/>
      <c r="AP268" s="219"/>
      <c r="AQ268" s="219"/>
      <c r="AR268" s="152"/>
      <c r="AS268" s="152"/>
      <c r="AT268" s="152"/>
      <c r="AU268" s="152"/>
      <c r="AV268" s="152"/>
      <c r="AW268" s="152"/>
      <c r="AX268" s="152"/>
      <c r="AY268" s="152"/>
      <c r="AZ268" s="152"/>
      <c r="BA268" s="152"/>
      <c r="BB268" s="152"/>
      <c r="BC268" s="152"/>
      <c r="BD268" s="152"/>
      <c r="BE268" s="152"/>
      <c r="BF268" s="152"/>
      <c r="BG268" s="152"/>
      <c r="BH268" s="152"/>
      <c r="BI268" s="152"/>
      <c r="BJ268" s="152"/>
      <c r="BK268" s="152"/>
      <c r="BL268" s="152"/>
      <c r="BM268" s="152"/>
      <c r="BN268" s="152"/>
      <c r="BO268" s="152"/>
      <c r="BP268" s="152"/>
      <c r="BQ268" s="152"/>
      <c r="BR268" s="152"/>
      <c r="BS268" s="152"/>
      <c r="BT268" s="152"/>
      <c r="BU268" s="152"/>
      <c r="BV268" s="152"/>
      <c r="BW268" s="152"/>
      <c r="BX268" s="152"/>
      <c r="BY268" s="152"/>
      <c r="BZ268" s="152"/>
      <c r="CA268" s="152"/>
      <c r="CB268" s="152"/>
      <c r="CC268" s="152"/>
      <c r="CD268" s="152"/>
    </row>
    <row r="269" ht="15.0" customHeight="1">
      <c r="A269" s="152"/>
      <c r="B269" s="152"/>
      <c r="C269" s="219"/>
      <c r="D269" s="219"/>
      <c r="E269" s="220" t="str">
        <f t="array" ref="E269">xlookup(M269,'Team Entry'!$A:$A,'Team Entry'!$B:$B,"")</f>
        <v/>
      </c>
      <c r="F269" s="58"/>
      <c r="G269" s="58"/>
      <c r="H269" s="58"/>
      <c r="I269" s="58"/>
      <c r="J269" s="58"/>
      <c r="K269" s="58"/>
      <c r="L269" s="58"/>
      <c r="M269" s="221" t="str">
        <f t="array" ref="M269">xlookup(C275,'Roster Info'!$A:$A,'Roster Info'!$B:$B,"")</f>
        <v>Team 11 (Group 1)</v>
      </c>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9"/>
      <c r="AN269" s="152"/>
      <c r="AO269" s="152"/>
      <c r="AP269" s="219"/>
      <c r="AQ269" s="219"/>
      <c r="AR269" s="220" t="str">
        <f t="array" ref="AR269">xlookup(AZ269,'Team Entry'!$A:$A,'Team Entry'!$B:$B,"")</f>
        <v/>
      </c>
      <c r="AS269" s="58"/>
      <c r="AT269" s="58"/>
      <c r="AU269" s="58"/>
      <c r="AV269" s="58"/>
      <c r="AW269" s="58"/>
      <c r="AX269" s="58"/>
      <c r="AY269" s="58"/>
      <c r="AZ269" s="221" t="str">
        <f t="array" ref="AZ269">xlookup(AP275,'Roster Info'!$A:$A,'Roster Info'!$B:$B,"")</f>
        <v>Team 12 (Group 1)</v>
      </c>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58"/>
      <c r="BW269" s="58"/>
      <c r="BX269" s="58"/>
      <c r="BY269" s="58"/>
      <c r="BZ269" s="59"/>
      <c r="CA269" s="152"/>
      <c r="CB269" s="152"/>
      <c r="CC269" s="152"/>
      <c r="CD269" s="152"/>
    </row>
    <row r="270" ht="15.0" customHeight="1">
      <c r="A270" s="152"/>
      <c r="B270" s="152"/>
      <c r="C270" s="219"/>
      <c r="D270" s="219"/>
      <c r="E270" s="60"/>
      <c r="AM270" s="61"/>
      <c r="AN270" s="152"/>
      <c r="AO270" s="152"/>
      <c r="AP270" s="219"/>
      <c r="AQ270" s="219"/>
      <c r="AR270" s="60"/>
      <c r="BZ270" s="61"/>
      <c r="CA270" s="152"/>
      <c r="CB270" s="152"/>
      <c r="CC270" s="152"/>
      <c r="CD270" s="152"/>
    </row>
    <row r="271" ht="15.0" customHeight="1">
      <c r="A271" s="152"/>
      <c r="B271" s="152"/>
      <c r="C271" s="219"/>
      <c r="D271" s="219"/>
      <c r="E271" s="60"/>
      <c r="AM271" s="61"/>
      <c r="AN271" s="152"/>
      <c r="AO271" s="152"/>
      <c r="AP271" s="219"/>
      <c r="AQ271" s="219"/>
      <c r="AR271" s="60"/>
      <c r="BZ271" s="61"/>
      <c r="CA271" s="152"/>
      <c r="CB271" s="152"/>
      <c r="CC271" s="152"/>
      <c r="CD271" s="152"/>
    </row>
    <row r="272" ht="15.0" customHeight="1">
      <c r="A272" s="152"/>
      <c r="B272" s="152"/>
      <c r="C272" s="219"/>
      <c r="D272" s="219"/>
      <c r="E272" s="60"/>
      <c r="AM272" s="61"/>
      <c r="AN272" s="152"/>
      <c r="AO272" s="152"/>
      <c r="AP272" s="219"/>
      <c r="AQ272" s="219"/>
      <c r="AR272" s="60"/>
      <c r="BZ272" s="61"/>
      <c r="CA272" s="152"/>
      <c r="CB272" s="152"/>
      <c r="CC272" s="152"/>
      <c r="CD272" s="152"/>
    </row>
    <row r="273" ht="15.0" customHeight="1">
      <c r="A273" s="152"/>
      <c r="B273" s="152"/>
      <c r="C273" s="219"/>
      <c r="D273" s="219"/>
      <c r="E273" s="60"/>
      <c r="AM273" s="61"/>
      <c r="AN273" s="152"/>
      <c r="AO273" s="152"/>
      <c r="AP273" s="219"/>
      <c r="AQ273" s="219"/>
      <c r="AR273" s="60"/>
      <c r="BZ273" s="61"/>
      <c r="CA273" s="152"/>
      <c r="CB273" s="152"/>
      <c r="CC273" s="152"/>
      <c r="CD273" s="152"/>
    </row>
    <row r="274" ht="15.0" customHeight="1">
      <c r="A274" s="152"/>
      <c r="B274" s="152"/>
      <c r="C274" s="219"/>
      <c r="D274" s="219"/>
      <c r="E274" s="222"/>
      <c r="F274" s="223"/>
      <c r="G274" s="223"/>
      <c r="H274" s="223"/>
      <c r="I274" s="223"/>
      <c r="J274" s="223"/>
      <c r="K274" s="223"/>
      <c r="L274" s="223"/>
      <c r="M274" s="223"/>
      <c r="N274" s="223"/>
      <c r="O274" s="223"/>
      <c r="P274" s="223"/>
      <c r="Q274" s="223"/>
      <c r="R274" s="223"/>
      <c r="S274" s="223"/>
      <c r="T274" s="223"/>
      <c r="U274" s="223"/>
      <c r="V274" s="223"/>
      <c r="W274" s="223"/>
      <c r="X274" s="223"/>
      <c r="Y274" s="223"/>
      <c r="Z274" s="223"/>
      <c r="AA274" s="223"/>
      <c r="AB274" s="223"/>
      <c r="AC274" s="223"/>
      <c r="AD274" s="223"/>
      <c r="AE274" s="223"/>
      <c r="AF274" s="223"/>
      <c r="AG274" s="223"/>
      <c r="AH274" s="223"/>
      <c r="AI274" s="223"/>
      <c r="AJ274" s="223"/>
      <c r="AK274" s="223"/>
      <c r="AL274" s="223"/>
      <c r="AM274" s="224"/>
      <c r="AN274" s="152"/>
      <c r="AO274" s="152"/>
      <c r="AP274" s="219"/>
      <c r="AQ274" s="219"/>
      <c r="AR274" s="222"/>
      <c r="AS274" s="223"/>
      <c r="AT274" s="223"/>
      <c r="AU274" s="223"/>
      <c r="AV274" s="223"/>
      <c r="AW274" s="223"/>
      <c r="AX274" s="223"/>
      <c r="AY274" s="223"/>
      <c r="AZ274" s="223"/>
      <c r="BA274" s="223"/>
      <c r="BB274" s="223"/>
      <c r="BC274" s="223"/>
      <c r="BD274" s="223"/>
      <c r="BE274" s="223"/>
      <c r="BF274" s="223"/>
      <c r="BG274" s="223"/>
      <c r="BH274" s="223"/>
      <c r="BI274" s="223"/>
      <c r="BJ274" s="223"/>
      <c r="BK274" s="223"/>
      <c r="BL274" s="223"/>
      <c r="BM274" s="223"/>
      <c r="BN274" s="223"/>
      <c r="BO274" s="223"/>
      <c r="BP274" s="223"/>
      <c r="BQ274" s="223"/>
      <c r="BR274" s="223"/>
      <c r="BS274" s="223"/>
      <c r="BT274" s="223"/>
      <c r="BU274" s="223"/>
      <c r="BV274" s="223"/>
      <c r="BW274" s="223"/>
      <c r="BX274" s="223"/>
      <c r="BY274" s="223"/>
      <c r="BZ274" s="224"/>
      <c r="CA274" s="152"/>
      <c r="CB274" s="152"/>
      <c r="CC274" s="152"/>
      <c r="CD274" s="152"/>
    </row>
    <row r="275" ht="15.0" customHeight="1">
      <c r="A275" s="152"/>
      <c r="B275" s="152"/>
      <c r="C275" s="225">
        <f>AP251+1</f>
        <v>23</v>
      </c>
      <c r="D275" s="225" t="s">
        <v>109</v>
      </c>
      <c r="E275" s="226" t="s">
        <v>109</v>
      </c>
      <c r="I275" s="227" t="str">
        <f t="array" ref="I275">xlookup(xlookup(C275&amp;D275&amp;"Nationality",'Roster Info'!$A:$A&amp;'Roster Info'!$G:$G&amp;'Roster Info'!$D:$D,'Roster Info'!$E:$E,""),'Roster Info'!$K:$K,'Roster Info'!$L:$L,"")</f>
        <v/>
      </c>
      <c r="K275" s="228" t="str">
        <f t="array" ref="K275">xlookup(C275&amp;D275,'Roster Info'!$A:$A&amp;'Roster Info'!$G:$G,'Roster Info'!$F:$F,"")</f>
        <v/>
      </c>
      <c r="U275" s="229" t="str">
        <f t="array" ref="U275">xlookup(C275&amp;D275&amp;"Full Name",'Roster Info'!$A:$A&amp;'Roster Info'!$G:$G&amp;'Roster Info'!$D:$D,'Roster Info'!$E:$E,"")</f>
        <v/>
      </c>
      <c r="AE275" s="63" t="str">
        <f t="array" ref="AE275">if(xlookup(C275&amp;D275&amp;"Steam",'Roster Info'!$A:$A&amp;'Roster Info'!$G:$G&amp;'Roster Info'!$D:$D,'Roster Info'!$E:$E,"")="","-",hyperlink(xlookup(C275&amp;D275&amp;"Steam",'Roster Info'!$A:$A&amp;'Roster Info'!$G:$G&amp;'Roster Info'!$D:$D,'Roster Info'!$E:$E,""),"Steam"))</f>
        <v>-</v>
      </c>
      <c r="AH275" s="63" t="str">
        <f t="array" ref="AH275">if(xlookup(C275&amp;D275&amp;"HLTV",'Roster Info'!$A:$A&amp;'Roster Info'!$G:$G&amp;'Roster Info'!$D:$D,'Roster Info'!$E:$E,"")="","-",hyperlink(xlookup(C275&amp;D275&amp;"HLTV",'Roster Info'!$A:$A&amp;'Roster Info'!$G:$G&amp;'Roster Info'!$D:$D,'Roster Info'!$E:$E,""),"HLTV"))</f>
        <v>-</v>
      </c>
      <c r="AK275" s="63" t="str">
        <f t="array" ref="AK275">if(xlookup(C275&amp;D275&amp;"FaceIt",'Roster Info'!$A:$A&amp;'Roster Info'!$G:$G&amp;'Roster Info'!$D:$D,'Roster Info'!$E:$E,"")="","-",hyperlink(xlookup(C275&amp;D275&amp;"FaceIt",'Roster Info'!$A:$A&amp;'Roster Info'!$G:$G&amp;'Roster Info'!$D:$D,'Roster Info'!$E:$E,""),"FaceIt"))</f>
        <v>-</v>
      </c>
      <c r="AM275" s="61"/>
      <c r="AN275" s="152"/>
      <c r="AO275" s="152"/>
      <c r="AP275" s="225">
        <f>C275+1</f>
        <v>24</v>
      </c>
      <c r="AQ275" s="225" t="s">
        <v>109</v>
      </c>
      <c r="AR275" s="226" t="s">
        <v>109</v>
      </c>
      <c r="AV275" s="227" t="str">
        <f t="array" ref="AV275">xlookup(xlookup(AP275&amp;AQ275&amp;"Nationality",'Roster Info'!$A:$A&amp;'Roster Info'!$G:$G&amp;'Roster Info'!$D:$D,'Roster Info'!$E:$E,""),'Roster Info'!$K:$K,'Roster Info'!$L:$L,"")</f>
        <v/>
      </c>
      <c r="AX275" s="228" t="str">
        <f t="array" ref="AX275">xlookup(AP275&amp;AQ275,'Roster Info'!$A:$A&amp;'Roster Info'!$G:$G,'Roster Info'!$F:$F,"")</f>
        <v/>
      </c>
      <c r="BH275" s="229" t="str">
        <f t="array" ref="BH275">xlookup(AP275&amp;AQ275&amp;"Full Name",'Roster Info'!$A:$A&amp;'Roster Info'!$G:$G&amp;'Roster Info'!$D:$D,'Roster Info'!$E:$E,"")</f>
        <v/>
      </c>
      <c r="BR275" s="63" t="str">
        <f t="array" ref="BR275">if(xlookup(AP275&amp;AQ275&amp;"Steam",'Roster Info'!$A:$A&amp;'Roster Info'!$G:$G&amp;'Roster Info'!$D:$D,'Roster Info'!$E:$E,"")="","-",hyperlink(xlookup(AP275&amp;AQ275&amp;"Steam",'Roster Info'!$A:$A&amp;'Roster Info'!$G:$G&amp;'Roster Info'!$D:$D,'Roster Info'!$E:$E,""),"Steam"))</f>
        <v>-</v>
      </c>
      <c r="BU275" s="63" t="str">
        <f t="array" ref="BU275">if(xlookup(AP275&amp;AQ275&amp;"HLTV",'Roster Info'!$A:$A&amp;'Roster Info'!$G:$G&amp;'Roster Info'!$D:$D,'Roster Info'!$E:$E,"")="","-",hyperlink(xlookup(AP275&amp;AQ275&amp;"HLTV",'Roster Info'!$A:$A&amp;'Roster Info'!$G:$G&amp;'Roster Info'!$D:$D,'Roster Info'!$E:$E,""),"HLTV"))</f>
        <v>-</v>
      </c>
      <c r="BX275" s="63" t="str">
        <f t="array" ref="BX275">if(xlookup(AP275&amp;AQ275&amp;"FaceIt",'Roster Info'!$A:$A&amp;'Roster Info'!$G:$G&amp;'Roster Info'!$D:$D,'Roster Info'!$E:$E,"")="","-",hyperlink(xlookup(AP275&amp;AQ275&amp;"FaceIt",'Roster Info'!$A:$A&amp;'Roster Info'!$G:$G&amp;'Roster Info'!$D:$D,'Roster Info'!$E:$E,""),"FaceIt"))</f>
        <v>-</v>
      </c>
      <c r="BZ275" s="61"/>
      <c r="CA275" s="152"/>
      <c r="CB275" s="152"/>
      <c r="CC275" s="152"/>
      <c r="CD275" s="152"/>
    </row>
    <row r="276" ht="15.0" customHeight="1">
      <c r="A276" s="152"/>
      <c r="B276" s="152"/>
      <c r="C276" s="219"/>
      <c r="D276" s="219"/>
      <c r="E276" s="230"/>
      <c r="F276" s="231"/>
      <c r="G276" s="231"/>
      <c r="H276" s="231"/>
      <c r="I276" s="231"/>
      <c r="J276" s="231"/>
      <c r="K276" s="231"/>
      <c r="L276" s="231"/>
      <c r="M276" s="231"/>
      <c r="N276" s="231"/>
      <c r="O276" s="231"/>
      <c r="P276" s="231"/>
      <c r="Q276" s="231"/>
      <c r="R276" s="231"/>
      <c r="S276" s="231"/>
      <c r="T276" s="231"/>
      <c r="U276" s="231"/>
      <c r="V276" s="231"/>
      <c r="W276" s="231"/>
      <c r="X276" s="231"/>
      <c r="Y276" s="231"/>
      <c r="Z276" s="231"/>
      <c r="AA276" s="231"/>
      <c r="AB276" s="231"/>
      <c r="AC276" s="231"/>
      <c r="AD276" s="231"/>
      <c r="AE276" s="231"/>
      <c r="AF276" s="231"/>
      <c r="AG276" s="231"/>
      <c r="AH276" s="231"/>
      <c r="AI276" s="231"/>
      <c r="AJ276" s="231"/>
      <c r="AK276" s="231"/>
      <c r="AL276" s="231"/>
      <c r="AM276" s="232"/>
      <c r="AN276" s="152"/>
      <c r="AO276" s="152"/>
      <c r="AP276" s="219"/>
      <c r="AQ276" s="219"/>
      <c r="AR276" s="230"/>
      <c r="AS276" s="231"/>
      <c r="AT276" s="231"/>
      <c r="AU276" s="231"/>
      <c r="AV276" s="231"/>
      <c r="AW276" s="231"/>
      <c r="AX276" s="231"/>
      <c r="AY276" s="231"/>
      <c r="AZ276" s="231"/>
      <c r="BA276" s="231"/>
      <c r="BB276" s="231"/>
      <c r="BC276" s="231"/>
      <c r="BD276" s="231"/>
      <c r="BE276" s="231"/>
      <c r="BF276" s="231"/>
      <c r="BG276" s="231"/>
      <c r="BH276" s="231"/>
      <c r="BI276" s="231"/>
      <c r="BJ276" s="231"/>
      <c r="BK276" s="231"/>
      <c r="BL276" s="231"/>
      <c r="BM276" s="231"/>
      <c r="BN276" s="231"/>
      <c r="BO276" s="231"/>
      <c r="BP276" s="231"/>
      <c r="BQ276" s="231"/>
      <c r="BR276" s="231"/>
      <c r="BS276" s="231"/>
      <c r="BT276" s="231"/>
      <c r="BU276" s="231"/>
      <c r="BV276" s="231"/>
      <c r="BW276" s="231"/>
      <c r="BX276" s="231"/>
      <c r="BY276" s="231"/>
      <c r="BZ276" s="232"/>
      <c r="CA276" s="152"/>
      <c r="CB276" s="152"/>
      <c r="CC276" s="152"/>
      <c r="CD276" s="152"/>
    </row>
    <row r="277" ht="15.0" customHeight="1">
      <c r="A277" s="152"/>
      <c r="B277" s="152"/>
      <c r="C277" s="219">
        <f>C275</f>
        <v>23</v>
      </c>
      <c r="D277" s="225" t="s">
        <v>115</v>
      </c>
      <c r="E277" s="226" t="s">
        <v>115</v>
      </c>
      <c r="I277" s="227" t="str">
        <f t="array" ref="I277">xlookup(xlookup(C277&amp;D277&amp;"Nationality",'Roster Info'!$A:$A&amp;'Roster Info'!$G:$G&amp;'Roster Info'!$D:$D,'Roster Info'!$E:$E,""),'Roster Info'!$K:$K,'Roster Info'!$L:$L,"")</f>
        <v/>
      </c>
      <c r="K277" s="228" t="str">
        <f t="array" ref="K277">xlookup(C277&amp;D277,'Roster Info'!$A:$A&amp;'Roster Info'!$G:$G,'Roster Info'!$F:$F,"")</f>
        <v/>
      </c>
      <c r="U277" s="229" t="str">
        <f t="array" ref="U277">xlookup(C277&amp;D277&amp;"Full Name",'Roster Info'!$A:$A&amp;'Roster Info'!$G:$G&amp;'Roster Info'!$D:$D,'Roster Info'!$E:$E,"")</f>
        <v/>
      </c>
      <c r="AE277" s="63" t="str">
        <f t="array" ref="AE277">if(xlookup(C277&amp;D277&amp;"Steam",'Roster Info'!$A:$A&amp;'Roster Info'!$G:$G&amp;'Roster Info'!$D:$D,'Roster Info'!$E:$E,"")="","-",hyperlink(xlookup(C277&amp;D277&amp;"Steam",'Roster Info'!$A:$A&amp;'Roster Info'!$G:$G&amp;'Roster Info'!$D:$D,'Roster Info'!$E:$E,""),"Steam"))</f>
        <v>-</v>
      </c>
      <c r="AH277" s="63" t="str">
        <f t="array" ref="AH277">if(xlookup(C277&amp;D277&amp;"HLTV",'Roster Info'!$A:$A&amp;'Roster Info'!$G:$G&amp;'Roster Info'!$D:$D,'Roster Info'!$E:$E,"")="","-",hyperlink(xlookup(C277&amp;D277&amp;"HLTV",'Roster Info'!$A:$A&amp;'Roster Info'!$G:$G&amp;'Roster Info'!$D:$D,'Roster Info'!$E:$E,""),"HLTV"))</f>
        <v>-</v>
      </c>
      <c r="AK277" s="63" t="str">
        <f t="array" ref="AK277">if(xlookup(C277&amp;D277&amp;"FaceIt",'Roster Info'!$A:$A&amp;'Roster Info'!$G:$G&amp;'Roster Info'!$D:$D,'Roster Info'!$E:$E,"")="","-",hyperlink(xlookup(C277&amp;D277&amp;"FaceIt",'Roster Info'!$A:$A&amp;'Roster Info'!$G:$G&amp;'Roster Info'!$D:$D,'Roster Info'!$E:$E,""),"FaceIt"))</f>
        <v>-</v>
      </c>
      <c r="AM277" s="61"/>
      <c r="AN277" s="152"/>
      <c r="AO277" s="152"/>
      <c r="AP277" s="219">
        <f>AP275</f>
        <v>24</v>
      </c>
      <c r="AQ277" s="225" t="s">
        <v>115</v>
      </c>
      <c r="AR277" s="226" t="s">
        <v>115</v>
      </c>
      <c r="AV277" s="227" t="str">
        <f t="array" ref="AV277">xlookup(xlookup(AP277&amp;AQ277&amp;"Nationality",'Roster Info'!$A:$A&amp;'Roster Info'!$G:$G&amp;'Roster Info'!$D:$D,'Roster Info'!$E:$E,""),'Roster Info'!$K:$K,'Roster Info'!$L:$L,"")</f>
        <v/>
      </c>
      <c r="AX277" s="228" t="str">
        <f t="array" ref="AX277">xlookup(AP277&amp;AQ277,'Roster Info'!$A:$A&amp;'Roster Info'!$G:$G,'Roster Info'!$F:$F,"")</f>
        <v/>
      </c>
      <c r="BH277" s="229" t="str">
        <f t="array" ref="BH277">xlookup(AP277&amp;AQ277&amp;"Full Name",'Roster Info'!$A:$A&amp;'Roster Info'!$G:$G&amp;'Roster Info'!$D:$D,'Roster Info'!$E:$E,"")</f>
        <v/>
      </c>
      <c r="BR277" s="63" t="str">
        <f t="array" ref="BR277">if(xlookup(AP277&amp;AQ277&amp;"Steam",'Roster Info'!$A:$A&amp;'Roster Info'!$G:$G&amp;'Roster Info'!$D:$D,'Roster Info'!$E:$E,"")="","-",hyperlink(xlookup(AP277&amp;AQ277&amp;"Steam",'Roster Info'!$A:$A&amp;'Roster Info'!$G:$G&amp;'Roster Info'!$D:$D,'Roster Info'!$E:$E,""),"Steam"))</f>
        <v>-</v>
      </c>
      <c r="BU277" s="63" t="str">
        <f t="array" ref="BU277">if(xlookup(AP277&amp;AQ277&amp;"HLTV",'Roster Info'!$A:$A&amp;'Roster Info'!$G:$G&amp;'Roster Info'!$D:$D,'Roster Info'!$E:$E,"")="","-",hyperlink(xlookup(AP277&amp;AQ277&amp;"HLTV",'Roster Info'!$A:$A&amp;'Roster Info'!$G:$G&amp;'Roster Info'!$D:$D,'Roster Info'!$E:$E,""),"HLTV"))</f>
        <v>-</v>
      </c>
      <c r="BX277" s="63" t="str">
        <f t="array" ref="BX277">if(xlookup(AP277&amp;AQ277&amp;"FaceIt",'Roster Info'!$A:$A&amp;'Roster Info'!$G:$G&amp;'Roster Info'!$D:$D,'Roster Info'!$E:$E,"")="","-",hyperlink(xlookup(AP277&amp;AQ277&amp;"FaceIt",'Roster Info'!$A:$A&amp;'Roster Info'!$G:$G&amp;'Roster Info'!$D:$D,'Roster Info'!$E:$E,""),"FaceIt"))</f>
        <v>-</v>
      </c>
      <c r="BZ277" s="61"/>
      <c r="CA277" s="152"/>
      <c r="CB277" s="152"/>
      <c r="CC277" s="152"/>
      <c r="CD277" s="152"/>
    </row>
    <row r="278" ht="15.0" customHeight="1">
      <c r="A278" s="152"/>
      <c r="B278" s="152"/>
      <c r="C278" s="219"/>
      <c r="D278" s="219"/>
      <c r="E278" s="230"/>
      <c r="F278" s="231"/>
      <c r="G278" s="231"/>
      <c r="H278" s="231"/>
      <c r="I278" s="231"/>
      <c r="J278" s="231"/>
      <c r="K278" s="231"/>
      <c r="L278" s="231"/>
      <c r="M278" s="231"/>
      <c r="N278" s="231"/>
      <c r="O278" s="231"/>
      <c r="P278" s="231"/>
      <c r="Q278" s="231"/>
      <c r="R278" s="231"/>
      <c r="S278" s="231"/>
      <c r="T278" s="231"/>
      <c r="U278" s="231"/>
      <c r="V278" s="231"/>
      <c r="W278" s="231"/>
      <c r="X278" s="231"/>
      <c r="Y278" s="231"/>
      <c r="Z278" s="231"/>
      <c r="AA278" s="231"/>
      <c r="AB278" s="231"/>
      <c r="AC278" s="231"/>
      <c r="AD278" s="231"/>
      <c r="AE278" s="231"/>
      <c r="AF278" s="231"/>
      <c r="AG278" s="231"/>
      <c r="AH278" s="231"/>
      <c r="AI278" s="231"/>
      <c r="AJ278" s="231"/>
      <c r="AK278" s="231"/>
      <c r="AL278" s="231"/>
      <c r="AM278" s="232"/>
      <c r="AN278" s="152"/>
      <c r="AO278" s="152"/>
      <c r="AP278" s="219"/>
      <c r="AQ278" s="219"/>
      <c r="AR278" s="230"/>
      <c r="AS278" s="231"/>
      <c r="AT278" s="231"/>
      <c r="AU278" s="231"/>
      <c r="AV278" s="231"/>
      <c r="AW278" s="231"/>
      <c r="AX278" s="231"/>
      <c r="AY278" s="231"/>
      <c r="AZ278" s="231"/>
      <c r="BA278" s="231"/>
      <c r="BB278" s="231"/>
      <c r="BC278" s="231"/>
      <c r="BD278" s="231"/>
      <c r="BE278" s="231"/>
      <c r="BF278" s="231"/>
      <c r="BG278" s="231"/>
      <c r="BH278" s="231"/>
      <c r="BI278" s="231"/>
      <c r="BJ278" s="231"/>
      <c r="BK278" s="231"/>
      <c r="BL278" s="231"/>
      <c r="BM278" s="231"/>
      <c r="BN278" s="231"/>
      <c r="BO278" s="231"/>
      <c r="BP278" s="231"/>
      <c r="BQ278" s="231"/>
      <c r="BR278" s="231"/>
      <c r="BS278" s="231"/>
      <c r="BT278" s="231"/>
      <c r="BU278" s="231"/>
      <c r="BV278" s="231"/>
      <c r="BW278" s="231"/>
      <c r="BX278" s="231"/>
      <c r="BY278" s="231"/>
      <c r="BZ278" s="232"/>
      <c r="CA278" s="152"/>
      <c r="CB278" s="152"/>
      <c r="CC278" s="152"/>
      <c r="CD278" s="152"/>
    </row>
    <row r="279" ht="15.0" customHeight="1">
      <c r="A279" s="152"/>
      <c r="B279" s="152"/>
      <c r="C279" s="219">
        <f>C277</f>
        <v>23</v>
      </c>
      <c r="D279" s="225" t="s">
        <v>121</v>
      </c>
      <c r="E279" s="226" t="s">
        <v>121</v>
      </c>
      <c r="I279" s="227" t="str">
        <f t="array" ref="I279">xlookup(xlookup(C279&amp;D279&amp;"Nationality",'Roster Info'!$A:$A&amp;'Roster Info'!$G:$G&amp;'Roster Info'!$D:$D,'Roster Info'!$E:$E,""),'Roster Info'!$K:$K,'Roster Info'!$L:$L,"")</f>
        <v/>
      </c>
      <c r="K279" s="228" t="str">
        <f t="array" ref="K279">xlookup(C279&amp;D279,'Roster Info'!$A:$A&amp;'Roster Info'!$G:$G,'Roster Info'!$F:$F,"")</f>
        <v/>
      </c>
      <c r="U279" s="229" t="str">
        <f t="array" ref="U279">xlookup(C279&amp;D279&amp;"Full Name",'Roster Info'!$A:$A&amp;'Roster Info'!$G:$G&amp;'Roster Info'!$D:$D,'Roster Info'!$E:$E,"")</f>
        <v/>
      </c>
      <c r="AE279" s="63" t="str">
        <f t="array" ref="AE279">if(xlookup(C279&amp;D279&amp;"Steam",'Roster Info'!$A:$A&amp;'Roster Info'!$G:$G&amp;'Roster Info'!$D:$D,'Roster Info'!$E:$E,"")="","-",hyperlink(xlookup(C279&amp;D279&amp;"Steam",'Roster Info'!$A:$A&amp;'Roster Info'!$G:$G&amp;'Roster Info'!$D:$D,'Roster Info'!$E:$E,""),"Steam"))</f>
        <v>-</v>
      </c>
      <c r="AH279" s="63" t="str">
        <f t="array" ref="AH279">if(xlookup(C279&amp;D279&amp;"HLTV",'Roster Info'!$A:$A&amp;'Roster Info'!$G:$G&amp;'Roster Info'!$D:$D,'Roster Info'!$E:$E,"")="","-",hyperlink(xlookup(C279&amp;D279&amp;"HLTV",'Roster Info'!$A:$A&amp;'Roster Info'!$G:$G&amp;'Roster Info'!$D:$D,'Roster Info'!$E:$E,""),"HLTV"))</f>
        <v>-</v>
      </c>
      <c r="AK279" s="63" t="str">
        <f t="array" ref="AK279">if(xlookup(C279&amp;D279&amp;"FaceIt",'Roster Info'!$A:$A&amp;'Roster Info'!$G:$G&amp;'Roster Info'!$D:$D,'Roster Info'!$E:$E,"")="","-",hyperlink(xlookup(C279&amp;D279&amp;"FaceIt",'Roster Info'!$A:$A&amp;'Roster Info'!$G:$G&amp;'Roster Info'!$D:$D,'Roster Info'!$E:$E,""),"FaceIt"))</f>
        <v>-</v>
      </c>
      <c r="AM279" s="61"/>
      <c r="AN279" s="152"/>
      <c r="AO279" s="152"/>
      <c r="AP279" s="219">
        <f>AP277</f>
        <v>24</v>
      </c>
      <c r="AQ279" s="225" t="s">
        <v>121</v>
      </c>
      <c r="AR279" s="226" t="s">
        <v>121</v>
      </c>
      <c r="AV279" s="227" t="str">
        <f t="array" ref="AV279">xlookup(xlookup(AP279&amp;AQ279&amp;"Nationality",'Roster Info'!$A:$A&amp;'Roster Info'!$G:$G&amp;'Roster Info'!$D:$D,'Roster Info'!$E:$E,""),'Roster Info'!$K:$K,'Roster Info'!$L:$L,"")</f>
        <v/>
      </c>
      <c r="AX279" s="228" t="str">
        <f t="array" ref="AX279">xlookup(AP279&amp;AQ279,'Roster Info'!$A:$A&amp;'Roster Info'!$G:$G,'Roster Info'!$F:$F,"")</f>
        <v/>
      </c>
      <c r="BH279" s="229" t="str">
        <f t="array" ref="BH279">xlookup(AP279&amp;AQ279&amp;"Full Name",'Roster Info'!$A:$A&amp;'Roster Info'!$G:$G&amp;'Roster Info'!$D:$D,'Roster Info'!$E:$E,"")</f>
        <v/>
      </c>
      <c r="BR279" s="63" t="str">
        <f t="array" ref="BR279">if(xlookup(AP279&amp;AQ279&amp;"Steam",'Roster Info'!$A:$A&amp;'Roster Info'!$G:$G&amp;'Roster Info'!$D:$D,'Roster Info'!$E:$E,"")="","-",hyperlink(xlookup(AP279&amp;AQ279&amp;"Steam",'Roster Info'!$A:$A&amp;'Roster Info'!$G:$G&amp;'Roster Info'!$D:$D,'Roster Info'!$E:$E,""),"Steam"))</f>
        <v>-</v>
      </c>
      <c r="BU279" s="63" t="str">
        <f t="array" ref="BU279">if(xlookup(AP279&amp;AQ279&amp;"HLTV",'Roster Info'!$A:$A&amp;'Roster Info'!$G:$G&amp;'Roster Info'!$D:$D,'Roster Info'!$E:$E,"")="","-",hyperlink(xlookup(AP279&amp;AQ279&amp;"HLTV",'Roster Info'!$A:$A&amp;'Roster Info'!$G:$G&amp;'Roster Info'!$D:$D,'Roster Info'!$E:$E,""),"HLTV"))</f>
        <v>-</v>
      </c>
      <c r="BX279" s="63" t="str">
        <f t="array" ref="BX279">if(xlookup(AP279&amp;AQ279&amp;"FaceIt",'Roster Info'!$A:$A&amp;'Roster Info'!$G:$G&amp;'Roster Info'!$D:$D,'Roster Info'!$E:$E,"")="","-",hyperlink(xlookup(AP279&amp;AQ279&amp;"FaceIt",'Roster Info'!$A:$A&amp;'Roster Info'!$G:$G&amp;'Roster Info'!$D:$D,'Roster Info'!$E:$E,""),"FaceIt"))</f>
        <v>-</v>
      </c>
      <c r="BZ279" s="61"/>
      <c r="CA279" s="152"/>
      <c r="CB279" s="152"/>
      <c r="CC279" s="152"/>
      <c r="CD279" s="152"/>
    </row>
    <row r="280" ht="15.0" customHeight="1">
      <c r="A280" s="152"/>
      <c r="B280" s="152"/>
      <c r="C280" s="219"/>
      <c r="D280" s="219"/>
      <c r="E280" s="230"/>
      <c r="F280" s="231"/>
      <c r="G280" s="231"/>
      <c r="H280" s="231"/>
      <c r="I280" s="231"/>
      <c r="J280" s="231"/>
      <c r="K280" s="231"/>
      <c r="L280" s="231"/>
      <c r="M280" s="231"/>
      <c r="N280" s="231"/>
      <c r="O280" s="231"/>
      <c r="P280" s="231"/>
      <c r="Q280" s="231"/>
      <c r="R280" s="231"/>
      <c r="S280" s="231"/>
      <c r="T280" s="231"/>
      <c r="U280" s="231"/>
      <c r="V280" s="231"/>
      <c r="W280" s="231"/>
      <c r="X280" s="231"/>
      <c r="Y280" s="231"/>
      <c r="Z280" s="231"/>
      <c r="AA280" s="231"/>
      <c r="AB280" s="231"/>
      <c r="AC280" s="231"/>
      <c r="AD280" s="231"/>
      <c r="AE280" s="231"/>
      <c r="AF280" s="231"/>
      <c r="AG280" s="231"/>
      <c r="AH280" s="231"/>
      <c r="AI280" s="231"/>
      <c r="AJ280" s="231"/>
      <c r="AK280" s="231"/>
      <c r="AL280" s="231"/>
      <c r="AM280" s="232"/>
      <c r="AN280" s="152"/>
      <c r="AO280" s="152"/>
      <c r="AP280" s="219"/>
      <c r="AQ280" s="219"/>
      <c r="AR280" s="230"/>
      <c r="AS280" s="231"/>
      <c r="AT280" s="231"/>
      <c r="AU280" s="231"/>
      <c r="AV280" s="231"/>
      <c r="AW280" s="231"/>
      <c r="AX280" s="231"/>
      <c r="AY280" s="231"/>
      <c r="AZ280" s="231"/>
      <c r="BA280" s="231"/>
      <c r="BB280" s="231"/>
      <c r="BC280" s="231"/>
      <c r="BD280" s="231"/>
      <c r="BE280" s="231"/>
      <c r="BF280" s="231"/>
      <c r="BG280" s="231"/>
      <c r="BH280" s="231"/>
      <c r="BI280" s="231"/>
      <c r="BJ280" s="231"/>
      <c r="BK280" s="231"/>
      <c r="BL280" s="231"/>
      <c r="BM280" s="231"/>
      <c r="BN280" s="231"/>
      <c r="BO280" s="231"/>
      <c r="BP280" s="231"/>
      <c r="BQ280" s="231"/>
      <c r="BR280" s="231"/>
      <c r="BS280" s="231"/>
      <c r="BT280" s="231"/>
      <c r="BU280" s="231"/>
      <c r="BV280" s="231"/>
      <c r="BW280" s="231"/>
      <c r="BX280" s="231"/>
      <c r="BY280" s="231"/>
      <c r="BZ280" s="232"/>
      <c r="CA280" s="152"/>
      <c r="CB280" s="152"/>
      <c r="CC280" s="152"/>
      <c r="CD280" s="152"/>
    </row>
    <row r="281" ht="15.0" customHeight="1">
      <c r="A281" s="152"/>
      <c r="B281" s="152"/>
      <c r="C281" s="219">
        <f>C279</f>
        <v>23</v>
      </c>
      <c r="D281" s="225" t="s">
        <v>127</v>
      </c>
      <c r="E281" s="226" t="s">
        <v>127</v>
      </c>
      <c r="I281" s="227" t="str">
        <f t="array" ref="I281">xlookup(xlookup(C281&amp;D281&amp;"Nationality",'Roster Info'!$A:$A&amp;'Roster Info'!$G:$G&amp;'Roster Info'!$D:$D,'Roster Info'!$E:$E,""),'Roster Info'!$K:$K,'Roster Info'!$L:$L,"")</f>
        <v/>
      </c>
      <c r="K281" s="228" t="str">
        <f t="array" ref="K281">xlookup(C281&amp;D281,'Roster Info'!$A:$A&amp;'Roster Info'!$G:$G,'Roster Info'!$F:$F,"")</f>
        <v/>
      </c>
      <c r="U281" s="229" t="str">
        <f t="array" ref="U281">xlookup(C281&amp;D281&amp;"Full Name",'Roster Info'!$A:$A&amp;'Roster Info'!$G:$G&amp;'Roster Info'!$D:$D,'Roster Info'!$E:$E,"")</f>
        <v/>
      </c>
      <c r="AE281" s="63" t="str">
        <f t="array" ref="AE281">if(xlookup(C281&amp;D281&amp;"Steam",'Roster Info'!$A:$A&amp;'Roster Info'!$G:$G&amp;'Roster Info'!$D:$D,'Roster Info'!$E:$E,"")="","-",hyperlink(xlookup(C281&amp;D281&amp;"Steam",'Roster Info'!$A:$A&amp;'Roster Info'!$G:$G&amp;'Roster Info'!$D:$D,'Roster Info'!$E:$E,""),"Steam"))</f>
        <v>-</v>
      </c>
      <c r="AH281" s="63" t="str">
        <f t="array" ref="AH281">if(xlookup(C281&amp;D281&amp;"HLTV",'Roster Info'!$A:$A&amp;'Roster Info'!$G:$G&amp;'Roster Info'!$D:$D,'Roster Info'!$E:$E,"")="","-",hyperlink(xlookup(C281&amp;D281&amp;"HLTV",'Roster Info'!$A:$A&amp;'Roster Info'!$G:$G&amp;'Roster Info'!$D:$D,'Roster Info'!$E:$E,""),"HLTV"))</f>
        <v>-</v>
      </c>
      <c r="AK281" s="63" t="str">
        <f t="array" ref="AK281">if(xlookup(C281&amp;D281&amp;"FaceIt",'Roster Info'!$A:$A&amp;'Roster Info'!$G:$G&amp;'Roster Info'!$D:$D,'Roster Info'!$E:$E,"")="","-",hyperlink(xlookup(C281&amp;D281&amp;"FaceIt",'Roster Info'!$A:$A&amp;'Roster Info'!$G:$G&amp;'Roster Info'!$D:$D,'Roster Info'!$E:$E,""),"FaceIt"))</f>
        <v>-</v>
      </c>
      <c r="AM281" s="61"/>
      <c r="AN281" s="152"/>
      <c r="AO281" s="152"/>
      <c r="AP281" s="219">
        <f>AP279</f>
        <v>24</v>
      </c>
      <c r="AQ281" s="225" t="s">
        <v>127</v>
      </c>
      <c r="AR281" s="226" t="s">
        <v>127</v>
      </c>
      <c r="AV281" s="227" t="str">
        <f t="array" ref="AV281">xlookup(xlookup(AP281&amp;AQ281&amp;"Nationality",'Roster Info'!$A:$A&amp;'Roster Info'!$G:$G&amp;'Roster Info'!$D:$D,'Roster Info'!$E:$E,""),'Roster Info'!$K:$K,'Roster Info'!$L:$L,"")</f>
        <v/>
      </c>
      <c r="AX281" s="228" t="str">
        <f t="array" ref="AX281">xlookup(AP281&amp;AQ281,'Roster Info'!$A:$A&amp;'Roster Info'!$G:$G,'Roster Info'!$F:$F,"")</f>
        <v/>
      </c>
      <c r="BH281" s="229" t="str">
        <f t="array" ref="BH281">xlookup(AP281&amp;AQ281&amp;"Full Name",'Roster Info'!$A:$A&amp;'Roster Info'!$G:$G&amp;'Roster Info'!$D:$D,'Roster Info'!$E:$E,"")</f>
        <v/>
      </c>
      <c r="BR281" s="63" t="str">
        <f t="array" ref="BR281">if(xlookup(AP281&amp;AQ281&amp;"Steam",'Roster Info'!$A:$A&amp;'Roster Info'!$G:$G&amp;'Roster Info'!$D:$D,'Roster Info'!$E:$E,"")="","-",hyperlink(xlookup(AP281&amp;AQ281&amp;"Steam",'Roster Info'!$A:$A&amp;'Roster Info'!$G:$G&amp;'Roster Info'!$D:$D,'Roster Info'!$E:$E,""),"Steam"))</f>
        <v>-</v>
      </c>
      <c r="BU281" s="63" t="str">
        <f t="array" ref="BU281">if(xlookup(AP281&amp;AQ281&amp;"HLTV",'Roster Info'!$A:$A&amp;'Roster Info'!$G:$G&amp;'Roster Info'!$D:$D,'Roster Info'!$E:$E,"")="","-",hyperlink(xlookup(AP281&amp;AQ281&amp;"HLTV",'Roster Info'!$A:$A&amp;'Roster Info'!$G:$G&amp;'Roster Info'!$D:$D,'Roster Info'!$E:$E,""),"HLTV"))</f>
        <v>-</v>
      </c>
      <c r="BX281" s="63" t="str">
        <f t="array" ref="BX281">if(xlookup(AP281&amp;AQ281&amp;"FaceIt",'Roster Info'!$A:$A&amp;'Roster Info'!$G:$G&amp;'Roster Info'!$D:$D,'Roster Info'!$E:$E,"")="","-",hyperlink(xlookup(AP281&amp;AQ281&amp;"FaceIt",'Roster Info'!$A:$A&amp;'Roster Info'!$G:$G&amp;'Roster Info'!$D:$D,'Roster Info'!$E:$E,""),"FaceIt"))</f>
        <v>-</v>
      </c>
      <c r="BZ281" s="61"/>
      <c r="CA281" s="152"/>
      <c r="CB281" s="152"/>
      <c r="CC281" s="152"/>
      <c r="CD281" s="152"/>
    </row>
    <row r="282" ht="15.0" customHeight="1">
      <c r="A282" s="152"/>
      <c r="B282" s="152"/>
      <c r="C282" s="219"/>
      <c r="D282" s="219"/>
      <c r="E282" s="230"/>
      <c r="F282" s="231"/>
      <c r="G282" s="231"/>
      <c r="H282" s="231"/>
      <c r="I282" s="231"/>
      <c r="J282" s="231"/>
      <c r="K282" s="231"/>
      <c r="L282" s="231"/>
      <c r="M282" s="231"/>
      <c r="N282" s="231"/>
      <c r="O282" s="231"/>
      <c r="P282" s="231"/>
      <c r="Q282" s="231"/>
      <c r="R282" s="231"/>
      <c r="S282" s="231"/>
      <c r="T282" s="231"/>
      <c r="U282" s="231"/>
      <c r="V282" s="231"/>
      <c r="W282" s="231"/>
      <c r="X282" s="231"/>
      <c r="Y282" s="231"/>
      <c r="Z282" s="231"/>
      <c r="AA282" s="231"/>
      <c r="AB282" s="231"/>
      <c r="AC282" s="231"/>
      <c r="AD282" s="231"/>
      <c r="AE282" s="231"/>
      <c r="AF282" s="231"/>
      <c r="AG282" s="231"/>
      <c r="AH282" s="231"/>
      <c r="AI282" s="231"/>
      <c r="AJ282" s="231"/>
      <c r="AK282" s="231"/>
      <c r="AL282" s="231"/>
      <c r="AM282" s="232"/>
      <c r="AN282" s="152"/>
      <c r="AO282" s="152"/>
      <c r="AP282" s="219"/>
      <c r="AQ282" s="219"/>
      <c r="AR282" s="230"/>
      <c r="AS282" s="231"/>
      <c r="AT282" s="231"/>
      <c r="AU282" s="231"/>
      <c r="AV282" s="231"/>
      <c r="AW282" s="231"/>
      <c r="AX282" s="231"/>
      <c r="AY282" s="231"/>
      <c r="AZ282" s="231"/>
      <c r="BA282" s="231"/>
      <c r="BB282" s="231"/>
      <c r="BC282" s="231"/>
      <c r="BD282" s="231"/>
      <c r="BE282" s="231"/>
      <c r="BF282" s="231"/>
      <c r="BG282" s="231"/>
      <c r="BH282" s="231"/>
      <c r="BI282" s="231"/>
      <c r="BJ282" s="231"/>
      <c r="BK282" s="231"/>
      <c r="BL282" s="231"/>
      <c r="BM282" s="231"/>
      <c r="BN282" s="231"/>
      <c r="BO282" s="231"/>
      <c r="BP282" s="231"/>
      <c r="BQ282" s="231"/>
      <c r="BR282" s="231"/>
      <c r="BS282" s="231"/>
      <c r="BT282" s="231"/>
      <c r="BU282" s="231"/>
      <c r="BV282" s="231"/>
      <c r="BW282" s="231"/>
      <c r="BX282" s="231"/>
      <c r="BY282" s="231"/>
      <c r="BZ282" s="232"/>
      <c r="CA282" s="152"/>
      <c r="CB282" s="152"/>
      <c r="CC282" s="152"/>
      <c r="CD282" s="152"/>
    </row>
    <row r="283" ht="15.0" customHeight="1">
      <c r="A283" s="152"/>
      <c r="B283" s="152"/>
      <c r="C283" s="219">
        <f>C281</f>
        <v>23</v>
      </c>
      <c r="D283" s="225" t="s">
        <v>133</v>
      </c>
      <c r="E283" s="226" t="s">
        <v>133</v>
      </c>
      <c r="I283" s="227" t="str">
        <f t="array" ref="I283">xlookup(xlookup(C283&amp;D283&amp;"Nationality",'Roster Info'!$A:$A&amp;'Roster Info'!$G:$G&amp;'Roster Info'!$D:$D,'Roster Info'!$E:$E,""),'Roster Info'!$K:$K,'Roster Info'!$L:$L,"")</f>
        <v/>
      </c>
      <c r="K283" s="228" t="str">
        <f t="array" ref="K283">xlookup(C283&amp;D283,'Roster Info'!$A:$A&amp;'Roster Info'!$G:$G,'Roster Info'!$F:$F,"")</f>
        <v/>
      </c>
      <c r="U283" s="229" t="str">
        <f t="array" ref="U283">xlookup(C283&amp;D283&amp;"Full Name",'Roster Info'!$A:$A&amp;'Roster Info'!$G:$G&amp;'Roster Info'!$D:$D,'Roster Info'!$E:$E,"")</f>
        <v/>
      </c>
      <c r="AE283" s="63" t="str">
        <f t="array" ref="AE283">if(xlookup(C283&amp;D283&amp;"Steam",'Roster Info'!$A:$A&amp;'Roster Info'!$G:$G&amp;'Roster Info'!$D:$D,'Roster Info'!$E:$E,"")="","-",hyperlink(xlookup(C283&amp;D283&amp;"Steam",'Roster Info'!$A:$A&amp;'Roster Info'!$G:$G&amp;'Roster Info'!$D:$D,'Roster Info'!$E:$E,""),"Steam"))</f>
        <v>-</v>
      </c>
      <c r="AH283" s="63" t="str">
        <f t="array" ref="AH283">if(xlookup(C283&amp;D283&amp;"HLTV",'Roster Info'!$A:$A&amp;'Roster Info'!$G:$G&amp;'Roster Info'!$D:$D,'Roster Info'!$E:$E,"")="","-",hyperlink(xlookup(C283&amp;D283&amp;"HLTV",'Roster Info'!$A:$A&amp;'Roster Info'!$G:$G&amp;'Roster Info'!$D:$D,'Roster Info'!$E:$E,""),"HLTV"))</f>
        <v>-</v>
      </c>
      <c r="AK283" s="63" t="str">
        <f t="array" ref="AK283">if(xlookup(C283&amp;D283&amp;"FaceIt",'Roster Info'!$A:$A&amp;'Roster Info'!$G:$G&amp;'Roster Info'!$D:$D,'Roster Info'!$E:$E,"")="","-",hyperlink(xlookup(C283&amp;D283&amp;"FaceIt",'Roster Info'!$A:$A&amp;'Roster Info'!$G:$G&amp;'Roster Info'!$D:$D,'Roster Info'!$E:$E,""),"FaceIt"))</f>
        <v>-</v>
      </c>
      <c r="AM283" s="61"/>
      <c r="AN283" s="152"/>
      <c r="AO283" s="152"/>
      <c r="AP283" s="219">
        <f>AP281</f>
        <v>24</v>
      </c>
      <c r="AQ283" s="225" t="s">
        <v>133</v>
      </c>
      <c r="AR283" s="226" t="s">
        <v>133</v>
      </c>
      <c r="AV283" s="227" t="str">
        <f t="array" ref="AV283">xlookup(xlookup(AP283&amp;AQ283&amp;"Nationality",'Roster Info'!$A:$A&amp;'Roster Info'!$G:$G&amp;'Roster Info'!$D:$D,'Roster Info'!$E:$E,""),'Roster Info'!$K:$K,'Roster Info'!$L:$L,"")</f>
        <v/>
      </c>
      <c r="AX283" s="228" t="str">
        <f t="array" ref="AX283">xlookup(AP283&amp;AQ283,'Roster Info'!$A:$A&amp;'Roster Info'!$G:$G,'Roster Info'!$F:$F,"")</f>
        <v/>
      </c>
      <c r="BH283" s="229" t="str">
        <f t="array" ref="BH283">xlookup(AP283&amp;AQ283&amp;"Full Name",'Roster Info'!$A:$A&amp;'Roster Info'!$G:$G&amp;'Roster Info'!$D:$D,'Roster Info'!$E:$E,"")</f>
        <v/>
      </c>
      <c r="BR283" s="63" t="str">
        <f t="array" ref="BR283">if(xlookup(AP283&amp;AQ283&amp;"Steam",'Roster Info'!$A:$A&amp;'Roster Info'!$G:$G&amp;'Roster Info'!$D:$D,'Roster Info'!$E:$E,"")="","-",hyperlink(xlookup(AP283&amp;AQ283&amp;"Steam",'Roster Info'!$A:$A&amp;'Roster Info'!$G:$G&amp;'Roster Info'!$D:$D,'Roster Info'!$E:$E,""),"Steam"))</f>
        <v>-</v>
      </c>
      <c r="BU283" s="63" t="str">
        <f t="array" ref="BU283">if(xlookup(AP283&amp;AQ283&amp;"HLTV",'Roster Info'!$A:$A&amp;'Roster Info'!$G:$G&amp;'Roster Info'!$D:$D,'Roster Info'!$E:$E,"")="","-",hyperlink(xlookup(AP283&amp;AQ283&amp;"HLTV",'Roster Info'!$A:$A&amp;'Roster Info'!$G:$G&amp;'Roster Info'!$D:$D,'Roster Info'!$E:$E,""),"HLTV"))</f>
        <v>-</v>
      </c>
      <c r="BX283" s="63" t="str">
        <f t="array" ref="BX283">if(xlookup(AP283&amp;AQ283&amp;"FaceIt",'Roster Info'!$A:$A&amp;'Roster Info'!$G:$G&amp;'Roster Info'!$D:$D,'Roster Info'!$E:$E,"")="","-",hyperlink(xlookup(AP283&amp;AQ283&amp;"FaceIt",'Roster Info'!$A:$A&amp;'Roster Info'!$G:$G&amp;'Roster Info'!$D:$D,'Roster Info'!$E:$E,""),"FaceIt"))</f>
        <v>-</v>
      </c>
      <c r="BZ283" s="61"/>
      <c r="CA283" s="152"/>
      <c r="CB283" s="152"/>
      <c r="CC283" s="152"/>
      <c r="CD283" s="152"/>
    </row>
    <row r="284" ht="15.0" customHeight="1">
      <c r="A284" s="152"/>
      <c r="B284" s="152"/>
      <c r="C284" s="219"/>
      <c r="D284" s="219"/>
      <c r="E284" s="230"/>
      <c r="F284" s="231"/>
      <c r="G284" s="231"/>
      <c r="H284" s="231"/>
      <c r="I284" s="231"/>
      <c r="J284" s="231"/>
      <c r="K284" s="231"/>
      <c r="L284" s="231"/>
      <c r="M284" s="231"/>
      <c r="N284" s="231"/>
      <c r="O284" s="231"/>
      <c r="P284" s="231"/>
      <c r="Q284" s="231"/>
      <c r="R284" s="231"/>
      <c r="S284" s="231"/>
      <c r="T284" s="231"/>
      <c r="U284" s="231"/>
      <c r="V284" s="231"/>
      <c r="W284" s="231"/>
      <c r="X284" s="231"/>
      <c r="Y284" s="231"/>
      <c r="Z284" s="231"/>
      <c r="AA284" s="231"/>
      <c r="AB284" s="231"/>
      <c r="AC284" s="231"/>
      <c r="AD284" s="231"/>
      <c r="AE284" s="231"/>
      <c r="AF284" s="231"/>
      <c r="AG284" s="231"/>
      <c r="AH284" s="231"/>
      <c r="AI284" s="231"/>
      <c r="AJ284" s="231"/>
      <c r="AK284" s="231"/>
      <c r="AL284" s="231"/>
      <c r="AM284" s="232"/>
      <c r="AN284" s="152"/>
      <c r="AO284" s="152"/>
      <c r="AP284" s="219"/>
      <c r="AQ284" s="219"/>
      <c r="AR284" s="230"/>
      <c r="AS284" s="231"/>
      <c r="AT284" s="231"/>
      <c r="AU284" s="231"/>
      <c r="AV284" s="231"/>
      <c r="AW284" s="231"/>
      <c r="AX284" s="231"/>
      <c r="AY284" s="231"/>
      <c r="AZ284" s="231"/>
      <c r="BA284" s="231"/>
      <c r="BB284" s="231"/>
      <c r="BC284" s="231"/>
      <c r="BD284" s="231"/>
      <c r="BE284" s="231"/>
      <c r="BF284" s="231"/>
      <c r="BG284" s="231"/>
      <c r="BH284" s="231"/>
      <c r="BI284" s="231"/>
      <c r="BJ284" s="231"/>
      <c r="BK284" s="231"/>
      <c r="BL284" s="231"/>
      <c r="BM284" s="231"/>
      <c r="BN284" s="231"/>
      <c r="BO284" s="231"/>
      <c r="BP284" s="231"/>
      <c r="BQ284" s="231"/>
      <c r="BR284" s="231"/>
      <c r="BS284" s="231"/>
      <c r="BT284" s="231"/>
      <c r="BU284" s="231"/>
      <c r="BV284" s="231"/>
      <c r="BW284" s="231"/>
      <c r="BX284" s="231"/>
      <c r="BY284" s="231"/>
      <c r="BZ284" s="232"/>
      <c r="CA284" s="152"/>
      <c r="CB284" s="152"/>
      <c r="CC284" s="152"/>
      <c r="CD284" s="152"/>
    </row>
    <row r="285" ht="15.0" customHeight="1">
      <c r="A285" s="152"/>
      <c r="B285" s="152"/>
      <c r="C285" s="219">
        <f>C283</f>
        <v>23</v>
      </c>
      <c r="D285" s="233" t="s">
        <v>139</v>
      </c>
      <c r="E285" s="234" t="s">
        <v>319</v>
      </c>
      <c r="I285" s="227" t="str">
        <f t="array" ref="I285">xlookup(xlookup(C285&amp;D285&amp;"Nationality",'Roster Info'!$A:$A&amp;'Roster Info'!$G:$G&amp;'Roster Info'!$D:$D,'Roster Info'!$E:$E,""),'Roster Info'!$K:$K,'Roster Info'!$L:$L,"")</f>
        <v/>
      </c>
      <c r="K285" s="228" t="str">
        <f t="array" ref="K285">xlookup(C285&amp;D285,'Roster Info'!$A:$A&amp;'Roster Info'!$G:$G,'Roster Info'!$F:$F,"")</f>
        <v/>
      </c>
      <c r="U285" s="229" t="str">
        <f t="array" ref="U285">xlookup(C285&amp;D285&amp;"Full Name",'Roster Info'!$A:$A&amp;'Roster Info'!$G:$G&amp;'Roster Info'!$D:$D,'Roster Info'!$E:$E,"")</f>
        <v/>
      </c>
      <c r="AE285" s="63" t="str">
        <f t="array" ref="AE285">if(xlookup(C285&amp;D285&amp;"Steam",'Roster Info'!$A:$A&amp;'Roster Info'!$G:$G&amp;'Roster Info'!$D:$D,'Roster Info'!$E:$E,"")="","-",hyperlink(xlookup(C285&amp;D285&amp;"Steam",'Roster Info'!$A:$A&amp;'Roster Info'!$G:$G&amp;'Roster Info'!$D:$D,'Roster Info'!$E:$E,""),"Steam"))</f>
        <v>-</v>
      </c>
      <c r="AH285" s="63" t="str">
        <f t="array" ref="AH285">if(xlookup(C285&amp;D285&amp;"HLTV",'Roster Info'!$A:$A&amp;'Roster Info'!$G:$G&amp;'Roster Info'!$D:$D,'Roster Info'!$E:$E,"")="","-",hyperlink(xlookup(C285&amp;D285&amp;"HLTV",'Roster Info'!$A:$A&amp;'Roster Info'!$G:$G&amp;'Roster Info'!$D:$D,'Roster Info'!$E:$E,""),"HLTV"))</f>
        <v>-</v>
      </c>
      <c r="AK285" s="63" t="str">
        <f t="array" ref="AK285">if(xlookup(C285&amp;D285&amp;"FaceIt",'Roster Info'!$A:$A&amp;'Roster Info'!$G:$G&amp;'Roster Info'!$D:$D,'Roster Info'!$E:$E,"")="","-",hyperlink(xlookup(C285&amp;D285&amp;"FaceIt",'Roster Info'!$A:$A&amp;'Roster Info'!$G:$G&amp;'Roster Info'!$D:$D,'Roster Info'!$E:$E,""),"FaceIt"))</f>
        <v>-</v>
      </c>
      <c r="AM285" s="61"/>
      <c r="AN285" s="152"/>
      <c r="AO285" s="152"/>
      <c r="AP285" s="219">
        <f>AP283</f>
        <v>24</v>
      </c>
      <c r="AQ285" s="233" t="s">
        <v>139</v>
      </c>
      <c r="AR285" s="234" t="s">
        <v>319</v>
      </c>
      <c r="AV285" s="227" t="str">
        <f t="array" ref="AV285">xlookup(xlookup(AP285&amp;AQ285&amp;"Nationality",'Roster Info'!$A:$A&amp;'Roster Info'!$G:$G&amp;'Roster Info'!$D:$D,'Roster Info'!$E:$E,""),'Roster Info'!$K:$K,'Roster Info'!$L:$L,"")</f>
        <v/>
      </c>
      <c r="AX285" s="228" t="str">
        <f t="array" ref="AX285">xlookup(AP285&amp;AQ285,'Roster Info'!$A:$A&amp;'Roster Info'!$G:$G,'Roster Info'!$F:$F,"")</f>
        <v/>
      </c>
      <c r="BH285" s="229" t="str">
        <f t="array" ref="BH285">xlookup(AP285&amp;AQ285&amp;"Full Name",'Roster Info'!$A:$A&amp;'Roster Info'!$G:$G&amp;'Roster Info'!$D:$D,'Roster Info'!$E:$E,"")</f>
        <v/>
      </c>
      <c r="BR285" s="63" t="str">
        <f t="array" ref="BR285">if(xlookup(AP285&amp;AQ285&amp;"Steam",'Roster Info'!$A:$A&amp;'Roster Info'!$G:$G&amp;'Roster Info'!$D:$D,'Roster Info'!$E:$E,"")="","-",hyperlink(xlookup(AP285&amp;AQ285&amp;"Steam",'Roster Info'!$A:$A&amp;'Roster Info'!$G:$G&amp;'Roster Info'!$D:$D,'Roster Info'!$E:$E,""),"Steam"))</f>
        <v>-</v>
      </c>
      <c r="BU285" s="63" t="str">
        <f t="array" ref="BU285">if(xlookup(AP285&amp;AQ285&amp;"HLTV",'Roster Info'!$A:$A&amp;'Roster Info'!$G:$G&amp;'Roster Info'!$D:$D,'Roster Info'!$E:$E,"")="","-",hyperlink(xlookup(AP285&amp;AQ285&amp;"HLTV",'Roster Info'!$A:$A&amp;'Roster Info'!$G:$G&amp;'Roster Info'!$D:$D,'Roster Info'!$E:$E,""),"HLTV"))</f>
        <v>-</v>
      </c>
      <c r="BX285" s="63" t="str">
        <f t="array" ref="BX285">if(xlookup(AP285&amp;AQ285&amp;"FaceIt",'Roster Info'!$A:$A&amp;'Roster Info'!$G:$G&amp;'Roster Info'!$D:$D,'Roster Info'!$E:$E,"")="","-",hyperlink(xlookup(AP285&amp;AQ285&amp;"FaceIt",'Roster Info'!$A:$A&amp;'Roster Info'!$G:$G&amp;'Roster Info'!$D:$D,'Roster Info'!$E:$E,""),"FaceIt"))</f>
        <v>-</v>
      </c>
      <c r="BZ285" s="61"/>
      <c r="CA285" s="152"/>
      <c r="CB285" s="152"/>
      <c r="CC285" s="152"/>
      <c r="CD285" s="152"/>
    </row>
    <row r="286" ht="15.0" customHeight="1">
      <c r="A286" s="152"/>
      <c r="B286" s="152"/>
      <c r="C286" s="219"/>
      <c r="D286" s="219"/>
      <c r="E286" s="230"/>
      <c r="F286" s="231"/>
      <c r="G286" s="231"/>
      <c r="H286" s="231"/>
      <c r="I286" s="231"/>
      <c r="J286" s="231"/>
      <c r="K286" s="231"/>
      <c r="L286" s="231"/>
      <c r="M286" s="231"/>
      <c r="N286" s="231"/>
      <c r="O286" s="231"/>
      <c r="P286" s="231"/>
      <c r="Q286" s="231"/>
      <c r="R286" s="231"/>
      <c r="S286" s="231"/>
      <c r="T286" s="231"/>
      <c r="U286" s="231"/>
      <c r="V286" s="231"/>
      <c r="W286" s="231"/>
      <c r="X286" s="231"/>
      <c r="Y286" s="231"/>
      <c r="Z286" s="231"/>
      <c r="AA286" s="231"/>
      <c r="AB286" s="231"/>
      <c r="AC286" s="231"/>
      <c r="AD286" s="231"/>
      <c r="AE286" s="231"/>
      <c r="AF286" s="231"/>
      <c r="AG286" s="231"/>
      <c r="AH286" s="231"/>
      <c r="AI286" s="231"/>
      <c r="AJ286" s="231"/>
      <c r="AK286" s="231"/>
      <c r="AL286" s="231"/>
      <c r="AM286" s="232"/>
      <c r="AN286" s="152"/>
      <c r="AO286" s="152"/>
      <c r="AP286" s="219"/>
      <c r="AQ286" s="219"/>
      <c r="AR286" s="230"/>
      <c r="AS286" s="231"/>
      <c r="AT286" s="231"/>
      <c r="AU286" s="231"/>
      <c r="AV286" s="231"/>
      <c r="AW286" s="231"/>
      <c r="AX286" s="231"/>
      <c r="AY286" s="231"/>
      <c r="AZ286" s="231"/>
      <c r="BA286" s="231"/>
      <c r="BB286" s="231"/>
      <c r="BC286" s="231"/>
      <c r="BD286" s="231"/>
      <c r="BE286" s="231"/>
      <c r="BF286" s="231"/>
      <c r="BG286" s="231"/>
      <c r="BH286" s="231"/>
      <c r="BI286" s="231"/>
      <c r="BJ286" s="231"/>
      <c r="BK286" s="231"/>
      <c r="BL286" s="231"/>
      <c r="BM286" s="231"/>
      <c r="BN286" s="231"/>
      <c r="BO286" s="231"/>
      <c r="BP286" s="231"/>
      <c r="BQ286" s="231"/>
      <c r="BR286" s="231"/>
      <c r="BS286" s="231"/>
      <c r="BT286" s="231"/>
      <c r="BU286" s="231"/>
      <c r="BV286" s="231"/>
      <c r="BW286" s="231"/>
      <c r="BX286" s="231"/>
      <c r="BY286" s="231"/>
      <c r="BZ286" s="232"/>
      <c r="CA286" s="152"/>
      <c r="CB286" s="152"/>
      <c r="CC286" s="152"/>
      <c r="CD286" s="152"/>
    </row>
    <row r="287" ht="15.0" customHeight="1">
      <c r="A287" s="152"/>
      <c r="B287" s="152"/>
      <c r="C287" s="219">
        <f>C285</f>
        <v>23</v>
      </c>
      <c r="D287" s="225" t="s">
        <v>145</v>
      </c>
      <c r="E287" s="226" t="s">
        <v>145</v>
      </c>
      <c r="I287" s="227" t="str">
        <f t="array" ref="I287">xlookup(xlookup(C287&amp;D287&amp;"Nationality",'Roster Info'!$A:$A&amp;'Roster Info'!$G:$G&amp;'Roster Info'!$D:$D,'Roster Info'!$E:$E,""),'Roster Info'!$K:$K,'Roster Info'!$L:$L,"")</f>
        <v/>
      </c>
      <c r="K287" s="228" t="str">
        <f t="array" ref="K287">xlookup(C287&amp;D287,'Roster Info'!$A:$A&amp;'Roster Info'!$G:$G,'Roster Info'!$F:$F,"")</f>
        <v/>
      </c>
      <c r="U287" s="229" t="str">
        <f t="array" ref="U287">xlookup(C287&amp;D287&amp;"Full Name",'Roster Info'!$A:$A&amp;'Roster Info'!$G:$G&amp;'Roster Info'!$D:$D,'Roster Info'!$E:$E,"")</f>
        <v/>
      </c>
      <c r="AE287" s="63" t="str">
        <f t="array" ref="AE287">if(xlookup(C287&amp;D287&amp;"Steam",'Roster Info'!$A:$A&amp;'Roster Info'!$G:$G&amp;'Roster Info'!$D:$D,'Roster Info'!$E:$E,"")="","-",hyperlink(xlookup(C287&amp;D287&amp;"Steam",'Roster Info'!$A:$A&amp;'Roster Info'!$G:$G&amp;'Roster Info'!$D:$D,'Roster Info'!$E:$E,""),"Steam"))</f>
        <v>-</v>
      </c>
      <c r="AH287" s="63" t="str">
        <f t="array" ref="AH287">if(xlookup(C287&amp;D287&amp;"HLTV",'Roster Info'!$A:$A&amp;'Roster Info'!$G:$G&amp;'Roster Info'!$D:$D,'Roster Info'!$E:$E,"")="","-",hyperlink(xlookup(C287&amp;D287&amp;"HLTV",'Roster Info'!$A:$A&amp;'Roster Info'!$G:$G&amp;'Roster Info'!$D:$D,'Roster Info'!$E:$E,""),"HLTV"))</f>
        <v>-</v>
      </c>
      <c r="AK287" s="63" t="str">
        <f t="array" ref="AK287">if(xlookup(C287&amp;D287&amp;"FaceIt",'Roster Info'!$A:$A&amp;'Roster Info'!$G:$G&amp;'Roster Info'!$D:$D,'Roster Info'!$E:$E,"")="","-",hyperlink(xlookup(C287&amp;D287&amp;"FaceIt",'Roster Info'!$A:$A&amp;'Roster Info'!$G:$G&amp;'Roster Info'!$D:$D,'Roster Info'!$E:$E,""),"FaceIt"))</f>
        <v>-</v>
      </c>
      <c r="AM287" s="61"/>
      <c r="AN287" s="152"/>
      <c r="AO287" s="152"/>
      <c r="AP287" s="219">
        <f>AP285</f>
        <v>24</v>
      </c>
      <c r="AQ287" s="225" t="s">
        <v>145</v>
      </c>
      <c r="AR287" s="226" t="s">
        <v>145</v>
      </c>
      <c r="AV287" s="227" t="str">
        <f t="array" ref="AV287">xlookup(xlookup(AP287&amp;AQ287&amp;"Nationality",'Roster Info'!$A:$A&amp;'Roster Info'!$G:$G&amp;'Roster Info'!$D:$D,'Roster Info'!$E:$E,""),'Roster Info'!$K:$K,'Roster Info'!$L:$L,"")</f>
        <v/>
      </c>
      <c r="AX287" s="228" t="str">
        <f t="array" ref="AX287">xlookup(AP287&amp;AQ287,'Roster Info'!$A:$A&amp;'Roster Info'!$G:$G,'Roster Info'!$F:$F,"")</f>
        <v/>
      </c>
      <c r="BH287" s="229" t="str">
        <f t="array" ref="BH287">xlookup(AP287&amp;AQ287&amp;"Full Name",'Roster Info'!$A:$A&amp;'Roster Info'!$G:$G&amp;'Roster Info'!$D:$D,'Roster Info'!$E:$E,"")</f>
        <v/>
      </c>
      <c r="BR287" s="63" t="str">
        <f t="array" ref="BR287">if(xlookup(AP287&amp;AQ287&amp;"Steam",'Roster Info'!$A:$A&amp;'Roster Info'!$G:$G&amp;'Roster Info'!$D:$D,'Roster Info'!$E:$E,"")="","-",hyperlink(xlookup(AP287&amp;AQ287&amp;"Steam",'Roster Info'!$A:$A&amp;'Roster Info'!$G:$G&amp;'Roster Info'!$D:$D,'Roster Info'!$E:$E,""),"Steam"))</f>
        <v>-</v>
      </c>
      <c r="BU287" s="63" t="str">
        <f t="array" ref="BU287">if(xlookup(AP287&amp;AQ287&amp;"HLTV",'Roster Info'!$A:$A&amp;'Roster Info'!$G:$G&amp;'Roster Info'!$D:$D,'Roster Info'!$E:$E,"")="","-",hyperlink(xlookup(AP287&amp;AQ287&amp;"HLTV",'Roster Info'!$A:$A&amp;'Roster Info'!$G:$G&amp;'Roster Info'!$D:$D,'Roster Info'!$E:$E,""),"HLTV"))</f>
        <v>-</v>
      </c>
      <c r="BX287" s="63" t="str">
        <f t="array" ref="BX287">if(xlookup(AP287&amp;AQ287&amp;"FaceIt",'Roster Info'!$A:$A&amp;'Roster Info'!$G:$G&amp;'Roster Info'!$D:$D,'Roster Info'!$E:$E,"")="","-",hyperlink(xlookup(AP287&amp;AQ287&amp;"FaceIt",'Roster Info'!$A:$A&amp;'Roster Info'!$G:$G&amp;'Roster Info'!$D:$D,'Roster Info'!$E:$E,""),"FaceIt"))</f>
        <v>-</v>
      </c>
      <c r="BZ287" s="61"/>
      <c r="CA287" s="152"/>
      <c r="CB287" s="152"/>
      <c r="CC287" s="152"/>
      <c r="CD287" s="152"/>
    </row>
    <row r="288" ht="15.0" customHeight="1">
      <c r="A288" s="152"/>
      <c r="B288" s="152"/>
      <c r="C288" s="219"/>
      <c r="D288" s="219"/>
      <c r="E288" s="101"/>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02"/>
      <c r="AJ288" s="102"/>
      <c r="AK288" s="102"/>
      <c r="AL288" s="102"/>
      <c r="AM288" s="164"/>
      <c r="AN288" s="152"/>
      <c r="AO288" s="152"/>
      <c r="AP288" s="219"/>
      <c r="AQ288" s="219"/>
      <c r="AR288" s="101"/>
      <c r="AS288" s="102"/>
      <c r="AT288" s="102"/>
      <c r="AU288" s="102"/>
      <c r="AV288" s="102"/>
      <c r="AW288" s="102"/>
      <c r="AX288" s="102"/>
      <c r="AY288" s="102"/>
      <c r="AZ288" s="102"/>
      <c r="BA288" s="102"/>
      <c r="BB288" s="102"/>
      <c r="BC288" s="102"/>
      <c r="BD288" s="102"/>
      <c r="BE288" s="102"/>
      <c r="BF288" s="102"/>
      <c r="BG288" s="102"/>
      <c r="BH288" s="102"/>
      <c r="BI288" s="102"/>
      <c r="BJ288" s="102"/>
      <c r="BK288" s="102"/>
      <c r="BL288" s="102"/>
      <c r="BM288" s="102"/>
      <c r="BN288" s="102"/>
      <c r="BO288" s="102"/>
      <c r="BP288" s="102"/>
      <c r="BQ288" s="102"/>
      <c r="BR288" s="102"/>
      <c r="BS288" s="102"/>
      <c r="BT288" s="102"/>
      <c r="BU288" s="102"/>
      <c r="BV288" s="102"/>
      <c r="BW288" s="102"/>
      <c r="BX288" s="102"/>
      <c r="BY288" s="102"/>
      <c r="BZ288" s="164"/>
      <c r="CA288" s="152"/>
      <c r="CB288" s="152"/>
      <c r="CC288" s="152"/>
      <c r="CD288" s="152"/>
    </row>
    <row r="289" ht="15.0" customHeight="1">
      <c r="A289" s="152"/>
      <c r="B289" s="152"/>
      <c r="C289" s="219"/>
      <c r="D289" s="219"/>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c r="AA289" s="152"/>
      <c r="AB289" s="152"/>
      <c r="AC289" s="152"/>
      <c r="AD289" s="152"/>
      <c r="AE289" s="152"/>
      <c r="AF289" s="152"/>
      <c r="AG289" s="152"/>
      <c r="AH289" s="152"/>
      <c r="AI289" s="152"/>
      <c r="AJ289" s="152"/>
      <c r="AK289" s="152"/>
      <c r="AL289" s="152"/>
      <c r="AM289" s="152"/>
      <c r="AN289" s="152"/>
      <c r="AO289" s="152"/>
      <c r="AP289" s="219"/>
      <c r="AQ289" s="219"/>
      <c r="AR289" s="152"/>
      <c r="AS289" s="152"/>
      <c r="AT289" s="152"/>
      <c r="AU289" s="152"/>
      <c r="AV289" s="152"/>
      <c r="AW289" s="152"/>
      <c r="AX289" s="152"/>
      <c r="AY289" s="152"/>
      <c r="AZ289" s="152"/>
      <c r="BA289" s="152"/>
      <c r="BB289" s="152"/>
      <c r="BC289" s="152"/>
      <c r="BD289" s="152"/>
      <c r="BE289" s="152"/>
      <c r="BF289" s="152"/>
      <c r="BG289" s="152"/>
      <c r="BH289" s="152"/>
      <c r="BI289" s="152"/>
      <c r="BJ289" s="152"/>
      <c r="BK289" s="152"/>
      <c r="BL289" s="152"/>
      <c r="BM289" s="152"/>
      <c r="BN289" s="152"/>
      <c r="BO289" s="152"/>
      <c r="BP289" s="152"/>
      <c r="BQ289" s="152"/>
      <c r="BR289" s="152"/>
      <c r="BS289" s="152"/>
      <c r="BT289" s="152"/>
      <c r="BU289" s="152"/>
      <c r="BV289" s="152"/>
      <c r="BW289" s="152"/>
      <c r="BX289" s="152"/>
      <c r="BY289" s="152"/>
      <c r="BZ289" s="152"/>
      <c r="CA289" s="152"/>
      <c r="CB289" s="152"/>
      <c r="CC289" s="152"/>
      <c r="CD289" s="152"/>
    </row>
    <row r="290" ht="15.0" customHeight="1">
      <c r="A290" s="152"/>
      <c r="B290" s="152"/>
      <c r="C290" s="219"/>
      <c r="D290" s="219"/>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c r="AA290" s="152"/>
      <c r="AB290" s="152"/>
      <c r="AC290" s="152"/>
      <c r="AD290" s="152"/>
      <c r="AE290" s="152"/>
      <c r="AF290" s="152"/>
      <c r="AG290" s="152"/>
      <c r="AH290" s="152"/>
      <c r="AI290" s="152"/>
      <c r="AJ290" s="152"/>
      <c r="AK290" s="152"/>
      <c r="AL290" s="152"/>
      <c r="AM290" s="152"/>
      <c r="AN290" s="152"/>
      <c r="AO290" s="152"/>
      <c r="AP290" s="219"/>
      <c r="AQ290" s="219"/>
      <c r="AR290" s="152"/>
      <c r="AS290" s="152"/>
      <c r="AT290" s="152"/>
      <c r="AU290" s="152"/>
      <c r="AV290" s="152"/>
      <c r="AW290" s="152"/>
      <c r="AX290" s="152"/>
      <c r="AY290" s="152"/>
      <c r="AZ290" s="152"/>
      <c r="BA290" s="152"/>
      <c r="BB290" s="152"/>
      <c r="BC290" s="152"/>
      <c r="BD290" s="152"/>
      <c r="BE290" s="152"/>
      <c r="BF290" s="152"/>
      <c r="BG290" s="152"/>
      <c r="BH290" s="152"/>
      <c r="BI290" s="152"/>
      <c r="BJ290" s="152"/>
      <c r="BK290" s="152"/>
      <c r="BL290" s="152"/>
      <c r="BM290" s="152"/>
      <c r="BN290" s="152"/>
      <c r="BO290" s="152"/>
      <c r="BP290" s="152"/>
      <c r="BQ290" s="152"/>
      <c r="BR290" s="152"/>
      <c r="BS290" s="152"/>
      <c r="BT290" s="152"/>
      <c r="BU290" s="152"/>
      <c r="BV290" s="152"/>
      <c r="BW290" s="152"/>
      <c r="BX290" s="152"/>
      <c r="BY290" s="152"/>
      <c r="BZ290" s="152"/>
      <c r="CA290" s="152"/>
      <c r="CB290" s="152"/>
      <c r="CC290" s="152"/>
      <c r="CD290" s="152"/>
    </row>
    <row r="291" ht="15.0" customHeight="1">
      <c r="A291" s="152"/>
      <c r="B291" s="152"/>
      <c r="C291" s="219"/>
      <c r="D291" s="219"/>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c r="AA291" s="152"/>
      <c r="AB291" s="152"/>
      <c r="AC291" s="152"/>
      <c r="AD291" s="152"/>
      <c r="AE291" s="152"/>
      <c r="AF291" s="152"/>
      <c r="AG291" s="152"/>
      <c r="AH291" s="152"/>
      <c r="AI291" s="152"/>
      <c r="AJ291" s="152"/>
      <c r="AK291" s="152"/>
      <c r="AL291" s="152"/>
      <c r="AM291" s="152"/>
      <c r="AN291" s="152"/>
      <c r="AO291" s="152"/>
      <c r="AP291" s="219"/>
      <c r="AQ291" s="219"/>
      <c r="AR291" s="152"/>
      <c r="AS291" s="152"/>
      <c r="AT291" s="152"/>
      <c r="AU291" s="152"/>
      <c r="AV291" s="152"/>
      <c r="AW291" s="152"/>
      <c r="AX291" s="152"/>
      <c r="AY291" s="152"/>
      <c r="AZ291" s="152"/>
      <c r="BA291" s="152"/>
      <c r="BB291" s="152"/>
      <c r="BC291" s="152"/>
      <c r="BD291" s="152"/>
      <c r="BE291" s="152"/>
      <c r="BF291" s="152"/>
      <c r="BG291" s="152"/>
      <c r="BH291" s="152"/>
      <c r="BI291" s="152"/>
      <c r="BJ291" s="152"/>
      <c r="BK291" s="152"/>
      <c r="BL291" s="152"/>
      <c r="BM291" s="152"/>
      <c r="BN291" s="152"/>
      <c r="BO291" s="152"/>
      <c r="BP291" s="152"/>
      <c r="BQ291" s="152"/>
      <c r="BR291" s="152"/>
      <c r="BS291" s="152"/>
      <c r="BT291" s="152"/>
      <c r="BU291" s="152"/>
      <c r="BV291" s="152"/>
      <c r="BW291" s="152"/>
      <c r="BX291" s="152"/>
      <c r="BY291" s="152"/>
      <c r="BZ291" s="152"/>
      <c r="CA291" s="152"/>
      <c r="CB291" s="152"/>
      <c r="CC291" s="152"/>
      <c r="CD291" s="152"/>
    </row>
    <row r="292" ht="15.0" customHeight="1">
      <c r="A292" s="152"/>
      <c r="B292" s="152"/>
      <c r="C292" s="219"/>
      <c r="D292" s="219"/>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c r="AA292" s="152"/>
      <c r="AB292" s="152"/>
      <c r="AC292" s="152"/>
      <c r="AD292" s="152"/>
      <c r="AE292" s="152"/>
      <c r="AF292" s="152"/>
      <c r="AG292" s="152"/>
      <c r="AH292" s="152"/>
      <c r="AI292" s="152"/>
      <c r="AJ292" s="152"/>
      <c r="AK292" s="152"/>
      <c r="AL292" s="152"/>
      <c r="AM292" s="152"/>
      <c r="AN292" s="152"/>
      <c r="AO292" s="152"/>
      <c r="AP292" s="219"/>
      <c r="AQ292" s="219"/>
      <c r="AR292" s="152"/>
      <c r="AS292" s="152"/>
      <c r="AT292" s="152"/>
      <c r="AU292" s="152"/>
      <c r="AV292" s="152"/>
      <c r="AW292" s="152"/>
      <c r="AX292" s="152"/>
      <c r="AY292" s="152"/>
      <c r="AZ292" s="152"/>
      <c r="BA292" s="152"/>
      <c r="BB292" s="152"/>
      <c r="BC292" s="152"/>
      <c r="BD292" s="152"/>
      <c r="BE292" s="152"/>
      <c r="BF292" s="152"/>
      <c r="BG292" s="152"/>
      <c r="BH292" s="152"/>
      <c r="BI292" s="152"/>
      <c r="BJ292" s="152"/>
      <c r="BK292" s="152"/>
      <c r="BL292" s="152"/>
      <c r="BM292" s="152"/>
      <c r="BN292" s="152"/>
      <c r="BO292" s="152"/>
      <c r="BP292" s="152"/>
      <c r="BQ292" s="152"/>
      <c r="BR292" s="152"/>
      <c r="BS292" s="152"/>
      <c r="BT292" s="152"/>
      <c r="BU292" s="152"/>
      <c r="BV292" s="152"/>
      <c r="BW292" s="152"/>
      <c r="BX292" s="152"/>
      <c r="BY292" s="152"/>
      <c r="BZ292" s="152"/>
      <c r="CA292" s="152"/>
      <c r="CB292" s="152"/>
      <c r="CC292" s="152"/>
      <c r="CD292" s="152"/>
    </row>
    <row r="293" ht="15.0" customHeight="1">
      <c r="A293" s="152"/>
      <c r="B293" s="152"/>
      <c r="C293" s="219"/>
      <c r="D293" s="219"/>
      <c r="E293" s="220" t="str">
        <f t="array" ref="E293">xlookup(M293,'Team Entry'!$A:$A,'Team Entry'!$B:$B,"")</f>
        <v/>
      </c>
      <c r="F293" s="58"/>
      <c r="G293" s="58"/>
      <c r="H293" s="58"/>
      <c r="I293" s="58"/>
      <c r="J293" s="58"/>
      <c r="K293" s="58"/>
      <c r="L293" s="58"/>
      <c r="M293" s="221" t="str">
        <f t="array" ref="M293">xlookup(C299,'Roster Info'!$A:$A,'Roster Info'!$B:$B,"")</f>
        <v>Team 13 (Group 1)</v>
      </c>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9"/>
      <c r="AN293" s="152"/>
      <c r="AO293" s="152"/>
      <c r="AP293" s="219"/>
      <c r="AQ293" s="219"/>
      <c r="AR293" s="220" t="str">
        <f t="array" ref="AR293">xlookup(AZ293,'Team Entry'!$A:$A,'Team Entry'!$B:$B,"")</f>
        <v/>
      </c>
      <c r="AS293" s="58"/>
      <c r="AT293" s="58"/>
      <c r="AU293" s="58"/>
      <c r="AV293" s="58"/>
      <c r="AW293" s="58"/>
      <c r="AX293" s="58"/>
      <c r="AY293" s="58"/>
      <c r="AZ293" s="221" t="str">
        <f t="array" ref="AZ293">xlookup(AP299,'Roster Info'!$A:$A,'Roster Info'!$B:$B,"")</f>
        <v>Team 14 (Group 1)</v>
      </c>
      <c r="BA293" s="58"/>
      <c r="BB293" s="58"/>
      <c r="BC293" s="58"/>
      <c r="BD293" s="58"/>
      <c r="BE293" s="58"/>
      <c r="BF293" s="58"/>
      <c r="BG293" s="58"/>
      <c r="BH293" s="58"/>
      <c r="BI293" s="58"/>
      <c r="BJ293" s="58"/>
      <c r="BK293" s="58"/>
      <c r="BL293" s="58"/>
      <c r="BM293" s="58"/>
      <c r="BN293" s="58"/>
      <c r="BO293" s="58"/>
      <c r="BP293" s="58"/>
      <c r="BQ293" s="58"/>
      <c r="BR293" s="58"/>
      <c r="BS293" s="58"/>
      <c r="BT293" s="58"/>
      <c r="BU293" s="58"/>
      <c r="BV293" s="58"/>
      <c r="BW293" s="58"/>
      <c r="BX293" s="58"/>
      <c r="BY293" s="58"/>
      <c r="BZ293" s="59"/>
      <c r="CA293" s="152"/>
      <c r="CB293" s="152"/>
      <c r="CC293" s="152"/>
      <c r="CD293" s="152"/>
    </row>
    <row r="294" ht="15.0" customHeight="1">
      <c r="A294" s="152"/>
      <c r="B294" s="152"/>
      <c r="C294" s="219"/>
      <c r="D294" s="219"/>
      <c r="E294" s="60"/>
      <c r="AM294" s="61"/>
      <c r="AN294" s="152"/>
      <c r="AO294" s="152"/>
      <c r="AP294" s="219"/>
      <c r="AQ294" s="219"/>
      <c r="AR294" s="60"/>
      <c r="BZ294" s="61"/>
      <c r="CA294" s="152"/>
      <c r="CB294" s="152"/>
      <c r="CC294" s="152"/>
      <c r="CD294" s="152"/>
    </row>
    <row r="295" ht="15.0" customHeight="1">
      <c r="A295" s="152"/>
      <c r="B295" s="152"/>
      <c r="C295" s="219"/>
      <c r="D295" s="219"/>
      <c r="E295" s="60"/>
      <c r="AM295" s="61"/>
      <c r="AN295" s="152"/>
      <c r="AO295" s="152"/>
      <c r="AP295" s="219"/>
      <c r="AQ295" s="219"/>
      <c r="AR295" s="60"/>
      <c r="BZ295" s="61"/>
      <c r="CA295" s="152"/>
      <c r="CB295" s="152"/>
      <c r="CC295" s="152"/>
      <c r="CD295" s="152"/>
    </row>
    <row r="296" ht="15.0" customHeight="1">
      <c r="A296" s="152"/>
      <c r="B296" s="152"/>
      <c r="C296" s="219"/>
      <c r="D296" s="219"/>
      <c r="E296" s="60"/>
      <c r="AM296" s="61"/>
      <c r="AN296" s="152"/>
      <c r="AO296" s="152"/>
      <c r="AP296" s="219"/>
      <c r="AQ296" s="219"/>
      <c r="AR296" s="60"/>
      <c r="BZ296" s="61"/>
      <c r="CA296" s="152"/>
      <c r="CB296" s="152"/>
      <c r="CC296" s="152"/>
      <c r="CD296" s="152"/>
    </row>
    <row r="297" ht="15.0" customHeight="1">
      <c r="A297" s="152"/>
      <c r="B297" s="152"/>
      <c r="C297" s="219"/>
      <c r="D297" s="219"/>
      <c r="E297" s="60"/>
      <c r="AM297" s="61"/>
      <c r="AN297" s="152"/>
      <c r="AO297" s="152"/>
      <c r="AP297" s="219"/>
      <c r="AQ297" s="219"/>
      <c r="AR297" s="60"/>
      <c r="BZ297" s="61"/>
      <c r="CA297" s="152"/>
      <c r="CB297" s="152"/>
      <c r="CC297" s="152"/>
      <c r="CD297" s="152"/>
    </row>
    <row r="298" ht="15.0" customHeight="1">
      <c r="A298" s="152"/>
      <c r="B298" s="152"/>
      <c r="C298" s="219"/>
      <c r="D298" s="219"/>
      <c r="E298" s="222"/>
      <c r="F298" s="223"/>
      <c r="G298" s="223"/>
      <c r="H298" s="223"/>
      <c r="I298" s="223"/>
      <c r="J298" s="223"/>
      <c r="K298" s="223"/>
      <c r="L298" s="223"/>
      <c r="M298" s="223"/>
      <c r="N298" s="223"/>
      <c r="O298" s="223"/>
      <c r="P298" s="223"/>
      <c r="Q298" s="223"/>
      <c r="R298" s="223"/>
      <c r="S298" s="223"/>
      <c r="T298" s="223"/>
      <c r="U298" s="223"/>
      <c r="V298" s="223"/>
      <c r="W298" s="223"/>
      <c r="X298" s="223"/>
      <c r="Y298" s="223"/>
      <c r="Z298" s="223"/>
      <c r="AA298" s="223"/>
      <c r="AB298" s="223"/>
      <c r="AC298" s="223"/>
      <c r="AD298" s="223"/>
      <c r="AE298" s="223"/>
      <c r="AF298" s="223"/>
      <c r="AG298" s="223"/>
      <c r="AH298" s="223"/>
      <c r="AI298" s="223"/>
      <c r="AJ298" s="223"/>
      <c r="AK298" s="223"/>
      <c r="AL298" s="223"/>
      <c r="AM298" s="224"/>
      <c r="AN298" s="152"/>
      <c r="AO298" s="152"/>
      <c r="AP298" s="219"/>
      <c r="AQ298" s="219"/>
      <c r="AR298" s="222"/>
      <c r="AS298" s="223"/>
      <c r="AT298" s="223"/>
      <c r="AU298" s="223"/>
      <c r="AV298" s="223"/>
      <c r="AW298" s="223"/>
      <c r="AX298" s="223"/>
      <c r="AY298" s="223"/>
      <c r="AZ298" s="223"/>
      <c r="BA298" s="223"/>
      <c r="BB298" s="223"/>
      <c r="BC298" s="223"/>
      <c r="BD298" s="223"/>
      <c r="BE298" s="223"/>
      <c r="BF298" s="223"/>
      <c r="BG298" s="223"/>
      <c r="BH298" s="223"/>
      <c r="BI298" s="223"/>
      <c r="BJ298" s="223"/>
      <c r="BK298" s="223"/>
      <c r="BL298" s="223"/>
      <c r="BM298" s="223"/>
      <c r="BN298" s="223"/>
      <c r="BO298" s="223"/>
      <c r="BP298" s="223"/>
      <c r="BQ298" s="223"/>
      <c r="BR298" s="223"/>
      <c r="BS298" s="223"/>
      <c r="BT298" s="223"/>
      <c r="BU298" s="223"/>
      <c r="BV298" s="223"/>
      <c r="BW298" s="223"/>
      <c r="BX298" s="223"/>
      <c r="BY298" s="223"/>
      <c r="BZ298" s="224"/>
      <c r="CA298" s="152"/>
      <c r="CB298" s="152"/>
      <c r="CC298" s="152"/>
      <c r="CD298" s="152"/>
    </row>
    <row r="299" ht="15.0" customHeight="1">
      <c r="A299" s="152"/>
      <c r="B299" s="152"/>
      <c r="C299" s="225">
        <f>AP275+1</f>
        <v>25</v>
      </c>
      <c r="D299" s="225" t="s">
        <v>109</v>
      </c>
      <c r="E299" s="226" t="s">
        <v>109</v>
      </c>
      <c r="I299" s="227" t="str">
        <f t="array" ref="I299">xlookup(xlookup(C299&amp;D299&amp;"Nationality",'Roster Info'!$A:$A&amp;'Roster Info'!$G:$G&amp;'Roster Info'!$D:$D,'Roster Info'!$E:$E,""),'Roster Info'!$K:$K,'Roster Info'!$L:$L,"")</f>
        <v/>
      </c>
      <c r="K299" s="228" t="str">
        <f t="array" ref="K299">xlookup(C299&amp;D299,'Roster Info'!$A:$A&amp;'Roster Info'!$G:$G,'Roster Info'!$F:$F,"")</f>
        <v/>
      </c>
      <c r="U299" s="229" t="str">
        <f t="array" ref="U299">xlookup(C299&amp;D299&amp;"Full Name",'Roster Info'!$A:$A&amp;'Roster Info'!$G:$G&amp;'Roster Info'!$D:$D,'Roster Info'!$E:$E,"")</f>
        <v/>
      </c>
      <c r="AE299" s="63" t="str">
        <f t="array" ref="AE299">if(xlookup(C299&amp;D299&amp;"Steam",'Roster Info'!$A:$A&amp;'Roster Info'!$G:$G&amp;'Roster Info'!$D:$D,'Roster Info'!$E:$E,"")="","-",hyperlink(xlookup(C299&amp;D299&amp;"Steam",'Roster Info'!$A:$A&amp;'Roster Info'!$G:$G&amp;'Roster Info'!$D:$D,'Roster Info'!$E:$E,""),"Steam"))</f>
        <v>-</v>
      </c>
      <c r="AH299" s="63" t="str">
        <f t="array" ref="AH299">if(xlookup(C299&amp;D299&amp;"HLTV",'Roster Info'!$A:$A&amp;'Roster Info'!$G:$G&amp;'Roster Info'!$D:$D,'Roster Info'!$E:$E,"")="","-",hyperlink(xlookup(C299&amp;D299&amp;"HLTV",'Roster Info'!$A:$A&amp;'Roster Info'!$G:$G&amp;'Roster Info'!$D:$D,'Roster Info'!$E:$E,""),"HLTV"))</f>
        <v>-</v>
      </c>
      <c r="AK299" s="63" t="str">
        <f t="array" ref="AK299">if(xlookup(C299&amp;D299&amp;"FaceIt",'Roster Info'!$A:$A&amp;'Roster Info'!$G:$G&amp;'Roster Info'!$D:$D,'Roster Info'!$E:$E,"")="","-",hyperlink(xlookup(C299&amp;D299&amp;"FaceIt",'Roster Info'!$A:$A&amp;'Roster Info'!$G:$G&amp;'Roster Info'!$D:$D,'Roster Info'!$E:$E,""),"FaceIt"))</f>
        <v>-</v>
      </c>
      <c r="AM299" s="61"/>
      <c r="AN299" s="152"/>
      <c r="AO299" s="152"/>
      <c r="AP299" s="225">
        <f>C299+1</f>
        <v>26</v>
      </c>
      <c r="AQ299" s="225" t="s">
        <v>109</v>
      </c>
      <c r="AR299" s="226" t="s">
        <v>109</v>
      </c>
      <c r="AV299" s="227" t="str">
        <f t="array" ref="AV299">xlookup(xlookup(AP299&amp;AQ299&amp;"Nationality",'Roster Info'!$A:$A&amp;'Roster Info'!$G:$G&amp;'Roster Info'!$D:$D,'Roster Info'!$E:$E,""),'Roster Info'!$K:$K,'Roster Info'!$L:$L,"")</f>
        <v/>
      </c>
      <c r="AX299" s="228" t="str">
        <f t="array" ref="AX299">xlookup(AP299&amp;AQ299,'Roster Info'!$A:$A&amp;'Roster Info'!$G:$G,'Roster Info'!$F:$F,"")</f>
        <v/>
      </c>
      <c r="BH299" s="229" t="str">
        <f t="array" ref="BH299">xlookup(AP299&amp;AQ299&amp;"Full Name",'Roster Info'!$A:$A&amp;'Roster Info'!$G:$G&amp;'Roster Info'!$D:$D,'Roster Info'!$E:$E,"")</f>
        <v/>
      </c>
      <c r="BR299" s="63" t="str">
        <f t="array" ref="BR299">if(xlookup(AP299&amp;AQ299&amp;"Steam",'Roster Info'!$A:$A&amp;'Roster Info'!$G:$G&amp;'Roster Info'!$D:$D,'Roster Info'!$E:$E,"")="","-",hyperlink(xlookup(AP299&amp;AQ299&amp;"Steam",'Roster Info'!$A:$A&amp;'Roster Info'!$G:$G&amp;'Roster Info'!$D:$D,'Roster Info'!$E:$E,""),"Steam"))</f>
        <v>-</v>
      </c>
      <c r="BU299" s="63" t="str">
        <f t="array" ref="BU299">if(xlookup(AP299&amp;AQ299&amp;"HLTV",'Roster Info'!$A:$A&amp;'Roster Info'!$G:$G&amp;'Roster Info'!$D:$D,'Roster Info'!$E:$E,"")="","-",hyperlink(xlookup(AP299&amp;AQ299&amp;"HLTV",'Roster Info'!$A:$A&amp;'Roster Info'!$G:$G&amp;'Roster Info'!$D:$D,'Roster Info'!$E:$E,""),"HLTV"))</f>
        <v>-</v>
      </c>
      <c r="BX299" s="63" t="str">
        <f t="array" ref="BX299">if(xlookup(AP299&amp;AQ299&amp;"FaceIt",'Roster Info'!$A:$A&amp;'Roster Info'!$G:$G&amp;'Roster Info'!$D:$D,'Roster Info'!$E:$E,"")="","-",hyperlink(xlookup(AP299&amp;AQ299&amp;"FaceIt",'Roster Info'!$A:$A&amp;'Roster Info'!$G:$G&amp;'Roster Info'!$D:$D,'Roster Info'!$E:$E,""),"FaceIt"))</f>
        <v>-</v>
      </c>
      <c r="BZ299" s="61"/>
      <c r="CA299" s="152"/>
      <c r="CB299" s="152"/>
      <c r="CC299" s="152"/>
      <c r="CD299" s="152"/>
    </row>
    <row r="300" ht="15.0" customHeight="1">
      <c r="A300" s="152"/>
      <c r="B300" s="152"/>
      <c r="C300" s="219"/>
      <c r="D300" s="219"/>
      <c r="E300" s="230"/>
      <c r="F300" s="231"/>
      <c r="G300" s="231"/>
      <c r="H300" s="231"/>
      <c r="I300" s="231"/>
      <c r="J300" s="231"/>
      <c r="K300" s="231"/>
      <c r="L300" s="231"/>
      <c r="M300" s="231"/>
      <c r="N300" s="231"/>
      <c r="O300" s="231"/>
      <c r="P300" s="231"/>
      <c r="Q300" s="231"/>
      <c r="R300" s="231"/>
      <c r="S300" s="231"/>
      <c r="T300" s="231"/>
      <c r="U300" s="231"/>
      <c r="V300" s="231"/>
      <c r="W300" s="231"/>
      <c r="X300" s="231"/>
      <c r="Y300" s="231"/>
      <c r="Z300" s="231"/>
      <c r="AA300" s="231"/>
      <c r="AB300" s="231"/>
      <c r="AC300" s="231"/>
      <c r="AD300" s="231"/>
      <c r="AE300" s="231"/>
      <c r="AF300" s="231"/>
      <c r="AG300" s="231"/>
      <c r="AH300" s="231"/>
      <c r="AI300" s="231"/>
      <c r="AJ300" s="231"/>
      <c r="AK300" s="231"/>
      <c r="AL300" s="231"/>
      <c r="AM300" s="232"/>
      <c r="AN300" s="152"/>
      <c r="AO300" s="152"/>
      <c r="AP300" s="219"/>
      <c r="AQ300" s="219"/>
      <c r="AR300" s="230"/>
      <c r="AS300" s="231"/>
      <c r="AT300" s="231"/>
      <c r="AU300" s="231"/>
      <c r="AV300" s="231"/>
      <c r="AW300" s="231"/>
      <c r="AX300" s="231"/>
      <c r="AY300" s="231"/>
      <c r="AZ300" s="231"/>
      <c r="BA300" s="231"/>
      <c r="BB300" s="231"/>
      <c r="BC300" s="231"/>
      <c r="BD300" s="231"/>
      <c r="BE300" s="231"/>
      <c r="BF300" s="231"/>
      <c r="BG300" s="231"/>
      <c r="BH300" s="231"/>
      <c r="BI300" s="231"/>
      <c r="BJ300" s="231"/>
      <c r="BK300" s="231"/>
      <c r="BL300" s="231"/>
      <c r="BM300" s="231"/>
      <c r="BN300" s="231"/>
      <c r="BO300" s="231"/>
      <c r="BP300" s="231"/>
      <c r="BQ300" s="231"/>
      <c r="BR300" s="231"/>
      <c r="BS300" s="231"/>
      <c r="BT300" s="231"/>
      <c r="BU300" s="231"/>
      <c r="BV300" s="231"/>
      <c r="BW300" s="231"/>
      <c r="BX300" s="231"/>
      <c r="BY300" s="231"/>
      <c r="BZ300" s="232"/>
      <c r="CA300" s="152"/>
      <c r="CB300" s="152"/>
      <c r="CC300" s="152"/>
      <c r="CD300" s="152"/>
    </row>
    <row r="301" ht="15.0" customHeight="1">
      <c r="A301" s="152"/>
      <c r="B301" s="152"/>
      <c r="C301" s="219">
        <f>C299</f>
        <v>25</v>
      </c>
      <c r="D301" s="225" t="s">
        <v>115</v>
      </c>
      <c r="E301" s="226" t="s">
        <v>115</v>
      </c>
      <c r="I301" s="227" t="str">
        <f t="array" ref="I301">xlookup(xlookup(C301&amp;D301&amp;"Nationality",'Roster Info'!$A:$A&amp;'Roster Info'!$G:$G&amp;'Roster Info'!$D:$D,'Roster Info'!$E:$E,""),'Roster Info'!$K:$K,'Roster Info'!$L:$L,"")</f>
        <v/>
      </c>
      <c r="K301" s="228" t="str">
        <f t="array" ref="K301">xlookup(C301&amp;D301,'Roster Info'!$A:$A&amp;'Roster Info'!$G:$G,'Roster Info'!$F:$F,"")</f>
        <v/>
      </c>
      <c r="U301" s="229" t="str">
        <f t="array" ref="U301">xlookup(C301&amp;D301&amp;"Full Name",'Roster Info'!$A:$A&amp;'Roster Info'!$G:$G&amp;'Roster Info'!$D:$D,'Roster Info'!$E:$E,"")</f>
        <v/>
      </c>
      <c r="AE301" s="63" t="str">
        <f t="array" ref="AE301">if(xlookup(C301&amp;D301&amp;"Steam",'Roster Info'!$A:$A&amp;'Roster Info'!$G:$G&amp;'Roster Info'!$D:$D,'Roster Info'!$E:$E,"")="","-",hyperlink(xlookup(C301&amp;D301&amp;"Steam",'Roster Info'!$A:$A&amp;'Roster Info'!$G:$G&amp;'Roster Info'!$D:$D,'Roster Info'!$E:$E,""),"Steam"))</f>
        <v>-</v>
      </c>
      <c r="AH301" s="63" t="str">
        <f t="array" ref="AH301">if(xlookup(C301&amp;D301&amp;"HLTV",'Roster Info'!$A:$A&amp;'Roster Info'!$G:$G&amp;'Roster Info'!$D:$D,'Roster Info'!$E:$E,"")="","-",hyperlink(xlookup(C301&amp;D301&amp;"HLTV",'Roster Info'!$A:$A&amp;'Roster Info'!$G:$G&amp;'Roster Info'!$D:$D,'Roster Info'!$E:$E,""),"HLTV"))</f>
        <v>-</v>
      </c>
      <c r="AK301" s="63" t="str">
        <f t="array" ref="AK301">if(xlookup(C301&amp;D301&amp;"FaceIt",'Roster Info'!$A:$A&amp;'Roster Info'!$G:$G&amp;'Roster Info'!$D:$D,'Roster Info'!$E:$E,"")="","-",hyperlink(xlookup(C301&amp;D301&amp;"FaceIt",'Roster Info'!$A:$A&amp;'Roster Info'!$G:$G&amp;'Roster Info'!$D:$D,'Roster Info'!$E:$E,""),"FaceIt"))</f>
        <v>-</v>
      </c>
      <c r="AM301" s="61"/>
      <c r="AN301" s="152"/>
      <c r="AO301" s="152"/>
      <c r="AP301" s="219">
        <f>AP299</f>
        <v>26</v>
      </c>
      <c r="AQ301" s="225" t="s">
        <v>115</v>
      </c>
      <c r="AR301" s="226" t="s">
        <v>115</v>
      </c>
      <c r="AV301" s="227" t="str">
        <f t="array" ref="AV301">xlookup(xlookup(AP301&amp;AQ301&amp;"Nationality",'Roster Info'!$A:$A&amp;'Roster Info'!$G:$G&amp;'Roster Info'!$D:$D,'Roster Info'!$E:$E,""),'Roster Info'!$K:$K,'Roster Info'!$L:$L,"")</f>
        <v/>
      </c>
      <c r="AX301" s="228" t="str">
        <f t="array" ref="AX301">xlookup(AP301&amp;AQ301,'Roster Info'!$A:$A&amp;'Roster Info'!$G:$G,'Roster Info'!$F:$F,"")</f>
        <v/>
      </c>
      <c r="BH301" s="229" t="str">
        <f t="array" ref="BH301">xlookup(AP301&amp;AQ301&amp;"Full Name",'Roster Info'!$A:$A&amp;'Roster Info'!$G:$G&amp;'Roster Info'!$D:$D,'Roster Info'!$E:$E,"")</f>
        <v/>
      </c>
      <c r="BR301" s="63" t="str">
        <f t="array" ref="BR301">if(xlookup(AP301&amp;AQ301&amp;"Steam",'Roster Info'!$A:$A&amp;'Roster Info'!$G:$G&amp;'Roster Info'!$D:$D,'Roster Info'!$E:$E,"")="","-",hyperlink(xlookup(AP301&amp;AQ301&amp;"Steam",'Roster Info'!$A:$A&amp;'Roster Info'!$G:$G&amp;'Roster Info'!$D:$D,'Roster Info'!$E:$E,""),"Steam"))</f>
        <v>-</v>
      </c>
      <c r="BU301" s="63" t="str">
        <f t="array" ref="BU301">if(xlookup(AP301&amp;AQ301&amp;"HLTV",'Roster Info'!$A:$A&amp;'Roster Info'!$G:$G&amp;'Roster Info'!$D:$D,'Roster Info'!$E:$E,"")="","-",hyperlink(xlookup(AP301&amp;AQ301&amp;"HLTV",'Roster Info'!$A:$A&amp;'Roster Info'!$G:$G&amp;'Roster Info'!$D:$D,'Roster Info'!$E:$E,""),"HLTV"))</f>
        <v>-</v>
      </c>
      <c r="BX301" s="63" t="str">
        <f t="array" ref="BX301">if(xlookup(AP301&amp;AQ301&amp;"FaceIt",'Roster Info'!$A:$A&amp;'Roster Info'!$G:$G&amp;'Roster Info'!$D:$D,'Roster Info'!$E:$E,"")="","-",hyperlink(xlookup(AP301&amp;AQ301&amp;"FaceIt",'Roster Info'!$A:$A&amp;'Roster Info'!$G:$G&amp;'Roster Info'!$D:$D,'Roster Info'!$E:$E,""),"FaceIt"))</f>
        <v>-</v>
      </c>
      <c r="BZ301" s="61"/>
      <c r="CA301" s="152"/>
      <c r="CB301" s="152"/>
      <c r="CC301" s="152"/>
      <c r="CD301" s="152"/>
    </row>
    <row r="302" ht="15.0" customHeight="1">
      <c r="A302" s="152"/>
      <c r="B302" s="152"/>
      <c r="C302" s="219"/>
      <c r="D302" s="219"/>
      <c r="E302" s="230"/>
      <c r="F302" s="231"/>
      <c r="G302" s="231"/>
      <c r="H302" s="231"/>
      <c r="I302" s="231"/>
      <c r="J302" s="231"/>
      <c r="K302" s="231"/>
      <c r="L302" s="231"/>
      <c r="M302" s="231"/>
      <c r="N302" s="231"/>
      <c r="O302" s="231"/>
      <c r="P302" s="231"/>
      <c r="Q302" s="231"/>
      <c r="R302" s="231"/>
      <c r="S302" s="231"/>
      <c r="T302" s="231"/>
      <c r="U302" s="231"/>
      <c r="V302" s="231"/>
      <c r="W302" s="231"/>
      <c r="X302" s="231"/>
      <c r="Y302" s="231"/>
      <c r="Z302" s="231"/>
      <c r="AA302" s="231"/>
      <c r="AB302" s="231"/>
      <c r="AC302" s="231"/>
      <c r="AD302" s="231"/>
      <c r="AE302" s="231"/>
      <c r="AF302" s="231"/>
      <c r="AG302" s="231"/>
      <c r="AH302" s="231"/>
      <c r="AI302" s="231"/>
      <c r="AJ302" s="231"/>
      <c r="AK302" s="231"/>
      <c r="AL302" s="231"/>
      <c r="AM302" s="232"/>
      <c r="AN302" s="152"/>
      <c r="AO302" s="152"/>
      <c r="AP302" s="219"/>
      <c r="AQ302" s="219"/>
      <c r="AR302" s="230"/>
      <c r="AS302" s="231"/>
      <c r="AT302" s="231"/>
      <c r="AU302" s="231"/>
      <c r="AV302" s="231"/>
      <c r="AW302" s="231"/>
      <c r="AX302" s="231"/>
      <c r="AY302" s="231"/>
      <c r="AZ302" s="231"/>
      <c r="BA302" s="231"/>
      <c r="BB302" s="231"/>
      <c r="BC302" s="231"/>
      <c r="BD302" s="231"/>
      <c r="BE302" s="231"/>
      <c r="BF302" s="231"/>
      <c r="BG302" s="231"/>
      <c r="BH302" s="231"/>
      <c r="BI302" s="231"/>
      <c r="BJ302" s="231"/>
      <c r="BK302" s="231"/>
      <c r="BL302" s="231"/>
      <c r="BM302" s="231"/>
      <c r="BN302" s="231"/>
      <c r="BO302" s="231"/>
      <c r="BP302" s="231"/>
      <c r="BQ302" s="231"/>
      <c r="BR302" s="231"/>
      <c r="BS302" s="231"/>
      <c r="BT302" s="231"/>
      <c r="BU302" s="231"/>
      <c r="BV302" s="231"/>
      <c r="BW302" s="231"/>
      <c r="BX302" s="231"/>
      <c r="BY302" s="231"/>
      <c r="BZ302" s="232"/>
      <c r="CA302" s="152"/>
      <c r="CB302" s="152"/>
      <c r="CC302" s="152"/>
      <c r="CD302" s="152"/>
    </row>
    <row r="303" ht="15.0" customHeight="1">
      <c r="A303" s="152"/>
      <c r="B303" s="152"/>
      <c r="C303" s="219">
        <f>C301</f>
        <v>25</v>
      </c>
      <c r="D303" s="225" t="s">
        <v>121</v>
      </c>
      <c r="E303" s="226" t="s">
        <v>121</v>
      </c>
      <c r="I303" s="227" t="str">
        <f t="array" ref="I303">xlookup(xlookup(C303&amp;D303&amp;"Nationality",'Roster Info'!$A:$A&amp;'Roster Info'!$G:$G&amp;'Roster Info'!$D:$D,'Roster Info'!$E:$E,""),'Roster Info'!$K:$K,'Roster Info'!$L:$L,"")</f>
        <v/>
      </c>
      <c r="K303" s="228" t="str">
        <f t="array" ref="K303">xlookup(C303&amp;D303,'Roster Info'!$A:$A&amp;'Roster Info'!$G:$G,'Roster Info'!$F:$F,"")</f>
        <v/>
      </c>
      <c r="U303" s="229" t="str">
        <f t="array" ref="U303">xlookup(C303&amp;D303&amp;"Full Name",'Roster Info'!$A:$A&amp;'Roster Info'!$G:$G&amp;'Roster Info'!$D:$D,'Roster Info'!$E:$E,"")</f>
        <v/>
      </c>
      <c r="AE303" s="63" t="str">
        <f t="array" ref="AE303">if(xlookup(C303&amp;D303&amp;"Steam",'Roster Info'!$A:$A&amp;'Roster Info'!$G:$G&amp;'Roster Info'!$D:$D,'Roster Info'!$E:$E,"")="","-",hyperlink(xlookup(C303&amp;D303&amp;"Steam",'Roster Info'!$A:$A&amp;'Roster Info'!$G:$G&amp;'Roster Info'!$D:$D,'Roster Info'!$E:$E,""),"Steam"))</f>
        <v>-</v>
      </c>
      <c r="AH303" s="63" t="str">
        <f t="array" ref="AH303">if(xlookup(C303&amp;D303&amp;"HLTV",'Roster Info'!$A:$A&amp;'Roster Info'!$G:$G&amp;'Roster Info'!$D:$D,'Roster Info'!$E:$E,"")="","-",hyperlink(xlookup(C303&amp;D303&amp;"HLTV",'Roster Info'!$A:$A&amp;'Roster Info'!$G:$G&amp;'Roster Info'!$D:$D,'Roster Info'!$E:$E,""),"HLTV"))</f>
        <v>-</v>
      </c>
      <c r="AK303" s="63" t="str">
        <f t="array" ref="AK303">if(xlookup(C303&amp;D303&amp;"FaceIt",'Roster Info'!$A:$A&amp;'Roster Info'!$G:$G&amp;'Roster Info'!$D:$D,'Roster Info'!$E:$E,"")="","-",hyperlink(xlookup(C303&amp;D303&amp;"FaceIt",'Roster Info'!$A:$A&amp;'Roster Info'!$G:$G&amp;'Roster Info'!$D:$D,'Roster Info'!$E:$E,""),"FaceIt"))</f>
        <v>-</v>
      </c>
      <c r="AM303" s="61"/>
      <c r="AN303" s="152"/>
      <c r="AO303" s="152"/>
      <c r="AP303" s="219">
        <f>AP301</f>
        <v>26</v>
      </c>
      <c r="AQ303" s="225" t="s">
        <v>121</v>
      </c>
      <c r="AR303" s="226" t="s">
        <v>121</v>
      </c>
      <c r="AV303" s="227" t="str">
        <f t="array" ref="AV303">xlookup(xlookup(AP303&amp;AQ303&amp;"Nationality",'Roster Info'!$A:$A&amp;'Roster Info'!$G:$G&amp;'Roster Info'!$D:$D,'Roster Info'!$E:$E,""),'Roster Info'!$K:$K,'Roster Info'!$L:$L,"")</f>
        <v/>
      </c>
      <c r="AX303" s="228" t="str">
        <f t="array" ref="AX303">xlookup(AP303&amp;AQ303,'Roster Info'!$A:$A&amp;'Roster Info'!$G:$G,'Roster Info'!$F:$F,"")</f>
        <v/>
      </c>
      <c r="BH303" s="229" t="str">
        <f t="array" ref="BH303">xlookup(AP303&amp;AQ303&amp;"Full Name",'Roster Info'!$A:$A&amp;'Roster Info'!$G:$G&amp;'Roster Info'!$D:$D,'Roster Info'!$E:$E,"")</f>
        <v/>
      </c>
      <c r="BR303" s="63" t="str">
        <f t="array" ref="BR303">if(xlookup(AP303&amp;AQ303&amp;"Steam",'Roster Info'!$A:$A&amp;'Roster Info'!$G:$G&amp;'Roster Info'!$D:$D,'Roster Info'!$E:$E,"")="","-",hyperlink(xlookup(AP303&amp;AQ303&amp;"Steam",'Roster Info'!$A:$A&amp;'Roster Info'!$G:$G&amp;'Roster Info'!$D:$D,'Roster Info'!$E:$E,""),"Steam"))</f>
        <v>-</v>
      </c>
      <c r="BU303" s="63" t="str">
        <f t="array" ref="BU303">if(xlookup(AP303&amp;AQ303&amp;"HLTV",'Roster Info'!$A:$A&amp;'Roster Info'!$G:$G&amp;'Roster Info'!$D:$D,'Roster Info'!$E:$E,"")="","-",hyperlink(xlookup(AP303&amp;AQ303&amp;"HLTV",'Roster Info'!$A:$A&amp;'Roster Info'!$G:$G&amp;'Roster Info'!$D:$D,'Roster Info'!$E:$E,""),"HLTV"))</f>
        <v>-</v>
      </c>
      <c r="BX303" s="63" t="str">
        <f t="array" ref="BX303">if(xlookup(AP303&amp;AQ303&amp;"FaceIt",'Roster Info'!$A:$A&amp;'Roster Info'!$G:$G&amp;'Roster Info'!$D:$D,'Roster Info'!$E:$E,"")="","-",hyperlink(xlookup(AP303&amp;AQ303&amp;"FaceIt",'Roster Info'!$A:$A&amp;'Roster Info'!$G:$G&amp;'Roster Info'!$D:$D,'Roster Info'!$E:$E,""),"FaceIt"))</f>
        <v>-</v>
      </c>
      <c r="BZ303" s="61"/>
      <c r="CA303" s="152"/>
      <c r="CB303" s="152"/>
      <c r="CC303" s="152"/>
      <c r="CD303" s="152"/>
    </row>
    <row r="304" ht="15.0" customHeight="1">
      <c r="A304" s="152"/>
      <c r="B304" s="152"/>
      <c r="C304" s="219"/>
      <c r="D304" s="219"/>
      <c r="E304" s="230"/>
      <c r="F304" s="231"/>
      <c r="G304" s="231"/>
      <c r="H304" s="231"/>
      <c r="I304" s="231"/>
      <c r="J304" s="231"/>
      <c r="K304" s="231"/>
      <c r="L304" s="231"/>
      <c r="M304" s="231"/>
      <c r="N304" s="231"/>
      <c r="O304" s="231"/>
      <c r="P304" s="231"/>
      <c r="Q304" s="231"/>
      <c r="R304" s="231"/>
      <c r="S304" s="231"/>
      <c r="T304" s="231"/>
      <c r="U304" s="231"/>
      <c r="V304" s="231"/>
      <c r="W304" s="231"/>
      <c r="X304" s="231"/>
      <c r="Y304" s="231"/>
      <c r="Z304" s="231"/>
      <c r="AA304" s="231"/>
      <c r="AB304" s="231"/>
      <c r="AC304" s="231"/>
      <c r="AD304" s="231"/>
      <c r="AE304" s="231"/>
      <c r="AF304" s="231"/>
      <c r="AG304" s="231"/>
      <c r="AH304" s="231"/>
      <c r="AI304" s="231"/>
      <c r="AJ304" s="231"/>
      <c r="AK304" s="231"/>
      <c r="AL304" s="231"/>
      <c r="AM304" s="232"/>
      <c r="AN304" s="152"/>
      <c r="AO304" s="152"/>
      <c r="AP304" s="219"/>
      <c r="AQ304" s="219"/>
      <c r="AR304" s="230"/>
      <c r="AS304" s="231"/>
      <c r="AT304" s="231"/>
      <c r="AU304" s="231"/>
      <c r="AV304" s="231"/>
      <c r="AW304" s="231"/>
      <c r="AX304" s="231"/>
      <c r="AY304" s="231"/>
      <c r="AZ304" s="231"/>
      <c r="BA304" s="231"/>
      <c r="BB304" s="231"/>
      <c r="BC304" s="231"/>
      <c r="BD304" s="231"/>
      <c r="BE304" s="231"/>
      <c r="BF304" s="231"/>
      <c r="BG304" s="231"/>
      <c r="BH304" s="231"/>
      <c r="BI304" s="231"/>
      <c r="BJ304" s="231"/>
      <c r="BK304" s="231"/>
      <c r="BL304" s="231"/>
      <c r="BM304" s="231"/>
      <c r="BN304" s="231"/>
      <c r="BO304" s="231"/>
      <c r="BP304" s="231"/>
      <c r="BQ304" s="231"/>
      <c r="BR304" s="231"/>
      <c r="BS304" s="231"/>
      <c r="BT304" s="231"/>
      <c r="BU304" s="231"/>
      <c r="BV304" s="231"/>
      <c r="BW304" s="231"/>
      <c r="BX304" s="231"/>
      <c r="BY304" s="231"/>
      <c r="BZ304" s="232"/>
      <c r="CA304" s="152"/>
      <c r="CB304" s="152"/>
      <c r="CC304" s="152"/>
      <c r="CD304" s="152"/>
    </row>
    <row r="305" ht="15.0" customHeight="1">
      <c r="A305" s="152"/>
      <c r="B305" s="152"/>
      <c r="C305" s="219">
        <f>C303</f>
        <v>25</v>
      </c>
      <c r="D305" s="225" t="s">
        <v>127</v>
      </c>
      <c r="E305" s="226" t="s">
        <v>127</v>
      </c>
      <c r="I305" s="227" t="str">
        <f t="array" ref="I305">xlookup(xlookup(C305&amp;D305&amp;"Nationality",'Roster Info'!$A:$A&amp;'Roster Info'!$G:$G&amp;'Roster Info'!$D:$D,'Roster Info'!$E:$E,""),'Roster Info'!$K:$K,'Roster Info'!$L:$L,"")</f>
        <v/>
      </c>
      <c r="K305" s="228" t="str">
        <f t="array" ref="K305">xlookup(C305&amp;D305,'Roster Info'!$A:$A&amp;'Roster Info'!$G:$G,'Roster Info'!$F:$F,"")</f>
        <v/>
      </c>
      <c r="U305" s="229" t="str">
        <f t="array" ref="U305">xlookup(C305&amp;D305&amp;"Full Name",'Roster Info'!$A:$A&amp;'Roster Info'!$G:$G&amp;'Roster Info'!$D:$D,'Roster Info'!$E:$E,"")</f>
        <v/>
      </c>
      <c r="AE305" s="63" t="str">
        <f t="array" ref="AE305">if(xlookup(C305&amp;D305&amp;"Steam",'Roster Info'!$A:$A&amp;'Roster Info'!$G:$G&amp;'Roster Info'!$D:$D,'Roster Info'!$E:$E,"")="","-",hyperlink(xlookup(C305&amp;D305&amp;"Steam",'Roster Info'!$A:$A&amp;'Roster Info'!$G:$G&amp;'Roster Info'!$D:$D,'Roster Info'!$E:$E,""),"Steam"))</f>
        <v>-</v>
      </c>
      <c r="AH305" s="63" t="str">
        <f t="array" ref="AH305">if(xlookup(C305&amp;D305&amp;"HLTV",'Roster Info'!$A:$A&amp;'Roster Info'!$G:$G&amp;'Roster Info'!$D:$D,'Roster Info'!$E:$E,"")="","-",hyperlink(xlookup(C305&amp;D305&amp;"HLTV",'Roster Info'!$A:$A&amp;'Roster Info'!$G:$G&amp;'Roster Info'!$D:$D,'Roster Info'!$E:$E,""),"HLTV"))</f>
        <v>-</v>
      </c>
      <c r="AK305" s="63" t="str">
        <f t="array" ref="AK305">if(xlookup(C305&amp;D305&amp;"FaceIt",'Roster Info'!$A:$A&amp;'Roster Info'!$G:$G&amp;'Roster Info'!$D:$D,'Roster Info'!$E:$E,"")="","-",hyperlink(xlookup(C305&amp;D305&amp;"FaceIt",'Roster Info'!$A:$A&amp;'Roster Info'!$G:$G&amp;'Roster Info'!$D:$D,'Roster Info'!$E:$E,""),"FaceIt"))</f>
        <v>-</v>
      </c>
      <c r="AM305" s="61"/>
      <c r="AN305" s="152"/>
      <c r="AO305" s="152"/>
      <c r="AP305" s="219">
        <f>AP303</f>
        <v>26</v>
      </c>
      <c r="AQ305" s="225" t="s">
        <v>127</v>
      </c>
      <c r="AR305" s="226" t="s">
        <v>127</v>
      </c>
      <c r="AV305" s="227" t="str">
        <f t="array" ref="AV305">xlookup(xlookup(AP305&amp;AQ305&amp;"Nationality",'Roster Info'!$A:$A&amp;'Roster Info'!$G:$G&amp;'Roster Info'!$D:$D,'Roster Info'!$E:$E,""),'Roster Info'!$K:$K,'Roster Info'!$L:$L,"")</f>
        <v/>
      </c>
      <c r="AX305" s="228" t="str">
        <f t="array" ref="AX305">xlookup(AP305&amp;AQ305,'Roster Info'!$A:$A&amp;'Roster Info'!$G:$G,'Roster Info'!$F:$F,"")</f>
        <v/>
      </c>
      <c r="BH305" s="229" t="str">
        <f t="array" ref="BH305">xlookup(AP305&amp;AQ305&amp;"Full Name",'Roster Info'!$A:$A&amp;'Roster Info'!$G:$G&amp;'Roster Info'!$D:$D,'Roster Info'!$E:$E,"")</f>
        <v/>
      </c>
      <c r="BR305" s="63" t="str">
        <f t="array" ref="BR305">if(xlookup(AP305&amp;AQ305&amp;"Steam",'Roster Info'!$A:$A&amp;'Roster Info'!$G:$G&amp;'Roster Info'!$D:$D,'Roster Info'!$E:$E,"")="","-",hyperlink(xlookup(AP305&amp;AQ305&amp;"Steam",'Roster Info'!$A:$A&amp;'Roster Info'!$G:$G&amp;'Roster Info'!$D:$D,'Roster Info'!$E:$E,""),"Steam"))</f>
        <v>-</v>
      </c>
      <c r="BU305" s="63" t="str">
        <f t="array" ref="BU305">if(xlookup(AP305&amp;AQ305&amp;"HLTV",'Roster Info'!$A:$A&amp;'Roster Info'!$G:$G&amp;'Roster Info'!$D:$D,'Roster Info'!$E:$E,"")="","-",hyperlink(xlookup(AP305&amp;AQ305&amp;"HLTV",'Roster Info'!$A:$A&amp;'Roster Info'!$G:$G&amp;'Roster Info'!$D:$D,'Roster Info'!$E:$E,""),"HLTV"))</f>
        <v>-</v>
      </c>
      <c r="BX305" s="63" t="str">
        <f t="array" ref="BX305">if(xlookup(AP305&amp;AQ305&amp;"FaceIt",'Roster Info'!$A:$A&amp;'Roster Info'!$G:$G&amp;'Roster Info'!$D:$D,'Roster Info'!$E:$E,"")="","-",hyperlink(xlookup(AP305&amp;AQ305&amp;"FaceIt",'Roster Info'!$A:$A&amp;'Roster Info'!$G:$G&amp;'Roster Info'!$D:$D,'Roster Info'!$E:$E,""),"FaceIt"))</f>
        <v>-</v>
      </c>
      <c r="BZ305" s="61"/>
      <c r="CA305" s="152"/>
      <c r="CB305" s="152"/>
      <c r="CC305" s="152"/>
      <c r="CD305" s="152"/>
    </row>
    <row r="306" ht="15.0" customHeight="1">
      <c r="A306" s="152"/>
      <c r="B306" s="152"/>
      <c r="C306" s="219"/>
      <c r="D306" s="219"/>
      <c r="E306" s="230"/>
      <c r="F306" s="231"/>
      <c r="G306" s="231"/>
      <c r="H306" s="231"/>
      <c r="I306" s="231"/>
      <c r="J306" s="231"/>
      <c r="K306" s="231"/>
      <c r="L306" s="231"/>
      <c r="M306" s="231"/>
      <c r="N306" s="231"/>
      <c r="O306" s="231"/>
      <c r="P306" s="231"/>
      <c r="Q306" s="231"/>
      <c r="R306" s="231"/>
      <c r="S306" s="231"/>
      <c r="T306" s="231"/>
      <c r="U306" s="231"/>
      <c r="V306" s="231"/>
      <c r="W306" s="231"/>
      <c r="X306" s="231"/>
      <c r="Y306" s="231"/>
      <c r="Z306" s="231"/>
      <c r="AA306" s="231"/>
      <c r="AB306" s="231"/>
      <c r="AC306" s="231"/>
      <c r="AD306" s="231"/>
      <c r="AE306" s="231"/>
      <c r="AF306" s="231"/>
      <c r="AG306" s="231"/>
      <c r="AH306" s="231"/>
      <c r="AI306" s="231"/>
      <c r="AJ306" s="231"/>
      <c r="AK306" s="231"/>
      <c r="AL306" s="231"/>
      <c r="AM306" s="232"/>
      <c r="AN306" s="152"/>
      <c r="AO306" s="152"/>
      <c r="AP306" s="219"/>
      <c r="AQ306" s="219"/>
      <c r="AR306" s="230"/>
      <c r="AS306" s="231"/>
      <c r="AT306" s="231"/>
      <c r="AU306" s="231"/>
      <c r="AV306" s="231"/>
      <c r="AW306" s="231"/>
      <c r="AX306" s="231"/>
      <c r="AY306" s="231"/>
      <c r="AZ306" s="231"/>
      <c r="BA306" s="231"/>
      <c r="BB306" s="231"/>
      <c r="BC306" s="231"/>
      <c r="BD306" s="231"/>
      <c r="BE306" s="231"/>
      <c r="BF306" s="231"/>
      <c r="BG306" s="231"/>
      <c r="BH306" s="231"/>
      <c r="BI306" s="231"/>
      <c r="BJ306" s="231"/>
      <c r="BK306" s="231"/>
      <c r="BL306" s="231"/>
      <c r="BM306" s="231"/>
      <c r="BN306" s="231"/>
      <c r="BO306" s="231"/>
      <c r="BP306" s="231"/>
      <c r="BQ306" s="231"/>
      <c r="BR306" s="231"/>
      <c r="BS306" s="231"/>
      <c r="BT306" s="231"/>
      <c r="BU306" s="231"/>
      <c r="BV306" s="231"/>
      <c r="BW306" s="231"/>
      <c r="BX306" s="231"/>
      <c r="BY306" s="231"/>
      <c r="BZ306" s="232"/>
      <c r="CA306" s="152"/>
      <c r="CB306" s="152"/>
      <c r="CC306" s="152"/>
      <c r="CD306" s="152"/>
    </row>
    <row r="307" ht="15.0" customHeight="1">
      <c r="A307" s="152"/>
      <c r="B307" s="152"/>
      <c r="C307" s="219">
        <f>C305</f>
        <v>25</v>
      </c>
      <c r="D307" s="225" t="s">
        <v>133</v>
      </c>
      <c r="E307" s="226" t="s">
        <v>133</v>
      </c>
      <c r="I307" s="227" t="str">
        <f t="array" ref="I307">xlookup(xlookup(C307&amp;D307&amp;"Nationality",'Roster Info'!$A:$A&amp;'Roster Info'!$G:$G&amp;'Roster Info'!$D:$D,'Roster Info'!$E:$E,""),'Roster Info'!$K:$K,'Roster Info'!$L:$L,"")</f>
        <v/>
      </c>
      <c r="K307" s="228" t="str">
        <f t="array" ref="K307">xlookup(C307&amp;D307,'Roster Info'!$A:$A&amp;'Roster Info'!$G:$G,'Roster Info'!$F:$F,"")</f>
        <v/>
      </c>
      <c r="U307" s="229" t="str">
        <f t="array" ref="U307">xlookup(C307&amp;D307&amp;"Full Name",'Roster Info'!$A:$A&amp;'Roster Info'!$G:$G&amp;'Roster Info'!$D:$D,'Roster Info'!$E:$E,"")</f>
        <v/>
      </c>
      <c r="AE307" s="63" t="str">
        <f t="array" ref="AE307">if(xlookup(C307&amp;D307&amp;"Steam",'Roster Info'!$A:$A&amp;'Roster Info'!$G:$G&amp;'Roster Info'!$D:$D,'Roster Info'!$E:$E,"")="","-",hyperlink(xlookup(C307&amp;D307&amp;"Steam",'Roster Info'!$A:$A&amp;'Roster Info'!$G:$G&amp;'Roster Info'!$D:$D,'Roster Info'!$E:$E,""),"Steam"))</f>
        <v>-</v>
      </c>
      <c r="AH307" s="63" t="str">
        <f t="array" ref="AH307">if(xlookup(C307&amp;D307&amp;"HLTV",'Roster Info'!$A:$A&amp;'Roster Info'!$G:$G&amp;'Roster Info'!$D:$D,'Roster Info'!$E:$E,"")="","-",hyperlink(xlookup(C307&amp;D307&amp;"HLTV",'Roster Info'!$A:$A&amp;'Roster Info'!$G:$G&amp;'Roster Info'!$D:$D,'Roster Info'!$E:$E,""),"HLTV"))</f>
        <v>-</v>
      </c>
      <c r="AK307" s="63" t="str">
        <f t="array" ref="AK307">if(xlookup(C307&amp;D307&amp;"FaceIt",'Roster Info'!$A:$A&amp;'Roster Info'!$G:$G&amp;'Roster Info'!$D:$D,'Roster Info'!$E:$E,"")="","-",hyperlink(xlookup(C307&amp;D307&amp;"FaceIt",'Roster Info'!$A:$A&amp;'Roster Info'!$G:$G&amp;'Roster Info'!$D:$D,'Roster Info'!$E:$E,""),"FaceIt"))</f>
        <v>-</v>
      </c>
      <c r="AM307" s="61"/>
      <c r="AN307" s="152"/>
      <c r="AO307" s="152"/>
      <c r="AP307" s="219">
        <f>AP305</f>
        <v>26</v>
      </c>
      <c r="AQ307" s="225" t="s">
        <v>133</v>
      </c>
      <c r="AR307" s="226" t="s">
        <v>133</v>
      </c>
      <c r="AV307" s="227" t="str">
        <f t="array" ref="AV307">xlookup(xlookup(AP307&amp;AQ307&amp;"Nationality",'Roster Info'!$A:$A&amp;'Roster Info'!$G:$G&amp;'Roster Info'!$D:$D,'Roster Info'!$E:$E,""),'Roster Info'!$K:$K,'Roster Info'!$L:$L,"")</f>
        <v/>
      </c>
      <c r="AX307" s="228" t="str">
        <f t="array" ref="AX307">xlookup(AP307&amp;AQ307,'Roster Info'!$A:$A&amp;'Roster Info'!$G:$G,'Roster Info'!$F:$F,"")</f>
        <v/>
      </c>
      <c r="BH307" s="229" t="str">
        <f t="array" ref="BH307">xlookup(AP307&amp;AQ307&amp;"Full Name",'Roster Info'!$A:$A&amp;'Roster Info'!$G:$G&amp;'Roster Info'!$D:$D,'Roster Info'!$E:$E,"")</f>
        <v/>
      </c>
      <c r="BR307" s="63" t="str">
        <f t="array" ref="BR307">if(xlookup(AP307&amp;AQ307&amp;"Steam",'Roster Info'!$A:$A&amp;'Roster Info'!$G:$G&amp;'Roster Info'!$D:$D,'Roster Info'!$E:$E,"")="","-",hyperlink(xlookup(AP307&amp;AQ307&amp;"Steam",'Roster Info'!$A:$A&amp;'Roster Info'!$G:$G&amp;'Roster Info'!$D:$D,'Roster Info'!$E:$E,""),"Steam"))</f>
        <v>-</v>
      </c>
      <c r="BU307" s="63" t="str">
        <f t="array" ref="BU307">if(xlookup(AP307&amp;AQ307&amp;"HLTV",'Roster Info'!$A:$A&amp;'Roster Info'!$G:$G&amp;'Roster Info'!$D:$D,'Roster Info'!$E:$E,"")="","-",hyperlink(xlookup(AP307&amp;AQ307&amp;"HLTV",'Roster Info'!$A:$A&amp;'Roster Info'!$G:$G&amp;'Roster Info'!$D:$D,'Roster Info'!$E:$E,""),"HLTV"))</f>
        <v>-</v>
      </c>
      <c r="BX307" s="63" t="str">
        <f t="array" ref="BX307">if(xlookup(AP307&amp;AQ307&amp;"FaceIt",'Roster Info'!$A:$A&amp;'Roster Info'!$G:$G&amp;'Roster Info'!$D:$D,'Roster Info'!$E:$E,"")="","-",hyperlink(xlookup(AP307&amp;AQ307&amp;"FaceIt",'Roster Info'!$A:$A&amp;'Roster Info'!$G:$G&amp;'Roster Info'!$D:$D,'Roster Info'!$E:$E,""),"FaceIt"))</f>
        <v>-</v>
      </c>
      <c r="BZ307" s="61"/>
      <c r="CA307" s="152"/>
      <c r="CB307" s="152"/>
      <c r="CC307" s="152"/>
      <c r="CD307" s="152"/>
    </row>
    <row r="308" ht="15.0" customHeight="1">
      <c r="A308" s="152"/>
      <c r="B308" s="152"/>
      <c r="C308" s="219"/>
      <c r="D308" s="219"/>
      <c r="E308" s="230"/>
      <c r="F308" s="231"/>
      <c r="G308" s="231"/>
      <c r="H308" s="231"/>
      <c r="I308" s="231"/>
      <c r="J308" s="231"/>
      <c r="K308" s="231"/>
      <c r="L308" s="231"/>
      <c r="M308" s="231"/>
      <c r="N308" s="231"/>
      <c r="O308" s="231"/>
      <c r="P308" s="231"/>
      <c r="Q308" s="231"/>
      <c r="R308" s="231"/>
      <c r="S308" s="231"/>
      <c r="T308" s="231"/>
      <c r="U308" s="231"/>
      <c r="V308" s="231"/>
      <c r="W308" s="231"/>
      <c r="X308" s="231"/>
      <c r="Y308" s="231"/>
      <c r="Z308" s="231"/>
      <c r="AA308" s="231"/>
      <c r="AB308" s="231"/>
      <c r="AC308" s="231"/>
      <c r="AD308" s="231"/>
      <c r="AE308" s="231"/>
      <c r="AF308" s="231"/>
      <c r="AG308" s="231"/>
      <c r="AH308" s="231"/>
      <c r="AI308" s="231"/>
      <c r="AJ308" s="231"/>
      <c r="AK308" s="231"/>
      <c r="AL308" s="231"/>
      <c r="AM308" s="232"/>
      <c r="AN308" s="152"/>
      <c r="AO308" s="152"/>
      <c r="AP308" s="219"/>
      <c r="AQ308" s="219"/>
      <c r="AR308" s="230"/>
      <c r="AS308" s="231"/>
      <c r="AT308" s="231"/>
      <c r="AU308" s="231"/>
      <c r="AV308" s="231"/>
      <c r="AW308" s="231"/>
      <c r="AX308" s="231"/>
      <c r="AY308" s="231"/>
      <c r="AZ308" s="231"/>
      <c r="BA308" s="231"/>
      <c r="BB308" s="231"/>
      <c r="BC308" s="231"/>
      <c r="BD308" s="231"/>
      <c r="BE308" s="231"/>
      <c r="BF308" s="231"/>
      <c r="BG308" s="231"/>
      <c r="BH308" s="231"/>
      <c r="BI308" s="231"/>
      <c r="BJ308" s="231"/>
      <c r="BK308" s="231"/>
      <c r="BL308" s="231"/>
      <c r="BM308" s="231"/>
      <c r="BN308" s="231"/>
      <c r="BO308" s="231"/>
      <c r="BP308" s="231"/>
      <c r="BQ308" s="231"/>
      <c r="BR308" s="231"/>
      <c r="BS308" s="231"/>
      <c r="BT308" s="231"/>
      <c r="BU308" s="231"/>
      <c r="BV308" s="231"/>
      <c r="BW308" s="231"/>
      <c r="BX308" s="231"/>
      <c r="BY308" s="231"/>
      <c r="BZ308" s="232"/>
      <c r="CA308" s="152"/>
      <c r="CB308" s="152"/>
      <c r="CC308" s="152"/>
      <c r="CD308" s="152"/>
    </row>
    <row r="309" ht="15.0" customHeight="1">
      <c r="A309" s="152"/>
      <c r="B309" s="152"/>
      <c r="C309" s="219">
        <f>C307</f>
        <v>25</v>
      </c>
      <c r="D309" s="233" t="s">
        <v>139</v>
      </c>
      <c r="E309" s="234" t="s">
        <v>319</v>
      </c>
      <c r="I309" s="227" t="str">
        <f t="array" ref="I309">xlookup(xlookup(C309&amp;D309&amp;"Nationality",'Roster Info'!$A:$A&amp;'Roster Info'!$G:$G&amp;'Roster Info'!$D:$D,'Roster Info'!$E:$E,""),'Roster Info'!$K:$K,'Roster Info'!$L:$L,"")</f>
        <v/>
      </c>
      <c r="K309" s="228" t="str">
        <f t="array" ref="K309">xlookup(C309&amp;D309,'Roster Info'!$A:$A&amp;'Roster Info'!$G:$G,'Roster Info'!$F:$F,"")</f>
        <v/>
      </c>
      <c r="U309" s="229" t="str">
        <f t="array" ref="U309">xlookup(C309&amp;D309&amp;"Full Name",'Roster Info'!$A:$A&amp;'Roster Info'!$G:$G&amp;'Roster Info'!$D:$D,'Roster Info'!$E:$E,"")</f>
        <v/>
      </c>
      <c r="AE309" s="63" t="str">
        <f t="array" ref="AE309">if(xlookup(C309&amp;D309&amp;"Steam",'Roster Info'!$A:$A&amp;'Roster Info'!$G:$G&amp;'Roster Info'!$D:$D,'Roster Info'!$E:$E,"")="","-",hyperlink(xlookup(C309&amp;D309&amp;"Steam",'Roster Info'!$A:$A&amp;'Roster Info'!$G:$G&amp;'Roster Info'!$D:$D,'Roster Info'!$E:$E,""),"Steam"))</f>
        <v>-</v>
      </c>
      <c r="AH309" s="63" t="str">
        <f t="array" ref="AH309">if(xlookup(C309&amp;D309&amp;"HLTV",'Roster Info'!$A:$A&amp;'Roster Info'!$G:$G&amp;'Roster Info'!$D:$D,'Roster Info'!$E:$E,"")="","-",hyperlink(xlookup(C309&amp;D309&amp;"HLTV",'Roster Info'!$A:$A&amp;'Roster Info'!$G:$G&amp;'Roster Info'!$D:$D,'Roster Info'!$E:$E,""),"HLTV"))</f>
        <v>-</v>
      </c>
      <c r="AK309" s="63" t="str">
        <f t="array" ref="AK309">if(xlookup(C309&amp;D309&amp;"FaceIt",'Roster Info'!$A:$A&amp;'Roster Info'!$G:$G&amp;'Roster Info'!$D:$D,'Roster Info'!$E:$E,"")="","-",hyperlink(xlookup(C309&amp;D309&amp;"FaceIt",'Roster Info'!$A:$A&amp;'Roster Info'!$G:$G&amp;'Roster Info'!$D:$D,'Roster Info'!$E:$E,""),"FaceIt"))</f>
        <v>-</v>
      </c>
      <c r="AM309" s="61"/>
      <c r="AN309" s="152"/>
      <c r="AO309" s="152"/>
      <c r="AP309" s="219">
        <f>AP307</f>
        <v>26</v>
      </c>
      <c r="AQ309" s="233" t="s">
        <v>139</v>
      </c>
      <c r="AR309" s="234" t="s">
        <v>319</v>
      </c>
      <c r="AV309" s="227" t="str">
        <f t="array" ref="AV309">xlookup(xlookup(AP309&amp;AQ309&amp;"Nationality",'Roster Info'!$A:$A&amp;'Roster Info'!$G:$G&amp;'Roster Info'!$D:$D,'Roster Info'!$E:$E,""),'Roster Info'!$K:$K,'Roster Info'!$L:$L,"")</f>
        <v/>
      </c>
      <c r="AX309" s="228" t="str">
        <f t="array" ref="AX309">xlookup(AP309&amp;AQ309,'Roster Info'!$A:$A&amp;'Roster Info'!$G:$G,'Roster Info'!$F:$F,"")</f>
        <v/>
      </c>
      <c r="BH309" s="229" t="str">
        <f t="array" ref="BH309">xlookup(AP309&amp;AQ309&amp;"Full Name",'Roster Info'!$A:$A&amp;'Roster Info'!$G:$G&amp;'Roster Info'!$D:$D,'Roster Info'!$E:$E,"")</f>
        <v/>
      </c>
      <c r="BR309" s="63" t="str">
        <f t="array" ref="BR309">if(xlookup(AP309&amp;AQ309&amp;"Steam",'Roster Info'!$A:$A&amp;'Roster Info'!$G:$G&amp;'Roster Info'!$D:$D,'Roster Info'!$E:$E,"")="","-",hyperlink(xlookup(AP309&amp;AQ309&amp;"Steam",'Roster Info'!$A:$A&amp;'Roster Info'!$G:$G&amp;'Roster Info'!$D:$D,'Roster Info'!$E:$E,""),"Steam"))</f>
        <v>-</v>
      </c>
      <c r="BU309" s="63" t="str">
        <f t="array" ref="BU309">if(xlookup(AP309&amp;AQ309&amp;"HLTV",'Roster Info'!$A:$A&amp;'Roster Info'!$G:$G&amp;'Roster Info'!$D:$D,'Roster Info'!$E:$E,"")="","-",hyperlink(xlookup(AP309&amp;AQ309&amp;"HLTV",'Roster Info'!$A:$A&amp;'Roster Info'!$G:$G&amp;'Roster Info'!$D:$D,'Roster Info'!$E:$E,""),"HLTV"))</f>
        <v>-</v>
      </c>
      <c r="BX309" s="63" t="str">
        <f t="array" ref="BX309">if(xlookup(AP309&amp;AQ309&amp;"FaceIt",'Roster Info'!$A:$A&amp;'Roster Info'!$G:$G&amp;'Roster Info'!$D:$D,'Roster Info'!$E:$E,"")="","-",hyperlink(xlookup(AP309&amp;AQ309&amp;"FaceIt",'Roster Info'!$A:$A&amp;'Roster Info'!$G:$G&amp;'Roster Info'!$D:$D,'Roster Info'!$E:$E,""),"FaceIt"))</f>
        <v>-</v>
      </c>
      <c r="BZ309" s="61"/>
      <c r="CA309" s="152"/>
      <c r="CB309" s="152"/>
      <c r="CC309" s="152"/>
      <c r="CD309" s="152"/>
    </row>
    <row r="310" ht="15.0" customHeight="1">
      <c r="A310" s="152"/>
      <c r="B310" s="152"/>
      <c r="C310" s="219"/>
      <c r="D310" s="219"/>
      <c r="E310" s="230"/>
      <c r="F310" s="231"/>
      <c r="G310" s="231"/>
      <c r="H310" s="231"/>
      <c r="I310" s="231"/>
      <c r="J310" s="231"/>
      <c r="K310" s="231"/>
      <c r="L310" s="231"/>
      <c r="M310" s="231"/>
      <c r="N310" s="231"/>
      <c r="O310" s="231"/>
      <c r="P310" s="231"/>
      <c r="Q310" s="231"/>
      <c r="R310" s="231"/>
      <c r="S310" s="231"/>
      <c r="T310" s="231"/>
      <c r="U310" s="231"/>
      <c r="V310" s="231"/>
      <c r="W310" s="231"/>
      <c r="X310" s="231"/>
      <c r="Y310" s="231"/>
      <c r="Z310" s="231"/>
      <c r="AA310" s="231"/>
      <c r="AB310" s="231"/>
      <c r="AC310" s="231"/>
      <c r="AD310" s="231"/>
      <c r="AE310" s="231"/>
      <c r="AF310" s="231"/>
      <c r="AG310" s="231"/>
      <c r="AH310" s="231"/>
      <c r="AI310" s="231"/>
      <c r="AJ310" s="231"/>
      <c r="AK310" s="231"/>
      <c r="AL310" s="231"/>
      <c r="AM310" s="232"/>
      <c r="AN310" s="152"/>
      <c r="AO310" s="152"/>
      <c r="AP310" s="219"/>
      <c r="AQ310" s="219"/>
      <c r="AR310" s="230"/>
      <c r="AS310" s="231"/>
      <c r="AT310" s="231"/>
      <c r="AU310" s="231"/>
      <c r="AV310" s="231"/>
      <c r="AW310" s="231"/>
      <c r="AX310" s="231"/>
      <c r="AY310" s="231"/>
      <c r="AZ310" s="231"/>
      <c r="BA310" s="231"/>
      <c r="BB310" s="231"/>
      <c r="BC310" s="231"/>
      <c r="BD310" s="231"/>
      <c r="BE310" s="231"/>
      <c r="BF310" s="231"/>
      <c r="BG310" s="231"/>
      <c r="BH310" s="231"/>
      <c r="BI310" s="231"/>
      <c r="BJ310" s="231"/>
      <c r="BK310" s="231"/>
      <c r="BL310" s="231"/>
      <c r="BM310" s="231"/>
      <c r="BN310" s="231"/>
      <c r="BO310" s="231"/>
      <c r="BP310" s="231"/>
      <c r="BQ310" s="231"/>
      <c r="BR310" s="231"/>
      <c r="BS310" s="231"/>
      <c r="BT310" s="231"/>
      <c r="BU310" s="231"/>
      <c r="BV310" s="231"/>
      <c r="BW310" s="231"/>
      <c r="BX310" s="231"/>
      <c r="BY310" s="231"/>
      <c r="BZ310" s="232"/>
      <c r="CA310" s="152"/>
      <c r="CB310" s="152"/>
      <c r="CC310" s="152"/>
      <c r="CD310" s="152"/>
    </row>
    <row r="311" ht="15.0" customHeight="1">
      <c r="A311" s="152"/>
      <c r="B311" s="152"/>
      <c r="C311" s="219">
        <f>C309</f>
        <v>25</v>
      </c>
      <c r="D311" s="225" t="s">
        <v>145</v>
      </c>
      <c r="E311" s="226" t="s">
        <v>145</v>
      </c>
      <c r="I311" s="227" t="str">
        <f t="array" ref="I311">xlookup(xlookup(C311&amp;D311&amp;"Nationality",'Roster Info'!$A:$A&amp;'Roster Info'!$G:$G&amp;'Roster Info'!$D:$D,'Roster Info'!$E:$E,""),'Roster Info'!$K:$K,'Roster Info'!$L:$L,"")</f>
        <v/>
      </c>
      <c r="K311" s="228" t="str">
        <f t="array" ref="K311">xlookup(C311&amp;D311,'Roster Info'!$A:$A&amp;'Roster Info'!$G:$G,'Roster Info'!$F:$F,"")</f>
        <v/>
      </c>
      <c r="U311" s="229" t="str">
        <f t="array" ref="U311">xlookup(C311&amp;D311&amp;"Full Name",'Roster Info'!$A:$A&amp;'Roster Info'!$G:$G&amp;'Roster Info'!$D:$D,'Roster Info'!$E:$E,"")</f>
        <v/>
      </c>
      <c r="AE311" s="63" t="str">
        <f t="array" ref="AE311">if(xlookup(C311&amp;D311&amp;"Steam",'Roster Info'!$A:$A&amp;'Roster Info'!$G:$G&amp;'Roster Info'!$D:$D,'Roster Info'!$E:$E,"")="","-",hyperlink(xlookup(C311&amp;D311&amp;"Steam",'Roster Info'!$A:$A&amp;'Roster Info'!$G:$G&amp;'Roster Info'!$D:$D,'Roster Info'!$E:$E,""),"Steam"))</f>
        <v>-</v>
      </c>
      <c r="AH311" s="63" t="str">
        <f t="array" ref="AH311">if(xlookup(C311&amp;D311&amp;"HLTV",'Roster Info'!$A:$A&amp;'Roster Info'!$G:$G&amp;'Roster Info'!$D:$D,'Roster Info'!$E:$E,"")="","-",hyperlink(xlookup(C311&amp;D311&amp;"HLTV",'Roster Info'!$A:$A&amp;'Roster Info'!$G:$G&amp;'Roster Info'!$D:$D,'Roster Info'!$E:$E,""),"HLTV"))</f>
        <v>-</v>
      </c>
      <c r="AK311" s="63" t="str">
        <f t="array" ref="AK311">if(xlookup(C311&amp;D311&amp;"FaceIt",'Roster Info'!$A:$A&amp;'Roster Info'!$G:$G&amp;'Roster Info'!$D:$D,'Roster Info'!$E:$E,"")="","-",hyperlink(xlookup(C311&amp;D311&amp;"FaceIt",'Roster Info'!$A:$A&amp;'Roster Info'!$G:$G&amp;'Roster Info'!$D:$D,'Roster Info'!$E:$E,""),"FaceIt"))</f>
        <v>-</v>
      </c>
      <c r="AM311" s="61"/>
      <c r="AN311" s="152"/>
      <c r="AO311" s="152"/>
      <c r="AP311" s="219">
        <f>AP309</f>
        <v>26</v>
      </c>
      <c r="AQ311" s="225" t="s">
        <v>145</v>
      </c>
      <c r="AR311" s="226" t="s">
        <v>145</v>
      </c>
      <c r="AV311" s="227" t="str">
        <f t="array" ref="AV311">xlookup(xlookup(AP311&amp;AQ311&amp;"Nationality",'Roster Info'!$A:$A&amp;'Roster Info'!$G:$G&amp;'Roster Info'!$D:$D,'Roster Info'!$E:$E,""),'Roster Info'!$K:$K,'Roster Info'!$L:$L,"")</f>
        <v/>
      </c>
      <c r="AX311" s="228" t="str">
        <f t="array" ref="AX311">xlookup(AP311&amp;AQ311,'Roster Info'!$A:$A&amp;'Roster Info'!$G:$G,'Roster Info'!$F:$F,"")</f>
        <v/>
      </c>
      <c r="BH311" s="229" t="str">
        <f t="array" ref="BH311">xlookup(AP311&amp;AQ311&amp;"Full Name",'Roster Info'!$A:$A&amp;'Roster Info'!$G:$G&amp;'Roster Info'!$D:$D,'Roster Info'!$E:$E,"")</f>
        <v/>
      </c>
      <c r="BR311" s="63" t="str">
        <f t="array" ref="BR311">if(xlookup(AP311&amp;AQ311&amp;"Steam",'Roster Info'!$A:$A&amp;'Roster Info'!$G:$G&amp;'Roster Info'!$D:$D,'Roster Info'!$E:$E,"")="","-",hyperlink(xlookup(AP311&amp;AQ311&amp;"Steam",'Roster Info'!$A:$A&amp;'Roster Info'!$G:$G&amp;'Roster Info'!$D:$D,'Roster Info'!$E:$E,""),"Steam"))</f>
        <v>-</v>
      </c>
      <c r="BU311" s="63" t="str">
        <f t="array" ref="BU311">if(xlookup(AP311&amp;AQ311&amp;"HLTV",'Roster Info'!$A:$A&amp;'Roster Info'!$G:$G&amp;'Roster Info'!$D:$D,'Roster Info'!$E:$E,"")="","-",hyperlink(xlookup(AP311&amp;AQ311&amp;"HLTV",'Roster Info'!$A:$A&amp;'Roster Info'!$G:$G&amp;'Roster Info'!$D:$D,'Roster Info'!$E:$E,""),"HLTV"))</f>
        <v>-</v>
      </c>
      <c r="BX311" s="63" t="str">
        <f t="array" ref="BX311">if(xlookup(AP311&amp;AQ311&amp;"FaceIt",'Roster Info'!$A:$A&amp;'Roster Info'!$G:$G&amp;'Roster Info'!$D:$D,'Roster Info'!$E:$E,"")="","-",hyperlink(xlookup(AP311&amp;AQ311&amp;"FaceIt",'Roster Info'!$A:$A&amp;'Roster Info'!$G:$G&amp;'Roster Info'!$D:$D,'Roster Info'!$E:$E,""),"FaceIt"))</f>
        <v>-</v>
      </c>
      <c r="BZ311" s="61"/>
      <c r="CA311" s="152"/>
      <c r="CB311" s="152"/>
      <c r="CC311" s="152"/>
      <c r="CD311" s="152"/>
    </row>
    <row r="312" ht="15.0" customHeight="1">
      <c r="A312" s="152"/>
      <c r="B312" s="152"/>
      <c r="C312" s="219"/>
      <c r="D312" s="219"/>
      <c r="E312" s="101"/>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02"/>
      <c r="AJ312" s="102"/>
      <c r="AK312" s="102"/>
      <c r="AL312" s="102"/>
      <c r="AM312" s="164"/>
      <c r="AN312" s="152"/>
      <c r="AO312" s="152"/>
      <c r="AP312" s="219"/>
      <c r="AQ312" s="219"/>
      <c r="AR312" s="101"/>
      <c r="AS312" s="102"/>
      <c r="AT312" s="102"/>
      <c r="AU312" s="102"/>
      <c r="AV312" s="102"/>
      <c r="AW312" s="102"/>
      <c r="AX312" s="102"/>
      <c r="AY312" s="102"/>
      <c r="AZ312" s="102"/>
      <c r="BA312" s="102"/>
      <c r="BB312" s="102"/>
      <c r="BC312" s="102"/>
      <c r="BD312" s="102"/>
      <c r="BE312" s="102"/>
      <c r="BF312" s="102"/>
      <c r="BG312" s="102"/>
      <c r="BH312" s="102"/>
      <c r="BI312" s="102"/>
      <c r="BJ312" s="102"/>
      <c r="BK312" s="102"/>
      <c r="BL312" s="102"/>
      <c r="BM312" s="102"/>
      <c r="BN312" s="102"/>
      <c r="BO312" s="102"/>
      <c r="BP312" s="102"/>
      <c r="BQ312" s="102"/>
      <c r="BR312" s="102"/>
      <c r="BS312" s="102"/>
      <c r="BT312" s="102"/>
      <c r="BU312" s="102"/>
      <c r="BV312" s="102"/>
      <c r="BW312" s="102"/>
      <c r="BX312" s="102"/>
      <c r="BY312" s="102"/>
      <c r="BZ312" s="164"/>
      <c r="CA312" s="152"/>
      <c r="CB312" s="152"/>
      <c r="CC312" s="152"/>
      <c r="CD312" s="152"/>
    </row>
    <row r="313" ht="15.0" customHeight="1">
      <c r="A313" s="152"/>
      <c r="B313" s="152"/>
      <c r="C313" s="219"/>
      <c r="D313" s="219"/>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c r="AA313" s="152"/>
      <c r="AB313" s="152"/>
      <c r="AC313" s="152"/>
      <c r="AD313" s="152"/>
      <c r="AE313" s="152"/>
      <c r="AF313" s="152"/>
      <c r="AG313" s="152"/>
      <c r="AH313" s="152"/>
      <c r="AI313" s="152"/>
      <c r="AJ313" s="152"/>
      <c r="AK313" s="152"/>
      <c r="AL313" s="152"/>
      <c r="AM313" s="152"/>
      <c r="AN313" s="152"/>
      <c r="AO313" s="152"/>
      <c r="AP313" s="219"/>
      <c r="AQ313" s="219"/>
      <c r="AR313" s="152"/>
      <c r="AS313" s="152"/>
      <c r="AT313" s="152"/>
      <c r="AU313" s="152"/>
      <c r="AV313" s="152"/>
      <c r="AW313" s="152"/>
      <c r="AX313" s="152"/>
      <c r="AY313" s="152"/>
      <c r="AZ313" s="152"/>
      <c r="BA313" s="152"/>
      <c r="BB313" s="152"/>
      <c r="BC313" s="152"/>
      <c r="BD313" s="152"/>
      <c r="BE313" s="152"/>
      <c r="BF313" s="152"/>
      <c r="BG313" s="152"/>
      <c r="BH313" s="152"/>
      <c r="BI313" s="152"/>
      <c r="BJ313" s="152"/>
      <c r="BK313" s="152"/>
      <c r="BL313" s="152"/>
      <c r="BM313" s="152"/>
      <c r="BN313" s="152"/>
      <c r="BO313" s="152"/>
      <c r="BP313" s="152"/>
      <c r="BQ313" s="152"/>
      <c r="BR313" s="152"/>
      <c r="BS313" s="152"/>
      <c r="BT313" s="152"/>
      <c r="BU313" s="152"/>
      <c r="BV313" s="152"/>
      <c r="BW313" s="152"/>
      <c r="BX313" s="152"/>
      <c r="BY313" s="152"/>
      <c r="BZ313" s="152"/>
      <c r="CA313" s="152"/>
      <c r="CB313" s="152"/>
      <c r="CC313" s="152"/>
      <c r="CD313" s="152"/>
    </row>
    <row r="314" ht="15.0" customHeight="1">
      <c r="A314" s="152"/>
      <c r="B314" s="152"/>
      <c r="C314" s="219"/>
      <c r="D314" s="219"/>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c r="AA314" s="152"/>
      <c r="AB314" s="152"/>
      <c r="AC314" s="152"/>
      <c r="AD314" s="152"/>
      <c r="AE314" s="152"/>
      <c r="AF314" s="152"/>
      <c r="AG314" s="152"/>
      <c r="AH314" s="152"/>
      <c r="AI314" s="152"/>
      <c r="AJ314" s="152"/>
      <c r="AK314" s="152"/>
      <c r="AL314" s="152"/>
      <c r="AM314" s="152"/>
      <c r="AN314" s="152"/>
      <c r="AO314" s="152"/>
      <c r="AP314" s="219"/>
      <c r="AQ314" s="219"/>
      <c r="AR314" s="152"/>
      <c r="AS314" s="152"/>
      <c r="AT314" s="152"/>
      <c r="AU314" s="152"/>
      <c r="AV314" s="152"/>
      <c r="AW314" s="152"/>
      <c r="AX314" s="152"/>
      <c r="AY314" s="152"/>
      <c r="AZ314" s="152"/>
      <c r="BA314" s="152"/>
      <c r="BB314" s="152"/>
      <c r="BC314" s="152"/>
      <c r="BD314" s="152"/>
      <c r="BE314" s="152"/>
      <c r="BF314" s="152"/>
      <c r="BG314" s="152"/>
      <c r="BH314" s="152"/>
      <c r="BI314" s="152"/>
      <c r="BJ314" s="152"/>
      <c r="BK314" s="152"/>
      <c r="BL314" s="152"/>
      <c r="BM314" s="152"/>
      <c r="BN314" s="152"/>
      <c r="BO314" s="152"/>
      <c r="BP314" s="152"/>
      <c r="BQ314" s="152"/>
      <c r="BR314" s="152"/>
      <c r="BS314" s="152"/>
      <c r="BT314" s="152"/>
      <c r="BU314" s="152"/>
      <c r="BV314" s="152"/>
      <c r="BW314" s="152"/>
      <c r="BX314" s="152"/>
      <c r="BY314" s="152"/>
      <c r="BZ314" s="152"/>
      <c r="CA314" s="152"/>
      <c r="CB314" s="152"/>
      <c r="CC314" s="152"/>
      <c r="CD314" s="152"/>
    </row>
    <row r="315" ht="15.0" customHeight="1">
      <c r="A315" s="152"/>
      <c r="B315" s="152"/>
      <c r="C315" s="219"/>
      <c r="D315" s="219"/>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c r="AA315" s="152"/>
      <c r="AB315" s="152"/>
      <c r="AC315" s="152"/>
      <c r="AD315" s="152"/>
      <c r="AE315" s="152"/>
      <c r="AF315" s="152"/>
      <c r="AG315" s="152"/>
      <c r="AH315" s="152"/>
      <c r="AI315" s="152"/>
      <c r="AJ315" s="152"/>
      <c r="AK315" s="152"/>
      <c r="AL315" s="152"/>
      <c r="AM315" s="152"/>
      <c r="AN315" s="152"/>
      <c r="AO315" s="152"/>
      <c r="AP315" s="219"/>
      <c r="AQ315" s="219"/>
      <c r="AR315" s="152"/>
      <c r="AS315" s="152"/>
      <c r="AT315" s="152"/>
      <c r="AU315" s="152"/>
      <c r="AV315" s="152"/>
      <c r="AW315" s="152"/>
      <c r="AX315" s="152"/>
      <c r="AY315" s="152"/>
      <c r="AZ315" s="152"/>
      <c r="BA315" s="152"/>
      <c r="BB315" s="152"/>
      <c r="BC315" s="152"/>
      <c r="BD315" s="152"/>
      <c r="BE315" s="152"/>
      <c r="BF315" s="152"/>
      <c r="BG315" s="152"/>
      <c r="BH315" s="152"/>
      <c r="BI315" s="152"/>
      <c r="BJ315" s="152"/>
      <c r="BK315" s="152"/>
      <c r="BL315" s="152"/>
      <c r="BM315" s="152"/>
      <c r="BN315" s="152"/>
      <c r="BO315" s="152"/>
      <c r="BP315" s="152"/>
      <c r="BQ315" s="152"/>
      <c r="BR315" s="152"/>
      <c r="BS315" s="152"/>
      <c r="BT315" s="152"/>
      <c r="BU315" s="152"/>
      <c r="BV315" s="152"/>
      <c r="BW315" s="152"/>
      <c r="BX315" s="152"/>
      <c r="BY315" s="152"/>
      <c r="BZ315" s="152"/>
      <c r="CA315" s="152"/>
      <c r="CB315" s="152"/>
      <c r="CC315" s="152"/>
      <c r="CD315" s="152"/>
    </row>
    <row r="316" ht="15.0" customHeight="1">
      <c r="A316" s="152"/>
      <c r="B316" s="152"/>
      <c r="C316" s="219"/>
      <c r="D316" s="219"/>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c r="AA316" s="152"/>
      <c r="AB316" s="152"/>
      <c r="AC316" s="152"/>
      <c r="AD316" s="152"/>
      <c r="AE316" s="152"/>
      <c r="AF316" s="152"/>
      <c r="AG316" s="152"/>
      <c r="AH316" s="152"/>
      <c r="AI316" s="152"/>
      <c r="AJ316" s="152"/>
      <c r="AK316" s="152"/>
      <c r="AL316" s="152"/>
      <c r="AM316" s="152"/>
      <c r="AN316" s="152"/>
      <c r="AO316" s="152"/>
      <c r="AP316" s="219"/>
      <c r="AQ316" s="219"/>
      <c r="AR316" s="152"/>
      <c r="AS316" s="152"/>
      <c r="AT316" s="152"/>
      <c r="AU316" s="152"/>
      <c r="AV316" s="152"/>
      <c r="AW316" s="152"/>
      <c r="AX316" s="152"/>
      <c r="AY316" s="152"/>
      <c r="AZ316" s="152"/>
      <c r="BA316" s="152"/>
      <c r="BB316" s="152"/>
      <c r="BC316" s="152"/>
      <c r="BD316" s="152"/>
      <c r="BE316" s="152"/>
      <c r="BF316" s="152"/>
      <c r="BG316" s="152"/>
      <c r="BH316" s="152"/>
      <c r="BI316" s="152"/>
      <c r="BJ316" s="152"/>
      <c r="BK316" s="152"/>
      <c r="BL316" s="152"/>
      <c r="BM316" s="152"/>
      <c r="BN316" s="152"/>
      <c r="BO316" s="152"/>
      <c r="BP316" s="152"/>
      <c r="BQ316" s="152"/>
      <c r="BR316" s="152"/>
      <c r="BS316" s="152"/>
      <c r="BT316" s="152"/>
      <c r="BU316" s="152"/>
      <c r="BV316" s="152"/>
      <c r="BW316" s="152"/>
      <c r="BX316" s="152"/>
      <c r="BY316" s="152"/>
      <c r="BZ316" s="152"/>
      <c r="CA316" s="152"/>
      <c r="CB316" s="152"/>
      <c r="CC316" s="152"/>
      <c r="CD316" s="152"/>
    </row>
    <row r="317" ht="15.0" customHeight="1">
      <c r="A317" s="152"/>
      <c r="B317" s="152"/>
      <c r="C317" s="219"/>
      <c r="D317" s="219"/>
      <c r="E317" s="220" t="str">
        <f t="array" ref="E317">xlookup(M317,'Team Entry'!$A:$A,'Team Entry'!$B:$B,"")</f>
        <v/>
      </c>
      <c r="F317" s="58"/>
      <c r="G317" s="58"/>
      <c r="H317" s="58"/>
      <c r="I317" s="58"/>
      <c r="J317" s="58"/>
      <c r="K317" s="58"/>
      <c r="L317" s="58"/>
      <c r="M317" s="221" t="str">
        <f t="array" ref="M317">xlookup(C323,'Roster Info'!$A:$A,'Roster Info'!$B:$B,"")</f>
        <v>Team 15 (Group 1)</v>
      </c>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9"/>
      <c r="AN317" s="152"/>
      <c r="AO317" s="152"/>
      <c r="AP317" s="219"/>
      <c r="AQ317" s="219"/>
      <c r="AR317" s="220" t="str">
        <f t="array" ref="AR317">xlookup(AZ317,'Team Entry'!$A:$A,'Team Entry'!$B:$B,"")</f>
        <v/>
      </c>
      <c r="AS317" s="58"/>
      <c r="AT317" s="58"/>
      <c r="AU317" s="58"/>
      <c r="AV317" s="58"/>
      <c r="AW317" s="58"/>
      <c r="AX317" s="58"/>
      <c r="AY317" s="58"/>
      <c r="AZ317" s="221" t="str">
        <f t="array" ref="AZ317">xlookup(AP323,'Roster Info'!$A:$A,'Roster Info'!$B:$B,"")</f>
        <v>Team 16 (Group 1)</v>
      </c>
      <c r="BA317" s="58"/>
      <c r="BB317" s="58"/>
      <c r="BC317" s="58"/>
      <c r="BD317" s="58"/>
      <c r="BE317" s="58"/>
      <c r="BF317" s="58"/>
      <c r="BG317" s="58"/>
      <c r="BH317" s="58"/>
      <c r="BI317" s="58"/>
      <c r="BJ317" s="58"/>
      <c r="BK317" s="58"/>
      <c r="BL317" s="58"/>
      <c r="BM317" s="58"/>
      <c r="BN317" s="58"/>
      <c r="BO317" s="58"/>
      <c r="BP317" s="58"/>
      <c r="BQ317" s="58"/>
      <c r="BR317" s="58"/>
      <c r="BS317" s="58"/>
      <c r="BT317" s="58"/>
      <c r="BU317" s="58"/>
      <c r="BV317" s="58"/>
      <c r="BW317" s="58"/>
      <c r="BX317" s="58"/>
      <c r="BY317" s="58"/>
      <c r="BZ317" s="59"/>
      <c r="CA317" s="152"/>
      <c r="CB317" s="152"/>
      <c r="CC317" s="152"/>
      <c r="CD317" s="152"/>
    </row>
    <row r="318" ht="15.0" customHeight="1">
      <c r="A318" s="152"/>
      <c r="B318" s="152"/>
      <c r="C318" s="219"/>
      <c r="D318" s="219"/>
      <c r="E318" s="60"/>
      <c r="AM318" s="61"/>
      <c r="AN318" s="152"/>
      <c r="AO318" s="152"/>
      <c r="AP318" s="219"/>
      <c r="AQ318" s="219"/>
      <c r="AR318" s="60"/>
      <c r="BZ318" s="61"/>
      <c r="CA318" s="152"/>
      <c r="CB318" s="152"/>
      <c r="CC318" s="152"/>
      <c r="CD318" s="152"/>
    </row>
    <row r="319" ht="15.0" customHeight="1">
      <c r="A319" s="152"/>
      <c r="B319" s="152"/>
      <c r="C319" s="219"/>
      <c r="D319" s="219"/>
      <c r="E319" s="60"/>
      <c r="AM319" s="61"/>
      <c r="AN319" s="152"/>
      <c r="AO319" s="152"/>
      <c r="AP319" s="219"/>
      <c r="AQ319" s="219"/>
      <c r="AR319" s="60"/>
      <c r="BZ319" s="61"/>
      <c r="CA319" s="152"/>
      <c r="CB319" s="152"/>
      <c r="CC319" s="152"/>
      <c r="CD319" s="152"/>
    </row>
    <row r="320" ht="15.0" customHeight="1">
      <c r="A320" s="152"/>
      <c r="B320" s="152"/>
      <c r="C320" s="219"/>
      <c r="D320" s="219"/>
      <c r="E320" s="60"/>
      <c r="AM320" s="61"/>
      <c r="AN320" s="152"/>
      <c r="AO320" s="152"/>
      <c r="AP320" s="219"/>
      <c r="AQ320" s="219"/>
      <c r="AR320" s="60"/>
      <c r="BZ320" s="61"/>
      <c r="CA320" s="152"/>
      <c r="CB320" s="152"/>
      <c r="CC320" s="152"/>
      <c r="CD320" s="152"/>
    </row>
    <row r="321" ht="15.0" customHeight="1">
      <c r="A321" s="152"/>
      <c r="B321" s="152"/>
      <c r="C321" s="219"/>
      <c r="D321" s="219"/>
      <c r="E321" s="60"/>
      <c r="AM321" s="61"/>
      <c r="AN321" s="152"/>
      <c r="AO321" s="152"/>
      <c r="AP321" s="219"/>
      <c r="AQ321" s="219"/>
      <c r="AR321" s="60"/>
      <c r="BZ321" s="61"/>
      <c r="CA321" s="152"/>
      <c r="CB321" s="152"/>
      <c r="CC321" s="152"/>
      <c r="CD321" s="152"/>
    </row>
    <row r="322" ht="15.0" customHeight="1">
      <c r="A322" s="152"/>
      <c r="B322" s="152"/>
      <c r="C322" s="219"/>
      <c r="D322" s="219"/>
      <c r="E322" s="222"/>
      <c r="F322" s="223"/>
      <c r="G322" s="223"/>
      <c r="H322" s="223"/>
      <c r="I322" s="223"/>
      <c r="J322" s="223"/>
      <c r="K322" s="223"/>
      <c r="L322" s="223"/>
      <c r="M322" s="223"/>
      <c r="N322" s="223"/>
      <c r="O322" s="223"/>
      <c r="P322" s="223"/>
      <c r="Q322" s="223"/>
      <c r="R322" s="223"/>
      <c r="S322" s="223"/>
      <c r="T322" s="223"/>
      <c r="U322" s="223"/>
      <c r="V322" s="223"/>
      <c r="W322" s="223"/>
      <c r="X322" s="223"/>
      <c r="Y322" s="223"/>
      <c r="Z322" s="223"/>
      <c r="AA322" s="223"/>
      <c r="AB322" s="223"/>
      <c r="AC322" s="223"/>
      <c r="AD322" s="223"/>
      <c r="AE322" s="223"/>
      <c r="AF322" s="223"/>
      <c r="AG322" s="223"/>
      <c r="AH322" s="223"/>
      <c r="AI322" s="223"/>
      <c r="AJ322" s="223"/>
      <c r="AK322" s="223"/>
      <c r="AL322" s="223"/>
      <c r="AM322" s="224"/>
      <c r="AN322" s="152"/>
      <c r="AO322" s="152"/>
      <c r="AP322" s="219"/>
      <c r="AQ322" s="219"/>
      <c r="AR322" s="222"/>
      <c r="AS322" s="223"/>
      <c r="AT322" s="223"/>
      <c r="AU322" s="223"/>
      <c r="AV322" s="223"/>
      <c r="AW322" s="223"/>
      <c r="AX322" s="223"/>
      <c r="AY322" s="223"/>
      <c r="AZ322" s="223"/>
      <c r="BA322" s="223"/>
      <c r="BB322" s="223"/>
      <c r="BC322" s="223"/>
      <c r="BD322" s="223"/>
      <c r="BE322" s="223"/>
      <c r="BF322" s="223"/>
      <c r="BG322" s="223"/>
      <c r="BH322" s="223"/>
      <c r="BI322" s="223"/>
      <c r="BJ322" s="223"/>
      <c r="BK322" s="223"/>
      <c r="BL322" s="223"/>
      <c r="BM322" s="223"/>
      <c r="BN322" s="223"/>
      <c r="BO322" s="223"/>
      <c r="BP322" s="223"/>
      <c r="BQ322" s="223"/>
      <c r="BR322" s="223"/>
      <c r="BS322" s="223"/>
      <c r="BT322" s="223"/>
      <c r="BU322" s="223"/>
      <c r="BV322" s="223"/>
      <c r="BW322" s="223"/>
      <c r="BX322" s="223"/>
      <c r="BY322" s="223"/>
      <c r="BZ322" s="224"/>
      <c r="CA322" s="152"/>
      <c r="CB322" s="152"/>
      <c r="CC322" s="152"/>
      <c r="CD322" s="152"/>
    </row>
    <row r="323" ht="15.0" customHeight="1">
      <c r="A323" s="152"/>
      <c r="B323" s="152"/>
      <c r="C323" s="225">
        <f>AP299+1</f>
        <v>27</v>
      </c>
      <c r="D323" s="225" t="s">
        <v>109</v>
      </c>
      <c r="E323" s="226" t="s">
        <v>109</v>
      </c>
      <c r="I323" s="227" t="str">
        <f t="array" ref="I323">xlookup(xlookup(C323&amp;D323&amp;"Nationality",'Roster Info'!$A:$A&amp;'Roster Info'!$G:$G&amp;'Roster Info'!$D:$D,'Roster Info'!$E:$E,""),'Roster Info'!$K:$K,'Roster Info'!$L:$L,"")</f>
        <v/>
      </c>
      <c r="K323" s="228" t="str">
        <f t="array" ref="K323">xlookup(C323&amp;D323,'Roster Info'!$A:$A&amp;'Roster Info'!$G:$G,'Roster Info'!$F:$F,"")</f>
        <v/>
      </c>
      <c r="U323" s="229" t="str">
        <f t="array" ref="U323">xlookup(C323&amp;D323&amp;"Full Name",'Roster Info'!$A:$A&amp;'Roster Info'!$G:$G&amp;'Roster Info'!$D:$D,'Roster Info'!$E:$E,"")</f>
        <v/>
      </c>
      <c r="AE323" s="63" t="str">
        <f t="array" ref="AE323">if(xlookup(C323&amp;D323&amp;"Steam",'Roster Info'!$A:$A&amp;'Roster Info'!$G:$G&amp;'Roster Info'!$D:$D,'Roster Info'!$E:$E,"")="","-",hyperlink(xlookup(C323&amp;D323&amp;"Steam",'Roster Info'!$A:$A&amp;'Roster Info'!$G:$G&amp;'Roster Info'!$D:$D,'Roster Info'!$E:$E,""),"Steam"))</f>
        <v>-</v>
      </c>
      <c r="AH323" s="63" t="str">
        <f t="array" ref="AH323">if(xlookup(C323&amp;D323&amp;"HLTV",'Roster Info'!$A:$A&amp;'Roster Info'!$G:$G&amp;'Roster Info'!$D:$D,'Roster Info'!$E:$E,"")="","-",hyperlink(xlookup(C323&amp;D323&amp;"HLTV",'Roster Info'!$A:$A&amp;'Roster Info'!$G:$G&amp;'Roster Info'!$D:$D,'Roster Info'!$E:$E,""),"HLTV"))</f>
        <v>-</v>
      </c>
      <c r="AK323" s="63" t="str">
        <f t="array" ref="AK323">if(xlookup(C323&amp;D323&amp;"FaceIt",'Roster Info'!$A:$A&amp;'Roster Info'!$G:$G&amp;'Roster Info'!$D:$D,'Roster Info'!$E:$E,"")="","-",hyperlink(xlookup(C323&amp;D323&amp;"FaceIt",'Roster Info'!$A:$A&amp;'Roster Info'!$G:$G&amp;'Roster Info'!$D:$D,'Roster Info'!$E:$E,""),"FaceIt"))</f>
        <v>-</v>
      </c>
      <c r="AM323" s="61"/>
      <c r="AN323" s="152"/>
      <c r="AO323" s="152"/>
      <c r="AP323" s="225">
        <f>C323+1</f>
        <v>28</v>
      </c>
      <c r="AQ323" s="225" t="s">
        <v>109</v>
      </c>
      <c r="AR323" s="226" t="s">
        <v>109</v>
      </c>
      <c r="AV323" s="227" t="str">
        <f t="array" ref="AV323">xlookup(xlookup(AP323&amp;AQ323&amp;"Nationality",'Roster Info'!$A:$A&amp;'Roster Info'!$G:$G&amp;'Roster Info'!$D:$D,'Roster Info'!$E:$E,""),'Roster Info'!$K:$K,'Roster Info'!$L:$L,"")</f>
        <v/>
      </c>
      <c r="AX323" s="228" t="str">
        <f t="array" ref="AX323">xlookup(AP323&amp;AQ323,'Roster Info'!$A:$A&amp;'Roster Info'!$G:$G,'Roster Info'!$F:$F,"")</f>
        <v/>
      </c>
      <c r="BH323" s="229" t="str">
        <f t="array" ref="BH323">xlookup(AP323&amp;AQ323&amp;"Full Name",'Roster Info'!$A:$A&amp;'Roster Info'!$G:$G&amp;'Roster Info'!$D:$D,'Roster Info'!$E:$E,"")</f>
        <v/>
      </c>
      <c r="BR323" s="63" t="str">
        <f t="array" ref="BR323">if(xlookup(AP323&amp;AQ323&amp;"Steam",'Roster Info'!$A:$A&amp;'Roster Info'!$G:$G&amp;'Roster Info'!$D:$D,'Roster Info'!$E:$E,"")="","-",hyperlink(xlookup(AP323&amp;AQ323&amp;"Steam",'Roster Info'!$A:$A&amp;'Roster Info'!$G:$G&amp;'Roster Info'!$D:$D,'Roster Info'!$E:$E,""),"Steam"))</f>
        <v>-</v>
      </c>
      <c r="BU323" s="63" t="str">
        <f t="array" ref="BU323">if(xlookup(AP323&amp;AQ323&amp;"HLTV",'Roster Info'!$A:$A&amp;'Roster Info'!$G:$G&amp;'Roster Info'!$D:$D,'Roster Info'!$E:$E,"")="","-",hyperlink(xlookup(AP323&amp;AQ323&amp;"HLTV",'Roster Info'!$A:$A&amp;'Roster Info'!$G:$G&amp;'Roster Info'!$D:$D,'Roster Info'!$E:$E,""),"HLTV"))</f>
        <v>-</v>
      </c>
      <c r="BX323" s="63" t="str">
        <f t="array" ref="BX323">if(xlookup(AP323&amp;AQ323&amp;"FaceIt",'Roster Info'!$A:$A&amp;'Roster Info'!$G:$G&amp;'Roster Info'!$D:$D,'Roster Info'!$E:$E,"")="","-",hyperlink(xlookup(AP323&amp;AQ323&amp;"FaceIt",'Roster Info'!$A:$A&amp;'Roster Info'!$G:$G&amp;'Roster Info'!$D:$D,'Roster Info'!$E:$E,""),"FaceIt"))</f>
        <v>-</v>
      </c>
      <c r="BZ323" s="61"/>
      <c r="CA323" s="152"/>
      <c r="CB323" s="152"/>
      <c r="CC323" s="152"/>
      <c r="CD323" s="152"/>
    </row>
    <row r="324" ht="15.0" customHeight="1">
      <c r="A324" s="152"/>
      <c r="B324" s="152"/>
      <c r="C324" s="219"/>
      <c r="D324" s="219"/>
      <c r="E324" s="230"/>
      <c r="F324" s="231"/>
      <c r="G324" s="231"/>
      <c r="H324" s="231"/>
      <c r="I324" s="231"/>
      <c r="J324" s="231"/>
      <c r="K324" s="231"/>
      <c r="L324" s="231"/>
      <c r="M324" s="231"/>
      <c r="N324" s="231"/>
      <c r="O324" s="231"/>
      <c r="P324" s="231"/>
      <c r="Q324" s="231"/>
      <c r="R324" s="231"/>
      <c r="S324" s="231"/>
      <c r="T324" s="231"/>
      <c r="U324" s="231"/>
      <c r="V324" s="231"/>
      <c r="W324" s="231"/>
      <c r="X324" s="231"/>
      <c r="Y324" s="231"/>
      <c r="Z324" s="231"/>
      <c r="AA324" s="231"/>
      <c r="AB324" s="231"/>
      <c r="AC324" s="231"/>
      <c r="AD324" s="231"/>
      <c r="AE324" s="231"/>
      <c r="AF324" s="231"/>
      <c r="AG324" s="231"/>
      <c r="AH324" s="231"/>
      <c r="AI324" s="231"/>
      <c r="AJ324" s="231"/>
      <c r="AK324" s="231"/>
      <c r="AL324" s="231"/>
      <c r="AM324" s="232"/>
      <c r="AN324" s="152"/>
      <c r="AO324" s="152"/>
      <c r="AP324" s="219"/>
      <c r="AQ324" s="219"/>
      <c r="AR324" s="230"/>
      <c r="AS324" s="231"/>
      <c r="AT324" s="231"/>
      <c r="AU324" s="231"/>
      <c r="AV324" s="231"/>
      <c r="AW324" s="231"/>
      <c r="AX324" s="231"/>
      <c r="AY324" s="231"/>
      <c r="AZ324" s="231"/>
      <c r="BA324" s="231"/>
      <c r="BB324" s="231"/>
      <c r="BC324" s="231"/>
      <c r="BD324" s="231"/>
      <c r="BE324" s="231"/>
      <c r="BF324" s="231"/>
      <c r="BG324" s="231"/>
      <c r="BH324" s="231"/>
      <c r="BI324" s="231"/>
      <c r="BJ324" s="231"/>
      <c r="BK324" s="231"/>
      <c r="BL324" s="231"/>
      <c r="BM324" s="231"/>
      <c r="BN324" s="231"/>
      <c r="BO324" s="231"/>
      <c r="BP324" s="231"/>
      <c r="BQ324" s="231"/>
      <c r="BR324" s="231"/>
      <c r="BS324" s="231"/>
      <c r="BT324" s="231"/>
      <c r="BU324" s="231"/>
      <c r="BV324" s="231"/>
      <c r="BW324" s="231"/>
      <c r="BX324" s="231"/>
      <c r="BY324" s="231"/>
      <c r="BZ324" s="232"/>
      <c r="CA324" s="152"/>
      <c r="CB324" s="152"/>
      <c r="CC324" s="152"/>
      <c r="CD324" s="152"/>
    </row>
    <row r="325" ht="15.0" customHeight="1">
      <c r="A325" s="152"/>
      <c r="B325" s="152"/>
      <c r="C325" s="219">
        <f>C323</f>
        <v>27</v>
      </c>
      <c r="D325" s="225" t="s">
        <v>115</v>
      </c>
      <c r="E325" s="226" t="s">
        <v>115</v>
      </c>
      <c r="I325" s="227" t="str">
        <f t="array" ref="I325">xlookup(xlookup(C325&amp;D325&amp;"Nationality",'Roster Info'!$A:$A&amp;'Roster Info'!$G:$G&amp;'Roster Info'!$D:$D,'Roster Info'!$E:$E,""),'Roster Info'!$K:$K,'Roster Info'!$L:$L,"")</f>
        <v/>
      </c>
      <c r="K325" s="228" t="str">
        <f t="array" ref="K325">xlookup(C325&amp;D325,'Roster Info'!$A:$A&amp;'Roster Info'!$G:$G,'Roster Info'!$F:$F,"")</f>
        <v/>
      </c>
      <c r="U325" s="229" t="str">
        <f t="array" ref="U325">xlookup(C325&amp;D325&amp;"Full Name",'Roster Info'!$A:$A&amp;'Roster Info'!$G:$G&amp;'Roster Info'!$D:$D,'Roster Info'!$E:$E,"")</f>
        <v/>
      </c>
      <c r="AE325" s="63" t="str">
        <f t="array" ref="AE325">if(xlookup(C325&amp;D325&amp;"Steam",'Roster Info'!$A:$A&amp;'Roster Info'!$G:$G&amp;'Roster Info'!$D:$D,'Roster Info'!$E:$E,"")="","-",hyperlink(xlookup(C325&amp;D325&amp;"Steam",'Roster Info'!$A:$A&amp;'Roster Info'!$G:$G&amp;'Roster Info'!$D:$D,'Roster Info'!$E:$E,""),"Steam"))</f>
        <v>-</v>
      </c>
      <c r="AH325" s="63" t="str">
        <f t="array" ref="AH325">if(xlookup(C325&amp;D325&amp;"HLTV",'Roster Info'!$A:$A&amp;'Roster Info'!$G:$G&amp;'Roster Info'!$D:$D,'Roster Info'!$E:$E,"")="","-",hyperlink(xlookup(C325&amp;D325&amp;"HLTV",'Roster Info'!$A:$A&amp;'Roster Info'!$G:$G&amp;'Roster Info'!$D:$D,'Roster Info'!$E:$E,""),"HLTV"))</f>
        <v>-</v>
      </c>
      <c r="AK325" s="63" t="str">
        <f t="array" ref="AK325">if(xlookup(C325&amp;D325&amp;"FaceIt",'Roster Info'!$A:$A&amp;'Roster Info'!$G:$G&amp;'Roster Info'!$D:$D,'Roster Info'!$E:$E,"")="","-",hyperlink(xlookup(C325&amp;D325&amp;"FaceIt",'Roster Info'!$A:$A&amp;'Roster Info'!$G:$G&amp;'Roster Info'!$D:$D,'Roster Info'!$E:$E,""),"FaceIt"))</f>
        <v>-</v>
      </c>
      <c r="AM325" s="61"/>
      <c r="AN325" s="152"/>
      <c r="AO325" s="152"/>
      <c r="AP325" s="219">
        <f>AP323</f>
        <v>28</v>
      </c>
      <c r="AQ325" s="225" t="s">
        <v>115</v>
      </c>
      <c r="AR325" s="226" t="s">
        <v>115</v>
      </c>
      <c r="AV325" s="227" t="str">
        <f t="array" ref="AV325">xlookup(xlookup(AP325&amp;AQ325&amp;"Nationality",'Roster Info'!$A:$A&amp;'Roster Info'!$G:$G&amp;'Roster Info'!$D:$D,'Roster Info'!$E:$E,""),'Roster Info'!$K:$K,'Roster Info'!$L:$L,"")</f>
        <v/>
      </c>
      <c r="AX325" s="228" t="str">
        <f t="array" ref="AX325">xlookup(AP325&amp;AQ325,'Roster Info'!$A:$A&amp;'Roster Info'!$G:$G,'Roster Info'!$F:$F,"")</f>
        <v/>
      </c>
      <c r="BH325" s="229" t="str">
        <f t="array" ref="BH325">xlookup(AP325&amp;AQ325&amp;"Full Name",'Roster Info'!$A:$A&amp;'Roster Info'!$G:$G&amp;'Roster Info'!$D:$D,'Roster Info'!$E:$E,"")</f>
        <v/>
      </c>
      <c r="BR325" s="63" t="str">
        <f t="array" ref="BR325">if(xlookup(AP325&amp;AQ325&amp;"Steam",'Roster Info'!$A:$A&amp;'Roster Info'!$G:$G&amp;'Roster Info'!$D:$D,'Roster Info'!$E:$E,"")="","-",hyperlink(xlookup(AP325&amp;AQ325&amp;"Steam",'Roster Info'!$A:$A&amp;'Roster Info'!$G:$G&amp;'Roster Info'!$D:$D,'Roster Info'!$E:$E,""),"Steam"))</f>
        <v>-</v>
      </c>
      <c r="BU325" s="63" t="str">
        <f t="array" ref="BU325">if(xlookup(AP325&amp;AQ325&amp;"HLTV",'Roster Info'!$A:$A&amp;'Roster Info'!$G:$G&amp;'Roster Info'!$D:$D,'Roster Info'!$E:$E,"")="","-",hyperlink(xlookup(AP325&amp;AQ325&amp;"HLTV",'Roster Info'!$A:$A&amp;'Roster Info'!$G:$G&amp;'Roster Info'!$D:$D,'Roster Info'!$E:$E,""),"HLTV"))</f>
        <v>-</v>
      </c>
      <c r="BX325" s="63" t="str">
        <f t="array" ref="BX325">if(xlookup(AP325&amp;AQ325&amp;"FaceIt",'Roster Info'!$A:$A&amp;'Roster Info'!$G:$G&amp;'Roster Info'!$D:$D,'Roster Info'!$E:$E,"")="","-",hyperlink(xlookup(AP325&amp;AQ325&amp;"FaceIt",'Roster Info'!$A:$A&amp;'Roster Info'!$G:$G&amp;'Roster Info'!$D:$D,'Roster Info'!$E:$E,""),"FaceIt"))</f>
        <v>-</v>
      </c>
      <c r="BZ325" s="61"/>
      <c r="CA325" s="152"/>
      <c r="CB325" s="152"/>
      <c r="CC325" s="152"/>
      <c r="CD325" s="152"/>
    </row>
    <row r="326" ht="15.0" customHeight="1">
      <c r="A326" s="152"/>
      <c r="B326" s="152"/>
      <c r="C326" s="219"/>
      <c r="D326" s="219"/>
      <c r="E326" s="230"/>
      <c r="F326" s="231"/>
      <c r="G326" s="231"/>
      <c r="H326" s="231"/>
      <c r="I326" s="231"/>
      <c r="J326" s="231"/>
      <c r="K326" s="231"/>
      <c r="L326" s="231"/>
      <c r="M326" s="231"/>
      <c r="N326" s="231"/>
      <c r="O326" s="231"/>
      <c r="P326" s="231"/>
      <c r="Q326" s="231"/>
      <c r="R326" s="231"/>
      <c r="S326" s="231"/>
      <c r="T326" s="231"/>
      <c r="U326" s="231"/>
      <c r="V326" s="231"/>
      <c r="W326" s="231"/>
      <c r="X326" s="231"/>
      <c r="Y326" s="231"/>
      <c r="Z326" s="231"/>
      <c r="AA326" s="231"/>
      <c r="AB326" s="231"/>
      <c r="AC326" s="231"/>
      <c r="AD326" s="231"/>
      <c r="AE326" s="231"/>
      <c r="AF326" s="231"/>
      <c r="AG326" s="231"/>
      <c r="AH326" s="231"/>
      <c r="AI326" s="231"/>
      <c r="AJ326" s="231"/>
      <c r="AK326" s="231"/>
      <c r="AL326" s="231"/>
      <c r="AM326" s="232"/>
      <c r="AN326" s="152"/>
      <c r="AO326" s="152"/>
      <c r="AP326" s="219"/>
      <c r="AQ326" s="219"/>
      <c r="AR326" s="230"/>
      <c r="AS326" s="231"/>
      <c r="AT326" s="231"/>
      <c r="AU326" s="231"/>
      <c r="AV326" s="231"/>
      <c r="AW326" s="231"/>
      <c r="AX326" s="231"/>
      <c r="AY326" s="231"/>
      <c r="AZ326" s="231"/>
      <c r="BA326" s="231"/>
      <c r="BB326" s="231"/>
      <c r="BC326" s="231"/>
      <c r="BD326" s="231"/>
      <c r="BE326" s="231"/>
      <c r="BF326" s="231"/>
      <c r="BG326" s="231"/>
      <c r="BH326" s="231"/>
      <c r="BI326" s="231"/>
      <c r="BJ326" s="231"/>
      <c r="BK326" s="231"/>
      <c r="BL326" s="231"/>
      <c r="BM326" s="231"/>
      <c r="BN326" s="231"/>
      <c r="BO326" s="231"/>
      <c r="BP326" s="231"/>
      <c r="BQ326" s="231"/>
      <c r="BR326" s="231"/>
      <c r="BS326" s="231"/>
      <c r="BT326" s="231"/>
      <c r="BU326" s="231"/>
      <c r="BV326" s="231"/>
      <c r="BW326" s="231"/>
      <c r="BX326" s="231"/>
      <c r="BY326" s="231"/>
      <c r="BZ326" s="232"/>
      <c r="CA326" s="152"/>
      <c r="CB326" s="152"/>
      <c r="CC326" s="152"/>
      <c r="CD326" s="152"/>
    </row>
    <row r="327" ht="15.0" customHeight="1">
      <c r="A327" s="152"/>
      <c r="B327" s="152"/>
      <c r="C327" s="219">
        <f>C325</f>
        <v>27</v>
      </c>
      <c r="D327" s="225" t="s">
        <v>121</v>
      </c>
      <c r="E327" s="226" t="s">
        <v>121</v>
      </c>
      <c r="I327" s="227" t="str">
        <f t="array" ref="I327">xlookup(xlookup(C327&amp;D327&amp;"Nationality",'Roster Info'!$A:$A&amp;'Roster Info'!$G:$G&amp;'Roster Info'!$D:$D,'Roster Info'!$E:$E,""),'Roster Info'!$K:$K,'Roster Info'!$L:$L,"")</f>
        <v/>
      </c>
      <c r="K327" s="228" t="str">
        <f t="array" ref="K327">xlookup(C327&amp;D327,'Roster Info'!$A:$A&amp;'Roster Info'!$G:$G,'Roster Info'!$F:$F,"")</f>
        <v/>
      </c>
      <c r="U327" s="229" t="str">
        <f t="array" ref="U327">xlookup(C327&amp;D327&amp;"Full Name",'Roster Info'!$A:$A&amp;'Roster Info'!$G:$G&amp;'Roster Info'!$D:$D,'Roster Info'!$E:$E,"")</f>
        <v/>
      </c>
      <c r="AE327" s="63" t="str">
        <f t="array" ref="AE327">if(xlookup(C327&amp;D327&amp;"Steam",'Roster Info'!$A:$A&amp;'Roster Info'!$G:$G&amp;'Roster Info'!$D:$D,'Roster Info'!$E:$E,"")="","-",hyperlink(xlookup(C327&amp;D327&amp;"Steam",'Roster Info'!$A:$A&amp;'Roster Info'!$G:$G&amp;'Roster Info'!$D:$D,'Roster Info'!$E:$E,""),"Steam"))</f>
        <v>-</v>
      </c>
      <c r="AH327" s="63" t="str">
        <f t="array" ref="AH327">if(xlookup(C327&amp;D327&amp;"HLTV",'Roster Info'!$A:$A&amp;'Roster Info'!$G:$G&amp;'Roster Info'!$D:$D,'Roster Info'!$E:$E,"")="","-",hyperlink(xlookup(C327&amp;D327&amp;"HLTV",'Roster Info'!$A:$A&amp;'Roster Info'!$G:$G&amp;'Roster Info'!$D:$D,'Roster Info'!$E:$E,""),"HLTV"))</f>
        <v>-</v>
      </c>
      <c r="AK327" s="63" t="str">
        <f t="array" ref="AK327">if(xlookup(C327&amp;D327&amp;"FaceIt",'Roster Info'!$A:$A&amp;'Roster Info'!$G:$G&amp;'Roster Info'!$D:$D,'Roster Info'!$E:$E,"")="","-",hyperlink(xlookup(C327&amp;D327&amp;"FaceIt",'Roster Info'!$A:$A&amp;'Roster Info'!$G:$G&amp;'Roster Info'!$D:$D,'Roster Info'!$E:$E,""),"FaceIt"))</f>
        <v>-</v>
      </c>
      <c r="AM327" s="61"/>
      <c r="AN327" s="152"/>
      <c r="AO327" s="152"/>
      <c r="AP327" s="219">
        <f>AP325</f>
        <v>28</v>
      </c>
      <c r="AQ327" s="225" t="s">
        <v>121</v>
      </c>
      <c r="AR327" s="226" t="s">
        <v>121</v>
      </c>
      <c r="AV327" s="227" t="str">
        <f t="array" ref="AV327">xlookup(xlookup(AP327&amp;AQ327&amp;"Nationality",'Roster Info'!$A:$A&amp;'Roster Info'!$G:$G&amp;'Roster Info'!$D:$D,'Roster Info'!$E:$E,""),'Roster Info'!$K:$K,'Roster Info'!$L:$L,"")</f>
        <v/>
      </c>
      <c r="AX327" s="228" t="str">
        <f t="array" ref="AX327">xlookup(AP327&amp;AQ327,'Roster Info'!$A:$A&amp;'Roster Info'!$G:$G,'Roster Info'!$F:$F,"")</f>
        <v/>
      </c>
      <c r="BH327" s="229" t="str">
        <f t="array" ref="BH327">xlookup(AP327&amp;AQ327&amp;"Full Name",'Roster Info'!$A:$A&amp;'Roster Info'!$G:$G&amp;'Roster Info'!$D:$D,'Roster Info'!$E:$E,"")</f>
        <v/>
      </c>
      <c r="BR327" s="63" t="str">
        <f t="array" ref="BR327">if(xlookup(AP327&amp;AQ327&amp;"Steam",'Roster Info'!$A:$A&amp;'Roster Info'!$G:$G&amp;'Roster Info'!$D:$D,'Roster Info'!$E:$E,"")="","-",hyperlink(xlookup(AP327&amp;AQ327&amp;"Steam",'Roster Info'!$A:$A&amp;'Roster Info'!$G:$G&amp;'Roster Info'!$D:$D,'Roster Info'!$E:$E,""),"Steam"))</f>
        <v>-</v>
      </c>
      <c r="BU327" s="63" t="str">
        <f t="array" ref="BU327">if(xlookup(AP327&amp;AQ327&amp;"HLTV",'Roster Info'!$A:$A&amp;'Roster Info'!$G:$G&amp;'Roster Info'!$D:$D,'Roster Info'!$E:$E,"")="","-",hyperlink(xlookup(AP327&amp;AQ327&amp;"HLTV",'Roster Info'!$A:$A&amp;'Roster Info'!$G:$G&amp;'Roster Info'!$D:$D,'Roster Info'!$E:$E,""),"HLTV"))</f>
        <v>-</v>
      </c>
      <c r="BX327" s="63" t="str">
        <f t="array" ref="BX327">if(xlookup(AP327&amp;AQ327&amp;"FaceIt",'Roster Info'!$A:$A&amp;'Roster Info'!$G:$G&amp;'Roster Info'!$D:$D,'Roster Info'!$E:$E,"")="","-",hyperlink(xlookup(AP327&amp;AQ327&amp;"FaceIt",'Roster Info'!$A:$A&amp;'Roster Info'!$G:$G&amp;'Roster Info'!$D:$D,'Roster Info'!$E:$E,""),"FaceIt"))</f>
        <v>-</v>
      </c>
      <c r="BZ327" s="61"/>
      <c r="CA327" s="152"/>
      <c r="CB327" s="152"/>
      <c r="CC327" s="152"/>
      <c r="CD327" s="152"/>
    </row>
    <row r="328" ht="15.0" customHeight="1">
      <c r="A328" s="152"/>
      <c r="B328" s="152"/>
      <c r="C328" s="219"/>
      <c r="D328" s="219"/>
      <c r="E328" s="230"/>
      <c r="F328" s="231"/>
      <c r="G328" s="231"/>
      <c r="H328" s="231"/>
      <c r="I328" s="231"/>
      <c r="J328" s="231"/>
      <c r="K328" s="231"/>
      <c r="L328" s="231"/>
      <c r="M328" s="231"/>
      <c r="N328" s="231"/>
      <c r="O328" s="231"/>
      <c r="P328" s="231"/>
      <c r="Q328" s="231"/>
      <c r="R328" s="231"/>
      <c r="S328" s="231"/>
      <c r="T328" s="231"/>
      <c r="U328" s="231"/>
      <c r="V328" s="231"/>
      <c r="W328" s="231"/>
      <c r="X328" s="231"/>
      <c r="Y328" s="231"/>
      <c r="Z328" s="231"/>
      <c r="AA328" s="231"/>
      <c r="AB328" s="231"/>
      <c r="AC328" s="231"/>
      <c r="AD328" s="231"/>
      <c r="AE328" s="231"/>
      <c r="AF328" s="231"/>
      <c r="AG328" s="231"/>
      <c r="AH328" s="231"/>
      <c r="AI328" s="231"/>
      <c r="AJ328" s="231"/>
      <c r="AK328" s="231"/>
      <c r="AL328" s="231"/>
      <c r="AM328" s="232"/>
      <c r="AN328" s="152"/>
      <c r="AO328" s="152"/>
      <c r="AP328" s="219"/>
      <c r="AQ328" s="219"/>
      <c r="AR328" s="230"/>
      <c r="AS328" s="231"/>
      <c r="AT328" s="231"/>
      <c r="AU328" s="231"/>
      <c r="AV328" s="231"/>
      <c r="AW328" s="231"/>
      <c r="AX328" s="231"/>
      <c r="AY328" s="231"/>
      <c r="AZ328" s="231"/>
      <c r="BA328" s="231"/>
      <c r="BB328" s="231"/>
      <c r="BC328" s="231"/>
      <c r="BD328" s="231"/>
      <c r="BE328" s="231"/>
      <c r="BF328" s="231"/>
      <c r="BG328" s="231"/>
      <c r="BH328" s="231"/>
      <c r="BI328" s="231"/>
      <c r="BJ328" s="231"/>
      <c r="BK328" s="231"/>
      <c r="BL328" s="231"/>
      <c r="BM328" s="231"/>
      <c r="BN328" s="231"/>
      <c r="BO328" s="231"/>
      <c r="BP328" s="231"/>
      <c r="BQ328" s="231"/>
      <c r="BR328" s="231"/>
      <c r="BS328" s="231"/>
      <c r="BT328" s="231"/>
      <c r="BU328" s="231"/>
      <c r="BV328" s="231"/>
      <c r="BW328" s="231"/>
      <c r="BX328" s="231"/>
      <c r="BY328" s="231"/>
      <c r="BZ328" s="232"/>
      <c r="CA328" s="152"/>
      <c r="CB328" s="152"/>
      <c r="CC328" s="152"/>
      <c r="CD328" s="152"/>
    </row>
    <row r="329" ht="15.0" customHeight="1">
      <c r="A329" s="152"/>
      <c r="B329" s="152"/>
      <c r="C329" s="219">
        <f>C327</f>
        <v>27</v>
      </c>
      <c r="D329" s="225" t="s">
        <v>127</v>
      </c>
      <c r="E329" s="226" t="s">
        <v>127</v>
      </c>
      <c r="I329" s="227" t="str">
        <f t="array" ref="I329">xlookup(xlookup(C329&amp;D329&amp;"Nationality",'Roster Info'!$A:$A&amp;'Roster Info'!$G:$G&amp;'Roster Info'!$D:$D,'Roster Info'!$E:$E,""),'Roster Info'!$K:$K,'Roster Info'!$L:$L,"")</f>
        <v/>
      </c>
      <c r="K329" s="228" t="str">
        <f t="array" ref="K329">xlookup(C329&amp;D329,'Roster Info'!$A:$A&amp;'Roster Info'!$G:$G,'Roster Info'!$F:$F,"")</f>
        <v/>
      </c>
      <c r="U329" s="229" t="str">
        <f t="array" ref="U329">xlookup(C329&amp;D329&amp;"Full Name",'Roster Info'!$A:$A&amp;'Roster Info'!$G:$G&amp;'Roster Info'!$D:$D,'Roster Info'!$E:$E,"")</f>
        <v/>
      </c>
      <c r="AE329" s="63" t="str">
        <f t="array" ref="AE329">if(xlookup(C329&amp;D329&amp;"Steam",'Roster Info'!$A:$A&amp;'Roster Info'!$G:$G&amp;'Roster Info'!$D:$D,'Roster Info'!$E:$E,"")="","-",hyperlink(xlookup(C329&amp;D329&amp;"Steam",'Roster Info'!$A:$A&amp;'Roster Info'!$G:$G&amp;'Roster Info'!$D:$D,'Roster Info'!$E:$E,""),"Steam"))</f>
        <v>-</v>
      </c>
      <c r="AH329" s="63" t="str">
        <f t="array" ref="AH329">if(xlookup(C329&amp;D329&amp;"HLTV",'Roster Info'!$A:$A&amp;'Roster Info'!$G:$G&amp;'Roster Info'!$D:$D,'Roster Info'!$E:$E,"")="","-",hyperlink(xlookup(C329&amp;D329&amp;"HLTV",'Roster Info'!$A:$A&amp;'Roster Info'!$G:$G&amp;'Roster Info'!$D:$D,'Roster Info'!$E:$E,""),"HLTV"))</f>
        <v>-</v>
      </c>
      <c r="AK329" s="63" t="str">
        <f t="array" ref="AK329">if(xlookup(C329&amp;D329&amp;"FaceIt",'Roster Info'!$A:$A&amp;'Roster Info'!$G:$G&amp;'Roster Info'!$D:$D,'Roster Info'!$E:$E,"")="","-",hyperlink(xlookup(C329&amp;D329&amp;"FaceIt",'Roster Info'!$A:$A&amp;'Roster Info'!$G:$G&amp;'Roster Info'!$D:$D,'Roster Info'!$E:$E,""),"FaceIt"))</f>
        <v>-</v>
      </c>
      <c r="AM329" s="61"/>
      <c r="AN329" s="152"/>
      <c r="AO329" s="152"/>
      <c r="AP329" s="219">
        <f>AP327</f>
        <v>28</v>
      </c>
      <c r="AQ329" s="225" t="s">
        <v>127</v>
      </c>
      <c r="AR329" s="226" t="s">
        <v>127</v>
      </c>
      <c r="AV329" s="227" t="str">
        <f t="array" ref="AV329">xlookup(xlookup(AP329&amp;AQ329&amp;"Nationality",'Roster Info'!$A:$A&amp;'Roster Info'!$G:$G&amp;'Roster Info'!$D:$D,'Roster Info'!$E:$E,""),'Roster Info'!$K:$K,'Roster Info'!$L:$L,"")</f>
        <v/>
      </c>
      <c r="AX329" s="228" t="str">
        <f t="array" ref="AX329">xlookup(AP329&amp;AQ329,'Roster Info'!$A:$A&amp;'Roster Info'!$G:$G,'Roster Info'!$F:$F,"")</f>
        <v/>
      </c>
      <c r="BH329" s="229" t="str">
        <f t="array" ref="BH329">xlookup(AP329&amp;AQ329&amp;"Full Name",'Roster Info'!$A:$A&amp;'Roster Info'!$G:$G&amp;'Roster Info'!$D:$D,'Roster Info'!$E:$E,"")</f>
        <v/>
      </c>
      <c r="BR329" s="63" t="str">
        <f t="array" ref="BR329">if(xlookup(AP329&amp;AQ329&amp;"Steam",'Roster Info'!$A:$A&amp;'Roster Info'!$G:$G&amp;'Roster Info'!$D:$D,'Roster Info'!$E:$E,"")="","-",hyperlink(xlookup(AP329&amp;AQ329&amp;"Steam",'Roster Info'!$A:$A&amp;'Roster Info'!$G:$G&amp;'Roster Info'!$D:$D,'Roster Info'!$E:$E,""),"Steam"))</f>
        <v>-</v>
      </c>
      <c r="BU329" s="63" t="str">
        <f t="array" ref="BU329">if(xlookup(AP329&amp;AQ329&amp;"HLTV",'Roster Info'!$A:$A&amp;'Roster Info'!$G:$G&amp;'Roster Info'!$D:$D,'Roster Info'!$E:$E,"")="","-",hyperlink(xlookup(AP329&amp;AQ329&amp;"HLTV",'Roster Info'!$A:$A&amp;'Roster Info'!$G:$G&amp;'Roster Info'!$D:$D,'Roster Info'!$E:$E,""),"HLTV"))</f>
        <v>-</v>
      </c>
      <c r="BX329" s="63" t="str">
        <f t="array" ref="BX329">if(xlookup(AP329&amp;AQ329&amp;"FaceIt",'Roster Info'!$A:$A&amp;'Roster Info'!$G:$G&amp;'Roster Info'!$D:$D,'Roster Info'!$E:$E,"")="","-",hyperlink(xlookup(AP329&amp;AQ329&amp;"FaceIt",'Roster Info'!$A:$A&amp;'Roster Info'!$G:$G&amp;'Roster Info'!$D:$D,'Roster Info'!$E:$E,""),"FaceIt"))</f>
        <v>-</v>
      </c>
      <c r="BZ329" s="61"/>
      <c r="CA329" s="152"/>
      <c r="CB329" s="152"/>
      <c r="CC329" s="152"/>
      <c r="CD329" s="152"/>
    </row>
    <row r="330" ht="15.0" customHeight="1">
      <c r="A330" s="152"/>
      <c r="B330" s="152"/>
      <c r="C330" s="219"/>
      <c r="D330" s="219"/>
      <c r="E330" s="230"/>
      <c r="F330" s="231"/>
      <c r="G330" s="231"/>
      <c r="H330" s="231"/>
      <c r="I330" s="231"/>
      <c r="J330" s="231"/>
      <c r="K330" s="231"/>
      <c r="L330" s="231"/>
      <c r="M330" s="231"/>
      <c r="N330" s="231"/>
      <c r="O330" s="231"/>
      <c r="P330" s="231"/>
      <c r="Q330" s="231"/>
      <c r="R330" s="231"/>
      <c r="S330" s="231"/>
      <c r="T330" s="231"/>
      <c r="U330" s="231"/>
      <c r="V330" s="231"/>
      <c r="W330" s="231"/>
      <c r="X330" s="231"/>
      <c r="Y330" s="231"/>
      <c r="Z330" s="231"/>
      <c r="AA330" s="231"/>
      <c r="AB330" s="231"/>
      <c r="AC330" s="231"/>
      <c r="AD330" s="231"/>
      <c r="AE330" s="231"/>
      <c r="AF330" s="231"/>
      <c r="AG330" s="231"/>
      <c r="AH330" s="231"/>
      <c r="AI330" s="231"/>
      <c r="AJ330" s="231"/>
      <c r="AK330" s="231"/>
      <c r="AL330" s="231"/>
      <c r="AM330" s="232"/>
      <c r="AN330" s="152"/>
      <c r="AO330" s="152"/>
      <c r="AP330" s="219"/>
      <c r="AQ330" s="219"/>
      <c r="AR330" s="230"/>
      <c r="AS330" s="231"/>
      <c r="AT330" s="231"/>
      <c r="AU330" s="231"/>
      <c r="AV330" s="231"/>
      <c r="AW330" s="231"/>
      <c r="AX330" s="231"/>
      <c r="AY330" s="231"/>
      <c r="AZ330" s="231"/>
      <c r="BA330" s="231"/>
      <c r="BB330" s="231"/>
      <c r="BC330" s="231"/>
      <c r="BD330" s="231"/>
      <c r="BE330" s="231"/>
      <c r="BF330" s="231"/>
      <c r="BG330" s="231"/>
      <c r="BH330" s="231"/>
      <c r="BI330" s="231"/>
      <c r="BJ330" s="231"/>
      <c r="BK330" s="231"/>
      <c r="BL330" s="231"/>
      <c r="BM330" s="231"/>
      <c r="BN330" s="231"/>
      <c r="BO330" s="231"/>
      <c r="BP330" s="231"/>
      <c r="BQ330" s="231"/>
      <c r="BR330" s="231"/>
      <c r="BS330" s="231"/>
      <c r="BT330" s="231"/>
      <c r="BU330" s="231"/>
      <c r="BV330" s="231"/>
      <c r="BW330" s="231"/>
      <c r="BX330" s="231"/>
      <c r="BY330" s="231"/>
      <c r="BZ330" s="232"/>
      <c r="CA330" s="152"/>
      <c r="CB330" s="152"/>
      <c r="CC330" s="152"/>
      <c r="CD330" s="152"/>
    </row>
    <row r="331" ht="15.0" customHeight="1">
      <c r="A331" s="152"/>
      <c r="B331" s="152"/>
      <c r="C331" s="219">
        <f>C329</f>
        <v>27</v>
      </c>
      <c r="D331" s="225" t="s">
        <v>133</v>
      </c>
      <c r="E331" s="226" t="s">
        <v>133</v>
      </c>
      <c r="I331" s="227" t="str">
        <f t="array" ref="I331">xlookup(xlookup(C331&amp;D331&amp;"Nationality",'Roster Info'!$A:$A&amp;'Roster Info'!$G:$G&amp;'Roster Info'!$D:$D,'Roster Info'!$E:$E,""),'Roster Info'!$K:$K,'Roster Info'!$L:$L,"")</f>
        <v/>
      </c>
      <c r="K331" s="228" t="str">
        <f t="array" ref="K331">xlookup(C331&amp;D331,'Roster Info'!$A:$A&amp;'Roster Info'!$G:$G,'Roster Info'!$F:$F,"")</f>
        <v/>
      </c>
      <c r="U331" s="229" t="str">
        <f t="array" ref="U331">xlookup(C331&amp;D331&amp;"Full Name",'Roster Info'!$A:$A&amp;'Roster Info'!$G:$G&amp;'Roster Info'!$D:$D,'Roster Info'!$E:$E,"")</f>
        <v/>
      </c>
      <c r="AE331" s="63" t="str">
        <f t="array" ref="AE331">if(xlookup(C331&amp;D331&amp;"Steam",'Roster Info'!$A:$A&amp;'Roster Info'!$G:$G&amp;'Roster Info'!$D:$D,'Roster Info'!$E:$E,"")="","-",hyperlink(xlookup(C331&amp;D331&amp;"Steam",'Roster Info'!$A:$A&amp;'Roster Info'!$G:$G&amp;'Roster Info'!$D:$D,'Roster Info'!$E:$E,""),"Steam"))</f>
        <v>-</v>
      </c>
      <c r="AH331" s="63" t="str">
        <f t="array" ref="AH331">if(xlookup(C331&amp;D331&amp;"HLTV",'Roster Info'!$A:$A&amp;'Roster Info'!$G:$G&amp;'Roster Info'!$D:$D,'Roster Info'!$E:$E,"")="","-",hyperlink(xlookup(C331&amp;D331&amp;"HLTV",'Roster Info'!$A:$A&amp;'Roster Info'!$G:$G&amp;'Roster Info'!$D:$D,'Roster Info'!$E:$E,""),"HLTV"))</f>
        <v>-</v>
      </c>
      <c r="AK331" s="63" t="str">
        <f t="array" ref="AK331">if(xlookup(C331&amp;D331&amp;"FaceIt",'Roster Info'!$A:$A&amp;'Roster Info'!$G:$G&amp;'Roster Info'!$D:$D,'Roster Info'!$E:$E,"")="","-",hyperlink(xlookup(C331&amp;D331&amp;"FaceIt",'Roster Info'!$A:$A&amp;'Roster Info'!$G:$G&amp;'Roster Info'!$D:$D,'Roster Info'!$E:$E,""),"FaceIt"))</f>
        <v>-</v>
      </c>
      <c r="AM331" s="61"/>
      <c r="AN331" s="152"/>
      <c r="AO331" s="152"/>
      <c r="AP331" s="219">
        <f>AP329</f>
        <v>28</v>
      </c>
      <c r="AQ331" s="225" t="s">
        <v>133</v>
      </c>
      <c r="AR331" s="226" t="s">
        <v>133</v>
      </c>
      <c r="AV331" s="227" t="str">
        <f t="array" ref="AV331">xlookup(xlookup(AP331&amp;AQ331&amp;"Nationality",'Roster Info'!$A:$A&amp;'Roster Info'!$G:$G&amp;'Roster Info'!$D:$D,'Roster Info'!$E:$E,""),'Roster Info'!$K:$K,'Roster Info'!$L:$L,"")</f>
        <v/>
      </c>
      <c r="AX331" s="228" t="str">
        <f t="array" ref="AX331">xlookup(AP331&amp;AQ331,'Roster Info'!$A:$A&amp;'Roster Info'!$G:$G,'Roster Info'!$F:$F,"")</f>
        <v/>
      </c>
      <c r="BH331" s="229" t="str">
        <f t="array" ref="BH331">xlookup(AP331&amp;AQ331&amp;"Full Name",'Roster Info'!$A:$A&amp;'Roster Info'!$G:$G&amp;'Roster Info'!$D:$D,'Roster Info'!$E:$E,"")</f>
        <v/>
      </c>
      <c r="BR331" s="63" t="str">
        <f t="array" ref="BR331">if(xlookup(AP331&amp;AQ331&amp;"Steam",'Roster Info'!$A:$A&amp;'Roster Info'!$G:$G&amp;'Roster Info'!$D:$D,'Roster Info'!$E:$E,"")="","-",hyperlink(xlookup(AP331&amp;AQ331&amp;"Steam",'Roster Info'!$A:$A&amp;'Roster Info'!$G:$G&amp;'Roster Info'!$D:$D,'Roster Info'!$E:$E,""),"Steam"))</f>
        <v>-</v>
      </c>
      <c r="BU331" s="63" t="str">
        <f t="array" ref="BU331">if(xlookup(AP331&amp;AQ331&amp;"HLTV",'Roster Info'!$A:$A&amp;'Roster Info'!$G:$G&amp;'Roster Info'!$D:$D,'Roster Info'!$E:$E,"")="","-",hyperlink(xlookup(AP331&amp;AQ331&amp;"HLTV",'Roster Info'!$A:$A&amp;'Roster Info'!$G:$G&amp;'Roster Info'!$D:$D,'Roster Info'!$E:$E,""),"HLTV"))</f>
        <v>-</v>
      </c>
      <c r="BX331" s="63" t="str">
        <f t="array" ref="BX331">if(xlookup(AP331&amp;AQ331&amp;"FaceIt",'Roster Info'!$A:$A&amp;'Roster Info'!$G:$G&amp;'Roster Info'!$D:$D,'Roster Info'!$E:$E,"")="","-",hyperlink(xlookup(AP331&amp;AQ331&amp;"FaceIt",'Roster Info'!$A:$A&amp;'Roster Info'!$G:$G&amp;'Roster Info'!$D:$D,'Roster Info'!$E:$E,""),"FaceIt"))</f>
        <v>-</v>
      </c>
      <c r="BZ331" s="61"/>
      <c r="CA331" s="152"/>
      <c r="CB331" s="152"/>
      <c r="CC331" s="152"/>
      <c r="CD331" s="152"/>
    </row>
    <row r="332" ht="15.0" customHeight="1">
      <c r="A332" s="152"/>
      <c r="B332" s="152"/>
      <c r="C332" s="219"/>
      <c r="D332" s="219"/>
      <c r="E332" s="230"/>
      <c r="F332" s="231"/>
      <c r="G332" s="231"/>
      <c r="H332" s="231"/>
      <c r="I332" s="231"/>
      <c r="J332" s="231"/>
      <c r="K332" s="231"/>
      <c r="L332" s="231"/>
      <c r="M332" s="231"/>
      <c r="N332" s="231"/>
      <c r="O332" s="231"/>
      <c r="P332" s="231"/>
      <c r="Q332" s="231"/>
      <c r="R332" s="231"/>
      <c r="S332" s="231"/>
      <c r="T332" s="231"/>
      <c r="U332" s="231"/>
      <c r="V332" s="231"/>
      <c r="W332" s="231"/>
      <c r="X332" s="231"/>
      <c r="Y332" s="231"/>
      <c r="Z332" s="231"/>
      <c r="AA332" s="231"/>
      <c r="AB332" s="231"/>
      <c r="AC332" s="231"/>
      <c r="AD332" s="231"/>
      <c r="AE332" s="231"/>
      <c r="AF332" s="231"/>
      <c r="AG332" s="231"/>
      <c r="AH332" s="231"/>
      <c r="AI332" s="231"/>
      <c r="AJ332" s="231"/>
      <c r="AK332" s="231"/>
      <c r="AL332" s="231"/>
      <c r="AM332" s="232"/>
      <c r="AN332" s="152"/>
      <c r="AO332" s="152"/>
      <c r="AP332" s="219"/>
      <c r="AQ332" s="219"/>
      <c r="AR332" s="230"/>
      <c r="AS332" s="231"/>
      <c r="AT332" s="231"/>
      <c r="AU332" s="231"/>
      <c r="AV332" s="231"/>
      <c r="AW332" s="231"/>
      <c r="AX332" s="231"/>
      <c r="AY332" s="231"/>
      <c r="AZ332" s="231"/>
      <c r="BA332" s="231"/>
      <c r="BB332" s="231"/>
      <c r="BC332" s="231"/>
      <c r="BD332" s="231"/>
      <c r="BE332" s="231"/>
      <c r="BF332" s="231"/>
      <c r="BG332" s="231"/>
      <c r="BH332" s="231"/>
      <c r="BI332" s="231"/>
      <c r="BJ332" s="231"/>
      <c r="BK332" s="231"/>
      <c r="BL332" s="231"/>
      <c r="BM332" s="231"/>
      <c r="BN332" s="231"/>
      <c r="BO332" s="231"/>
      <c r="BP332" s="231"/>
      <c r="BQ332" s="231"/>
      <c r="BR332" s="231"/>
      <c r="BS332" s="231"/>
      <c r="BT332" s="231"/>
      <c r="BU332" s="231"/>
      <c r="BV332" s="231"/>
      <c r="BW332" s="231"/>
      <c r="BX332" s="231"/>
      <c r="BY332" s="231"/>
      <c r="BZ332" s="232"/>
      <c r="CA332" s="152"/>
      <c r="CB332" s="152"/>
      <c r="CC332" s="152"/>
      <c r="CD332" s="152"/>
    </row>
    <row r="333" ht="15.0" customHeight="1">
      <c r="A333" s="152"/>
      <c r="B333" s="152"/>
      <c r="C333" s="219">
        <f>C331</f>
        <v>27</v>
      </c>
      <c r="D333" s="233" t="s">
        <v>139</v>
      </c>
      <c r="E333" s="234" t="s">
        <v>319</v>
      </c>
      <c r="I333" s="227" t="str">
        <f t="array" ref="I333">xlookup(xlookup(C333&amp;D333&amp;"Nationality",'Roster Info'!$A:$A&amp;'Roster Info'!$G:$G&amp;'Roster Info'!$D:$D,'Roster Info'!$E:$E,""),'Roster Info'!$K:$K,'Roster Info'!$L:$L,"")</f>
        <v/>
      </c>
      <c r="K333" s="228" t="str">
        <f t="array" ref="K333">xlookup(C333&amp;D333,'Roster Info'!$A:$A&amp;'Roster Info'!$G:$G,'Roster Info'!$F:$F,"")</f>
        <v/>
      </c>
      <c r="U333" s="229" t="str">
        <f t="array" ref="U333">xlookup(C333&amp;D333&amp;"Full Name",'Roster Info'!$A:$A&amp;'Roster Info'!$G:$G&amp;'Roster Info'!$D:$D,'Roster Info'!$E:$E,"")</f>
        <v/>
      </c>
      <c r="AE333" s="63" t="str">
        <f t="array" ref="AE333">if(xlookup(C333&amp;D333&amp;"Steam",'Roster Info'!$A:$A&amp;'Roster Info'!$G:$G&amp;'Roster Info'!$D:$D,'Roster Info'!$E:$E,"")="","-",hyperlink(xlookup(C333&amp;D333&amp;"Steam",'Roster Info'!$A:$A&amp;'Roster Info'!$G:$G&amp;'Roster Info'!$D:$D,'Roster Info'!$E:$E,""),"Steam"))</f>
        <v>-</v>
      </c>
      <c r="AH333" s="63" t="str">
        <f t="array" ref="AH333">if(xlookup(C333&amp;D333&amp;"HLTV",'Roster Info'!$A:$A&amp;'Roster Info'!$G:$G&amp;'Roster Info'!$D:$D,'Roster Info'!$E:$E,"")="","-",hyperlink(xlookup(C333&amp;D333&amp;"HLTV",'Roster Info'!$A:$A&amp;'Roster Info'!$G:$G&amp;'Roster Info'!$D:$D,'Roster Info'!$E:$E,""),"HLTV"))</f>
        <v>-</v>
      </c>
      <c r="AK333" s="63" t="str">
        <f t="array" ref="AK333">if(xlookup(C333&amp;D333&amp;"FaceIt",'Roster Info'!$A:$A&amp;'Roster Info'!$G:$G&amp;'Roster Info'!$D:$D,'Roster Info'!$E:$E,"")="","-",hyperlink(xlookup(C333&amp;D333&amp;"FaceIt",'Roster Info'!$A:$A&amp;'Roster Info'!$G:$G&amp;'Roster Info'!$D:$D,'Roster Info'!$E:$E,""),"FaceIt"))</f>
        <v>-</v>
      </c>
      <c r="AM333" s="61"/>
      <c r="AN333" s="152"/>
      <c r="AO333" s="152"/>
      <c r="AP333" s="219">
        <f>AP331</f>
        <v>28</v>
      </c>
      <c r="AQ333" s="233" t="s">
        <v>139</v>
      </c>
      <c r="AR333" s="234" t="s">
        <v>319</v>
      </c>
      <c r="AV333" s="227" t="str">
        <f t="array" ref="AV333">xlookup(xlookup(AP333&amp;AQ333&amp;"Nationality",'Roster Info'!$A:$A&amp;'Roster Info'!$G:$G&amp;'Roster Info'!$D:$D,'Roster Info'!$E:$E,""),'Roster Info'!$K:$K,'Roster Info'!$L:$L,"")</f>
        <v/>
      </c>
      <c r="AX333" s="228" t="str">
        <f t="array" ref="AX333">xlookup(AP333&amp;AQ333,'Roster Info'!$A:$A&amp;'Roster Info'!$G:$G,'Roster Info'!$F:$F,"")</f>
        <v/>
      </c>
      <c r="BH333" s="229" t="str">
        <f t="array" ref="BH333">xlookup(AP333&amp;AQ333&amp;"Full Name",'Roster Info'!$A:$A&amp;'Roster Info'!$G:$G&amp;'Roster Info'!$D:$D,'Roster Info'!$E:$E,"")</f>
        <v/>
      </c>
      <c r="BR333" s="63" t="str">
        <f t="array" ref="BR333">if(xlookup(AP333&amp;AQ333&amp;"Steam",'Roster Info'!$A:$A&amp;'Roster Info'!$G:$G&amp;'Roster Info'!$D:$D,'Roster Info'!$E:$E,"")="","-",hyperlink(xlookup(AP333&amp;AQ333&amp;"Steam",'Roster Info'!$A:$A&amp;'Roster Info'!$G:$G&amp;'Roster Info'!$D:$D,'Roster Info'!$E:$E,""),"Steam"))</f>
        <v>-</v>
      </c>
      <c r="BU333" s="63" t="str">
        <f t="array" ref="BU333">if(xlookup(AP333&amp;AQ333&amp;"HLTV",'Roster Info'!$A:$A&amp;'Roster Info'!$G:$G&amp;'Roster Info'!$D:$D,'Roster Info'!$E:$E,"")="","-",hyperlink(xlookup(AP333&amp;AQ333&amp;"HLTV",'Roster Info'!$A:$A&amp;'Roster Info'!$G:$G&amp;'Roster Info'!$D:$D,'Roster Info'!$E:$E,""),"HLTV"))</f>
        <v>-</v>
      </c>
      <c r="BX333" s="63" t="str">
        <f t="array" ref="BX333">if(xlookup(AP333&amp;AQ333&amp;"FaceIt",'Roster Info'!$A:$A&amp;'Roster Info'!$G:$G&amp;'Roster Info'!$D:$D,'Roster Info'!$E:$E,"")="","-",hyperlink(xlookup(AP333&amp;AQ333&amp;"FaceIt",'Roster Info'!$A:$A&amp;'Roster Info'!$G:$G&amp;'Roster Info'!$D:$D,'Roster Info'!$E:$E,""),"FaceIt"))</f>
        <v>-</v>
      </c>
      <c r="BZ333" s="61"/>
      <c r="CA333" s="152"/>
      <c r="CB333" s="152"/>
      <c r="CC333" s="152"/>
      <c r="CD333" s="152"/>
    </row>
    <row r="334" ht="15.0" customHeight="1">
      <c r="A334" s="152"/>
      <c r="B334" s="152"/>
      <c r="C334" s="219"/>
      <c r="D334" s="219"/>
      <c r="E334" s="230"/>
      <c r="F334" s="231"/>
      <c r="G334" s="231"/>
      <c r="H334" s="231"/>
      <c r="I334" s="231"/>
      <c r="J334" s="231"/>
      <c r="K334" s="231"/>
      <c r="L334" s="231"/>
      <c r="M334" s="231"/>
      <c r="N334" s="231"/>
      <c r="O334" s="231"/>
      <c r="P334" s="231"/>
      <c r="Q334" s="231"/>
      <c r="R334" s="231"/>
      <c r="S334" s="231"/>
      <c r="T334" s="231"/>
      <c r="U334" s="231"/>
      <c r="V334" s="231"/>
      <c r="W334" s="231"/>
      <c r="X334" s="231"/>
      <c r="Y334" s="231"/>
      <c r="Z334" s="231"/>
      <c r="AA334" s="231"/>
      <c r="AB334" s="231"/>
      <c r="AC334" s="231"/>
      <c r="AD334" s="231"/>
      <c r="AE334" s="231"/>
      <c r="AF334" s="231"/>
      <c r="AG334" s="231"/>
      <c r="AH334" s="231"/>
      <c r="AI334" s="231"/>
      <c r="AJ334" s="231"/>
      <c r="AK334" s="231"/>
      <c r="AL334" s="231"/>
      <c r="AM334" s="232"/>
      <c r="AN334" s="152"/>
      <c r="AO334" s="152"/>
      <c r="AP334" s="219"/>
      <c r="AQ334" s="219"/>
      <c r="AR334" s="230"/>
      <c r="AS334" s="231"/>
      <c r="AT334" s="231"/>
      <c r="AU334" s="231"/>
      <c r="AV334" s="231"/>
      <c r="AW334" s="231"/>
      <c r="AX334" s="231"/>
      <c r="AY334" s="231"/>
      <c r="AZ334" s="231"/>
      <c r="BA334" s="231"/>
      <c r="BB334" s="231"/>
      <c r="BC334" s="231"/>
      <c r="BD334" s="231"/>
      <c r="BE334" s="231"/>
      <c r="BF334" s="231"/>
      <c r="BG334" s="231"/>
      <c r="BH334" s="231"/>
      <c r="BI334" s="231"/>
      <c r="BJ334" s="231"/>
      <c r="BK334" s="231"/>
      <c r="BL334" s="231"/>
      <c r="BM334" s="231"/>
      <c r="BN334" s="231"/>
      <c r="BO334" s="231"/>
      <c r="BP334" s="231"/>
      <c r="BQ334" s="231"/>
      <c r="BR334" s="231"/>
      <c r="BS334" s="231"/>
      <c r="BT334" s="231"/>
      <c r="BU334" s="231"/>
      <c r="BV334" s="231"/>
      <c r="BW334" s="231"/>
      <c r="BX334" s="231"/>
      <c r="BY334" s="231"/>
      <c r="BZ334" s="232"/>
      <c r="CA334" s="152"/>
      <c r="CB334" s="152"/>
      <c r="CC334" s="152"/>
      <c r="CD334" s="152"/>
    </row>
    <row r="335" ht="15.0" customHeight="1">
      <c r="A335" s="152"/>
      <c r="B335" s="152"/>
      <c r="C335" s="219">
        <f>C333</f>
        <v>27</v>
      </c>
      <c r="D335" s="225" t="s">
        <v>145</v>
      </c>
      <c r="E335" s="226" t="s">
        <v>145</v>
      </c>
      <c r="I335" s="227" t="str">
        <f t="array" ref="I335">xlookup(xlookup(C335&amp;D335&amp;"Nationality",'Roster Info'!$A:$A&amp;'Roster Info'!$G:$G&amp;'Roster Info'!$D:$D,'Roster Info'!$E:$E,""),'Roster Info'!$K:$K,'Roster Info'!$L:$L,"")</f>
        <v/>
      </c>
      <c r="K335" s="228" t="str">
        <f t="array" ref="K335">xlookup(C335&amp;D335,'Roster Info'!$A:$A&amp;'Roster Info'!$G:$G,'Roster Info'!$F:$F,"")</f>
        <v/>
      </c>
      <c r="U335" s="229" t="str">
        <f t="array" ref="U335">xlookup(C335&amp;D335&amp;"Full Name",'Roster Info'!$A:$A&amp;'Roster Info'!$G:$G&amp;'Roster Info'!$D:$D,'Roster Info'!$E:$E,"")</f>
        <v/>
      </c>
      <c r="AE335" s="63" t="str">
        <f t="array" ref="AE335">if(xlookup(C335&amp;D335&amp;"Steam",'Roster Info'!$A:$A&amp;'Roster Info'!$G:$G&amp;'Roster Info'!$D:$D,'Roster Info'!$E:$E,"")="","-",hyperlink(xlookup(C335&amp;D335&amp;"Steam",'Roster Info'!$A:$A&amp;'Roster Info'!$G:$G&amp;'Roster Info'!$D:$D,'Roster Info'!$E:$E,""),"Steam"))</f>
        <v>-</v>
      </c>
      <c r="AH335" s="63" t="str">
        <f t="array" ref="AH335">if(xlookup(C335&amp;D335&amp;"HLTV",'Roster Info'!$A:$A&amp;'Roster Info'!$G:$G&amp;'Roster Info'!$D:$D,'Roster Info'!$E:$E,"")="","-",hyperlink(xlookup(C335&amp;D335&amp;"HLTV",'Roster Info'!$A:$A&amp;'Roster Info'!$G:$G&amp;'Roster Info'!$D:$D,'Roster Info'!$E:$E,""),"HLTV"))</f>
        <v>-</v>
      </c>
      <c r="AK335" s="63" t="str">
        <f t="array" ref="AK335">if(xlookup(C335&amp;D335&amp;"FaceIt",'Roster Info'!$A:$A&amp;'Roster Info'!$G:$G&amp;'Roster Info'!$D:$D,'Roster Info'!$E:$E,"")="","-",hyperlink(xlookup(C335&amp;D335&amp;"FaceIt",'Roster Info'!$A:$A&amp;'Roster Info'!$G:$G&amp;'Roster Info'!$D:$D,'Roster Info'!$E:$E,""),"FaceIt"))</f>
        <v>-</v>
      </c>
      <c r="AM335" s="61"/>
      <c r="AN335" s="152"/>
      <c r="AO335" s="152"/>
      <c r="AP335" s="219">
        <f>AP333</f>
        <v>28</v>
      </c>
      <c r="AQ335" s="225" t="s">
        <v>145</v>
      </c>
      <c r="AR335" s="226" t="s">
        <v>145</v>
      </c>
      <c r="AV335" s="227" t="str">
        <f t="array" ref="AV335">xlookup(xlookup(AP335&amp;AQ335&amp;"Nationality",'Roster Info'!$A:$A&amp;'Roster Info'!$G:$G&amp;'Roster Info'!$D:$D,'Roster Info'!$E:$E,""),'Roster Info'!$K:$K,'Roster Info'!$L:$L,"")</f>
        <v/>
      </c>
      <c r="AX335" s="228" t="str">
        <f t="array" ref="AX335">xlookup(AP335&amp;AQ335,'Roster Info'!$A:$A&amp;'Roster Info'!$G:$G,'Roster Info'!$F:$F,"")</f>
        <v/>
      </c>
      <c r="BH335" s="229" t="str">
        <f t="array" ref="BH335">xlookup(AP335&amp;AQ335&amp;"Full Name",'Roster Info'!$A:$A&amp;'Roster Info'!$G:$G&amp;'Roster Info'!$D:$D,'Roster Info'!$E:$E,"")</f>
        <v/>
      </c>
      <c r="BR335" s="63" t="str">
        <f t="array" ref="BR335">if(xlookup(AP335&amp;AQ335&amp;"Steam",'Roster Info'!$A:$A&amp;'Roster Info'!$G:$G&amp;'Roster Info'!$D:$D,'Roster Info'!$E:$E,"")="","-",hyperlink(xlookup(AP335&amp;AQ335&amp;"Steam",'Roster Info'!$A:$A&amp;'Roster Info'!$G:$G&amp;'Roster Info'!$D:$D,'Roster Info'!$E:$E,""),"Steam"))</f>
        <v>-</v>
      </c>
      <c r="BU335" s="63" t="str">
        <f t="array" ref="BU335">if(xlookup(AP335&amp;AQ335&amp;"HLTV",'Roster Info'!$A:$A&amp;'Roster Info'!$G:$G&amp;'Roster Info'!$D:$D,'Roster Info'!$E:$E,"")="","-",hyperlink(xlookup(AP335&amp;AQ335&amp;"HLTV",'Roster Info'!$A:$A&amp;'Roster Info'!$G:$G&amp;'Roster Info'!$D:$D,'Roster Info'!$E:$E,""),"HLTV"))</f>
        <v>-</v>
      </c>
      <c r="BX335" s="63" t="str">
        <f t="array" ref="BX335">if(xlookup(AP335&amp;AQ335&amp;"FaceIt",'Roster Info'!$A:$A&amp;'Roster Info'!$G:$G&amp;'Roster Info'!$D:$D,'Roster Info'!$E:$E,"")="","-",hyperlink(xlookup(AP335&amp;AQ335&amp;"FaceIt",'Roster Info'!$A:$A&amp;'Roster Info'!$G:$G&amp;'Roster Info'!$D:$D,'Roster Info'!$E:$E,""),"FaceIt"))</f>
        <v>-</v>
      </c>
      <c r="BZ335" s="61"/>
      <c r="CA335" s="152"/>
      <c r="CB335" s="152"/>
      <c r="CC335" s="152"/>
      <c r="CD335" s="152"/>
    </row>
    <row r="336" ht="15.0" customHeight="1">
      <c r="A336" s="152"/>
      <c r="B336" s="152"/>
      <c r="C336" s="219"/>
      <c r="D336" s="219"/>
      <c r="E336" s="101"/>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02"/>
      <c r="AJ336" s="102"/>
      <c r="AK336" s="102"/>
      <c r="AL336" s="102"/>
      <c r="AM336" s="164"/>
      <c r="AN336" s="152"/>
      <c r="AO336" s="152"/>
      <c r="AP336" s="219"/>
      <c r="AQ336" s="219"/>
      <c r="AR336" s="101"/>
      <c r="AS336" s="102"/>
      <c r="AT336" s="102"/>
      <c r="AU336" s="102"/>
      <c r="AV336" s="102"/>
      <c r="AW336" s="102"/>
      <c r="AX336" s="102"/>
      <c r="AY336" s="102"/>
      <c r="AZ336" s="102"/>
      <c r="BA336" s="102"/>
      <c r="BB336" s="102"/>
      <c r="BC336" s="102"/>
      <c r="BD336" s="102"/>
      <c r="BE336" s="102"/>
      <c r="BF336" s="102"/>
      <c r="BG336" s="102"/>
      <c r="BH336" s="102"/>
      <c r="BI336" s="102"/>
      <c r="BJ336" s="102"/>
      <c r="BK336" s="102"/>
      <c r="BL336" s="102"/>
      <c r="BM336" s="102"/>
      <c r="BN336" s="102"/>
      <c r="BO336" s="102"/>
      <c r="BP336" s="102"/>
      <c r="BQ336" s="102"/>
      <c r="BR336" s="102"/>
      <c r="BS336" s="102"/>
      <c r="BT336" s="102"/>
      <c r="BU336" s="102"/>
      <c r="BV336" s="102"/>
      <c r="BW336" s="102"/>
      <c r="BX336" s="102"/>
      <c r="BY336" s="102"/>
      <c r="BZ336" s="164"/>
      <c r="CA336" s="152"/>
      <c r="CB336" s="152"/>
      <c r="CC336" s="152"/>
      <c r="CD336" s="152"/>
    </row>
    <row r="337" ht="15.0" customHeight="1">
      <c r="A337" s="152"/>
      <c r="B337" s="152"/>
      <c r="C337" s="219"/>
      <c r="D337" s="219"/>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c r="AA337" s="152"/>
      <c r="AB337" s="152"/>
      <c r="AC337" s="152"/>
      <c r="AD337" s="152"/>
      <c r="AE337" s="152"/>
      <c r="AF337" s="152"/>
      <c r="AG337" s="152"/>
      <c r="AH337" s="152"/>
      <c r="AI337" s="152"/>
      <c r="AJ337" s="152"/>
      <c r="AK337" s="152"/>
      <c r="AL337" s="152"/>
      <c r="AM337" s="152"/>
      <c r="AN337" s="152"/>
      <c r="AO337" s="152"/>
      <c r="AP337" s="219"/>
      <c r="AQ337" s="219"/>
      <c r="AR337" s="152"/>
      <c r="AS337" s="152"/>
      <c r="AT337" s="152"/>
      <c r="AU337" s="152"/>
      <c r="AV337" s="152"/>
      <c r="AW337" s="152"/>
      <c r="AX337" s="152"/>
      <c r="AY337" s="152"/>
      <c r="AZ337" s="152"/>
      <c r="BA337" s="152"/>
      <c r="BB337" s="152"/>
      <c r="BC337" s="152"/>
      <c r="BD337" s="152"/>
      <c r="BE337" s="152"/>
      <c r="BF337" s="152"/>
      <c r="BG337" s="152"/>
      <c r="BH337" s="152"/>
      <c r="BI337" s="152"/>
      <c r="BJ337" s="152"/>
      <c r="BK337" s="152"/>
      <c r="BL337" s="152"/>
      <c r="BM337" s="152"/>
      <c r="BN337" s="152"/>
      <c r="BO337" s="152"/>
      <c r="BP337" s="152"/>
      <c r="BQ337" s="152"/>
      <c r="BR337" s="152"/>
      <c r="BS337" s="152"/>
      <c r="BT337" s="152"/>
      <c r="BU337" s="152"/>
      <c r="BV337" s="152"/>
      <c r="BW337" s="152"/>
      <c r="BX337" s="152"/>
      <c r="BY337" s="152"/>
      <c r="BZ337" s="152"/>
      <c r="CA337" s="152"/>
      <c r="CB337" s="152"/>
      <c r="CC337" s="152"/>
      <c r="CD337" s="152"/>
    </row>
    <row r="338" ht="15.0" customHeight="1">
      <c r="A338" s="152"/>
      <c r="B338" s="152"/>
      <c r="C338" s="219"/>
      <c r="D338" s="219"/>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c r="AA338" s="152"/>
      <c r="AB338" s="152"/>
      <c r="AC338" s="152"/>
      <c r="AD338" s="152"/>
      <c r="AE338" s="152"/>
      <c r="AF338" s="152"/>
      <c r="AG338" s="152"/>
      <c r="AH338" s="152"/>
      <c r="AI338" s="152"/>
      <c r="AJ338" s="152"/>
      <c r="AK338" s="152"/>
      <c r="AL338" s="152"/>
      <c r="AM338" s="152"/>
      <c r="AN338" s="152"/>
      <c r="AO338" s="152"/>
      <c r="AP338" s="219"/>
      <c r="AQ338" s="219"/>
      <c r="AR338" s="152"/>
      <c r="AS338" s="152"/>
      <c r="AT338" s="152"/>
      <c r="AU338" s="152"/>
      <c r="AV338" s="152"/>
      <c r="AW338" s="152"/>
      <c r="AX338" s="152"/>
      <c r="AY338" s="152"/>
      <c r="AZ338" s="152"/>
      <c r="BA338" s="152"/>
      <c r="BB338" s="152"/>
      <c r="BC338" s="152"/>
      <c r="BD338" s="152"/>
      <c r="BE338" s="152"/>
      <c r="BF338" s="152"/>
      <c r="BG338" s="152"/>
      <c r="BH338" s="152"/>
      <c r="BI338" s="152"/>
      <c r="BJ338" s="152"/>
      <c r="BK338" s="152"/>
      <c r="BL338" s="152"/>
      <c r="BM338" s="152"/>
      <c r="BN338" s="152"/>
      <c r="BO338" s="152"/>
      <c r="BP338" s="152"/>
      <c r="BQ338" s="152"/>
      <c r="BR338" s="152"/>
      <c r="BS338" s="152"/>
      <c r="BT338" s="152"/>
      <c r="BU338" s="152"/>
      <c r="BV338" s="152"/>
      <c r="BW338" s="152"/>
      <c r="BX338" s="152"/>
      <c r="BY338" s="152"/>
      <c r="BZ338" s="152"/>
      <c r="CA338" s="152"/>
      <c r="CB338" s="152"/>
      <c r="CC338" s="152"/>
      <c r="CD338" s="152"/>
    </row>
  </sheetData>
  <mergeCells count="1428">
    <mergeCell ref="E307:H308"/>
    <mergeCell ref="I307:J308"/>
    <mergeCell ref="K307:T308"/>
    <mergeCell ref="U307:AD308"/>
    <mergeCell ref="AE307:AG308"/>
    <mergeCell ref="AH307:AJ308"/>
    <mergeCell ref="AK307:AM308"/>
    <mergeCell ref="E309:H310"/>
    <mergeCell ref="I309:J310"/>
    <mergeCell ref="K309:T310"/>
    <mergeCell ref="U309:AD310"/>
    <mergeCell ref="AE309:AG310"/>
    <mergeCell ref="AH309:AJ310"/>
    <mergeCell ref="AK309:AM310"/>
    <mergeCell ref="AR323:AU324"/>
    <mergeCell ref="AV323:AW324"/>
    <mergeCell ref="AR325:AU326"/>
    <mergeCell ref="AV325:AW326"/>
    <mergeCell ref="AR327:AU328"/>
    <mergeCell ref="AV327:AW328"/>
    <mergeCell ref="AX323:BG324"/>
    <mergeCell ref="BH323:BQ324"/>
    <mergeCell ref="AX325:BG326"/>
    <mergeCell ref="BH325:BQ326"/>
    <mergeCell ref="BR323:BT324"/>
    <mergeCell ref="BU323:BW324"/>
    <mergeCell ref="BR325:BT326"/>
    <mergeCell ref="BU325:BW326"/>
    <mergeCell ref="BX325:BZ326"/>
    <mergeCell ref="E317:L322"/>
    <mergeCell ref="M317:AM322"/>
    <mergeCell ref="AR317:AY322"/>
    <mergeCell ref="AZ317:BZ322"/>
    <mergeCell ref="E323:H324"/>
    <mergeCell ref="I323:J324"/>
    <mergeCell ref="K323:T324"/>
    <mergeCell ref="BX323:BZ324"/>
    <mergeCell ref="AX327:BG328"/>
    <mergeCell ref="BH327:BQ328"/>
    <mergeCell ref="BR327:BT328"/>
    <mergeCell ref="BU327:BW328"/>
    <mergeCell ref="BX327:BZ328"/>
    <mergeCell ref="E327:H328"/>
    <mergeCell ref="I327:J328"/>
    <mergeCell ref="K327:T328"/>
    <mergeCell ref="U327:AD328"/>
    <mergeCell ref="AE327:AG328"/>
    <mergeCell ref="AH327:AJ328"/>
    <mergeCell ref="AK327:AM328"/>
    <mergeCell ref="AH323:AJ324"/>
    <mergeCell ref="AK323:AM324"/>
    <mergeCell ref="AH325:AJ326"/>
    <mergeCell ref="AK325:AM326"/>
    <mergeCell ref="U323:AD324"/>
    <mergeCell ref="AE323:AG324"/>
    <mergeCell ref="E325:H326"/>
    <mergeCell ref="I325:J326"/>
    <mergeCell ref="K325:T326"/>
    <mergeCell ref="U325:AD326"/>
    <mergeCell ref="AE325:AG326"/>
    <mergeCell ref="AR329:AU330"/>
    <mergeCell ref="AV329:AW330"/>
    <mergeCell ref="AX329:BG330"/>
    <mergeCell ref="BH329:BQ330"/>
    <mergeCell ref="BR329:BT330"/>
    <mergeCell ref="BU329:BW330"/>
    <mergeCell ref="BX329:BZ330"/>
    <mergeCell ref="E329:H330"/>
    <mergeCell ref="I329:J330"/>
    <mergeCell ref="K329:T330"/>
    <mergeCell ref="U329:AD330"/>
    <mergeCell ref="AE329:AG330"/>
    <mergeCell ref="AH329:AJ330"/>
    <mergeCell ref="AK329:AM330"/>
    <mergeCell ref="AR331:AU332"/>
    <mergeCell ref="AV331:AW332"/>
    <mergeCell ref="AX331:BG332"/>
    <mergeCell ref="BH331:BQ332"/>
    <mergeCell ref="BR331:BT332"/>
    <mergeCell ref="BU331:BW332"/>
    <mergeCell ref="BX331:BZ332"/>
    <mergeCell ref="AR333:AU334"/>
    <mergeCell ref="AV333:AW334"/>
    <mergeCell ref="AX333:BG334"/>
    <mergeCell ref="BH333:BQ334"/>
    <mergeCell ref="BR333:BT334"/>
    <mergeCell ref="BU333:BW334"/>
    <mergeCell ref="BX333:BZ334"/>
    <mergeCell ref="AR335:AU336"/>
    <mergeCell ref="AV335:AW336"/>
    <mergeCell ref="AX335:BG336"/>
    <mergeCell ref="BH335:BQ336"/>
    <mergeCell ref="BR335:BT336"/>
    <mergeCell ref="BU335:BW336"/>
    <mergeCell ref="BX335:BZ336"/>
    <mergeCell ref="E335:H336"/>
    <mergeCell ref="I335:J336"/>
    <mergeCell ref="K335:T336"/>
    <mergeCell ref="U335:AD336"/>
    <mergeCell ref="AE335:AG336"/>
    <mergeCell ref="AH335:AJ336"/>
    <mergeCell ref="AK335:AM336"/>
    <mergeCell ref="E259:H260"/>
    <mergeCell ref="I259:J260"/>
    <mergeCell ref="K259:T260"/>
    <mergeCell ref="U259:AD260"/>
    <mergeCell ref="AE259:AG260"/>
    <mergeCell ref="AH259:AJ260"/>
    <mergeCell ref="AK259:AM260"/>
    <mergeCell ref="E261:H262"/>
    <mergeCell ref="I261:J262"/>
    <mergeCell ref="K261:T262"/>
    <mergeCell ref="U261:AD262"/>
    <mergeCell ref="AE261:AG262"/>
    <mergeCell ref="AH261:AJ262"/>
    <mergeCell ref="AK261:AM262"/>
    <mergeCell ref="AR275:AU276"/>
    <mergeCell ref="AV275:AW276"/>
    <mergeCell ref="AR277:AU278"/>
    <mergeCell ref="AV277:AW278"/>
    <mergeCell ref="AR279:AU280"/>
    <mergeCell ref="AV279:AW280"/>
    <mergeCell ref="AX275:BG276"/>
    <mergeCell ref="BH275:BQ276"/>
    <mergeCell ref="AX277:BG278"/>
    <mergeCell ref="BH277:BQ278"/>
    <mergeCell ref="BR275:BT276"/>
    <mergeCell ref="BU275:BW276"/>
    <mergeCell ref="BR277:BT278"/>
    <mergeCell ref="BU277:BW278"/>
    <mergeCell ref="BX277:BZ278"/>
    <mergeCell ref="E269:L274"/>
    <mergeCell ref="M269:AM274"/>
    <mergeCell ref="AR269:AY274"/>
    <mergeCell ref="AZ269:BZ274"/>
    <mergeCell ref="E275:H276"/>
    <mergeCell ref="I275:J276"/>
    <mergeCell ref="K275:T276"/>
    <mergeCell ref="BX275:BZ276"/>
    <mergeCell ref="AX279:BG280"/>
    <mergeCell ref="BH279:BQ280"/>
    <mergeCell ref="BR279:BT280"/>
    <mergeCell ref="BU279:BW280"/>
    <mergeCell ref="BX279:BZ280"/>
    <mergeCell ref="E279:H280"/>
    <mergeCell ref="I279:J280"/>
    <mergeCell ref="K279:T280"/>
    <mergeCell ref="U279:AD280"/>
    <mergeCell ref="AE279:AG280"/>
    <mergeCell ref="AH279:AJ280"/>
    <mergeCell ref="AK279:AM280"/>
    <mergeCell ref="AR287:AU288"/>
    <mergeCell ref="AV287:AW288"/>
    <mergeCell ref="AX287:BG288"/>
    <mergeCell ref="BH287:BQ288"/>
    <mergeCell ref="BR287:BT288"/>
    <mergeCell ref="BU287:BW288"/>
    <mergeCell ref="BX287:BZ288"/>
    <mergeCell ref="E287:H288"/>
    <mergeCell ref="I287:J288"/>
    <mergeCell ref="K287:T288"/>
    <mergeCell ref="U287:AD288"/>
    <mergeCell ref="AE287:AG288"/>
    <mergeCell ref="AH287:AJ288"/>
    <mergeCell ref="AK287:AM288"/>
    <mergeCell ref="U299:AD300"/>
    <mergeCell ref="AE299:AG300"/>
    <mergeCell ref="AR299:AU300"/>
    <mergeCell ref="AV299:AW300"/>
    <mergeCell ref="AX299:BG300"/>
    <mergeCell ref="BH299:BQ300"/>
    <mergeCell ref="BR299:BT300"/>
    <mergeCell ref="BU299:BW300"/>
    <mergeCell ref="E293:L298"/>
    <mergeCell ref="M293:AM298"/>
    <mergeCell ref="AR293:AY298"/>
    <mergeCell ref="AZ293:BZ298"/>
    <mergeCell ref="E299:H300"/>
    <mergeCell ref="I299:J300"/>
    <mergeCell ref="K299:T300"/>
    <mergeCell ref="BX299:BZ300"/>
    <mergeCell ref="BU301:BW302"/>
    <mergeCell ref="BX301:BZ302"/>
    <mergeCell ref="AH301:AJ302"/>
    <mergeCell ref="AK301:AM302"/>
    <mergeCell ref="AR301:AU302"/>
    <mergeCell ref="AV301:AW302"/>
    <mergeCell ref="AX301:BG302"/>
    <mergeCell ref="BH301:BQ302"/>
    <mergeCell ref="BR301:BT302"/>
    <mergeCell ref="AH275:AJ276"/>
    <mergeCell ref="AK275:AM276"/>
    <mergeCell ref="AH277:AJ278"/>
    <mergeCell ref="AK277:AM278"/>
    <mergeCell ref="U275:AD276"/>
    <mergeCell ref="AE275:AG276"/>
    <mergeCell ref="E277:H278"/>
    <mergeCell ref="I277:J278"/>
    <mergeCell ref="K277:T278"/>
    <mergeCell ref="U277:AD278"/>
    <mergeCell ref="AE277:AG278"/>
    <mergeCell ref="AR281:AU282"/>
    <mergeCell ref="AV281:AW282"/>
    <mergeCell ref="AX281:BG282"/>
    <mergeCell ref="BH281:BQ282"/>
    <mergeCell ref="BR281:BT282"/>
    <mergeCell ref="BU281:BW282"/>
    <mergeCell ref="BX281:BZ282"/>
    <mergeCell ref="E281:H282"/>
    <mergeCell ref="I281:J282"/>
    <mergeCell ref="K281:T282"/>
    <mergeCell ref="U281:AD282"/>
    <mergeCell ref="AE281:AG282"/>
    <mergeCell ref="AH281:AJ282"/>
    <mergeCell ref="AK281:AM282"/>
    <mergeCell ref="AR283:AU284"/>
    <mergeCell ref="AV283:AW284"/>
    <mergeCell ref="AX283:BG284"/>
    <mergeCell ref="BH283:BQ284"/>
    <mergeCell ref="BR283:BT284"/>
    <mergeCell ref="BU283:BW284"/>
    <mergeCell ref="BX283:BZ284"/>
    <mergeCell ref="AR285:AU286"/>
    <mergeCell ref="AV285:AW286"/>
    <mergeCell ref="AX285:BG286"/>
    <mergeCell ref="BH285:BQ286"/>
    <mergeCell ref="BR285:BT286"/>
    <mergeCell ref="BU285:BW286"/>
    <mergeCell ref="BX285:BZ286"/>
    <mergeCell ref="AR303:AU304"/>
    <mergeCell ref="AV303:AW304"/>
    <mergeCell ref="AX303:BG304"/>
    <mergeCell ref="BH303:BQ304"/>
    <mergeCell ref="BR303:BT304"/>
    <mergeCell ref="BU303:BW304"/>
    <mergeCell ref="BX303:BZ304"/>
    <mergeCell ref="AH299:AJ300"/>
    <mergeCell ref="AK299:AM300"/>
    <mergeCell ref="E301:H302"/>
    <mergeCell ref="I301:J302"/>
    <mergeCell ref="K301:T302"/>
    <mergeCell ref="U301:AD302"/>
    <mergeCell ref="AE301:AG302"/>
    <mergeCell ref="E303:H304"/>
    <mergeCell ref="I303:J304"/>
    <mergeCell ref="K303:T304"/>
    <mergeCell ref="U303:AD304"/>
    <mergeCell ref="AE303:AG304"/>
    <mergeCell ref="AH303:AJ304"/>
    <mergeCell ref="AK303:AM304"/>
    <mergeCell ref="AR305:AU306"/>
    <mergeCell ref="AV305:AW306"/>
    <mergeCell ref="AX305:BG306"/>
    <mergeCell ref="BH305:BQ306"/>
    <mergeCell ref="BR305:BT306"/>
    <mergeCell ref="BU305:BW306"/>
    <mergeCell ref="BX305:BZ306"/>
    <mergeCell ref="E305:H306"/>
    <mergeCell ref="I305:J306"/>
    <mergeCell ref="K305:T306"/>
    <mergeCell ref="U305:AD306"/>
    <mergeCell ref="AE305:AG306"/>
    <mergeCell ref="AH305:AJ306"/>
    <mergeCell ref="AK305:AM306"/>
    <mergeCell ref="AR307:AU308"/>
    <mergeCell ref="AV307:AW308"/>
    <mergeCell ref="AX307:BG308"/>
    <mergeCell ref="BH307:BQ308"/>
    <mergeCell ref="BR307:BT308"/>
    <mergeCell ref="BU307:BW308"/>
    <mergeCell ref="BX307:BZ308"/>
    <mergeCell ref="AR309:AU310"/>
    <mergeCell ref="AV309:AW310"/>
    <mergeCell ref="AX309:BG310"/>
    <mergeCell ref="BH309:BQ310"/>
    <mergeCell ref="BR309:BT310"/>
    <mergeCell ref="BU309:BW310"/>
    <mergeCell ref="BX309:BZ310"/>
    <mergeCell ref="AR311:AU312"/>
    <mergeCell ref="AV311:AW312"/>
    <mergeCell ref="AX311:BG312"/>
    <mergeCell ref="BH311:BQ312"/>
    <mergeCell ref="BR311:BT312"/>
    <mergeCell ref="BU311:BW312"/>
    <mergeCell ref="BX311:BZ312"/>
    <mergeCell ref="E311:H312"/>
    <mergeCell ref="I311:J312"/>
    <mergeCell ref="K311:T312"/>
    <mergeCell ref="U311:AD312"/>
    <mergeCell ref="AE311:AG312"/>
    <mergeCell ref="AH311:AJ312"/>
    <mergeCell ref="AK311:AM312"/>
    <mergeCell ref="E331:H332"/>
    <mergeCell ref="I331:J332"/>
    <mergeCell ref="K331:T332"/>
    <mergeCell ref="U331:AD332"/>
    <mergeCell ref="AE331:AG332"/>
    <mergeCell ref="AH331:AJ332"/>
    <mergeCell ref="AK331:AM332"/>
    <mergeCell ref="E333:H334"/>
    <mergeCell ref="I333:J334"/>
    <mergeCell ref="K333:T334"/>
    <mergeCell ref="U333:AD334"/>
    <mergeCell ref="AE333:AG334"/>
    <mergeCell ref="AH333:AJ334"/>
    <mergeCell ref="AK333:AM334"/>
    <mergeCell ref="AX15:BG16"/>
    <mergeCell ref="BH15:BQ16"/>
    <mergeCell ref="BR15:BT16"/>
    <mergeCell ref="BU15:BW16"/>
    <mergeCell ref="BX15:BZ16"/>
    <mergeCell ref="E15:H16"/>
    <mergeCell ref="I15:J16"/>
    <mergeCell ref="K15:T16"/>
    <mergeCell ref="U15:AD16"/>
    <mergeCell ref="AE15:AG16"/>
    <mergeCell ref="AH15:AJ16"/>
    <mergeCell ref="AK15:AM16"/>
    <mergeCell ref="AX17:BG18"/>
    <mergeCell ref="BH17:BQ18"/>
    <mergeCell ref="BR17:BT18"/>
    <mergeCell ref="BU17:BW18"/>
    <mergeCell ref="BX17:BZ18"/>
    <mergeCell ref="E17:H18"/>
    <mergeCell ref="I17:J18"/>
    <mergeCell ref="K17:T18"/>
    <mergeCell ref="U17:AD18"/>
    <mergeCell ref="AE17:AG18"/>
    <mergeCell ref="AH17:AJ18"/>
    <mergeCell ref="AK17:AM18"/>
    <mergeCell ref="AH11:AJ12"/>
    <mergeCell ref="AK11:AM12"/>
    <mergeCell ref="AH13:AJ14"/>
    <mergeCell ref="AK13:AM14"/>
    <mergeCell ref="AX11:BG12"/>
    <mergeCell ref="BH11:BQ12"/>
    <mergeCell ref="AX13:BG14"/>
    <mergeCell ref="BH13:BQ14"/>
    <mergeCell ref="BR11:BT12"/>
    <mergeCell ref="BU11:BW12"/>
    <mergeCell ref="BR13:BT14"/>
    <mergeCell ref="BU13:BW14"/>
    <mergeCell ref="BX13:BZ14"/>
    <mergeCell ref="E5:L10"/>
    <mergeCell ref="M5:AM10"/>
    <mergeCell ref="AR5:AY10"/>
    <mergeCell ref="AZ5:BZ10"/>
    <mergeCell ref="E11:H12"/>
    <mergeCell ref="I11:J12"/>
    <mergeCell ref="K11:T12"/>
    <mergeCell ref="BX11:BZ12"/>
    <mergeCell ref="U11:AD12"/>
    <mergeCell ref="AE11:AG12"/>
    <mergeCell ref="E13:H14"/>
    <mergeCell ref="I13:J14"/>
    <mergeCell ref="K13:T14"/>
    <mergeCell ref="U13:AD14"/>
    <mergeCell ref="AE13:AG14"/>
    <mergeCell ref="AR17:AU18"/>
    <mergeCell ref="AR19:AU20"/>
    <mergeCell ref="AV19:AW20"/>
    <mergeCell ref="AX19:BG20"/>
    <mergeCell ref="BH19:BQ20"/>
    <mergeCell ref="BR19:BT20"/>
    <mergeCell ref="BU19:BW20"/>
    <mergeCell ref="BX19:BZ20"/>
    <mergeCell ref="AR11:AU12"/>
    <mergeCell ref="AV11:AW12"/>
    <mergeCell ref="AR13:AU14"/>
    <mergeCell ref="AV13:AW14"/>
    <mergeCell ref="AR15:AU16"/>
    <mergeCell ref="AV15:AW16"/>
    <mergeCell ref="AV17:AW18"/>
    <mergeCell ref="AR35:AU36"/>
    <mergeCell ref="AV35:AW36"/>
    <mergeCell ref="AR37:AU38"/>
    <mergeCell ref="AV37:AW38"/>
    <mergeCell ref="AH35:AJ36"/>
    <mergeCell ref="AK35:AM36"/>
    <mergeCell ref="E37:H38"/>
    <mergeCell ref="I37:J38"/>
    <mergeCell ref="K37:T38"/>
    <mergeCell ref="U37:AD38"/>
    <mergeCell ref="AE37:AG38"/>
    <mergeCell ref="AR39:AU40"/>
    <mergeCell ref="AV39:AW40"/>
    <mergeCell ref="AX39:BG40"/>
    <mergeCell ref="BH39:BQ40"/>
    <mergeCell ref="BR39:BT40"/>
    <mergeCell ref="BU39:BW40"/>
    <mergeCell ref="BX39:BZ40"/>
    <mergeCell ref="E39:H40"/>
    <mergeCell ref="I39:J40"/>
    <mergeCell ref="K39:T40"/>
    <mergeCell ref="U39:AD40"/>
    <mergeCell ref="AE39:AG40"/>
    <mergeCell ref="AH39:AJ40"/>
    <mergeCell ref="AK39:AM40"/>
    <mergeCell ref="AR41:AU42"/>
    <mergeCell ref="AV41:AW42"/>
    <mergeCell ref="AX41:BG42"/>
    <mergeCell ref="BH41:BQ42"/>
    <mergeCell ref="BR41:BT42"/>
    <mergeCell ref="BU41:BW42"/>
    <mergeCell ref="BX41:BZ42"/>
    <mergeCell ref="E41:H42"/>
    <mergeCell ref="I41:J42"/>
    <mergeCell ref="K41:T42"/>
    <mergeCell ref="U41:AD42"/>
    <mergeCell ref="AE41:AG42"/>
    <mergeCell ref="AH41:AJ42"/>
    <mergeCell ref="AK41:AM42"/>
    <mergeCell ref="AR43:AU44"/>
    <mergeCell ref="AV43:AW44"/>
    <mergeCell ref="AX43:BG44"/>
    <mergeCell ref="BH43:BQ44"/>
    <mergeCell ref="BR43:BT44"/>
    <mergeCell ref="BU43:BW44"/>
    <mergeCell ref="BX43:BZ44"/>
    <mergeCell ref="E43:H44"/>
    <mergeCell ref="I43:J44"/>
    <mergeCell ref="K43:T44"/>
    <mergeCell ref="U43:AD44"/>
    <mergeCell ref="AE43:AG44"/>
    <mergeCell ref="AH43:AJ44"/>
    <mergeCell ref="AK43:AM44"/>
    <mergeCell ref="U35:AD36"/>
    <mergeCell ref="AE35:AG36"/>
    <mergeCell ref="AX35:BG36"/>
    <mergeCell ref="BH35:BQ36"/>
    <mergeCell ref="BR35:BT36"/>
    <mergeCell ref="BU35:BW36"/>
    <mergeCell ref="E29:L34"/>
    <mergeCell ref="M29:AM34"/>
    <mergeCell ref="AR29:AY34"/>
    <mergeCell ref="AZ29:BZ34"/>
    <mergeCell ref="E35:H36"/>
    <mergeCell ref="I35:J36"/>
    <mergeCell ref="K35:T36"/>
    <mergeCell ref="BX35:BZ36"/>
    <mergeCell ref="AR45:AU46"/>
    <mergeCell ref="AV45:AW46"/>
    <mergeCell ref="AX45:BG46"/>
    <mergeCell ref="BH45:BQ46"/>
    <mergeCell ref="BR45:BT46"/>
    <mergeCell ref="BU45:BW46"/>
    <mergeCell ref="BX45:BZ46"/>
    <mergeCell ref="E45:H46"/>
    <mergeCell ref="I45:J46"/>
    <mergeCell ref="K45:T46"/>
    <mergeCell ref="U45:AD46"/>
    <mergeCell ref="AE45:AG46"/>
    <mergeCell ref="AH45:AJ46"/>
    <mergeCell ref="AK45:AM46"/>
    <mergeCell ref="AR47:AU48"/>
    <mergeCell ref="AV47:AW48"/>
    <mergeCell ref="AX47:BG48"/>
    <mergeCell ref="BH47:BQ48"/>
    <mergeCell ref="BR47:BT48"/>
    <mergeCell ref="BU47:BW48"/>
    <mergeCell ref="BX47:BZ48"/>
    <mergeCell ref="E47:H48"/>
    <mergeCell ref="I47:J48"/>
    <mergeCell ref="K47:T48"/>
    <mergeCell ref="U47:AD48"/>
    <mergeCell ref="AE47:AG48"/>
    <mergeCell ref="AH47:AJ48"/>
    <mergeCell ref="AK47:AM48"/>
    <mergeCell ref="U59:AD60"/>
    <mergeCell ref="AE59:AG60"/>
    <mergeCell ref="AR59:AU60"/>
    <mergeCell ref="AV59:AW60"/>
    <mergeCell ref="AX59:BG60"/>
    <mergeCell ref="BH59:BQ60"/>
    <mergeCell ref="BR59:BT60"/>
    <mergeCell ref="BU59:BW60"/>
    <mergeCell ref="E53:L58"/>
    <mergeCell ref="M53:AM58"/>
    <mergeCell ref="AR53:AY58"/>
    <mergeCell ref="AZ53:BZ58"/>
    <mergeCell ref="E59:H60"/>
    <mergeCell ref="I59:J60"/>
    <mergeCell ref="K59:T60"/>
    <mergeCell ref="BX59:BZ60"/>
    <mergeCell ref="BU61:BW62"/>
    <mergeCell ref="BX61:BZ62"/>
    <mergeCell ref="AH61:AJ62"/>
    <mergeCell ref="AK61:AM62"/>
    <mergeCell ref="AR61:AU62"/>
    <mergeCell ref="AV61:AW62"/>
    <mergeCell ref="AX61:BG62"/>
    <mergeCell ref="BH61:BQ62"/>
    <mergeCell ref="BR61:BT62"/>
    <mergeCell ref="E19:H20"/>
    <mergeCell ref="I19:J20"/>
    <mergeCell ref="K19:T20"/>
    <mergeCell ref="U19:AD20"/>
    <mergeCell ref="AE19:AG20"/>
    <mergeCell ref="AH19:AJ20"/>
    <mergeCell ref="AK19:AM20"/>
    <mergeCell ref="AR21:AU22"/>
    <mergeCell ref="AV21:AW22"/>
    <mergeCell ref="AX21:BG22"/>
    <mergeCell ref="BH21:BQ22"/>
    <mergeCell ref="BR21:BT22"/>
    <mergeCell ref="BU21:BW22"/>
    <mergeCell ref="BX21:BZ22"/>
    <mergeCell ref="E21:H22"/>
    <mergeCell ref="I21:J22"/>
    <mergeCell ref="K21:T22"/>
    <mergeCell ref="U21:AD22"/>
    <mergeCell ref="AE21:AG22"/>
    <mergeCell ref="AH21:AJ22"/>
    <mergeCell ref="AK21:AM22"/>
    <mergeCell ref="AR23:AU24"/>
    <mergeCell ref="AV23:AW24"/>
    <mergeCell ref="AX23:BG24"/>
    <mergeCell ref="BH23:BQ24"/>
    <mergeCell ref="BR23:BT24"/>
    <mergeCell ref="BU23:BW24"/>
    <mergeCell ref="BX23:BZ24"/>
    <mergeCell ref="E23:H24"/>
    <mergeCell ref="I23:J24"/>
    <mergeCell ref="K23:T24"/>
    <mergeCell ref="U23:AD24"/>
    <mergeCell ref="AE23:AG24"/>
    <mergeCell ref="AH23:AJ24"/>
    <mergeCell ref="AK23:AM24"/>
    <mergeCell ref="AH37:AJ38"/>
    <mergeCell ref="AK37:AM38"/>
    <mergeCell ref="AX37:BG38"/>
    <mergeCell ref="BH37:BQ38"/>
    <mergeCell ref="BR37:BT38"/>
    <mergeCell ref="BU37:BW38"/>
    <mergeCell ref="BX37:BZ38"/>
    <mergeCell ref="AR63:AU64"/>
    <mergeCell ref="AV63:AW64"/>
    <mergeCell ref="AX63:BG64"/>
    <mergeCell ref="BH63:BQ64"/>
    <mergeCell ref="BR63:BT64"/>
    <mergeCell ref="BU63:BW64"/>
    <mergeCell ref="BX63:BZ64"/>
    <mergeCell ref="AH83:AJ84"/>
    <mergeCell ref="AK83:AM84"/>
    <mergeCell ref="AH85:AJ86"/>
    <mergeCell ref="AK85:AM86"/>
    <mergeCell ref="U83:AD84"/>
    <mergeCell ref="AE83:AG84"/>
    <mergeCell ref="E85:H86"/>
    <mergeCell ref="I85:J86"/>
    <mergeCell ref="K85:T86"/>
    <mergeCell ref="U85:AD86"/>
    <mergeCell ref="AE85:AG86"/>
    <mergeCell ref="AH59:AJ60"/>
    <mergeCell ref="AK59:AM60"/>
    <mergeCell ref="E61:H62"/>
    <mergeCell ref="I61:J62"/>
    <mergeCell ref="K61:T62"/>
    <mergeCell ref="U61:AD62"/>
    <mergeCell ref="AE61:AG62"/>
    <mergeCell ref="E63:H64"/>
    <mergeCell ref="I63:J64"/>
    <mergeCell ref="K63:T64"/>
    <mergeCell ref="U63:AD64"/>
    <mergeCell ref="AE63:AG64"/>
    <mergeCell ref="AH63:AJ64"/>
    <mergeCell ref="AK63:AM64"/>
    <mergeCell ref="AR65:AU66"/>
    <mergeCell ref="AV65:AW66"/>
    <mergeCell ref="AX65:BG66"/>
    <mergeCell ref="BH65:BQ66"/>
    <mergeCell ref="BR65:BT66"/>
    <mergeCell ref="BU65:BW66"/>
    <mergeCell ref="BX65:BZ66"/>
    <mergeCell ref="E65:H66"/>
    <mergeCell ref="I65:J66"/>
    <mergeCell ref="K65:T66"/>
    <mergeCell ref="U65:AD66"/>
    <mergeCell ref="AE65:AG66"/>
    <mergeCell ref="AH65:AJ66"/>
    <mergeCell ref="AK65:AM66"/>
    <mergeCell ref="AR67:AU68"/>
    <mergeCell ref="AV67:AW68"/>
    <mergeCell ref="AX67:BG68"/>
    <mergeCell ref="BH67:BQ68"/>
    <mergeCell ref="BR67:BT68"/>
    <mergeCell ref="BU67:BW68"/>
    <mergeCell ref="BX67:BZ68"/>
    <mergeCell ref="AR69:AU70"/>
    <mergeCell ref="AV69:AW70"/>
    <mergeCell ref="AX69:BG70"/>
    <mergeCell ref="BH69:BQ70"/>
    <mergeCell ref="BR69:BT70"/>
    <mergeCell ref="BU69:BW70"/>
    <mergeCell ref="BX69:BZ70"/>
    <mergeCell ref="AR71:AU72"/>
    <mergeCell ref="AV71:AW72"/>
    <mergeCell ref="AX71:BG72"/>
    <mergeCell ref="BH71:BQ72"/>
    <mergeCell ref="BR71:BT72"/>
    <mergeCell ref="BU71:BW72"/>
    <mergeCell ref="BX71:BZ72"/>
    <mergeCell ref="E71:H72"/>
    <mergeCell ref="I71:J72"/>
    <mergeCell ref="K71:T72"/>
    <mergeCell ref="U71:AD72"/>
    <mergeCell ref="AE71:AG72"/>
    <mergeCell ref="AH71:AJ72"/>
    <mergeCell ref="AK71:AM72"/>
    <mergeCell ref="AX87:BG88"/>
    <mergeCell ref="BH87:BQ88"/>
    <mergeCell ref="BR87:BT88"/>
    <mergeCell ref="BU87:BW88"/>
    <mergeCell ref="BX87:BZ88"/>
    <mergeCell ref="E87:H88"/>
    <mergeCell ref="I87:J88"/>
    <mergeCell ref="K87:T88"/>
    <mergeCell ref="U87:AD88"/>
    <mergeCell ref="AE87:AG88"/>
    <mergeCell ref="AH87:AJ88"/>
    <mergeCell ref="AK87:AM88"/>
    <mergeCell ref="AX89:BG90"/>
    <mergeCell ref="BH89:BQ90"/>
    <mergeCell ref="BR89:BT90"/>
    <mergeCell ref="BU89:BW90"/>
    <mergeCell ref="BX89:BZ90"/>
    <mergeCell ref="E89:H90"/>
    <mergeCell ref="I89:J90"/>
    <mergeCell ref="K89:T90"/>
    <mergeCell ref="U89:AD90"/>
    <mergeCell ref="AE89:AG90"/>
    <mergeCell ref="AH89:AJ90"/>
    <mergeCell ref="AK89:AM90"/>
    <mergeCell ref="E67:H68"/>
    <mergeCell ref="I67:J68"/>
    <mergeCell ref="K67:T68"/>
    <mergeCell ref="U67:AD68"/>
    <mergeCell ref="AE67:AG68"/>
    <mergeCell ref="AH67:AJ68"/>
    <mergeCell ref="AK67:AM68"/>
    <mergeCell ref="E69:H70"/>
    <mergeCell ref="I69:J70"/>
    <mergeCell ref="K69:T70"/>
    <mergeCell ref="U69:AD70"/>
    <mergeCell ref="AE69:AG70"/>
    <mergeCell ref="AH69:AJ70"/>
    <mergeCell ref="AK69:AM70"/>
    <mergeCell ref="AX83:BG84"/>
    <mergeCell ref="BH83:BQ84"/>
    <mergeCell ref="AX85:BG86"/>
    <mergeCell ref="BH85:BQ86"/>
    <mergeCell ref="BR83:BT84"/>
    <mergeCell ref="BU83:BW84"/>
    <mergeCell ref="BR85:BT86"/>
    <mergeCell ref="BU85:BW86"/>
    <mergeCell ref="BX85:BZ86"/>
    <mergeCell ref="E77:L82"/>
    <mergeCell ref="M77:AM82"/>
    <mergeCell ref="AR77:AY82"/>
    <mergeCell ref="AZ77:BZ82"/>
    <mergeCell ref="E83:H84"/>
    <mergeCell ref="I83:J84"/>
    <mergeCell ref="K83:T84"/>
    <mergeCell ref="BX83:BZ84"/>
    <mergeCell ref="AR89:AU90"/>
    <mergeCell ref="AR91:AU92"/>
    <mergeCell ref="AV91:AW92"/>
    <mergeCell ref="AX91:BG92"/>
    <mergeCell ref="BH91:BQ92"/>
    <mergeCell ref="BR91:BT92"/>
    <mergeCell ref="BU91:BW92"/>
    <mergeCell ref="BX91:BZ92"/>
    <mergeCell ref="AR83:AU84"/>
    <mergeCell ref="AV83:AW84"/>
    <mergeCell ref="AR85:AU86"/>
    <mergeCell ref="AV85:AW86"/>
    <mergeCell ref="AR87:AU88"/>
    <mergeCell ref="AV87:AW88"/>
    <mergeCell ref="AV89:AW90"/>
    <mergeCell ref="AR107:AU108"/>
    <mergeCell ref="AV107:AW108"/>
    <mergeCell ref="AR109:AU110"/>
    <mergeCell ref="AV109:AW110"/>
    <mergeCell ref="AH107:AJ108"/>
    <mergeCell ref="AK107:AM108"/>
    <mergeCell ref="E109:H110"/>
    <mergeCell ref="I109:J110"/>
    <mergeCell ref="K109:T110"/>
    <mergeCell ref="U109:AD110"/>
    <mergeCell ref="AE109:AG110"/>
    <mergeCell ref="AR111:AU112"/>
    <mergeCell ref="AV111:AW112"/>
    <mergeCell ref="AX111:BG112"/>
    <mergeCell ref="BH111:BQ112"/>
    <mergeCell ref="BR111:BT112"/>
    <mergeCell ref="BU111:BW112"/>
    <mergeCell ref="BX111:BZ112"/>
    <mergeCell ref="E111:H112"/>
    <mergeCell ref="I111:J112"/>
    <mergeCell ref="K111:T112"/>
    <mergeCell ref="U111:AD112"/>
    <mergeCell ref="AE111:AG112"/>
    <mergeCell ref="AH111:AJ112"/>
    <mergeCell ref="AK111:AM112"/>
    <mergeCell ref="AR113:AU114"/>
    <mergeCell ref="AV113:AW114"/>
    <mergeCell ref="AX113:BG114"/>
    <mergeCell ref="BH113:BQ114"/>
    <mergeCell ref="BR113:BT114"/>
    <mergeCell ref="BU113:BW114"/>
    <mergeCell ref="BX113:BZ114"/>
    <mergeCell ref="E113:H114"/>
    <mergeCell ref="I113:J114"/>
    <mergeCell ref="K113:T114"/>
    <mergeCell ref="U113:AD114"/>
    <mergeCell ref="AE113:AG114"/>
    <mergeCell ref="AH113:AJ114"/>
    <mergeCell ref="AK113:AM114"/>
    <mergeCell ref="U107:AD108"/>
    <mergeCell ref="AE107:AG108"/>
    <mergeCell ref="AX107:BG108"/>
    <mergeCell ref="BH107:BQ108"/>
    <mergeCell ref="BR107:BT108"/>
    <mergeCell ref="BU107:BW108"/>
    <mergeCell ref="E101:L106"/>
    <mergeCell ref="M101:AM106"/>
    <mergeCell ref="AR101:AY106"/>
    <mergeCell ref="AZ101:BZ106"/>
    <mergeCell ref="E107:H108"/>
    <mergeCell ref="I107:J108"/>
    <mergeCell ref="K107:T108"/>
    <mergeCell ref="BX107:BZ108"/>
    <mergeCell ref="AR115:AU116"/>
    <mergeCell ref="AV115:AW116"/>
    <mergeCell ref="AX115:BG116"/>
    <mergeCell ref="BH115:BQ116"/>
    <mergeCell ref="BR115:BT116"/>
    <mergeCell ref="BU115:BW116"/>
    <mergeCell ref="BX115:BZ116"/>
    <mergeCell ref="E115:H116"/>
    <mergeCell ref="I115:J116"/>
    <mergeCell ref="K115:T116"/>
    <mergeCell ref="U115:AD116"/>
    <mergeCell ref="AE115:AG116"/>
    <mergeCell ref="AH115:AJ116"/>
    <mergeCell ref="AK115:AM116"/>
    <mergeCell ref="AR117:AU118"/>
    <mergeCell ref="AV117:AW118"/>
    <mergeCell ref="AX117:BG118"/>
    <mergeCell ref="BH117:BQ118"/>
    <mergeCell ref="BR117:BT118"/>
    <mergeCell ref="BU117:BW118"/>
    <mergeCell ref="BX117:BZ118"/>
    <mergeCell ref="E117:H118"/>
    <mergeCell ref="I117:J118"/>
    <mergeCell ref="K117:T118"/>
    <mergeCell ref="U117:AD118"/>
    <mergeCell ref="AE117:AG118"/>
    <mergeCell ref="AH117:AJ118"/>
    <mergeCell ref="AK117:AM118"/>
    <mergeCell ref="AR119:AU120"/>
    <mergeCell ref="AV119:AW120"/>
    <mergeCell ref="AX119:BG120"/>
    <mergeCell ref="BH119:BQ120"/>
    <mergeCell ref="BR119:BT120"/>
    <mergeCell ref="BU119:BW120"/>
    <mergeCell ref="BX119:BZ120"/>
    <mergeCell ref="E119:H120"/>
    <mergeCell ref="I119:J120"/>
    <mergeCell ref="K119:T120"/>
    <mergeCell ref="U119:AD120"/>
    <mergeCell ref="AE119:AG120"/>
    <mergeCell ref="AH119:AJ120"/>
    <mergeCell ref="AK119:AM120"/>
    <mergeCell ref="U131:AD132"/>
    <mergeCell ref="AE131:AG132"/>
    <mergeCell ref="AR131:AU132"/>
    <mergeCell ref="AV131:AW132"/>
    <mergeCell ref="AX131:BG132"/>
    <mergeCell ref="BH131:BQ132"/>
    <mergeCell ref="BR131:BT132"/>
    <mergeCell ref="BU131:BW132"/>
    <mergeCell ref="E125:L130"/>
    <mergeCell ref="M125:AM130"/>
    <mergeCell ref="AR125:AY130"/>
    <mergeCell ref="AZ125:BZ130"/>
    <mergeCell ref="E131:H132"/>
    <mergeCell ref="I131:J132"/>
    <mergeCell ref="K131:T132"/>
    <mergeCell ref="BX131:BZ132"/>
    <mergeCell ref="BU133:BW134"/>
    <mergeCell ref="BX133:BZ134"/>
    <mergeCell ref="AH133:AJ134"/>
    <mergeCell ref="AK133:AM134"/>
    <mergeCell ref="AR133:AU134"/>
    <mergeCell ref="AV133:AW134"/>
    <mergeCell ref="AX133:BG134"/>
    <mergeCell ref="BH133:BQ134"/>
    <mergeCell ref="BR133:BT134"/>
    <mergeCell ref="E139:H140"/>
    <mergeCell ref="I139:J140"/>
    <mergeCell ref="K139:T140"/>
    <mergeCell ref="U139:AD140"/>
    <mergeCell ref="AE139:AG140"/>
    <mergeCell ref="AH139:AJ140"/>
    <mergeCell ref="AK139:AM140"/>
    <mergeCell ref="E141:H142"/>
    <mergeCell ref="I141:J142"/>
    <mergeCell ref="K141:T142"/>
    <mergeCell ref="U141:AD142"/>
    <mergeCell ref="AE141:AG142"/>
    <mergeCell ref="AH141:AJ142"/>
    <mergeCell ref="AK141:AM142"/>
    <mergeCell ref="E91:H92"/>
    <mergeCell ref="I91:J92"/>
    <mergeCell ref="K91:T92"/>
    <mergeCell ref="U91:AD92"/>
    <mergeCell ref="AE91:AG92"/>
    <mergeCell ref="AH91:AJ92"/>
    <mergeCell ref="AK91:AM92"/>
    <mergeCell ref="AR93:AU94"/>
    <mergeCell ref="AV93:AW94"/>
    <mergeCell ref="AX93:BG94"/>
    <mergeCell ref="BH93:BQ94"/>
    <mergeCell ref="BR93:BT94"/>
    <mergeCell ref="BU93:BW94"/>
    <mergeCell ref="BX93:BZ94"/>
    <mergeCell ref="E93:H94"/>
    <mergeCell ref="I93:J94"/>
    <mergeCell ref="K93:T94"/>
    <mergeCell ref="U93:AD94"/>
    <mergeCell ref="AE93:AG94"/>
    <mergeCell ref="AH93:AJ94"/>
    <mergeCell ref="AK93:AM94"/>
    <mergeCell ref="AR95:AU96"/>
    <mergeCell ref="AV95:AW96"/>
    <mergeCell ref="AX95:BG96"/>
    <mergeCell ref="BH95:BQ96"/>
    <mergeCell ref="BR95:BT96"/>
    <mergeCell ref="BU95:BW96"/>
    <mergeCell ref="BX95:BZ96"/>
    <mergeCell ref="E95:H96"/>
    <mergeCell ref="I95:J96"/>
    <mergeCell ref="K95:T96"/>
    <mergeCell ref="U95:AD96"/>
    <mergeCell ref="AE95:AG96"/>
    <mergeCell ref="AH95:AJ96"/>
    <mergeCell ref="AK95:AM96"/>
    <mergeCell ref="AH109:AJ110"/>
    <mergeCell ref="AK109:AM110"/>
    <mergeCell ref="AX109:BG110"/>
    <mergeCell ref="BH109:BQ110"/>
    <mergeCell ref="BR109:BT110"/>
    <mergeCell ref="BU109:BW110"/>
    <mergeCell ref="BX109:BZ110"/>
    <mergeCell ref="AR135:AU136"/>
    <mergeCell ref="AV135:AW136"/>
    <mergeCell ref="AX135:BG136"/>
    <mergeCell ref="BH135:BQ136"/>
    <mergeCell ref="BR135:BT136"/>
    <mergeCell ref="BU135:BW136"/>
    <mergeCell ref="BX135:BZ136"/>
    <mergeCell ref="AR143:AU144"/>
    <mergeCell ref="AV143:AW144"/>
    <mergeCell ref="AX143:BG144"/>
    <mergeCell ref="BH143:BQ144"/>
    <mergeCell ref="BR143:BT144"/>
    <mergeCell ref="BU143:BW144"/>
    <mergeCell ref="BX143:BZ144"/>
    <mergeCell ref="E143:H144"/>
    <mergeCell ref="I143:J144"/>
    <mergeCell ref="K143:T144"/>
    <mergeCell ref="U143:AD144"/>
    <mergeCell ref="AE143:AG144"/>
    <mergeCell ref="AH143:AJ144"/>
    <mergeCell ref="AK143:AM144"/>
    <mergeCell ref="U155:AD156"/>
    <mergeCell ref="AE155:AG156"/>
    <mergeCell ref="AR155:AU156"/>
    <mergeCell ref="AV155:AW156"/>
    <mergeCell ref="AX155:BG156"/>
    <mergeCell ref="BH155:BQ156"/>
    <mergeCell ref="BR155:BT156"/>
    <mergeCell ref="BU155:BW156"/>
    <mergeCell ref="E149:L154"/>
    <mergeCell ref="M149:AM154"/>
    <mergeCell ref="AR149:AY154"/>
    <mergeCell ref="AZ149:BZ154"/>
    <mergeCell ref="E155:H156"/>
    <mergeCell ref="I155:J156"/>
    <mergeCell ref="K155:T156"/>
    <mergeCell ref="BX155:BZ156"/>
    <mergeCell ref="BU157:BW158"/>
    <mergeCell ref="BX157:BZ158"/>
    <mergeCell ref="AH157:AJ158"/>
    <mergeCell ref="AK157:AM158"/>
    <mergeCell ref="AR157:AU158"/>
    <mergeCell ref="AV157:AW158"/>
    <mergeCell ref="AX157:BG158"/>
    <mergeCell ref="BH157:BQ158"/>
    <mergeCell ref="BR157:BT158"/>
    <mergeCell ref="AH131:AJ132"/>
    <mergeCell ref="AK131:AM132"/>
    <mergeCell ref="E133:H134"/>
    <mergeCell ref="I133:J134"/>
    <mergeCell ref="K133:T134"/>
    <mergeCell ref="U133:AD134"/>
    <mergeCell ref="AE133:AG134"/>
    <mergeCell ref="E135:H136"/>
    <mergeCell ref="I135:J136"/>
    <mergeCell ref="K135:T136"/>
    <mergeCell ref="U135:AD136"/>
    <mergeCell ref="AE135:AG136"/>
    <mergeCell ref="AH135:AJ136"/>
    <mergeCell ref="AK135:AM136"/>
    <mergeCell ref="AR137:AU138"/>
    <mergeCell ref="AV137:AW138"/>
    <mergeCell ref="AX137:BG138"/>
    <mergeCell ref="BH137:BQ138"/>
    <mergeCell ref="BR137:BT138"/>
    <mergeCell ref="BU137:BW138"/>
    <mergeCell ref="BX137:BZ138"/>
    <mergeCell ref="E137:H138"/>
    <mergeCell ref="I137:J138"/>
    <mergeCell ref="K137:T138"/>
    <mergeCell ref="U137:AD138"/>
    <mergeCell ref="AE137:AG138"/>
    <mergeCell ref="AH137:AJ138"/>
    <mergeCell ref="AK137:AM138"/>
    <mergeCell ref="AR139:AU140"/>
    <mergeCell ref="AV139:AW140"/>
    <mergeCell ref="AX139:BG140"/>
    <mergeCell ref="BH139:BQ140"/>
    <mergeCell ref="BR139:BT140"/>
    <mergeCell ref="BU139:BW140"/>
    <mergeCell ref="BX139:BZ140"/>
    <mergeCell ref="AR141:AU142"/>
    <mergeCell ref="AV141:AW142"/>
    <mergeCell ref="AX141:BG142"/>
    <mergeCell ref="BH141:BQ142"/>
    <mergeCell ref="BR141:BT142"/>
    <mergeCell ref="BU141:BW142"/>
    <mergeCell ref="BX141:BZ142"/>
    <mergeCell ref="AR159:AU160"/>
    <mergeCell ref="AV159:AW160"/>
    <mergeCell ref="AX159:BG160"/>
    <mergeCell ref="BH159:BQ160"/>
    <mergeCell ref="BR159:BT160"/>
    <mergeCell ref="BU159:BW160"/>
    <mergeCell ref="BX159:BZ160"/>
    <mergeCell ref="AH155:AJ156"/>
    <mergeCell ref="AK155:AM156"/>
    <mergeCell ref="E157:H158"/>
    <mergeCell ref="I157:J158"/>
    <mergeCell ref="K157:T158"/>
    <mergeCell ref="U157:AD158"/>
    <mergeCell ref="AE157:AG158"/>
    <mergeCell ref="E159:H160"/>
    <mergeCell ref="I159:J160"/>
    <mergeCell ref="K159:T160"/>
    <mergeCell ref="U159:AD160"/>
    <mergeCell ref="AE159:AG160"/>
    <mergeCell ref="AH159:AJ160"/>
    <mergeCell ref="AK159:AM160"/>
    <mergeCell ref="AR161:AU162"/>
    <mergeCell ref="AV161:AW162"/>
    <mergeCell ref="AX161:BG162"/>
    <mergeCell ref="BH161:BQ162"/>
    <mergeCell ref="BR161:BT162"/>
    <mergeCell ref="BU161:BW162"/>
    <mergeCell ref="BX161:BZ162"/>
    <mergeCell ref="E161:H162"/>
    <mergeCell ref="I161:J162"/>
    <mergeCell ref="K161:T162"/>
    <mergeCell ref="U161:AD162"/>
    <mergeCell ref="AE161:AG162"/>
    <mergeCell ref="AH161:AJ162"/>
    <mergeCell ref="AK161:AM162"/>
    <mergeCell ref="AR163:AU164"/>
    <mergeCell ref="AV163:AW164"/>
    <mergeCell ref="AX163:BG164"/>
    <mergeCell ref="BH163:BQ164"/>
    <mergeCell ref="BR163:BT164"/>
    <mergeCell ref="BU163:BW164"/>
    <mergeCell ref="BX163:BZ164"/>
    <mergeCell ref="AR165:AU166"/>
    <mergeCell ref="AV165:AW166"/>
    <mergeCell ref="AX165:BG166"/>
    <mergeCell ref="BH165:BQ166"/>
    <mergeCell ref="BR165:BT166"/>
    <mergeCell ref="BU165:BW166"/>
    <mergeCell ref="BX165:BZ166"/>
    <mergeCell ref="AR167:AU168"/>
    <mergeCell ref="AV167:AW168"/>
    <mergeCell ref="AX167:BG168"/>
    <mergeCell ref="BH167:BQ168"/>
    <mergeCell ref="BR167:BT168"/>
    <mergeCell ref="BU167:BW168"/>
    <mergeCell ref="BX167:BZ168"/>
    <mergeCell ref="E167:H168"/>
    <mergeCell ref="I167:J168"/>
    <mergeCell ref="K167:T168"/>
    <mergeCell ref="U167:AD168"/>
    <mergeCell ref="AE167:AG168"/>
    <mergeCell ref="AH167:AJ168"/>
    <mergeCell ref="AK167:AM168"/>
    <mergeCell ref="E187:H188"/>
    <mergeCell ref="I187:J188"/>
    <mergeCell ref="K187:T188"/>
    <mergeCell ref="U187:AD188"/>
    <mergeCell ref="AE187:AG188"/>
    <mergeCell ref="AH187:AJ188"/>
    <mergeCell ref="AK187:AM188"/>
    <mergeCell ref="E189:H190"/>
    <mergeCell ref="I189:J190"/>
    <mergeCell ref="K189:T190"/>
    <mergeCell ref="U189:AD190"/>
    <mergeCell ref="AE189:AG190"/>
    <mergeCell ref="AH189:AJ190"/>
    <mergeCell ref="AK189:AM190"/>
    <mergeCell ref="E163:H164"/>
    <mergeCell ref="I163:J164"/>
    <mergeCell ref="K163:T164"/>
    <mergeCell ref="U163:AD164"/>
    <mergeCell ref="AE163:AG164"/>
    <mergeCell ref="AH163:AJ164"/>
    <mergeCell ref="AK163:AM164"/>
    <mergeCell ref="E165:H166"/>
    <mergeCell ref="I165:J166"/>
    <mergeCell ref="K165:T166"/>
    <mergeCell ref="U165:AD166"/>
    <mergeCell ref="AE165:AG166"/>
    <mergeCell ref="AH165:AJ166"/>
    <mergeCell ref="AK165:AM166"/>
    <mergeCell ref="AR179:AU180"/>
    <mergeCell ref="AV179:AW180"/>
    <mergeCell ref="AR181:AU182"/>
    <mergeCell ref="AV181:AW182"/>
    <mergeCell ref="AR183:AU184"/>
    <mergeCell ref="AV183:AW184"/>
    <mergeCell ref="AX179:BG180"/>
    <mergeCell ref="BH179:BQ180"/>
    <mergeCell ref="AX181:BG182"/>
    <mergeCell ref="BH181:BQ182"/>
    <mergeCell ref="BR179:BT180"/>
    <mergeCell ref="BU179:BW180"/>
    <mergeCell ref="BR181:BT182"/>
    <mergeCell ref="BU181:BW182"/>
    <mergeCell ref="BX181:BZ182"/>
    <mergeCell ref="E173:L178"/>
    <mergeCell ref="M173:AM178"/>
    <mergeCell ref="AR173:AY178"/>
    <mergeCell ref="AZ173:BZ178"/>
    <mergeCell ref="E179:H180"/>
    <mergeCell ref="I179:J180"/>
    <mergeCell ref="K179:T180"/>
    <mergeCell ref="BX179:BZ180"/>
    <mergeCell ref="AX183:BG184"/>
    <mergeCell ref="BH183:BQ184"/>
    <mergeCell ref="BR183:BT184"/>
    <mergeCell ref="BU183:BW184"/>
    <mergeCell ref="BX183:BZ184"/>
    <mergeCell ref="E183:H184"/>
    <mergeCell ref="I183:J184"/>
    <mergeCell ref="K183:T184"/>
    <mergeCell ref="U183:AD184"/>
    <mergeCell ref="AE183:AG184"/>
    <mergeCell ref="AH183:AJ184"/>
    <mergeCell ref="AK183:AM184"/>
    <mergeCell ref="AR191:AU192"/>
    <mergeCell ref="AV191:AW192"/>
    <mergeCell ref="AX191:BG192"/>
    <mergeCell ref="BH191:BQ192"/>
    <mergeCell ref="BR191:BT192"/>
    <mergeCell ref="BU191:BW192"/>
    <mergeCell ref="BX191:BZ192"/>
    <mergeCell ref="E191:H192"/>
    <mergeCell ref="I191:J192"/>
    <mergeCell ref="K191:T192"/>
    <mergeCell ref="U191:AD192"/>
    <mergeCell ref="AE191:AG192"/>
    <mergeCell ref="AH191:AJ192"/>
    <mergeCell ref="AK191:AM192"/>
    <mergeCell ref="U203:AD204"/>
    <mergeCell ref="AE203:AG204"/>
    <mergeCell ref="AR203:AU204"/>
    <mergeCell ref="AV203:AW204"/>
    <mergeCell ref="AX203:BG204"/>
    <mergeCell ref="BH203:BQ204"/>
    <mergeCell ref="BR203:BT204"/>
    <mergeCell ref="BU203:BW204"/>
    <mergeCell ref="E197:L202"/>
    <mergeCell ref="M197:AM202"/>
    <mergeCell ref="AR197:AY202"/>
    <mergeCell ref="AZ197:BZ202"/>
    <mergeCell ref="E203:H204"/>
    <mergeCell ref="I203:J204"/>
    <mergeCell ref="K203:T204"/>
    <mergeCell ref="BX203:BZ204"/>
    <mergeCell ref="BU205:BW206"/>
    <mergeCell ref="BX205:BZ206"/>
    <mergeCell ref="AH205:AJ206"/>
    <mergeCell ref="AK205:AM206"/>
    <mergeCell ref="AR205:AU206"/>
    <mergeCell ref="AV205:AW206"/>
    <mergeCell ref="AX205:BG206"/>
    <mergeCell ref="BH205:BQ206"/>
    <mergeCell ref="BR205:BT206"/>
    <mergeCell ref="AH179:AJ180"/>
    <mergeCell ref="AK179:AM180"/>
    <mergeCell ref="AH181:AJ182"/>
    <mergeCell ref="AK181:AM182"/>
    <mergeCell ref="U179:AD180"/>
    <mergeCell ref="AE179:AG180"/>
    <mergeCell ref="E181:H182"/>
    <mergeCell ref="I181:J182"/>
    <mergeCell ref="K181:T182"/>
    <mergeCell ref="U181:AD182"/>
    <mergeCell ref="AE181:AG182"/>
    <mergeCell ref="AR185:AU186"/>
    <mergeCell ref="AV185:AW186"/>
    <mergeCell ref="AX185:BG186"/>
    <mergeCell ref="BH185:BQ186"/>
    <mergeCell ref="BR185:BT186"/>
    <mergeCell ref="BU185:BW186"/>
    <mergeCell ref="BX185:BZ186"/>
    <mergeCell ref="E185:H186"/>
    <mergeCell ref="I185:J186"/>
    <mergeCell ref="K185:T186"/>
    <mergeCell ref="U185:AD186"/>
    <mergeCell ref="AE185:AG186"/>
    <mergeCell ref="AH185:AJ186"/>
    <mergeCell ref="AK185:AM186"/>
    <mergeCell ref="AR187:AU188"/>
    <mergeCell ref="AV187:AW188"/>
    <mergeCell ref="AX187:BG188"/>
    <mergeCell ref="BH187:BQ188"/>
    <mergeCell ref="BR187:BT188"/>
    <mergeCell ref="BU187:BW188"/>
    <mergeCell ref="BX187:BZ188"/>
    <mergeCell ref="AR189:AU190"/>
    <mergeCell ref="AV189:AW190"/>
    <mergeCell ref="AX189:BG190"/>
    <mergeCell ref="BH189:BQ190"/>
    <mergeCell ref="BR189:BT190"/>
    <mergeCell ref="BU189:BW190"/>
    <mergeCell ref="BX189:BZ190"/>
    <mergeCell ref="AR207:AU208"/>
    <mergeCell ref="AV207:AW208"/>
    <mergeCell ref="AX207:BG208"/>
    <mergeCell ref="BH207:BQ208"/>
    <mergeCell ref="BR207:BT208"/>
    <mergeCell ref="BU207:BW208"/>
    <mergeCell ref="BX207:BZ208"/>
    <mergeCell ref="AH203:AJ204"/>
    <mergeCell ref="AK203:AM204"/>
    <mergeCell ref="E205:H206"/>
    <mergeCell ref="I205:J206"/>
    <mergeCell ref="K205:T206"/>
    <mergeCell ref="U205:AD206"/>
    <mergeCell ref="AE205:AG206"/>
    <mergeCell ref="E207:H208"/>
    <mergeCell ref="I207:J208"/>
    <mergeCell ref="K207:T208"/>
    <mergeCell ref="U207:AD208"/>
    <mergeCell ref="AE207:AG208"/>
    <mergeCell ref="AH207:AJ208"/>
    <mergeCell ref="AK207:AM208"/>
    <mergeCell ref="AR209:AU210"/>
    <mergeCell ref="AV209:AW210"/>
    <mergeCell ref="AX209:BG210"/>
    <mergeCell ref="BH209:BQ210"/>
    <mergeCell ref="BR209:BT210"/>
    <mergeCell ref="BU209:BW210"/>
    <mergeCell ref="BX209:BZ210"/>
    <mergeCell ref="E209:H210"/>
    <mergeCell ref="I209:J210"/>
    <mergeCell ref="K209:T210"/>
    <mergeCell ref="U209:AD210"/>
    <mergeCell ref="AE209:AG210"/>
    <mergeCell ref="AH209:AJ210"/>
    <mergeCell ref="AK209:AM210"/>
    <mergeCell ref="AR211:AU212"/>
    <mergeCell ref="AV211:AW212"/>
    <mergeCell ref="AX211:BG212"/>
    <mergeCell ref="BH211:BQ212"/>
    <mergeCell ref="BR211:BT212"/>
    <mergeCell ref="BU211:BW212"/>
    <mergeCell ref="BX211:BZ212"/>
    <mergeCell ref="AR213:AU214"/>
    <mergeCell ref="AV213:AW214"/>
    <mergeCell ref="AX213:BG214"/>
    <mergeCell ref="BH213:BQ214"/>
    <mergeCell ref="BR213:BT214"/>
    <mergeCell ref="BU213:BW214"/>
    <mergeCell ref="BX213:BZ214"/>
    <mergeCell ref="AR215:AU216"/>
    <mergeCell ref="AV215:AW216"/>
    <mergeCell ref="AX215:BG216"/>
    <mergeCell ref="BH215:BQ216"/>
    <mergeCell ref="BR215:BT216"/>
    <mergeCell ref="BU215:BW216"/>
    <mergeCell ref="BX215:BZ216"/>
    <mergeCell ref="E215:H216"/>
    <mergeCell ref="I215:J216"/>
    <mergeCell ref="K215:T216"/>
    <mergeCell ref="U215:AD216"/>
    <mergeCell ref="AE215:AG216"/>
    <mergeCell ref="AH215:AJ216"/>
    <mergeCell ref="AK215:AM216"/>
    <mergeCell ref="E235:H236"/>
    <mergeCell ref="I235:J236"/>
    <mergeCell ref="K235:T236"/>
    <mergeCell ref="U235:AD236"/>
    <mergeCell ref="AE235:AG236"/>
    <mergeCell ref="AH235:AJ236"/>
    <mergeCell ref="AK235:AM236"/>
    <mergeCell ref="E237:H238"/>
    <mergeCell ref="I237:J238"/>
    <mergeCell ref="K237:T238"/>
    <mergeCell ref="U237:AD238"/>
    <mergeCell ref="AE237:AG238"/>
    <mergeCell ref="AH237:AJ238"/>
    <mergeCell ref="AK237:AM238"/>
    <mergeCell ref="E211:H212"/>
    <mergeCell ref="I211:J212"/>
    <mergeCell ref="K211:T212"/>
    <mergeCell ref="U211:AD212"/>
    <mergeCell ref="AE211:AG212"/>
    <mergeCell ref="AH211:AJ212"/>
    <mergeCell ref="AK211:AM212"/>
    <mergeCell ref="E213:H214"/>
    <mergeCell ref="I213:J214"/>
    <mergeCell ref="K213:T214"/>
    <mergeCell ref="U213:AD214"/>
    <mergeCell ref="AE213:AG214"/>
    <mergeCell ref="AH213:AJ214"/>
    <mergeCell ref="AK213:AM214"/>
    <mergeCell ref="AR227:AU228"/>
    <mergeCell ref="AV227:AW228"/>
    <mergeCell ref="AR229:AU230"/>
    <mergeCell ref="AV229:AW230"/>
    <mergeCell ref="AR231:AU232"/>
    <mergeCell ref="AV231:AW232"/>
    <mergeCell ref="AX227:BG228"/>
    <mergeCell ref="BH227:BQ228"/>
    <mergeCell ref="AX229:BG230"/>
    <mergeCell ref="BH229:BQ230"/>
    <mergeCell ref="BR227:BT228"/>
    <mergeCell ref="BU227:BW228"/>
    <mergeCell ref="BR229:BT230"/>
    <mergeCell ref="BU229:BW230"/>
    <mergeCell ref="BX229:BZ230"/>
    <mergeCell ref="E221:L226"/>
    <mergeCell ref="M221:AM226"/>
    <mergeCell ref="AR221:AY226"/>
    <mergeCell ref="AZ221:BZ226"/>
    <mergeCell ref="E227:H228"/>
    <mergeCell ref="I227:J228"/>
    <mergeCell ref="K227:T228"/>
    <mergeCell ref="BX227:BZ228"/>
    <mergeCell ref="AX231:BG232"/>
    <mergeCell ref="BH231:BQ232"/>
    <mergeCell ref="BR231:BT232"/>
    <mergeCell ref="BU231:BW232"/>
    <mergeCell ref="BX231:BZ232"/>
    <mergeCell ref="E231:H232"/>
    <mergeCell ref="I231:J232"/>
    <mergeCell ref="K231:T232"/>
    <mergeCell ref="U231:AD232"/>
    <mergeCell ref="AE231:AG232"/>
    <mergeCell ref="AH231:AJ232"/>
    <mergeCell ref="AK231:AM232"/>
    <mergeCell ref="AR239:AU240"/>
    <mergeCell ref="AV239:AW240"/>
    <mergeCell ref="AX239:BG240"/>
    <mergeCell ref="BH239:BQ240"/>
    <mergeCell ref="BR239:BT240"/>
    <mergeCell ref="BU239:BW240"/>
    <mergeCell ref="BX239:BZ240"/>
    <mergeCell ref="E239:H240"/>
    <mergeCell ref="I239:J240"/>
    <mergeCell ref="K239:T240"/>
    <mergeCell ref="U239:AD240"/>
    <mergeCell ref="AE239:AG240"/>
    <mergeCell ref="AH239:AJ240"/>
    <mergeCell ref="AK239:AM240"/>
    <mergeCell ref="U251:AD252"/>
    <mergeCell ref="AE251:AG252"/>
    <mergeCell ref="AR251:AU252"/>
    <mergeCell ref="AV251:AW252"/>
    <mergeCell ref="AX251:BG252"/>
    <mergeCell ref="BH251:BQ252"/>
    <mergeCell ref="BR251:BT252"/>
    <mergeCell ref="BU251:BW252"/>
    <mergeCell ref="E245:L250"/>
    <mergeCell ref="M245:AM250"/>
    <mergeCell ref="AR245:AY250"/>
    <mergeCell ref="AZ245:BZ250"/>
    <mergeCell ref="E251:H252"/>
    <mergeCell ref="I251:J252"/>
    <mergeCell ref="K251:T252"/>
    <mergeCell ref="BX251:BZ252"/>
    <mergeCell ref="BU253:BW254"/>
    <mergeCell ref="BX253:BZ254"/>
    <mergeCell ref="AH253:AJ254"/>
    <mergeCell ref="AK253:AM254"/>
    <mergeCell ref="AR253:AU254"/>
    <mergeCell ref="AV253:AW254"/>
    <mergeCell ref="AX253:BG254"/>
    <mergeCell ref="BH253:BQ254"/>
    <mergeCell ref="BR253:BT254"/>
    <mergeCell ref="AH227:AJ228"/>
    <mergeCell ref="AK227:AM228"/>
    <mergeCell ref="AH229:AJ230"/>
    <mergeCell ref="AK229:AM230"/>
    <mergeCell ref="U227:AD228"/>
    <mergeCell ref="AE227:AG228"/>
    <mergeCell ref="E229:H230"/>
    <mergeCell ref="I229:J230"/>
    <mergeCell ref="K229:T230"/>
    <mergeCell ref="U229:AD230"/>
    <mergeCell ref="AE229:AG230"/>
    <mergeCell ref="AR233:AU234"/>
    <mergeCell ref="AV233:AW234"/>
    <mergeCell ref="AX233:BG234"/>
    <mergeCell ref="BH233:BQ234"/>
    <mergeCell ref="BR233:BT234"/>
    <mergeCell ref="BU233:BW234"/>
    <mergeCell ref="BX233:BZ234"/>
    <mergeCell ref="E233:H234"/>
    <mergeCell ref="I233:J234"/>
    <mergeCell ref="K233:T234"/>
    <mergeCell ref="U233:AD234"/>
    <mergeCell ref="AE233:AG234"/>
    <mergeCell ref="AH233:AJ234"/>
    <mergeCell ref="AK233:AM234"/>
    <mergeCell ref="AR235:AU236"/>
    <mergeCell ref="AV235:AW236"/>
    <mergeCell ref="AX235:BG236"/>
    <mergeCell ref="BH235:BQ236"/>
    <mergeCell ref="BR235:BT236"/>
    <mergeCell ref="BU235:BW236"/>
    <mergeCell ref="BX235:BZ236"/>
    <mergeCell ref="AR237:AU238"/>
    <mergeCell ref="AV237:AW238"/>
    <mergeCell ref="AX237:BG238"/>
    <mergeCell ref="BH237:BQ238"/>
    <mergeCell ref="BR237:BT238"/>
    <mergeCell ref="BU237:BW238"/>
    <mergeCell ref="BX237:BZ238"/>
    <mergeCell ref="AR255:AU256"/>
    <mergeCell ref="AV255:AW256"/>
    <mergeCell ref="AX255:BG256"/>
    <mergeCell ref="BH255:BQ256"/>
    <mergeCell ref="BR255:BT256"/>
    <mergeCell ref="BU255:BW256"/>
    <mergeCell ref="BX255:BZ256"/>
    <mergeCell ref="AH251:AJ252"/>
    <mergeCell ref="AK251:AM252"/>
    <mergeCell ref="E253:H254"/>
    <mergeCell ref="I253:J254"/>
    <mergeCell ref="K253:T254"/>
    <mergeCell ref="U253:AD254"/>
    <mergeCell ref="AE253:AG254"/>
    <mergeCell ref="E255:H256"/>
    <mergeCell ref="I255:J256"/>
    <mergeCell ref="K255:T256"/>
    <mergeCell ref="U255:AD256"/>
    <mergeCell ref="AE255:AG256"/>
    <mergeCell ref="AH255:AJ256"/>
    <mergeCell ref="AK255:AM256"/>
    <mergeCell ref="AR257:AU258"/>
    <mergeCell ref="AV257:AW258"/>
    <mergeCell ref="AX257:BG258"/>
    <mergeCell ref="BH257:BQ258"/>
    <mergeCell ref="BR257:BT258"/>
    <mergeCell ref="BU257:BW258"/>
    <mergeCell ref="BX257:BZ258"/>
    <mergeCell ref="E257:H258"/>
    <mergeCell ref="I257:J258"/>
    <mergeCell ref="K257:T258"/>
    <mergeCell ref="U257:AD258"/>
    <mergeCell ref="AE257:AG258"/>
    <mergeCell ref="AH257:AJ258"/>
    <mergeCell ref="AK257:AM258"/>
    <mergeCell ref="AR259:AU260"/>
    <mergeCell ref="AV259:AW260"/>
    <mergeCell ref="AX259:BG260"/>
    <mergeCell ref="BH259:BQ260"/>
    <mergeCell ref="BR259:BT260"/>
    <mergeCell ref="BU259:BW260"/>
    <mergeCell ref="BX259:BZ260"/>
    <mergeCell ref="AR261:AU262"/>
    <mergeCell ref="AV261:AW262"/>
    <mergeCell ref="AX261:BG262"/>
    <mergeCell ref="BH261:BQ262"/>
    <mergeCell ref="BR261:BT262"/>
    <mergeCell ref="BU261:BW262"/>
    <mergeCell ref="BX261:BZ262"/>
    <mergeCell ref="AR263:AU264"/>
    <mergeCell ref="AV263:AW264"/>
    <mergeCell ref="AX263:BG264"/>
    <mergeCell ref="BH263:BQ264"/>
    <mergeCell ref="BR263:BT264"/>
    <mergeCell ref="BU263:BW264"/>
    <mergeCell ref="BX263:BZ264"/>
    <mergeCell ref="E263:H264"/>
    <mergeCell ref="I263:J264"/>
    <mergeCell ref="K263:T264"/>
    <mergeCell ref="U263:AD264"/>
    <mergeCell ref="AE263:AG264"/>
    <mergeCell ref="AH263:AJ264"/>
    <mergeCell ref="AK263:AM264"/>
    <mergeCell ref="E283:H284"/>
    <mergeCell ref="I283:J284"/>
    <mergeCell ref="K283:T284"/>
    <mergeCell ref="U283:AD284"/>
    <mergeCell ref="AE283:AG284"/>
    <mergeCell ref="AH283:AJ284"/>
    <mergeCell ref="AK283:AM284"/>
    <mergeCell ref="E285:H286"/>
    <mergeCell ref="I285:J286"/>
    <mergeCell ref="K285:T286"/>
    <mergeCell ref="U285:AD286"/>
    <mergeCell ref="AE285:AG286"/>
    <mergeCell ref="AH285:AJ286"/>
    <mergeCell ref="AK285:AM28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sheetViews>
  <sheetFormatPr customHeight="1" defaultColWidth="12.63" defaultRowHeight="15.75"/>
  <cols>
    <col customWidth="1" min="1" max="21" width="2.63"/>
  </cols>
  <sheetData>
    <row r="1">
      <c r="A1" s="235"/>
      <c r="B1" s="58"/>
      <c r="C1" s="58"/>
      <c r="D1" s="236" t="s">
        <v>320</v>
      </c>
      <c r="E1" s="58"/>
      <c r="F1" s="58"/>
      <c r="G1" s="58"/>
      <c r="H1" s="58"/>
      <c r="I1" s="58"/>
      <c r="J1" s="58"/>
      <c r="K1" s="58"/>
      <c r="L1" s="58"/>
      <c r="M1" s="58"/>
      <c r="N1" s="58"/>
      <c r="O1" s="58"/>
      <c r="P1" s="58"/>
      <c r="Q1" s="58"/>
      <c r="R1" s="58"/>
      <c r="S1" s="237"/>
      <c r="T1" s="58"/>
      <c r="U1" s="59"/>
    </row>
    <row r="2">
      <c r="A2" s="60"/>
      <c r="U2" s="61"/>
    </row>
    <row r="3">
      <c r="A3" s="60"/>
      <c r="U3" s="61"/>
    </row>
    <row r="4">
      <c r="A4" s="238" t="s">
        <v>321</v>
      </c>
      <c r="L4" s="239" t="s">
        <v>14</v>
      </c>
      <c r="U4" s="61"/>
    </row>
    <row r="5">
      <c r="A5" s="240"/>
      <c r="B5" s="240"/>
      <c r="C5" s="240"/>
      <c r="D5" s="240"/>
      <c r="E5" s="240"/>
      <c r="F5" s="240"/>
      <c r="G5" s="240"/>
      <c r="H5" s="240"/>
      <c r="I5" s="240"/>
      <c r="J5" s="240"/>
      <c r="K5" s="240"/>
      <c r="L5" s="240"/>
      <c r="M5" s="240"/>
      <c r="N5" s="240"/>
      <c r="O5" s="240"/>
      <c r="P5" s="240"/>
      <c r="Q5" s="240"/>
      <c r="R5" s="240"/>
      <c r="S5" s="240"/>
      <c r="T5" s="240"/>
      <c r="U5" s="241"/>
    </row>
    <row r="6">
      <c r="A6" s="238" t="s">
        <v>322</v>
      </c>
      <c r="L6" s="239" t="s">
        <v>14</v>
      </c>
      <c r="U6" s="61"/>
    </row>
    <row r="7">
      <c r="A7" s="240"/>
      <c r="B7" s="240"/>
      <c r="C7" s="240"/>
      <c r="D7" s="240"/>
      <c r="E7" s="240"/>
      <c r="F7" s="240"/>
      <c r="G7" s="240"/>
      <c r="H7" s="240"/>
      <c r="I7" s="240"/>
      <c r="J7" s="240"/>
      <c r="K7" s="240"/>
      <c r="L7" s="240"/>
      <c r="M7" s="240"/>
      <c r="N7" s="240"/>
      <c r="O7" s="240"/>
      <c r="P7" s="240"/>
      <c r="Q7" s="240"/>
      <c r="R7" s="240"/>
      <c r="S7" s="240"/>
      <c r="T7" s="240"/>
      <c r="U7" s="241"/>
    </row>
    <row r="8">
      <c r="A8" s="238" t="s">
        <v>5</v>
      </c>
      <c r="L8" s="239" t="s">
        <v>14</v>
      </c>
      <c r="U8" s="61"/>
    </row>
    <row r="9">
      <c r="A9" s="240"/>
      <c r="B9" s="240"/>
      <c r="C9" s="240"/>
      <c r="D9" s="240"/>
      <c r="E9" s="240"/>
      <c r="F9" s="240"/>
      <c r="G9" s="240"/>
      <c r="H9" s="240"/>
      <c r="I9" s="240"/>
      <c r="J9" s="240"/>
      <c r="K9" s="240"/>
      <c r="L9" s="240"/>
      <c r="M9" s="240"/>
      <c r="N9" s="240"/>
      <c r="O9" s="240"/>
      <c r="P9" s="240"/>
      <c r="Q9" s="240"/>
      <c r="R9" s="240"/>
      <c r="S9" s="240"/>
      <c r="T9" s="240"/>
      <c r="U9" s="241"/>
    </row>
    <row r="10">
      <c r="A10" s="238" t="s">
        <v>323</v>
      </c>
      <c r="L10" s="242" t="s">
        <v>14</v>
      </c>
      <c r="U10" s="61"/>
    </row>
    <row r="11">
      <c r="A11" s="240"/>
      <c r="B11" s="240"/>
      <c r="C11" s="240"/>
      <c r="D11" s="240"/>
      <c r="E11" s="240"/>
      <c r="F11" s="240"/>
      <c r="G11" s="240"/>
      <c r="H11" s="240"/>
      <c r="I11" s="240"/>
      <c r="J11" s="240"/>
      <c r="K11" s="240"/>
      <c r="L11" s="240"/>
      <c r="M11" s="240"/>
      <c r="N11" s="240"/>
      <c r="O11" s="240"/>
      <c r="P11" s="240"/>
      <c r="Q11" s="240"/>
      <c r="R11" s="240"/>
      <c r="S11" s="240"/>
      <c r="T11" s="240"/>
      <c r="U11" s="241"/>
    </row>
    <row r="12">
      <c r="A12" s="238" t="s">
        <v>324</v>
      </c>
      <c r="L12" s="242" t="s">
        <v>14</v>
      </c>
      <c r="U12" s="61"/>
    </row>
    <row r="13">
      <c r="A13" s="240"/>
      <c r="B13" s="240"/>
      <c r="C13" s="240"/>
      <c r="D13" s="240"/>
      <c r="E13" s="240"/>
      <c r="F13" s="240"/>
      <c r="G13" s="240"/>
      <c r="H13" s="240"/>
      <c r="I13" s="240"/>
      <c r="J13" s="240"/>
      <c r="K13" s="240"/>
      <c r="L13" s="240"/>
      <c r="M13" s="240"/>
      <c r="N13" s="240"/>
      <c r="O13" s="240"/>
      <c r="P13" s="240"/>
      <c r="Q13" s="240"/>
      <c r="R13" s="240"/>
      <c r="S13" s="240"/>
      <c r="T13" s="240"/>
      <c r="U13" s="241"/>
    </row>
    <row r="14">
      <c r="A14" s="238" t="s">
        <v>325</v>
      </c>
      <c r="L14" s="239" t="s">
        <v>14</v>
      </c>
      <c r="U14" s="61"/>
    </row>
    <row r="15">
      <c r="A15" s="102"/>
      <c r="B15" s="102"/>
      <c r="C15" s="102"/>
      <c r="D15" s="102"/>
      <c r="E15" s="102"/>
      <c r="F15" s="102"/>
      <c r="G15" s="102"/>
      <c r="H15" s="102"/>
      <c r="I15" s="102"/>
      <c r="J15" s="102"/>
      <c r="K15" s="102"/>
      <c r="L15" s="102"/>
      <c r="M15" s="102"/>
      <c r="N15" s="102"/>
      <c r="O15" s="102"/>
      <c r="P15" s="102"/>
      <c r="Q15" s="102"/>
      <c r="R15" s="102"/>
      <c r="S15" s="102"/>
      <c r="T15" s="102"/>
      <c r="U15" s="164"/>
    </row>
  </sheetData>
  <mergeCells count="15">
    <mergeCell ref="A8:K9"/>
    <mergeCell ref="L8:U9"/>
    <mergeCell ref="A10:K11"/>
    <mergeCell ref="L10:U11"/>
    <mergeCell ref="A12:K13"/>
    <mergeCell ref="L12:U13"/>
    <mergeCell ref="A14:K15"/>
    <mergeCell ref="L14:U15"/>
    <mergeCell ref="A1:C3"/>
    <mergeCell ref="D1:R3"/>
    <mergeCell ref="S1:U3"/>
    <mergeCell ref="A4:K5"/>
    <mergeCell ref="L4:U5"/>
    <mergeCell ref="A6:K7"/>
    <mergeCell ref="L6:U7"/>
  </mergeCells>
  <hyperlinks>
    <hyperlink r:id="rId1" ref="L4"/>
    <hyperlink r:id="rId2" ref="L6"/>
    <hyperlink r:id="rId3" ref="L8"/>
    <hyperlink r:id="rId4" ref="L10"/>
    <hyperlink r:id="rId5" ref="L12"/>
    <hyperlink r:id="rId6" ref="L14"/>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6.38"/>
  </cols>
  <sheetData>
    <row r="1" ht="37.5" customHeight="1">
      <c r="A1" s="243" t="s">
        <v>326</v>
      </c>
      <c r="B1" s="243" t="s">
        <v>327</v>
      </c>
      <c r="C1" s="243" t="s">
        <v>328</v>
      </c>
      <c r="D1" s="244"/>
      <c r="E1" s="244"/>
      <c r="F1" s="244"/>
      <c r="G1" s="244"/>
      <c r="H1" s="244"/>
      <c r="I1" s="244"/>
      <c r="J1" s="244"/>
      <c r="K1" s="244"/>
      <c r="L1" s="244"/>
      <c r="M1" s="244"/>
      <c r="N1" s="244"/>
      <c r="O1" s="244"/>
      <c r="P1" s="244"/>
      <c r="Q1" s="244"/>
      <c r="R1" s="244"/>
      <c r="S1" s="244"/>
      <c r="T1" s="244"/>
      <c r="U1" s="244"/>
      <c r="V1" s="244"/>
      <c r="W1" s="244"/>
      <c r="X1" s="244"/>
      <c r="Y1" s="244"/>
      <c r="Z1" s="244"/>
    </row>
    <row r="2" ht="37.5" customHeight="1">
      <c r="A2" s="245" t="s">
        <v>329</v>
      </c>
      <c r="B2" s="246" t="str">
        <f t="shared" ref="B2:B29" si="1">IMAGE("https://i.imgur.com/zMjuD01.png")</f>
        <v/>
      </c>
      <c r="C2" s="245">
        <v>13.0</v>
      </c>
      <c r="D2" s="247" t="s">
        <v>330</v>
      </c>
      <c r="E2" s="244"/>
      <c r="F2" s="244"/>
      <c r="G2" s="244"/>
      <c r="H2" s="244"/>
      <c r="I2" s="244"/>
      <c r="J2" s="244"/>
      <c r="K2" s="244"/>
      <c r="L2" s="244"/>
      <c r="M2" s="244"/>
      <c r="N2" s="244"/>
      <c r="O2" s="244"/>
      <c r="P2" s="244"/>
      <c r="Q2" s="244"/>
      <c r="R2" s="244"/>
      <c r="S2" s="244"/>
      <c r="T2" s="244"/>
      <c r="U2" s="244"/>
      <c r="V2" s="244"/>
      <c r="W2" s="244"/>
      <c r="X2" s="244"/>
      <c r="Y2" s="244"/>
      <c r="Z2" s="244"/>
    </row>
    <row r="3" ht="37.5" customHeight="1">
      <c r="A3" s="245" t="s">
        <v>331</v>
      </c>
      <c r="B3" s="246" t="str">
        <f t="shared" si="1"/>
        <v/>
      </c>
      <c r="C3" s="245">
        <v>14.0</v>
      </c>
      <c r="D3" s="244"/>
      <c r="E3" s="244"/>
      <c r="F3" s="244"/>
      <c r="G3" s="244"/>
      <c r="H3" s="244"/>
      <c r="I3" s="244"/>
      <c r="J3" s="244"/>
      <c r="K3" s="244"/>
      <c r="L3" s="244"/>
      <c r="M3" s="244"/>
      <c r="N3" s="244"/>
      <c r="O3" s="244"/>
      <c r="P3" s="244"/>
      <c r="Q3" s="244"/>
      <c r="R3" s="244"/>
      <c r="S3" s="244"/>
      <c r="T3" s="244"/>
      <c r="U3" s="244"/>
      <c r="V3" s="244"/>
      <c r="W3" s="244"/>
      <c r="X3" s="244"/>
      <c r="Y3" s="244"/>
      <c r="Z3" s="244"/>
    </row>
    <row r="4" ht="37.5" customHeight="1">
      <c r="A4" s="245" t="s">
        <v>332</v>
      </c>
      <c r="B4" s="246" t="str">
        <f t="shared" si="1"/>
        <v/>
      </c>
      <c r="C4" s="245">
        <f t="shared" ref="C4:C17" si="2">C3+1</f>
        <v>15</v>
      </c>
      <c r="D4" s="244"/>
      <c r="E4" s="244"/>
      <c r="F4" s="244"/>
      <c r="G4" s="244"/>
      <c r="H4" s="244"/>
      <c r="I4" s="244"/>
      <c r="J4" s="244"/>
      <c r="K4" s="244"/>
      <c r="L4" s="244"/>
      <c r="M4" s="244"/>
      <c r="N4" s="244"/>
      <c r="O4" s="244"/>
      <c r="P4" s="244"/>
      <c r="Q4" s="244"/>
      <c r="R4" s="244"/>
      <c r="S4" s="244"/>
      <c r="T4" s="244"/>
      <c r="U4" s="244"/>
      <c r="V4" s="244"/>
      <c r="W4" s="244"/>
      <c r="X4" s="244"/>
      <c r="Y4" s="244"/>
      <c r="Z4" s="244"/>
    </row>
    <row r="5" ht="37.5" customHeight="1">
      <c r="A5" s="245" t="s">
        <v>333</v>
      </c>
      <c r="B5" s="246" t="str">
        <f t="shared" si="1"/>
        <v/>
      </c>
      <c r="C5" s="245">
        <f t="shared" si="2"/>
        <v>16</v>
      </c>
      <c r="D5" s="244"/>
      <c r="E5" s="244"/>
      <c r="F5" s="244"/>
      <c r="G5" s="244"/>
      <c r="H5" s="244"/>
      <c r="I5" s="244"/>
      <c r="J5" s="244"/>
      <c r="K5" s="244"/>
      <c r="L5" s="244"/>
      <c r="M5" s="244"/>
      <c r="N5" s="244"/>
      <c r="O5" s="244"/>
      <c r="P5" s="244"/>
      <c r="Q5" s="244"/>
      <c r="R5" s="244"/>
      <c r="S5" s="244"/>
      <c r="T5" s="244"/>
      <c r="U5" s="244"/>
      <c r="V5" s="244"/>
      <c r="W5" s="244"/>
      <c r="X5" s="244"/>
      <c r="Y5" s="244"/>
      <c r="Z5" s="244"/>
    </row>
    <row r="6" ht="37.5" customHeight="1">
      <c r="A6" s="245" t="s">
        <v>334</v>
      </c>
      <c r="B6" s="246" t="str">
        <f t="shared" si="1"/>
        <v/>
      </c>
      <c r="C6" s="245">
        <f t="shared" si="2"/>
        <v>17</v>
      </c>
      <c r="D6" s="244"/>
      <c r="E6" s="244"/>
      <c r="F6" s="244"/>
      <c r="G6" s="244"/>
      <c r="H6" s="244"/>
      <c r="I6" s="244"/>
      <c r="J6" s="244"/>
      <c r="K6" s="244"/>
      <c r="L6" s="244"/>
      <c r="M6" s="244"/>
      <c r="N6" s="244"/>
      <c r="O6" s="244"/>
      <c r="P6" s="244"/>
      <c r="Q6" s="244"/>
      <c r="R6" s="244"/>
      <c r="S6" s="244"/>
      <c r="T6" s="244"/>
      <c r="U6" s="244"/>
      <c r="V6" s="244"/>
      <c r="W6" s="244"/>
      <c r="X6" s="244"/>
      <c r="Y6" s="244"/>
      <c r="Z6" s="244"/>
    </row>
    <row r="7" ht="37.5" customHeight="1">
      <c r="A7" s="245" t="s">
        <v>335</v>
      </c>
      <c r="B7" s="246" t="str">
        <f t="shared" si="1"/>
        <v/>
      </c>
      <c r="C7" s="245">
        <f t="shared" si="2"/>
        <v>18</v>
      </c>
      <c r="D7" s="244"/>
      <c r="E7" s="244"/>
      <c r="F7" s="244"/>
      <c r="G7" s="244"/>
      <c r="H7" s="244"/>
      <c r="I7" s="244"/>
      <c r="J7" s="244"/>
      <c r="K7" s="244"/>
      <c r="L7" s="244"/>
      <c r="M7" s="244"/>
      <c r="N7" s="244"/>
      <c r="O7" s="244"/>
      <c r="P7" s="244"/>
      <c r="Q7" s="244"/>
      <c r="R7" s="244"/>
      <c r="S7" s="244"/>
      <c r="T7" s="244"/>
      <c r="U7" s="244"/>
      <c r="V7" s="244"/>
      <c r="W7" s="244"/>
      <c r="X7" s="244"/>
      <c r="Y7" s="244"/>
      <c r="Z7" s="244"/>
    </row>
    <row r="8" ht="37.5" customHeight="1">
      <c r="A8" s="245" t="s">
        <v>336</v>
      </c>
      <c r="B8" s="246" t="str">
        <f t="shared" si="1"/>
        <v/>
      </c>
      <c r="C8" s="245">
        <f t="shared" si="2"/>
        <v>19</v>
      </c>
      <c r="D8" s="244"/>
      <c r="E8" s="244"/>
      <c r="F8" s="244"/>
      <c r="G8" s="244"/>
      <c r="H8" s="244"/>
      <c r="I8" s="244"/>
      <c r="J8" s="244"/>
      <c r="K8" s="244"/>
      <c r="L8" s="244"/>
      <c r="M8" s="244"/>
      <c r="N8" s="244"/>
      <c r="O8" s="244"/>
      <c r="P8" s="244"/>
      <c r="Q8" s="244"/>
      <c r="R8" s="244"/>
      <c r="S8" s="244"/>
      <c r="T8" s="244"/>
      <c r="U8" s="244"/>
      <c r="V8" s="244"/>
      <c r="W8" s="244"/>
      <c r="X8" s="244"/>
      <c r="Y8" s="244"/>
      <c r="Z8" s="244"/>
    </row>
    <row r="9" ht="37.5" customHeight="1">
      <c r="A9" s="245" t="s">
        <v>337</v>
      </c>
      <c r="B9" s="246" t="str">
        <f t="shared" si="1"/>
        <v/>
      </c>
      <c r="C9" s="245">
        <f t="shared" si="2"/>
        <v>20</v>
      </c>
      <c r="D9" s="244"/>
      <c r="E9" s="244"/>
      <c r="F9" s="244"/>
      <c r="G9" s="244"/>
      <c r="H9" s="244"/>
      <c r="I9" s="244"/>
      <c r="J9" s="244"/>
      <c r="K9" s="244"/>
      <c r="L9" s="244"/>
      <c r="M9" s="244"/>
      <c r="N9" s="244"/>
      <c r="O9" s="244"/>
      <c r="P9" s="244"/>
      <c r="Q9" s="244"/>
      <c r="R9" s="244"/>
      <c r="S9" s="244"/>
      <c r="T9" s="244"/>
      <c r="U9" s="244"/>
      <c r="V9" s="244"/>
      <c r="W9" s="244"/>
      <c r="X9" s="244"/>
      <c r="Y9" s="244"/>
      <c r="Z9" s="244"/>
    </row>
    <row r="10" ht="37.5" customHeight="1">
      <c r="A10" s="245" t="s">
        <v>338</v>
      </c>
      <c r="B10" s="246" t="str">
        <f t="shared" si="1"/>
        <v/>
      </c>
      <c r="C10" s="245">
        <f t="shared" si="2"/>
        <v>21</v>
      </c>
      <c r="D10" s="244"/>
      <c r="E10" s="244"/>
      <c r="F10" s="244"/>
      <c r="G10" s="244"/>
      <c r="H10" s="244"/>
      <c r="I10" s="244"/>
      <c r="J10" s="244"/>
      <c r="K10" s="244"/>
      <c r="L10" s="244"/>
      <c r="M10" s="244"/>
      <c r="N10" s="244"/>
      <c r="O10" s="244"/>
      <c r="P10" s="244"/>
      <c r="Q10" s="244"/>
      <c r="R10" s="244"/>
      <c r="S10" s="244"/>
      <c r="T10" s="244"/>
      <c r="U10" s="244"/>
      <c r="V10" s="244"/>
      <c r="W10" s="244"/>
      <c r="X10" s="244"/>
      <c r="Y10" s="244"/>
      <c r="Z10" s="244"/>
    </row>
    <row r="11" ht="37.5" customHeight="1">
      <c r="A11" s="245" t="s">
        <v>339</v>
      </c>
      <c r="B11" s="246" t="str">
        <f t="shared" si="1"/>
        <v/>
      </c>
      <c r="C11" s="245">
        <f t="shared" si="2"/>
        <v>22</v>
      </c>
      <c r="D11" s="244"/>
      <c r="E11" s="244"/>
      <c r="F11" s="244"/>
      <c r="G11" s="244"/>
      <c r="H11" s="244"/>
      <c r="I11" s="244"/>
      <c r="J11" s="244"/>
      <c r="K11" s="244"/>
      <c r="L11" s="244"/>
      <c r="M11" s="244"/>
      <c r="N11" s="244"/>
      <c r="O11" s="244"/>
      <c r="P11" s="244"/>
      <c r="Q11" s="244"/>
      <c r="R11" s="244"/>
      <c r="S11" s="244"/>
      <c r="T11" s="244"/>
      <c r="U11" s="244"/>
      <c r="V11" s="244"/>
      <c r="W11" s="244"/>
      <c r="X11" s="244"/>
      <c r="Y11" s="244"/>
      <c r="Z11" s="244"/>
    </row>
    <row r="12" ht="37.5" customHeight="1">
      <c r="A12" s="245" t="s">
        <v>340</v>
      </c>
      <c r="B12" s="246" t="str">
        <f t="shared" si="1"/>
        <v/>
      </c>
      <c r="C12" s="245">
        <f t="shared" si="2"/>
        <v>23</v>
      </c>
      <c r="D12" s="244"/>
      <c r="E12" s="244"/>
      <c r="F12" s="244"/>
      <c r="G12" s="244"/>
      <c r="H12" s="244"/>
      <c r="I12" s="244"/>
      <c r="J12" s="244"/>
      <c r="K12" s="244"/>
      <c r="L12" s="244"/>
      <c r="M12" s="244"/>
      <c r="N12" s="244"/>
      <c r="O12" s="244"/>
      <c r="P12" s="244"/>
      <c r="Q12" s="244"/>
      <c r="R12" s="244"/>
      <c r="S12" s="244"/>
      <c r="T12" s="244"/>
      <c r="U12" s="244"/>
      <c r="V12" s="244"/>
      <c r="W12" s="244"/>
      <c r="X12" s="244"/>
      <c r="Y12" s="244"/>
      <c r="Z12" s="244"/>
    </row>
    <row r="13" ht="37.5" customHeight="1">
      <c r="A13" s="245" t="s">
        <v>341</v>
      </c>
      <c r="B13" s="246" t="str">
        <f t="shared" si="1"/>
        <v/>
      </c>
      <c r="C13" s="245">
        <f t="shared" si="2"/>
        <v>24</v>
      </c>
      <c r="D13" s="244"/>
      <c r="E13" s="244"/>
      <c r="F13" s="244"/>
      <c r="G13" s="244"/>
      <c r="H13" s="244"/>
      <c r="I13" s="244"/>
      <c r="J13" s="244"/>
      <c r="K13" s="244"/>
      <c r="L13" s="244"/>
      <c r="M13" s="244"/>
      <c r="N13" s="244"/>
      <c r="O13" s="244"/>
      <c r="P13" s="244"/>
      <c r="Q13" s="244"/>
      <c r="R13" s="244"/>
      <c r="S13" s="244"/>
      <c r="T13" s="244"/>
      <c r="U13" s="244"/>
      <c r="V13" s="244"/>
      <c r="W13" s="244"/>
      <c r="X13" s="244"/>
      <c r="Y13" s="244"/>
      <c r="Z13" s="244"/>
    </row>
    <row r="14" ht="37.5" customHeight="1">
      <c r="A14" s="245" t="s">
        <v>342</v>
      </c>
      <c r="B14" s="246" t="str">
        <f t="shared" si="1"/>
        <v/>
      </c>
      <c r="C14" s="245">
        <f t="shared" si="2"/>
        <v>25</v>
      </c>
      <c r="D14" s="244"/>
      <c r="E14" s="244"/>
      <c r="F14" s="244"/>
      <c r="G14" s="244"/>
      <c r="H14" s="244"/>
      <c r="I14" s="244"/>
      <c r="J14" s="244"/>
      <c r="K14" s="244"/>
      <c r="L14" s="244"/>
      <c r="M14" s="244"/>
      <c r="N14" s="244"/>
      <c r="O14" s="244"/>
      <c r="P14" s="244"/>
      <c r="Q14" s="244"/>
      <c r="R14" s="244"/>
      <c r="S14" s="244"/>
      <c r="T14" s="244"/>
      <c r="U14" s="244"/>
      <c r="V14" s="244"/>
      <c r="W14" s="244"/>
      <c r="X14" s="244"/>
      <c r="Y14" s="244"/>
      <c r="Z14" s="244"/>
    </row>
    <row r="15" ht="37.5" customHeight="1">
      <c r="A15" s="245" t="s">
        <v>343</v>
      </c>
      <c r="B15" s="246" t="str">
        <f t="shared" si="1"/>
        <v/>
      </c>
      <c r="C15" s="245">
        <f t="shared" si="2"/>
        <v>26</v>
      </c>
      <c r="D15" s="244"/>
      <c r="E15" s="244"/>
      <c r="F15" s="244"/>
      <c r="G15" s="244"/>
      <c r="H15" s="244"/>
      <c r="I15" s="244"/>
      <c r="J15" s="244"/>
      <c r="K15" s="244"/>
      <c r="L15" s="244"/>
      <c r="M15" s="244"/>
      <c r="N15" s="244"/>
      <c r="O15" s="244"/>
      <c r="P15" s="244"/>
      <c r="Q15" s="244"/>
      <c r="R15" s="244"/>
      <c r="S15" s="244"/>
      <c r="T15" s="244"/>
      <c r="U15" s="244"/>
      <c r="V15" s="244"/>
      <c r="W15" s="244"/>
      <c r="X15" s="244"/>
      <c r="Y15" s="244"/>
      <c r="Z15" s="244"/>
    </row>
    <row r="16" ht="37.5" customHeight="1">
      <c r="A16" s="245" t="s">
        <v>344</v>
      </c>
      <c r="B16" s="246" t="str">
        <f t="shared" si="1"/>
        <v/>
      </c>
      <c r="C16" s="245">
        <f t="shared" si="2"/>
        <v>27</v>
      </c>
      <c r="D16" s="244"/>
      <c r="E16" s="244"/>
      <c r="F16" s="244"/>
      <c r="G16" s="244"/>
      <c r="H16" s="244"/>
      <c r="I16" s="244"/>
      <c r="J16" s="244"/>
      <c r="K16" s="244"/>
      <c r="L16" s="244"/>
      <c r="M16" s="244"/>
      <c r="N16" s="244"/>
      <c r="O16" s="244"/>
      <c r="P16" s="244"/>
      <c r="Q16" s="244"/>
      <c r="R16" s="244"/>
      <c r="S16" s="244"/>
      <c r="T16" s="244"/>
      <c r="U16" s="244"/>
      <c r="V16" s="244"/>
      <c r="W16" s="244"/>
      <c r="X16" s="244"/>
      <c r="Y16" s="244"/>
      <c r="Z16" s="244"/>
    </row>
    <row r="17" ht="37.5" customHeight="1">
      <c r="A17" s="245" t="s">
        <v>345</v>
      </c>
      <c r="B17" s="246" t="str">
        <f t="shared" si="1"/>
        <v/>
      </c>
      <c r="C17" s="245">
        <f t="shared" si="2"/>
        <v>28</v>
      </c>
      <c r="D17" s="244"/>
      <c r="E17" s="244"/>
      <c r="F17" s="244"/>
      <c r="G17" s="244"/>
      <c r="H17" s="244"/>
      <c r="I17" s="244"/>
      <c r="J17" s="244"/>
      <c r="K17" s="244"/>
      <c r="L17" s="244"/>
      <c r="M17" s="244"/>
      <c r="N17" s="244"/>
      <c r="O17" s="244"/>
      <c r="P17" s="244"/>
      <c r="Q17" s="244"/>
      <c r="R17" s="244"/>
      <c r="S17" s="244"/>
      <c r="T17" s="244"/>
      <c r="U17" s="244"/>
      <c r="V17" s="244"/>
      <c r="W17" s="244"/>
      <c r="X17" s="244"/>
      <c r="Y17" s="244"/>
      <c r="Z17" s="244"/>
    </row>
    <row r="18" ht="37.5" customHeight="1">
      <c r="A18" s="245" t="s">
        <v>346</v>
      </c>
      <c r="B18" s="246" t="str">
        <f t="shared" si="1"/>
        <v/>
      </c>
      <c r="C18" s="245">
        <v>5.0</v>
      </c>
      <c r="D18" s="247" t="s">
        <v>347</v>
      </c>
      <c r="E18" s="244"/>
      <c r="F18" s="244"/>
      <c r="G18" s="244"/>
      <c r="H18" s="244"/>
      <c r="I18" s="244"/>
      <c r="J18" s="244"/>
      <c r="K18" s="244"/>
      <c r="L18" s="244"/>
      <c r="M18" s="244"/>
      <c r="N18" s="244"/>
      <c r="O18" s="244"/>
      <c r="P18" s="244"/>
      <c r="Q18" s="244"/>
      <c r="R18" s="244"/>
      <c r="S18" s="244"/>
      <c r="T18" s="244"/>
      <c r="U18" s="244"/>
      <c r="V18" s="244"/>
      <c r="W18" s="244"/>
      <c r="X18" s="244"/>
      <c r="Y18" s="244"/>
      <c r="Z18" s="244"/>
    </row>
    <row r="19" ht="37.5" customHeight="1">
      <c r="A19" s="245" t="s">
        <v>348</v>
      </c>
      <c r="B19" s="246" t="str">
        <f t="shared" si="1"/>
        <v/>
      </c>
      <c r="C19" s="245">
        <f t="shared" ref="C19:C25" si="3">C18+1</f>
        <v>6</v>
      </c>
      <c r="D19" s="244"/>
      <c r="E19" s="244"/>
      <c r="F19" s="244"/>
      <c r="G19" s="244"/>
      <c r="H19" s="244"/>
      <c r="I19" s="244"/>
      <c r="J19" s="244"/>
      <c r="K19" s="244"/>
      <c r="L19" s="244"/>
      <c r="M19" s="244"/>
      <c r="N19" s="244"/>
      <c r="O19" s="244"/>
      <c r="P19" s="244"/>
      <c r="Q19" s="244"/>
      <c r="R19" s="244"/>
      <c r="S19" s="244"/>
      <c r="T19" s="244"/>
      <c r="U19" s="244"/>
      <c r="V19" s="244"/>
      <c r="W19" s="244"/>
      <c r="X19" s="244"/>
      <c r="Y19" s="244"/>
      <c r="Z19" s="244"/>
    </row>
    <row r="20" ht="37.5" customHeight="1">
      <c r="A20" s="245" t="s">
        <v>349</v>
      </c>
      <c r="B20" s="246" t="str">
        <f t="shared" si="1"/>
        <v/>
      </c>
      <c r="C20" s="245">
        <f t="shared" si="3"/>
        <v>7</v>
      </c>
      <c r="D20" s="244"/>
      <c r="E20" s="244"/>
      <c r="F20" s="244"/>
      <c r="G20" s="244"/>
      <c r="H20" s="244"/>
      <c r="I20" s="244"/>
      <c r="J20" s="244"/>
      <c r="K20" s="244"/>
      <c r="L20" s="244"/>
      <c r="M20" s="244"/>
      <c r="N20" s="244"/>
      <c r="O20" s="244"/>
      <c r="P20" s="244"/>
      <c r="Q20" s="244"/>
      <c r="R20" s="244"/>
      <c r="S20" s="244"/>
      <c r="T20" s="244"/>
      <c r="U20" s="244"/>
      <c r="V20" s="244"/>
      <c r="W20" s="244"/>
      <c r="X20" s="244"/>
      <c r="Y20" s="244"/>
      <c r="Z20" s="244"/>
    </row>
    <row r="21" ht="37.5" customHeight="1">
      <c r="A21" s="245" t="s">
        <v>350</v>
      </c>
      <c r="B21" s="246" t="str">
        <f t="shared" si="1"/>
        <v/>
      </c>
      <c r="C21" s="245">
        <f t="shared" si="3"/>
        <v>8</v>
      </c>
      <c r="D21" s="244"/>
      <c r="E21" s="244"/>
      <c r="F21" s="244"/>
      <c r="G21" s="244"/>
      <c r="H21" s="244"/>
      <c r="I21" s="244"/>
      <c r="J21" s="244"/>
      <c r="K21" s="244"/>
      <c r="L21" s="244"/>
      <c r="M21" s="244"/>
      <c r="N21" s="244"/>
      <c r="O21" s="244"/>
      <c r="P21" s="244"/>
      <c r="Q21" s="244"/>
      <c r="R21" s="244"/>
      <c r="S21" s="244"/>
      <c r="T21" s="244"/>
      <c r="U21" s="244"/>
      <c r="V21" s="244"/>
      <c r="W21" s="244"/>
      <c r="X21" s="244"/>
      <c r="Y21" s="244"/>
      <c r="Z21" s="244"/>
    </row>
    <row r="22" ht="37.5" customHeight="1">
      <c r="A22" s="245" t="s">
        <v>351</v>
      </c>
      <c r="B22" s="246" t="str">
        <f t="shared" si="1"/>
        <v/>
      </c>
      <c r="C22" s="245">
        <f t="shared" si="3"/>
        <v>9</v>
      </c>
      <c r="D22" s="244"/>
      <c r="E22" s="244"/>
      <c r="F22" s="244"/>
      <c r="G22" s="244"/>
      <c r="H22" s="244"/>
      <c r="I22" s="244"/>
      <c r="J22" s="244"/>
      <c r="K22" s="244"/>
      <c r="L22" s="244"/>
      <c r="M22" s="244"/>
      <c r="N22" s="244"/>
      <c r="O22" s="244"/>
      <c r="P22" s="244"/>
      <c r="Q22" s="244"/>
      <c r="R22" s="244"/>
      <c r="S22" s="244"/>
      <c r="T22" s="244"/>
      <c r="U22" s="244"/>
      <c r="V22" s="244"/>
      <c r="W22" s="244"/>
      <c r="X22" s="244"/>
      <c r="Y22" s="244"/>
      <c r="Z22" s="244"/>
    </row>
    <row r="23" ht="37.5" customHeight="1">
      <c r="A23" s="245" t="s">
        <v>352</v>
      </c>
      <c r="B23" s="246" t="str">
        <f t="shared" si="1"/>
        <v/>
      </c>
      <c r="C23" s="245">
        <f t="shared" si="3"/>
        <v>10</v>
      </c>
      <c r="D23" s="244"/>
      <c r="E23" s="244"/>
      <c r="F23" s="244"/>
      <c r="G23" s="244"/>
      <c r="H23" s="244"/>
      <c r="I23" s="244"/>
      <c r="J23" s="244"/>
      <c r="K23" s="244"/>
      <c r="L23" s="244"/>
      <c r="M23" s="244"/>
      <c r="N23" s="244"/>
      <c r="O23" s="244"/>
      <c r="P23" s="244"/>
      <c r="Q23" s="244"/>
      <c r="R23" s="244"/>
      <c r="S23" s="244"/>
      <c r="T23" s="244"/>
      <c r="U23" s="244"/>
      <c r="V23" s="244"/>
      <c r="W23" s="244"/>
      <c r="X23" s="244"/>
      <c r="Y23" s="244"/>
      <c r="Z23" s="244"/>
    </row>
    <row r="24" ht="37.5" customHeight="1">
      <c r="A24" s="245" t="s">
        <v>353</v>
      </c>
      <c r="B24" s="246" t="str">
        <f t="shared" si="1"/>
        <v/>
      </c>
      <c r="C24" s="245">
        <f t="shared" si="3"/>
        <v>11</v>
      </c>
      <c r="D24" s="244"/>
      <c r="E24" s="244"/>
      <c r="F24" s="244"/>
      <c r="G24" s="244"/>
      <c r="H24" s="244"/>
      <c r="I24" s="244"/>
      <c r="J24" s="244"/>
      <c r="K24" s="244"/>
      <c r="L24" s="244"/>
      <c r="M24" s="244"/>
      <c r="N24" s="244"/>
      <c r="O24" s="244"/>
      <c r="P24" s="244"/>
      <c r="Q24" s="244"/>
      <c r="R24" s="244"/>
      <c r="S24" s="244"/>
      <c r="T24" s="244"/>
      <c r="U24" s="244"/>
      <c r="V24" s="244"/>
      <c r="W24" s="244"/>
      <c r="X24" s="244"/>
      <c r="Y24" s="244"/>
      <c r="Z24" s="244"/>
    </row>
    <row r="25" ht="37.5" customHeight="1">
      <c r="A25" s="245" t="s">
        <v>354</v>
      </c>
      <c r="B25" s="246" t="str">
        <f t="shared" si="1"/>
        <v/>
      </c>
      <c r="C25" s="245">
        <f t="shared" si="3"/>
        <v>12</v>
      </c>
      <c r="D25" s="244"/>
      <c r="E25" s="244"/>
      <c r="F25" s="244"/>
      <c r="G25" s="244"/>
      <c r="H25" s="244"/>
      <c r="I25" s="244"/>
      <c r="J25" s="244"/>
      <c r="K25" s="244"/>
      <c r="L25" s="244"/>
      <c r="M25" s="244"/>
      <c r="N25" s="244"/>
      <c r="O25" s="244"/>
      <c r="P25" s="244"/>
      <c r="Q25" s="244"/>
      <c r="R25" s="244"/>
      <c r="S25" s="244"/>
      <c r="T25" s="244"/>
      <c r="U25" s="244"/>
      <c r="V25" s="244"/>
      <c r="W25" s="244"/>
      <c r="X25" s="244"/>
      <c r="Y25" s="244"/>
      <c r="Z25" s="244"/>
    </row>
    <row r="26" ht="37.5" customHeight="1">
      <c r="A26" s="245" t="s">
        <v>355</v>
      </c>
      <c r="B26" s="246" t="str">
        <f t="shared" si="1"/>
        <v/>
      </c>
      <c r="C26" s="245">
        <v>1.0</v>
      </c>
      <c r="D26" s="248" t="s">
        <v>356</v>
      </c>
      <c r="E26" s="244"/>
      <c r="F26" s="244"/>
      <c r="G26" s="244"/>
      <c r="H26" s="244"/>
      <c r="I26" s="244"/>
      <c r="J26" s="244"/>
      <c r="K26" s="244"/>
      <c r="L26" s="244"/>
      <c r="M26" s="244"/>
      <c r="N26" s="244"/>
      <c r="O26" s="244"/>
      <c r="P26" s="244"/>
      <c r="Q26" s="244"/>
      <c r="R26" s="244"/>
      <c r="S26" s="244"/>
      <c r="T26" s="244"/>
      <c r="U26" s="244"/>
      <c r="V26" s="244"/>
      <c r="W26" s="244"/>
      <c r="X26" s="244"/>
      <c r="Y26" s="244"/>
      <c r="Z26" s="244"/>
    </row>
    <row r="27" ht="37.5" customHeight="1">
      <c r="A27" s="245" t="s">
        <v>357</v>
      </c>
      <c r="B27" s="246" t="str">
        <f t="shared" si="1"/>
        <v/>
      </c>
      <c r="C27" s="245">
        <v>2.0</v>
      </c>
      <c r="D27" s="244"/>
      <c r="E27" s="244"/>
      <c r="F27" s="244"/>
      <c r="G27" s="244"/>
      <c r="H27" s="244"/>
      <c r="I27" s="244"/>
      <c r="J27" s="244"/>
      <c r="K27" s="244"/>
      <c r="L27" s="244"/>
      <c r="M27" s="244"/>
      <c r="N27" s="244"/>
      <c r="O27" s="244"/>
      <c r="P27" s="244"/>
      <c r="Q27" s="244"/>
      <c r="R27" s="244"/>
      <c r="S27" s="244"/>
      <c r="T27" s="244"/>
      <c r="U27" s="244"/>
      <c r="V27" s="244"/>
      <c r="W27" s="244"/>
      <c r="X27" s="244"/>
      <c r="Y27" s="244"/>
      <c r="Z27" s="244"/>
    </row>
    <row r="28" ht="37.5" customHeight="1">
      <c r="A28" s="245" t="s">
        <v>358</v>
      </c>
      <c r="B28" s="246" t="str">
        <f t="shared" si="1"/>
        <v/>
      </c>
      <c r="C28" s="245">
        <v>3.0</v>
      </c>
      <c r="D28" s="244"/>
      <c r="E28" s="244"/>
      <c r="F28" s="244"/>
      <c r="G28" s="244"/>
      <c r="H28" s="244"/>
      <c r="I28" s="244"/>
      <c r="J28" s="244"/>
      <c r="K28" s="244"/>
      <c r="L28" s="244"/>
      <c r="M28" s="244"/>
      <c r="N28" s="244"/>
      <c r="O28" s="244"/>
      <c r="P28" s="244"/>
      <c r="Q28" s="244"/>
      <c r="R28" s="244"/>
      <c r="S28" s="244"/>
      <c r="T28" s="244"/>
      <c r="U28" s="244"/>
      <c r="V28" s="244"/>
      <c r="W28" s="244"/>
      <c r="X28" s="244"/>
      <c r="Y28" s="244"/>
      <c r="Z28" s="244"/>
    </row>
    <row r="29" ht="37.5" customHeight="1">
      <c r="A29" s="245" t="s">
        <v>359</v>
      </c>
      <c r="B29" s="246" t="str">
        <f t="shared" si="1"/>
        <v/>
      </c>
      <c r="C29" s="245">
        <v>4.0</v>
      </c>
      <c r="D29" s="244"/>
      <c r="E29" s="244"/>
      <c r="F29" s="244"/>
      <c r="G29" s="244"/>
      <c r="H29" s="244"/>
      <c r="I29" s="244"/>
      <c r="J29" s="244"/>
      <c r="K29" s="244"/>
      <c r="L29" s="244"/>
      <c r="M29" s="244"/>
      <c r="N29" s="244"/>
      <c r="O29" s="244"/>
      <c r="P29" s="244"/>
      <c r="Q29" s="244"/>
      <c r="R29" s="244"/>
      <c r="S29" s="244"/>
      <c r="T29" s="244"/>
      <c r="U29" s="244"/>
      <c r="V29" s="244"/>
      <c r="W29" s="244"/>
      <c r="X29" s="244"/>
      <c r="Y29" s="244"/>
      <c r="Z29" s="244"/>
    </row>
    <row r="30">
      <c r="A30" s="249"/>
      <c r="B30" s="249"/>
      <c r="C30" s="243"/>
      <c r="D30" s="244"/>
      <c r="E30" s="244"/>
      <c r="F30" s="244"/>
      <c r="G30" s="244"/>
      <c r="H30" s="244"/>
      <c r="I30" s="244"/>
      <c r="J30" s="244"/>
      <c r="K30" s="244"/>
      <c r="L30" s="244"/>
      <c r="M30" s="244"/>
      <c r="N30" s="244"/>
      <c r="O30" s="244"/>
      <c r="P30" s="244"/>
      <c r="Q30" s="244"/>
      <c r="R30" s="244"/>
      <c r="S30" s="244"/>
      <c r="T30" s="244"/>
      <c r="U30" s="244"/>
      <c r="V30" s="244"/>
      <c r="W30" s="244"/>
      <c r="X30" s="244"/>
      <c r="Y30" s="244"/>
      <c r="Z30" s="244"/>
    </row>
    <row r="31">
      <c r="A31" s="249"/>
      <c r="B31" s="249"/>
      <c r="C31" s="243"/>
      <c r="D31" s="244"/>
      <c r="E31" s="244"/>
      <c r="F31" s="244"/>
      <c r="G31" s="244"/>
      <c r="H31" s="244"/>
      <c r="I31" s="244"/>
      <c r="J31" s="244"/>
      <c r="K31" s="244"/>
      <c r="L31" s="244"/>
      <c r="M31" s="244"/>
      <c r="N31" s="244"/>
      <c r="O31" s="244"/>
      <c r="P31" s="244"/>
      <c r="Q31" s="244"/>
      <c r="R31" s="244"/>
      <c r="S31" s="244"/>
      <c r="T31" s="244"/>
      <c r="U31" s="244"/>
      <c r="V31" s="244"/>
      <c r="W31" s="244"/>
      <c r="X31" s="244"/>
      <c r="Y31" s="244"/>
      <c r="Z31" s="244"/>
    </row>
    <row r="32">
      <c r="A32" s="249"/>
      <c r="B32" s="249"/>
      <c r="C32" s="243"/>
      <c r="D32" s="244"/>
      <c r="E32" s="244"/>
      <c r="F32" s="244"/>
      <c r="G32" s="244"/>
      <c r="H32" s="244"/>
      <c r="I32" s="244"/>
      <c r="J32" s="244"/>
      <c r="K32" s="244"/>
      <c r="L32" s="244"/>
      <c r="M32" s="244"/>
      <c r="N32" s="244"/>
      <c r="O32" s="244"/>
      <c r="P32" s="244"/>
      <c r="Q32" s="244"/>
      <c r="R32" s="244"/>
      <c r="S32" s="244"/>
      <c r="T32" s="244"/>
      <c r="U32" s="244"/>
      <c r="V32" s="244"/>
      <c r="W32" s="244"/>
      <c r="X32" s="244"/>
      <c r="Y32" s="244"/>
      <c r="Z32" s="244"/>
    </row>
    <row r="33">
      <c r="A33" s="249"/>
      <c r="B33" s="249"/>
      <c r="C33" s="243"/>
      <c r="D33" s="244"/>
      <c r="E33" s="244"/>
      <c r="F33" s="244"/>
      <c r="G33" s="244"/>
      <c r="H33" s="244"/>
      <c r="I33" s="244"/>
      <c r="J33" s="244"/>
      <c r="K33" s="244"/>
      <c r="L33" s="244"/>
      <c r="M33" s="244"/>
      <c r="N33" s="244"/>
      <c r="O33" s="244"/>
      <c r="P33" s="244"/>
      <c r="Q33" s="244"/>
      <c r="R33" s="244"/>
      <c r="S33" s="244"/>
      <c r="T33" s="244"/>
      <c r="U33" s="244"/>
      <c r="V33" s="244"/>
      <c r="W33" s="244"/>
      <c r="X33" s="244"/>
      <c r="Y33" s="244"/>
      <c r="Z33" s="244"/>
    </row>
    <row r="34">
      <c r="A34" s="249"/>
      <c r="B34" s="249"/>
      <c r="C34" s="243"/>
      <c r="D34" s="244"/>
      <c r="E34" s="244"/>
      <c r="F34" s="244"/>
      <c r="G34" s="244"/>
      <c r="H34" s="244"/>
      <c r="I34" s="244"/>
      <c r="J34" s="244"/>
      <c r="K34" s="244"/>
      <c r="L34" s="244"/>
      <c r="M34" s="244"/>
      <c r="N34" s="244"/>
      <c r="O34" s="244"/>
      <c r="P34" s="244"/>
      <c r="Q34" s="244"/>
      <c r="R34" s="244"/>
      <c r="S34" s="244"/>
      <c r="T34" s="244"/>
      <c r="U34" s="244"/>
      <c r="V34" s="244"/>
      <c r="W34" s="244"/>
      <c r="X34" s="244"/>
      <c r="Y34" s="244"/>
      <c r="Z34" s="244"/>
    </row>
    <row r="35" hidden="1">
      <c r="A35" s="249"/>
      <c r="B35" s="249"/>
      <c r="C35" s="243"/>
      <c r="D35" s="244"/>
      <c r="E35" s="244"/>
      <c r="F35" s="244"/>
      <c r="G35" s="244"/>
      <c r="H35" s="244"/>
      <c r="I35" s="244"/>
      <c r="J35" s="244"/>
      <c r="K35" s="244"/>
      <c r="L35" s="244"/>
      <c r="M35" s="244"/>
      <c r="N35" s="244"/>
      <c r="O35" s="244"/>
      <c r="P35" s="244"/>
      <c r="Q35" s="244"/>
      <c r="R35" s="244"/>
      <c r="S35" s="244"/>
      <c r="T35" s="244"/>
      <c r="U35" s="244"/>
      <c r="V35" s="244"/>
      <c r="W35" s="244"/>
      <c r="X35" s="244"/>
      <c r="Y35" s="244"/>
      <c r="Z35" s="244"/>
    </row>
    <row r="36" hidden="1">
      <c r="A36" s="249"/>
      <c r="B36" s="249"/>
      <c r="C36" s="243"/>
      <c r="D36" s="244"/>
      <c r="E36" s="244"/>
      <c r="F36" s="244"/>
      <c r="G36" s="244"/>
      <c r="H36" s="244"/>
      <c r="I36" s="244"/>
      <c r="J36" s="244"/>
      <c r="K36" s="244"/>
      <c r="L36" s="244"/>
      <c r="M36" s="244"/>
      <c r="N36" s="244"/>
      <c r="O36" s="244"/>
      <c r="P36" s="244"/>
      <c r="Q36" s="244"/>
      <c r="R36" s="244"/>
      <c r="S36" s="244"/>
      <c r="T36" s="244"/>
      <c r="U36" s="244"/>
      <c r="V36" s="244"/>
      <c r="W36" s="244"/>
      <c r="X36" s="244"/>
      <c r="Y36" s="244"/>
      <c r="Z36" s="244"/>
    </row>
    <row r="37" hidden="1">
      <c r="A37" s="249"/>
      <c r="B37" s="249"/>
      <c r="C37" s="243"/>
      <c r="D37" s="244"/>
      <c r="E37" s="244"/>
      <c r="F37" s="244"/>
      <c r="G37" s="244"/>
      <c r="H37" s="244"/>
      <c r="I37" s="244"/>
      <c r="J37" s="244"/>
      <c r="K37" s="244"/>
      <c r="L37" s="244"/>
      <c r="M37" s="244"/>
      <c r="N37" s="244"/>
      <c r="O37" s="244"/>
      <c r="P37" s="244"/>
      <c r="Q37" s="244"/>
      <c r="R37" s="244"/>
      <c r="S37" s="244"/>
      <c r="T37" s="244"/>
      <c r="U37" s="244"/>
      <c r="V37" s="244"/>
      <c r="W37" s="244"/>
      <c r="X37" s="244"/>
      <c r="Y37" s="244"/>
      <c r="Z37" s="244"/>
    </row>
    <row r="38" hidden="1">
      <c r="A38" s="249" t="str">
        <f t="array" ref="A38:B65">sort(A2:B29,C2:C29,true)</f>
        <v>Team 1 (Playoff)</v>
      </c>
      <c r="B38" s="249"/>
      <c r="C38" s="243">
        <f t="array" ref="C38:C65">sequence(counta(A38:A65),1)</f>
        <v>1</v>
      </c>
      <c r="D38" s="244"/>
      <c r="E38" s="244"/>
      <c r="F38" s="244"/>
      <c r="G38" s="244"/>
      <c r="H38" s="244"/>
      <c r="I38" s="244"/>
      <c r="J38" s="244"/>
      <c r="K38" s="244"/>
      <c r="L38" s="244"/>
      <c r="M38" s="244"/>
      <c r="N38" s="244"/>
      <c r="O38" s="244"/>
      <c r="P38" s="244"/>
      <c r="Q38" s="244"/>
      <c r="R38" s="244"/>
      <c r="S38" s="244"/>
      <c r="T38" s="244"/>
      <c r="U38" s="244"/>
      <c r="V38" s="244"/>
      <c r="W38" s="244"/>
      <c r="X38" s="244"/>
      <c r="Y38" s="244"/>
      <c r="Z38" s="244"/>
    </row>
    <row r="39" hidden="1">
      <c r="A39" s="249" t="s">
        <v>357</v>
      </c>
      <c r="B39" s="249"/>
      <c r="C39" s="243">
        <v>2.0</v>
      </c>
      <c r="D39" s="244"/>
      <c r="E39" s="244"/>
      <c r="F39" s="244"/>
      <c r="G39" s="244"/>
      <c r="H39" s="244"/>
      <c r="I39" s="244"/>
      <c r="J39" s="244"/>
      <c r="K39" s="244"/>
      <c r="L39" s="244"/>
      <c r="M39" s="244"/>
      <c r="N39" s="244"/>
      <c r="O39" s="244"/>
      <c r="P39" s="244"/>
      <c r="Q39" s="244"/>
      <c r="R39" s="244"/>
      <c r="S39" s="244"/>
      <c r="T39" s="244"/>
      <c r="U39" s="244"/>
      <c r="V39" s="244"/>
      <c r="W39" s="244"/>
      <c r="X39" s="244"/>
      <c r="Y39" s="244"/>
      <c r="Z39" s="244"/>
    </row>
    <row r="40" hidden="1">
      <c r="A40" s="249" t="s">
        <v>358</v>
      </c>
      <c r="B40" s="249"/>
      <c r="C40" s="243">
        <v>3.0</v>
      </c>
      <c r="D40" s="244"/>
      <c r="E40" s="244"/>
      <c r="F40" s="244"/>
      <c r="G40" s="244"/>
      <c r="H40" s="244"/>
      <c r="I40" s="244"/>
      <c r="J40" s="244"/>
      <c r="K40" s="244"/>
      <c r="L40" s="244"/>
      <c r="M40" s="244"/>
      <c r="N40" s="244"/>
      <c r="O40" s="244"/>
      <c r="P40" s="244"/>
      <c r="Q40" s="244"/>
      <c r="R40" s="244"/>
      <c r="S40" s="244"/>
      <c r="T40" s="244"/>
      <c r="U40" s="244"/>
      <c r="V40" s="244"/>
      <c r="W40" s="244"/>
      <c r="X40" s="244"/>
      <c r="Y40" s="244"/>
      <c r="Z40" s="244"/>
    </row>
    <row r="41" hidden="1">
      <c r="A41" s="249" t="s">
        <v>359</v>
      </c>
      <c r="B41" s="249"/>
      <c r="C41" s="243">
        <v>4.0</v>
      </c>
      <c r="D41" s="244"/>
      <c r="E41" s="244"/>
      <c r="F41" s="244"/>
      <c r="G41" s="244"/>
      <c r="H41" s="244"/>
      <c r="I41" s="244"/>
      <c r="J41" s="244"/>
      <c r="K41" s="244"/>
      <c r="L41" s="244"/>
      <c r="M41" s="244"/>
      <c r="N41" s="244"/>
      <c r="O41" s="244"/>
      <c r="P41" s="244"/>
      <c r="Q41" s="244"/>
      <c r="R41" s="244"/>
      <c r="S41" s="244"/>
      <c r="T41" s="244"/>
      <c r="U41" s="244"/>
      <c r="V41" s="244"/>
      <c r="W41" s="244"/>
      <c r="X41" s="244"/>
      <c r="Y41" s="244"/>
      <c r="Z41" s="244"/>
    </row>
    <row r="42" hidden="1">
      <c r="A42" s="249" t="s">
        <v>346</v>
      </c>
      <c r="B42" s="249"/>
      <c r="C42" s="243">
        <v>5.0</v>
      </c>
      <c r="D42" s="244"/>
      <c r="E42" s="244"/>
      <c r="F42" s="244"/>
      <c r="G42" s="244"/>
      <c r="H42" s="244"/>
      <c r="I42" s="244"/>
      <c r="J42" s="244"/>
      <c r="K42" s="244"/>
      <c r="L42" s="244"/>
      <c r="M42" s="244"/>
      <c r="N42" s="244"/>
      <c r="O42" s="244"/>
      <c r="P42" s="244"/>
      <c r="Q42" s="244"/>
      <c r="R42" s="244"/>
      <c r="S42" s="244"/>
      <c r="T42" s="244"/>
      <c r="U42" s="244"/>
      <c r="V42" s="244"/>
      <c r="W42" s="244"/>
      <c r="X42" s="244"/>
      <c r="Y42" s="244"/>
      <c r="Z42" s="244"/>
    </row>
    <row r="43" hidden="1">
      <c r="A43" s="249" t="s">
        <v>348</v>
      </c>
      <c r="B43" s="249"/>
      <c r="C43" s="243">
        <v>6.0</v>
      </c>
      <c r="D43" s="244"/>
      <c r="E43" s="244"/>
      <c r="F43" s="244"/>
      <c r="G43" s="244"/>
      <c r="H43" s="244"/>
      <c r="I43" s="244"/>
      <c r="J43" s="244"/>
      <c r="K43" s="244"/>
      <c r="L43" s="244"/>
      <c r="M43" s="244"/>
      <c r="N43" s="244"/>
      <c r="O43" s="244"/>
      <c r="P43" s="244"/>
      <c r="Q43" s="244"/>
      <c r="R43" s="244"/>
      <c r="S43" s="244"/>
      <c r="T43" s="244"/>
      <c r="U43" s="244"/>
      <c r="V43" s="244"/>
      <c r="W43" s="244"/>
      <c r="X43" s="244"/>
      <c r="Y43" s="244"/>
      <c r="Z43" s="244"/>
    </row>
    <row r="44" hidden="1">
      <c r="A44" s="249" t="s">
        <v>349</v>
      </c>
      <c r="B44" s="249"/>
      <c r="C44" s="250">
        <v>7.0</v>
      </c>
      <c r="D44" s="244"/>
      <c r="E44" s="244"/>
      <c r="F44" s="244"/>
      <c r="G44" s="244"/>
      <c r="H44" s="244"/>
      <c r="I44" s="244"/>
      <c r="J44" s="244"/>
      <c r="K44" s="244"/>
      <c r="L44" s="244"/>
      <c r="M44" s="244"/>
      <c r="N44" s="244"/>
      <c r="O44" s="244"/>
      <c r="P44" s="244"/>
      <c r="Q44" s="244"/>
      <c r="R44" s="244"/>
      <c r="S44" s="244"/>
      <c r="T44" s="244"/>
      <c r="U44" s="244"/>
      <c r="V44" s="244"/>
      <c r="W44" s="244"/>
      <c r="X44" s="244"/>
      <c r="Y44" s="244"/>
      <c r="Z44" s="244"/>
    </row>
    <row r="45" hidden="1">
      <c r="A45" s="249" t="s">
        <v>350</v>
      </c>
      <c r="B45" s="249"/>
      <c r="C45" s="250">
        <v>8.0</v>
      </c>
      <c r="D45" s="244"/>
      <c r="E45" s="244"/>
      <c r="F45" s="244"/>
      <c r="G45" s="244"/>
      <c r="H45" s="244"/>
      <c r="I45" s="244"/>
      <c r="J45" s="244"/>
      <c r="K45" s="244"/>
      <c r="L45" s="244"/>
      <c r="M45" s="244"/>
      <c r="N45" s="244"/>
      <c r="O45" s="244"/>
      <c r="P45" s="244"/>
      <c r="Q45" s="244"/>
      <c r="R45" s="244"/>
      <c r="S45" s="244"/>
      <c r="T45" s="244"/>
      <c r="U45" s="244"/>
      <c r="V45" s="244"/>
      <c r="W45" s="244"/>
      <c r="X45" s="244"/>
      <c r="Y45" s="244"/>
      <c r="Z45" s="244"/>
    </row>
    <row r="46" hidden="1">
      <c r="A46" s="249" t="s">
        <v>351</v>
      </c>
      <c r="B46" s="249"/>
      <c r="C46" s="250">
        <v>9.0</v>
      </c>
      <c r="D46" s="244"/>
      <c r="E46" s="244"/>
      <c r="F46" s="244"/>
      <c r="G46" s="244"/>
      <c r="H46" s="244"/>
      <c r="I46" s="244"/>
      <c r="J46" s="244"/>
      <c r="K46" s="244"/>
      <c r="L46" s="244"/>
      <c r="M46" s="244"/>
      <c r="N46" s="244"/>
      <c r="O46" s="244"/>
      <c r="P46" s="244"/>
      <c r="Q46" s="244"/>
      <c r="R46" s="244"/>
      <c r="S46" s="244"/>
      <c r="T46" s="244"/>
      <c r="U46" s="244"/>
      <c r="V46" s="244"/>
      <c r="W46" s="244"/>
      <c r="X46" s="244"/>
      <c r="Y46" s="244"/>
      <c r="Z46" s="244"/>
    </row>
    <row r="47" hidden="1">
      <c r="A47" s="249" t="s">
        <v>352</v>
      </c>
      <c r="B47" s="249"/>
      <c r="C47" s="250">
        <v>10.0</v>
      </c>
      <c r="D47" s="244"/>
      <c r="E47" s="244"/>
      <c r="F47" s="244"/>
      <c r="G47" s="244"/>
      <c r="H47" s="244"/>
      <c r="I47" s="244"/>
      <c r="J47" s="244"/>
      <c r="K47" s="244"/>
      <c r="L47" s="244"/>
      <c r="M47" s="244"/>
      <c r="N47" s="244"/>
      <c r="O47" s="244"/>
      <c r="P47" s="244"/>
      <c r="Q47" s="244"/>
      <c r="R47" s="244"/>
      <c r="S47" s="244"/>
      <c r="T47" s="244"/>
      <c r="U47" s="244"/>
      <c r="V47" s="244"/>
      <c r="W47" s="244"/>
      <c r="X47" s="244"/>
      <c r="Y47" s="244"/>
      <c r="Z47" s="244"/>
    </row>
    <row r="48" hidden="1">
      <c r="A48" s="249" t="s">
        <v>353</v>
      </c>
      <c r="B48" s="249"/>
      <c r="C48" s="250">
        <v>11.0</v>
      </c>
      <c r="D48" s="244"/>
      <c r="E48" s="244"/>
      <c r="F48" s="244"/>
      <c r="G48" s="244"/>
      <c r="H48" s="244"/>
      <c r="I48" s="244"/>
      <c r="J48" s="244"/>
      <c r="K48" s="244"/>
      <c r="L48" s="244"/>
      <c r="M48" s="244"/>
      <c r="N48" s="244"/>
      <c r="O48" s="244"/>
      <c r="P48" s="244"/>
      <c r="Q48" s="244"/>
      <c r="R48" s="244"/>
      <c r="S48" s="244"/>
      <c r="T48" s="244"/>
      <c r="U48" s="244"/>
      <c r="V48" s="244"/>
      <c r="W48" s="244"/>
      <c r="X48" s="244"/>
      <c r="Y48" s="244"/>
      <c r="Z48" s="244"/>
    </row>
    <row r="49" hidden="1">
      <c r="A49" s="249" t="s">
        <v>354</v>
      </c>
      <c r="B49" s="249"/>
      <c r="C49" s="250">
        <v>12.0</v>
      </c>
      <c r="D49" s="244"/>
      <c r="E49" s="244"/>
      <c r="F49" s="244"/>
      <c r="G49" s="244"/>
      <c r="H49" s="244"/>
      <c r="I49" s="244"/>
      <c r="J49" s="244"/>
      <c r="K49" s="244"/>
      <c r="L49" s="244"/>
      <c r="M49" s="244"/>
      <c r="N49" s="244"/>
      <c r="O49" s="244"/>
      <c r="P49" s="244"/>
      <c r="Q49" s="244"/>
      <c r="R49" s="244"/>
      <c r="S49" s="244"/>
      <c r="T49" s="244"/>
      <c r="U49" s="244"/>
      <c r="V49" s="244"/>
      <c r="W49" s="244"/>
      <c r="X49" s="244"/>
      <c r="Y49" s="244"/>
      <c r="Z49" s="244"/>
    </row>
    <row r="50" hidden="1">
      <c r="A50" s="249" t="s">
        <v>329</v>
      </c>
      <c r="B50" s="249"/>
      <c r="C50" s="250">
        <v>13.0</v>
      </c>
      <c r="D50" s="244"/>
      <c r="E50" s="244"/>
      <c r="F50" s="244"/>
      <c r="G50" s="244"/>
      <c r="H50" s="244"/>
      <c r="I50" s="244"/>
      <c r="J50" s="244"/>
      <c r="K50" s="244"/>
      <c r="L50" s="244"/>
      <c r="M50" s="244"/>
      <c r="N50" s="244"/>
      <c r="O50" s="244"/>
      <c r="P50" s="244"/>
      <c r="Q50" s="244"/>
      <c r="R50" s="244"/>
      <c r="S50" s="244"/>
      <c r="T50" s="244"/>
      <c r="U50" s="244"/>
      <c r="V50" s="244"/>
      <c r="W50" s="244"/>
      <c r="X50" s="244"/>
      <c r="Y50" s="244"/>
      <c r="Z50" s="244"/>
    </row>
    <row r="51" hidden="1">
      <c r="A51" s="249" t="s">
        <v>331</v>
      </c>
      <c r="B51" s="249"/>
      <c r="C51" s="250">
        <v>14.0</v>
      </c>
      <c r="D51" s="244"/>
      <c r="E51" s="244"/>
      <c r="F51" s="244"/>
      <c r="G51" s="244"/>
      <c r="H51" s="244"/>
      <c r="I51" s="244"/>
      <c r="J51" s="244"/>
      <c r="K51" s="244"/>
      <c r="L51" s="244"/>
      <c r="M51" s="244"/>
      <c r="N51" s="244"/>
      <c r="O51" s="244"/>
      <c r="P51" s="244"/>
      <c r="Q51" s="244"/>
      <c r="R51" s="244"/>
      <c r="S51" s="244"/>
      <c r="T51" s="244"/>
      <c r="U51" s="244"/>
      <c r="V51" s="244"/>
      <c r="W51" s="244"/>
      <c r="X51" s="244"/>
      <c r="Y51" s="244"/>
      <c r="Z51" s="244"/>
    </row>
    <row r="52" hidden="1">
      <c r="A52" s="249" t="s">
        <v>332</v>
      </c>
      <c r="B52" s="249"/>
      <c r="C52" s="250">
        <v>15.0</v>
      </c>
      <c r="D52" s="244"/>
      <c r="E52" s="244"/>
      <c r="F52" s="244"/>
      <c r="G52" s="244"/>
      <c r="H52" s="244"/>
      <c r="I52" s="244"/>
      <c r="J52" s="244"/>
      <c r="K52" s="244"/>
      <c r="L52" s="244"/>
      <c r="M52" s="244"/>
      <c r="N52" s="244"/>
      <c r="O52" s="244"/>
      <c r="P52" s="244"/>
      <c r="Q52" s="244"/>
      <c r="R52" s="244"/>
      <c r="S52" s="244"/>
      <c r="T52" s="244"/>
      <c r="U52" s="244"/>
      <c r="V52" s="244"/>
      <c r="W52" s="244"/>
      <c r="X52" s="244"/>
      <c r="Y52" s="244"/>
      <c r="Z52" s="244"/>
    </row>
    <row r="53" hidden="1">
      <c r="A53" s="249" t="s">
        <v>333</v>
      </c>
      <c r="B53" s="249"/>
      <c r="C53" s="250">
        <v>16.0</v>
      </c>
      <c r="D53" s="244"/>
      <c r="E53" s="244"/>
      <c r="F53" s="244"/>
      <c r="G53" s="244"/>
      <c r="H53" s="244"/>
      <c r="I53" s="244"/>
      <c r="J53" s="244"/>
      <c r="K53" s="244"/>
      <c r="L53" s="244"/>
      <c r="M53" s="244"/>
      <c r="N53" s="244"/>
      <c r="O53" s="244"/>
      <c r="P53" s="244"/>
      <c r="Q53" s="244"/>
      <c r="R53" s="244"/>
      <c r="S53" s="244"/>
      <c r="T53" s="244"/>
      <c r="U53" s="244"/>
      <c r="V53" s="244"/>
      <c r="W53" s="244"/>
      <c r="X53" s="244"/>
      <c r="Y53" s="244"/>
      <c r="Z53" s="244"/>
    </row>
    <row r="54" hidden="1">
      <c r="A54" s="249" t="s">
        <v>334</v>
      </c>
      <c r="B54" s="249"/>
      <c r="C54" s="250">
        <v>17.0</v>
      </c>
      <c r="D54" s="244"/>
      <c r="E54" s="244"/>
      <c r="F54" s="244"/>
      <c r="G54" s="244"/>
      <c r="H54" s="244"/>
      <c r="I54" s="244"/>
      <c r="J54" s="244"/>
      <c r="K54" s="244"/>
      <c r="L54" s="244"/>
      <c r="M54" s="244"/>
      <c r="N54" s="244"/>
      <c r="O54" s="244"/>
      <c r="P54" s="244"/>
      <c r="Q54" s="244"/>
      <c r="R54" s="244"/>
      <c r="S54" s="244"/>
      <c r="T54" s="244"/>
      <c r="U54" s="244"/>
      <c r="V54" s="244"/>
      <c r="W54" s="244"/>
      <c r="X54" s="244"/>
      <c r="Y54" s="244"/>
      <c r="Z54" s="244"/>
    </row>
    <row r="55" hidden="1">
      <c r="A55" s="249" t="s">
        <v>335</v>
      </c>
      <c r="B55" s="249"/>
      <c r="C55" s="250">
        <v>18.0</v>
      </c>
      <c r="D55" s="244"/>
      <c r="E55" s="244"/>
      <c r="F55" s="244"/>
      <c r="G55" s="244"/>
      <c r="H55" s="244"/>
      <c r="I55" s="244"/>
      <c r="J55" s="244"/>
      <c r="K55" s="244"/>
      <c r="L55" s="244"/>
      <c r="M55" s="244"/>
      <c r="N55" s="244"/>
      <c r="O55" s="244"/>
      <c r="P55" s="244"/>
      <c r="Q55" s="244"/>
      <c r="R55" s="244"/>
      <c r="S55" s="244"/>
      <c r="T55" s="244"/>
      <c r="U55" s="244"/>
      <c r="V55" s="244"/>
      <c r="W55" s="244"/>
      <c r="X55" s="244"/>
      <c r="Y55" s="244"/>
      <c r="Z55" s="244"/>
    </row>
    <row r="56" hidden="1">
      <c r="A56" s="249" t="s">
        <v>336</v>
      </c>
      <c r="B56" s="249"/>
      <c r="C56" s="250">
        <v>19.0</v>
      </c>
      <c r="D56" s="244"/>
      <c r="E56" s="244"/>
      <c r="F56" s="244"/>
      <c r="G56" s="244"/>
      <c r="H56" s="244"/>
      <c r="I56" s="244"/>
      <c r="J56" s="244"/>
      <c r="K56" s="244"/>
      <c r="L56" s="244"/>
      <c r="M56" s="244"/>
      <c r="N56" s="244"/>
      <c r="O56" s="244"/>
      <c r="P56" s="244"/>
      <c r="Q56" s="244"/>
      <c r="R56" s="244"/>
      <c r="S56" s="244"/>
      <c r="T56" s="244"/>
      <c r="U56" s="244"/>
      <c r="V56" s="244"/>
      <c r="W56" s="244"/>
      <c r="X56" s="244"/>
      <c r="Y56" s="244"/>
      <c r="Z56" s="244"/>
    </row>
    <row r="57" hidden="1">
      <c r="A57" s="249" t="s">
        <v>337</v>
      </c>
      <c r="B57" s="249"/>
      <c r="C57" s="250">
        <v>20.0</v>
      </c>
      <c r="D57" s="244"/>
      <c r="E57" s="244"/>
      <c r="F57" s="244"/>
      <c r="G57" s="244"/>
      <c r="H57" s="244"/>
      <c r="I57" s="244"/>
      <c r="J57" s="244"/>
      <c r="K57" s="244"/>
      <c r="L57" s="244"/>
      <c r="M57" s="244"/>
      <c r="N57" s="244"/>
      <c r="O57" s="244"/>
      <c r="P57" s="244"/>
      <c r="Q57" s="244"/>
      <c r="R57" s="244"/>
      <c r="S57" s="244"/>
      <c r="T57" s="244"/>
      <c r="U57" s="244"/>
      <c r="V57" s="244"/>
      <c r="W57" s="244"/>
      <c r="X57" s="244"/>
      <c r="Y57" s="244"/>
      <c r="Z57" s="244"/>
    </row>
    <row r="58" hidden="1">
      <c r="A58" s="249" t="s">
        <v>338</v>
      </c>
      <c r="B58" s="249"/>
      <c r="C58" s="250">
        <v>21.0</v>
      </c>
      <c r="D58" s="244"/>
      <c r="E58" s="244"/>
      <c r="F58" s="244"/>
      <c r="G58" s="244"/>
      <c r="H58" s="244"/>
      <c r="I58" s="244"/>
      <c r="J58" s="244"/>
      <c r="K58" s="244"/>
      <c r="L58" s="244"/>
      <c r="M58" s="244"/>
      <c r="N58" s="244"/>
      <c r="O58" s="244"/>
      <c r="P58" s="244"/>
      <c r="Q58" s="244"/>
      <c r="R58" s="244"/>
      <c r="S58" s="244"/>
      <c r="T58" s="244"/>
      <c r="U58" s="244"/>
      <c r="V58" s="244"/>
      <c r="W58" s="244"/>
      <c r="X58" s="244"/>
      <c r="Y58" s="244"/>
      <c r="Z58" s="244"/>
    </row>
    <row r="59" hidden="1">
      <c r="A59" s="249" t="s">
        <v>339</v>
      </c>
      <c r="B59" s="249"/>
      <c r="C59" s="250">
        <v>22.0</v>
      </c>
      <c r="D59" s="244"/>
      <c r="E59" s="244"/>
      <c r="F59" s="244"/>
      <c r="G59" s="244"/>
      <c r="H59" s="244"/>
      <c r="I59" s="244"/>
      <c r="J59" s="244"/>
      <c r="K59" s="244"/>
      <c r="L59" s="244"/>
      <c r="M59" s="244"/>
      <c r="N59" s="244"/>
      <c r="O59" s="244"/>
      <c r="P59" s="244"/>
      <c r="Q59" s="244"/>
      <c r="R59" s="244"/>
      <c r="S59" s="244"/>
      <c r="T59" s="244"/>
      <c r="U59" s="244"/>
      <c r="V59" s="244"/>
      <c r="W59" s="244"/>
      <c r="X59" s="244"/>
      <c r="Y59" s="244"/>
      <c r="Z59" s="244"/>
    </row>
    <row r="60" hidden="1">
      <c r="A60" s="249" t="s">
        <v>340</v>
      </c>
      <c r="B60" s="249"/>
      <c r="C60" s="250">
        <v>23.0</v>
      </c>
      <c r="D60" s="244"/>
      <c r="E60" s="244"/>
      <c r="F60" s="244"/>
      <c r="G60" s="244"/>
      <c r="H60" s="244"/>
      <c r="I60" s="244"/>
      <c r="J60" s="244"/>
      <c r="K60" s="244"/>
      <c r="L60" s="244"/>
      <c r="M60" s="244"/>
      <c r="N60" s="244"/>
      <c r="O60" s="244"/>
      <c r="P60" s="244"/>
      <c r="Q60" s="244"/>
      <c r="R60" s="244"/>
      <c r="S60" s="244"/>
      <c r="T60" s="244"/>
      <c r="U60" s="244"/>
      <c r="V60" s="244"/>
      <c r="W60" s="244"/>
      <c r="X60" s="244"/>
      <c r="Y60" s="244"/>
      <c r="Z60" s="244"/>
    </row>
    <row r="61" hidden="1">
      <c r="A61" s="249" t="s">
        <v>341</v>
      </c>
      <c r="B61" s="249"/>
      <c r="C61" s="250">
        <v>24.0</v>
      </c>
      <c r="D61" s="244"/>
      <c r="E61" s="244"/>
      <c r="F61" s="244"/>
      <c r="G61" s="244"/>
      <c r="H61" s="244"/>
      <c r="I61" s="244"/>
      <c r="J61" s="244"/>
      <c r="K61" s="244"/>
      <c r="L61" s="244"/>
      <c r="M61" s="244"/>
      <c r="N61" s="244"/>
      <c r="O61" s="244"/>
      <c r="P61" s="244"/>
      <c r="Q61" s="244"/>
      <c r="R61" s="244"/>
      <c r="S61" s="244"/>
      <c r="T61" s="244"/>
      <c r="U61" s="244"/>
      <c r="V61" s="244"/>
      <c r="W61" s="244"/>
      <c r="X61" s="244"/>
      <c r="Y61" s="244"/>
      <c r="Z61" s="244"/>
    </row>
    <row r="62" hidden="1">
      <c r="A62" s="249" t="s">
        <v>342</v>
      </c>
      <c r="B62" s="249"/>
      <c r="C62" s="250">
        <v>25.0</v>
      </c>
      <c r="D62" s="244"/>
      <c r="E62" s="244"/>
      <c r="F62" s="244"/>
      <c r="G62" s="244"/>
      <c r="H62" s="244"/>
      <c r="I62" s="244"/>
      <c r="J62" s="244"/>
      <c r="K62" s="244"/>
      <c r="L62" s="244"/>
      <c r="M62" s="244"/>
      <c r="N62" s="244"/>
      <c r="O62" s="244"/>
      <c r="P62" s="244"/>
      <c r="Q62" s="244"/>
      <c r="R62" s="244"/>
      <c r="S62" s="244"/>
      <c r="T62" s="244"/>
      <c r="U62" s="244"/>
      <c r="V62" s="244"/>
      <c r="W62" s="244"/>
      <c r="X62" s="244"/>
      <c r="Y62" s="244"/>
      <c r="Z62" s="244"/>
    </row>
    <row r="63" hidden="1">
      <c r="A63" s="249" t="s">
        <v>343</v>
      </c>
      <c r="B63" s="249"/>
      <c r="C63" s="250">
        <v>26.0</v>
      </c>
      <c r="D63" s="244"/>
      <c r="E63" s="244"/>
      <c r="F63" s="244"/>
      <c r="G63" s="244"/>
      <c r="H63" s="244"/>
      <c r="I63" s="244"/>
      <c r="J63" s="244"/>
      <c r="K63" s="244"/>
      <c r="L63" s="244"/>
      <c r="M63" s="244"/>
      <c r="N63" s="244"/>
      <c r="O63" s="244"/>
      <c r="P63" s="244"/>
      <c r="Q63" s="244"/>
      <c r="R63" s="244"/>
      <c r="S63" s="244"/>
      <c r="T63" s="244"/>
      <c r="U63" s="244"/>
      <c r="V63" s="244"/>
      <c r="W63" s="244"/>
      <c r="X63" s="244"/>
      <c r="Y63" s="244"/>
      <c r="Z63" s="244"/>
    </row>
    <row r="64" hidden="1">
      <c r="A64" s="249" t="s">
        <v>344</v>
      </c>
      <c r="B64" s="249"/>
      <c r="C64" s="250">
        <v>27.0</v>
      </c>
      <c r="D64" s="244"/>
      <c r="E64" s="244"/>
      <c r="F64" s="244"/>
      <c r="G64" s="244"/>
      <c r="H64" s="244"/>
      <c r="I64" s="244"/>
      <c r="J64" s="244"/>
      <c r="K64" s="244"/>
      <c r="L64" s="244"/>
      <c r="M64" s="244"/>
      <c r="N64" s="244"/>
      <c r="O64" s="244"/>
      <c r="P64" s="244"/>
      <c r="Q64" s="244"/>
      <c r="R64" s="244"/>
      <c r="S64" s="244"/>
      <c r="T64" s="244"/>
      <c r="U64" s="244"/>
      <c r="V64" s="244"/>
      <c r="W64" s="244"/>
      <c r="X64" s="244"/>
      <c r="Y64" s="244"/>
      <c r="Z64" s="244"/>
    </row>
    <row r="65" hidden="1">
      <c r="A65" s="249" t="s">
        <v>345</v>
      </c>
      <c r="B65" s="249"/>
      <c r="C65" s="250">
        <v>28.0</v>
      </c>
      <c r="D65" s="244"/>
      <c r="E65" s="244"/>
      <c r="F65" s="244"/>
      <c r="G65" s="244"/>
      <c r="H65" s="244"/>
      <c r="I65" s="244"/>
      <c r="J65" s="244"/>
      <c r="K65" s="244"/>
      <c r="L65" s="244"/>
      <c r="M65" s="244"/>
      <c r="N65" s="244"/>
      <c r="O65" s="244"/>
      <c r="P65" s="244"/>
      <c r="Q65" s="244"/>
      <c r="R65" s="244"/>
      <c r="S65" s="244"/>
      <c r="T65" s="244"/>
      <c r="U65" s="244"/>
      <c r="V65" s="244"/>
      <c r="W65" s="244"/>
      <c r="X65" s="244"/>
      <c r="Y65" s="244"/>
      <c r="Z65" s="244"/>
    </row>
    <row r="66" hidden="1">
      <c r="A66" s="249"/>
      <c r="B66" s="249"/>
      <c r="C66" s="250"/>
      <c r="D66" s="244"/>
      <c r="E66" s="244"/>
      <c r="F66" s="244"/>
      <c r="G66" s="244"/>
      <c r="H66" s="244"/>
      <c r="I66" s="244"/>
      <c r="J66" s="244"/>
      <c r="K66" s="244"/>
      <c r="L66" s="244"/>
      <c r="M66" s="244"/>
      <c r="N66" s="244"/>
      <c r="O66" s="244"/>
      <c r="P66" s="244"/>
      <c r="Q66" s="244"/>
      <c r="R66" s="244"/>
      <c r="S66" s="244"/>
      <c r="T66" s="244"/>
      <c r="U66" s="244"/>
      <c r="V66" s="244"/>
      <c r="W66" s="244"/>
      <c r="X66" s="244"/>
      <c r="Y66" s="244"/>
      <c r="Z66" s="244"/>
    </row>
    <row r="67" hidden="1">
      <c r="A67" s="249"/>
      <c r="B67" s="249"/>
      <c r="C67" s="250"/>
      <c r="D67" s="244"/>
      <c r="E67" s="244"/>
      <c r="F67" s="244"/>
      <c r="G67" s="244"/>
      <c r="H67" s="244"/>
      <c r="I67" s="244"/>
      <c r="J67" s="244"/>
      <c r="K67" s="244"/>
      <c r="L67" s="244"/>
      <c r="M67" s="244"/>
      <c r="N67" s="244"/>
      <c r="O67" s="244"/>
      <c r="P67" s="244"/>
      <c r="Q67" s="244"/>
      <c r="R67" s="244"/>
      <c r="S67" s="244"/>
      <c r="T67" s="244"/>
      <c r="U67" s="244"/>
      <c r="V67" s="244"/>
      <c r="W67" s="244"/>
      <c r="X67" s="244"/>
      <c r="Y67" s="244"/>
      <c r="Z67" s="244"/>
    </row>
    <row r="68" hidden="1">
      <c r="A68" s="249"/>
      <c r="B68" s="249"/>
      <c r="C68" s="250"/>
      <c r="D68" s="244"/>
      <c r="E68" s="244"/>
      <c r="F68" s="244"/>
      <c r="G68" s="244"/>
      <c r="H68" s="244"/>
      <c r="I68" s="244"/>
      <c r="J68" s="244"/>
      <c r="K68" s="244"/>
      <c r="L68" s="244"/>
      <c r="M68" s="244"/>
      <c r="N68" s="244"/>
      <c r="O68" s="244"/>
      <c r="P68" s="244"/>
      <c r="Q68" s="244"/>
      <c r="R68" s="244"/>
      <c r="S68" s="244"/>
      <c r="T68" s="244"/>
      <c r="U68" s="244"/>
      <c r="V68" s="244"/>
      <c r="W68" s="244"/>
      <c r="X68" s="244"/>
      <c r="Y68" s="244"/>
      <c r="Z68" s="244"/>
    </row>
    <row r="69" hidden="1">
      <c r="A69" s="249"/>
      <c r="B69" s="249"/>
      <c r="C69" s="250"/>
      <c r="D69" s="244"/>
      <c r="E69" s="244"/>
      <c r="F69" s="244"/>
      <c r="G69" s="244"/>
      <c r="H69" s="244"/>
      <c r="I69" s="244"/>
      <c r="J69" s="244"/>
      <c r="K69" s="244"/>
      <c r="L69" s="244"/>
      <c r="M69" s="244"/>
      <c r="N69" s="244"/>
      <c r="O69" s="244"/>
      <c r="P69" s="244"/>
      <c r="Q69" s="244"/>
      <c r="R69" s="244"/>
      <c r="S69" s="244"/>
      <c r="T69" s="244"/>
      <c r="U69" s="244"/>
      <c r="V69" s="244"/>
      <c r="W69" s="244"/>
      <c r="X69" s="244"/>
      <c r="Y69" s="244"/>
      <c r="Z69" s="244"/>
    </row>
    <row r="70" hidden="1">
      <c r="A70" s="249"/>
      <c r="B70" s="249"/>
      <c r="C70" s="250"/>
      <c r="D70" s="244"/>
      <c r="E70" s="244"/>
      <c r="F70" s="244"/>
      <c r="G70" s="244"/>
      <c r="H70" s="244"/>
      <c r="I70" s="244"/>
      <c r="J70" s="244"/>
      <c r="K70" s="244"/>
      <c r="L70" s="244"/>
      <c r="M70" s="244"/>
      <c r="N70" s="244"/>
      <c r="O70" s="244"/>
      <c r="P70" s="244"/>
      <c r="Q70" s="244"/>
      <c r="R70" s="244"/>
      <c r="S70" s="244"/>
      <c r="T70" s="244"/>
      <c r="U70" s="244"/>
      <c r="V70" s="244"/>
      <c r="W70" s="244"/>
      <c r="X70" s="244"/>
      <c r="Y70" s="244"/>
      <c r="Z70" s="244"/>
    </row>
    <row r="71" hidden="1">
      <c r="A71" s="249"/>
      <c r="B71" s="249"/>
      <c r="C71" s="250"/>
      <c r="D71" s="244"/>
      <c r="E71" s="244"/>
      <c r="F71" s="244"/>
      <c r="G71" s="244"/>
      <c r="H71" s="244"/>
      <c r="I71" s="244"/>
      <c r="J71" s="244"/>
      <c r="K71" s="244"/>
      <c r="L71" s="244"/>
      <c r="M71" s="244"/>
      <c r="N71" s="244"/>
      <c r="O71" s="244"/>
      <c r="P71" s="244"/>
      <c r="Q71" s="244"/>
      <c r="R71" s="244"/>
      <c r="S71" s="244"/>
      <c r="T71" s="244"/>
      <c r="U71" s="244"/>
      <c r="V71" s="244"/>
      <c r="W71" s="244"/>
      <c r="X71" s="244"/>
      <c r="Y71" s="244"/>
      <c r="Z71" s="244"/>
    </row>
    <row r="72" hidden="1">
      <c r="A72" s="249"/>
      <c r="B72" s="249"/>
      <c r="C72" s="250"/>
      <c r="D72" s="244"/>
      <c r="E72" s="244"/>
      <c r="F72" s="244"/>
      <c r="G72" s="244"/>
      <c r="H72" s="244"/>
      <c r="I72" s="244"/>
      <c r="J72" s="244"/>
      <c r="K72" s="244"/>
      <c r="L72" s="244"/>
      <c r="M72" s="244"/>
      <c r="N72" s="244"/>
      <c r="O72" s="244"/>
      <c r="P72" s="244"/>
      <c r="Q72" s="244"/>
      <c r="R72" s="244"/>
      <c r="S72" s="244"/>
      <c r="T72" s="244"/>
      <c r="U72" s="244"/>
      <c r="V72" s="244"/>
      <c r="W72" s="244"/>
      <c r="X72" s="244"/>
      <c r="Y72" s="244"/>
      <c r="Z72" s="244"/>
    </row>
    <row r="73" hidden="1">
      <c r="A73" s="249"/>
      <c r="B73" s="249"/>
      <c r="C73" s="250"/>
      <c r="D73" s="244"/>
      <c r="E73" s="244"/>
      <c r="F73" s="244"/>
      <c r="G73" s="244"/>
      <c r="H73" s="244"/>
      <c r="I73" s="244"/>
      <c r="J73" s="244"/>
      <c r="K73" s="244"/>
      <c r="L73" s="244"/>
      <c r="M73" s="244"/>
      <c r="N73" s="244"/>
      <c r="O73" s="244"/>
      <c r="P73" s="244"/>
      <c r="Q73" s="244"/>
      <c r="R73" s="244"/>
      <c r="S73" s="244"/>
      <c r="T73" s="244"/>
      <c r="U73" s="244"/>
      <c r="V73" s="244"/>
      <c r="W73" s="244"/>
      <c r="X73" s="244"/>
      <c r="Y73" s="244"/>
      <c r="Z73" s="244"/>
    </row>
    <row r="74" hidden="1">
      <c r="A74" s="249"/>
      <c r="B74" s="249"/>
      <c r="C74" s="250"/>
      <c r="D74" s="244"/>
      <c r="E74" s="244"/>
      <c r="F74" s="244"/>
      <c r="G74" s="244"/>
      <c r="H74" s="244"/>
      <c r="I74" s="244"/>
      <c r="J74" s="244"/>
      <c r="K74" s="244"/>
      <c r="L74" s="244"/>
      <c r="M74" s="244"/>
      <c r="N74" s="244"/>
      <c r="O74" s="244"/>
      <c r="P74" s="244"/>
      <c r="Q74" s="244"/>
      <c r="R74" s="244"/>
      <c r="S74" s="244"/>
      <c r="T74" s="244"/>
      <c r="U74" s="244"/>
      <c r="V74" s="244"/>
      <c r="W74" s="244"/>
      <c r="X74" s="244"/>
      <c r="Y74" s="244"/>
      <c r="Z74" s="244"/>
    </row>
    <row r="75" hidden="1">
      <c r="A75" s="249"/>
      <c r="B75" s="249"/>
      <c r="C75" s="250"/>
      <c r="D75" s="244"/>
      <c r="E75" s="244"/>
      <c r="F75" s="244"/>
      <c r="G75" s="244"/>
      <c r="H75" s="244"/>
      <c r="I75" s="244"/>
      <c r="J75" s="244"/>
      <c r="K75" s="244"/>
      <c r="L75" s="244"/>
      <c r="M75" s="244"/>
      <c r="N75" s="244"/>
      <c r="O75" s="244"/>
      <c r="P75" s="244"/>
      <c r="Q75" s="244"/>
      <c r="R75" s="244"/>
      <c r="S75" s="244"/>
      <c r="T75" s="244"/>
      <c r="U75" s="244"/>
      <c r="V75" s="244"/>
      <c r="W75" s="244"/>
      <c r="X75" s="244"/>
      <c r="Y75" s="244"/>
      <c r="Z75" s="244"/>
    </row>
    <row r="76" hidden="1">
      <c r="A76" s="249"/>
      <c r="B76" s="249"/>
      <c r="C76" s="250"/>
      <c r="D76" s="244"/>
      <c r="E76" s="244"/>
      <c r="F76" s="244"/>
      <c r="G76" s="244"/>
      <c r="H76" s="244"/>
      <c r="I76" s="244"/>
      <c r="J76" s="244"/>
      <c r="K76" s="244"/>
      <c r="L76" s="244"/>
      <c r="M76" s="244"/>
      <c r="N76" s="244"/>
      <c r="O76" s="244"/>
      <c r="P76" s="244"/>
      <c r="Q76" s="244"/>
      <c r="R76" s="244"/>
      <c r="S76" s="244"/>
      <c r="T76" s="244"/>
      <c r="U76" s="244"/>
      <c r="V76" s="244"/>
      <c r="W76" s="244"/>
      <c r="X76" s="244"/>
      <c r="Y76" s="244"/>
      <c r="Z76" s="244"/>
    </row>
    <row r="77" hidden="1">
      <c r="A77" s="249"/>
      <c r="B77" s="249"/>
      <c r="C77" s="250"/>
      <c r="D77" s="244"/>
      <c r="E77" s="244"/>
      <c r="F77" s="244"/>
      <c r="G77" s="244"/>
      <c r="H77" s="244"/>
      <c r="I77" s="244"/>
      <c r="J77" s="244"/>
      <c r="K77" s="244"/>
      <c r="L77" s="244"/>
      <c r="M77" s="244"/>
      <c r="N77" s="244"/>
      <c r="O77" s="244"/>
      <c r="P77" s="244"/>
      <c r="Q77" s="244"/>
      <c r="R77" s="244"/>
      <c r="S77" s="244"/>
      <c r="T77" s="244"/>
      <c r="U77" s="244"/>
      <c r="V77" s="244"/>
      <c r="W77" s="244"/>
      <c r="X77" s="244"/>
      <c r="Y77" s="244"/>
      <c r="Z77" s="244"/>
    </row>
    <row r="78" hidden="1">
      <c r="A78" s="249"/>
      <c r="B78" s="249"/>
      <c r="C78" s="250"/>
      <c r="D78" s="244"/>
      <c r="E78" s="244"/>
      <c r="F78" s="244"/>
      <c r="G78" s="244"/>
      <c r="H78" s="244"/>
      <c r="I78" s="244"/>
      <c r="J78" s="244"/>
      <c r="K78" s="244"/>
      <c r="L78" s="244"/>
      <c r="M78" s="244"/>
      <c r="N78" s="244"/>
      <c r="O78" s="244"/>
      <c r="P78" s="244"/>
      <c r="Q78" s="244"/>
      <c r="R78" s="244"/>
      <c r="S78" s="244"/>
      <c r="T78" s="244"/>
      <c r="U78" s="244"/>
      <c r="V78" s="244"/>
      <c r="W78" s="244"/>
      <c r="X78" s="244"/>
      <c r="Y78" s="244"/>
      <c r="Z78" s="244"/>
    </row>
    <row r="79" hidden="1">
      <c r="A79" s="249"/>
      <c r="B79" s="249"/>
      <c r="C79" s="250"/>
      <c r="D79" s="244"/>
      <c r="E79" s="244"/>
      <c r="F79" s="244"/>
      <c r="G79" s="244"/>
      <c r="H79" s="244"/>
      <c r="I79" s="244"/>
      <c r="J79" s="244"/>
      <c r="K79" s="244"/>
      <c r="L79" s="244"/>
      <c r="M79" s="244"/>
      <c r="N79" s="244"/>
      <c r="O79" s="244"/>
      <c r="P79" s="244"/>
      <c r="Q79" s="244"/>
      <c r="R79" s="244"/>
      <c r="S79" s="244"/>
      <c r="T79" s="244"/>
      <c r="U79" s="244"/>
      <c r="V79" s="244"/>
      <c r="W79" s="244"/>
      <c r="X79" s="244"/>
      <c r="Y79" s="244"/>
      <c r="Z79" s="244"/>
    </row>
    <row r="80" hidden="1">
      <c r="A80" s="249"/>
      <c r="B80" s="249"/>
      <c r="C80" s="250"/>
      <c r="D80" s="244"/>
      <c r="E80" s="244"/>
      <c r="F80" s="244"/>
      <c r="G80" s="244"/>
      <c r="H80" s="244"/>
      <c r="I80" s="244"/>
      <c r="J80" s="244"/>
      <c r="K80" s="244"/>
      <c r="L80" s="244"/>
      <c r="M80" s="244"/>
      <c r="N80" s="244"/>
      <c r="O80" s="244"/>
      <c r="P80" s="244"/>
      <c r="Q80" s="244"/>
      <c r="R80" s="244"/>
      <c r="S80" s="244"/>
      <c r="T80" s="244"/>
      <c r="U80" s="244"/>
      <c r="V80" s="244"/>
      <c r="W80" s="244"/>
      <c r="X80" s="244"/>
      <c r="Y80" s="244"/>
      <c r="Z80" s="244"/>
    </row>
    <row r="81" hidden="1">
      <c r="A81" s="249"/>
      <c r="B81" s="249"/>
      <c r="C81" s="250"/>
      <c r="D81" s="244"/>
      <c r="E81" s="244"/>
      <c r="F81" s="244"/>
      <c r="G81" s="244"/>
      <c r="H81" s="244"/>
      <c r="I81" s="244"/>
      <c r="J81" s="244"/>
      <c r="K81" s="244"/>
      <c r="L81" s="244"/>
      <c r="M81" s="244"/>
      <c r="N81" s="244"/>
      <c r="O81" s="244"/>
      <c r="P81" s="244"/>
      <c r="Q81" s="244"/>
      <c r="R81" s="244"/>
      <c r="S81" s="244"/>
      <c r="T81" s="244"/>
      <c r="U81" s="244"/>
      <c r="V81" s="244"/>
      <c r="W81" s="244"/>
      <c r="X81" s="244"/>
      <c r="Y81" s="244"/>
      <c r="Z81" s="244"/>
    </row>
    <row r="82" hidden="1">
      <c r="A82" s="249"/>
      <c r="B82" s="249"/>
      <c r="C82" s="250"/>
      <c r="D82" s="244"/>
      <c r="E82" s="244"/>
      <c r="F82" s="244"/>
      <c r="G82" s="244"/>
      <c r="H82" s="244"/>
      <c r="I82" s="244"/>
      <c r="J82" s="244"/>
      <c r="K82" s="244"/>
      <c r="L82" s="244"/>
      <c r="M82" s="244"/>
      <c r="N82" s="244"/>
      <c r="O82" s="244"/>
      <c r="P82" s="244"/>
      <c r="Q82" s="244"/>
      <c r="R82" s="244"/>
      <c r="S82" s="244"/>
      <c r="T82" s="244"/>
      <c r="U82" s="244"/>
      <c r="V82" s="244"/>
      <c r="W82" s="244"/>
      <c r="X82" s="244"/>
      <c r="Y82" s="244"/>
      <c r="Z82" s="244"/>
    </row>
    <row r="83" hidden="1">
      <c r="A83" s="249"/>
      <c r="B83" s="249"/>
      <c r="C83" s="250"/>
      <c r="D83" s="244"/>
      <c r="E83" s="244"/>
      <c r="F83" s="244"/>
      <c r="G83" s="244"/>
      <c r="H83" s="244"/>
      <c r="I83" s="244"/>
      <c r="J83" s="244"/>
      <c r="K83" s="244"/>
      <c r="L83" s="244"/>
      <c r="M83" s="244"/>
      <c r="N83" s="244"/>
      <c r="O83" s="244"/>
      <c r="P83" s="244"/>
      <c r="Q83" s="244"/>
      <c r="R83" s="244"/>
      <c r="S83" s="244"/>
      <c r="T83" s="244"/>
      <c r="U83" s="244"/>
      <c r="V83" s="244"/>
      <c r="W83" s="244"/>
      <c r="X83" s="244"/>
      <c r="Y83" s="244"/>
      <c r="Z83" s="244"/>
    </row>
    <row r="84" hidden="1">
      <c r="A84" s="249"/>
      <c r="B84" s="249"/>
      <c r="C84" s="250"/>
      <c r="D84" s="244"/>
      <c r="E84" s="244"/>
      <c r="F84" s="244"/>
      <c r="G84" s="244"/>
      <c r="H84" s="244"/>
      <c r="I84" s="244"/>
      <c r="J84" s="244"/>
      <c r="K84" s="244"/>
      <c r="L84" s="244"/>
      <c r="M84" s="244"/>
      <c r="N84" s="244"/>
      <c r="O84" s="244"/>
      <c r="P84" s="244"/>
      <c r="Q84" s="244"/>
      <c r="R84" s="244"/>
      <c r="S84" s="244"/>
      <c r="T84" s="244"/>
      <c r="U84" s="244"/>
      <c r="V84" s="244"/>
      <c r="W84" s="244"/>
      <c r="X84" s="244"/>
      <c r="Y84" s="244"/>
      <c r="Z84" s="244"/>
    </row>
    <row r="85" hidden="1">
      <c r="A85" s="249"/>
      <c r="B85" s="249"/>
      <c r="C85" s="250"/>
      <c r="D85" s="244"/>
      <c r="E85" s="244"/>
      <c r="F85" s="244"/>
      <c r="G85" s="244"/>
      <c r="H85" s="244"/>
      <c r="I85" s="244"/>
      <c r="J85" s="244"/>
      <c r="K85" s="244"/>
      <c r="L85" s="244"/>
      <c r="M85" s="244"/>
      <c r="N85" s="244"/>
      <c r="O85" s="244"/>
      <c r="P85" s="244"/>
      <c r="Q85" s="244"/>
      <c r="R85" s="244"/>
      <c r="S85" s="244"/>
      <c r="T85" s="244"/>
      <c r="U85" s="244"/>
      <c r="V85" s="244"/>
      <c r="W85" s="244"/>
      <c r="X85" s="244"/>
      <c r="Y85" s="244"/>
      <c r="Z85" s="244"/>
    </row>
    <row r="86" hidden="1">
      <c r="A86" s="249"/>
      <c r="B86" s="249"/>
      <c r="C86" s="250"/>
      <c r="D86" s="244"/>
      <c r="E86" s="244"/>
      <c r="F86" s="244"/>
      <c r="G86" s="244"/>
      <c r="H86" s="244"/>
      <c r="I86" s="244"/>
      <c r="J86" s="244"/>
      <c r="K86" s="244"/>
      <c r="L86" s="244"/>
      <c r="M86" s="244"/>
      <c r="N86" s="244"/>
      <c r="O86" s="244"/>
      <c r="P86" s="244"/>
      <c r="Q86" s="244"/>
      <c r="R86" s="244"/>
      <c r="S86" s="244"/>
      <c r="T86" s="244"/>
      <c r="U86" s="244"/>
      <c r="V86" s="244"/>
      <c r="W86" s="244"/>
      <c r="X86" s="244"/>
      <c r="Y86" s="244"/>
      <c r="Z86" s="244"/>
    </row>
    <row r="87" hidden="1">
      <c r="A87" s="249"/>
      <c r="B87" s="249"/>
      <c r="C87" s="250"/>
      <c r="D87" s="244"/>
      <c r="E87" s="244"/>
      <c r="F87" s="244"/>
      <c r="G87" s="244"/>
      <c r="H87" s="244"/>
      <c r="I87" s="244"/>
      <c r="J87" s="244"/>
      <c r="K87" s="244"/>
      <c r="L87" s="244"/>
      <c r="M87" s="244"/>
      <c r="N87" s="244"/>
      <c r="O87" s="244"/>
      <c r="P87" s="244"/>
      <c r="Q87" s="244"/>
      <c r="R87" s="244"/>
      <c r="S87" s="244"/>
      <c r="T87" s="244"/>
      <c r="U87" s="244"/>
      <c r="V87" s="244"/>
      <c r="W87" s="244"/>
      <c r="X87" s="244"/>
      <c r="Y87" s="244"/>
      <c r="Z87" s="244"/>
    </row>
    <row r="88" hidden="1">
      <c r="A88" s="249"/>
      <c r="B88" s="249"/>
      <c r="C88" s="250"/>
      <c r="D88" s="244"/>
      <c r="E88" s="244"/>
      <c r="F88" s="244"/>
      <c r="G88" s="244"/>
      <c r="H88" s="244"/>
      <c r="I88" s="244"/>
      <c r="J88" s="244"/>
      <c r="K88" s="244"/>
      <c r="L88" s="244"/>
      <c r="M88" s="244"/>
      <c r="N88" s="244"/>
      <c r="O88" s="244"/>
      <c r="P88" s="244"/>
      <c r="Q88" s="244"/>
      <c r="R88" s="244"/>
      <c r="S88" s="244"/>
      <c r="T88" s="244"/>
      <c r="U88" s="244"/>
      <c r="V88" s="244"/>
      <c r="W88" s="244"/>
      <c r="X88" s="244"/>
      <c r="Y88" s="244"/>
      <c r="Z88" s="244"/>
    </row>
    <row r="89" hidden="1">
      <c r="A89" s="249"/>
      <c r="B89" s="249"/>
      <c r="C89" s="250"/>
      <c r="D89" s="244"/>
      <c r="E89" s="244"/>
      <c r="F89" s="244"/>
      <c r="G89" s="244"/>
      <c r="H89" s="244"/>
      <c r="I89" s="244"/>
      <c r="J89" s="244"/>
      <c r="K89" s="244"/>
      <c r="L89" s="244"/>
      <c r="M89" s="244"/>
      <c r="N89" s="244"/>
      <c r="O89" s="244"/>
      <c r="P89" s="244"/>
      <c r="Q89" s="244"/>
      <c r="R89" s="244"/>
      <c r="S89" s="244"/>
      <c r="T89" s="244"/>
      <c r="U89" s="244"/>
      <c r="V89" s="244"/>
      <c r="W89" s="244"/>
      <c r="X89" s="244"/>
      <c r="Y89" s="244"/>
      <c r="Z89" s="244"/>
    </row>
    <row r="90" hidden="1">
      <c r="A90" s="249"/>
      <c r="B90" s="249"/>
      <c r="C90" s="250"/>
      <c r="D90" s="244"/>
      <c r="E90" s="244"/>
      <c r="F90" s="244"/>
      <c r="G90" s="244"/>
      <c r="H90" s="244"/>
      <c r="I90" s="244"/>
      <c r="J90" s="244"/>
      <c r="K90" s="244"/>
      <c r="L90" s="244"/>
      <c r="M90" s="244"/>
      <c r="N90" s="244"/>
      <c r="O90" s="244"/>
      <c r="P90" s="244"/>
      <c r="Q90" s="244"/>
      <c r="R90" s="244"/>
      <c r="S90" s="244"/>
      <c r="T90" s="244"/>
      <c r="U90" s="244"/>
      <c r="V90" s="244"/>
      <c r="W90" s="244"/>
      <c r="X90" s="244"/>
      <c r="Y90" s="244"/>
      <c r="Z90" s="244"/>
    </row>
    <row r="91" hidden="1">
      <c r="A91" s="249"/>
      <c r="B91" s="249"/>
      <c r="C91" s="250"/>
      <c r="D91" s="244"/>
      <c r="E91" s="244"/>
      <c r="F91" s="244"/>
      <c r="G91" s="244"/>
      <c r="H91" s="244"/>
      <c r="I91" s="244"/>
      <c r="J91" s="244"/>
      <c r="K91" s="244"/>
      <c r="L91" s="244"/>
      <c r="M91" s="244"/>
      <c r="N91" s="244"/>
      <c r="O91" s="244"/>
      <c r="P91" s="244"/>
      <c r="Q91" s="244"/>
      <c r="R91" s="244"/>
      <c r="S91" s="244"/>
      <c r="T91" s="244"/>
      <c r="U91" s="244"/>
      <c r="V91" s="244"/>
      <c r="W91" s="244"/>
      <c r="X91" s="244"/>
      <c r="Y91" s="244"/>
      <c r="Z91" s="244"/>
    </row>
    <row r="92" hidden="1">
      <c r="A92" s="249"/>
      <c r="B92" s="249"/>
      <c r="C92" s="250"/>
      <c r="D92" s="244"/>
      <c r="E92" s="244"/>
      <c r="F92" s="244"/>
      <c r="G92" s="244"/>
      <c r="H92" s="244"/>
      <c r="I92" s="244"/>
      <c r="J92" s="244"/>
      <c r="K92" s="244"/>
      <c r="L92" s="244"/>
      <c r="M92" s="244"/>
      <c r="N92" s="244"/>
      <c r="O92" s="244"/>
      <c r="P92" s="244"/>
      <c r="Q92" s="244"/>
      <c r="R92" s="244"/>
      <c r="S92" s="244"/>
      <c r="T92" s="244"/>
      <c r="U92" s="244"/>
      <c r="V92" s="244"/>
      <c r="W92" s="244"/>
      <c r="X92" s="244"/>
      <c r="Y92" s="244"/>
      <c r="Z92" s="244"/>
    </row>
    <row r="93" hidden="1">
      <c r="A93" s="249"/>
      <c r="B93" s="249"/>
      <c r="C93" s="250"/>
      <c r="D93" s="244"/>
      <c r="E93" s="244"/>
      <c r="F93" s="244"/>
      <c r="G93" s="244"/>
      <c r="H93" s="244"/>
      <c r="I93" s="244"/>
      <c r="J93" s="244"/>
      <c r="K93" s="244"/>
      <c r="L93" s="244"/>
      <c r="M93" s="244"/>
      <c r="N93" s="244"/>
      <c r="O93" s="244"/>
      <c r="P93" s="244"/>
      <c r="Q93" s="244"/>
      <c r="R93" s="244"/>
      <c r="S93" s="244"/>
      <c r="T93" s="244"/>
      <c r="U93" s="244"/>
      <c r="V93" s="244"/>
      <c r="W93" s="244"/>
      <c r="X93" s="244"/>
      <c r="Y93" s="244"/>
      <c r="Z93" s="244"/>
    </row>
    <row r="94" hidden="1">
      <c r="A94" s="249"/>
      <c r="B94" s="249"/>
      <c r="C94" s="250"/>
      <c r="D94" s="244"/>
      <c r="E94" s="244"/>
      <c r="F94" s="244"/>
      <c r="G94" s="244"/>
      <c r="H94" s="244"/>
      <c r="I94" s="244"/>
      <c r="J94" s="244"/>
      <c r="K94" s="244"/>
      <c r="L94" s="244"/>
      <c r="M94" s="244"/>
      <c r="N94" s="244"/>
      <c r="O94" s="244"/>
      <c r="P94" s="244"/>
      <c r="Q94" s="244"/>
      <c r="R94" s="244"/>
      <c r="S94" s="244"/>
      <c r="T94" s="244"/>
      <c r="U94" s="244"/>
      <c r="V94" s="244"/>
      <c r="W94" s="244"/>
      <c r="X94" s="244"/>
      <c r="Y94" s="244"/>
      <c r="Z94" s="244"/>
    </row>
    <row r="95" hidden="1">
      <c r="A95" s="249"/>
      <c r="B95" s="249"/>
      <c r="C95" s="250"/>
      <c r="D95" s="244"/>
      <c r="E95" s="244"/>
      <c r="F95" s="244"/>
      <c r="G95" s="244"/>
      <c r="H95" s="244"/>
      <c r="I95" s="244"/>
      <c r="J95" s="244"/>
      <c r="K95" s="244"/>
      <c r="L95" s="244"/>
      <c r="M95" s="244"/>
      <c r="N95" s="244"/>
      <c r="O95" s="244"/>
      <c r="P95" s="244"/>
      <c r="Q95" s="244"/>
      <c r="R95" s="244"/>
      <c r="S95" s="244"/>
      <c r="T95" s="244"/>
      <c r="U95" s="244"/>
      <c r="V95" s="244"/>
      <c r="W95" s="244"/>
      <c r="X95" s="244"/>
      <c r="Y95" s="244"/>
      <c r="Z95" s="244"/>
    </row>
    <row r="96" hidden="1">
      <c r="A96" s="249"/>
      <c r="B96" s="249"/>
      <c r="C96" s="250"/>
      <c r="D96" s="244"/>
      <c r="E96" s="244"/>
      <c r="F96" s="244"/>
      <c r="G96" s="244"/>
      <c r="H96" s="244"/>
      <c r="I96" s="244"/>
      <c r="J96" s="244"/>
      <c r="K96" s="244"/>
      <c r="L96" s="244"/>
      <c r="M96" s="244"/>
      <c r="N96" s="244"/>
      <c r="O96" s="244"/>
      <c r="P96" s="244"/>
      <c r="Q96" s="244"/>
      <c r="R96" s="244"/>
      <c r="S96" s="244"/>
      <c r="T96" s="244"/>
      <c r="U96" s="244"/>
      <c r="V96" s="244"/>
      <c r="W96" s="244"/>
      <c r="X96" s="244"/>
      <c r="Y96" s="244"/>
      <c r="Z96" s="244"/>
    </row>
    <row r="97" hidden="1">
      <c r="A97" s="249"/>
      <c r="B97" s="249"/>
      <c r="C97" s="250"/>
      <c r="D97" s="244"/>
      <c r="E97" s="244"/>
      <c r="F97" s="244"/>
      <c r="G97" s="244"/>
      <c r="H97" s="244"/>
      <c r="I97" s="244"/>
      <c r="J97" s="244"/>
      <c r="K97" s="244"/>
      <c r="L97" s="244"/>
      <c r="M97" s="244"/>
      <c r="N97" s="244"/>
      <c r="O97" s="244"/>
      <c r="P97" s="244"/>
      <c r="Q97" s="244"/>
      <c r="R97" s="244"/>
      <c r="S97" s="244"/>
      <c r="T97" s="244"/>
      <c r="U97" s="244"/>
      <c r="V97" s="244"/>
      <c r="W97" s="244"/>
      <c r="X97" s="244"/>
      <c r="Y97" s="244"/>
      <c r="Z97" s="244"/>
    </row>
    <row r="98" hidden="1">
      <c r="A98" s="249"/>
      <c r="B98" s="249"/>
      <c r="C98" s="250"/>
      <c r="D98" s="244"/>
      <c r="E98" s="244"/>
      <c r="F98" s="244"/>
      <c r="G98" s="244"/>
      <c r="H98" s="244"/>
      <c r="I98" s="244"/>
      <c r="J98" s="244"/>
      <c r="K98" s="244"/>
      <c r="L98" s="244"/>
      <c r="M98" s="244"/>
      <c r="N98" s="244"/>
      <c r="O98" s="244"/>
      <c r="P98" s="244"/>
      <c r="Q98" s="244"/>
      <c r="R98" s="244"/>
      <c r="S98" s="244"/>
      <c r="T98" s="244"/>
      <c r="U98" s="244"/>
      <c r="V98" s="244"/>
      <c r="W98" s="244"/>
      <c r="X98" s="244"/>
      <c r="Y98" s="244"/>
      <c r="Z98" s="244"/>
    </row>
    <row r="99" hidden="1">
      <c r="A99" s="249"/>
      <c r="B99" s="249"/>
      <c r="C99" s="250"/>
      <c r="D99" s="244"/>
      <c r="E99" s="244"/>
      <c r="F99" s="244"/>
      <c r="G99" s="244"/>
      <c r="H99" s="244"/>
      <c r="I99" s="244"/>
      <c r="J99" s="244"/>
      <c r="K99" s="244"/>
      <c r="L99" s="244"/>
      <c r="M99" s="244"/>
      <c r="N99" s="244"/>
      <c r="O99" s="244"/>
      <c r="P99" s="244"/>
      <c r="Q99" s="244"/>
      <c r="R99" s="244"/>
      <c r="S99" s="244"/>
      <c r="T99" s="244"/>
      <c r="U99" s="244"/>
      <c r="V99" s="244"/>
      <c r="W99" s="244"/>
      <c r="X99" s="244"/>
      <c r="Y99" s="244"/>
      <c r="Z99" s="244"/>
    </row>
    <row r="100" hidden="1">
      <c r="A100" s="249"/>
      <c r="B100" s="249"/>
      <c r="C100" s="250"/>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row>
    <row r="101" hidden="1">
      <c r="A101" s="249"/>
      <c r="B101" s="249"/>
      <c r="C101" s="250"/>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row>
    <row r="102" hidden="1">
      <c r="A102" s="249"/>
      <c r="B102" s="249"/>
      <c r="C102" s="250"/>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row>
    <row r="103" hidden="1">
      <c r="A103" s="249"/>
      <c r="B103" s="249"/>
      <c r="C103" s="250"/>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row>
    <row r="104" hidden="1">
      <c r="A104" s="249"/>
      <c r="B104" s="249"/>
      <c r="C104" s="250"/>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row>
    <row r="105" hidden="1">
      <c r="A105" s="249"/>
      <c r="B105" s="249"/>
      <c r="C105" s="250"/>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row>
    <row r="106" hidden="1">
      <c r="A106" s="249"/>
      <c r="B106" s="249"/>
      <c r="C106" s="250"/>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row>
    <row r="107" hidden="1">
      <c r="A107" s="249"/>
      <c r="B107" s="249"/>
      <c r="C107" s="250"/>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row>
    <row r="108" hidden="1">
      <c r="A108" s="249"/>
      <c r="B108" s="249"/>
      <c r="C108" s="250"/>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row>
    <row r="109" hidden="1">
      <c r="A109" s="249"/>
      <c r="B109" s="249"/>
      <c r="C109" s="250"/>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row>
    <row r="110" hidden="1">
      <c r="A110" s="249"/>
      <c r="B110" s="249"/>
      <c r="C110" s="250"/>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row>
    <row r="111" hidden="1">
      <c r="A111" s="249"/>
      <c r="B111" s="249"/>
      <c r="C111" s="250"/>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row>
    <row r="112" hidden="1">
      <c r="A112" s="249"/>
      <c r="B112" s="249"/>
      <c r="C112" s="250"/>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row>
    <row r="113" hidden="1">
      <c r="A113" s="249"/>
      <c r="B113" s="249"/>
      <c r="C113" s="250"/>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row>
    <row r="114" hidden="1">
      <c r="A114" s="249"/>
      <c r="B114" s="249"/>
      <c r="C114" s="250"/>
      <c r="D114" s="244"/>
      <c r="E114" s="244"/>
      <c r="F114" s="244"/>
      <c r="G114" s="244"/>
      <c r="H114" s="244"/>
      <c r="I114" s="244"/>
      <c r="J114" s="244"/>
      <c r="K114" s="244"/>
      <c r="L114" s="244"/>
      <c r="M114" s="244"/>
      <c r="N114" s="244"/>
      <c r="O114" s="244"/>
      <c r="P114" s="244"/>
      <c r="Q114" s="244"/>
      <c r="R114" s="244"/>
      <c r="S114" s="244"/>
      <c r="T114" s="244"/>
      <c r="U114" s="244"/>
      <c r="V114" s="244"/>
      <c r="W114" s="244"/>
      <c r="X114" s="244"/>
      <c r="Y114" s="244"/>
      <c r="Z114" s="244"/>
    </row>
    <row r="115" hidden="1">
      <c r="A115" s="249"/>
      <c r="B115" s="249"/>
      <c r="C115" s="250"/>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row>
    <row r="116" hidden="1">
      <c r="A116" s="249"/>
      <c r="B116" s="249"/>
      <c r="C116" s="250"/>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row>
    <row r="117" hidden="1">
      <c r="A117" s="249"/>
      <c r="B117" s="249"/>
      <c r="C117" s="250"/>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row>
    <row r="118" hidden="1">
      <c r="A118" s="249"/>
      <c r="B118" s="249"/>
      <c r="C118" s="250"/>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row>
    <row r="119" hidden="1">
      <c r="A119" s="249"/>
      <c r="B119" s="249"/>
      <c r="C119" s="250"/>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row>
    <row r="120" hidden="1">
      <c r="A120" s="249"/>
      <c r="B120" s="249"/>
      <c r="C120" s="250"/>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row>
    <row r="121" hidden="1">
      <c r="A121" s="249"/>
      <c r="B121" s="249"/>
      <c r="C121" s="250"/>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row>
    <row r="122" hidden="1">
      <c r="A122" s="249"/>
      <c r="B122" s="249"/>
      <c r="C122" s="250"/>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row>
    <row r="123" hidden="1">
      <c r="A123" s="249"/>
      <c r="B123" s="249"/>
      <c r="C123" s="250"/>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row>
    <row r="124" hidden="1">
      <c r="A124" s="249"/>
      <c r="B124" s="249"/>
      <c r="C124" s="250"/>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row>
    <row r="125" hidden="1">
      <c r="A125" s="249"/>
      <c r="B125" s="249"/>
      <c r="C125" s="250"/>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row>
    <row r="126" hidden="1">
      <c r="A126" s="249"/>
      <c r="B126" s="249"/>
      <c r="C126" s="250"/>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row>
    <row r="127" hidden="1">
      <c r="A127" s="249"/>
      <c r="B127" s="249"/>
      <c r="C127" s="250"/>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row>
    <row r="128" hidden="1">
      <c r="A128" s="249"/>
      <c r="B128" s="249"/>
      <c r="C128" s="250"/>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row>
    <row r="129" hidden="1">
      <c r="A129" s="249"/>
      <c r="B129" s="249"/>
      <c r="C129" s="250"/>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row>
    <row r="130" hidden="1">
      <c r="A130" s="249"/>
      <c r="B130" s="249"/>
      <c r="C130" s="250"/>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row>
    <row r="131" hidden="1">
      <c r="A131" s="249"/>
      <c r="B131" s="249"/>
      <c r="C131" s="250"/>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row>
    <row r="132" hidden="1">
      <c r="A132" s="249"/>
      <c r="B132" s="249"/>
      <c r="C132" s="250"/>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row>
    <row r="133" hidden="1">
      <c r="A133" s="249"/>
      <c r="B133" s="249"/>
      <c r="C133" s="250"/>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row>
    <row r="134" hidden="1">
      <c r="A134" s="249"/>
      <c r="B134" s="249"/>
      <c r="C134" s="250"/>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row>
    <row r="135" hidden="1">
      <c r="A135" s="249"/>
      <c r="B135" s="249"/>
      <c r="C135" s="250"/>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row>
    <row r="136" hidden="1">
      <c r="A136" s="249"/>
      <c r="B136" s="249"/>
      <c r="C136" s="250"/>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row>
    <row r="137" hidden="1">
      <c r="A137" s="249"/>
      <c r="B137" s="249"/>
      <c r="C137" s="250"/>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row>
    <row r="138" hidden="1">
      <c r="A138" s="249"/>
      <c r="B138" s="249"/>
      <c r="C138" s="250"/>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row>
    <row r="139" hidden="1">
      <c r="A139" s="249"/>
      <c r="B139" s="249"/>
      <c r="C139" s="250"/>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row>
    <row r="140" hidden="1">
      <c r="A140" s="249"/>
      <c r="B140" s="249"/>
      <c r="C140" s="250"/>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row>
    <row r="141" hidden="1">
      <c r="A141" s="249"/>
      <c r="B141" s="249"/>
      <c r="C141" s="250"/>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row>
    <row r="142" hidden="1">
      <c r="A142" s="249"/>
      <c r="B142" s="249"/>
      <c r="C142" s="250"/>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row>
    <row r="143" hidden="1">
      <c r="A143" s="249"/>
      <c r="B143" s="249"/>
      <c r="C143" s="250"/>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row>
    <row r="144" hidden="1">
      <c r="A144" s="249"/>
      <c r="B144" s="249"/>
      <c r="C144" s="250"/>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row>
    <row r="145" hidden="1">
      <c r="A145" s="249"/>
      <c r="B145" s="249"/>
      <c r="C145" s="250"/>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row>
    <row r="146" hidden="1">
      <c r="A146" s="249"/>
      <c r="B146" s="249"/>
      <c r="C146" s="250"/>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row>
    <row r="147" hidden="1">
      <c r="A147" s="249"/>
      <c r="B147" s="249"/>
      <c r="C147" s="250"/>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row>
    <row r="148" hidden="1">
      <c r="A148" s="249"/>
      <c r="B148" s="249"/>
      <c r="C148" s="250"/>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row>
    <row r="149" hidden="1">
      <c r="A149" s="249"/>
      <c r="B149" s="249"/>
      <c r="C149" s="250"/>
      <c r="D149" s="244"/>
      <c r="E149" s="244"/>
      <c r="F149" s="244"/>
      <c r="G149" s="244"/>
      <c r="H149" s="244"/>
      <c r="I149" s="244"/>
      <c r="J149" s="244"/>
      <c r="K149" s="244"/>
      <c r="L149" s="244"/>
      <c r="M149" s="244"/>
      <c r="N149" s="244"/>
      <c r="O149" s="244"/>
      <c r="P149" s="244"/>
      <c r="Q149" s="244"/>
      <c r="R149" s="244"/>
      <c r="S149" s="244"/>
      <c r="T149" s="244"/>
      <c r="U149" s="244"/>
      <c r="V149" s="244"/>
      <c r="W149" s="244"/>
      <c r="X149" s="244"/>
      <c r="Y149" s="244"/>
      <c r="Z149" s="244"/>
    </row>
    <row r="150" hidden="1">
      <c r="A150" s="249"/>
      <c r="B150" s="249"/>
      <c r="C150" s="250"/>
      <c r="D150" s="244"/>
      <c r="E150" s="244"/>
      <c r="F150" s="244"/>
      <c r="G150" s="244"/>
      <c r="H150" s="244"/>
      <c r="I150" s="244"/>
      <c r="J150" s="244"/>
      <c r="K150" s="244"/>
      <c r="L150" s="244"/>
      <c r="M150" s="244"/>
      <c r="N150" s="244"/>
      <c r="O150" s="244"/>
      <c r="P150" s="244"/>
      <c r="Q150" s="244"/>
      <c r="R150" s="244"/>
      <c r="S150" s="244"/>
      <c r="T150" s="244"/>
      <c r="U150" s="244"/>
      <c r="V150" s="244"/>
      <c r="W150" s="244"/>
      <c r="X150" s="244"/>
      <c r="Y150" s="244"/>
      <c r="Z150" s="244"/>
    </row>
    <row r="151" hidden="1">
      <c r="A151" s="249"/>
      <c r="B151" s="249"/>
      <c r="C151" s="250"/>
      <c r="D151" s="244"/>
      <c r="E151" s="244"/>
      <c r="F151" s="244"/>
      <c r="G151" s="244"/>
      <c r="H151" s="244"/>
      <c r="I151" s="244"/>
      <c r="J151" s="244"/>
      <c r="K151" s="244"/>
      <c r="L151" s="244"/>
      <c r="M151" s="244"/>
      <c r="N151" s="244"/>
      <c r="O151" s="244"/>
      <c r="P151" s="244"/>
      <c r="Q151" s="244"/>
      <c r="R151" s="244"/>
      <c r="S151" s="244"/>
      <c r="T151" s="244"/>
      <c r="U151" s="244"/>
      <c r="V151" s="244"/>
      <c r="W151" s="244"/>
      <c r="X151" s="244"/>
      <c r="Y151" s="244"/>
      <c r="Z151" s="244"/>
    </row>
    <row r="152" hidden="1">
      <c r="A152" s="249"/>
      <c r="B152" s="249"/>
      <c r="C152" s="250"/>
      <c r="D152" s="244"/>
      <c r="E152" s="244"/>
      <c r="F152" s="244"/>
      <c r="G152" s="244"/>
      <c r="H152" s="244"/>
      <c r="I152" s="244"/>
      <c r="J152" s="244"/>
      <c r="K152" s="244"/>
      <c r="L152" s="244"/>
      <c r="M152" s="244"/>
      <c r="N152" s="244"/>
      <c r="O152" s="244"/>
      <c r="P152" s="244"/>
      <c r="Q152" s="244"/>
      <c r="R152" s="244"/>
      <c r="S152" s="244"/>
      <c r="T152" s="244"/>
      <c r="U152" s="244"/>
      <c r="V152" s="244"/>
      <c r="W152" s="244"/>
      <c r="X152" s="244"/>
      <c r="Y152" s="244"/>
      <c r="Z152" s="244"/>
    </row>
    <row r="153" hidden="1">
      <c r="A153" s="249"/>
      <c r="B153" s="249"/>
      <c r="C153" s="250"/>
      <c r="D153" s="244"/>
      <c r="E153" s="244"/>
      <c r="F153" s="244"/>
      <c r="G153" s="244"/>
      <c r="H153" s="244"/>
      <c r="I153" s="244"/>
      <c r="J153" s="244"/>
      <c r="K153" s="244"/>
      <c r="L153" s="244"/>
      <c r="M153" s="244"/>
      <c r="N153" s="244"/>
      <c r="O153" s="244"/>
      <c r="P153" s="244"/>
      <c r="Q153" s="244"/>
      <c r="R153" s="244"/>
      <c r="S153" s="244"/>
      <c r="T153" s="244"/>
      <c r="U153" s="244"/>
      <c r="V153" s="244"/>
      <c r="W153" s="244"/>
      <c r="X153" s="244"/>
      <c r="Y153" s="244"/>
      <c r="Z153" s="244"/>
    </row>
    <row r="154" hidden="1">
      <c r="A154" s="249"/>
      <c r="B154" s="249"/>
      <c r="C154" s="250"/>
      <c r="D154" s="244"/>
      <c r="E154" s="244"/>
      <c r="F154" s="244"/>
      <c r="G154" s="244"/>
      <c r="H154" s="244"/>
      <c r="I154" s="244"/>
      <c r="J154" s="244"/>
      <c r="K154" s="244"/>
      <c r="L154" s="244"/>
      <c r="M154" s="244"/>
      <c r="N154" s="244"/>
      <c r="O154" s="244"/>
      <c r="P154" s="244"/>
      <c r="Q154" s="244"/>
      <c r="R154" s="244"/>
      <c r="S154" s="244"/>
      <c r="T154" s="244"/>
      <c r="U154" s="244"/>
      <c r="V154" s="244"/>
      <c r="W154" s="244"/>
      <c r="X154" s="244"/>
      <c r="Y154" s="244"/>
      <c r="Z154" s="244"/>
    </row>
    <row r="155" hidden="1">
      <c r="A155" s="249"/>
      <c r="B155" s="249"/>
      <c r="C155" s="250"/>
      <c r="D155" s="244"/>
      <c r="E155" s="244"/>
      <c r="F155" s="244"/>
      <c r="G155" s="244"/>
      <c r="H155" s="244"/>
      <c r="I155" s="244"/>
      <c r="J155" s="244"/>
      <c r="K155" s="244"/>
      <c r="L155" s="244"/>
      <c r="M155" s="244"/>
      <c r="N155" s="244"/>
      <c r="O155" s="244"/>
      <c r="P155" s="244"/>
      <c r="Q155" s="244"/>
      <c r="R155" s="244"/>
      <c r="S155" s="244"/>
      <c r="T155" s="244"/>
      <c r="U155" s="244"/>
      <c r="V155" s="244"/>
      <c r="W155" s="244"/>
      <c r="X155" s="244"/>
      <c r="Y155" s="244"/>
      <c r="Z155" s="244"/>
    </row>
    <row r="156" hidden="1">
      <c r="A156" s="249"/>
      <c r="B156" s="249"/>
      <c r="C156" s="250"/>
      <c r="D156" s="244"/>
      <c r="E156" s="244"/>
      <c r="F156" s="244"/>
      <c r="G156" s="244"/>
      <c r="H156" s="244"/>
      <c r="I156" s="244"/>
      <c r="J156" s="244"/>
      <c r="K156" s="244"/>
      <c r="L156" s="244"/>
      <c r="M156" s="244"/>
      <c r="N156" s="244"/>
      <c r="O156" s="244"/>
      <c r="P156" s="244"/>
      <c r="Q156" s="244"/>
      <c r="R156" s="244"/>
      <c r="S156" s="244"/>
      <c r="T156" s="244"/>
      <c r="U156" s="244"/>
      <c r="V156" s="244"/>
      <c r="W156" s="244"/>
      <c r="X156" s="244"/>
      <c r="Y156" s="244"/>
      <c r="Z156" s="244"/>
    </row>
    <row r="157" hidden="1">
      <c r="A157" s="249"/>
      <c r="B157" s="249"/>
      <c r="C157" s="250"/>
      <c r="D157" s="244"/>
      <c r="E157" s="244"/>
      <c r="F157" s="244"/>
      <c r="G157" s="244"/>
      <c r="H157" s="244"/>
      <c r="I157" s="244"/>
      <c r="J157" s="244"/>
      <c r="K157" s="244"/>
      <c r="L157" s="244"/>
      <c r="M157" s="244"/>
      <c r="N157" s="244"/>
      <c r="O157" s="244"/>
      <c r="P157" s="244"/>
      <c r="Q157" s="244"/>
      <c r="R157" s="244"/>
      <c r="S157" s="244"/>
      <c r="T157" s="244"/>
      <c r="U157" s="244"/>
      <c r="V157" s="244"/>
      <c r="W157" s="244"/>
      <c r="X157" s="244"/>
      <c r="Y157" s="244"/>
      <c r="Z157" s="244"/>
    </row>
    <row r="158" hidden="1">
      <c r="A158" s="249"/>
      <c r="B158" s="249"/>
      <c r="C158" s="250"/>
      <c r="D158" s="244"/>
      <c r="E158" s="244"/>
      <c r="F158" s="244"/>
      <c r="G158" s="244"/>
      <c r="H158" s="244"/>
      <c r="I158" s="244"/>
      <c r="J158" s="244"/>
      <c r="K158" s="244"/>
      <c r="L158" s="244"/>
      <c r="M158" s="244"/>
      <c r="N158" s="244"/>
      <c r="O158" s="244"/>
      <c r="P158" s="244"/>
      <c r="Q158" s="244"/>
      <c r="R158" s="244"/>
      <c r="S158" s="244"/>
      <c r="T158" s="244"/>
      <c r="U158" s="244"/>
      <c r="V158" s="244"/>
      <c r="W158" s="244"/>
      <c r="X158" s="244"/>
      <c r="Y158" s="244"/>
      <c r="Z158" s="244"/>
    </row>
    <row r="159" hidden="1">
      <c r="A159" s="249"/>
      <c r="B159" s="249"/>
      <c r="C159" s="250"/>
      <c r="D159" s="244"/>
      <c r="E159" s="244"/>
      <c r="F159" s="244"/>
      <c r="G159" s="244"/>
      <c r="H159" s="244"/>
      <c r="I159" s="244"/>
      <c r="J159" s="244"/>
      <c r="K159" s="244"/>
      <c r="L159" s="244"/>
      <c r="M159" s="244"/>
      <c r="N159" s="244"/>
      <c r="O159" s="244"/>
      <c r="P159" s="244"/>
      <c r="Q159" s="244"/>
      <c r="R159" s="244"/>
      <c r="S159" s="244"/>
      <c r="T159" s="244"/>
      <c r="U159" s="244"/>
      <c r="V159" s="244"/>
      <c r="W159" s="244"/>
      <c r="X159" s="244"/>
      <c r="Y159" s="244"/>
      <c r="Z159" s="244"/>
    </row>
    <row r="160" hidden="1">
      <c r="A160" s="249"/>
      <c r="B160" s="249"/>
      <c r="C160" s="250"/>
      <c r="D160" s="244"/>
      <c r="E160" s="244"/>
      <c r="F160" s="244"/>
      <c r="G160" s="244"/>
      <c r="H160" s="244"/>
      <c r="I160" s="244"/>
      <c r="J160" s="244"/>
      <c r="K160" s="244"/>
      <c r="L160" s="244"/>
      <c r="M160" s="244"/>
      <c r="N160" s="244"/>
      <c r="O160" s="244"/>
      <c r="P160" s="244"/>
      <c r="Q160" s="244"/>
      <c r="R160" s="244"/>
      <c r="S160" s="244"/>
      <c r="T160" s="244"/>
      <c r="U160" s="244"/>
      <c r="V160" s="244"/>
      <c r="W160" s="244"/>
      <c r="X160" s="244"/>
      <c r="Y160" s="244"/>
      <c r="Z160" s="244"/>
    </row>
    <row r="161" hidden="1">
      <c r="A161" s="249"/>
      <c r="B161" s="249"/>
      <c r="C161" s="250"/>
      <c r="D161" s="244"/>
      <c r="E161" s="244"/>
      <c r="F161" s="244"/>
      <c r="G161" s="244"/>
      <c r="H161" s="244"/>
      <c r="I161" s="244"/>
      <c r="J161" s="244"/>
      <c r="K161" s="244"/>
      <c r="L161" s="244"/>
      <c r="M161" s="244"/>
      <c r="N161" s="244"/>
      <c r="O161" s="244"/>
      <c r="P161" s="244"/>
      <c r="Q161" s="244"/>
      <c r="R161" s="244"/>
      <c r="S161" s="244"/>
      <c r="T161" s="244"/>
      <c r="U161" s="244"/>
      <c r="V161" s="244"/>
      <c r="W161" s="244"/>
      <c r="X161" s="244"/>
      <c r="Y161" s="244"/>
      <c r="Z161" s="244"/>
    </row>
    <row r="162" hidden="1">
      <c r="A162" s="249"/>
      <c r="B162" s="249"/>
      <c r="C162" s="250"/>
      <c r="D162" s="244"/>
      <c r="E162" s="244"/>
      <c r="F162" s="244"/>
      <c r="G162" s="244"/>
      <c r="H162" s="244"/>
      <c r="I162" s="244"/>
      <c r="J162" s="244"/>
      <c r="K162" s="244"/>
      <c r="L162" s="244"/>
      <c r="M162" s="244"/>
      <c r="N162" s="244"/>
      <c r="O162" s="244"/>
      <c r="P162" s="244"/>
      <c r="Q162" s="244"/>
      <c r="R162" s="244"/>
      <c r="S162" s="244"/>
      <c r="T162" s="244"/>
      <c r="U162" s="244"/>
      <c r="V162" s="244"/>
      <c r="W162" s="244"/>
      <c r="X162" s="244"/>
      <c r="Y162" s="244"/>
      <c r="Z162" s="244"/>
    </row>
    <row r="163" hidden="1">
      <c r="A163" s="249"/>
      <c r="B163" s="249"/>
      <c r="C163" s="250"/>
      <c r="D163" s="244"/>
      <c r="E163" s="244"/>
      <c r="F163" s="244"/>
      <c r="G163" s="244"/>
      <c r="H163" s="244"/>
      <c r="I163" s="244"/>
      <c r="J163" s="244"/>
      <c r="K163" s="244"/>
      <c r="L163" s="244"/>
      <c r="M163" s="244"/>
      <c r="N163" s="244"/>
      <c r="O163" s="244"/>
      <c r="P163" s="244"/>
      <c r="Q163" s="244"/>
      <c r="R163" s="244"/>
      <c r="S163" s="244"/>
      <c r="T163" s="244"/>
      <c r="U163" s="244"/>
      <c r="V163" s="244"/>
      <c r="W163" s="244"/>
      <c r="X163" s="244"/>
      <c r="Y163" s="244"/>
      <c r="Z163" s="244"/>
    </row>
    <row r="164" hidden="1">
      <c r="A164" s="249"/>
      <c r="B164" s="249"/>
      <c r="C164" s="250"/>
      <c r="D164" s="244"/>
      <c r="E164" s="244"/>
      <c r="F164" s="244"/>
      <c r="G164" s="244"/>
      <c r="H164" s="244"/>
      <c r="I164" s="244"/>
      <c r="J164" s="244"/>
      <c r="K164" s="244"/>
      <c r="L164" s="244"/>
      <c r="M164" s="244"/>
      <c r="N164" s="244"/>
      <c r="O164" s="244"/>
      <c r="P164" s="244"/>
      <c r="Q164" s="244"/>
      <c r="R164" s="244"/>
      <c r="S164" s="244"/>
      <c r="T164" s="244"/>
      <c r="U164" s="244"/>
      <c r="V164" s="244"/>
      <c r="W164" s="244"/>
      <c r="X164" s="244"/>
      <c r="Y164" s="244"/>
      <c r="Z164" s="244"/>
    </row>
    <row r="165" hidden="1">
      <c r="A165" s="249"/>
      <c r="B165" s="249"/>
      <c r="C165" s="250"/>
      <c r="D165" s="244"/>
      <c r="E165" s="244"/>
      <c r="F165" s="244"/>
      <c r="G165" s="244"/>
      <c r="H165" s="244"/>
      <c r="I165" s="244"/>
      <c r="J165" s="244"/>
      <c r="K165" s="244"/>
      <c r="L165" s="244"/>
      <c r="M165" s="244"/>
      <c r="N165" s="244"/>
      <c r="O165" s="244"/>
      <c r="P165" s="244"/>
      <c r="Q165" s="244"/>
      <c r="R165" s="244"/>
      <c r="S165" s="244"/>
      <c r="T165" s="244"/>
      <c r="U165" s="244"/>
      <c r="V165" s="244"/>
      <c r="W165" s="244"/>
      <c r="X165" s="244"/>
      <c r="Y165" s="244"/>
      <c r="Z165" s="244"/>
    </row>
    <row r="166" hidden="1">
      <c r="A166" s="249"/>
      <c r="B166" s="249"/>
      <c r="C166" s="250"/>
      <c r="D166" s="244"/>
      <c r="E166" s="244"/>
      <c r="F166" s="244"/>
      <c r="G166" s="244"/>
      <c r="H166" s="244"/>
      <c r="I166" s="244"/>
      <c r="J166" s="244"/>
      <c r="K166" s="244"/>
      <c r="L166" s="244"/>
      <c r="M166" s="244"/>
      <c r="N166" s="244"/>
      <c r="O166" s="244"/>
      <c r="P166" s="244"/>
      <c r="Q166" s="244"/>
      <c r="R166" s="244"/>
      <c r="S166" s="244"/>
      <c r="T166" s="244"/>
      <c r="U166" s="244"/>
      <c r="V166" s="244"/>
      <c r="W166" s="244"/>
      <c r="X166" s="244"/>
      <c r="Y166" s="244"/>
      <c r="Z166" s="244"/>
    </row>
    <row r="167" hidden="1">
      <c r="A167" s="249"/>
      <c r="B167" s="249"/>
      <c r="C167" s="250"/>
      <c r="D167" s="244"/>
      <c r="E167" s="244"/>
      <c r="F167" s="244"/>
      <c r="G167" s="244"/>
      <c r="H167" s="244"/>
      <c r="I167" s="244"/>
      <c r="J167" s="244"/>
      <c r="K167" s="244"/>
      <c r="L167" s="244"/>
      <c r="M167" s="244"/>
      <c r="N167" s="244"/>
      <c r="O167" s="244"/>
      <c r="P167" s="244"/>
      <c r="Q167" s="244"/>
      <c r="R167" s="244"/>
      <c r="S167" s="244"/>
      <c r="T167" s="244"/>
      <c r="U167" s="244"/>
      <c r="V167" s="244"/>
      <c r="W167" s="244"/>
      <c r="X167" s="244"/>
      <c r="Y167" s="244"/>
      <c r="Z167" s="244"/>
    </row>
    <row r="168" hidden="1">
      <c r="A168" s="249"/>
      <c r="B168" s="249"/>
      <c r="C168" s="250"/>
      <c r="D168" s="244"/>
      <c r="E168" s="244"/>
      <c r="F168" s="244"/>
      <c r="G168" s="244"/>
      <c r="H168" s="244"/>
      <c r="I168" s="244"/>
      <c r="J168" s="244"/>
      <c r="K168" s="244"/>
      <c r="L168" s="244"/>
      <c r="M168" s="244"/>
      <c r="N168" s="244"/>
      <c r="O168" s="244"/>
      <c r="P168" s="244"/>
      <c r="Q168" s="244"/>
      <c r="R168" s="244"/>
      <c r="S168" s="244"/>
      <c r="T168" s="244"/>
      <c r="U168" s="244"/>
      <c r="V168" s="244"/>
      <c r="W168" s="244"/>
      <c r="X168" s="244"/>
      <c r="Y168" s="244"/>
      <c r="Z168" s="244"/>
    </row>
    <row r="169" hidden="1">
      <c r="A169" s="249"/>
      <c r="B169" s="249"/>
      <c r="C169" s="250"/>
      <c r="D169" s="244"/>
      <c r="E169" s="244"/>
      <c r="F169" s="244"/>
      <c r="G169" s="244"/>
      <c r="H169" s="244"/>
      <c r="I169" s="244"/>
      <c r="J169" s="244"/>
      <c r="K169" s="244"/>
      <c r="L169" s="244"/>
      <c r="M169" s="244"/>
      <c r="N169" s="244"/>
      <c r="O169" s="244"/>
      <c r="P169" s="244"/>
      <c r="Q169" s="244"/>
      <c r="R169" s="244"/>
      <c r="S169" s="244"/>
      <c r="T169" s="244"/>
      <c r="U169" s="244"/>
      <c r="V169" s="244"/>
      <c r="W169" s="244"/>
      <c r="X169" s="244"/>
      <c r="Y169" s="244"/>
      <c r="Z169" s="244"/>
    </row>
    <row r="170" hidden="1">
      <c r="A170" s="249"/>
      <c r="B170" s="249"/>
      <c r="C170" s="250"/>
      <c r="D170" s="244"/>
      <c r="E170" s="244"/>
      <c r="F170" s="244"/>
      <c r="G170" s="244"/>
      <c r="H170" s="244"/>
      <c r="I170" s="244"/>
      <c r="J170" s="244"/>
      <c r="K170" s="244"/>
      <c r="L170" s="244"/>
      <c r="M170" s="244"/>
      <c r="N170" s="244"/>
      <c r="O170" s="244"/>
      <c r="P170" s="244"/>
      <c r="Q170" s="244"/>
      <c r="R170" s="244"/>
      <c r="S170" s="244"/>
      <c r="T170" s="244"/>
      <c r="U170" s="244"/>
      <c r="V170" s="244"/>
      <c r="W170" s="244"/>
      <c r="X170" s="244"/>
      <c r="Y170" s="244"/>
      <c r="Z170" s="244"/>
    </row>
    <row r="171" hidden="1">
      <c r="A171" s="249"/>
      <c r="B171" s="249"/>
      <c r="C171" s="250"/>
      <c r="D171" s="244"/>
      <c r="E171" s="244"/>
      <c r="F171" s="244"/>
      <c r="G171" s="244"/>
      <c r="H171" s="244"/>
      <c r="I171" s="244"/>
      <c r="J171" s="244"/>
      <c r="K171" s="244"/>
      <c r="L171" s="244"/>
      <c r="M171" s="244"/>
      <c r="N171" s="244"/>
      <c r="O171" s="244"/>
      <c r="P171" s="244"/>
      <c r="Q171" s="244"/>
      <c r="R171" s="244"/>
      <c r="S171" s="244"/>
      <c r="T171" s="244"/>
      <c r="U171" s="244"/>
      <c r="V171" s="244"/>
      <c r="W171" s="244"/>
      <c r="X171" s="244"/>
      <c r="Y171" s="244"/>
      <c r="Z171" s="244"/>
    </row>
    <row r="172" hidden="1">
      <c r="A172" s="249"/>
      <c r="B172" s="249"/>
      <c r="C172" s="250"/>
      <c r="D172" s="244"/>
      <c r="E172" s="244"/>
      <c r="F172" s="244"/>
      <c r="G172" s="244"/>
      <c r="H172" s="244"/>
      <c r="I172" s="244"/>
      <c r="J172" s="244"/>
      <c r="K172" s="244"/>
      <c r="L172" s="244"/>
      <c r="M172" s="244"/>
      <c r="N172" s="244"/>
      <c r="O172" s="244"/>
      <c r="P172" s="244"/>
      <c r="Q172" s="244"/>
      <c r="R172" s="244"/>
      <c r="S172" s="244"/>
      <c r="T172" s="244"/>
      <c r="U172" s="244"/>
      <c r="V172" s="244"/>
      <c r="W172" s="244"/>
      <c r="X172" s="244"/>
      <c r="Y172" s="244"/>
      <c r="Z172" s="244"/>
    </row>
    <row r="173" hidden="1">
      <c r="A173" s="249"/>
      <c r="B173" s="249"/>
      <c r="C173" s="250"/>
      <c r="D173" s="244"/>
      <c r="E173" s="244"/>
      <c r="F173" s="244"/>
      <c r="G173" s="244"/>
      <c r="H173" s="244"/>
      <c r="I173" s="244"/>
      <c r="J173" s="244"/>
      <c r="K173" s="244"/>
      <c r="L173" s="244"/>
      <c r="M173" s="244"/>
      <c r="N173" s="244"/>
      <c r="O173" s="244"/>
      <c r="P173" s="244"/>
      <c r="Q173" s="244"/>
      <c r="R173" s="244"/>
      <c r="S173" s="244"/>
      <c r="T173" s="244"/>
      <c r="U173" s="244"/>
      <c r="V173" s="244"/>
      <c r="W173" s="244"/>
      <c r="X173" s="244"/>
      <c r="Y173" s="244"/>
      <c r="Z173" s="244"/>
    </row>
    <row r="174" hidden="1">
      <c r="A174" s="249"/>
      <c r="B174" s="249"/>
      <c r="C174" s="250"/>
      <c r="D174" s="244"/>
      <c r="E174" s="244"/>
      <c r="F174" s="244"/>
      <c r="G174" s="244"/>
      <c r="H174" s="244"/>
      <c r="I174" s="244"/>
      <c r="J174" s="244"/>
      <c r="K174" s="244"/>
      <c r="L174" s="244"/>
      <c r="M174" s="244"/>
      <c r="N174" s="244"/>
      <c r="O174" s="244"/>
      <c r="P174" s="244"/>
      <c r="Q174" s="244"/>
      <c r="R174" s="244"/>
      <c r="S174" s="244"/>
      <c r="T174" s="244"/>
      <c r="U174" s="244"/>
      <c r="V174" s="244"/>
      <c r="W174" s="244"/>
      <c r="X174" s="244"/>
      <c r="Y174" s="244"/>
      <c r="Z174" s="244"/>
    </row>
    <row r="175" hidden="1">
      <c r="A175" s="249"/>
      <c r="B175" s="249"/>
      <c r="C175" s="250"/>
      <c r="D175" s="244"/>
      <c r="E175" s="244"/>
      <c r="F175" s="244"/>
      <c r="G175" s="244"/>
      <c r="H175" s="244"/>
      <c r="I175" s="244"/>
      <c r="J175" s="244"/>
      <c r="K175" s="244"/>
      <c r="L175" s="244"/>
      <c r="M175" s="244"/>
      <c r="N175" s="244"/>
      <c r="O175" s="244"/>
      <c r="P175" s="244"/>
      <c r="Q175" s="244"/>
      <c r="R175" s="244"/>
      <c r="S175" s="244"/>
      <c r="T175" s="244"/>
      <c r="U175" s="244"/>
      <c r="V175" s="244"/>
      <c r="W175" s="244"/>
      <c r="X175" s="244"/>
      <c r="Y175" s="244"/>
      <c r="Z175" s="244"/>
    </row>
    <row r="176" hidden="1">
      <c r="A176" s="249"/>
      <c r="B176" s="249"/>
      <c r="C176" s="250"/>
      <c r="D176" s="244"/>
      <c r="E176" s="244"/>
      <c r="F176" s="244"/>
      <c r="G176" s="244"/>
      <c r="H176" s="244"/>
      <c r="I176" s="244"/>
      <c r="J176" s="244"/>
      <c r="K176" s="244"/>
      <c r="L176" s="244"/>
      <c r="M176" s="244"/>
      <c r="N176" s="244"/>
      <c r="O176" s="244"/>
      <c r="P176" s="244"/>
      <c r="Q176" s="244"/>
      <c r="R176" s="244"/>
      <c r="S176" s="244"/>
      <c r="T176" s="244"/>
      <c r="U176" s="244"/>
      <c r="V176" s="244"/>
      <c r="W176" s="244"/>
      <c r="X176" s="244"/>
      <c r="Y176" s="244"/>
      <c r="Z176" s="244"/>
    </row>
    <row r="177" hidden="1">
      <c r="A177" s="249"/>
      <c r="B177" s="249"/>
      <c r="C177" s="250"/>
      <c r="D177" s="244"/>
      <c r="E177" s="244"/>
      <c r="F177" s="244"/>
      <c r="G177" s="244"/>
      <c r="H177" s="244"/>
      <c r="I177" s="244"/>
      <c r="J177" s="244"/>
      <c r="K177" s="244"/>
      <c r="L177" s="244"/>
      <c r="M177" s="244"/>
      <c r="N177" s="244"/>
      <c r="O177" s="244"/>
      <c r="P177" s="244"/>
      <c r="Q177" s="244"/>
      <c r="R177" s="244"/>
      <c r="S177" s="244"/>
      <c r="T177" s="244"/>
      <c r="U177" s="244"/>
      <c r="V177" s="244"/>
      <c r="W177" s="244"/>
      <c r="X177" s="244"/>
      <c r="Y177" s="244"/>
      <c r="Z177" s="244"/>
    </row>
    <row r="178" hidden="1">
      <c r="A178" s="249"/>
      <c r="B178" s="249"/>
      <c r="C178" s="250"/>
      <c r="D178" s="244"/>
      <c r="E178" s="244"/>
      <c r="F178" s="244"/>
      <c r="G178" s="244"/>
      <c r="H178" s="244"/>
      <c r="I178" s="244"/>
      <c r="J178" s="244"/>
      <c r="K178" s="244"/>
      <c r="L178" s="244"/>
      <c r="M178" s="244"/>
      <c r="N178" s="244"/>
      <c r="O178" s="244"/>
      <c r="P178" s="244"/>
      <c r="Q178" s="244"/>
      <c r="R178" s="244"/>
      <c r="S178" s="244"/>
      <c r="T178" s="244"/>
      <c r="U178" s="244"/>
      <c r="V178" s="244"/>
      <c r="W178" s="244"/>
      <c r="X178" s="244"/>
      <c r="Y178" s="244"/>
      <c r="Z178" s="244"/>
    </row>
    <row r="179" hidden="1">
      <c r="A179" s="249"/>
      <c r="B179" s="249"/>
      <c r="C179" s="250"/>
      <c r="D179" s="244"/>
      <c r="E179" s="244"/>
      <c r="F179" s="244"/>
      <c r="G179" s="244"/>
      <c r="H179" s="244"/>
      <c r="I179" s="244"/>
      <c r="J179" s="244"/>
      <c r="K179" s="244"/>
      <c r="L179" s="244"/>
      <c r="M179" s="244"/>
      <c r="N179" s="244"/>
      <c r="O179" s="244"/>
      <c r="P179" s="244"/>
      <c r="Q179" s="244"/>
      <c r="R179" s="244"/>
      <c r="S179" s="244"/>
      <c r="T179" s="244"/>
      <c r="U179" s="244"/>
      <c r="V179" s="244"/>
      <c r="W179" s="244"/>
      <c r="X179" s="244"/>
      <c r="Y179" s="244"/>
      <c r="Z179" s="244"/>
    </row>
    <row r="180" hidden="1">
      <c r="A180" s="249"/>
      <c r="B180" s="249"/>
      <c r="C180" s="250"/>
      <c r="D180" s="244"/>
      <c r="E180" s="244"/>
      <c r="F180" s="244"/>
      <c r="G180" s="244"/>
      <c r="H180" s="244"/>
      <c r="I180" s="244"/>
      <c r="J180" s="244"/>
      <c r="K180" s="244"/>
      <c r="L180" s="244"/>
      <c r="M180" s="244"/>
      <c r="N180" s="244"/>
      <c r="O180" s="244"/>
      <c r="P180" s="244"/>
      <c r="Q180" s="244"/>
      <c r="R180" s="244"/>
      <c r="S180" s="244"/>
      <c r="T180" s="244"/>
      <c r="U180" s="244"/>
      <c r="V180" s="244"/>
      <c r="W180" s="244"/>
      <c r="X180" s="244"/>
      <c r="Y180" s="244"/>
      <c r="Z180" s="244"/>
    </row>
    <row r="181" hidden="1">
      <c r="A181" s="249"/>
      <c r="B181" s="249"/>
      <c r="C181" s="250"/>
      <c r="D181" s="244"/>
      <c r="E181" s="244"/>
      <c r="F181" s="244"/>
      <c r="G181" s="244"/>
      <c r="H181" s="244"/>
      <c r="I181" s="244"/>
      <c r="J181" s="244"/>
      <c r="K181" s="244"/>
      <c r="L181" s="244"/>
      <c r="M181" s="244"/>
      <c r="N181" s="244"/>
      <c r="O181" s="244"/>
      <c r="P181" s="244"/>
      <c r="Q181" s="244"/>
      <c r="R181" s="244"/>
      <c r="S181" s="244"/>
      <c r="T181" s="244"/>
      <c r="U181" s="244"/>
      <c r="V181" s="244"/>
      <c r="W181" s="244"/>
      <c r="X181" s="244"/>
      <c r="Y181" s="244"/>
      <c r="Z181" s="244"/>
    </row>
    <row r="182" hidden="1">
      <c r="A182" s="249"/>
      <c r="B182" s="249"/>
      <c r="C182" s="250"/>
      <c r="D182" s="244"/>
      <c r="E182" s="244"/>
      <c r="F182" s="244"/>
      <c r="G182" s="244"/>
      <c r="H182" s="244"/>
      <c r="I182" s="244"/>
      <c r="J182" s="244"/>
      <c r="K182" s="244"/>
      <c r="L182" s="244"/>
      <c r="M182" s="244"/>
      <c r="N182" s="244"/>
      <c r="O182" s="244"/>
      <c r="P182" s="244"/>
      <c r="Q182" s="244"/>
      <c r="R182" s="244"/>
      <c r="S182" s="244"/>
      <c r="T182" s="244"/>
      <c r="U182" s="244"/>
      <c r="V182" s="244"/>
      <c r="W182" s="244"/>
      <c r="X182" s="244"/>
      <c r="Y182" s="244"/>
      <c r="Z182" s="244"/>
    </row>
    <row r="183" hidden="1">
      <c r="A183" s="249"/>
      <c r="B183" s="249"/>
      <c r="C183" s="250"/>
      <c r="D183" s="244"/>
      <c r="E183" s="244"/>
      <c r="F183" s="244"/>
      <c r="G183" s="244"/>
      <c r="H183" s="244"/>
      <c r="I183" s="244"/>
      <c r="J183" s="244"/>
      <c r="K183" s="244"/>
      <c r="L183" s="244"/>
      <c r="M183" s="244"/>
      <c r="N183" s="244"/>
      <c r="O183" s="244"/>
      <c r="P183" s="244"/>
      <c r="Q183" s="244"/>
      <c r="R183" s="244"/>
      <c r="S183" s="244"/>
      <c r="T183" s="244"/>
      <c r="U183" s="244"/>
      <c r="V183" s="244"/>
      <c r="W183" s="244"/>
      <c r="X183" s="244"/>
      <c r="Y183" s="244"/>
      <c r="Z183" s="244"/>
    </row>
    <row r="184" hidden="1">
      <c r="A184" s="249"/>
      <c r="B184" s="249"/>
      <c r="C184" s="250"/>
      <c r="D184" s="244"/>
      <c r="E184" s="244"/>
      <c r="F184" s="244"/>
      <c r="G184" s="244"/>
      <c r="H184" s="244"/>
      <c r="I184" s="244"/>
      <c r="J184" s="244"/>
      <c r="K184" s="244"/>
      <c r="L184" s="244"/>
      <c r="M184" s="244"/>
      <c r="N184" s="244"/>
      <c r="O184" s="244"/>
      <c r="P184" s="244"/>
      <c r="Q184" s="244"/>
      <c r="R184" s="244"/>
      <c r="S184" s="244"/>
      <c r="T184" s="244"/>
      <c r="U184" s="244"/>
      <c r="V184" s="244"/>
      <c r="W184" s="244"/>
      <c r="X184" s="244"/>
      <c r="Y184" s="244"/>
      <c r="Z184" s="244"/>
    </row>
    <row r="185" hidden="1">
      <c r="A185" s="249"/>
      <c r="B185" s="249"/>
      <c r="C185" s="250"/>
      <c r="D185" s="244"/>
      <c r="E185" s="244"/>
      <c r="F185" s="244"/>
      <c r="G185" s="244"/>
      <c r="H185" s="244"/>
      <c r="I185" s="244"/>
      <c r="J185" s="244"/>
      <c r="K185" s="244"/>
      <c r="L185" s="244"/>
      <c r="M185" s="244"/>
      <c r="N185" s="244"/>
      <c r="O185" s="244"/>
      <c r="P185" s="244"/>
      <c r="Q185" s="244"/>
      <c r="R185" s="244"/>
      <c r="S185" s="244"/>
      <c r="T185" s="244"/>
      <c r="U185" s="244"/>
      <c r="V185" s="244"/>
      <c r="W185" s="244"/>
      <c r="X185" s="244"/>
      <c r="Y185" s="244"/>
      <c r="Z185" s="244"/>
    </row>
    <row r="186" hidden="1">
      <c r="A186" s="249"/>
      <c r="B186" s="249"/>
      <c r="C186" s="250"/>
      <c r="D186" s="244"/>
      <c r="E186" s="244"/>
      <c r="F186" s="244"/>
      <c r="G186" s="244"/>
      <c r="H186" s="244"/>
      <c r="I186" s="244"/>
      <c r="J186" s="244"/>
      <c r="K186" s="244"/>
      <c r="L186" s="244"/>
      <c r="M186" s="244"/>
      <c r="N186" s="244"/>
      <c r="O186" s="244"/>
      <c r="P186" s="244"/>
      <c r="Q186" s="244"/>
      <c r="R186" s="244"/>
      <c r="S186" s="244"/>
      <c r="T186" s="244"/>
      <c r="U186" s="244"/>
      <c r="V186" s="244"/>
      <c r="W186" s="244"/>
      <c r="X186" s="244"/>
      <c r="Y186" s="244"/>
      <c r="Z186" s="244"/>
    </row>
    <row r="187" hidden="1">
      <c r="A187" s="249"/>
      <c r="B187" s="249"/>
      <c r="C187" s="250"/>
      <c r="D187" s="244"/>
      <c r="E187" s="244"/>
      <c r="F187" s="244"/>
      <c r="G187" s="244"/>
      <c r="H187" s="244"/>
      <c r="I187" s="244"/>
      <c r="J187" s="244"/>
      <c r="K187" s="244"/>
      <c r="L187" s="244"/>
      <c r="M187" s="244"/>
      <c r="N187" s="244"/>
      <c r="O187" s="244"/>
      <c r="P187" s="244"/>
      <c r="Q187" s="244"/>
      <c r="R187" s="244"/>
      <c r="S187" s="244"/>
      <c r="T187" s="244"/>
      <c r="U187" s="244"/>
      <c r="V187" s="244"/>
      <c r="W187" s="244"/>
      <c r="X187" s="244"/>
      <c r="Y187" s="244"/>
      <c r="Z187" s="244"/>
    </row>
    <row r="188" hidden="1">
      <c r="A188" s="249"/>
      <c r="B188" s="249"/>
      <c r="C188" s="250"/>
      <c r="D188" s="244"/>
      <c r="E188" s="244"/>
      <c r="F188" s="244"/>
      <c r="G188" s="244"/>
      <c r="H188" s="244"/>
      <c r="I188" s="244"/>
      <c r="J188" s="244"/>
      <c r="K188" s="244"/>
      <c r="L188" s="244"/>
      <c r="M188" s="244"/>
      <c r="N188" s="244"/>
      <c r="O188" s="244"/>
      <c r="P188" s="244"/>
      <c r="Q188" s="244"/>
      <c r="R188" s="244"/>
      <c r="S188" s="244"/>
      <c r="T188" s="244"/>
      <c r="U188" s="244"/>
      <c r="V188" s="244"/>
      <c r="W188" s="244"/>
      <c r="X188" s="244"/>
      <c r="Y188" s="244"/>
      <c r="Z188" s="244"/>
    </row>
    <row r="189" hidden="1">
      <c r="A189" s="249"/>
      <c r="B189" s="249"/>
      <c r="C189" s="250"/>
      <c r="D189" s="244"/>
      <c r="E189" s="244"/>
      <c r="F189" s="244"/>
      <c r="G189" s="244"/>
      <c r="H189" s="244"/>
      <c r="I189" s="244"/>
      <c r="J189" s="244"/>
      <c r="K189" s="244"/>
      <c r="L189" s="244"/>
      <c r="M189" s="244"/>
      <c r="N189" s="244"/>
      <c r="O189" s="244"/>
      <c r="P189" s="244"/>
      <c r="Q189" s="244"/>
      <c r="R189" s="244"/>
      <c r="S189" s="244"/>
      <c r="T189" s="244"/>
      <c r="U189" s="244"/>
      <c r="V189" s="244"/>
      <c r="W189" s="244"/>
      <c r="X189" s="244"/>
      <c r="Y189" s="244"/>
      <c r="Z189" s="244"/>
    </row>
    <row r="190" hidden="1">
      <c r="A190" s="249"/>
      <c r="B190" s="249"/>
      <c r="C190" s="250"/>
      <c r="D190" s="244"/>
      <c r="E190" s="244"/>
      <c r="F190" s="244"/>
      <c r="G190" s="244"/>
      <c r="H190" s="244"/>
      <c r="I190" s="244"/>
      <c r="J190" s="244"/>
      <c r="K190" s="244"/>
      <c r="L190" s="244"/>
      <c r="M190" s="244"/>
      <c r="N190" s="244"/>
      <c r="O190" s="244"/>
      <c r="P190" s="244"/>
      <c r="Q190" s="244"/>
      <c r="R190" s="244"/>
      <c r="S190" s="244"/>
      <c r="T190" s="244"/>
      <c r="U190" s="244"/>
      <c r="V190" s="244"/>
      <c r="W190" s="244"/>
      <c r="X190" s="244"/>
      <c r="Y190" s="244"/>
      <c r="Z190" s="244"/>
    </row>
    <row r="191" hidden="1">
      <c r="A191" s="249"/>
      <c r="B191" s="249"/>
      <c r="C191" s="250"/>
      <c r="D191" s="244"/>
      <c r="E191" s="244"/>
      <c r="F191" s="244"/>
      <c r="G191" s="244"/>
      <c r="H191" s="244"/>
      <c r="I191" s="244"/>
      <c r="J191" s="244"/>
      <c r="K191" s="244"/>
      <c r="L191" s="244"/>
      <c r="M191" s="244"/>
      <c r="N191" s="244"/>
      <c r="O191" s="244"/>
      <c r="P191" s="244"/>
      <c r="Q191" s="244"/>
      <c r="R191" s="244"/>
      <c r="S191" s="244"/>
      <c r="T191" s="244"/>
      <c r="U191" s="244"/>
      <c r="V191" s="244"/>
      <c r="W191" s="244"/>
      <c r="X191" s="244"/>
      <c r="Y191" s="244"/>
      <c r="Z191" s="244"/>
    </row>
    <row r="192" hidden="1">
      <c r="A192" s="249"/>
      <c r="B192" s="249"/>
      <c r="C192" s="250"/>
      <c r="D192" s="244"/>
      <c r="E192" s="244"/>
      <c r="F192" s="244"/>
      <c r="G192" s="244"/>
      <c r="H192" s="244"/>
      <c r="I192" s="244"/>
      <c r="J192" s="244"/>
      <c r="K192" s="244"/>
      <c r="L192" s="244"/>
      <c r="M192" s="244"/>
      <c r="N192" s="244"/>
      <c r="O192" s="244"/>
      <c r="P192" s="244"/>
      <c r="Q192" s="244"/>
      <c r="R192" s="244"/>
      <c r="S192" s="244"/>
      <c r="T192" s="244"/>
      <c r="U192" s="244"/>
      <c r="V192" s="244"/>
      <c r="W192" s="244"/>
      <c r="X192" s="244"/>
      <c r="Y192" s="244"/>
      <c r="Z192" s="244"/>
    </row>
    <row r="193" hidden="1">
      <c r="A193" s="249"/>
      <c r="B193" s="249"/>
      <c r="C193" s="250"/>
      <c r="D193" s="244"/>
      <c r="E193" s="244"/>
      <c r="F193" s="244"/>
      <c r="G193" s="244"/>
      <c r="H193" s="244"/>
      <c r="I193" s="244"/>
      <c r="J193" s="244"/>
      <c r="K193" s="244"/>
      <c r="L193" s="244"/>
      <c r="M193" s="244"/>
      <c r="N193" s="244"/>
      <c r="O193" s="244"/>
      <c r="P193" s="244"/>
      <c r="Q193" s="244"/>
      <c r="R193" s="244"/>
      <c r="S193" s="244"/>
      <c r="T193" s="244"/>
      <c r="U193" s="244"/>
      <c r="V193" s="244"/>
      <c r="W193" s="244"/>
      <c r="X193" s="244"/>
      <c r="Y193" s="244"/>
      <c r="Z193" s="244"/>
    </row>
    <row r="194" hidden="1">
      <c r="A194" s="249"/>
      <c r="B194" s="249"/>
      <c r="C194" s="250"/>
      <c r="D194" s="244"/>
      <c r="E194" s="244"/>
      <c r="F194" s="244"/>
      <c r="G194" s="244"/>
      <c r="H194" s="244"/>
      <c r="I194" s="244"/>
      <c r="J194" s="244"/>
      <c r="K194" s="244"/>
      <c r="L194" s="244"/>
      <c r="M194" s="244"/>
      <c r="N194" s="244"/>
      <c r="O194" s="244"/>
      <c r="P194" s="244"/>
      <c r="Q194" s="244"/>
      <c r="R194" s="244"/>
      <c r="S194" s="244"/>
      <c r="T194" s="244"/>
      <c r="U194" s="244"/>
      <c r="V194" s="244"/>
      <c r="W194" s="244"/>
      <c r="X194" s="244"/>
      <c r="Y194" s="244"/>
      <c r="Z194" s="244"/>
    </row>
    <row r="195" hidden="1">
      <c r="A195" s="249"/>
      <c r="B195" s="249"/>
      <c r="C195" s="250"/>
      <c r="D195" s="244"/>
      <c r="E195" s="244"/>
      <c r="F195" s="244"/>
      <c r="G195" s="244"/>
      <c r="H195" s="244"/>
      <c r="I195" s="244"/>
      <c r="J195" s="244"/>
      <c r="K195" s="244"/>
      <c r="L195" s="244"/>
      <c r="M195" s="244"/>
      <c r="N195" s="244"/>
      <c r="O195" s="244"/>
      <c r="P195" s="244"/>
      <c r="Q195" s="244"/>
      <c r="R195" s="244"/>
      <c r="S195" s="244"/>
      <c r="T195" s="244"/>
      <c r="U195" s="244"/>
      <c r="V195" s="244"/>
      <c r="W195" s="244"/>
      <c r="X195" s="244"/>
      <c r="Y195" s="244"/>
      <c r="Z195" s="244"/>
    </row>
    <row r="196" hidden="1">
      <c r="A196" s="249"/>
      <c r="B196" s="249"/>
      <c r="C196" s="250"/>
      <c r="D196" s="244"/>
      <c r="E196" s="244"/>
      <c r="F196" s="244"/>
      <c r="G196" s="244"/>
      <c r="H196" s="244"/>
      <c r="I196" s="244"/>
      <c r="J196" s="244"/>
      <c r="K196" s="244"/>
      <c r="L196" s="244"/>
      <c r="M196" s="244"/>
      <c r="N196" s="244"/>
      <c r="O196" s="244"/>
      <c r="P196" s="244"/>
      <c r="Q196" s="244"/>
      <c r="R196" s="244"/>
      <c r="S196" s="244"/>
      <c r="T196" s="244"/>
      <c r="U196" s="244"/>
      <c r="V196" s="244"/>
      <c r="W196" s="244"/>
      <c r="X196" s="244"/>
      <c r="Y196" s="244"/>
      <c r="Z196" s="244"/>
    </row>
    <row r="197" hidden="1">
      <c r="A197" s="249"/>
      <c r="B197" s="249"/>
      <c r="C197" s="250"/>
      <c r="D197" s="244"/>
      <c r="E197" s="244"/>
      <c r="F197" s="244"/>
      <c r="G197" s="244"/>
      <c r="H197" s="244"/>
      <c r="I197" s="244"/>
      <c r="J197" s="244"/>
      <c r="K197" s="244"/>
      <c r="L197" s="244"/>
      <c r="M197" s="244"/>
      <c r="N197" s="244"/>
      <c r="O197" s="244"/>
      <c r="P197" s="244"/>
      <c r="Q197" s="244"/>
      <c r="R197" s="244"/>
      <c r="S197" s="244"/>
      <c r="T197" s="244"/>
      <c r="U197" s="244"/>
      <c r="V197" s="244"/>
      <c r="W197" s="244"/>
      <c r="X197" s="244"/>
      <c r="Y197" s="244"/>
      <c r="Z197" s="244"/>
    </row>
    <row r="198" hidden="1">
      <c r="A198" s="249"/>
      <c r="B198" s="249"/>
      <c r="C198" s="250"/>
      <c r="D198" s="244"/>
      <c r="E198" s="244"/>
      <c r="F198" s="244"/>
      <c r="G198" s="244"/>
      <c r="H198" s="244"/>
      <c r="I198" s="244"/>
      <c r="J198" s="244"/>
      <c r="K198" s="244"/>
      <c r="L198" s="244"/>
      <c r="M198" s="244"/>
      <c r="N198" s="244"/>
      <c r="O198" s="244"/>
      <c r="P198" s="244"/>
      <c r="Q198" s="244"/>
      <c r="R198" s="244"/>
      <c r="S198" s="244"/>
      <c r="T198" s="244"/>
      <c r="U198" s="244"/>
      <c r="V198" s="244"/>
      <c r="W198" s="244"/>
      <c r="X198" s="244"/>
      <c r="Y198" s="244"/>
      <c r="Z198" s="244"/>
    </row>
    <row r="199" hidden="1">
      <c r="A199" s="249"/>
      <c r="B199" s="249"/>
      <c r="C199" s="250"/>
      <c r="D199" s="244"/>
      <c r="E199" s="244"/>
      <c r="F199" s="244"/>
      <c r="G199" s="244"/>
      <c r="H199" s="244"/>
      <c r="I199" s="244"/>
      <c r="J199" s="244"/>
      <c r="K199" s="244"/>
      <c r="L199" s="244"/>
      <c r="M199" s="244"/>
      <c r="N199" s="244"/>
      <c r="O199" s="244"/>
      <c r="P199" s="244"/>
      <c r="Q199" s="244"/>
      <c r="R199" s="244"/>
      <c r="S199" s="244"/>
      <c r="T199" s="244"/>
      <c r="U199" s="244"/>
      <c r="V199" s="244"/>
      <c r="W199" s="244"/>
      <c r="X199" s="244"/>
      <c r="Y199" s="244"/>
      <c r="Z199" s="244"/>
    </row>
    <row r="200" hidden="1">
      <c r="A200" s="249"/>
      <c r="B200" s="249"/>
      <c r="C200" s="250"/>
      <c r="D200" s="244"/>
      <c r="E200" s="244"/>
      <c r="F200" s="244"/>
      <c r="G200" s="244"/>
      <c r="H200" s="244"/>
      <c r="I200" s="244"/>
      <c r="J200" s="244"/>
      <c r="K200" s="244"/>
      <c r="L200" s="244"/>
      <c r="M200" s="244"/>
      <c r="N200" s="244"/>
      <c r="O200" s="244"/>
      <c r="P200" s="244"/>
      <c r="Q200" s="244"/>
      <c r="R200" s="244"/>
      <c r="S200" s="244"/>
      <c r="T200" s="244"/>
      <c r="U200" s="244"/>
      <c r="V200" s="244"/>
      <c r="W200" s="244"/>
      <c r="X200" s="244"/>
      <c r="Y200" s="244"/>
      <c r="Z200" s="244"/>
    </row>
    <row r="201" hidden="1">
      <c r="A201" s="249"/>
      <c r="B201" s="249"/>
      <c r="C201" s="250"/>
      <c r="D201" s="244"/>
      <c r="E201" s="244"/>
      <c r="F201" s="244"/>
      <c r="G201" s="244"/>
      <c r="H201" s="244"/>
      <c r="I201" s="244"/>
      <c r="J201" s="244"/>
      <c r="K201" s="244"/>
      <c r="L201" s="244"/>
      <c r="M201" s="244"/>
      <c r="N201" s="244"/>
      <c r="O201" s="244"/>
      <c r="P201" s="244"/>
      <c r="Q201" s="244"/>
      <c r="R201" s="244"/>
      <c r="S201" s="244"/>
      <c r="T201" s="244"/>
      <c r="U201" s="244"/>
      <c r="V201" s="244"/>
      <c r="W201" s="244"/>
      <c r="X201" s="244"/>
      <c r="Y201" s="244"/>
      <c r="Z201" s="244"/>
    </row>
    <row r="202" hidden="1">
      <c r="A202" s="249"/>
      <c r="B202" s="249"/>
      <c r="C202" s="250"/>
      <c r="D202" s="244"/>
      <c r="E202" s="244"/>
      <c r="F202" s="244"/>
      <c r="G202" s="244"/>
      <c r="H202" s="244"/>
      <c r="I202" s="244"/>
      <c r="J202" s="244"/>
      <c r="K202" s="244"/>
      <c r="L202" s="244"/>
      <c r="M202" s="244"/>
      <c r="N202" s="244"/>
      <c r="O202" s="244"/>
      <c r="P202" s="244"/>
      <c r="Q202" s="244"/>
      <c r="R202" s="244"/>
      <c r="S202" s="244"/>
      <c r="T202" s="244"/>
      <c r="U202" s="244"/>
      <c r="V202" s="244"/>
      <c r="W202" s="244"/>
      <c r="X202" s="244"/>
      <c r="Y202" s="244"/>
      <c r="Z202" s="244"/>
    </row>
    <row r="203" hidden="1">
      <c r="A203" s="249"/>
      <c r="B203" s="249"/>
      <c r="C203" s="250"/>
      <c r="D203" s="244"/>
      <c r="E203" s="244"/>
      <c r="F203" s="244"/>
      <c r="G203" s="244"/>
      <c r="H203" s="244"/>
      <c r="I203" s="244"/>
      <c r="J203" s="244"/>
      <c r="K203" s="244"/>
      <c r="L203" s="244"/>
      <c r="M203" s="244"/>
      <c r="N203" s="244"/>
      <c r="O203" s="244"/>
      <c r="P203" s="244"/>
      <c r="Q203" s="244"/>
      <c r="R203" s="244"/>
      <c r="S203" s="244"/>
      <c r="T203" s="244"/>
      <c r="U203" s="244"/>
      <c r="V203" s="244"/>
      <c r="W203" s="244"/>
      <c r="X203" s="244"/>
      <c r="Y203" s="244"/>
      <c r="Z203" s="244"/>
    </row>
    <row r="204" hidden="1">
      <c r="A204" s="249"/>
      <c r="B204" s="249"/>
      <c r="C204" s="250"/>
      <c r="D204" s="244"/>
      <c r="E204" s="244"/>
      <c r="F204" s="244"/>
      <c r="G204" s="244"/>
      <c r="H204" s="244"/>
      <c r="I204" s="244"/>
      <c r="J204" s="244"/>
      <c r="K204" s="244"/>
      <c r="L204" s="244"/>
      <c r="M204" s="244"/>
      <c r="N204" s="244"/>
      <c r="O204" s="244"/>
      <c r="P204" s="244"/>
      <c r="Q204" s="244"/>
      <c r="R204" s="244"/>
      <c r="S204" s="244"/>
      <c r="T204" s="244"/>
      <c r="U204" s="244"/>
      <c r="V204" s="244"/>
      <c r="W204" s="244"/>
      <c r="X204" s="244"/>
      <c r="Y204" s="244"/>
      <c r="Z204" s="244"/>
    </row>
    <row r="205" hidden="1">
      <c r="A205" s="249"/>
      <c r="B205" s="249"/>
      <c r="C205" s="250"/>
      <c r="D205" s="244"/>
      <c r="E205" s="244"/>
      <c r="F205" s="244"/>
      <c r="G205" s="244"/>
      <c r="H205" s="244"/>
      <c r="I205" s="244"/>
      <c r="J205" s="244"/>
      <c r="K205" s="244"/>
      <c r="L205" s="244"/>
      <c r="M205" s="244"/>
      <c r="N205" s="244"/>
      <c r="O205" s="244"/>
      <c r="P205" s="244"/>
      <c r="Q205" s="244"/>
      <c r="R205" s="244"/>
      <c r="S205" s="244"/>
      <c r="T205" s="244"/>
      <c r="U205" s="244"/>
      <c r="V205" s="244"/>
      <c r="W205" s="244"/>
      <c r="X205" s="244"/>
      <c r="Y205" s="244"/>
      <c r="Z205" s="244"/>
    </row>
    <row r="206" hidden="1">
      <c r="A206" s="249"/>
      <c r="B206" s="249"/>
      <c r="C206" s="250"/>
      <c r="D206" s="244"/>
      <c r="E206" s="244"/>
      <c r="F206" s="244"/>
      <c r="G206" s="244"/>
      <c r="H206" s="244"/>
      <c r="I206" s="244"/>
      <c r="J206" s="244"/>
      <c r="K206" s="244"/>
      <c r="L206" s="244"/>
      <c r="M206" s="244"/>
      <c r="N206" s="244"/>
      <c r="O206" s="244"/>
      <c r="P206" s="244"/>
      <c r="Q206" s="244"/>
      <c r="R206" s="244"/>
      <c r="S206" s="244"/>
      <c r="T206" s="244"/>
      <c r="U206" s="244"/>
      <c r="V206" s="244"/>
      <c r="W206" s="244"/>
      <c r="X206" s="244"/>
      <c r="Y206" s="244"/>
      <c r="Z206" s="244"/>
    </row>
    <row r="207" hidden="1">
      <c r="A207" s="249"/>
      <c r="B207" s="249"/>
      <c r="C207" s="250"/>
      <c r="D207" s="244"/>
      <c r="E207" s="244"/>
      <c r="F207" s="244"/>
      <c r="G207" s="244"/>
      <c r="H207" s="244"/>
      <c r="I207" s="244"/>
      <c r="J207" s="244"/>
      <c r="K207" s="244"/>
      <c r="L207" s="244"/>
      <c r="M207" s="244"/>
      <c r="N207" s="244"/>
      <c r="O207" s="244"/>
      <c r="P207" s="244"/>
      <c r="Q207" s="244"/>
      <c r="R207" s="244"/>
      <c r="S207" s="244"/>
      <c r="T207" s="244"/>
      <c r="U207" s="244"/>
      <c r="V207" s="244"/>
      <c r="W207" s="244"/>
      <c r="X207" s="244"/>
      <c r="Y207" s="244"/>
      <c r="Z207" s="244"/>
    </row>
    <row r="208" hidden="1">
      <c r="A208" s="249"/>
      <c r="B208" s="249"/>
      <c r="C208" s="250"/>
      <c r="D208" s="244"/>
      <c r="E208" s="244"/>
      <c r="F208" s="244"/>
      <c r="G208" s="244"/>
      <c r="H208" s="244"/>
      <c r="I208" s="244"/>
      <c r="J208" s="244"/>
      <c r="K208" s="244"/>
      <c r="L208" s="244"/>
      <c r="M208" s="244"/>
      <c r="N208" s="244"/>
      <c r="O208" s="244"/>
      <c r="P208" s="244"/>
      <c r="Q208" s="244"/>
      <c r="R208" s="244"/>
      <c r="S208" s="244"/>
      <c r="T208" s="244"/>
      <c r="U208" s="244"/>
      <c r="V208" s="244"/>
      <c r="W208" s="244"/>
      <c r="X208" s="244"/>
      <c r="Y208" s="244"/>
      <c r="Z208" s="244"/>
    </row>
    <row r="209" hidden="1">
      <c r="A209" s="249"/>
      <c r="B209" s="249"/>
      <c r="C209" s="250"/>
      <c r="D209" s="244"/>
      <c r="E209" s="244"/>
      <c r="F209" s="244"/>
      <c r="G209" s="244"/>
      <c r="H209" s="244"/>
      <c r="I209" s="244"/>
      <c r="J209" s="244"/>
      <c r="K209" s="244"/>
      <c r="L209" s="244"/>
      <c r="M209" s="244"/>
      <c r="N209" s="244"/>
      <c r="O209" s="244"/>
      <c r="P209" s="244"/>
      <c r="Q209" s="244"/>
      <c r="R209" s="244"/>
      <c r="S209" s="244"/>
      <c r="T209" s="244"/>
      <c r="U209" s="244"/>
      <c r="V209" s="244"/>
      <c r="W209" s="244"/>
      <c r="X209" s="244"/>
      <c r="Y209" s="244"/>
      <c r="Z209" s="244"/>
    </row>
    <row r="210" hidden="1">
      <c r="A210" s="249"/>
      <c r="B210" s="249"/>
      <c r="C210" s="250"/>
      <c r="D210" s="244"/>
      <c r="E210" s="244"/>
      <c r="F210" s="244"/>
      <c r="G210" s="244"/>
      <c r="H210" s="244"/>
      <c r="I210" s="244"/>
      <c r="J210" s="244"/>
      <c r="K210" s="244"/>
      <c r="L210" s="244"/>
      <c r="M210" s="244"/>
      <c r="N210" s="244"/>
      <c r="O210" s="244"/>
      <c r="P210" s="244"/>
      <c r="Q210" s="244"/>
      <c r="R210" s="244"/>
      <c r="S210" s="244"/>
      <c r="T210" s="244"/>
      <c r="U210" s="244"/>
      <c r="V210" s="244"/>
      <c r="W210" s="244"/>
      <c r="X210" s="244"/>
      <c r="Y210" s="244"/>
      <c r="Z210" s="244"/>
    </row>
    <row r="211" hidden="1">
      <c r="A211" s="249"/>
      <c r="B211" s="249"/>
      <c r="C211" s="250"/>
      <c r="D211" s="244"/>
      <c r="E211" s="244"/>
      <c r="F211" s="244"/>
      <c r="G211" s="244"/>
      <c r="H211" s="244"/>
      <c r="I211" s="244"/>
      <c r="J211" s="244"/>
      <c r="K211" s="244"/>
      <c r="L211" s="244"/>
      <c r="M211" s="244"/>
      <c r="N211" s="244"/>
      <c r="O211" s="244"/>
      <c r="P211" s="244"/>
      <c r="Q211" s="244"/>
      <c r="R211" s="244"/>
      <c r="S211" s="244"/>
      <c r="T211" s="244"/>
      <c r="U211" s="244"/>
      <c r="V211" s="244"/>
      <c r="W211" s="244"/>
      <c r="X211" s="244"/>
      <c r="Y211" s="244"/>
      <c r="Z211" s="244"/>
    </row>
    <row r="212" hidden="1">
      <c r="A212" s="249"/>
      <c r="B212" s="249"/>
      <c r="C212" s="250"/>
      <c r="D212" s="244"/>
      <c r="E212" s="244"/>
      <c r="F212" s="244"/>
      <c r="G212" s="244"/>
      <c r="H212" s="244"/>
      <c r="I212" s="244"/>
      <c r="J212" s="244"/>
      <c r="K212" s="244"/>
      <c r="L212" s="244"/>
      <c r="M212" s="244"/>
      <c r="N212" s="244"/>
      <c r="O212" s="244"/>
      <c r="P212" s="244"/>
      <c r="Q212" s="244"/>
      <c r="R212" s="244"/>
      <c r="S212" s="244"/>
      <c r="T212" s="244"/>
      <c r="U212" s="244"/>
      <c r="V212" s="244"/>
      <c r="W212" s="244"/>
      <c r="X212" s="244"/>
      <c r="Y212" s="244"/>
      <c r="Z212" s="244"/>
    </row>
    <row r="213" hidden="1">
      <c r="A213" s="249"/>
      <c r="B213" s="249"/>
      <c r="C213" s="250"/>
      <c r="D213" s="244"/>
      <c r="E213" s="244"/>
      <c r="F213" s="244"/>
      <c r="G213" s="244"/>
      <c r="H213" s="244"/>
      <c r="I213" s="244"/>
      <c r="J213" s="244"/>
      <c r="K213" s="244"/>
      <c r="L213" s="244"/>
      <c r="M213" s="244"/>
      <c r="N213" s="244"/>
      <c r="O213" s="244"/>
      <c r="P213" s="244"/>
      <c r="Q213" s="244"/>
      <c r="R213" s="244"/>
      <c r="S213" s="244"/>
      <c r="T213" s="244"/>
      <c r="U213" s="244"/>
      <c r="V213" s="244"/>
      <c r="W213" s="244"/>
      <c r="X213" s="244"/>
      <c r="Y213" s="244"/>
      <c r="Z213" s="244"/>
    </row>
    <row r="214" hidden="1">
      <c r="A214" s="249"/>
      <c r="B214" s="249"/>
      <c r="C214" s="250"/>
      <c r="D214" s="244"/>
      <c r="E214" s="244"/>
      <c r="F214" s="244"/>
      <c r="G214" s="244"/>
      <c r="H214" s="244"/>
      <c r="I214" s="244"/>
      <c r="J214" s="244"/>
      <c r="K214" s="244"/>
      <c r="L214" s="244"/>
      <c r="M214" s="244"/>
      <c r="N214" s="244"/>
      <c r="O214" s="244"/>
      <c r="P214" s="244"/>
      <c r="Q214" s="244"/>
      <c r="R214" s="244"/>
      <c r="S214" s="244"/>
      <c r="T214" s="244"/>
      <c r="U214" s="244"/>
      <c r="V214" s="244"/>
      <c r="W214" s="244"/>
      <c r="X214" s="244"/>
      <c r="Y214" s="244"/>
      <c r="Z214" s="244"/>
    </row>
    <row r="215" hidden="1">
      <c r="A215" s="249"/>
      <c r="B215" s="249"/>
      <c r="C215" s="250"/>
      <c r="D215" s="244"/>
      <c r="E215" s="244"/>
      <c r="F215" s="244"/>
      <c r="G215" s="244"/>
      <c r="H215" s="244"/>
      <c r="I215" s="244"/>
      <c r="J215" s="244"/>
      <c r="K215" s="244"/>
      <c r="L215" s="244"/>
      <c r="M215" s="244"/>
      <c r="N215" s="244"/>
      <c r="O215" s="244"/>
      <c r="P215" s="244"/>
      <c r="Q215" s="244"/>
      <c r="R215" s="244"/>
      <c r="S215" s="244"/>
      <c r="T215" s="244"/>
      <c r="U215" s="244"/>
      <c r="V215" s="244"/>
      <c r="W215" s="244"/>
      <c r="X215" s="244"/>
      <c r="Y215" s="244"/>
      <c r="Z215" s="244"/>
    </row>
    <row r="216" hidden="1">
      <c r="A216" s="249"/>
      <c r="B216" s="249"/>
      <c r="C216" s="250"/>
      <c r="D216" s="244"/>
      <c r="E216" s="244"/>
      <c r="F216" s="244"/>
      <c r="G216" s="244"/>
      <c r="H216" s="244"/>
      <c r="I216" s="244"/>
      <c r="J216" s="244"/>
      <c r="K216" s="244"/>
      <c r="L216" s="244"/>
      <c r="M216" s="244"/>
      <c r="N216" s="244"/>
      <c r="O216" s="244"/>
      <c r="P216" s="244"/>
      <c r="Q216" s="244"/>
      <c r="R216" s="244"/>
      <c r="S216" s="244"/>
      <c r="T216" s="244"/>
      <c r="U216" s="244"/>
      <c r="V216" s="244"/>
      <c r="W216" s="244"/>
      <c r="X216" s="244"/>
      <c r="Y216" s="244"/>
      <c r="Z216" s="244"/>
    </row>
    <row r="217" hidden="1">
      <c r="A217" s="249"/>
      <c r="B217" s="249"/>
      <c r="C217" s="250"/>
      <c r="D217" s="244"/>
      <c r="E217" s="244"/>
      <c r="F217" s="244"/>
      <c r="G217" s="244"/>
      <c r="H217" s="244"/>
      <c r="I217" s="244"/>
      <c r="J217" s="244"/>
      <c r="K217" s="244"/>
      <c r="L217" s="244"/>
      <c r="M217" s="244"/>
      <c r="N217" s="244"/>
      <c r="O217" s="244"/>
      <c r="P217" s="244"/>
      <c r="Q217" s="244"/>
      <c r="R217" s="244"/>
      <c r="S217" s="244"/>
      <c r="T217" s="244"/>
      <c r="U217" s="244"/>
      <c r="V217" s="244"/>
      <c r="W217" s="244"/>
      <c r="X217" s="244"/>
      <c r="Y217" s="244"/>
      <c r="Z217" s="244"/>
    </row>
    <row r="218" hidden="1">
      <c r="A218" s="249"/>
      <c r="B218" s="249"/>
      <c r="C218" s="250"/>
      <c r="D218" s="244"/>
      <c r="E218" s="244"/>
      <c r="F218" s="244"/>
      <c r="G218" s="244"/>
      <c r="H218" s="244"/>
      <c r="I218" s="244"/>
      <c r="J218" s="244"/>
      <c r="K218" s="244"/>
      <c r="L218" s="244"/>
      <c r="M218" s="244"/>
      <c r="N218" s="244"/>
      <c r="O218" s="244"/>
      <c r="P218" s="244"/>
      <c r="Q218" s="244"/>
      <c r="R218" s="244"/>
      <c r="S218" s="244"/>
      <c r="T218" s="244"/>
      <c r="U218" s="244"/>
      <c r="V218" s="244"/>
      <c r="W218" s="244"/>
      <c r="X218" s="244"/>
      <c r="Y218" s="244"/>
      <c r="Z218" s="244"/>
    </row>
    <row r="219" hidden="1">
      <c r="A219" s="249"/>
      <c r="B219" s="249"/>
      <c r="C219" s="250"/>
      <c r="D219" s="244"/>
      <c r="E219" s="244"/>
      <c r="F219" s="244"/>
      <c r="G219" s="244"/>
      <c r="H219" s="244"/>
      <c r="I219" s="244"/>
      <c r="J219" s="244"/>
      <c r="K219" s="244"/>
      <c r="L219" s="244"/>
      <c r="M219" s="244"/>
      <c r="N219" s="244"/>
      <c r="O219" s="244"/>
      <c r="P219" s="244"/>
      <c r="Q219" s="244"/>
      <c r="R219" s="244"/>
      <c r="S219" s="244"/>
      <c r="T219" s="244"/>
      <c r="U219" s="244"/>
      <c r="V219" s="244"/>
      <c r="W219" s="244"/>
      <c r="X219" s="244"/>
      <c r="Y219" s="244"/>
      <c r="Z219" s="244"/>
    </row>
    <row r="220" hidden="1">
      <c r="A220" s="249"/>
      <c r="B220" s="249"/>
      <c r="C220" s="250"/>
      <c r="D220" s="244"/>
      <c r="E220" s="244"/>
      <c r="F220" s="244"/>
      <c r="G220" s="244"/>
      <c r="H220" s="244"/>
      <c r="I220" s="244"/>
      <c r="J220" s="244"/>
      <c r="K220" s="244"/>
      <c r="L220" s="244"/>
      <c r="M220" s="244"/>
      <c r="N220" s="244"/>
      <c r="O220" s="244"/>
      <c r="P220" s="244"/>
      <c r="Q220" s="244"/>
      <c r="R220" s="244"/>
      <c r="S220" s="244"/>
      <c r="T220" s="244"/>
      <c r="U220" s="244"/>
      <c r="V220" s="244"/>
      <c r="W220" s="244"/>
      <c r="X220" s="244"/>
      <c r="Y220" s="244"/>
      <c r="Z220" s="244"/>
    </row>
    <row r="221" hidden="1">
      <c r="A221" s="249"/>
      <c r="B221" s="249"/>
      <c r="C221" s="250"/>
      <c r="D221" s="244"/>
      <c r="E221" s="244"/>
      <c r="F221" s="244"/>
      <c r="G221" s="244"/>
      <c r="H221" s="244"/>
      <c r="I221" s="244"/>
      <c r="J221" s="244"/>
      <c r="K221" s="244"/>
      <c r="L221" s="244"/>
      <c r="M221" s="244"/>
      <c r="N221" s="244"/>
      <c r="O221" s="244"/>
      <c r="P221" s="244"/>
      <c r="Q221" s="244"/>
      <c r="R221" s="244"/>
      <c r="S221" s="244"/>
      <c r="T221" s="244"/>
      <c r="U221" s="244"/>
      <c r="V221" s="244"/>
      <c r="W221" s="244"/>
      <c r="X221" s="244"/>
      <c r="Y221" s="244"/>
      <c r="Z221" s="244"/>
    </row>
    <row r="222" hidden="1">
      <c r="A222" s="249"/>
      <c r="B222" s="249"/>
      <c r="C222" s="250"/>
      <c r="D222" s="244"/>
      <c r="E222" s="244"/>
      <c r="F222" s="244"/>
      <c r="G222" s="244"/>
      <c r="H222" s="244"/>
      <c r="I222" s="244"/>
      <c r="J222" s="244"/>
      <c r="K222" s="244"/>
      <c r="L222" s="244"/>
      <c r="M222" s="244"/>
      <c r="N222" s="244"/>
      <c r="O222" s="244"/>
      <c r="P222" s="244"/>
      <c r="Q222" s="244"/>
      <c r="R222" s="244"/>
      <c r="S222" s="244"/>
      <c r="T222" s="244"/>
      <c r="U222" s="244"/>
      <c r="V222" s="244"/>
      <c r="W222" s="244"/>
      <c r="X222" s="244"/>
      <c r="Y222" s="244"/>
      <c r="Z222" s="244"/>
    </row>
    <row r="223" hidden="1">
      <c r="A223" s="249"/>
      <c r="B223" s="249"/>
      <c r="C223" s="250"/>
      <c r="D223" s="244"/>
      <c r="E223" s="244"/>
      <c r="F223" s="244"/>
      <c r="G223" s="244"/>
      <c r="H223" s="244"/>
      <c r="I223" s="244"/>
      <c r="J223" s="244"/>
      <c r="K223" s="244"/>
      <c r="L223" s="244"/>
      <c r="M223" s="244"/>
      <c r="N223" s="244"/>
      <c r="O223" s="244"/>
      <c r="P223" s="244"/>
      <c r="Q223" s="244"/>
      <c r="R223" s="244"/>
      <c r="S223" s="244"/>
      <c r="T223" s="244"/>
      <c r="U223" s="244"/>
      <c r="V223" s="244"/>
      <c r="W223" s="244"/>
      <c r="X223" s="244"/>
      <c r="Y223" s="244"/>
      <c r="Z223" s="244"/>
    </row>
    <row r="224" hidden="1">
      <c r="A224" s="249"/>
      <c r="B224" s="249"/>
      <c r="C224" s="250"/>
      <c r="D224" s="244"/>
      <c r="E224" s="244"/>
      <c r="F224" s="244"/>
      <c r="G224" s="244"/>
      <c r="H224" s="244"/>
      <c r="I224" s="244"/>
      <c r="J224" s="244"/>
      <c r="K224" s="244"/>
      <c r="L224" s="244"/>
      <c r="M224" s="244"/>
      <c r="N224" s="244"/>
      <c r="O224" s="244"/>
      <c r="P224" s="244"/>
      <c r="Q224" s="244"/>
      <c r="R224" s="244"/>
      <c r="S224" s="244"/>
      <c r="T224" s="244"/>
      <c r="U224" s="244"/>
      <c r="V224" s="244"/>
      <c r="W224" s="244"/>
      <c r="X224" s="244"/>
      <c r="Y224" s="244"/>
      <c r="Z224" s="244"/>
    </row>
    <row r="225" hidden="1">
      <c r="A225" s="249"/>
      <c r="B225" s="249"/>
      <c r="C225" s="250"/>
      <c r="D225" s="244"/>
      <c r="E225" s="244"/>
      <c r="F225" s="244"/>
      <c r="G225" s="244"/>
      <c r="H225" s="244"/>
      <c r="I225" s="244"/>
      <c r="J225" s="244"/>
      <c r="K225" s="244"/>
      <c r="L225" s="244"/>
      <c r="M225" s="244"/>
      <c r="N225" s="244"/>
      <c r="O225" s="244"/>
      <c r="P225" s="244"/>
      <c r="Q225" s="244"/>
      <c r="R225" s="244"/>
      <c r="S225" s="244"/>
      <c r="T225" s="244"/>
      <c r="U225" s="244"/>
      <c r="V225" s="244"/>
      <c r="W225" s="244"/>
      <c r="X225" s="244"/>
      <c r="Y225" s="244"/>
      <c r="Z225" s="244"/>
    </row>
    <row r="226" hidden="1">
      <c r="A226" s="249"/>
      <c r="B226" s="249"/>
      <c r="C226" s="250"/>
      <c r="D226" s="244"/>
      <c r="E226" s="244"/>
      <c r="F226" s="244"/>
      <c r="G226" s="244"/>
      <c r="H226" s="244"/>
      <c r="I226" s="244"/>
      <c r="J226" s="244"/>
      <c r="K226" s="244"/>
      <c r="L226" s="244"/>
      <c r="M226" s="244"/>
      <c r="N226" s="244"/>
      <c r="O226" s="244"/>
      <c r="P226" s="244"/>
      <c r="Q226" s="244"/>
      <c r="R226" s="244"/>
      <c r="S226" s="244"/>
      <c r="T226" s="244"/>
      <c r="U226" s="244"/>
      <c r="V226" s="244"/>
      <c r="W226" s="244"/>
      <c r="X226" s="244"/>
      <c r="Y226" s="244"/>
      <c r="Z226" s="244"/>
    </row>
    <row r="227" hidden="1">
      <c r="A227" s="249"/>
      <c r="B227" s="249"/>
      <c r="C227" s="250"/>
      <c r="D227" s="244"/>
      <c r="E227" s="244"/>
      <c r="F227" s="244"/>
      <c r="G227" s="244"/>
      <c r="H227" s="244"/>
      <c r="I227" s="244"/>
      <c r="J227" s="244"/>
      <c r="K227" s="244"/>
      <c r="L227" s="244"/>
      <c r="M227" s="244"/>
      <c r="N227" s="244"/>
      <c r="O227" s="244"/>
      <c r="P227" s="244"/>
      <c r="Q227" s="244"/>
      <c r="R227" s="244"/>
      <c r="S227" s="244"/>
      <c r="T227" s="244"/>
      <c r="U227" s="244"/>
      <c r="V227" s="244"/>
      <c r="W227" s="244"/>
      <c r="X227" s="244"/>
      <c r="Y227" s="244"/>
      <c r="Z227" s="244"/>
    </row>
    <row r="228" hidden="1">
      <c r="A228" s="249"/>
      <c r="B228" s="249"/>
      <c r="C228" s="250"/>
      <c r="D228" s="244"/>
      <c r="E228" s="244"/>
      <c r="F228" s="244"/>
      <c r="G228" s="244"/>
      <c r="H228" s="244"/>
      <c r="I228" s="244"/>
      <c r="J228" s="244"/>
      <c r="K228" s="244"/>
      <c r="L228" s="244"/>
      <c r="M228" s="244"/>
      <c r="N228" s="244"/>
      <c r="O228" s="244"/>
      <c r="P228" s="244"/>
      <c r="Q228" s="244"/>
      <c r="R228" s="244"/>
      <c r="S228" s="244"/>
      <c r="T228" s="244"/>
      <c r="U228" s="244"/>
      <c r="V228" s="244"/>
      <c r="W228" s="244"/>
      <c r="X228" s="244"/>
      <c r="Y228" s="244"/>
      <c r="Z228" s="244"/>
    </row>
    <row r="229" hidden="1">
      <c r="A229" s="249"/>
      <c r="B229" s="249"/>
      <c r="C229" s="250"/>
      <c r="D229" s="244"/>
      <c r="E229" s="244"/>
      <c r="F229" s="244"/>
      <c r="G229" s="244"/>
      <c r="H229" s="244"/>
      <c r="I229" s="244"/>
      <c r="J229" s="244"/>
      <c r="K229" s="244"/>
      <c r="L229" s="244"/>
      <c r="M229" s="244"/>
      <c r="N229" s="244"/>
      <c r="O229" s="244"/>
      <c r="P229" s="244"/>
      <c r="Q229" s="244"/>
      <c r="R229" s="244"/>
      <c r="S229" s="244"/>
      <c r="T229" s="244"/>
      <c r="U229" s="244"/>
      <c r="V229" s="244"/>
      <c r="W229" s="244"/>
      <c r="X229" s="244"/>
      <c r="Y229" s="244"/>
      <c r="Z229" s="244"/>
    </row>
    <row r="230" hidden="1">
      <c r="A230" s="249"/>
      <c r="B230" s="249"/>
      <c r="C230" s="250"/>
      <c r="D230" s="244"/>
      <c r="E230" s="244"/>
      <c r="F230" s="244"/>
      <c r="G230" s="244"/>
      <c r="H230" s="244"/>
      <c r="I230" s="244"/>
      <c r="J230" s="244"/>
      <c r="K230" s="244"/>
      <c r="L230" s="244"/>
      <c r="M230" s="244"/>
      <c r="N230" s="244"/>
      <c r="O230" s="244"/>
      <c r="P230" s="244"/>
      <c r="Q230" s="244"/>
      <c r="R230" s="244"/>
      <c r="S230" s="244"/>
      <c r="T230" s="244"/>
      <c r="U230" s="244"/>
      <c r="V230" s="244"/>
      <c r="W230" s="244"/>
      <c r="X230" s="244"/>
      <c r="Y230" s="244"/>
      <c r="Z230" s="244"/>
    </row>
    <row r="231" hidden="1">
      <c r="A231" s="249"/>
      <c r="B231" s="249"/>
      <c r="C231" s="250"/>
      <c r="D231" s="244"/>
      <c r="E231" s="244"/>
      <c r="F231" s="244"/>
      <c r="G231" s="244"/>
      <c r="H231" s="244"/>
      <c r="I231" s="244"/>
      <c r="J231" s="244"/>
      <c r="K231" s="244"/>
      <c r="L231" s="244"/>
      <c r="M231" s="244"/>
      <c r="N231" s="244"/>
      <c r="O231" s="244"/>
      <c r="P231" s="244"/>
      <c r="Q231" s="244"/>
      <c r="R231" s="244"/>
      <c r="S231" s="244"/>
      <c r="T231" s="244"/>
      <c r="U231" s="244"/>
      <c r="V231" s="244"/>
      <c r="W231" s="244"/>
      <c r="X231" s="244"/>
      <c r="Y231" s="244"/>
      <c r="Z231" s="244"/>
    </row>
    <row r="232" hidden="1">
      <c r="A232" s="249"/>
      <c r="B232" s="249"/>
      <c r="C232" s="250"/>
      <c r="D232" s="244"/>
      <c r="E232" s="244"/>
      <c r="F232" s="244"/>
      <c r="G232" s="244"/>
      <c r="H232" s="244"/>
      <c r="I232" s="244"/>
      <c r="J232" s="244"/>
      <c r="K232" s="244"/>
      <c r="L232" s="244"/>
      <c r="M232" s="244"/>
      <c r="N232" s="244"/>
      <c r="O232" s="244"/>
      <c r="P232" s="244"/>
      <c r="Q232" s="244"/>
      <c r="R232" s="244"/>
      <c r="S232" s="244"/>
      <c r="T232" s="244"/>
      <c r="U232" s="244"/>
      <c r="V232" s="244"/>
      <c r="W232" s="244"/>
      <c r="X232" s="244"/>
      <c r="Y232" s="244"/>
      <c r="Z232" s="244"/>
    </row>
    <row r="233" hidden="1">
      <c r="A233" s="249"/>
      <c r="B233" s="249"/>
      <c r="C233" s="250"/>
      <c r="D233" s="244"/>
      <c r="E233" s="244"/>
      <c r="F233" s="244"/>
      <c r="G233" s="244"/>
      <c r="H233" s="244"/>
      <c r="I233" s="244"/>
      <c r="J233" s="244"/>
      <c r="K233" s="244"/>
      <c r="L233" s="244"/>
      <c r="M233" s="244"/>
      <c r="N233" s="244"/>
      <c r="O233" s="244"/>
      <c r="P233" s="244"/>
      <c r="Q233" s="244"/>
      <c r="R233" s="244"/>
      <c r="S233" s="244"/>
      <c r="T233" s="244"/>
      <c r="U233" s="244"/>
      <c r="V233" s="244"/>
      <c r="W233" s="244"/>
      <c r="X233" s="244"/>
      <c r="Y233" s="244"/>
      <c r="Z233" s="244"/>
    </row>
    <row r="234" hidden="1">
      <c r="A234" s="249"/>
      <c r="B234" s="249"/>
      <c r="C234" s="250"/>
      <c r="D234" s="244"/>
      <c r="E234" s="244"/>
      <c r="F234" s="244"/>
      <c r="G234" s="244"/>
      <c r="H234" s="244"/>
      <c r="I234" s="244"/>
      <c r="J234" s="244"/>
      <c r="K234" s="244"/>
      <c r="L234" s="244"/>
      <c r="M234" s="244"/>
      <c r="N234" s="244"/>
      <c r="O234" s="244"/>
      <c r="P234" s="244"/>
      <c r="Q234" s="244"/>
      <c r="R234" s="244"/>
      <c r="S234" s="244"/>
      <c r="T234" s="244"/>
      <c r="U234" s="244"/>
      <c r="V234" s="244"/>
      <c r="W234" s="244"/>
      <c r="X234" s="244"/>
      <c r="Y234" s="244"/>
      <c r="Z234" s="244"/>
    </row>
    <row r="235" hidden="1">
      <c r="A235" s="249"/>
      <c r="B235" s="249"/>
      <c r="C235" s="250"/>
      <c r="D235" s="244"/>
      <c r="E235" s="244"/>
      <c r="F235" s="244"/>
      <c r="G235" s="244"/>
      <c r="H235" s="244"/>
      <c r="I235" s="244"/>
      <c r="J235" s="244"/>
      <c r="K235" s="244"/>
      <c r="L235" s="244"/>
      <c r="M235" s="244"/>
      <c r="N235" s="244"/>
      <c r="O235" s="244"/>
      <c r="P235" s="244"/>
      <c r="Q235" s="244"/>
      <c r="R235" s="244"/>
      <c r="S235" s="244"/>
      <c r="T235" s="244"/>
      <c r="U235" s="244"/>
      <c r="V235" s="244"/>
      <c r="W235" s="244"/>
      <c r="X235" s="244"/>
      <c r="Y235" s="244"/>
      <c r="Z235" s="244"/>
    </row>
    <row r="236" hidden="1">
      <c r="A236" s="249"/>
      <c r="B236" s="249"/>
      <c r="C236" s="250"/>
      <c r="D236" s="244"/>
      <c r="E236" s="244"/>
      <c r="F236" s="244"/>
      <c r="G236" s="244"/>
      <c r="H236" s="244"/>
      <c r="I236" s="244"/>
      <c r="J236" s="244"/>
      <c r="K236" s="244"/>
      <c r="L236" s="244"/>
      <c r="M236" s="244"/>
      <c r="N236" s="244"/>
      <c r="O236" s="244"/>
      <c r="P236" s="244"/>
      <c r="Q236" s="244"/>
      <c r="R236" s="244"/>
      <c r="S236" s="244"/>
      <c r="T236" s="244"/>
      <c r="U236" s="244"/>
      <c r="V236" s="244"/>
      <c r="W236" s="244"/>
      <c r="X236" s="244"/>
      <c r="Y236" s="244"/>
      <c r="Z236" s="244"/>
    </row>
    <row r="237" hidden="1">
      <c r="A237" s="249"/>
      <c r="B237" s="249"/>
      <c r="C237" s="250"/>
      <c r="D237" s="244"/>
      <c r="E237" s="244"/>
      <c r="F237" s="244"/>
      <c r="G237" s="244"/>
      <c r="H237" s="244"/>
      <c r="I237" s="244"/>
      <c r="J237" s="244"/>
      <c r="K237" s="244"/>
      <c r="L237" s="244"/>
      <c r="M237" s="244"/>
      <c r="N237" s="244"/>
      <c r="O237" s="244"/>
      <c r="P237" s="244"/>
      <c r="Q237" s="244"/>
      <c r="R237" s="244"/>
      <c r="S237" s="244"/>
      <c r="T237" s="244"/>
      <c r="U237" s="244"/>
      <c r="V237" s="244"/>
      <c r="W237" s="244"/>
      <c r="X237" s="244"/>
      <c r="Y237" s="244"/>
      <c r="Z237" s="244"/>
    </row>
    <row r="238" hidden="1">
      <c r="A238" s="249"/>
      <c r="B238" s="249"/>
      <c r="C238" s="250"/>
      <c r="D238" s="244"/>
      <c r="E238" s="244"/>
      <c r="F238" s="244"/>
      <c r="G238" s="244"/>
      <c r="H238" s="244"/>
      <c r="I238" s="244"/>
      <c r="J238" s="244"/>
      <c r="K238" s="244"/>
      <c r="L238" s="244"/>
      <c r="M238" s="244"/>
      <c r="N238" s="244"/>
      <c r="O238" s="244"/>
      <c r="P238" s="244"/>
      <c r="Q238" s="244"/>
      <c r="R238" s="244"/>
      <c r="S238" s="244"/>
      <c r="T238" s="244"/>
      <c r="U238" s="244"/>
      <c r="V238" s="244"/>
      <c r="W238" s="244"/>
      <c r="X238" s="244"/>
      <c r="Y238" s="244"/>
      <c r="Z238" s="244"/>
    </row>
    <row r="239" hidden="1">
      <c r="A239" s="249"/>
      <c r="B239" s="249"/>
      <c r="C239" s="250"/>
      <c r="D239" s="244"/>
      <c r="E239" s="244"/>
      <c r="F239" s="244"/>
      <c r="G239" s="244"/>
      <c r="H239" s="244"/>
      <c r="I239" s="244"/>
      <c r="J239" s="244"/>
      <c r="K239" s="244"/>
      <c r="L239" s="244"/>
      <c r="M239" s="244"/>
      <c r="N239" s="244"/>
      <c r="O239" s="244"/>
      <c r="P239" s="244"/>
      <c r="Q239" s="244"/>
      <c r="R239" s="244"/>
      <c r="S239" s="244"/>
      <c r="T239" s="244"/>
      <c r="U239" s="244"/>
      <c r="V239" s="244"/>
      <c r="W239" s="244"/>
      <c r="X239" s="244"/>
      <c r="Y239" s="244"/>
      <c r="Z239" s="244"/>
    </row>
    <row r="240" hidden="1">
      <c r="A240" s="249"/>
      <c r="B240" s="249"/>
      <c r="C240" s="250"/>
      <c r="D240" s="244"/>
      <c r="E240" s="244"/>
      <c r="F240" s="244"/>
      <c r="G240" s="244"/>
      <c r="H240" s="244"/>
      <c r="I240" s="244"/>
      <c r="J240" s="244"/>
      <c r="K240" s="244"/>
      <c r="L240" s="244"/>
      <c r="M240" s="244"/>
      <c r="N240" s="244"/>
      <c r="O240" s="244"/>
      <c r="P240" s="244"/>
      <c r="Q240" s="244"/>
      <c r="R240" s="244"/>
      <c r="S240" s="244"/>
      <c r="T240" s="244"/>
      <c r="U240" s="244"/>
      <c r="V240" s="244"/>
      <c r="W240" s="244"/>
      <c r="X240" s="244"/>
      <c r="Y240" s="244"/>
      <c r="Z240" s="244"/>
    </row>
    <row r="241" hidden="1">
      <c r="A241" s="249"/>
      <c r="B241" s="249"/>
      <c r="C241" s="250"/>
      <c r="D241" s="244"/>
      <c r="E241" s="244"/>
      <c r="F241" s="244"/>
      <c r="G241" s="244"/>
      <c r="H241" s="244"/>
      <c r="I241" s="244"/>
      <c r="J241" s="244"/>
      <c r="K241" s="244"/>
      <c r="L241" s="244"/>
      <c r="M241" s="244"/>
      <c r="N241" s="244"/>
      <c r="O241" s="244"/>
      <c r="P241" s="244"/>
      <c r="Q241" s="244"/>
      <c r="R241" s="244"/>
      <c r="S241" s="244"/>
      <c r="T241" s="244"/>
      <c r="U241" s="244"/>
      <c r="V241" s="244"/>
      <c r="W241" s="244"/>
      <c r="X241" s="244"/>
      <c r="Y241" s="244"/>
      <c r="Z241" s="244"/>
    </row>
    <row r="242" hidden="1">
      <c r="A242" s="249"/>
      <c r="B242" s="249"/>
      <c r="C242" s="250"/>
      <c r="D242" s="244"/>
      <c r="E242" s="244"/>
      <c r="F242" s="244"/>
      <c r="G242" s="244"/>
      <c r="H242" s="244"/>
      <c r="I242" s="244"/>
      <c r="J242" s="244"/>
      <c r="K242" s="244"/>
      <c r="L242" s="244"/>
      <c r="M242" s="244"/>
      <c r="N242" s="244"/>
      <c r="O242" s="244"/>
      <c r="P242" s="244"/>
      <c r="Q242" s="244"/>
      <c r="R242" s="244"/>
      <c r="S242" s="244"/>
      <c r="T242" s="244"/>
      <c r="U242" s="244"/>
      <c r="V242" s="244"/>
      <c r="W242" s="244"/>
      <c r="X242" s="244"/>
      <c r="Y242" s="244"/>
      <c r="Z242" s="244"/>
    </row>
    <row r="243" hidden="1">
      <c r="A243" s="249"/>
      <c r="B243" s="249"/>
      <c r="C243" s="250"/>
      <c r="D243" s="244"/>
      <c r="E243" s="244"/>
      <c r="F243" s="244"/>
      <c r="G243" s="244"/>
      <c r="H243" s="244"/>
      <c r="I243" s="244"/>
      <c r="J243" s="244"/>
      <c r="K243" s="244"/>
      <c r="L243" s="244"/>
      <c r="M243" s="244"/>
      <c r="N243" s="244"/>
      <c r="O243" s="244"/>
      <c r="P243" s="244"/>
      <c r="Q243" s="244"/>
      <c r="R243" s="244"/>
      <c r="S243" s="244"/>
      <c r="T243" s="244"/>
      <c r="U243" s="244"/>
      <c r="V243" s="244"/>
      <c r="W243" s="244"/>
      <c r="X243" s="244"/>
      <c r="Y243" s="244"/>
      <c r="Z243" s="244"/>
    </row>
    <row r="244" hidden="1">
      <c r="A244" s="249"/>
      <c r="B244" s="249"/>
      <c r="C244" s="250"/>
      <c r="D244" s="244"/>
      <c r="E244" s="244"/>
      <c r="F244" s="244"/>
      <c r="G244" s="244"/>
      <c r="H244" s="244"/>
      <c r="I244" s="244"/>
      <c r="J244" s="244"/>
      <c r="K244" s="244"/>
      <c r="L244" s="244"/>
      <c r="M244" s="244"/>
      <c r="N244" s="244"/>
      <c r="O244" s="244"/>
      <c r="P244" s="244"/>
      <c r="Q244" s="244"/>
      <c r="R244" s="244"/>
      <c r="S244" s="244"/>
      <c r="T244" s="244"/>
      <c r="U244" s="244"/>
      <c r="V244" s="244"/>
      <c r="W244" s="244"/>
      <c r="X244" s="244"/>
      <c r="Y244" s="244"/>
      <c r="Z244" s="244"/>
    </row>
    <row r="245" hidden="1">
      <c r="A245" s="249"/>
      <c r="B245" s="249"/>
      <c r="C245" s="250"/>
      <c r="D245" s="244"/>
      <c r="E245" s="244"/>
      <c r="F245" s="244"/>
      <c r="G245" s="244"/>
      <c r="H245" s="244"/>
      <c r="I245" s="244"/>
      <c r="J245" s="244"/>
      <c r="K245" s="244"/>
      <c r="L245" s="244"/>
      <c r="M245" s="244"/>
      <c r="N245" s="244"/>
      <c r="O245" s="244"/>
      <c r="P245" s="244"/>
      <c r="Q245" s="244"/>
      <c r="R245" s="244"/>
      <c r="S245" s="244"/>
      <c r="T245" s="244"/>
      <c r="U245" s="244"/>
      <c r="V245" s="244"/>
      <c r="W245" s="244"/>
      <c r="X245" s="244"/>
      <c r="Y245" s="244"/>
      <c r="Z245" s="244"/>
    </row>
    <row r="246" hidden="1">
      <c r="A246" s="249"/>
      <c r="B246" s="249"/>
      <c r="C246" s="250"/>
      <c r="D246" s="244"/>
      <c r="E246" s="244"/>
      <c r="F246" s="244"/>
      <c r="G246" s="244"/>
      <c r="H246" s="244"/>
      <c r="I246" s="244"/>
      <c r="J246" s="244"/>
      <c r="K246" s="244"/>
      <c r="L246" s="244"/>
      <c r="M246" s="244"/>
      <c r="N246" s="244"/>
      <c r="O246" s="244"/>
      <c r="P246" s="244"/>
      <c r="Q246" s="244"/>
      <c r="R246" s="244"/>
      <c r="S246" s="244"/>
      <c r="T246" s="244"/>
      <c r="U246" s="244"/>
      <c r="V246" s="244"/>
      <c r="W246" s="244"/>
      <c r="X246" s="244"/>
      <c r="Y246" s="244"/>
      <c r="Z246" s="244"/>
    </row>
    <row r="247" hidden="1">
      <c r="A247" s="249"/>
      <c r="B247" s="249"/>
      <c r="C247" s="250"/>
      <c r="D247" s="244"/>
      <c r="E247" s="244"/>
      <c r="F247" s="244"/>
      <c r="G247" s="244"/>
      <c r="H247" s="244"/>
      <c r="I247" s="244"/>
      <c r="J247" s="244"/>
      <c r="K247" s="244"/>
      <c r="L247" s="244"/>
      <c r="M247" s="244"/>
      <c r="N247" s="244"/>
      <c r="O247" s="244"/>
      <c r="P247" s="244"/>
      <c r="Q247" s="244"/>
      <c r="R247" s="244"/>
      <c r="S247" s="244"/>
      <c r="T247" s="244"/>
      <c r="U247" s="244"/>
      <c r="V247" s="244"/>
      <c r="W247" s="244"/>
      <c r="X247" s="244"/>
      <c r="Y247" s="244"/>
      <c r="Z247" s="244"/>
    </row>
    <row r="248" hidden="1">
      <c r="A248" s="249"/>
      <c r="B248" s="249"/>
      <c r="C248" s="250"/>
      <c r="D248" s="244"/>
      <c r="E248" s="244"/>
      <c r="F248" s="244"/>
      <c r="G248" s="244"/>
      <c r="H248" s="244"/>
      <c r="I248" s="244"/>
      <c r="J248" s="244"/>
      <c r="K248" s="244"/>
      <c r="L248" s="244"/>
      <c r="M248" s="244"/>
      <c r="N248" s="244"/>
      <c r="O248" s="244"/>
      <c r="P248" s="244"/>
      <c r="Q248" s="244"/>
      <c r="R248" s="244"/>
      <c r="S248" s="244"/>
      <c r="T248" s="244"/>
      <c r="U248" s="244"/>
      <c r="V248" s="244"/>
      <c r="W248" s="244"/>
      <c r="X248" s="244"/>
      <c r="Y248" s="244"/>
      <c r="Z248" s="244"/>
    </row>
    <row r="249" hidden="1">
      <c r="A249" s="249"/>
      <c r="B249" s="249"/>
      <c r="C249" s="250"/>
      <c r="D249" s="244"/>
      <c r="E249" s="244"/>
      <c r="F249" s="244"/>
      <c r="G249" s="244"/>
      <c r="H249" s="244"/>
      <c r="I249" s="244"/>
      <c r="J249" s="244"/>
      <c r="K249" s="244"/>
      <c r="L249" s="244"/>
      <c r="M249" s="244"/>
      <c r="N249" s="244"/>
      <c r="O249" s="244"/>
      <c r="P249" s="244"/>
      <c r="Q249" s="244"/>
      <c r="R249" s="244"/>
      <c r="S249" s="244"/>
      <c r="T249" s="244"/>
      <c r="U249" s="244"/>
      <c r="V249" s="244"/>
      <c r="W249" s="244"/>
      <c r="X249" s="244"/>
      <c r="Y249" s="244"/>
      <c r="Z249" s="244"/>
    </row>
    <row r="250" hidden="1">
      <c r="A250" s="249"/>
      <c r="B250" s="249"/>
      <c r="C250" s="250"/>
      <c r="D250" s="244"/>
      <c r="E250" s="244"/>
      <c r="F250" s="244"/>
      <c r="G250" s="244"/>
      <c r="H250" s="244"/>
      <c r="I250" s="244"/>
      <c r="J250" s="244"/>
      <c r="K250" s="244"/>
      <c r="L250" s="244"/>
      <c r="M250" s="244"/>
      <c r="N250" s="244"/>
      <c r="O250" s="244"/>
      <c r="P250" s="244"/>
      <c r="Q250" s="244"/>
      <c r="R250" s="244"/>
      <c r="S250" s="244"/>
      <c r="T250" s="244"/>
      <c r="U250" s="244"/>
      <c r="V250" s="244"/>
      <c r="W250" s="244"/>
      <c r="X250" s="244"/>
      <c r="Y250" s="244"/>
      <c r="Z250" s="244"/>
    </row>
    <row r="251" hidden="1">
      <c r="A251" s="249"/>
      <c r="B251" s="249"/>
      <c r="C251" s="250"/>
      <c r="D251" s="244"/>
      <c r="E251" s="244"/>
      <c r="F251" s="244"/>
      <c r="G251" s="244"/>
      <c r="H251" s="244"/>
      <c r="I251" s="244"/>
      <c r="J251" s="244"/>
      <c r="K251" s="244"/>
      <c r="L251" s="244"/>
      <c r="M251" s="244"/>
      <c r="N251" s="244"/>
      <c r="O251" s="244"/>
      <c r="P251" s="244"/>
      <c r="Q251" s="244"/>
      <c r="R251" s="244"/>
      <c r="S251" s="244"/>
      <c r="T251" s="244"/>
      <c r="U251" s="244"/>
      <c r="V251" s="244"/>
      <c r="W251" s="244"/>
      <c r="X251" s="244"/>
      <c r="Y251" s="244"/>
      <c r="Z251" s="244"/>
    </row>
    <row r="252" hidden="1">
      <c r="A252" s="249"/>
      <c r="B252" s="249"/>
      <c r="C252" s="250"/>
      <c r="D252" s="244"/>
      <c r="E252" s="244"/>
      <c r="F252" s="244"/>
      <c r="G252" s="244"/>
      <c r="H252" s="244"/>
      <c r="I252" s="244"/>
      <c r="J252" s="244"/>
      <c r="K252" s="244"/>
      <c r="L252" s="244"/>
      <c r="M252" s="244"/>
      <c r="N252" s="244"/>
      <c r="O252" s="244"/>
      <c r="P252" s="244"/>
      <c r="Q252" s="244"/>
      <c r="R252" s="244"/>
      <c r="S252" s="244"/>
      <c r="T252" s="244"/>
      <c r="U252" s="244"/>
      <c r="V252" s="244"/>
      <c r="W252" s="244"/>
      <c r="X252" s="244"/>
      <c r="Y252" s="244"/>
      <c r="Z252" s="244"/>
    </row>
    <row r="253" hidden="1">
      <c r="A253" s="249"/>
      <c r="B253" s="249"/>
      <c r="C253" s="250"/>
      <c r="D253" s="244"/>
      <c r="E253" s="244"/>
      <c r="F253" s="244"/>
      <c r="G253" s="244"/>
      <c r="H253" s="244"/>
      <c r="I253" s="244"/>
      <c r="J253" s="244"/>
      <c r="K253" s="244"/>
      <c r="L253" s="244"/>
      <c r="M253" s="244"/>
      <c r="N253" s="244"/>
      <c r="O253" s="244"/>
      <c r="P253" s="244"/>
      <c r="Q253" s="244"/>
      <c r="R253" s="244"/>
      <c r="S253" s="244"/>
      <c r="T253" s="244"/>
      <c r="U253" s="244"/>
      <c r="V253" s="244"/>
      <c r="W253" s="244"/>
      <c r="X253" s="244"/>
      <c r="Y253" s="244"/>
      <c r="Z253" s="244"/>
    </row>
    <row r="254" hidden="1">
      <c r="A254" s="249"/>
      <c r="B254" s="249"/>
      <c r="C254" s="250"/>
      <c r="D254" s="244"/>
      <c r="E254" s="244"/>
      <c r="F254" s="244"/>
      <c r="G254" s="244"/>
      <c r="H254" s="244"/>
      <c r="I254" s="244"/>
      <c r="J254" s="244"/>
      <c r="K254" s="244"/>
      <c r="L254" s="244"/>
      <c r="M254" s="244"/>
      <c r="N254" s="244"/>
      <c r="O254" s="244"/>
      <c r="P254" s="244"/>
      <c r="Q254" s="244"/>
      <c r="R254" s="244"/>
      <c r="S254" s="244"/>
      <c r="T254" s="244"/>
      <c r="U254" s="244"/>
      <c r="V254" s="244"/>
      <c r="W254" s="244"/>
      <c r="X254" s="244"/>
      <c r="Y254" s="244"/>
      <c r="Z254" s="244"/>
    </row>
    <row r="255" hidden="1">
      <c r="A255" s="249"/>
      <c r="B255" s="249"/>
      <c r="C255" s="250"/>
      <c r="D255" s="244"/>
      <c r="E255" s="244"/>
      <c r="F255" s="244"/>
      <c r="G255" s="244"/>
      <c r="H255" s="244"/>
      <c r="I255" s="244"/>
      <c r="J255" s="244"/>
      <c r="K255" s="244"/>
      <c r="L255" s="244"/>
      <c r="M255" s="244"/>
      <c r="N255" s="244"/>
      <c r="O255" s="244"/>
      <c r="P255" s="244"/>
      <c r="Q255" s="244"/>
      <c r="R255" s="244"/>
      <c r="S255" s="244"/>
      <c r="T255" s="244"/>
      <c r="U255" s="244"/>
      <c r="V255" s="244"/>
      <c r="W255" s="244"/>
      <c r="X255" s="244"/>
      <c r="Y255" s="244"/>
      <c r="Z255" s="244"/>
    </row>
    <row r="256" hidden="1">
      <c r="A256" s="249"/>
      <c r="B256" s="249"/>
      <c r="C256" s="250"/>
      <c r="D256" s="244"/>
      <c r="E256" s="244"/>
      <c r="F256" s="244"/>
      <c r="G256" s="244"/>
      <c r="H256" s="244"/>
      <c r="I256" s="244"/>
      <c r="J256" s="244"/>
      <c r="K256" s="244"/>
      <c r="L256" s="244"/>
      <c r="M256" s="244"/>
      <c r="N256" s="244"/>
      <c r="O256" s="244"/>
      <c r="P256" s="244"/>
      <c r="Q256" s="244"/>
      <c r="R256" s="244"/>
      <c r="S256" s="244"/>
      <c r="T256" s="244"/>
      <c r="U256" s="244"/>
      <c r="V256" s="244"/>
      <c r="W256" s="244"/>
      <c r="X256" s="244"/>
      <c r="Y256" s="244"/>
      <c r="Z256" s="244"/>
    </row>
    <row r="257" hidden="1">
      <c r="A257" s="249"/>
      <c r="B257" s="249"/>
      <c r="C257" s="250"/>
      <c r="D257" s="244"/>
      <c r="E257" s="244"/>
      <c r="F257" s="244"/>
      <c r="G257" s="244"/>
      <c r="H257" s="244"/>
      <c r="I257" s="244"/>
      <c r="J257" s="244"/>
      <c r="K257" s="244"/>
      <c r="L257" s="244"/>
      <c r="M257" s="244"/>
      <c r="N257" s="244"/>
      <c r="O257" s="244"/>
      <c r="P257" s="244"/>
      <c r="Q257" s="244"/>
      <c r="R257" s="244"/>
      <c r="S257" s="244"/>
      <c r="T257" s="244"/>
      <c r="U257" s="244"/>
      <c r="V257" s="244"/>
      <c r="W257" s="244"/>
      <c r="X257" s="244"/>
      <c r="Y257" s="244"/>
      <c r="Z257" s="244"/>
    </row>
    <row r="258" hidden="1">
      <c r="A258" s="249"/>
      <c r="B258" s="249"/>
      <c r="C258" s="250"/>
      <c r="D258" s="244"/>
      <c r="E258" s="244"/>
      <c r="F258" s="244"/>
      <c r="G258" s="244"/>
      <c r="H258" s="244"/>
      <c r="I258" s="244"/>
      <c r="J258" s="244"/>
      <c r="K258" s="244"/>
      <c r="L258" s="244"/>
      <c r="M258" s="244"/>
      <c r="N258" s="244"/>
      <c r="O258" s="244"/>
      <c r="P258" s="244"/>
      <c r="Q258" s="244"/>
      <c r="R258" s="244"/>
      <c r="S258" s="244"/>
      <c r="T258" s="244"/>
      <c r="U258" s="244"/>
      <c r="V258" s="244"/>
      <c r="W258" s="244"/>
      <c r="X258" s="244"/>
      <c r="Y258" s="244"/>
      <c r="Z258" s="244"/>
    </row>
    <row r="259" hidden="1">
      <c r="A259" s="249"/>
      <c r="B259" s="249"/>
      <c r="C259" s="250"/>
      <c r="D259" s="244"/>
      <c r="E259" s="244"/>
      <c r="F259" s="244"/>
      <c r="G259" s="244"/>
      <c r="H259" s="244"/>
      <c r="I259" s="244"/>
      <c r="J259" s="244"/>
      <c r="K259" s="244"/>
      <c r="L259" s="244"/>
      <c r="M259" s="244"/>
      <c r="N259" s="244"/>
      <c r="O259" s="244"/>
      <c r="P259" s="244"/>
      <c r="Q259" s="244"/>
      <c r="R259" s="244"/>
      <c r="S259" s="244"/>
      <c r="T259" s="244"/>
      <c r="U259" s="244"/>
      <c r="V259" s="244"/>
      <c r="W259" s="244"/>
      <c r="X259" s="244"/>
      <c r="Y259" s="244"/>
      <c r="Z259" s="244"/>
    </row>
    <row r="260" hidden="1">
      <c r="A260" s="249"/>
      <c r="B260" s="249"/>
      <c r="C260" s="250"/>
      <c r="D260" s="244"/>
      <c r="E260" s="244"/>
      <c r="F260" s="244"/>
      <c r="G260" s="244"/>
      <c r="H260" s="244"/>
      <c r="I260" s="244"/>
      <c r="J260" s="244"/>
      <c r="K260" s="244"/>
      <c r="L260" s="244"/>
      <c r="M260" s="244"/>
      <c r="N260" s="244"/>
      <c r="O260" s="244"/>
      <c r="P260" s="244"/>
      <c r="Q260" s="244"/>
      <c r="R260" s="244"/>
      <c r="S260" s="244"/>
      <c r="T260" s="244"/>
      <c r="U260" s="244"/>
      <c r="V260" s="244"/>
      <c r="W260" s="244"/>
      <c r="X260" s="244"/>
      <c r="Y260" s="244"/>
      <c r="Z260" s="244"/>
    </row>
    <row r="261" hidden="1">
      <c r="A261" s="249"/>
      <c r="B261" s="249"/>
      <c r="C261" s="250"/>
      <c r="D261" s="244"/>
      <c r="E261" s="244"/>
      <c r="F261" s="244"/>
      <c r="G261" s="244"/>
      <c r="H261" s="244"/>
      <c r="I261" s="244"/>
      <c r="J261" s="244"/>
      <c r="K261" s="244"/>
      <c r="L261" s="244"/>
      <c r="M261" s="244"/>
      <c r="N261" s="244"/>
      <c r="O261" s="244"/>
      <c r="P261" s="244"/>
      <c r="Q261" s="244"/>
      <c r="R261" s="244"/>
      <c r="S261" s="244"/>
      <c r="T261" s="244"/>
      <c r="U261" s="244"/>
      <c r="V261" s="244"/>
      <c r="W261" s="244"/>
      <c r="X261" s="244"/>
      <c r="Y261" s="244"/>
      <c r="Z261" s="244"/>
    </row>
    <row r="262" hidden="1">
      <c r="A262" s="249"/>
      <c r="B262" s="249"/>
      <c r="C262" s="250"/>
      <c r="D262" s="244"/>
      <c r="E262" s="244"/>
      <c r="F262" s="244"/>
      <c r="G262" s="244"/>
      <c r="H262" s="244"/>
      <c r="I262" s="244"/>
      <c r="J262" s="244"/>
      <c r="K262" s="244"/>
      <c r="L262" s="244"/>
      <c r="M262" s="244"/>
      <c r="N262" s="244"/>
      <c r="O262" s="244"/>
      <c r="P262" s="244"/>
      <c r="Q262" s="244"/>
      <c r="R262" s="244"/>
      <c r="S262" s="244"/>
      <c r="T262" s="244"/>
      <c r="U262" s="244"/>
      <c r="V262" s="244"/>
      <c r="W262" s="244"/>
      <c r="X262" s="244"/>
      <c r="Y262" s="244"/>
      <c r="Z262" s="244"/>
    </row>
    <row r="263" hidden="1">
      <c r="A263" s="249"/>
      <c r="B263" s="249"/>
      <c r="C263" s="250"/>
      <c r="D263" s="244"/>
      <c r="E263" s="244"/>
      <c r="F263" s="244"/>
      <c r="G263" s="244"/>
      <c r="H263" s="244"/>
      <c r="I263" s="244"/>
      <c r="J263" s="244"/>
      <c r="K263" s="244"/>
      <c r="L263" s="244"/>
      <c r="M263" s="244"/>
      <c r="N263" s="244"/>
      <c r="O263" s="244"/>
      <c r="P263" s="244"/>
      <c r="Q263" s="244"/>
      <c r="R263" s="244"/>
      <c r="S263" s="244"/>
      <c r="T263" s="244"/>
      <c r="U263" s="244"/>
      <c r="V263" s="244"/>
      <c r="W263" s="244"/>
      <c r="X263" s="244"/>
      <c r="Y263" s="244"/>
      <c r="Z263" s="244"/>
    </row>
    <row r="264" hidden="1">
      <c r="A264" s="249"/>
      <c r="B264" s="249"/>
      <c r="C264" s="250"/>
      <c r="D264" s="244"/>
      <c r="E264" s="244"/>
      <c r="F264" s="244"/>
      <c r="G264" s="244"/>
      <c r="H264" s="244"/>
      <c r="I264" s="244"/>
      <c r="J264" s="244"/>
      <c r="K264" s="244"/>
      <c r="L264" s="244"/>
      <c r="M264" s="244"/>
      <c r="N264" s="244"/>
      <c r="O264" s="244"/>
      <c r="P264" s="244"/>
      <c r="Q264" s="244"/>
      <c r="R264" s="244"/>
      <c r="S264" s="244"/>
      <c r="T264" s="244"/>
      <c r="U264" s="244"/>
      <c r="V264" s="244"/>
      <c r="W264" s="244"/>
      <c r="X264" s="244"/>
      <c r="Y264" s="244"/>
      <c r="Z264" s="244"/>
    </row>
    <row r="265" hidden="1">
      <c r="A265" s="249"/>
      <c r="B265" s="249"/>
      <c r="C265" s="250"/>
      <c r="D265" s="244"/>
      <c r="E265" s="244"/>
      <c r="F265" s="244"/>
      <c r="G265" s="244"/>
      <c r="H265" s="244"/>
      <c r="I265" s="244"/>
      <c r="J265" s="244"/>
      <c r="K265" s="244"/>
      <c r="L265" s="244"/>
      <c r="M265" s="244"/>
      <c r="N265" s="244"/>
      <c r="O265" s="244"/>
      <c r="P265" s="244"/>
      <c r="Q265" s="244"/>
      <c r="R265" s="244"/>
      <c r="S265" s="244"/>
      <c r="T265" s="244"/>
      <c r="U265" s="244"/>
      <c r="V265" s="244"/>
      <c r="W265" s="244"/>
      <c r="X265" s="244"/>
      <c r="Y265" s="244"/>
      <c r="Z265" s="244"/>
    </row>
    <row r="266" hidden="1">
      <c r="A266" s="249"/>
      <c r="B266" s="249"/>
      <c r="C266" s="250"/>
      <c r="D266" s="244"/>
      <c r="E266" s="244"/>
      <c r="F266" s="244"/>
      <c r="G266" s="244"/>
      <c r="H266" s="244"/>
      <c r="I266" s="244"/>
      <c r="J266" s="244"/>
      <c r="K266" s="244"/>
      <c r="L266" s="244"/>
      <c r="M266" s="244"/>
      <c r="N266" s="244"/>
      <c r="O266" s="244"/>
      <c r="P266" s="244"/>
      <c r="Q266" s="244"/>
      <c r="R266" s="244"/>
      <c r="S266" s="244"/>
      <c r="T266" s="244"/>
      <c r="U266" s="244"/>
      <c r="V266" s="244"/>
      <c r="W266" s="244"/>
      <c r="X266" s="244"/>
      <c r="Y266" s="244"/>
      <c r="Z266" s="244"/>
    </row>
    <row r="267" hidden="1">
      <c r="A267" s="249"/>
      <c r="B267" s="249"/>
      <c r="C267" s="250"/>
      <c r="D267" s="244"/>
      <c r="E267" s="244"/>
      <c r="F267" s="244"/>
      <c r="G267" s="244"/>
      <c r="H267" s="244"/>
      <c r="I267" s="244"/>
      <c r="J267" s="244"/>
      <c r="K267" s="244"/>
      <c r="L267" s="244"/>
      <c r="M267" s="244"/>
      <c r="N267" s="244"/>
      <c r="O267" s="244"/>
      <c r="P267" s="244"/>
      <c r="Q267" s="244"/>
      <c r="R267" s="244"/>
      <c r="S267" s="244"/>
      <c r="T267" s="244"/>
      <c r="U267" s="244"/>
      <c r="V267" s="244"/>
      <c r="W267" s="244"/>
      <c r="X267" s="244"/>
      <c r="Y267" s="244"/>
      <c r="Z267" s="244"/>
    </row>
    <row r="268" hidden="1">
      <c r="A268" s="249"/>
      <c r="B268" s="249"/>
      <c r="C268" s="250"/>
      <c r="D268" s="244"/>
      <c r="E268" s="244"/>
      <c r="F268" s="244"/>
      <c r="G268" s="244"/>
      <c r="H268" s="244"/>
      <c r="I268" s="244"/>
      <c r="J268" s="244"/>
      <c r="K268" s="244"/>
      <c r="L268" s="244"/>
      <c r="M268" s="244"/>
      <c r="N268" s="244"/>
      <c r="O268" s="244"/>
      <c r="P268" s="244"/>
      <c r="Q268" s="244"/>
      <c r="R268" s="244"/>
      <c r="S268" s="244"/>
      <c r="T268" s="244"/>
      <c r="U268" s="244"/>
      <c r="V268" s="244"/>
      <c r="W268" s="244"/>
      <c r="X268" s="244"/>
      <c r="Y268" s="244"/>
      <c r="Z268" s="244"/>
    </row>
    <row r="269" hidden="1">
      <c r="A269" s="249"/>
      <c r="B269" s="249"/>
      <c r="C269" s="250"/>
      <c r="D269" s="244"/>
      <c r="E269" s="244"/>
      <c r="F269" s="244"/>
      <c r="G269" s="244"/>
      <c r="H269" s="244"/>
      <c r="I269" s="244"/>
      <c r="J269" s="244"/>
      <c r="K269" s="244"/>
      <c r="L269" s="244"/>
      <c r="M269" s="244"/>
      <c r="N269" s="244"/>
      <c r="O269" s="244"/>
      <c r="P269" s="244"/>
      <c r="Q269" s="244"/>
      <c r="R269" s="244"/>
      <c r="S269" s="244"/>
      <c r="T269" s="244"/>
      <c r="U269" s="244"/>
      <c r="V269" s="244"/>
      <c r="W269" s="244"/>
      <c r="X269" s="244"/>
      <c r="Y269" s="244"/>
      <c r="Z269" s="244"/>
    </row>
    <row r="270" hidden="1">
      <c r="A270" s="249"/>
      <c r="B270" s="249"/>
      <c r="C270" s="250"/>
      <c r="D270" s="244"/>
      <c r="E270" s="244"/>
      <c r="F270" s="244"/>
      <c r="G270" s="244"/>
      <c r="H270" s="244"/>
      <c r="I270" s="244"/>
      <c r="J270" s="244"/>
      <c r="K270" s="244"/>
      <c r="L270" s="244"/>
      <c r="M270" s="244"/>
      <c r="N270" s="244"/>
      <c r="O270" s="244"/>
      <c r="P270" s="244"/>
      <c r="Q270" s="244"/>
      <c r="R270" s="244"/>
      <c r="S270" s="244"/>
      <c r="T270" s="244"/>
      <c r="U270" s="244"/>
      <c r="V270" s="244"/>
      <c r="W270" s="244"/>
      <c r="X270" s="244"/>
      <c r="Y270" s="244"/>
      <c r="Z270" s="244"/>
    </row>
    <row r="271" hidden="1">
      <c r="A271" s="249"/>
      <c r="B271" s="249"/>
      <c r="C271" s="250"/>
      <c r="D271" s="244"/>
      <c r="E271" s="244"/>
      <c r="F271" s="244"/>
      <c r="G271" s="244"/>
      <c r="H271" s="244"/>
      <c r="I271" s="244"/>
      <c r="J271" s="244"/>
      <c r="K271" s="244"/>
      <c r="L271" s="244"/>
      <c r="M271" s="244"/>
      <c r="N271" s="244"/>
      <c r="O271" s="244"/>
      <c r="P271" s="244"/>
      <c r="Q271" s="244"/>
      <c r="R271" s="244"/>
      <c r="S271" s="244"/>
      <c r="T271" s="244"/>
      <c r="U271" s="244"/>
      <c r="V271" s="244"/>
      <c r="W271" s="244"/>
      <c r="X271" s="244"/>
      <c r="Y271" s="244"/>
      <c r="Z271" s="244"/>
    </row>
    <row r="272" hidden="1">
      <c r="A272" s="249"/>
      <c r="B272" s="249"/>
      <c r="C272" s="250"/>
      <c r="D272" s="244"/>
      <c r="E272" s="244"/>
      <c r="F272" s="244"/>
      <c r="G272" s="244"/>
      <c r="H272" s="244"/>
      <c r="I272" s="244"/>
      <c r="J272" s="244"/>
      <c r="K272" s="244"/>
      <c r="L272" s="244"/>
      <c r="M272" s="244"/>
      <c r="N272" s="244"/>
      <c r="O272" s="244"/>
      <c r="P272" s="244"/>
      <c r="Q272" s="244"/>
      <c r="R272" s="244"/>
      <c r="S272" s="244"/>
      <c r="T272" s="244"/>
      <c r="U272" s="244"/>
      <c r="V272" s="244"/>
      <c r="W272" s="244"/>
      <c r="X272" s="244"/>
      <c r="Y272" s="244"/>
      <c r="Z272" s="244"/>
    </row>
    <row r="273" hidden="1">
      <c r="A273" s="249"/>
      <c r="B273" s="249"/>
      <c r="C273" s="250"/>
      <c r="D273" s="244"/>
      <c r="E273" s="244"/>
      <c r="F273" s="244"/>
      <c r="G273" s="244"/>
      <c r="H273" s="244"/>
      <c r="I273" s="244"/>
      <c r="J273" s="244"/>
      <c r="K273" s="244"/>
      <c r="L273" s="244"/>
      <c r="M273" s="244"/>
      <c r="N273" s="244"/>
      <c r="O273" s="244"/>
      <c r="P273" s="244"/>
      <c r="Q273" s="244"/>
      <c r="R273" s="244"/>
      <c r="S273" s="244"/>
      <c r="T273" s="244"/>
      <c r="U273" s="244"/>
      <c r="V273" s="244"/>
      <c r="W273" s="244"/>
      <c r="X273" s="244"/>
      <c r="Y273" s="244"/>
      <c r="Z273" s="244"/>
    </row>
    <row r="274" hidden="1">
      <c r="A274" s="249"/>
      <c r="B274" s="249"/>
      <c r="C274" s="250"/>
      <c r="D274" s="244"/>
      <c r="E274" s="244"/>
      <c r="F274" s="244"/>
      <c r="G274" s="244"/>
      <c r="H274" s="244"/>
      <c r="I274" s="244"/>
      <c r="J274" s="244"/>
      <c r="K274" s="244"/>
      <c r="L274" s="244"/>
      <c r="M274" s="244"/>
      <c r="N274" s="244"/>
      <c r="O274" s="244"/>
      <c r="P274" s="244"/>
      <c r="Q274" s="244"/>
      <c r="R274" s="244"/>
      <c r="S274" s="244"/>
      <c r="T274" s="244"/>
      <c r="U274" s="244"/>
      <c r="V274" s="244"/>
      <c r="W274" s="244"/>
      <c r="X274" s="244"/>
      <c r="Y274" s="244"/>
      <c r="Z274" s="244"/>
    </row>
    <row r="275" hidden="1">
      <c r="A275" s="249"/>
      <c r="B275" s="249"/>
      <c r="C275" s="250"/>
      <c r="D275" s="244"/>
      <c r="E275" s="244"/>
      <c r="F275" s="244"/>
      <c r="G275" s="244"/>
      <c r="H275" s="244"/>
      <c r="I275" s="244"/>
      <c r="J275" s="244"/>
      <c r="K275" s="244"/>
      <c r="L275" s="244"/>
      <c r="M275" s="244"/>
      <c r="N275" s="244"/>
      <c r="O275" s="244"/>
      <c r="P275" s="244"/>
      <c r="Q275" s="244"/>
      <c r="R275" s="244"/>
      <c r="S275" s="244"/>
      <c r="T275" s="244"/>
      <c r="U275" s="244"/>
      <c r="V275" s="244"/>
      <c r="W275" s="244"/>
      <c r="X275" s="244"/>
      <c r="Y275" s="244"/>
      <c r="Z275" s="244"/>
    </row>
    <row r="276" hidden="1">
      <c r="A276" s="249"/>
      <c r="B276" s="249"/>
      <c r="C276" s="250"/>
      <c r="D276" s="244"/>
      <c r="E276" s="244"/>
      <c r="F276" s="244"/>
      <c r="G276" s="244"/>
      <c r="H276" s="244"/>
      <c r="I276" s="244"/>
      <c r="J276" s="244"/>
      <c r="K276" s="244"/>
      <c r="L276" s="244"/>
      <c r="M276" s="244"/>
      <c r="N276" s="244"/>
      <c r="O276" s="244"/>
      <c r="P276" s="244"/>
      <c r="Q276" s="244"/>
      <c r="R276" s="244"/>
      <c r="S276" s="244"/>
      <c r="T276" s="244"/>
      <c r="U276" s="244"/>
      <c r="V276" s="244"/>
      <c r="W276" s="244"/>
      <c r="X276" s="244"/>
      <c r="Y276" s="244"/>
      <c r="Z276" s="244"/>
    </row>
    <row r="277" hidden="1">
      <c r="A277" s="249"/>
      <c r="B277" s="249"/>
      <c r="C277" s="250"/>
      <c r="D277" s="244"/>
      <c r="E277" s="244"/>
      <c r="F277" s="244"/>
      <c r="G277" s="244"/>
      <c r="H277" s="244"/>
      <c r="I277" s="244"/>
      <c r="J277" s="244"/>
      <c r="K277" s="244"/>
      <c r="L277" s="244"/>
      <c r="M277" s="244"/>
      <c r="N277" s="244"/>
      <c r="O277" s="244"/>
      <c r="P277" s="244"/>
      <c r="Q277" s="244"/>
      <c r="R277" s="244"/>
      <c r="S277" s="244"/>
      <c r="T277" s="244"/>
      <c r="U277" s="244"/>
      <c r="V277" s="244"/>
      <c r="W277" s="244"/>
      <c r="X277" s="244"/>
      <c r="Y277" s="244"/>
      <c r="Z277" s="244"/>
    </row>
    <row r="278" hidden="1">
      <c r="A278" s="249"/>
      <c r="B278" s="249"/>
      <c r="C278" s="250"/>
      <c r="D278" s="244"/>
      <c r="E278" s="244"/>
      <c r="F278" s="244"/>
      <c r="G278" s="244"/>
      <c r="H278" s="244"/>
      <c r="I278" s="244"/>
      <c r="J278" s="244"/>
      <c r="K278" s="244"/>
      <c r="L278" s="244"/>
      <c r="M278" s="244"/>
      <c r="N278" s="244"/>
      <c r="O278" s="244"/>
      <c r="P278" s="244"/>
      <c r="Q278" s="244"/>
      <c r="R278" s="244"/>
      <c r="S278" s="244"/>
      <c r="T278" s="244"/>
      <c r="U278" s="244"/>
      <c r="V278" s="244"/>
      <c r="W278" s="244"/>
      <c r="X278" s="244"/>
      <c r="Y278" s="244"/>
      <c r="Z278" s="244"/>
    </row>
    <row r="279" hidden="1">
      <c r="A279" s="249"/>
      <c r="B279" s="249"/>
      <c r="C279" s="250"/>
      <c r="D279" s="244"/>
      <c r="E279" s="244"/>
      <c r="F279" s="244"/>
      <c r="G279" s="244"/>
      <c r="H279" s="244"/>
      <c r="I279" s="244"/>
      <c r="J279" s="244"/>
      <c r="K279" s="244"/>
      <c r="L279" s="244"/>
      <c r="M279" s="244"/>
      <c r="N279" s="244"/>
      <c r="O279" s="244"/>
      <c r="P279" s="244"/>
      <c r="Q279" s="244"/>
      <c r="R279" s="244"/>
      <c r="S279" s="244"/>
      <c r="T279" s="244"/>
      <c r="U279" s="244"/>
      <c r="V279" s="244"/>
      <c r="W279" s="244"/>
      <c r="X279" s="244"/>
      <c r="Y279" s="244"/>
      <c r="Z279" s="244"/>
    </row>
    <row r="280" hidden="1">
      <c r="A280" s="249"/>
      <c r="B280" s="249"/>
      <c r="C280" s="250"/>
      <c r="D280" s="244"/>
      <c r="E280" s="244"/>
      <c r="F280" s="244"/>
      <c r="G280" s="244"/>
      <c r="H280" s="244"/>
      <c r="I280" s="244"/>
      <c r="J280" s="244"/>
      <c r="K280" s="244"/>
      <c r="L280" s="244"/>
      <c r="M280" s="244"/>
      <c r="N280" s="244"/>
      <c r="O280" s="244"/>
      <c r="P280" s="244"/>
      <c r="Q280" s="244"/>
      <c r="R280" s="244"/>
      <c r="S280" s="244"/>
      <c r="T280" s="244"/>
      <c r="U280" s="244"/>
      <c r="V280" s="244"/>
      <c r="W280" s="244"/>
      <c r="X280" s="244"/>
      <c r="Y280" s="244"/>
      <c r="Z280" s="244"/>
    </row>
    <row r="281" hidden="1">
      <c r="A281" s="249"/>
      <c r="B281" s="249"/>
      <c r="C281" s="250"/>
      <c r="D281" s="244"/>
      <c r="E281" s="244"/>
      <c r="F281" s="244"/>
      <c r="G281" s="244"/>
      <c r="H281" s="244"/>
      <c r="I281" s="244"/>
      <c r="J281" s="244"/>
      <c r="K281" s="244"/>
      <c r="L281" s="244"/>
      <c r="M281" s="244"/>
      <c r="N281" s="244"/>
      <c r="O281" s="244"/>
      <c r="P281" s="244"/>
      <c r="Q281" s="244"/>
      <c r="R281" s="244"/>
      <c r="S281" s="244"/>
      <c r="T281" s="244"/>
      <c r="U281" s="244"/>
      <c r="V281" s="244"/>
      <c r="W281" s="244"/>
      <c r="X281" s="244"/>
      <c r="Y281" s="244"/>
      <c r="Z281" s="244"/>
    </row>
    <row r="282" hidden="1">
      <c r="A282" s="249"/>
      <c r="B282" s="249"/>
      <c r="C282" s="250"/>
      <c r="D282" s="244"/>
      <c r="E282" s="244"/>
      <c r="F282" s="244"/>
      <c r="G282" s="244"/>
      <c r="H282" s="244"/>
      <c r="I282" s="244"/>
      <c r="J282" s="244"/>
      <c r="K282" s="244"/>
      <c r="L282" s="244"/>
      <c r="M282" s="244"/>
      <c r="N282" s="244"/>
      <c r="O282" s="244"/>
      <c r="P282" s="244"/>
      <c r="Q282" s="244"/>
      <c r="R282" s="244"/>
      <c r="S282" s="244"/>
      <c r="T282" s="244"/>
      <c r="U282" s="244"/>
      <c r="V282" s="244"/>
      <c r="W282" s="244"/>
      <c r="X282" s="244"/>
      <c r="Y282" s="244"/>
      <c r="Z282" s="244"/>
    </row>
    <row r="283" hidden="1">
      <c r="A283" s="249"/>
      <c r="B283" s="249"/>
      <c r="C283" s="250"/>
      <c r="D283" s="244"/>
      <c r="E283" s="244"/>
      <c r="F283" s="244"/>
      <c r="G283" s="244"/>
      <c r="H283" s="244"/>
      <c r="I283" s="244"/>
      <c r="J283" s="244"/>
      <c r="K283" s="244"/>
      <c r="L283" s="244"/>
      <c r="M283" s="244"/>
      <c r="N283" s="244"/>
      <c r="O283" s="244"/>
      <c r="P283" s="244"/>
      <c r="Q283" s="244"/>
      <c r="R283" s="244"/>
      <c r="S283" s="244"/>
      <c r="T283" s="244"/>
      <c r="U283" s="244"/>
      <c r="V283" s="244"/>
      <c r="W283" s="244"/>
      <c r="X283" s="244"/>
      <c r="Y283" s="244"/>
      <c r="Z283" s="244"/>
    </row>
    <row r="284" hidden="1">
      <c r="A284" s="249"/>
      <c r="B284" s="249"/>
      <c r="C284" s="250"/>
      <c r="D284" s="244"/>
      <c r="E284" s="244"/>
      <c r="F284" s="244"/>
      <c r="G284" s="244"/>
      <c r="H284" s="244"/>
      <c r="I284" s="244"/>
      <c r="J284" s="244"/>
      <c r="K284" s="244"/>
      <c r="L284" s="244"/>
      <c r="M284" s="244"/>
      <c r="N284" s="244"/>
      <c r="O284" s="244"/>
      <c r="P284" s="244"/>
      <c r="Q284" s="244"/>
      <c r="R284" s="244"/>
      <c r="S284" s="244"/>
      <c r="T284" s="244"/>
      <c r="U284" s="244"/>
      <c r="V284" s="244"/>
      <c r="W284" s="244"/>
      <c r="X284" s="244"/>
      <c r="Y284" s="244"/>
      <c r="Z284" s="244"/>
    </row>
    <row r="285" hidden="1">
      <c r="A285" s="249"/>
      <c r="B285" s="249"/>
      <c r="C285" s="250"/>
      <c r="D285" s="244"/>
      <c r="E285" s="244"/>
      <c r="F285" s="244"/>
      <c r="G285" s="244"/>
      <c r="H285" s="244"/>
      <c r="I285" s="244"/>
      <c r="J285" s="244"/>
      <c r="K285" s="244"/>
      <c r="L285" s="244"/>
      <c r="M285" s="244"/>
      <c r="N285" s="244"/>
      <c r="O285" s="244"/>
      <c r="P285" s="244"/>
      <c r="Q285" s="244"/>
      <c r="R285" s="244"/>
      <c r="S285" s="244"/>
      <c r="T285" s="244"/>
      <c r="U285" s="244"/>
      <c r="V285" s="244"/>
      <c r="W285" s="244"/>
      <c r="X285" s="244"/>
      <c r="Y285" s="244"/>
      <c r="Z285" s="244"/>
    </row>
    <row r="286" hidden="1">
      <c r="A286" s="249"/>
      <c r="B286" s="249"/>
      <c r="C286" s="250"/>
      <c r="D286" s="244"/>
      <c r="E286" s="244"/>
      <c r="F286" s="244"/>
      <c r="G286" s="244"/>
      <c r="H286" s="244"/>
      <c r="I286" s="244"/>
      <c r="J286" s="244"/>
      <c r="K286" s="244"/>
      <c r="L286" s="244"/>
      <c r="M286" s="244"/>
      <c r="N286" s="244"/>
      <c r="O286" s="244"/>
      <c r="P286" s="244"/>
      <c r="Q286" s="244"/>
      <c r="R286" s="244"/>
      <c r="S286" s="244"/>
      <c r="T286" s="244"/>
      <c r="U286" s="244"/>
      <c r="V286" s="244"/>
      <c r="W286" s="244"/>
      <c r="X286" s="244"/>
      <c r="Y286" s="244"/>
      <c r="Z286" s="244"/>
    </row>
    <row r="287" hidden="1">
      <c r="A287" s="249"/>
      <c r="B287" s="249"/>
      <c r="C287" s="250"/>
      <c r="D287" s="244"/>
      <c r="E287" s="244"/>
      <c r="F287" s="244"/>
      <c r="G287" s="244"/>
      <c r="H287" s="244"/>
      <c r="I287" s="244"/>
      <c r="J287" s="244"/>
      <c r="K287" s="244"/>
      <c r="L287" s="244"/>
      <c r="M287" s="244"/>
      <c r="N287" s="244"/>
      <c r="O287" s="244"/>
      <c r="P287" s="244"/>
      <c r="Q287" s="244"/>
      <c r="R287" s="244"/>
      <c r="S287" s="244"/>
      <c r="T287" s="244"/>
      <c r="U287" s="244"/>
      <c r="V287" s="244"/>
      <c r="W287" s="244"/>
      <c r="X287" s="244"/>
      <c r="Y287" s="244"/>
      <c r="Z287" s="244"/>
    </row>
    <row r="288" hidden="1">
      <c r="A288" s="249"/>
      <c r="B288" s="249"/>
      <c r="C288" s="250"/>
      <c r="D288" s="244"/>
      <c r="E288" s="244"/>
      <c r="F288" s="244"/>
      <c r="G288" s="244"/>
      <c r="H288" s="244"/>
      <c r="I288" s="244"/>
      <c r="J288" s="244"/>
      <c r="K288" s="244"/>
      <c r="L288" s="244"/>
      <c r="M288" s="244"/>
      <c r="N288" s="244"/>
      <c r="O288" s="244"/>
      <c r="P288" s="244"/>
      <c r="Q288" s="244"/>
      <c r="R288" s="244"/>
      <c r="S288" s="244"/>
      <c r="T288" s="244"/>
      <c r="U288" s="244"/>
      <c r="V288" s="244"/>
      <c r="W288" s="244"/>
      <c r="X288" s="244"/>
      <c r="Y288" s="244"/>
      <c r="Z288" s="244"/>
    </row>
    <row r="289" hidden="1">
      <c r="A289" s="249"/>
      <c r="B289" s="249"/>
      <c r="C289" s="250"/>
      <c r="D289" s="244"/>
      <c r="E289" s="244"/>
      <c r="F289" s="244"/>
      <c r="G289" s="244"/>
      <c r="H289" s="244"/>
      <c r="I289" s="244"/>
      <c r="J289" s="244"/>
      <c r="K289" s="244"/>
      <c r="L289" s="244"/>
      <c r="M289" s="244"/>
      <c r="N289" s="244"/>
      <c r="O289" s="244"/>
      <c r="P289" s="244"/>
      <c r="Q289" s="244"/>
      <c r="R289" s="244"/>
      <c r="S289" s="244"/>
      <c r="T289" s="244"/>
      <c r="U289" s="244"/>
      <c r="V289" s="244"/>
      <c r="W289" s="244"/>
      <c r="X289" s="244"/>
      <c r="Y289" s="244"/>
      <c r="Z289" s="244"/>
    </row>
    <row r="290" hidden="1">
      <c r="A290" s="249"/>
      <c r="B290" s="249"/>
      <c r="C290" s="250"/>
      <c r="D290" s="244"/>
      <c r="E290" s="244"/>
      <c r="F290" s="244"/>
      <c r="G290" s="244"/>
      <c r="H290" s="244"/>
      <c r="I290" s="244"/>
      <c r="J290" s="244"/>
      <c r="K290" s="244"/>
      <c r="L290" s="244"/>
      <c r="M290" s="244"/>
      <c r="N290" s="244"/>
      <c r="O290" s="244"/>
      <c r="P290" s="244"/>
      <c r="Q290" s="244"/>
      <c r="R290" s="244"/>
      <c r="S290" s="244"/>
      <c r="T290" s="244"/>
      <c r="U290" s="244"/>
      <c r="V290" s="244"/>
      <c r="W290" s="244"/>
      <c r="X290" s="244"/>
      <c r="Y290" s="244"/>
      <c r="Z290" s="244"/>
    </row>
    <row r="291" hidden="1">
      <c r="A291" s="249"/>
      <c r="B291" s="249"/>
      <c r="C291" s="250"/>
      <c r="D291" s="244"/>
      <c r="E291" s="244"/>
      <c r="F291" s="244"/>
      <c r="G291" s="244"/>
      <c r="H291" s="244"/>
      <c r="I291" s="244"/>
      <c r="J291" s="244"/>
      <c r="K291" s="244"/>
      <c r="L291" s="244"/>
      <c r="M291" s="244"/>
      <c r="N291" s="244"/>
      <c r="O291" s="244"/>
      <c r="P291" s="244"/>
      <c r="Q291" s="244"/>
      <c r="R291" s="244"/>
      <c r="S291" s="244"/>
      <c r="T291" s="244"/>
      <c r="U291" s="244"/>
      <c r="V291" s="244"/>
      <c r="W291" s="244"/>
      <c r="X291" s="244"/>
      <c r="Y291" s="244"/>
      <c r="Z291" s="244"/>
    </row>
    <row r="292" hidden="1">
      <c r="A292" s="249"/>
      <c r="B292" s="249"/>
      <c r="C292" s="250"/>
      <c r="D292" s="244"/>
      <c r="E292" s="244"/>
      <c r="F292" s="244"/>
      <c r="G292" s="244"/>
      <c r="H292" s="244"/>
      <c r="I292" s="244"/>
      <c r="J292" s="244"/>
      <c r="K292" s="244"/>
      <c r="L292" s="244"/>
      <c r="M292" s="244"/>
      <c r="N292" s="244"/>
      <c r="O292" s="244"/>
      <c r="P292" s="244"/>
      <c r="Q292" s="244"/>
      <c r="R292" s="244"/>
      <c r="S292" s="244"/>
      <c r="T292" s="244"/>
      <c r="U292" s="244"/>
      <c r="V292" s="244"/>
      <c r="W292" s="244"/>
      <c r="X292" s="244"/>
      <c r="Y292" s="244"/>
      <c r="Z292" s="244"/>
    </row>
    <row r="293" hidden="1">
      <c r="A293" s="249"/>
      <c r="B293" s="249"/>
      <c r="C293" s="250"/>
      <c r="D293" s="244"/>
      <c r="E293" s="244"/>
      <c r="F293" s="244"/>
      <c r="G293" s="244"/>
      <c r="H293" s="244"/>
      <c r="I293" s="244"/>
      <c r="J293" s="244"/>
      <c r="K293" s="244"/>
      <c r="L293" s="244"/>
      <c r="M293" s="244"/>
      <c r="N293" s="244"/>
      <c r="O293" s="244"/>
      <c r="P293" s="244"/>
      <c r="Q293" s="244"/>
      <c r="R293" s="244"/>
      <c r="S293" s="244"/>
      <c r="T293" s="244"/>
      <c r="U293" s="244"/>
      <c r="V293" s="244"/>
      <c r="W293" s="244"/>
      <c r="X293" s="244"/>
      <c r="Y293" s="244"/>
      <c r="Z293" s="244"/>
    </row>
    <row r="294" hidden="1">
      <c r="A294" s="249"/>
      <c r="B294" s="249"/>
      <c r="C294" s="250"/>
      <c r="D294" s="244"/>
      <c r="E294" s="244"/>
      <c r="F294" s="244"/>
      <c r="G294" s="244"/>
      <c r="H294" s="244"/>
      <c r="I294" s="244"/>
      <c r="J294" s="244"/>
      <c r="K294" s="244"/>
      <c r="L294" s="244"/>
      <c r="M294" s="244"/>
      <c r="N294" s="244"/>
      <c r="O294" s="244"/>
      <c r="P294" s="244"/>
      <c r="Q294" s="244"/>
      <c r="R294" s="244"/>
      <c r="S294" s="244"/>
      <c r="T294" s="244"/>
      <c r="U294" s="244"/>
      <c r="V294" s="244"/>
      <c r="W294" s="244"/>
      <c r="X294" s="244"/>
      <c r="Y294" s="244"/>
      <c r="Z294" s="244"/>
    </row>
    <row r="295" hidden="1">
      <c r="A295" s="249"/>
      <c r="B295" s="249"/>
      <c r="C295" s="250"/>
      <c r="D295" s="244"/>
      <c r="E295" s="244"/>
      <c r="F295" s="244"/>
      <c r="G295" s="244"/>
      <c r="H295" s="244"/>
      <c r="I295" s="244"/>
      <c r="J295" s="244"/>
      <c r="K295" s="244"/>
      <c r="L295" s="244"/>
      <c r="M295" s="244"/>
      <c r="N295" s="244"/>
      <c r="O295" s="244"/>
      <c r="P295" s="244"/>
      <c r="Q295" s="244"/>
      <c r="R295" s="244"/>
      <c r="S295" s="244"/>
      <c r="T295" s="244"/>
      <c r="U295" s="244"/>
      <c r="V295" s="244"/>
      <c r="W295" s="244"/>
      <c r="X295" s="244"/>
      <c r="Y295" s="244"/>
      <c r="Z295" s="244"/>
    </row>
    <row r="296" hidden="1">
      <c r="A296" s="249"/>
      <c r="B296" s="249"/>
      <c r="C296" s="250"/>
      <c r="D296" s="244"/>
      <c r="E296" s="244"/>
      <c r="F296" s="244"/>
      <c r="G296" s="244"/>
      <c r="H296" s="244"/>
      <c r="I296" s="244"/>
      <c r="J296" s="244"/>
      <c r="K296" s="244"/>
      <c r="L296" s="244"/>
      <c r="M296" s="244"/>
      <c r="N296" s="244"/>
      <c r="O296" s="244"/>
      <c r="P296" s="244"/>
      <c r="Q296" s="244"/>
      <c r="R296" s="244"/>
      <c r="S296" s="244"/>
      <c r="T296" s="244"/>
      <c r="U296" s="244"/>
      <c r="V296" s="244"/>
      <c r="W296" s="244"/>
      <c r="X296" s="244"/>
      <c r="Y296" s="244"/>
      <c r="Z296" s="244"/>
    </row>
    <row r="297" hidden="1">
      <c r="A297" s="249"/>
      <c r="B297" s="249"/>
      <c r="C297" s="250"/>
      <c r="D297" s="244"/>
      <c r="E297" s="244"/>
      <c r="F297" s="244"/>
      <c r="G297" s="244"/>
      <c r="H297" s="244"/>
      <c r="I297" s="244"/>
      <c r="J297" s="244"/>
      <c r="K297" s="244"/>
      <c r="L297" s="244"/>
      <c r="M297" s="244"/>
      <c r="N297" s="244"/>
      <c r="O297" s="244"/>
      <c r="P297" s="244"/>
      <c r="Q297" s="244"/>
      <c r="R297" s="244"/>
      <c r="S297" s="244"/>
      <c r="T297" s="244"/>
      <c r="U297" s="244"/>
      <c r="V297" s="244"/>
      <c r="W297" s="244"/>
      <c r="X297" s="244"/>
      <c r="Y297" s="244"/>
      <c r="Z297" s="244"/>
    </row>
    <row r="298" hidden="1">
      <c r="A298" s="249"/>
      <c r="B298" s="249"/>
      <c r="C298" s="250"/>
      <c r="D298" s="244"/>
      <c r="E298" s="244"/>
      <c r="F298" s="244"/>
      <c r="G298" s="244"/>
      <c r="H298" s="244"/>
      <c r="I298" s="244"/>
      <c r="J298" s="244"/>
      <c r="K298" s="244"/>
      <c r="L298" s="244"/>
      <c r="M298" s="244"/>
      <c r="N298" s="244"/>
      <c r="O298" s="244"/>
      <c r="P298" s="244"/>
      <c r="Q298" s="244"/>
      <c r="R298" s="244"/>
      <c r="S298" s="244"/>
      <c r="T298" s="244"/>
      <c r="U298" s="244"/>
      <c r="V298" s="244"/>
      <c r="W298" s="244"/>
      <c r="X298" s="244"/>
      <c r="Y298" s="244"/>
      <c r="Z298" s="244"/>
    </row>
    <row r="299" hidden="1">
      <c r="A299" s="249"/>
      <c r="B299" s="249"/>
      <c r="C299" s="250"/>
      <c r="D299" s="244"/>
      <c r="E299" s="244"/>
      <c r="F299" s="244"/>
      <c r="G299" s="244"/>
      <c r="H299" s="244"/>
      <c r="I299" s="244"/>
      <c r="J299" s="244"/>
      <c r="K299" s="244"/>
      <c r="L299" s="244"/>
      <c r="M299" s="244"/>
      <c r="N299" s="244"/>
      <c r="O299" s="244"/>
      <c r="P299" s="244"/>
      <c r="Q299" s="244"/>
      <c r="R299" s="244"/>
      <c r="S299" s="244"/>
      <c r="T299" s="244"/>
      <c r="U299" s="244"/>
      <c r="V299" s="244"/>
      <c r="W299" s="244"/>
      <c r="X299" s="244"/>
      <c r="Y299" s="244"/>
      <c r="Z299" s="244"/>
    </row>
    <row r="300" hidden="1">
      <c r="A300" s="249"/>
      <c r="B300" s="249"/>
      <c r="C300" s="250"/>
      <c r="D300" s="244"/>
      <c r="E300" s="244"/>
      <c r="F300" s="244"/>
      <c r="G300" s="244"/>
      <c r="H300" s="244"/>
      <c r="I300" s="244"/>
      <c r="J300" s="244"/>
      <c r="K300" s="244"/>
      <c r="L300" s="244"/>
      <c r="M300" s="244"/>
      <c r="N300" s="244"/>
      <c r="O300" s="244"/>
      <c r="P300" s="244"/>
      <c r="Q300" s="244"/>
      <c r="R300" s="244"/>
      <c r="S300" s="244"/>
      <c r="T300" s="244"/>
      <c r="U300" s="244"/>
      <c r="V300" s="244"/>
      <c r="W300" s="244"/>
      <c r="X300" s="244"/>
      <c r="Y300" s="244"/>
      <c r="Z300" s="244"/>
    </row>
    <row r="301" hidden="1">
      <c r="A301" s="249"/>
      <c r="B301" s="249"/>
      <c r="C301" s="250"/>
      <c r="D301" s="244"/>
      <c r="E301" s="244"/>
      <c r="F301" s="244"/>
      <c r="G301" s="244"/>
      <c r="H301" s="244"/>
      <c r="I301" s="244"/>
      <c r="J301" s="244"/>
      <c r="K301" s="244"/>
      <c r="L301" s="244"/>
      <c r="M301" s="244"/>
      <c r="N301" s="244"/>
      <c r="O301" s="244"/>
      <c r="P301" s="244"/>
      <c r="Q301" s="244"/>
      <c r="R301" s="244"/>
      <c r="S301" s="244"/>
      <c r="T301" s="244"/>
      <c r="U301" s="244"/>
      <c r="V301" s="244"/>
      <c r="W301" s="244"/>
      <c r="X301" s="244"/>
      <c r="Y301" s="244"/>
      <c r="Z301" s="244"/>
    </row>
    <row r="302" hidden="1">
      <c r="A302" s="249"/>
      <c r="B302" s="249"/>
      <c r="C302" s="250"/>
      <c r="D302" s="244"/>
      <c r="E302" s="244"/>
      <c r="F302" s="244"/>
      <c r="G302" s="244"/>
      <c r="H302" s="244"/>
      <c r="I302" s="244"/>
      <c r="J302" s="244"/>
      <c r="K302" s="244"/>
      <c r="L302" s="244"/>
      <c r="M302" s="244"/>
      <c r="N302" s="244"/>
      <c r="O302" s="244"/>
      <c r="P302" s="244"/>
      <c r="Q302" s="244"/>
      <c r="R302" s="244"/>
      <c r="S302" s="244"/>
      <c r="T302" s="244"/>
      <c r="U302" s="244"/>
      <c r="V302" s="244"/>
      <c r="W302" s="244"/>
      <c r="X302" s="244"/>
      <c r="Y302" s="244"/>
      <c r="Z302" s="244"/>
    </row>
    <row r="303" hidden="1">
      <c r="A303" s="249"/>
      <c r="B303" s="249"/>
      <c r="C303" s="250"/>
      <c r="D303" s="244"/>
      <c r="E303" s="244"/>
      <c r="F303" s="244"/>
      <c r="G303" s="244"/>
      <c r="H303" s="244"/>
      <c r="I303" s="244"/>
      <c r="J303" s="244"/>
      <c r="K303" s="244"/>
      <c r="L303" s="244"/>
      <c r="M303" s="244"/>
      <c r="N303" s="244"/>
      <c r="O303" s="244"/>
      <c r="P303" s="244"/>
      <c r="Q303" s="244"/>
      <c r="R303" s="244"/>
      <c r="S303" s="244"/>
      <c r="T303" s="244"/>
      <c r="U303" s="244"/>
      <c r="V303" s="244"/>
      <c r="W303" s="244"/>
      <c r="X303" s="244"/>
      <c r="Y303" s="244"/>
      <c r="Z303" s="244"/>
    </row>
    <row r="304" hidden="1">
      <c r="A304" s="249"/>
      <c r="B304" s="249"/>
      <c r="C304" s="250"/>
      <c r="D304" s="244"/>
      <c r="E304" s="244"/>
      <c r="F304" s="244"/>
      <c r="G304" s="244"/>
      <c r="H304" s="244"/>
      <c r="I304" s="244"/>
      <c r="J304" s="244"/>
      <c r="K304" s="244"/>
      <c r="L304" s="244"/>
      <c r="M304" s="244"/>
      <c r="N304" s="244"/>
      <c r="O304" s="244"/>
      <c r="P304" s="244"/>
      <c r="Q304" s="244"/>
      <c r="R304" s="244"/>
      <c r="S304" s="244"/>
      <c r="T304" s="244"/>
      <c r="U304" s="244"/>
      <c r="V304" s="244"/>
      <c r="W304" s="244"/>
      <c r="X304" s="244"/>
      <c r="Y304" s="244"/>
      <c r="Z304" s="244"/>
    </row>
    <row r="305" hidden="1">
      <c r="A305" s="249"/>
      <c r="B305" s="249"/>
      <c r="C305" s="250"/>
      <c r="D305" s="244"/>
      <c r="E305" s="244"/>
      <c r="F305" s="244"/>
      <c r="G305" s="244"/>
      <c r="H305" s="244"/>
      <c r="I305" s="244"/>
      <c r="J305" s="244"/>
      <c r="K305" s="244"/>
      <c r="L305" s="244"/>
      <c r="M305" s="244"/>
      <c r="N305" s="244"/>
      <c r="O305" s="244"/>
      <c r="P305" s="244"/>
      <c r="Q305" s="244"/>
      <c r="R305" s="244"/>
      <c r="S305" s="244"/>
      <c r="T305" s="244"/>
      <c r="U305" s="244"/>
      <c r="V305" s="244"/>
      <c r="W305" s="244"/>
      <c r="X305" s="244"/>
      <c r="Y305" s="244"/>
      <c r="Z305" s="244"/>
    </row>
    <row r="306" hidden="1">
      <c r="A306" s="249"/>
      <c r="B306" s="249"/>
      <c r="C306" s="250"/>
      <c r="D306" s="244"/>
      <c r="E306" s="244"/>
      <c r="F306" s="244"/>
      <c r="G306" s="244"/>
      <c r="H306" s="244"/>
      <c r="I306" s="244"/>
      <c r="J306" s="244"/>
      <c r="K306" s="244"/>
      <c r="L306" s="244"/>
      <c r="M306" s="244"/>
      <c r="N306" s="244"/>
      <c r="O306" s="244"/>
      <c r="P306" s="244"/>
      <c r="Q306" s="244"/>
      <c r="R306" s="244"/>
      <c r="S306" s="244"/>
      <c r="T306" s="244"/>
      <c r="U306" s="244"/>
      <c r="V306" s="244"/>
      <c r="W306" s="244"/>
      <c r="X306" s="244"/>
      <c r="Y306" s="244"/>
      <c r="Z306" s="244"/>
    </row>
    <row r="307" hidden="1">
      <c r="A307" s="249"/>
      <c r="B307" s="249"/>
      <c r="C307" s="250"/>
      <c r="D307" s="244"/>
      <c r="E307" s="244"/>
      <c r="F307" s="244"/>
      <c r="G307" s="244"/>
      <c r="H307" s="244"/>
      <c r="I307" s="244"/>
      <c r="J307" s="244"/>
      <c r="K307" s="244"/>
      <c r="L307" s="244"/>
      <c r="M307" s="244"/>
      <c r="N307" s="244"/>
      <c r="O307" s="244"/>
      <c r="P307" s="244"/>
      <c r="Q307" s="244"/>
      <c r="R307" s="244"/>
      <c r="S307" s="244"/>
      <c r="T307" s="244"/>
      <c r="U307" s="244"/>
      <c r="V307" s="244"/>
      <c r="W307" s="244"/>
      <c r="X307" s="244"/>
      <c r="Y307" s="244"/>
      <c r="Z307" s="244"/>
    </row>
    <row r="308" hidden="1">
      <c r="A308" s="249"/>
      <c r="B308" s="249"/>
      <c r="C308" s="250"/>
      <c r="D308" s="244"/>
      <c r="E308" s="244"/>
      <c r="F308" s="244"/>
      <c r="G308" s="244"/>
      <c r="H308" s="244"/>
      <c r="I308" s="244"/>
      <c r="J308" s="244"/>
      <c r="K308" s="244"/>
      <c r="L308" s="244"/>
      <c r="M308" s="244"/>
      <c r="N308" s="244"/>
      <c r="O308" s="244"/>
      <c r="P308" s="244"/>
      <c r="Q308" s="244"/>
      <c r="R308" s="244"/>
      <c r="S308" s="244"/>
      <c r="T308" s="244"/>
      <c r="U308" s="244"/>
      <c r="V308" s="244"/>
      <c r="W308" s="244"/>
      <c r="X308" s="244"/>
      <c r="Y308" s="244"/>
      <c r="Z308" s="244"/>
    </row>
    <row r="309" hidden="1">
      <c r="A309" s="249"/>
      <c r="B309" s="249"/>
      <c r="C309" s="250"/>
      <c r="D309" s="244"/>
      <c r="E309" s="244"/>
      <c r="F309" s="244"/>
      <c r="G309" s="244"/>
      <c r="H309" s="244"/>
      <c r="I309" s="244"/>
      <c r="J309" s="244"/>
      <c r="K309" s="244"/>
      <c r="L309" s="244"/>
      <c r="M309" s="244"/>
      <c r="N309" s="244"/>
      <c r="O309" s="244"/>
      <c r="P309" s="244"/>
      <c r="Q309" s="244"/>
      <c r="R309" s="244"/>
      <c r="S309" s="244"/>
      <c r="T309" s="244"/>
      <c r="U309" s="244"/>
      <c r="V309" s="244"/>
      <c r="W309" s="244"/>
      <c r="X309" s="244"/>
      <c r="Y309" s="244"/>
      <c r="Z309" s="244"/>
    </row>
    <row r="310" hidden="1">
      <c r="A310" s="249"/>
      <c r="B310" s="249"/>
      <c r="C310" s="250"/>
      <c r="D310" s="244"/>
      <c r="E310" s="244"/>
      <c r="F310" s="244"/>
      <c r="G310" s="244"/>
      <c r="H310" s="244"/>
      <c r="I310" s="244"/>
      <c r="J310" s="244"/>
      <c r="K310" s="244"/>
      <c r="L310" s="244"/>
      <c r="M310" s="244"/>
      <c r="N310" s="244"/>
      <c r="O310" s="244"/>
      <c r="P310" s="244"/>
      <c r="Q310" s="244"/>
      <c r="R310" s="244"/>
      <c r="S310" s="244"/>
      <c r="T310" s="244"/>
      <c r="U310" s="244"/>
      <c r="V310" s="244"/>
      <c r="W310" s="244"/>
      <c r="X310" s="244"/>
      <c r="Y310" s="244"/>
      <c r="Z310" s="244"/>
    </row>
    <row r="311" hidden="1">
      <c r="A311" s="249"/>
      <c r="B311" s="249"/>
      <c r="C311" s="250"/>
      <c r="D311" s="244"/>
      <c r="E311" s="244"/>
      <c r="F311" s="244"/>
      <c r="G311" s="244"/>
      <c r="H311" s="244"/>
      <c r="I311" s="244"/>
      <c r="J311" s="244"/>
      <c r="K311" s="244"/>
      <c r="L311" s="244"/>
      <c r="M311" s="244"/>
      <c r="N311" s="244"/>
      <c r="O311" s="244"/>
      <c r="P311" s="244"/>
      <c r="Q311" s="244"/>
      <c r="R311" s="244"/>
      <c r="S311" s="244"/>
      <c r="T311" s="244"/>
      <c r="U311" s="244"/>
      <c r="V311" s="244"/>
      <c r="W311" s="244"/>
      <c r="X311" s="244"/>
      <c r="Y311" s="244"/>
      <c r="Z311" s="244"/>
    </row>
    <row r="312" hidden="1">
      <c r="A312" s="249"/>
      <c r="B312" s="249"/>
      <c r="C312" s="250"/>
      <c r="D312" s="244"/>
      <c r="E312" s="244"/>
      <c r="F312" s="244"/>
      <c r="G312" s="244"/>
      <c r="H312" s="244"/>
      <c r="I312" s="244"/>
      <c r="J312" s="244"/>
      <c r="K312" s="244"/>
      <c r="L312" s="244"/>
      <c r="M312" s="244"/>
      <c r="N312" s="244"/>
      <c r="O312" s="244"/>
      <c r="P312" s="244"/>
      <c r="Q312" s="244"/>
      <c r="R312" s="244"/>
      <c r="S312" s="244"/>
      <c r="T312" s="244"/>
      <c r="U312" s="244"/>
      <c r="V312" s="244"/>
      <c r="W312" s="244"/>
      <c r="X312" s="244"/>
      <c r="Y312" s="244"/>
      <c r="Z312" s="244"/>
    </row>
    <row r="313" hidden="1">
      <c r="A313" s="249"/>
      <c r="B313" s="249"/>
      <c r="C313" s="250"/>
      <c r="D313" s="244"/>
      <c r="E313" s="244"/>
      <c r="F313" s="244"/>
      <c r="G313" s="244"/>
      <c r="H313" s="244"/>
      <c r="I313" s="244"/>
      <c r="J313" s="244"/>
      <c r="K313" s="244"/>
      <c r="L313" s="244"/>
      <c r="M313" s="244"/>
      <c r="N313" s="244"/>
      <c r="O313" s="244"/>
      <c r="P313" s="244"/>
      <c r="Q313" s="244"/>
      <c r="R313" s="244"/>
      <c r="S313" s="244"/>
      <c r="T313" s="244"/>
      <c r="U313" s="244"/>
      <c r="V313" s="244"/>
      <c r="W313" s="244"/>
      <c r="X313" s="244"/>
      <c r="Y313" s="244"/>
      <c r="Z313" s="244"/>
    </row>
    <row r="314" hidden="1">
      <c r="A314" s="249"/>
      <c r="B314" s="249"/>
      <c r="C314" s="250"/>
      <c r="D314" s="244"/>
      <c r="E314" s="244"/>
      <c r="F314" s="244"/>
      <c r="G314" s="244"/>
      <c r="H314" s="244"/>
      <c r="I314" s="244"/>
      <c r="J314" s="244"/>
      <c r="K314" s="244"/>
      <c r="L314" s="244"/>
      <c r="M314" s="244"/>
      <c r="N314" s="244"/>
      <c r="O314" s="244"/>
      <c r="P314" s="244"/>
      <c r="Q314" s="244"/>
      <c r="R314" s="244"/>
      <c r="S314" s="244"/>
      <c r="T314" s="244"/>
      <c r="U314" s="244"/>
      <c r="V314" s="244"/>
      <c r="W314" s="244"/>
      <c r="X314" s="244"/>
      <c r="Y314" s="244"/>
      <c r="Z314" s="244"/>
    </row>
    <row r="315" hidden="1">
      <c r="A315" s="249"/>
      <c r="B315" s="249"/>
      <c r="C315" s="250"/>
      <c r="D315" s="244"/>
      <c r="E315" s="244"/>
      <c r="F315" s="244"/>
      <c r="G315" s="244"/>
      <c r="H315" s="244"/>
      <c r="I315" s="244"/>
      <c r="J315" s="244"/>
      <c r="K315" s="244"/>
      <c r="L315" s="244"/>
      <c r="M315" s="244"/>
      <c r="N315" s="244"/>
      <c r="O315" s="244"/>
      <c r="P315" s="244"/>
      <c r="Q315" s="244"/>
      <c r="R315" s="244"/>
      <c r="S315" s="244"/>
      <c r="T315" s="244"/>
      <c r="U315" s="244"/>
      <c r="V315" s="244"/>
      <c r="W315" s="244"/>
      <c r="X315" s="244"/>
      <c r="Y315" s="244"/>
      <c r="Z315" s="244"/>
    </row>
    <row r="316" hidden="1">
      <c r="A316" s="249"/>
      <c r="B316" s="249"/>
      <c r="C316" s="250"/>
      <c r="D316" s="244"/>
      <c r="E316" s="244"/>
      <c r="F316" s="244"/>
      <c r="G316" s="244"/>
      <c r="H316" s="244"/>
      <c r="I316" s="244"/>
      <c r="J316" s="244"/>
      <c r="K316" s="244"/>
      <c r="L316" s="244"/>
      <c r="M316" s="244"/>
      <c r="N316" s="244"/>
      <c r="O316" s="244"/>
      <c r="P316" s="244"/>
      <c r="Q316" s="244"/>
      <c r="R316" s="244"/>
      <c r="S316" s="244"/>
      <c r="T316" s="244"/>
      <c r="U316" s="244"/>
      <c r="V316" s="244"/>
      <c r="W316" s="244"/>
      <c r="X316" s="244"/>
      <c r="Y316" s="244"/>
      <c r="Z316" s="244"/>
    </row>
    <row r="317" hidden="1">
      <c r="A317" s="249"/>
      <c r="B317" s="249"/>
      <c r="C317" s="250"/>
      <c r="D317" s="244"/>
      <c r="E317" s="244"/>
      <c r="F317" s="244"/>
      <c r="G317" s="244"/>
      <c r="H317" s="244"/>
      <c r="I317" s="244"/>
      <c r="J317" s="244"/>
      <c r="K317" s="244"/>
      <c r="L317" s="244"/>
      <c r="M317" s="244"/>
      <c r="N317" s="244"/>
      <c r="O317" s="244"/>
      <c r="P317" s="244"/>
      <c r="Q317" s="244"/>
      <c r="R317" s="244"/>
      <c r="S317" s="244"/>
      <c r="T317" s="244"/>
      <c r="U317" s="244"/>
      <c r="V317" s="244"/>
      <c r="W317" s="244"/>
      <c r="X317" s="244"/>
      <c r="Y317" s="244"/>
      <c r="Z317" s="244"/>
    </row>
    <row r="318" hidden="1">
      <c r="A318" s="249"/>
      <c r="B318" s="249"/>
      <c r="C318" s="250"/>
      <c r="D318" s="244"/>
      <c r="E318" s="244"/>
      <c r="F318" s="244"/>
      <c r="G318" s="244"/>
      <c r="H318" s="244"/>
      <c r="I318" s="244"/>
      <c r="J318" s="244"/>
      <c r="K318" s="244"/>
      <c r="L318" s="244"/>
      <c r="M318" s="244"/>
      <c r="N318" s="244"/>
      <c r="O318" s="244"/>
      <c r="P318" s="244"/>
      <c r="Q318" s="244"/>
      <c r="R318" s="244"/>
      <c r="S318" s="244"/>
      <c r="T318" s="244"/>
      <c r="U318" s="244"/>
      <c r="V318" s="244"/>
      <c r="W318" s="244"/>
      <c r="X318" s="244"/>
      <c r="Y318" s="244"/>
      <c r="Z318" s="244"/>
    </row>
    <row r="319" hidden="1">
      <c r="A319" s="249"/>
      <c r="B319" s="249"/>
      <c r="C319" s="250"/>
      <c r="D319" s="244"/>
      <c r="E319" s="244"/>
      <c r="F319" s="244"/>
      <c r="G319" s="244"/>
      <c r="H319" s="244"/>
      <c r="I319" s="244"/>
      <c r="J319" s="244"/>
      <c r="K319" s="244"/>
      <c r="L319" s="244"/>
      <c r="M319" s="244"/>
      <c r="N319" s="244"/>
      <c r="O319" s="244"/>
      <c r="P319" s="244"/>
      <c r="Q319" s="244"/>
      <c r="R319" s="244"/>
      <c r="S319" s="244"/>
      <c r="T319" s="244"/>
      <c r="U319" s="244"/>
      <c r="V319" s="244"/>
      <c r="W319" s="244"/>
      <c r="X319" s="244"/>
      <c r="Y319" s="244"/>
      <c r="Z319" s="244"/>
    </row>
    <row r="320" hidden="1">
      <c r="A320" s="249"/>
      <c r="B320" s="249"/>
      <c r="C320" s="250"/>
      <c r="D320" s="244"/>
      <c r="E320" s="244"/>
      <c r="F320" s="244"/>
      <c r="G320" s="244"/>
      <c r="H320" s="244"/>
      <c r="I320" s="244"/>
      <c r="J320" s="244"/>
      <c r="K320" s="244"/>
      <c r="L320" s="244"/>
      <c r="M320" s="244"/>
      <c r="N320" s="244"/>
      <c r="O320" s="244"/>
      <c r="P320" s="244"/>
      <c r="Q320" s="244"/>
      <c r="R320" s="244"/>
      <c r="S320" s="244"/>
      <c r="T320" s="244"/>
      <c r="U320" s="244"/>
      <c r="V320" s="244"/>
      <c r="W320" s="244"/>
      <c r="X320" s="244"/>
      <c r="Y320" s="244"/>
      <c r="Z320" s="244"/>
    </row>
    <row r="321" hidden="1">
      <c r="A321" s="249"/>
      <c r="B321" s="249"/>
      <c r="C321" s="250"/>
      <c r="D321" s="244"/>
      <c r="E321" s="244"/>
      <c r="F321" s="244"/>
      <c r="G321" s="244"/>
      <c r="H321" s="244"/>
      <c r="I321" s="244"/>
      <c r="J321" s="244"/>
      <c r="K321" s="244"/>
      <c r="L321" s="244"/>
      <c r="M321" s="244"/>
      <c r="N321" s="244"/>
      <c r="O321" s="244"/>
      <c r="P321" s="244"/>
      <c r="Q321" s="244"/>
      <c r="R321" s="244"/>
      <c r="S321" s="244"/>
      <c r="T321" s="244"/>
      <c r="U321" s="244"/>
      <c r="V321" s="244"/>
      <c r="W321" s="244"/>
      <c r="X321" s="244"/>
      <c r="Y321" s="244"/>
      <c r="Z321" s="244"/>
    </row>
    <row r="322" hidden="1">
      <c r="A322" s="249"/>
      <c r="B322" s="249"/>
      <c r="C322" s="250"/>
      <c r="D322" s="244"/>
      <c r="E322" s="244"/>
      <c r="F322" s="244"/>
      <c r="G322" s="244"/>
      <c r="H322" s="244"/>
      <c r="I322" s="244"/>
      <c r="J322" s="244"/>
      <c r="K322" s="244"/>
      <c r="L322" s="244"/>
      <c r="M322" s="244"/>
      <c r="N322" s="244"/>
      <c r="O322" s="244"/>
      <c r="P322" s="244"/>
      <c r="Q322" s="244"/>
      <c r="R322" s="244"/>
      <c r="S322" s="244"/>
      <c r="T322" s="244"/>
      <c r="U322" s="244"/>
      <c r="V322" s="244"/>
      <c r="W322" s="244"/>
      <c r="X322" s="244"/>
      <c r="Y322" s="244"/>
      <c r="Z322" s="244"/>
    </row>
    <row r="323" hidden="1">
      <c r="A323" s="249"/>
      <c r="B323" s="249"/>
      <c r="C323" s="250"/>
      <c r="D323" s="244"/>
      <c r="E323" s="244"/>
      <c r="F323" s="244"/>
      <c r="G323" s="244"/>
      <c r="H323" s="244"/>
      <c r="I323" s="244"/>
      <c r="J323" s="244"/>
      <c r="K323" s="244"/>
      <c r="L323" s="244"/>
      <c r="M323" s="244"/>
      <c r="N323" s="244"/>
      <c r="O323" s="244"/>
      <c r="P323" s="244"/>
      <c r="Q323" s="244"/>
      <c r="R323" s="244"/>
      <c r="S323" s="244"/>
      <c r="T323" s="244"/>
      <c r="U323" s="244"/>
      <c r="V323" s="244"/>
      <c r="W323" s="244"/>
      <c r="X323" s="244"/>
      <c r="Y323" s="244"/>
      <c r="Z323" s="244"/>
    </row>
    <row r="324" hidden="1">
      <c r="A324" s="249"/>
      <c r="B324" s="249"/>
      <c r="C324" s="250"/>
      <c r="D324" s="244"/>
      <c r="E324" s="244"/>
      <c r="F324" s="244"/>
      <c r="G324" s="244"/>
      <c r="H324" s="244"/>
      <c r="I324" s="244"/>
      <c r="J324" s="244"/>
      <c r="K324" s="244"/>
      <c r="L324" s="244"/>
      <c r="M324" s="244"/>
      <c r="N324" s="244"/>
      <c r="O324" s="244"/>
      <c r="P324" s="244"/>
      <c r="Q324" s="244"/>
      <c r="R324" s="244"/>
      <c r="S324" s="244"/>
      <c r="T324" s="244"/>
      <c r="U324" s="244"/>
      <c r="V324" s="244"/>
      <c r="W324" s="244"/>
      <c r="X324" s="244"/>
      <c r="Y324" s="244"/>
      <c r="Z324" s="244"/>
    </row>
    <row r="325" hidden="1">
      <c r="A325" s="249"/>
      <c r="B325" s="249"/>
      <c r="C325" s="250"/>
      <c r="D325" s="244"/>
      <c r="E325" s="244"/>
      <c r="F325" s="244"/>
      <c r="G325" s="244"/>
      <c r="H325" s="244"/>
      <c r="I325" s="244"/>
      <c r="J325" s="244"/>
      <c r="K325" s="244"/>
      <c r="L325" s="244"/>
      <c r="M325" s="244"/>
      <c r="N325" s="244"/>
      <c r="O325" s="244"/>
      <c r="P325" s="244"/>
      <c r="Q325" s="244"/>
      <c r="R325" s="244"/>
      <c r="S325" s="244"/>
      <c r="T325" s="244"/>
      <c r="U325" s="244"/>
      <c r="V325" s="244"/>
      <c r="W325" s="244"/>
      <c r="X325" s="244"/>
      <c r="Y325" s="244"/>
      <c r="Z325" s="244"/>
    </row>
    <row r="326" hidden="1">
      <c r="A326" s="249"/>
      <c r="B326" s="249"/>
      <c r="C326" s="250"/>
      <c r="D326" s="244"/>
      <c r="E326" s="244"/>
      <c r="F326" s="244"/>
      <c r="G326" s="244"/>
      <c r="H326" s="244"/>
      <c r="I326" s="244"/>
      <c r="J326" s="244"/>
      <c r="K326" s="244"/>
      <c r="L326" s="244"/>
      <c r="M326" s="244"/>
      <c r="N326" s="244"/>
      <c r="O326" s="244"/>
      <c r="P326" s="244"/>
      <c r="Q326" s="244"/>
      <c r="R326" s="244"/>
      <c r="S326" s="244"/>
      <c r="T326" s="244"/>
      <c r="U326" s="244"/>
      <c r="V326" s="244"/>
      <c r="W326" s="244"/>
      <c r="X326" s="244"/>
      <c r="Y326" s="244"/>
      <c r="Z326" s="244"/>
    </row>
    <row r="327" hidden="1">
      <c r="A327" s="249"/>
      <c r="B327" s="249"/>
      <c r="C327" s="250"/>
      <c r="D327" s="244"/>
      <c r="E327" s="244"/>
      <c r="F327" s="244"/>
      <c r="G327" s="244"/>
      <c r="H327" s="244"/>
      <c r="I327" s="244"/>
      <c r="J327" s="244"/>
      <c r="K327" s="244"/>
      <c r="L327" s="244"/>
      <c r="M327" s="244"/>
      <c r="N327" s="244"/>
      <c r="O327" s="244"/>
      <c r="P327" s="244"/>
      <c r="Q327" s="244"/>
      <c r="R327" s="244"/>
      <c r="S327" s="244"/>
      <c r="T327" s="244"/>
      <c r="U327" s="244"/>
      <c r="V327" s="244"/>
      <c r="W327" s="244"/>
      <c r="X327" s="244"/>
      <c r="Y327" s="244"/>
      <c r="Z327" s="244"/>
    </row>
    <row r="328" hidden="1">
      <c r="A328" s="249"/>
      <c r="B328" s="249"/>
      <c r="C328" s="250"/>
      <c r="D328" s="244"/>
      <c r="E328" s="244"/>
      <c r="F328" s="244"/>
      <c r="G328" s="244"/>
      <c r="H328" s="244"/>
      <c r="I328" s="244"/>
      <c r="J328" s="244"/>
      <c r="K328" s="244"/>
      <c r="L328" s="244"/>
      <c r="M328" s="244"/>
      <c r="N328" s="244"/>
      <c r="O328" s="244"/>
      <c r="P328" s="244"/>
      <c r="Q328" s="244"/>
      <c r="R328" s="244"/>
      <c r="S328" s="244"/>
      <c r="T328" s="244"/>
      <c r="U328" s="244"/>
      <c r="V328" s="244"/>
      <c r="W328" s="244"/>
      <c r="X328" s="244"/>
      <c r="Y328" s="244"/>
      <c r="Z328" s="244"/>
    </row>
    <row r="329" hidden="1">
      <c r="A329" s="249"/>
      <c r="B329" s="249"/>
      <c r="C329" s="250"/>
      <c r="D329" s="244"/>
      <c r="E329" s="244"/>
      <c r="F329" s="244"/>
      <c r="G329" s="244"/>
      <c r="H329" s="244"/>
      <c r="I329" s="244"/>
      <c r="J329" s="244"/>
      <c r="K329" s="244"/>
      <c r="L329" s="244"/>
      <c r="M329" s="244"/>
      <c r="N329" s="244"/>
      <c r="O329" s="244"/>
      <c r="P329" s="244"/>
      <c r="Q329" s="244"/>
      <c r="R329" s="244"/>
      <c r="S329" s="244"/>
      <c r="T329" s="244"/>
      <c r="U329" s="244"/>
      <c r="V329" s="244"/>
      <c r="W329" s="244"/>
      <c r="X329" s="244"/>
      <c r="Y329" s="244"/>
      <c r="Z329" s="244"/>
    </row>
    <row r="330" hidden="1">
      <c r="A330" s="249"/>
      <c r="B330" s="249"/>
      <c r="C330" s="250"/>
      <c r="D330" s="244"/>
      <c r="E330" s="244"/>
      <c r="F330" s="244"/>
      <c r="G330" s="244"/>
      <c r="H330" s="244"/>
      <c r="I330" s="244"/>
      <c r="J330" s="244"/>
      <c r="K330" s="244"/>
      <c r="L330" s="244"/>
      <c r="M330" s="244"/>
      <c r="N330" s="244"/>
      <c r="O330" s="244"/>
      <c r="P330" s="244"/>
      <c r="Q330" s="244"/>
      <c r="R330" s="244"/>
      <c r="S330" s="244"/>
      <c r="T330" s="244"/>
      <c r="U330" s="244"/>
      <c r="V330" s="244"/>
      <c r="W330" s="244"/>
      <c r="X330" s="244"/>
      <c r="Y330" s="244"/>
      <c r="Z330" s="244"/>
    </row>
    <row r="331" hidden="1">
      <c r="A331" s="249"/>
      <c r="B331" s="249"/>
      <c r="C331" s="250"/>
      <c r="D331" s="244"/>
      <c r="E331" s="244"/>
      <c r="F331" s="244"/>
      <c r="G331" s="244"/>
      <c r="H331" s="244"/>
      <c r="I331" s="244"/>
      <c r="J331" s="244"/>
      <c r="K331" s="244"/>
      <c r="L331" s="244"/>
      <c r="M331" s="244"/>
      <c r="N331" s="244"/>
      <c r="O331" s="244"/>
      <c r="P331" s="244"/>
      <c r="Q331" s="244"/>
      <c r="R331" s="244"/>
      <c r="S331" s="244"/>
      <c r="T331" s="244"/>
      <c r="U331" s="244"/>
      <c r="V331" s="244"/>
      <c r="W331" s="244"/>
      <c r="X331" s="244"/>
      <c r="Y331" s="244"/>
      <c r="Z331" s="244"/>
    </row>
    <row r="332" hidden="1">
      <c r="A332" s="249"/>
      <c r="B332" s="249"/>
      <c r="C332" s="250"/>
      <c r="D332" s="244"/>
      <c r="E332" s="244"/>
      <c r="F332" s="244"/>
      <c r="G332" s="244"/>
      <c r="H332" s="244"/>
      <c r="I332" s="244"/>
      <c r="J332" s="244"/>
      <c r="K332" s="244"/>
      <c r="L332" s="244"/>
      <c r="M332" s="244"/>
      <c r="N332" s="244"/>
      <c r="O332" s="244"/>
      <c r="P332" s="244"/>
      <c r="Q332" s="244"/>
      <c r="R332" s="244"/>
      <c r="S332" s="244"/>
      <c r="T332" s="244"/>
      <c r="U332" s="244"/>
      <c r="V332" s="244"/>
      <c r="W332" s="244"/>
      <c r="X332" s="244"/>
      <c r="Y332" s="244"/>
      <c r="Z332" s="244"/>
    </row>
    <row r="333" hidden="1">
      <c r="A333" s="249"/>
      <c r="B333" s="249"/>
      <c r="C333" s="250"/>
      <c r="D333" s="244"/>
      <c r="E333" s="244"/>
      <c r="F333" s="244"/>
      <c r="G333" s="244"/>
      <c r="H333" s="244"/>
      <c r="I333" s="244"/>
      <c r="J333" s="244"/>
      <c r="K333" s="244"/>
      <c r="L333" s="244"/>
      <c r="M333" s="244"/>
      <c r="N333" s="244"/>
      <c r="O333" s="244"/>
      <c r="P333" s="244"/>
      <c r="Q333" s="244"/>
      <c r="R333" s="244"/>
      <c r="S333" s="244"/>
      <c r="T333" s="244"/>
      <c r="U333" s="244"/>
      <c r="V333" s="244"/>
      <c r="W333" s="244"/>
      <c r="X333" s="244"/>
      <c r="Y333" s="244"/>
      <c r="Z333" s="244"/>
    </row>
    <row r="334" hidden="1">
      <c r="A334" s="249"/>
      <c r="B334" s="249"/>
      <c r="C334" s="250"/>
      <c r="D334" s="244"/>
      <c r="E334" s="244"/>
      <c r="F334" s="244"/>
      <c r="G334" s="244"/>
      <c r="H334" s="244"/>
      <c r="I334" s="244"/>
      <c r="J334" s="244"/>
      <c r="K334" s="244"/>
      <c r="L334" s="244"/>
      <c r="M334" s="244"/>
      <c r="N334" s="244"/>
      <c r="O334" s="244"/>
      <c r="P334" s="244"/>
      <c r="Q334" s="244"/>
      <c r="R334" s="244"/>
      <c r="S334" s="244"/>
      <c r="T334" s="244"/>
      <c r="U334" s="244"/>
      <c r="V334" s="244"/>
      <c r="W334" s="244"/>
      <c r="X334" s="244"/>
      <c r="Y334" s="244"/>
      <c r="Z334" s="244"/>
    </row>
    <row r="335" hidden="1">
      <c r="A335" s="249"/>
      <c r="B335" s="249"/>
      <c r="C335" s="250"/>
      <c r="D335" s="244"/>
      <c r="E335" s="244"/>
      <c r="F335" s="244"/>
      <c r="G335" s="244"/>
      <c r="H335" s="244"/>
      <c r="I335" s="244"/>
      <c r="J335" s="244"/>
      <c r="K335" s="244"/>
      <c r="L335" s="244"/>
      <c r="M335" s="244"/>
      <c r="N335" s="244"/>
      <c r="O335" s="244"/>
      <c r="P335" s="244"/>
      <c r="Q335" s="244"/>
      <c r="R335" s="244"/>
      <c r="S335" s="244"/>
      <c r="T335" s="244"/>
      <c r="U335" s="244"/>
      <c r="V335" s="244"/>
      <c r="W335" s="244"/>
      <c r="X335" s="244"/>
      <c r="Y335" s="244"/>
      <c r="Z335" s="244"/>
    </row>
    <row r="336" hidden="1">
      <c r="A336" s="249"/>
      <c r="B336" s="249"/>
      <c r="C336" s="250"/>
      <c r="D336" s="244"/>
      <c r="E336" s="244"/>
      <c r="F336" s="244"/>
      <c r="G336" s="244"/>
      <c r="H336" s="244"/>
      <c r="I336" s="244"/>
      <c r="J336" s="244"/>
      <c r="K336" s="244"/>
      <c r="L336" s="244"/>
      <c r="M336" s="244"/>
      <c r="N336" s="244"/>
      <c r="O336" s="244"/>
      <c r="P336" s="244"/>
      <c r="Q336" s="244"/>
      <c r="R336" s="244"/>
      <c r="S336" s="244"/>
      <c r="T336" s="244"/>
      <c r="U336" s="244"/>
      <c r="V336" s="244"/>
      <c r="W336" s="244"/>
      <c r="X336" s="244"/>
      <c r="Y336" s="244"/>
      <c r="Z336" s="244"/>
    </row>
    <row r="337" hidden="1">
      <c r="A337" s="249"/>
      <c r="B337" s="249"/>
      <c r="C337" s="250"/>
      <c r="D337" s="244"/>
      <c r="E337" s="244"/>
      <c r="F337" s="244"/>
      <c r="G337" s="244"/>
      <c r="H337" s="244"/>
      <c r="I337" s="244"/>
      <c r="J337" s="244"/>
      <c r="K337" s="244"/>
      <c r="L337" s="244"/>
      <c r="M337" s="244"/>
      <c r="N337" s="244"/>
      <c r="O337" s="244"/>
      <c r="P337" s="244"/>
      <c r="Q337" s="244"/>
      <c r="R337" s="244"/>
      <c r="S337" s="244"/>
      <c r="T337" s="244"/>
      <c r="U337" s="244"/>
      <c r="V337" s="244"/>
      <c r="W337" s="244"/>
      <c r="X337" s="244"/>
      <c r="Y337" s="244"/>
      <c r="Z337" s="244"/>
    </row>
    <row r="338" hidden="1">
      <c r="A338" s="249"/>
      <c r="B338" s="249"/>
      <c r="C338" s="250"/>
      <c r="D338" s="244"/>
      <c r="E338" s="244"/>
      <c r="F338" s="244"/>
      <c r="G338" s="244"/>
      <c r="H338" s="244"/>
      <c r="I338" s="244"/>
      <c r="J338" s="244"/>
      <c r="K338" s="244"/>
      <c r="L338" s="244"/>
      <c r="M338" s="244"/>
      <c r="N338" s="244"/>
      <c r="O338" s="244"/>
      <c r="P338" s="244"/>
      <c r="Q338" s="244"/>
      <c r="R338" s="244"/>
      <c r="S338" s="244"/>
      <c r="T338" s="244"/>
      <c r="U338" s="244"/>
      <c r="V338" s="244"/>
      <c r="W338" s="244"/>
      <c r="X338" s="244"/>
      <c r="Y338" s="244"/>
      <c r="Z338" s="244"/>
    </row>
    <row r="339" hidden="1">
      <c r="A339" s="249"/>
      <c r="B339" s="249"/>
      <c r="C339" s="250"/>
      <c r="D339" s="244"/>
      <c r="E339" s="244"/>
      <c r="F339" s="244"/>
      <c r="G339" s="244"/>
      <c r="H339" s="244"/>
      <c r="I339" s="244"/>
      <c r="J339" s="244"/>
      <c r="K339" s="244"/>
      <c r="L339" s="244"/>
      <c r="M339" s="244"/>
      <c r="N339" s="244"/>
      <c r="O339" s="244"/>
      <c r="P339" s="244"/>
      <c r="Q339" s="244"/>
      <c r="R339" s="244"/>
      <c r="S339" s="244"/>
      <c r="T339" s="244"/>
      <c r="U339" s="244"/>
      <c r="V339" s="244"/>
      <c r="W339" s="244"/>
      <c r="X339" s="244"/>
      <c r="Y339" s="244"/>
      <c r="Z339" s="244"/>
    </row>
    <row r="340" hidden="1">
      <c r="A340" s="249"/>
      <c r="B340" s="249"/>
      <c r="C340" s="250"/>
      <c r="D340" s="244"/>
      <c r="E340" s="244"/>
      <c r="F340" s="244"/>
      <c r="G340" s="244"/>
      <c r="H340" s="244"/>
      <c r="I340" s="244"/>
      <c r="J340" s="244"/>
      <c r="K340" s="244"/>
      <c r="L340" s="244"/>
      <c r="M340" s="244"/>
      <c r="N340" s="244"/>
      <c r="O340" s="244"/>
      <c r="P340" s="244"/>
      <c r="Q340" s="244"/>
      <c r="R340" s="244"/>
      <c r="S340" s="244"/>
      <c r="T340" s="244"/>
      <c r="U340" s="244"/>
      <c r="V340" s="244"/>
      <c r="W340" s="244"/>
      <c r="X340" s="244"/>
      <c r="Y340" s="244"/>
      <c r="Z340" s="244"/>
    </row>
    <row r="341" hidden="1">
      <c r="A341" s="249"/>
      <c r="B341" s="249"/>
      <c r="C341" s="250"/>
      <c r="D341" s="244"/>
      <c r="E341" s="244"/>
      <c r="F341" s="244"/>
      <c r="G341" s="244"/>
      <c r="H341" s="244"/>
      <c r="I341" s="244"/>
      <c r="J341" s="244"/>
      <c r="K341" s="244"/>
      <c r="L341" s="244"/>
      <c r="M341" s="244"/>
      <c r="N341" s="244"/>
      <c r="O341" s="244"/>
      <c r="P341" s="244"/>
      <c r="Q341" s="244"/>
      <c r="R341" s="244"/>
      <c r="S341" s="244"/>
      <c r="T341" s="244"/>
      <c r="U341" s="244"/>
      <c r="V341" s="244"/>
      <c r="W341" s="244"/>
      <c r="X341" s="244"/>
      <c r="Y341" s="244"/>
      <c r="Z341" s="244"/>
    </row>
    <row r="342" hidden="1">
      <c r="A342" s="249"/>
      <c r="B342" s="249"/>
      <c r="C342" s="250"/>
      <c r="D342" s="244"/>
      <c r="E342" s="244"/>
      <c r="F342" s="244"/>
      <c r="G342" s="244"/>
      <c r="H342" s="244"/>
      <c r="I342" s="244"/>
      <c r="J342" s="244"/>
      <c r="K342" s="244"/>
      <c r="L342" s="244"/>
      <c r="M342" s="244"/>
      <c r="N342" s="244"/>
      <c r="O342" s="244"/>
      <c r="P342" s="244"/>
      <c r="Q342" s="244"/>
      <c r="R342" s="244"/>
      <c r="S342" s="244"/>
      <c r="T342" s="244"/>
      <c r="U342" s="244"/>
      <c r="V342" s="244"/>
      <c r="W342" s="244"/>
      <c r="X342" s="244"/>
      <c r="Y342" s="244"/>
      <c r="Z342" s="244"/>
    </row>
    <row r="343" hidden="1">
      <c r="A343" s="249"/>
      <c r="B343" s="249"/>
      <c r="C343" s="250"/>
      <c r="D343" s="244"/>
      <c r="E343" s="244"/>
      <c r="F343" s="244"/>
      <c r="G343" s="244"/>
      <c r="H343" s="244"/>
      <c r="I343" s="244"/>
      <c r="J343" s="244"/>
      <c r="K343" s="244"/>
      <c r="L343" s="244"/>
      <c r="M343" s="244"/>
      <c r="N343" s="244"/>
      <c r="O343" s="244"/>
      <c r="P343" s="244"/>
      <c r="Q343" s="244"/>
      <c r="R343" s="244"/>
      <c r="S343" s="244"/>
      <c r="T343" s="244"/>
      <c r="U343" s="244"/>
      <c r="V343" s="244"/>
      <c r="W343" s="244"/>
      <c r="X343" s="244"/>
      <c r="Y343" s="244"/>
      <c r="Z343" s="244"/>
    </row>
    <row r="344" hidden="1">
      <c r="A344" s="249"/>
      <c r="B344" s="249"/>
      <c r="C344" s="250"/>
      <c r="D344" s="244"/>
      <c r="E344" s="244"/>
      <c r="F344" s="244"/>
      <c r="G344" s="244"/>
      <c r="H344" s="244"/>
      <c r="I344" s="244"/>
      <c r="J344" s="244"/>
      <c r="K344" s="244"/>
      <c r="L344" s="244"/>
      <c r="M344" s="244"/>
      <c r="N344" s="244"/>
      <c r="O344" s="244"/>
      <c r="P344" s="244"/>
      <c r="Q344" s="244"/>
      <c r="R344" s="244"/>
      <c r="S344" s="244"/>
      <c r="T344" s="244"/>
      <c r="U344" s="244"/>
      <c r="V344" s="244"/>
      <c r="W344" s="244"/>
      <c r="X344" s="244"/>
      <c r="Y344" s="244"/>
      <c r="Z344" s="244"/>
    </row>
    <row r="345" hidden="1">
      <c r="A345" s="249"/>
      <c r="B345" s="249"/>
      <c r="C345" s="250"/>
      <c r="D345" s="244"/>
      <c r="E345" s="244"/>
      <c r="F345" s="244"/>
      <c r="G345" s="244"/>
      <c r="H345" s="244"/>
      <c r="I345" s="244"/>
      <c r="J345" s="244"/>
      <c r="K345" s="244"/>
      <c r="L345" s="244"/>
      <c r="M345" s="244"/>
      <c r="N345" s="244"/>
      <c r="O345" s="244"/>
      <c r="P345" s="244"/>
      <c r="Q345" s="244"/>
      <c r="R345" s="244"/>
      <c r="S345" s="244"/>
      <c r="T345" s="244"/>
      <c r="U345" s="244"/>
      <c r="V345" s="244"/>
      <c r="W345" s="244"/>
      <c r="X345" s="244"/>
      <c r="Y345" s="244"/>
      <c r="Z345" s="244"/>
    </row>
    <row r="346" hidden="1">
      <c r="A346" s="249"/>
      <c r="B346" s="249"/>
      <c r="C346" s="250"/>
      <c r="D346" s="244"/>
      <c r="E346" s="244"/>
      <c r="F346" s="244"/>
      <c r="G346" s="244"/>
      <c r="H346" s="244"/>
      <c r="I346" s="244"/>
      <c r="J346" s="244"/>
      <c r="K346" s="244"/>
      <c r="L346" s="244"/>
      <c r="M346" s="244"/>
      <c r="N346" s="244"/>
      <c r="O346" s="244"/>
      <c r="P346" s="244"/>
      <c r="Q346" s="244"/>
      <c r="R346" s="244"/>
      <c r="S346" s="244"/>
      <c r="T346" s="244"/>
      <c r="U346" s="244"/>
      <c r="V346" s="244"/>
      <c r="W346" s="244"/>
      <c r="X346" s="244"/>
      <c r="Y346" s="244"/>
      <c r="Z346" s="244"/>
    </row>
    <row r="347" hidden="1">
      <c r="A347" s="249"/>
      <c r="B347" s="249"/>
      <c r="C347" s="250"/>
      <c r="D347" s="244"/>
      <c r="E347" s="244"/>
      <c r="F347" s="244"/>
      <c r="G347" s="244"/>
      <c r="H347" s="244"/>
      <c r="I347" s="244"/>
      <c r="J347" s="244"/>
      <c r="K347" s="244"/>
      <c r="L347" s="244"/>
      <c r="M347" s="244"/>
      <c r="N347" s="244"/>
      <c r="O347" s="244"/>
      <c r="P347" s="244"/>
      <c r="Q347" s="244"/>
      <c r="R347" s="244"/>
      <c r="S347" s="244"/>
      <c r="T347" s="244"/>
      <c r="U347" s="244"/>
      <c r="V347" s="244"/>
      <c r="W347" s="244"/>
      <c r="X347" s="244"/>
      <c r="Y347" s="244"/>
      <c r="Z347" s="244"/>
    </row>
    <row r="348" hidden="1">
      <c r="A348" s="249"/>
      <c r="B348" s="249"/>
      <c r="C348" s="250"/>
      <c r="D348" s="244"/>
      <c r="E348" s="244"/>
      <c r="F348" s="244"/>
      <c r="G348" s="244"/>
      <c r="H348" s="244"/>
      <c r="I348" s="244"/>
      <c r="J348" s="244"/>
      <c r="K348" s="244"/>
      <c r="L348" s="244"/>
      <c r="M348" s="244"/>
      <c r="N348" s="244"/>
      <c r="O348" s="244"/>
      <c r="P348" s="244"/>
      <c r="Q348" s="244"/>
      <c r="R348" s="244"/>
      <c r="S348" s="244"/>
      <c r="T348" s="244"/>
      <c r="U348" s="244"/>
      <c r="V348" s="244"/>
      <c r="W348" s="244"/>
      <c r="X348" s="244"/>
      <c r="Y348" s="244"/>
      <c r="Z348" s="244"/>
    </row>
    <row r="349" hidden="1">
      <c r="A349" s="249"/>
      <c r="B349" s="249"/>
      <c r="C349" s="250"/>
      <c r="D349" s="244"/>
      <c r="E349" s="244"/>
      <c r="F349" s="244"/>
      <c r="G349" s="244"/>
      <c r="H349" s="244"/>
      <c r="I349" s="244"/>
      <c r="J349" s="244"/>
      <c r="K349" s="244"/>
      <c r="L349" s="244"/>
      <c r="M349" s="244"/>
      <c r="N349" s="244"/>
      <c r="O349" s="244"/>
      <c r="P349" s="244"/>
      <c r="Q349" s="244"/>
      <c r="R349" s="244"/>
      <c r="S349" s="244"/>
      <c r="T349" s="244"/>
      <c r="U349" s="244"/>
      <c r="V349" s="244"/>
      <c r="W349" s="244"/>
      <c r="X349" s="244"/>
      <c r="Y349" s="244"/>
      <c r="Z349" s="244"/>
    </row>
    <row r="350" hidden="1">
      <c r="A350" s="249"/>
      <c r="B350" s="249"/>
      <c r="C350" s="250"/>
      <c r="D350" s="244"/>
      <c r="E350" s="244"/>
      <c r="F350" s="244"/>
      <c r="G350" s="244"/>
      <c r="H350" s="244"/>
      <c r="I350" s="244"/>
      <c r="J350" s="244"/>
      <c r="K350" s="244"/>
      <c r="L350" s="244"/>
      <c r="M350" s="244"/>
      <c r="N350" s="244"/>
      <c r="O350" s="244"/>
      <c r="P350" s="244"/>
      <c r="Q350" s="244"/>
      <c r="R350" s="244"/>
      <c r="S350" s="244"/>
      <c r="T350" s="244"/>
      <c r="U350" s="244"/>
      <c r="V350" s="244"/>
      <c r="W350" s="244"/>
      <c r="X350" s="244"/>
      <c r="Y350" s="244"/>
      <c r="Z350" s="244"/>
    </row>
    <row r="351" hidden="1">
      <c r="A351" s="249"/>
      <c r="B351" s="249"/>
      <c r="C351" s="250"/>
      <c r="D351" s="244"/>
      <c r="E351" s="244"/>
      <c r="F351" s="244"/>
      <c r="G351" s="244"/>
      <c r="H351" s="244"/>
      <c r="I351" s="244"/>
      <c r="J351" s="244"/>
      <c r="K351" s="244"/>
      <c r="L351" s="244"/>
      <c r="M351" s="244"/>
      <c r="N351" s="244"/>
      <c r="O351" s="244"/>
      <c r="P351" s="244"/>
      <c r="Q351" s="244"/>
      <c r="R351" s="244"/>
      <c r="S351" s="244"/>
      <c r="T351" s="244"/>
      <c r="U351" s="244"/>
      <c r="V351" s="244"/>
      <c r="W351" s="244"/>
      <c r="X351" s="244"/>
      <c r="Y351" s="244"/>
      <c r="Z351" s="244"/>
    </row>
    <row r="352" hidden="1">
      <c r="A352" s="249"/>
      <c r="B352" s="249"/>
      <c r="C352" s="250"/>
      <c r="D352" s="244"/>
      <c r="E352" s="244"/>
      <c r="F352" s="244"/>
      <c r="G352" s="244"/>
      <c r="H352" s="244"/>
      <c r="I352" s="244"/>
      <c r="J352" s="244"/>
      <c r="K352" s="244"/>
      <c r="L352" s="244"/>
      <c r="M352" s="244"/>
      <c r="N352" s="244"/>
      <c r="O352" s="244"/>
      <c r="P352" s="244"/>
      <c r="Q352" s="244"/>
      <c r="R352" s="244"/>
      <c r="S352" s="244"/>
      <c r="T352" s="244"/>
      <c r="U352" s="244"/>
      <c r="V352" s="244"/>
      <c r="W352" s="244"/>
      <c r="X352" s="244"/>
      <c r="Y352" s="244"/>
      <c r="Z352" s="244"/>
    </row>
    <row r="353" hidden="1">
      <c r="A353" s="249"/>
      <c r="B353" s="249"/>
      <c r="C353" s="250"/>
      <c r="D353" s="244"/>
      <c r="E353" s="244"/>
      <c r="F353" s="244"/>
      <c r="G353" s="244"/>
      <c r="H353" s="244"/>
      <c r="I353" s="244"/>
      <c r="J353" s="244"/>
      <c r="K353" s="244"/>
      <c r="L353" s="244"/>
      <c r="M353" s="244"/>
      <c r="N353" s="244"/>
      <c r="O353" s="244"/>
      <c r="P353" s="244"/>
      <c r="Q353" s="244"/>
      <c r="R353" s="244"/>
      <c r="S353" s="244"/>
      <c r="T353" s="244"/>
      <c r="U353" s="244"/>
      <c r="V353" s="244"/>
      <c r="W353" s="244"/>
      <c r="X353" s="244"/>
      <c r="Y353" s="244"/>
      <c r="Z353" s="244"/>
    </row>
    <row r="354" hidden="1">
      <c r="A354" s="249"/>
      <c r="B354" s="249"/>
      <c r="C354" s="250"/>
      <c r="D354" s="244"/>
      <c r="E354" s="244"/>
      <c r="F354" s="244"/>
      <c r="G354" s="244"/>
      <c r="H354" s="244"/>
      <c r="I354" s="244"/>
      <c r="J354" s="244"/>
      <c r="K354" s="244"/>
      <c r="L354" s="244"/>
      <c r="M354" s="244"/>
      <c r="N354" s="244"/>
      <c r="O354" s="244"/>
      <c r="P354" s="244"/>
      <c r="Q354" s="244"/>
      <c r="R354" s="244"/>
      <c r="S354" s="244"/>
      <c r="T354" s="244"/>
      <c r="U354" s="244"/>
      <c r="V354" s="244"/>
      <c r="W354" s="244"/>
      <c r="X354" s="244"/>
      <c r="Y354" s="244"/>
      <c r="Z354" s="244"/>
    </row>
    <row r="355" hidden="1">
      <c r="A355" s="249"/>
      <c r="B355" s="249"/>
      <c r="C355" s="250"/>
      <c r="D355" s="244"/>
      <c r="E355" s="244"/>
      <c r="F355" s="244"/>
      <c r="G355" s="244"/>
      <c r="H355" s="244"/>
      <c r="I355" s="244"/>
      <c r="J355" s="244"/>
      <c r="K355" s="244"/>
      <c r="L355" s="244"/>
      <c r="M355" s="244"/>
      <c r="N355" s="244"/>
      <c r="O355" s="244"/>
      <c r="P355" s="244"/>
      <c r="Q355" s="244"/>
      <c r="R355" s="244"/>
      <c r="S355" s="244"/>
      <c r="T355" s="244"/>
      <c r="U355" s="244"/>
      <c r="V355" s="244"/>
      <c r="W355" s="244"/>
      <c r="X355" s="244"/>
      <c r="Y355" s="244"/>
      <c r="Z355" s="244"/>
    </row>
    <row r="356" hidden="1">
      <c r="A356" s="249"/>
      <c r="B356" s="249"/>
      <c r="C356" s="250"/>
      <c r="D356" s="244"/>
      <c r="E356" s="244"/>
      <c r="F356" s="244"/>
      <c r="G356" s="244"/>
      <c r="H356" s="244"/>
      <c r="I356" s="244"/>
      <c r="J356" s="244"/>
      <c r="K356" s="244"/>
      <c r="L356" s="244"/>
      <c r="M356" s="244"/>
      <c r="N356" s="244"/>
      <c r="O356" s="244"/>
      <c r="P356" s="244"/>
      <c r="Q356" s="244"/>
      <c r="R356" s="244"/>
      <c r="S356" s="244"/>
      <c r="T356" s="244"/>
      <c r="U356" s="244"/>
      <c r="V356" s="244"/>
      <c r="W356" s="244"/>
      <c r="X356" s="244"/>
      <c r="Y356" s="244"/>
      <c r="Z356" s="244"/>
    </row>
    <row r="357" hidden="1">
      <c r="A357" s="249"/>
      <c r="B357" s="249"/>
      <c r="C357" s="250"/>
      <c r="D357" s="244"/>
      <c r="E357" s="244"/>
      <c r="F357" s="244"/>
      <c r="G357" s="244"/>
      <c r="H357" s="244"/>
      <c r="I357" s="244"/>
      <c r="J357" s="244"/>
      <c r="K357" s="244"/>
      <c r="L357" s="244"/>
      <c r="M357" s="244"/>
      <c r="N357" s="244"/>
      <c r="O357" s="244"/>
      <c r="P357" s="244"/>
      <c r="Q357" s="244"/>
      <c r="R357" s="244"/>
      <c r="S357" s="244"/>
      <c r="T357" s="244"/>
      <c r="U357" s="244"/>
      <c r="V357" s="244"/>
      <c r="W357" s="244"/>
      <c r="X357" s="244"/>
      <c r="Y357" s="244"/>
      <c r="Z357" s="244"/>
    </row>
    <row r="358" hidden="1">
      <c r="A358" s="249"/>
      <c r="B358" s="249"/>
      <c r="C358" s="250"/>
      <c r="D358" s="244"/>
      <c r="E358" s="244"/>
      <c r="F358" s="244"/>
      <c r="G358" s="244"/>
      <c r="H358" s="244"/>
      <c r="I358" s="244"/>
      <c r="J358" s="244"/>
      <c r="K358" s="244"/>
      <c r="L358" s="244"/>
      <c r="M358" s="244"/>
      <c r="N358" s="244"/>
      <c r="O358" s="244"/>
      <c r="P358" s="244"/>
      <c r="Q358" s="244"/>
      <c r="R358" s="244"/>
      <c r="S358" s="244"/>
      <c r="T358" s="244"/>
      <c r="U358" s="244"/>
      <c r="V358" s="244"/>
      <c r="W358" s="244"/>
      <c r="X358" s="244"/>
      <c r="Y358" s="244"/>
      <c r="Z358" s="244"/>
    </row>
    <row r="359" hidden="1">
      <c r="A359" s="249"/>
      <c r="B359" s="249"/>
      <c r="C359" s="250"/>
      <c r="D359" s="244"/>
      <c r="E359" s="244"/>
      <c r="F359" s="244"/>
      <c r="G359" s="244"/>
      <c r="H359" s="244"/>
      <c r="I359" s="244"/>
      <c r="J359" s="244"/>
      <c r="K359" s="244"/>
      <c r="L359" s="244"/>
      <c r="M359" s="244"/>
      <c r="N359" s="244"/>
      <c r="O359" s="244"/>
      <c r="P359" s="244"/>
      <c r="Q359" s="244"/>
      <c r="R359" s="244"/>
      <c r="S359" s="244"/>
      <c r="T359" s="244"/>
      <c r="U359" s="244"/>
      <c r="V359" s="244"/>
      <c r="W359" s="244"/>
      <c r="X359" s="244"/>
      <c r="Y359" s="244"/>
      <c r="Z359" s="244"/>
    </row>
    <row r="360" hidden="1">
      <c r="A360" s="249"/>
      <c r="B360" s="249"/>
      <c r="C360" s="250"/>
      <c r="D360" s="244"/>
      <c r="E360" s="244"/>
      <c r="F360" s="244"/>
      <c r="G360" s="244"/>
      <c r="H360" s="244"/>
      <c r="I360" s="244"/>
      <c r="J360" s="244"/>
      <c r="K360" s="244"/>
      <c r="L360" s="244"/>
      <c r="M360" s="244"/>
      <c r="N360" s="244"/>
      <c r="O360" s="244"/>
      <c r="P360" s="244"/>
      <c r="Q360" s="244"/>
      <c r="R360" s="244"/>
      <c r="S360" s="244"/>
      <c r="T360" s="244"/>
      <c r="U360" s="244"/>
      <c r="V360" s="244"/>
      <c r="W360" s="244"/>
      <c r="X360" s="244"/>
      <c r="Y360" s="244"/>
      <c r="Z360" s="244"/>
    </row>
    <row r="361" hidden="1">
      <c r="A361" s="249"/>
      <c r="B361" s="249"/>
      <c r="C361" s="250"/>
      <c r="D361" s="244"/>
      <c r="E361" s="244"/>
      <c r="F361" s="244"/>
      <c r="G361" s="244"/>
      <c r="H361" s="244"/>
      <c r="I361" s="244"/>
      <c r="J361" s="244"/>
      <c r="K361" s="244"/>
      <c r="L361" s="244"/>
      <c r="M361" s="244"/>
      <c r="N361" s="244"/>
      <c r="O361" s="244"/>
      <c r="P361" s="244"/>
      <c r="Q361" s="244"/>
      <c r="R361" s="244"/>
      <c r="S361" s="244"/>
      <c r="T361" s="244"/>
      <c r="U361" s="244"/>
      <c r="V361" s="244"/>
      <c r="W361" s="244"/>
      <c r="X361" s="244"/>
      <c r="Y361" s="244"/>
      <c r="Z361" s="244"/>
    </row>
    <row r="362" hidden="1">
      <c r="A362" s="249"/>
      <c r="B362" s="249"/>
      <c r="C362" s="250"/>
      <c r="D362" s="244"/>
      <c r="E362" s="244"/>
      <c r="F362" s="244"/>
      <c r="G362" s="244"/>
      <c r="H362" s="244"/>
      <c r="I362" s="244"/>
      <c r="J362" s="244"/>
      <c r="K362" s="244"/>
      <c r="L362" s="244"/>
      <c r="M362" s="244"/>
      <c r="N362" s="244"/>
      <c r="O362" s="244"/>
      <c r="P362" s="244"/>
      <c r="Q362" s="244"/>
      <c r="R362" s="244"/>
      <c r="S362" s="244"/>
      <c r="T362" s="244"/>
      <c r="U362" s="244"/>
      <c r="V362" s="244"/>
      <c r="W362" s="244"/>
      <c r="X362" s="244"/>
      <c r="Y362" s="244"/>
      <c r="Z362" s="244"/>
    </row>
    <row r="363" hidden="1">
      <c r="A363" s="249"/>
      <c r="B363" s="249"/>
      <c r="C363" s="250"/>
      <c r="D363" s="244"/>
      <c r="E363" s="244"/>
      <c r="F363" s="244"/>
      <c r="G363" s="244"/>
      <c r="H363" s="244"/>
      <c r="I363" s="244"/>
      <c r="J363" s="244"/>
      <c r="K363" s="244"/>
      <c r="L363" s="244"/>
      <c r="M363" s="244"/>
      <c r="N363" s="244"/>
      <c r="O363" s="244"/>
      <c r="P363" s="244"/>
      <c r="Q363" s="244"/>
      <c r="R363" s="244"/>
      <c r="S363" s="244"/>
      <c r="T363" s="244"/>
      <c r="U363" s="244"/>
      <c r="V363" s="244"/>
      <c r="W363" s="244"/>
      <c r="X363" s="244"/>
      <c r="Y363" s="244"/>
      <c r="Z363" s="244"/>
    </row>
    <row r="364" hidden="1">
      <c r="A364" s="249"/>
      <c r="B364" s="249"/>
      <c r="C364" s="250"/>
      <c r="D364" s="244"/>
      <c r="E364" s="244"/>
      <c r="F364" s="244"/>
      <c r="G364" s="244"/>
      <c r="H364" s="244"/>
      <c r="I364" s="244"/>
      <c r="J364" s="244"/>
      <c r="K364" s="244"/>
      <c r="L364" s="244"/>
      <c r="M364" s="244"/>
      <c r="N364" s="244"/>
      <c r="O364" s="244"/>
      <c r="P364" s="244"/>
      <c r="Q364" s="244"/>
      <c r="R364" s="244"/>
      <c r="S364" s="244"/>
      <c r="T364" s="244"/>
      <c r="U364" s="244"/>
      <c r="V364" s="244"/>
      <c r="W364" s="244"/>
      <c r="X364" s="244"/>
      <c r="Y364" s="244"/>
      <c r="Z364" s="244"/>
    </row>
    <row r="365" hidden="1">
      <c r="A365" s="249"/>
      <c r="B365" s="249"/>
      <c r="C365" s="250"/>
      <c r="D365" s="244"/>
      <c r="E365" s="244"/>
      <c r="F365" s="244"/>
      <c r="G365" s="244"/>
      <c r="H365" s="244"/>
      <c r="I365" s="244"/>
      <c r="J365" s="244"/>
      <c r="K365" s="244"/>
      <c r="L365" s="244"/>
      <c r="M365" s="244"/>
      <c r="N365" s="244"/>
      <c r="O365" s="244"/>
      <c r="P365" s="244"/>
      <c r="Q365" s="244"/>
      <c r="R365" s="244"/>
      <c r="S365" s="244"/>
      <c r="T365" s="244"/>
      <c r="U365" s="244"/>
      <c r="V365" s="244"/>
      <c r="W365" s="244"/>
      <c r="X365" s="244"/>
      <c r="Y365" s="244"/>
      <c r="Z365" s="244"/>
    </row>
    <row r="366" hidden="1">
      <c r="A366" s="249"/>
      <c r="B366" s="249"/>
      <c r="C366" s="250"/>
      <c r="D366" s="244"/>
      <c r="E366" s="244"/>
      <c r="F366" s="244"/>
      <c r="G366" s="244"/>
      <c r="H366" s="244"/>
      <c r="I366" s="244"/>
      <c r="J366" s="244"/>
      <c r="K366" s="244"/>
      <c r="L366" s="244"/>
      <c r="M366" s="244"/>
      <c r="N366" s="244"/>
      <c r="O366" s="244"/>
      <c r="P366" s="244"/>
      <c r="Q366" s="244"/>
      <c r="R366" s="244"/>
      <c r="S366" s="244"/>
      <c r="T366" s="244"/>
      <c r="U366" s="244"/>
      <c r="V366" s="244"/>
      <c r="W366" s="244"/>
      <c r="X366" s="244"/>
      <c r="Y366" s="244"/>
      <c r="Z366" s="244"/>
    </row>
    <row r="367" hidden="1">
      <c r="A367" s="249"/>
      <c r="B367" s="249"/>
      <c r="C367" s="250"/>
      <c r="D367" s="244"/>
      <c r="E367" s="244"/>
      <c r="F367" s="244"/>
      <c r="G367" s="244"/>
      <c r="H367" s="244"/>
      <c r="I367" s="244"/>
      <c r="J367" s="244"/>
      <c r="K367" s="244"/>
      <c r="L367" s="244"/>
      <c r="M367" s="244"/>
      <c r="N367" s="244"/>
      <c r="O367" s="244"/>
      <c r="P367" s="244"/>
      <c r="Q367" s="244"/>
      <c r="R367" s="244"/>
      <c r="S367" s="244"/>
      <c r="T367" s="244"/>
      <c r="U367" s="244"/>
      <c r="V367" s="244"/>
      <c r="W367" s="244"/>
      <c r="X367" s="244"/>
      <c r="Y367" s="244"/>
      <c r="Z367" s="244"/>
    </row>
    <row r="368" hidden="1">
      <c r="A368" s="249"/>
      <c r="B368" s="249"/>
      <c r="C368" s="250"/>
      <c r="D368" s="244"/>
      <c r="E368" s="244"/>
      <c r="F368" s="244"/>
      <c r="G368" s="244"/>
      <c r="H368" s="244"/>
      <c r="I368" s="244"/>
      <c r="J368" s="244"/>
      <c r="K368" s="244"/>
      <c r="L368" s="244"/>
      <c r="M368" s="244"/>
      <c r="N368" s="244"/>
      <c r="O368" s="244"/>
      <c r="P368" s="244"/>
      <c r="Q368" s="244"/>
      <c r="R368" s="244"/>
      <c r="S368" s="244"/>
      <c r="T368" s="244"/>
      <c r="U368" s="244"/>
      <c r="V368" s="244"/>
      <c r="W368" s="244"/>
      <c r="X368" s="244"/>
      <c r="Y368" s="244"/>
      <c r="Z368" s="244"/>
    </row>
    <row r="369" hidden="1">
      <c r="A369" s="249"/>
      <c r="B369" s="249"/>
      <c r="C369" s="250"/>
      <c r="D369" s="244"/>
      <c r="E369" s="244"/>
      <c r="F369" s="244"/>
      <c r="G369" s="244"/>
      <c r="H369" s="244"/>
      <c r="I369" s="244"/>
      <c r="J369" s="244"/>
      <c r="K369" s="244"/>
      <c r="L369" s="244"/>
      <c r="M369" s="244"/>
      <c r="N369" s="244"/>
      <c r="O369" s="244"/>
      <c r="P369" s="244"/>
      <c r="Q369" s="244"/>
      <c r="R369" s="244"/>
      <c r="S369" s="244"/>
      <c r="T369" s="244"/>
      <c r="U369" s="244"/>
      <c r="V369" s="244"/>
      <c r="W369" s="244"/>
      <c r="X369" s="244"/>
      <c r="Y369" s="244"/>
      <c r="Z369" s="244"/>
    </row>
    <row r="370" hidden="1">
      <c r="A370" s="249"/>
      <c r="B370" s="249"/>
      <c r="C370" s="250"/>
      <c r="D370" s="244"/>
      <c r="E370" s="244"/>
      <c r="F370" s="244"/>
      <c r="G370" s="244"/>
      <c r="H370" s="244"/>
      <c r="I370" s="244"/>
      <c r="J370" s="244"/>
      <c r="K370" s="244"/>
      <c r="L370" s="244"/>
      <c r="M370" s="244"/>
      <c r="N370" s="244"/>
      <c r="O370" s="244"/>
      <c r="P370" s="244"/>
      <c r="Q370" s="244"/>
      <c r="R370" s="244"/>
      <c r="S370" s="244"/>
      <c r="T370" s="244"/>
      <c r="U370" s="244"/>
      <c r="V370" s="244"/>
      <c r="W370" s="244"/>
      <c r="X370" s="244"/>
      <c r="Y370" s="244"/>
      <c r="Z370" s="244"/>
    </row>
    <row r="371" hidden="1">
      <c r="A371" s="249"/>
      <c r="B371" s="249"/>
      <c r="C371" s="250"/>
      <c r="D371" s="244"/>
      <c r="E371" s="244"/>
      <c r="F371" s="244"/>
      <c r="G371" s="244"/>
      <c r="H371" s="244"/>
      <c r="I371" s="244"/>
      <c r="J371" s="244"/>
      <c r="K371" s="244"/>
      <c r="L371" s="244"/>
      <c r="M371" s="244"/>
      <c r="N371" s="244"/>
      <c r="O371" s="244"/>
      <c r="P371" s="244"/>
      <c r="Q371" s="244"/>
      <c r="R371" s="244"/>
      <c r="S371" s="244"/>
      <c r="T371" s="244"/>
      <c r="U371" s="244"/>
      <c r="V371" s="244"/>
      <c r="W371" s="244"/>
      <c r="X371" s="244"/>
      <c r="Y371" s="244"/>
      <c r="Z371" s="244"/>
    </row>
    <row r="372" hidden="1">
      <c r="A372" s="249"/>
      <c r="B372" s="249"/>
      <c r="C372" s="250"/>
      <c r="D372" s="244"/>
      <c r="E372" s="244"/>
      <c r="F372" s="244"/>
      <c r="G372" s="244"/>
      <c r="H372" s="244"/>
      <c r="I372" s="244"/>
      <c r="J372" s="244"/>
      <c r="K372" s="244"/>
      <c r="L372" s="244"/>
      <c r="M372" s="244"/>
      <c r="N372" s="244"/>
      <c r="O372" s="244"/>
      <c r="P372" s="244"/>
      <c r="Q372" s="244"/>
      <c r="R372" s="244"/>
      <c r="S372" s="244"/>
      <c r="T372" s="244"/>
      <c r="U372" s="244"/>
      <c r="V372" s="244"/>
      <c r="W372" s="244"/>
      <c r="X372" s="244"/>
      <c r="Y372" s="244"/>
      <c r="Z372" s="244"/>
    </row>
    <row r="373" hidden="1">
      <c r="A373" s="249"/>
      <c r="B373" s="249"/>
      <c r="C373" s="250"/>
      <c r="D373" s="244"/>
      <c r="E373" s="244"/>
      <c r="F373" s="244"/>
      <c r="G373" s="244"/>
      <c r="H373" s="244"/>
      <c r="I373" s="244"/>
      <c r="J373" s="244"/>
      <c r="K373" s="244"/>
      <c r="L373" s="244"/>
      <c r="M373" s="244"/>
      <c r="N373" s="244"/>
      <c r="O373" s="244"/>
      <c r="P373" s="244"/>
      <c r="Q373" s="244"/>
      <c r="R373" s="244"/>
      <c r="S373" s="244"/>
      <c r="T373" s="244"/>
      <c r="U373" s="244"/>
      <c r="V373" s="244"/>
      <c r="W373" s="244"/>
      <c r="X373" s="244"/>
      <c r="Y373" s="244"/>
      <c r="Z373" s="244"/>
    </row>
    <row r="374" hidden="1">
      <c r="A374" s="249"/>
      <c r="B374" s="249"/>
      <c r="C374" s="250"/>
      <c r="D374" s="244"/>
      <c r="E374" s="244"/>
      <c r="F374" s="244"/>
      <c r="G374" s="244"/>
      <c r="H374" s="244"/>
      <c r="I374" s="244"/>
      <c r="J374" s="244"/>
      <c r="K374" s="244"/>
      <c r="L374" s="244"/>
      <c r="M374" s="244"/>
      <c r="N374" s="244"/>
      <c r="O374" s="244"/>
      <c r="P374" s="244"/>
      <c r="Q374" s="244"/>
      <c r="R374" s="244"/>
      <c r="S374" s="244"/>
      <c r="T374" s="244"/>
      <c r="U374" s="244"/>
      <c r="V374" s="244"/>
      <c r="W374" s="244"/>
      <c r="X374" s="244"/>
      <c r="Y374" s="244"/>
      <c r="Z374" s="244"/>
    </row>
    <row r="375" hidden="1">
      <c r="A375" s="249"/>
      <c r="B375" s="249"/>
      <c r="C375" s="250"/>
      <c r="D375" s="244"/>
      <c r="E375" s="244"/>
      <c r="F375" s="244"/>
      <c r="G375" s="244"/>
      <c r="H375" s="244"/>
      <c r="I375" s="244"/>
      <c r="J375" s="244"/>
      <c r="K375" s="244"/>
      <c r="L375" s="244"/>
      <c r="M375" s="244"/>
      <c r="N375" s="244"/>
      <c r="O375" s="244"/>
      <c r="P375" s="244"/>
      <c r="Q375" s="244"/>
      <c r="R375" s="244"/>
      <c r="S375" s="244"/>
      <c r="T375" s="244"/>
      <c r="U375" s="244"/>
      <c r="V375" s="244"/>
      <c r="W375" s="244"/>
      <c r="X375" s="244"/>
      <c r="Y375" s="244"/>
      <c r="Z375" s="244"/>
    </row>
    <row r="376" hidden="1">
      <c r="A376" s="249"/>
      <c r="B376" s="249"/>
      <c r="C376" s="250"/>
      <c r="D376" s="244"/>
      <c r="E376" s="244"/>
      <c r="F376" s="244"/>
      <c r="G376" s="244"/>
      <c r="H376" s="244"/>
      <c r="I376" s="244"/>
      <c r="J376" s="244"/>
      <c r="K376" s="244"/>
      <c r="L376" s="244"/>
      <c r="M376" s="244"/>
      <c r="N376" s="244"/>
      <c r="O376" s="244"/>
      <c r="P376" s="244"/>
      <c r="Q376" s="244"/>
      <c r="R376" s="244"/>
      <c r="S376" s="244"/>
      <c r="T376" s="244"/>
      <c r="U376" s="244"/>
      <c r="V376" s="244"/>
      <c r="W376" s="244"/>
      <c r="X376" s="244"/>
      <c r="Y376" s="244"/>
      <c r="Z376" s="244"/>
    </row>
    <row r="377" hidden="1">
      <c r="A377" s="249"/>
      <c r="B377" s="249"/>
      <c r="C377" s="250"/>
      <c r="D377" s="244"/>
      <c r="E377" s="244"/>
      <c r="F377" s="244"/>
      <c r="G377" s="244"/>
      <c r="H377" s="244"/>
      <c r="I377" s="244"/>
      <c r="J377" s="244"/>
      <c r="K377" s="244"/>
      <c r="L377" s="244"/>
      <c r="M377" s="244"/>
      <c r="N377" s="244"/>
      <c r="O377" s="244"/>
      <c r="P377" s="244"/>
      <c r="Q377" s="244"/>
      <c r="R377" s="244"/>
      <c r="S377" s="244"/>
      <c r="T377" s="244"/>
      <c r="U377" s="244"/>
      <c r="V377" s="244"/>
      <c r="W377" s="244"/>
      <c r="X377" s="244"/>
      <c r="Y377" s="244"/>
      <c r="Z377" s="244"/>
    </row>
    <row r="378" hidden="1">
      <c r="A378" s="249"/>
      <c r="B378" s="249"/>
      <c r="C378" s="250"/>
      <c r="D378" s="244"/>
      <c r="E378" s="244"/>
      <c r="F378" s="244"/>
      <c r="G378" s="244"/>
      <c r="H378" s="244"/>
      <c r="I378" s="244"/>
      <c r="J378" s="244"/>
      <c r="K378" s="244"/>
      <c r="L378" s="244"/>
      <c r="M378" s="244"/>
      <c r="N378" s="244"/>
      <c r="O378" s="244"/>
      <c r="P378" s="244"/>
      <c r="Q378" s="244"/>
      <c r="R378" s="244"/>
      <c r="S378" s="244"/>
      <c r="T378" s="244"/>
      <c r="U378" s="244"/>
      <c r="V378" s="244"/>
      <c r="W378" s="244"/>
      <c r="X378" s="244"/>
      <c r="Y378" s="244"/>
      <c r="Z378" s="244"/>
    </row>
    <row r="379" hidden="1">
      <c r="A379" s="249"/>
      <c r="B379" s="249"/>
      <c r="C379" s="250"/>
      <c r="D379" s="244"/>
      <c r="E379" s="244"/>
      <c r="F379" s="244"/>
      <c r="G379" s="244"/>
      <c r="H379" s="244"/>
      <c r="I379" s="244"/>
      <c r="J379" s="244"/>
      <c r="K379" s="244"/>
      <c r="L379" s="244"/>
      <c r="M379" s="244"/>
      <c r="N379" s="244"/>
      <c r="O379" s="244"/>
      <c r="P379" s="244"/>
      <c r="Q379" s="244"/>
      <c r="R379" s="244"/>
      <c r="S379" s="244"/>
      <c r="T379" s="244"/>
      <c r="U379" s="244"/>
      <c r="V379" s="244"/>
      <c r="W379" s="244"/>
      <c r="X379" s="244"/>
      <c r="Y379" s="244"/>
      <c r="Z379" s="244"/>
    </row>
    <row r="380" hidden="1">
      <c r="A380" s="249"/>
      <c r="B380" s="249"/>
      <c r="C380" s="250"/>
      <c r="D380" s="244"/>
      <c r="E380" s="244"/>
      <c r="F380" s="244"/>
      <c r="G380" s="244"/>
      <c r="H380" s="244"/>
      <c r="I380" s="244"/>
      <c r="J380" s="244"/>
      <c r="K380" s="244"/>
      <c r="L380" s="244"/>
      <c r="M380" s="244"/>
      <c r="N380" s="244"/>
      <c r="O380" s="244"/>
      <c r="P380" s="244"/>
      <c r="Q380" s="244"/>
      <c r="R380" s="244"/>
      <c r="S380" s="244"/>
      <c r="T380" s="244"/>
      <c r="U380" s="244"/>
      <c r="V380" s="244"/>
      <c r="W380" s="244"/>
      <c r="X380" s="244"/>
      <c r="Y380" s="244"/>
      <c r="Z380" s="244"/>
    </row>
    <row r="381" hidden="1">
      <c r="A381" s="249"/>
      <c r="B381" s="249"/>
      <c r="C381" s="250"/>
      <c r="D381" s="244"/>
      <c r="E381" s="244"/>
      <c r="F381" s="244"/>
      <c r="G381" s="244"/>
      <c r="H381" s="244"/>
      <c r="I381" s="244"/>
      <c r="J381" s="244"/>
      <c r="K381" s="244"/>
      <c r="L381" s="244"/>
      <c r="M381" s="244"/>
      <c r="N381" s="244"/>
      <c r="O381" s="244"/>
      <c r="P381" s="244"/>
      <c r="Q381" s="244"/>
      <c r="R381" s="244"/>
      <c r="S381" s="244"/>
      <c r="T381" s="244"/>
      <c r="U381" s="244"/>
      <c r="V381" s="244"/>
      <c r="W381" s="244"/>
      <c r="X381" s="244"/>
      <c r="Y381" s="244"/>
      <c r="Z381" s="244"/>
    </row>
    <row r="382" hidden="1">
      <c r="A382" s="249"/>
      <c r="B382" s="249"/>
      <c r="C382" s="250"/>
      <c r="D382" s="244"/>
      <c r="E382" s="244"/>
      <c r="F382" s="244"/>
      <c r="G382" s="244"/>
      <c r="H382" s="244"/>
      <c r="I382" s="244"/>
      <c r="J382" s="244"/>
      <c r="K382" s="244"/>
      <c r="L382" s="244"/>
      <c r="M382" s="244"/>
      <c r="N382" s="244"/>
      <c r="O382" s="244"/>
      <c r="P382" s="244"/>
      <c r="Q382" s="244"/>
      <c r="R382" s="244"/>
      <c r="S382" s="244"/>
      <c r="T382" s="244"/>
      <c r="U382" s="244"/>
      <c r="V382" s="244"/>
      <c r="W382" s="244"/>
      <c r="X382" s="244"/>
      <c r="Y382" s="244"/>
      <c r="Z382" s="244"/>
    </row>
    <row r="383" hidden="1">
      <c r="A383" s="249"/>
      <c r="B383" s="249"/>
      <c r="C383" s="250"/>
      <c r="D383" s="244"/>
      <c r="E383" s="244"/>
      <c r="F383" s="244"/>
      <c r="G383" s="244"/>
      <c r="H383" s="244"/>
      <c r="I383" s="244"/>
      <c r="J383" s="244"/>
      <c r="K383" s="244"/>
      <c r="L383" s="244"/>
      <c r="M383" s="244"/>
      <c r="N383" s="244"/>
      <c r="O383" s="244"/>
      <c r="P383" s="244"/>
      <c r="Q383" s="244"/>
      <c r="R383" s="244"/>
      <c r="S383" s="244"/>
      <c r="T383" s="244"/>
      <c r="U383" s="244"/>
      <c r="V383" s="244"/>
      <c r="W383" s="244"/>
      <c r="X383" s="244"/>
      <c r="Y383" s="244"/>
      <c r="Z383" s="244"/>
    </row>
    <row r="384" hidden="1">
      <c r="A384" s="249"/>
      <c r="B384" s="249"/>
      <c r="C384" s="250"/>
      <c r="D384" s="244"/>
      <c r="E384" s="244"/>
      <c r="F384" s="244"/>
      <c r="G384" s="244"/>
      <c r="H384" s="244"/>
      <c r="I384" s="244"/>
      <c r="J384" s="244"/>
      <c r="K384" s="244"/>
      <c r="L384" s="244"/>
      <c r="M384" s="244"/>
      <c r="N384" s="244"/>
      <c r="O384" s="244"/>
      <c r="P384" s="244"/>
      <c r="Q384" s="244"/>
      <c r="R384" s="244"/>
      <c r="S384" s="244"/>
      <c r="T384" s="244"/>
      <c r="U384" s="244"/>
      <c r="V384" s="244"/>
      <c r="W384" s="244"/>
      <c r="X384" s="244"/>
      <c r="Y384" s="244"/>
      <c r="Z384" s="244"/>
    </row>
    <row r="385" hidden="1">
      <c r="A385" s="249"/>
      <c r="B385" s="249"/>
      <c r="C385" s="250"/>
      <c r="D385" s="244"/>
      <c r="E385" s="244"/>
      <c r="F385" s="244"/>
      <c r="G385" s="244"/>
      <c r="H385" s="244"/>
      <c r="I385" s="244"/>
      <c r="J385" s="244"/>
      <c r="K385" s="244"/>
      <c r="L385" s="244"/>
      <c r="M385" s="244"/>
      <c r="N385" s="244"/>
      <c r="O385" s="244"/>
      <c r="P385" s="244"/>
      <c r="Q385" s="244"/>
      <c r="R385" s="244"/>
      <c r="S385" s="244"/>
      <c r="T385" s="244"/>
      <c r="U385" s="244"/>
      <c r="V385" s="244"/>
      <c r="W385" s="244"/>
      <c r="X385" s="244"/>
      <c r="Y385" s="244"/>
      <c r="Z385" s="244"/>
    </row>
    <row r="386" hidden="1">
      <c r="A386" s="249"/>
      <c r="B386" s="249"/>
      <c r="C386" s="250"/>
      <c r="D386" s="244"/>
      <c r="E386" s="244"/>
      <c r="F386" s="244"/>
      <c r="G386" s="244"/>
      <c r="H386" s="244"/>
      <c r="I386" s="244"/>
      <c r="J386" s="244"/>
      <c r="K386" s="244"/>
      <c r="L386" s="244"/>
      <c r="M386" s="244"/>
      <c r="N386" s="244"/>
      <c r="O386" s="244"/>
      <c r="P386" s="244"/>
      <c r="Q386" s="244"/>
      <c r="R386" s="244"/>
      <c r="S386" s="244"/>
      <c r="T386" s="244"/>
      <c r="U386" s="244"/>
      <c r="V386" s="244"/>
      <c r="W386" s="244"/>
      <c r="X386" s="244"/>
      <c r="Y386" s="244"/>
      <c r="Z386" s="244"/>
    </row>
    <row r="387" hidden="1">
      <c r="A387" s="249"/>
      <c r="B387" s="249"/>
      <c r="C387" s="250"/>
      <c r="D387" s="244"/>
      <c r="E387" s="244"/>
      <c r="F387" s="244"/>
      <c r="G387" s="244"/>
      <c r="H387" s="244"/>
      <c r="I387" s="244"/>
      <c r="J387" s="244"/>
      <c r="K387" s="244"/>
      <c r="L387" s="244"/>
      <c r="M387" s="244"/>
      <c r="N387" s="244"/>
      <c r="O387" s="244"/>
      <c r="P387" s="244"/>
      <c r="Q387" s="244"/>
      <c r="R387" s="244"/>
      <c r="S387" s="244"/>
      <c r="T387" s="244"/>
      <c r="U387" s="244"/>
      <c r="V387" s="244"/>
      <c r="W387" s="244"/>
      <c r="X387" s="244"/>
      <c r="Y387" s="244"/>
      <c r="Z387" s="244"/>
    </row>
    <row r="388" hidden="1">
      <c r="A388" s="249"/>
      <c r="B388" s="249"/>
      <c r="C388" s="250"/>
      <c r="D388" s="244"/>
      <c r="E388" s="244"/>
      <c r="F388" s="244"/>
      <c r="G388" s="244"/>
      <c r="H388" s="244"/>
      <c r="I388" s="244"/>
      <c r="J388" s="244"/>
      <c r="K388" s="244"/>
      <c r="L388" s="244"/>
      <c r="M388" s="244"/>
      <c r="N388" s="244"/>
      <c r="O388" s="244"/>
      <c r="P388" s="244"/>
      <c r="Q388" s="244"/>
      <c r="R388" s="244"/>
      <c r="S388" s="244"/>
      <c r="T388" s="244"/>
      <c r="U388" s="244"/>
      <c r="V388" s="244"/>
      <c r="W388" s="244"/>
      <c r="X388" s="244"/>
      <c r="Y388" s="244"/>
      <c r="Z388" s="244"/>
    </row>
    <row r="389" hidden="1">
      <c r="A389" s="249"/>
      <c r="B389" s="249"/>
      <c r="C389" s="250"/>
      <c r="D389" s="244"/>
      <c r="E389" s="244"/>
      <c r="F389" s="244"/>
      <c r="G389" s="244"/>
      <c r="H389" s="244"/>
      <c r="I389" s="244"/>
      <c r="J389" s="244"/>
      <c r="K389" s="244"/>
      <c r="L389" s="244"/>
      <c r="M389" s="244"/>
      <c r="N389" s="244"/>
      <c r="O389" s="244"/>
      <c r="P389" s="244"/>
      <c r="Q389" s="244"/>
      <c r="R389" s="244"/>
      <c r="S389" s="244"/>
      <c r="T389" s="244"/>
      <c r="U389" s="244"/>
      <c r="V389" s="244"/>
      <c r="W389" s="244"/>
      <c r="X389" s="244"/>
      <c r="Y389" s="244"/>
      <c r="Z389" s="244"/>
    </row>
    <row r="390" hidden="1">
      <c r="A390" s="249"/>
      <c r="B390" s="249"/>
      <c r="C390" s="250"/>
      <c r="D390" s="244"/>
      <c r="E390" s="244"/>
      <c r="F390" s="244"/>
      <c r="G390" s="244"/>
      <c r="H390" s="244"/>
      <c r="I390" s="244"/>
      <c r="J390" s="244"/>
      <c r="K390" s="244"/>
      <c r="L390" s="244"/>
      <c r="M390" s="244"/>
      <c r="N390" s="244"/>
      <c r="O390" s="244"/>
      <c r="P390" s="244"/>
      <c r="Q390" s="244"/>
      <c r="R390" s="244"/>
      <c r="S390" s="244"/>
      <c r="T390" s="244"/>
      <c r="U390" s="244"/>
      <c r="V390" s="244"/>
      <c r="W390" s="244"/>
      <c r="X390" s="244"/>
      <c r="Y390" s="244"/>
      <c r="Z390" s="244"/>
    </row>
    <row r="391" hidden="1">
      <c r="A391" s="249"/>
      <c r="B391" s="249"/>
      <c r="C391" s="250"/>
      <c r="D391" s="244"/>
      <c r="E391" s="244"/>
      <c r="F391" s="244"/>
      <c r="G391" s="244"/>
      <c r="H391" s="244"/>
      <c r="I391" s="244"/>
      <c r="J391" s="244"/>
      <c r="K391" s="244"/>
      <c r="L391" s="244"/>
      <c r="M391" s="244"/>
      <c r="N391" s="244"/>
      <c r="O391" s="244"/>
      <c r="P391" s="244"/>
      <c r="Q391" s="244"/>
      <c r="R391" s="244"/>
      <c r="S391" s="244"/>
      <c r="T391" s="244"/>
      <c r="U391" s="244"/>
      <c r="V391" s="244"/>
      <c r="W391" s="244"/>
      <c r="X391" s="244"/>
      <c r="Y391" s="244"/>
      <c r="Z391" s="244"/>
    </row>
    <row r="392" hidden="1">
      <c r="A392" s="249"/>
      <c r="B392" s="249"/>
      <c r="C392" s="250"/>
      <c r="D392" s="244"/>
      <c r="E392" s="244"/>
      <c r="F392" s="244"/>
      <c r="G392" s="244"/>
      <c r="H392" s="244"/>
      <c r="I392" s="244"/>
      <c r="J392" s="244"/>
      <c r="K392" s="244"/>
      <c r="L392" s="244"/>
      <c r="M392" s="244"/>
      <c r="N392" s="244"/>
      <c r="O392" s="244"/>
      <c r="P392" s="244"/>
      <c r="Q392" s="244"/>
      <c r="R392" s="244"/>
      <c r="S392" s="244"/>
      <c r="T392" s="244"/>
      <c r="U392" s="244"/>
      <c r="V392" s="244"/>
      <c r="W392" s="244"/>
      <c r="X392" s="244"/>
      <c r="Y392" s="244"/>
      <c r="Z392" s="244"/>
    </row>
    <row r="393" hidden="1">
      <c r="A393" s="249"/>
      <c r="B393" s="249"/>
      <c r="C393" s="250"/>
      <c r="D393" s="244"/>
      <c r="E393" s="244"/>
      <c r="F393" s="244"/>
      <c r="G393" s="244"/>
      <c r="H393" s="244"/>
      <c r="I393" s="244"/>
      <c r="J393" s="244"/>
      <c r="K393" s="244"/>
      <c r="L393" s="244"/>
      <c r="M393" s="244"/>
      <c r="N393" s="244"/>
      <c r="O393" s="244"/>
      <c r="P393" s="244"/>
      <c r="Q393" s="244"/>
      <c r="R393" s="244"/>
      <c r="S393" s="244"/>
      <c r="T393" s="244"/>
      <c r="U393" s="244"/>
      <c r="V393" s="244"/>
      <c r="W393" s="244"/>
      <c r="X393" s="244"/>
      <c r="Y393" s="244"/>
      <c r="Z393" s="244"/>
    </row>
    <row r="394" hidden="1">
      <c r="A394" s="249"/>
      <c r="B394" s="249"/>
      <c r="C394" s="250"/>
      <c r="D394" s="244"/>
      <c r="E394" s="244"/>
      <c r="F394" s="244"/>
      <c r="G394" s="244"/>
      <c r="H394" s="244"/>
      <c r="I394" s="244"/>
      <c r="J394" s="244"/>
      <c r="K394" s="244"/>
      <c r="L394" s="244"/>
      <c r="M394" s="244"/>
      <c r="N394" s="244"/>
      <c r="O394" s="244"/>
      <c r="P394" s="244"/>
      <c r="Q394" s="244"/>
      <c r="R394" s="244"/>
      <c r="S394" s="244"/>
      <c r="T394" s="244"/>
      <c r="U394" s="244"/>
      <c r="V394" s="244"/>
      <c r="W394" s="244"/>
      <c r="X394" s="244"/>
      <c r="Y394" s="244"/>
      <c r="Z394" s="244"/>
    </row>
    <row r="395" hidden="1">
      <c r="A395" s="249"/>
      <c r="B395" s="249"/>
      <c r="C395" s="250"/>
      <c r="D395" s="244"/>
      <c r="E395" s="244"/>
      <c r="F395" s="244"/>
      <c r="G395" s="244"/>
      <c r="H395" s="244"/>
      <c r="I395" s="244"/>
      <c r="J395" s="244"/>
      <c r="K395" s="244"/>
      <c r="L395" s="244"/>
      <c r="M395" s="244"/>
      <c r="N395" s="244"/>
      <c r="O395" s="244"/>
      <c r="P395" s="244"/>
      <c r="Q395" s="244"/>
      <c r="R395" s="244"/>
      <c r="S395" s="244"/>
      <c r="T395" s="244"/>
      <c r="U395" s="244"/>
      <c r="V395" s="244"/>
      <c r="W395" s="244"/>
      <c r="X395" s="244"/>
      <c r="Y395" s="244"/>
      <c r="Z395" s="244"/>
    </row>
    <row r="396" hidden="1">
      <c r="A396" s="249"/>
      <c r="B396" s="249"/>
      <c r="C396" s="250"/>
      <c r="D396" s="244"/>
      <c r="E396" s="244"/>
      <c r="F396" s="244"/>
      <c r="G396" s="244"/>
      <c r="H396" s="244"/>
      <c r="I396" s="244"/>
      <c r="J396" s="244"/>
      <c r="K396" s="244"/>
      <c r="L396" s="244"/>
      <c r="M396" s="244"/>
      <c r="N396" s="244"/>
      <c r="O396" s="244"/>
      <c r="P396" s="244"/>
      <c r="Q396" s="244"/>
      <c r="R396" s="244"/>
      <c r="S396" s="244"/>
      <c r="T396" s="244"/>
      <c r="U396" s="244"/>
      <c r="V396" s="244"/>
      <c r="W396" s="244"/>
      <c r="X396" s="244"/>
      <c r="Y396" s="244"/>
      <c r="Z396" s="244"/>
    </row>
    <row r="397" hidden="1">
      <c r="A397" s="249"/>
      <c r="B397" s="249"/>
      <c r="C397" s="250"/>
      <c r="D397" s="244"/>
      <c r="E397" s="244"/>
      <c r="F397" s="244"/>
      <c r="G397" s="244"/>
      <c r="H397" s="244"/>
      <c r="I397" s="244"/>
      <c r="J397" s="244"/>
      <c r="K397" s="244"/>
      <c r="L397" s="244"/>
      <c r="M397" s="244"/>
      <c r="N397" s="244"/>
      <c r="O397" s="244"/>
      <c r="P397" s="244"/>
      <c r="Q397" s="244"/>
      <c r="R397" s="244"/>
      <c r="S397" s="244"/>
      <c r="T397" s="244"/>
      <c r="U397" s="244"/>
      <c r="V397" s="244"/>
      <c r="W397" s="244"/>
      <c r="X397" s="244"/>
      <c r="Y397" s="244"/>
      <c r="Z397" s="244"/>
    </row>
    <row r="398" hidden="1">
      <c r="A398" s="249"/>
      <c r="B398" s="249"/>
      <c r="C398" s="250"/>
      <c r="D398" s="244"/>
      <c r="E398" s="244"/>
      <c r="F398" s="244"/>
      <c r="G398" s="244"/>
      <c r="H398" s="244"/>
      <c r="I398" s="244"/>
      <c r="J398" s="244"/>
      <c r="K398" s="244"/>
      <c r="L398" s="244"/>
      <c r="M398" s="244"/>
      <c r="N398" s="244"/>
      <c r="O398" s="244"/>
      <c r="P398" s="244"/>
      <c r="Q398" s="244"/>
      <c r="R398" s="244"/>
      <c r="S398" s="244"/>
      <c r="T398" s="244"/>
      <c r="U398" s="244"/>
      <c r="V398" s="244"/>
      <c r="W398" s="244"/>
      <c r="X398" s="244"/>
      <c r="Y398" s="244"/>
      <c r="Z398" s="244"/>
    </row>
    <row r="399" hidden="1">
      <c r="A399" s="249"/>
      <c r="B399" s="249"/>
      <c r="C399" s="250"/>
      <c r="D399" s="244"/>
      <c r="E399" s="244"/>
      <c r="F399" s="244"/>
      <c r="G399" s="244"/>
      <c r="H399" s="244"/>
      <c r="I399" s="244"/>
      <c r="J399" s="244"/>
      <c r="K399" s="244"/>
      <c r="L399" s="244"/>
      <c r="M399" s="244"/>
      <c r="N399" s="244"/>
      <c r="O399" s="244"/>
      <c r="P399" s="244"/>
      <c r="Q399" s="244"/>
      <c r="R399" s="244"/>
      <c r="S399" s="244"/>
      <c r="T399" s="244"/>
      <c r="U399" s="244"/>
      <c r="V399" s="244"/>
      <c r="W399" s="244"/>
      <c r="X399" s="244"/>
      <c r="Y399" s="244"/>
      <c r="Z399" s="244"/>
    </row>
    <row r="400" hidden="1">
      <c r="A400" s="249"/>
      <c r="B400" s="249"/>
      <c r="C400" s="250"/>
      <c r="D400" s="244"/>
      <c r="E400" s="244"/>
      <c r="F400" s="244"/>
      <c r="G400" s="244"/>
      <c r="H400" s="244"/>
      <c r="I400" s="244"/>
      <c r="J400" s="244"/>
      <c r="K400" s="244"/>
      <c r="L400" s="244"/>
      <c r="M400" s="244"/>
      <c r="N400" s="244"/>
      <c r="O400" s="244"/>
      <c r="P400" s="244"/>
      <c r="Q400" s="244"/>
      <c r="R400" s="244"/>
      <c r="S400" s="244"/>
      <c r="T400" s="244"/>
      <c r="U400" s="244"/>
      <c r="V400" s="244"/>
      <c r="W400" s="244"/>
      <c r="X400" s="244"/>
      <c r="Y400" s="244"/>
      <c r="Z400" s="244"/>
    </row>
    <row r="401" hidden="1">
      <c r="A401" s="249"/>
      <c r="B401" s="249"/>
      <c r="C401" s="250"/>
      <c r="D401" s="244"/>
      <c r="E401" s="244"/>
      <c r="F401" s="244"/>
      <c r="G401" s="244"/>
      <c r="H401" s="244"/>
      <c r="I401" s="244"/>
      <c r="J401" s="244"/>
      <c r="K401" s="244"/>
      <c r="L401" s="244"/>
      <c r="M401" s="244"/>
      <c r="N401" s="244"/>
      <c r="O401" s="244"/>
      <c r="P401" s="244"/>
      <c r="Q401" s="244"/>
      <c r="R401" s="244"/>
      <c r="S401" s="244"/>
      <c r="T401" s="244"/>
      <c r="U401" s="244"/>
      <c r="V401" s="244"/>
      <c r="W401" s="244"/>
      <c r="X401" s="244"/>
      <c r="Y401" s="244"/>
      <c r="Z401" s="244"/>
    </row>
    <row r="402" hidden="1">
      <c r="A402" s="249"/>
      <c r="B402" s="249"/>
      <c r="C402" s="250"/>
      <c r="D402" s="244"/>
      <c r="E402" s="244"/>
      <c r="F402" s="244"/>
      <c r="G402" s="244"/>
      <c r="H402" s="244"/>
      <c r="I402" s="244"/>
      <c r="J402" s="244"/>
      <c r="K402" s="244"/>
      <c r="L402" s="244"/>
      <c r="M402" s="244"/>
      <c r="N402" s="244"/>
      <c r="O402" s="244"/>
      <c r="P402" s="244"/>
      <c r="Q402" s="244"/>
      <c r="R402" s="244"/>
      <c r="S402" s="244"/>
      <c r="T402" s="244"/>
      <c r="U402" s="244"/>
      <c r="V402" s="244"/>
      <c r="W402" s="244"/>
      <c r="X402" s="244"/>
      <c r="Y402" s="244"/>
      <c r="Z402" s="244"/>
    </row>
    <row r="403" hidden="1">
      <c r="A403" s="249"/>
      <c r="B403" s="249"/>
      <c r="C403" s="250"/>
      <c r="D403" s="244"/>
      <c r="E403" s="244"/>
      <c r="F403" s="244"/>
      <c r="G403" s="244"/>
      <c r="H403" s="244"/>
      <c r="I403" s="244"/>
      <c r="J403" s="244"/>
      <c r="K403" s="244"/>
      <c r="L403" s="244"/>
      <c r="M403" s="244"/>
      <c r="N403" s="244"/>
      <c r="O403" s="244"/>
      <c r="P403" s="244"/>
      <c r="Q403" s="244"/>
      <c r="R403" s="244"/>
      <c r="S403" s="244"/>
      <c r="T403" s="244"/>
      <c r="U403" s="244"/>
      <c r="V403" s="244"/>
      <c r="W403" s="244"/>
      <c r="X403" s="244"/>
      <c r="Y403" s="244"/>
      <c r="Z403" s="244"/>
    </row>
    <row r="404" hidden="1">
      <c r="A404" s="249"/>
      <c r="B404" s="249"/>
      <c r="C404" s="250"/>
      <c r="D404" s="244"/>
      <c r="E404" s="244"/>
      <c r="F404" s="244"/>
      <c r="G404" s="244"/>
      <c r="H404" s="244"/>
      <c r="I404" s="244"/>
      <c r="J404" s="244"/>
      <c r="K404" s="244"/>
      <c r="L404" s="244"/>
      <c r="M404" s="244"/>
      <c r="N404" s="244"/>
      <c r="O404" s="244"/>
      <c r="P404" s="244"/>
      <c r="Q404" s="244"/>
      <c r="R404" s="244"/>
      <c r="S404" s="244"/>
      <c r="T404" s="244"/>
      <c r="U404" s="244"/>
      <c r="V404" s="244"/>
      <c r="W404" s="244"/>
      <c r="X404" s="244"/>
      <c r="Y404" s="244"/>
      <c r="Z404" s="244"/>
    </row>
    <row r="405" hidden="1">
      <c r="A405" s="249"/>
      <c r="B405" s="249"/>
      <c r="C405" s="250"/>
      <c r="D405" s="244"/>
      <c r="E405" s="244"/>
      <c r="F405" s="244"/>
      <c r="G405" s="244"/>
      <c r="H405" s="244"/>
      <c r="I405" s="244"/>
      <c r="J405" s="244"/>
      <c r="K405" s="244"/>
      <c r="L405" s="244"/>
      <c r="M405" s="244"/>
      <c r="N405" s="244"/>
      <c r="O405" s="244"/>
      <c r="P405" s="244"/>
      <c r="Q405" s="244"/>
      <c r="R405" s="244"/>
      <c r="S405" s="244"/>
      <c r="T405" s="244"/>
      <c r="U405" s="244"/>
      <c r="V405" s="244"/>
      <c r="W405" s="244"/>
      <c r="X405" s="244"/>
      <c r="Y405" s="244"/>
      <c r="Z405" s="244"/>
    </row>
    <row r="406" hidden="1">
      <c r="A406" s="249"/>
      <c r="B406" s="249"/>
      <c r="C406" s="250"/>
      <c r="D406" s="244"/>
      <c r="E406" s="244"/>
      <c r="F406" s="244"/>
      <c r="G406" s="244"/>
      <c r="H406" s="244"/>
      <c r="I406" s="244"/>
      <c r="J406" s="244"/>
      <c r="K406" s="244"/>
      <c r="L406" s="244"/>
      <c r="M406" s="244"/>
      <c r="N406" s="244"/>
      <c r="O406" s="244"/>
      <c r="P406" s="244"/>
      <c r="Q406" s="244"/>
      <c r="R406" s="244"/>
      <c r="S406" s="244"/>
      <c r="T406" s="244"/>
      <c r="U406" s="244"/>
      <c r="V406" s="244"/>
      <c r="W406" s="244"/>
      <c r="X406" s="244"/>
      <c r="Y406" s="244"/>
      <c r="Z406" s="244"/>
    </row>
    <row r="407" hidden="1">
      <c r="A407" s="249"/>
      <c r="B407" s="249"/>
      <c r="C407" s="250"/>
      <c r="D407" s="244"/>
      <c r="E407" s="244"/>
      <c r="F407" s="244"/>
      <c r="G407" s="244"/>
      <c r="H407" s="244"/>
      <c r="I407" s="244"/>
      <c r="J407" s="244"/>
      <c r="K407" s="244"/>
      <c r="L407" s="244"/>
      <c r="M407" s="244"/>
      <c r="N407" s="244"/>
      <c r="O407" s="244"/>
      <c r="P407" s="244"/>
      <c r="Q407" s="244"/>
      <c r="R407" s="244"/>
      <c r="S407" s="244"/>
      <c r="T407" s="244"/>
      <c r="U407" s="244"/>
      <c r="V407" s="244"/>
      <c r="W407" s="244"/>
      <c r="X407" s="244"/>
      <c r="Y407" s="244"/>
      <c r="Z407" s="244"/>
    </row>
    <row r="408" hidden="1">
      <c r="A408" s="249"/>
      <c r="B408" s="249"/>
      <c r="C408" s="250"/>
      <c r="D408" s="244"/>
      <c r="E408" s="244"/>
      <c r="F408" s="244"/>
      <c r="G408" s="244"/>
      <c r="H408" s="244"/>
      <c r="I408" s="244"/>
      <c r="J408" s="244"/>
      <c r="K408" s="244"/>
      <c r="L408" s="244"/>
      <c r="M408" s="244"/>
      <c r="N408" s="244"/>
      <c r="O408" s="244"/>
      <c r="P408" s="244"/>
      <c r="Q408" s="244"/>
      <c r="R408" s="244"/>
      <c r="S408" s="244"/>
      <c r="T408" s="244"/>
      <c r="U408" s="244"/>
      <c r="V408" s="244"/>
      <c r="W408" s="244"/>
      <c r="X408" s="244"/>
      <c r="Y408" s="244"/>
      <c r="Z408" s="244"/>
    </row>
    <row r="409" hidden="1">
      <c r="A409" s="249"/>
      <c r="B409" s="249"/>
      <c r="C409" s="250"/>
      <c r="D409" s="244"/>
      <c r="E409" s="244"/>
      <c r="F409" s="244"/>
      <c r="G409" s="244"/>
      <c r="H409" s="244"/>
      <c r="I409" s="244"/>
      <c r="J409" s="244"/>
      <c r="K409" s="244"/>
      <c r="L409" s="244"/>
      <c r="M409" s="244"/>
      <c r="N409" s="244"/>
      <c r="O409" s="244"/>
      <c r="P409" s="244"/>
      <c r="Q409" s="244"/>
      <c r="R409" s="244"/>
      <c r="S409" s="244"/>
      <c r="T409" s="244"/>
      <c r="U409" s="244"/>
      <c r="V409" s="244"/>
      <c r="W409" s="244"/>
      <c r="X409" s="244"/>
      <c r="Y409" s="244"/>
      <c r="Z409" s="244"/>
    </row>
    <row r="410" hidden="1">
      <c r="A410" s="249"/>
      <c r="B410" s="249"/>
      <c r="C410" s="250"/>
      <c r="D410" s="244"/>
      <c r="E410" s="244"/>
      <c r="F410" s="244"/>
      <c r="G410" s="244"/>
      <c r="H410" s="244"/>
      <c r="I410" s="244"/>
      <c r="J410" s="244"/>
      <c r="K410" s="244"/>
      <c r="L410" s="244"/>
      <c r="M410" s="244"/>
      <c r="N410" s="244"/>
      <c r="O410" s="244"/>
      <c r="P410" s="244"/>
      <c r="Q410" s="244"/>
      <c r="R410" s="244"/>
      <c r="S410" s="244"/>
      <c r="T410" s="244"/>
      <c r="U410" s="244"/>
      <c r="V410" s="244"/>
      <c r="W410" s="244"/>
      <c r="X410" s="244"/>
      <c r="Y410" s="244"/>
      <c r="Z410" s="244"/>
    </row>
    <row r="411" hidden="1">
      <c r="A411" s="249"/>
      <c r="B411" s="249"/>
      <c r="C411" s="250"/>
      <c r="D411" s="244"/>
      <c r="E411" s="244"/>
      <c r="F411" s="244"/>
      <c r="G411" s="244"/>
      <c r="H411" s="244"/>
      <c r="I411" s="244"/>
      <c r="J411" s="244"/>
      <c r="K411" s="244"/>
      <c r="L411" s="244"/>
      <c r="M411" s="244"/>
      <c r="N411" s="244"/>
      <c r="O411" s="244"/>
      <c r="P411" s="244"/>
      <c r="Q411" s="244"/>
      <c r="R411" s="244"/>
      <c r="S411" s="244"/>
      <c r="T411" s="244"/>
      <c r="U411" s="244"/>
      <c r="V411" s="244"/>
      <c r="W411" s="244"/>
      <c r="X411" s="244"/>
      <c r="Y411" s="244"/>
      <c r="Z411" s="244"/>
    </row>
    <row r="412" hidden="1">
      <c r="A412" s="249"/>
      <c r="B412" s="249"/>
      <c r="C412" s="250"/>
      <c r="D412" s="244"/>
      <c r="E412" s="244"/>
      <c r="F412" s="244"/>
      <c r="G412" s="244"/>
      <c r="H412" s="244"/>
      <c r="I412" s="244"/>
      <c r="J412" s="244"/>
      <c r="K412" s="244"/>
      <c r="L412" s="244"/>
      <c r="M412" s="244"/>
      <c r="N412" s="244"/>
      <c r="O412" s="244"/>
      <c r="P412" s="244"/>
      <c r="Q412" s="244"/>
      <c r="R412" s="244"/>
      <c r="S412" s="244"/>
      <c r="T412" s="244"/>
      <c r="U412" s="244"/>
      <c r="V412" s="244"/>
      <c r="W412" s="244"/>
      <c r="X412" s="244"/>
      <c r="Y412" s="244"/>
      <c r="Z412" s="244"/>
    </row>
    <row r="413" hidden="1">
      <c r="A413" s="249"/>
      <c r="B413" s="249"/>
      <c r="C413" s="250"/>
      <c r="D413" s="244"/>
      <c r="E413" s="244"/>
      <c r="F413" s="244"/>
      <c r="G413" s="244"/>
      <c r="H413" s="244"/>
      <c r="I413" s="244"/>
      <c r="J413" s="244"/>
      <c r="K413" s="244"/>
      <c r="L413" s="244"/>
      <c r="M413" s="244"/>
      <c r="N413" s="244"/>
      <c r="O413" s="244"/>
      <c r="P413" s="244"/>
      <c r="Q413" s="244"/>
      <c r="R413" s="244"/>
      <c r="S413" s="244"/>
      <c r="T413" s="244"/>
      <c r="U413" s="244"/>
      <c r="V413" s="244"/>
      <c r="W413" s="244"/>
      <c r="X413" s="244"/>
      <c r="Y413" s="244"/>
      <c r="Z413" s="244"/>
    </row>
    <row r="414" hidden="1">
      <c r="A414" s="249"/>
      <c r="B414" s="249"/>
      <c r="C414" s="250"/>
      <c r="D414" s="244"/>
      <c r="E414" s="244"/>
      <c r="F414" s="244"/>
      <c r="G414" s="244"/>
      <c r="H414" s="244"/>
      <c r="I414" s="244"/>
      <c r="J414" s="244"/>
      <c r="K414" s="244"/>
      <c r="L414" s="244"/>
      <c r="M414" s="244"/>
      <c r="N414" s="244"/>
      <c r="O414" s="244"/>
      <c r="P414" s="244"/>
      <c r="Q414" s="244"/>
      <c r="R414" s="244"/>
      <c r="S414" s="244"/>
      <c r="T414" s="244"/>
      <c r="U414" s="244"/>
      <c r="V414" s="244"/>
      <c r="W414" s="244"/>
      <c r="X414" s="244"/>
      <c r="Y414" s="244"/>
      <c r="Z414" s="244"/>
    </row>
    <row r="415" hidden="1">
      <c r="A415" s="249"/>
      <c r="B415" s="249"/>
      <c r="C415" s="250"/>
      <c r="D415" s="244"/>
      <c r="E415" s="244"/>
      <c r="F415" s="244"/>
      <c r="G415" s="244"/>
      <c r="H415" s="244"/>
      <c r="I415" s="244"/>
      <c r="J415" s="244"/>
      <c r="K415" s="244"/>
      <c r="L415" s="244"/>
      <c r="M415" s="244"/>
      <c r="N415" s="244"/>
      <c r="O415" s="244"/>
      <c r="P415" s="244"/>
      <c r="Q415" s="244"/>
      <c r="R415" s="244"/>
      <c r="S415" s="244"/>
      <c r="T415" s="244"/>
      <c r="U415" s="244"/>
      <c r="V415" s="244"/>
      <c r="W415" s="244"/>
      <c r="X415" s="244"/>
      <c r="Y415" s="244"/>
      <c r="Z415" s="244"/>
    </row>
    <row r="416" hidden="1">
      <c r="A416" s="249"/>
      <c r="B416" s="249"/>
      <c r="C416" s="250"/>
      <c r="D416" s="244"/>
      <c r="E416" s="244"/>
      <c r="F416" s="244"/>
      <c r="G416" s="244"/>
      <c r="H416" s="244"/>
      <c r="I416" s="244"/>
      <c r="J416" s="244"/>
      <c r="K416" s="244"/>
      <c r="L416" s="244"/>
      <c r="M416" s="244"/>
      <c r="N416" s="244"/>
      <c r="O416" s="244"/>
      <c r="P416" s="244"/>
      <c r="Q416" s="244"/>
      <c r="R416" s="244"/>
      <c r="S416" s="244"/>
      <c r="T416" s="244"/>
      <c r="U416" s="244"/>
      <c r="V416" s="244"/>
      <c r="W416" s="244"/>
      <c r="X416" s="244"/>
      <c r="Y416" s="244"/>
      <c r="Z416" s="244"/>
    </row>
    <row r="417" hidden="1">
      <c r="A417" s="249"/>
      <c r="B417" s="249"/>
      <c r="C417" s="250"/>
      <c r="D417" s="244"/>
      <c r="E417" s="244"/>
      <c r="F417" s="244"/>
      <c r="G417" s="244"/>
      <c r="H417" s="244"/>
      <c r="I417" s="244"/>
      <c r="J417" s="244"/>
      <c r="K417" s="244"/>
      <c r="L417" s="244"/>
      <c r="M417" s="244"/>
      <c r="N417" s="244"/>
      <c r="O417" s="244"/>
      <c r="P417" s="244"/>
      <c r="Q417" s="244"/>
      <c r="R417" s="244"/>
      <c r="S417" s="244"/>
      <c r="T417" s="244"/>
      <c r="U417" s="244"/>
      <c r="V417" s="244"/>
      <c r="W417" s="244"/>
      <c r="X417" s="244"/>
      <c r="Y417" s="244"/>
      <c r="Z417" s="244"/>
    </row>
    <row r="418" hidden="1">
      <c r="A418" s="249"/>
      <c r="B418" s="249"/>
      <c r="C418" s="250"/>
      <c r="D418" s="244"/>
      <c r="E418" s="244"/>
      <c r="F418" s="244"/>
      <c r="G418" s="244"/>
      <c r="H418" s="244"/>
      <c r="I418" s="244"/>
      <c r="J418" s="244"/>
      <c r="K418" s="244"/>
      <c r="L418" s="244"/>
      <c r="M418" s="244"/>
      <c r="N418" s="244"/>
      <c r="O418" s="244"/>
      <c r="P418" s="244"/>
      <c r="Q418" s="244"/>
      <c r="R418" s="244"/>
      <c r="S418" s="244"/>
      <c r="T418" s="244"/>
      <c r="U418" s="244"/>
      <c r="V418" s="244"/>
      <c r="W418" s="244"/>
      <c r="X418" s="244"/>
      <c r="Y418" s="244"/>
      <c r="Z418" s="244"/>
    </row>
    <row r="419" hidden="1">
      <c r="A419" s="249"/>
      <c r="B419" s="249"/>
      <c r="C419" s="250"/>
      <c r="D419" s="244"/>
      <c r="E419" s="244"/>
      <c r="F419" s="244"/>
      <c r="G419" s="244"/>
      <c r="H419" s="244"/>
      <c r="I419" s="244"/>
      <c r="J419" s="244"/>
      <c r="K419" s="244"/>
      <c r="L419" s="244"/>
      <c r="M419" s="244"/>
      <c r="N419" s="244"/>
      <c r="O419" s="244"/>
      <c r="P419" s="244"/>
      <c r="Q419" s="244"/>
      <c r="R419" s="244"/>
      <c r="S419" s="244"/>
      <c r="T419" s="244"/>
      <c r="U419" s="244"/>
      <c r="V419" s="244"/>
      <c r="W419" s="244"/>
      <c r="X419" s="244"/>
      <c r="Y419" s="244"/>
      <c r="Z419" s="244"/>
    </row>
    <row r="420" hidden="1">
      <c r="A420" s="249"/>
      <c r="B420" s="249"/>
      <c r="C420" s="250"/>
      <c r="D420" s="244"/>
      <c r="E420" s="244"/>
      <c r="F420" s="244"/>
      <c r="G420" s="244"/>
      <c r="H420" s="244"/>
      <c r="I420" s="244"/>
      <c r="J420" s="244"/>
      <c r="K420" s="244"/>
      <c r="L420" s="244"/>
      <c r="M420" s="244"/>
      <c r="N420" s="244"/>
      <c r="O420" s="244"/>
      <c r="P420" s="244"/>
      <c r="Q420" s="244"/>
      <c r="R420" s="244"/>
      <c r="S420" s="244"/>
      <c r="T420" s="244"/>
      <c r="U420" s="244"/>
      <c r="V420" s="244"/>
      <c r="W420" s="244"/>
      <c r="X420" s="244"/>
      <c r="Y420" s="244"/>
      <c r="Z420" s="244"/>
    </row>
    <row r="421" hidden="1">
      <c r="A421" s="249"/>
      <c r="B421" s="249"/>
      <c r="C421" s="250"/>
      <c r="D421" s="244"/>
      <c r="E421" s="244"/>
      <c r="F421" s="244"/>
      <c r="G421" s="244"/>
      <c r="H421" s="244"/>
      <c r="I421" s="244"/>
      <c r="J421" s="244"/>
      <c r="K421" s="244"/>
      <c r="L421" s="244"/>
      <c r="M421" s="244"/>
      <c r="N421" s="244"/>
      <c r="O421" s="244"/>
      <c r="P421" s="244"/>
      <c r="Q421" s="244"/>
      <c r="R421" s="244"/>
      <c r="S421" s="244"/>
      <c r="T421" s="244"/>
      <c r="U421" s="244"/>
      <c r="V421" s="244"/>
      <c r="W421" s="244"/>
      <c r="X421" s="244"/>
      <c r="Y421" s="244"/>
      <c r="Z421" s="244"/>
    </row>
    <row r="422" hidden="1">
      <c r="A422" s="249"/>
      <c r="B422" s="249"/>
      <c r="C422" s="250"/>
      <c r="D422" s="244"/>
      <c r="E422" s="244"/>
      <c r="F422" s="244"/>
      <c r="G422" s="244"/>
      <c r="H422" s="244"/>
      <c r="I422" s="244"/>
      <c r="J422" s="244"/>
      <c r="K422" s="244"/>
      <c r="L422" s="244"/>
      <c r="M422" s="244"/>
      <c r="N422" s="244"/>
      <c r="O422" s="244"/>
      <c r="P422" s="244"/>
      <c r="Q422" s="244"/>
      <c r="R422" s="244"/>
      <c r="S422" s="244"/>
      <c r="T422" s="244"/>
      <c r="U422" s="244"/>
      <c r="V422" s="244"/>
      <c r="W422" s="244"/>
      <c r="X422" s="244"/>
      <c r="Y422" s="244"/>
      <c r="Z422" s="244"/>
    </row>
    <row r="423" hidden="1">
      <c r="A423" s="249"/>
      <c r="B423" s="249"/>
      <c r="C423" s="250"/>
      <c r="D423" s="244"/>
      <c r="E423" s="244"/>
      <c r="F423" s="244"/>
      <c r="G423" s="244"/>
      <c r="H423" s="244"/>
      <c r="I423" s="244"/>
      <c r="J423" s="244"/>
      <c r="K423" s="244"/>
      <c r="L423" s="244"/>
      <c r="M423" s="244"/>
      <c r="N423" s="244"/>
      <c r="O423" s="244"/>
      <c r="P423" s="244"/>
      <c r="Q423" s="244"/>
      <c r="R423" s="244"/>
      <c r="S423" s="244"/>
      <c r="T423" s="244"/>
      <c r="U423" s="244"/>
      <c r="V423" s="244"/>
      <c r="W423" s="244"/>
      <c r="X423" s="244"/>
      <c r="Y423" s="244"/>
      <c r="Z423" s="244"/>
    </row>
    <row r="424" hidden="1">
      <c r="A424" s="249"/>
      <c r="B424" s="249"/>
      <c r="C424" s="250"/>
      <c r="D424" s="244"/>
      <c r="E424" s="244"/>
      <c r="F424" s="244"/>
      <c r="G424" s="244"/>
      <c r="H424" s="244"/>
      <c r="I424" s="244"/>
      <c r="J424" s="244"/>
      <c r="K424" s="244"/>
      <c r="L424" s="244"/>
      <c r="M424" s="244"/>
      <c r="N424" s="244"/>
      <c r="O424" s="244"/>
      <c r="P424" s="244"/>
      <c r="Q424" s="244"/>
      <c r="R424" s="244"/>
      <c r="S424" s="244"/>
      <c r="T424" s="244"/>
      <c r="U424" s="244"/>
      <c r="V424" s="244"/>
      <c r="W424" s="244"/>
      <c r="X424" s="244"/>
      <c r="Y424" s="244"/>
      <c r="Z424" s="244"/>
    </row>
    <row r="425" hidden="1">
      <c r="A425" s="249"/>
      <c r="B425" s="249"/>
      <c r="C425" s="250"/>
      <c r="D425" s="244"/>
      <c r="E425" s="244"/>
      <c r="F425" s="244"/>
      <c r="G425" s="244"/>
      <c r="H425" s="244"/>
      <c r="I425" s="244"/>
      <c r="J425" s="244"/>
      <c r="K425" s="244"/>
      <c r="L425" s="244"/>
      <c r="M425" s="244"/>
      <c r="N425" s="244"/>
      <c r="O425" s="244"/>
      <c r="P425" s="244"/>
      <c r="Q425" s="244"/>
      <c r="R425" s="244"/>
      <c r="S425" s="244"/>
      <c r="T425" s="244"/>
      <c r="U425" s="244"/>
      <c r="V425" s="244"/>
      <c r="W425" s="244"/>
      <c r="X425" s="244"/>
      <c r="Y425" s="244"/>
      <c r="Z425" s="244"/>
    </row>
    <row r="426" hidden="1">
      <c r="A426" s="249"/>
      <c r="B426" s="249"/>
      <c r="C426" s="250"/>
      <c r="D426" s="244"/>
      <c r="E426" s="244"/>
      <c r="F426" s="244"/>
      <c r="G426" s="244"/>
      <c r="H426" s="244"/>
      <c r="I426" s="244"/>
      <c r="J426" s="244"/>
      <c r="K426" s="244"/>
      <c r="L426" s="244"/>
      <c r="M426" s="244"/>
      <c r="N426" s="244"/>
      <c r="O426" s="244"/>
      <c r="P426" s="244"/>
      <c r="Q426" s="244"/>
      <c r="R426" s="244"/>
      <c r="S426" s="244"/>
      <c r="T426" s="244"/>
      <c r="U426" s="244"/>
      <c r="V426" s="244"/>
      <c r="W426" s="244"/>
      <c r="X426" s="244"/>
      <c r="Y426" s="244"/>
      <c r="Z426" s="244"/>
    </row>
    <row r="427" hidden="1">
      <c r="A427" s="249"/>
      <c r="B427" s="249"/>
      <c r="C427" s="250"/>
      <c r="D427" s="244"/>
      <c r="E427" s="244"/>
      <c r="F427" s="244"/>
      <c r="G427" s="244"/>
      <c r="H427" s="244"/>
      <c r="I427" s="244"/>
      <c r="J427" s="244"/>
      <c r="K427" s="244"/>
      <c r="L427" s="244"/>
      <c r="M427" s="244"/>
      <c r="N427" s="244"/>
      <c r="O427" s="244"/>
      <c r="P427" s="244"/>
      <c r="Q427" s="244"/>
      <c r="R427" s="244"/>
      <c r="S427" s="244"/>
      <c r="T427" s="244"/>
      <c r="U427" s="244"/>
      <c r="V427" s="244"/>
      <c r="W427" s="244"/>
      <c r="X427" s="244"/>
      <c r="Y427" s="244"/>
      <c r="Z427" s="244"/>
    </row>
    <row r="428" hidden="1">
      <c r="A428" s="249"/>
      <c r="B428" s="249"/>
      <c r="C428" s="250"/>
      <c r="D428" s="244"/>
      <c r="E428" s="244"/>
      <c r="F428" s="244"/>
      <c r="G428" s="244"/>
      <c r="H428" s="244"/>
      <c r="I428" s="244"/>
      <c r="J428" s="244"/>
      <c r="K428" s="244"/>
      <c r="L428" s="244"/>
      <c r="M428" s="244"/>
      <c r="N428" s="244"/>
      <c r="O428" s="244"/>
      <c r="P428" s="244"/>
      <c r="Q428" s="244"/>
      <c r="R428" s="244"/>
      <c r="S428" s="244"/>
      <c r="T428" s="244"/>
      <c r="U428" s="244"/>
      <c r="V428" s="244"/>
      <c r="W428" s="244"/>
      <c r="X428" s="244"/>
      <c r="Y428" s="244"/>
      <c r="Z428" s="244"/>
    </row>
    <row r="429" hidden="1">
      <c r="A429" s="249"/>
      <c r="B429" s="249"/>
      <c r="C429" s="250"/>
      <c r="D429" s="244"/>
      <c r="E429" s="244"/>
      <c r="F429" s="244"/>
      <c r="G429" s="244"/>
      <c r="H429" s="244"/>
      <c r="I429" s="244"/>
      <c r="J429" s="244"/>
      <c r="K429" s="244"/>
      <c r="L429" s="244"/>
      <c r="M429" s="244"/>
      <c r="N429" s="244"/>
      <c r="O429" s="244"/>
      <c r="P429" s="244"/>
      <c r="Q429" s="244"/>
      <c r="R429" s="244"/>
      <c r="S429" s="244"/>
      <c r="T429" s="244"/>
      <c r="U429" s="244"/>
      <c r="V429" s="244"/>
      <c r="W429" s="244"/>
      <c r="X429" s="244"/>
      <c r="Y429" s="244"/>
      <c r="Z429" s="244"/>
    </row>
    <row r="430" hidden="1">
      <c r="A430" s="249"/>
      <c r="B430" s="249"/>
      <c r="C430" s="250"/>
      <c r="D430" s="244"/>
      <c r="E430" s="244"/>
      <c r="F430" s="244"/>
      <c r="G430" s="244"/>
      <c r="H430" s="244"/>
      <c r="I430" s="244"/>
      <c r="J430" s="244"/>
      <c r="K430" s="244"/>
      <c r="L430" s="244"/>
      <c r="M430" s="244"/>
      <c r="N430" s="244"/>
      <c r="O430" s="244"/>
      <c r="P430" s="244"/>
      <c r="Q430" s="244"/>
      <c r="R430" s="244"/>
      <c r="S430" s="244"/>
      <c r="T430" s="244"/>
      <c r="U430" s="244"/>
      <c r="V430" s="244"/>
      <c r="W430" s="244"/>
      <c r="X430" s="244"/>
      <c r="Y430" s="244"/>
      <c r="Z430" s="244"/>
    </row>
    <row r="431" hidden="1">
      <c r="A431" s="249"/>
      <c r="B431" s="249"/>
      <c r="C431" s="250"/>
      <c r="D431" s="244"/>
      <c r="E431" s="244"/>
      <c r="F431" s="244"/>
      <c r="G431" s="244"/>
      <c r="H431" s="244"/>
      <c r="I431" s="244"/>
      <c r="J431" s="244"/>
      <c r="K431" s="244"/>
      <c r="L431" s="244"/>
      <c r="M431" s="244"/>
      <c r="N431" s="244"/>
      <c r="O431" s="244"/>
      <c r="P431" s="244"/>
      <c r="Q431" s="244"/>
      <c r="R431" s="244"/>
      <c r="S431" s="244"/>
      <c r="T431" s="244"/>
      <c r="U431" s="244"/>
      <c r="V431" s="244"/>
      <c r="W431" s="244"/>
      <c r="X431" s="244"/>
      <c r="Y431" s="244"/>
      <c r="Z431" s="244"/>
    </row>
    <row r="432" hidden="1">
      <c r="A432" s="249"/>
      <c r="B432" s="249"/>
      <c r="C432" s="250"/>
      <c r="D432" s="244"/>
      <c r="E432" s="244"/>
      <c r="F432" s="244"/>
      <c r="G432" s="244"/>
      <c r="H432" s="244"/>
      <c r="I432" s="244"/>
      <c r="J432" s="244"/>
      <c r="K432" s="244"/>
      <c r="L432" s="244"/>
      <c r="M432" s="244"/>
      <c r="N432" s="244"/>
      <c r="O432" s="244"/>
      <c r="P432" s="244"/>
      <c r="Q432" s="244"/>
      <c r="R432" s="244"/>
      <c r="S432" s="244"/>
      <c r="T432" s="244"/>
      <c r="U432" s="244"/>
      <c r="V432" s="244"/>
      <c r="W432" s="244"/>
      <c r="X432" s="244"/>
      <c r="Y432" s="244"/>
      <c r="Z432" s="244"/>
    </row>
    <row r="433" hidden="1">
      <c r="A433" s="249"/>
      <c r="B433" s="249"/>
      <c r="C433" s="250"/>
      <c r="D433" s="244"/>
      <c r="E433" s="244"/>
      <c r="F433" s="244"/>
      <c r="G433" s="244"/>
      <c r="H433" s="244"/>
      <c r="I433" s="244"/>
      <c r="J433" s="244"/>
      <c r="K433" s="244"/>
      <c r="L433" s="244"/>
      <c r="M433" s="244"/>
      <c r="N433" s="244"/>
      <c r="O433" s="244"/>
      <c r="P433" s="244"/>
      <c r="Q433" s="244"/>
      <c r="R433" s="244"/>
      <c r="S433" s="244"/>
      <c r="T433" s="244"/>
      <c r="U433" s="244"/>
      <c r="V433" s="244"/>
      <c r="W433" s="244"/>
      <c r="X433" s="244"/>
      <c r="Y433" s="244"/>
      <c r="Z433" s="244"/>
    </row>
    <row r="434" hidden="1">
      <c r="A434" s="249"/>
      <c r="B434" s="249"/>
      <c r="C434" s="250"/>
      <c r="D434" s="244"/>
      <c r="E434" s="244"/>
      <c r="F434" s="244"/>
      <c r="G434" s="244"/>
      <c r="H434" s="244"/>
      <c r="I434" s="244"/>
      <c r="J434" s="244"/>
      <c r="K434" s="244"/>
      <c r="L434" s="244"/>
      <c r="M434" s="244"/>
      <c r="N434" s="244"/>
      <c r="O434" s="244"/>
      <c r="P434" s="244"/>
      <c r="Q434" s="244"/>
      <c r="R434" s="244"/>
      <c r="S434" s="244"/>
      <c r="T434" s="244"/>
      <c r="U434" s="244"/>
      <c r="V434" s="244"/>
      <c r="W434" s="244"/>
      <c r="X434" s="244"/>
      <c r="Y434" s="244"/>
      <c r="Z434" s="244"/>
    </row>
    <row r="435" hidden="1">
      <c r="A435" s="249"/>
      <c r="B435" s="249"/>
      <c r="C435" s="250"/>
      <c r="D435" s="244"/>
      <c r="E435" s="244"/>
      <c r="F435" s="244"/>
      <c r="G435" s="244"/>
      <c r="H435" s="244"/>
      <c r="I435" s="244"/>
      <c r="J435" s="244"/>
      <c r="K435" s="244"/>
      <c r="L435" s="244"/>
      <c r="M435" s="244"/>
      <c r="N435" s="244"/>
      <c r="O435" s="244"/>
      <c r="P435" s="244"/>
      <c r="Q435" s="244"/>
      <c r="R435" s="244"/>
      <c r="S435" s="244"/>
      <c r="T435" s="244"/>
      <c r="U435" s="244"/>
      <c r="V435" s="244"/>
      <c r="W435" s="244"/>
      <c r="X435" s="244"/>
      <c r="Y435" s="244"/>
      <c r="Z435" s="244"/>
    </row>
    <row r="436" hidden="1">
      <c r="A436" s="249"/>
      <c r="B436" s="249"/>
      <c r="C436" s="250"/>
      <c r="D436" s="244"/>
      <c r="E436" s="244"/>
      <c r="F436" s="244"/>
      <c r="G436" s="244"/>
      <c r="H436" s="244"/>
      <c r="I436" s="244"/>
      <c r="J436" s="244"/>
      <c r="K436" s="244"/>
      <c r="L436" s="244"/>
      <c r="M436" s="244"/>
      <c r="N436" s="244"/>
      <c r="O436" s="244"/>
      <c r="P436" s="244"/>
      <c r="Q436" s="244"/>
      <c r="R436" s="244"/>
      <c r="S436" s="244"/>
      <c r="T436" s="244"/>
      <c r="U436" s="244"/>
      <c r="V436" s="244"/>
      <c r="W436" s="244"/>
      <c r="X436" s="244"/>
      <c r="Y436" s="244"/>
      <c r="Z436" s="244"/>
    </row>
    <row r="437" hidden="1">
      <c r="A437" s="249"/>
      <c r="B437" s="249"/>
      <c r="C437" s="250"/>
      <c r="D437" s="244"/>
      <c r="E437" s="244"/>
      <c r="F437" s="244"/>
      <c r="G437" s="244"/>
      <c r="H437" s="244"/>
      <c r="I437" s="244"/>
      <c r="J437" s="244"/>
      <c r="K437" s="244"/>
      <c r="L437" s="244"/>
      <c r="M437" s="244"/>
      <c r="N437" s="244"/>
      <c r="O437" s="244"/>
      <c r="P437" s="244"/>
      <c r="Q437" s="244"/>
      <c r="R437" s="244"/>
      <c r="S437" s="244"/>
      <c r="T437" s="244"/>
      <c r="U437" s="244"/>
      <c r="V437" s="244"/>
      <c r="W437" s="244"/>
      <c r="X437" s="244"/>
      <c r="Y437" s="244"/>
      <c r="Z437" s="244"/>
    </row>
    <row r="438" hidden="1">
      <c r="A438" s="249"/>
      <c r="B438" s="249"/>
      <c r="C438" s="250"/>
      <c r="D438" s="244"/>
      <c r="E438" s="244"/>
      <c r="F438" s="244"/>
      <c r="G438" s="244"/>
      <c r="H438" s="244"/>
      <c r="I438" s="244"/>
      <c r="J438" s="244"/>
      <c r="K438" s="244"/>
      <c r="L438" s="244"/>
      <c r="M438" s="244"/>
      <c r="N438" s="244"/>
      <c r="O438" s="244"/>
      <c r="P438" s="244"/>
      <c r="Q438" s="244"/>
      <c r="R438" s="244"/>
      <c r="S438" s="244"/>
      <c r="T438" s="244"/>
      <c r="U438" s="244"/>
      <c r="V438" s="244"/>
      <c r="W438" s="244"/>
      <c r="X438" s="244"/>
      <c r="Y438" s="244"/>
      <c r="Z438" s="244"/>
    </row>
    <row r="439" hidden="1">
      <c r="A439" s="249"/>
      <c r="B439" s="249"/>
      <c r="C439" s="250"/>
      <c r="D439" s="244"/>
      <c r="E439" s="244"/>
      <c r="F439" s="244"/>
      <c r="G439" s="244"/>
      <c r="H439" s="244"/>
      <c r="I439" s="244"/>
      <c r="J439" s="244"/>
      <c r="K439" s="244"/>
      <c r="L439" s="244"/>
      <c r="M439" s="244"/>
      <c r="N439" s="244"/>
      <c r="O439" s="244"/>
      <c r="P439" s="244"/>
      <c r="Q439" s="244"/>
      <c r="R439" s="244"/>
      <c r="S439" s="244"/>
      <c r="T439" s="244"/>
      <c r="U439" s="244"/>
      <c r="V439" s="244"/>
      <c r="W439" s="244"/>
      <c r="X439" s="244"/>
      <c r="Y439" s="244"/>
      <c r="Z439" s="244"/>
    </row>
    <row r="440" hidden="1">
      <c r="A440" s="249"/>
      <c r="B440" s="249"/>
      <c r="C440" s="250"/>
      <c r="D440" s="244"/>
      <c r="E440" s="244"/>
      <c r="F440" s="244"/>
      <c r="G440" s="244"/>
      <c r="H440" s="244"/>
      <c r="I440" s="244"/>
      <c r="J440" s="244"/>
      <c r="K440" s="244"/>
      <c r="L440" s="244"/>
      <c r="M440" s="244"/>
      <c r="N440" s="244"/>
      <c r="O440" s="244"/>
      <c r="P440" s="244"/>
      <c r="Q440" s="244"/>
      <c r="R440" s="244"/>
      <c r="S440" s="244"/>
      <c r="T440" s="244"/>
      <c r="U440" s="244"/>
      <c r="V440" s="244"/>
      <c r="W440" s="244"/>
      <c r="X440" s="244"/>
      <c r="Y440" s="244"/>
      <c r="Z440" s="244"/>
    </row>
    <row r="441" hidden="1">
      <c r="A441" s="249"/>
      <c r="B441" s="249"/>
      <c r="C441" s="250"/>
      <c r="D441" s="244"/>
      <c r="E441" s="244"/>
      <c r="F441" s="244"/>
      <c r="G441" s="244"/>
      <c r="H441" s="244"/>
      <c r="I441" s="244"/>
      <c r="J441" s="244"/>
      <c r="K441" s="244"/>
      <c r="L441" s="244"/>
      <c r="M441" s="244"/>
      <c r="N441" s="244"/>
      <c r="O441" s="244"/>
      <c r="P441" s="244"/>
      <c r="Q441" s="244"/>
      <c r="R441" s="244"/>
      <c r="S441" s="244"/>
      <c r="T441" s="244"/>
      <c r="U441" s="244"/>
      <c r="V441" s="244"/>
      <c r="W441" s="244"/>
      <c r="X441" s="244"/>
      <c r="Y441" s="244"/>
      <c r="Z441" s="244"/>
    </row>
    <row r="442" hidden="1">
      <c r="A442" s="249"/>
      <c r="B442" s="249"/>
      <c r="C442" s="250"/>
      <c r="D442" s="244"/>
      <c r="E442" s="244"/>
      <c r="F442" s="244"/>
      <c r="G442" s="244"/>
      <c r="H442" s="244"/>
      <c r="I442" s="244"/>
      <c r="J442" s="244"/>
      <c r="K442" s="244"/>
      <c r="L442" s="244"/>
      <c r="M442" s="244"/>
      <c r="N442" s="244"/>
      <c r="O442" s="244"/>
      <c r="P442" s="244"/>
      <c r="Q442" s="244"/>
      <c r="R442" s="244"/>
      <c r="S442" s="244"/>
      <c r="T442" s="244"/>
      <c r="U442" s="244"/>
      <c r="V442" s="244"/>
      <c r="W442" s="244"/>
      <c r="X442" s="244"/>
      <c r="Y442" s="244"/>
      <c r="Z442" s="244"/>
    </row>
    <row r="443" hidden="1">
      <c r="A443" s="249"/>
      <c r="B443" s="249"/>
      <c r="C443" s="250"/>
      <c r="D443" s="244"/>
      <c r="E443" s="244"/>
      <c r="F443" s="244"/>
      <c r="G443" s="244"/>
      <c r="H443" s="244"/>
      <c r="I443" s="244"/>
      <c r="J443" s="244"/>
      <c r="K443" s="244"/>
      <c r="L443" s="244"/>
      <c r="M443" s="244"/>
      <c r="N443" s="244"/>
      <c r="O443" s="244"/>
      <c r="P443" s="244"/>
      <c r="Q443" s="244"/>
      <c r="R443" s="244"/>
      <c r="S443" s="244"/>
      <c r="T443" s="244"/>
      <c r="U443" s="244"/>
      <c r="V443" s="244"/>
      <c r="W443" s="244"/>
      <c r="X443" s="244"/>
      <c r="Y443" s="244"/>
      <c r="Z443" s="244"/>
    </row>
    <row r="444" hidden="1">
      <c r="A444" s="249"/>
      <c r="B444" s="249"/>
      <c r="C444" s="250"/>
      <c r="D444" s="244"/>
      <c r="E444" s="244"/>
      <c r="F444" s="244"/>
      <c r="G444" s="244"/>
      <c r="H444" s="244"/>
      <c r="I444" s="244"/>
      <c r="J444" s="244"/>
      <c r="K444" s="244"/>
      <c r="L444" s="244"/>
      <c r="M444" s="244"/>
      <c r="N444" s="244"/>
      <c r="O444" s="244"/>
      <c r="P444" s="244"/>
      <c r="Q444" s="244"/>
      <c r="R444" s="244"/>
      <c r="S444" s="244"/>
      <c r="T444" s="244"/>
      <c r="U444" s="244"/>
      <c r="V444" s="244"/>
      <c r="W444" s="244"/>
      <c r="X444" s="244"/>
      <c r="Y444" s="244"/>
      <c r="Z444" s="244"/>
    </row>
    <row r="445" hidden="1">
      <c r="A445" s="249"/>
      <c r="B445" s="249"/>
      <c r="C445" s="250"/>
      <c r="D445" s="244"/>
      <c r="E445" s="244"/>
      <c r="F445" s="244"/>
      <c r="G445" s="244"/>
      <c r="H445" s="244"/>
      <c r="I445" s="244"/>
      <c r="J445" s="244"/>
      <c r="K445" s="244"/>
      <c r="L445" s="244"/>
      <c r="M445" s="244"/>
      <c r="N445" s="244"/>
      <c r="O445" s="244"/>
      <c r="P445" s="244"/>
      <c r="Q445" s="244"/>
      <c r="R445" s="244"/>
      <c r="S445" s="244"/>
      <c r="T445" s="244"/>
      <c r="U445" s="244"/>
      <c r="V445" s="244"/>
      <c r="W445" s="244"/>
      <c r="X445" s="244"/>
      <c r="Y445" s="244"/>
      <c r="Z445" s="244"/>
    </row>
    <row r="446" hidden="1">
      <c r="A446" s="249"/>
      <c r="B446" s="249"/>
      <c r="C446" s="250"/>
      <c r="D446" s="244"/>
      <c r="E446" s="244"/>
      <c r="F446" s="244"/>
      <c r="G446" s="244"/>
      <c r="H446" s="244"/>
      <c r="I446" s="244"/>
      <c r="J446" s="244"/>
      <c r="K446" s="244"/>
      <c r="L446" s="244"/>
      <c r="M446" s="244"/>
      <c r="N446" s="244"/>
      <c r="O446" s="244"/>
      <c r="P446" s="244"/>
      <c r="Q446" s="244"/>
      <c r="R446" s="244"/>
      <c r="S446" s="244"/>
      <c r="T446" s="244"/>
      <c r="U446" s="244"/>
      <c r="V446" s="244"/>
      <c r="W446" s="244"/>
      <c r="X446" s="244"/>
      <c r="Y446" s="244"/>
      <c r="Z446" s="244"/>
    </row>
    <row r="447" hidden="1">
      <c r="A447" s="249"/>
      <c r="B447" s="249"/>
      <c r="C447" s="250"/>
      <c r="D447" s="244"/>
      <c r="E447" s="244"/>
      <c r="F447" s="244"/>
      <c r="G447" s="244"/>
      <c r="H447" s="244"/>
      <c r="I447" s="244"/>
      <c r="J447" s="244"/>
      <c r="K447" s="244"/>
      <c r="L447" s="244"/>
      <c r="M447" s="244"/>
      <c r="N447" s="244"/>
      <c r="O447" s="244"/>
      <c r="P447" s="244"/>
      <c r="Q447" s="244"/>
      <c r="R447" s="244"/>
      <c r="S447" s="244"/>
      <c r="T447" s="244"/>
      <c r="U447" s="244"/>
      <c r="V447" s="244"/>
      <c r="W447" s="244"/>
      <c r="X447" s="244"/>
      <c r="Y447" s="244"/>
      <c r="Z447" s="244"/>
    </row>
    <row r="448" hidden="1">
      <c r="A448" s="249"/>
      <c r="B448" s="249"/>
      <c r="C448" s="250"/>
      <c r="D448" s="244"/>
      <c r="E448" s="244"/>
      <c r="F448" s="244"/>
      <c r="G448" s="244"/>
      <c r="H448" s="244"/>
      <c r="I448" s="244"/>
      <c r="J448" s="244"/>
      <c r="K448" s="244"/>
      <c r="L448" s="244"/>
      <c r="M448" s="244"/>
      <c r="N448" s="244"/>
      <c r="O448" s="244"/>
      <c r="P448" s="244"/>
      <c r="Q448" s="244"/>
      <c r="R448" s="244"/>
      <c r="S448" s="244"/>
      <c r="T448" s="244"/>
      <c r="U448" s="244"/>
      <c r="V448" s="244"/>
      <c r="W448" s="244"/>
      <c r="X448" s="244"/>
      <c r="Y448" s="244"/>
      <c r="Z448" s="244"/>
    </row>
    <row r="449" hidden="1">
      <c r="A449" s="249"/>
      <c r="B449" s="249"/>
      <c r="C449" s="250"/>
      <c r="D449" s="244"/>
      <c r="E449" s="244"/>
      <c r="F449" s="244"/>
      <c r="G449" s="244"/>
      <c r="H449" s="244"/>
      <c r="I449" s="244"/>
      <c r="J449" s="244"/>
      <c r="K449" s="244"/>
      <c r="L449" s="244"/>
      <c r="M449" s="244"/>
      <c r="N449" s="244"/>
      <c r="O449" s="244"/>
      <c r="P449" s="244"/>
      <c r="Q449" s="244"/>
      <c r="R449" s="244"/>
      <c r="S449" s="244"/>
      <c r="T449" s="244"/>
      <c r="U449" s="244"/>
      <c r="V449" s="244"/>
      <c r="W449" s="244"/>
      <c r="X449" s="244"/>
      <c r="Y449" s="244"/>
      <c r="Z449" s="244"/>
    </row>
    <row r="450" hidden="1">
      <c r="A450" s="249"/>
      <c r="B450" s="249"/>
      <c r="C450" s="250"/>
      <c r="D450" s="244"/>
      <c r="E450" s="244"/>
      <c r="F450" s="244"/>
      <c r="G450" s="244"/>
      <c r="H450" s="244"/>
      <c r="I450" s="244"/>
      <c r="J450" s="244"/>
      <c r="K450" s="244"/>
      <c r="L450" s="244"/>
      <c r="M450" s="244"/>
      <c r="N450" s="244"/>
      <c r="O450" s="244"/>
      <c r="P450" s="244"/>
      <c r="Q450" s="244"/>
      <c r="R450" s="244"/>
      <c r="S450" s="244"/>
      <c r="T450" s="244"/>
      <c r="U450" s="244"/>
      <c r="V450" s="244"/>
      <c r="W450" s="244"/>
      <c r="X450" s="244"/>
      <c r="Y450" s="244"/>
      <c r="Z450" s="244"/>
    </row>
    <row r="451" hidden="1">
      <c r="A451" s="249"/>
      <c r="B451" s="249"/>
      <c r="C451" s="250"/>
      <c r="D451" s="244"/>
      <c r="E451" s="244"/>
      <c r="F451" s="244"/>
      <c r="G451" s="244"/>
      <c r="H451" s="244"/>
      <c r="I451" s="244"/>
      <c r="J451" s="244"/>
      <c r="K451" s="244"/>
      <c r="L451" s="244"/>
      <c r="M451" s="244"/>
      <c r="N451" s="244"/>
      <c r="O451" s="244"/>
      <c r="P451" s="244"/>
      <c r="Q451" s="244"/>
      <c r="R451" s="244"/>
      <c r="S451" s="244"/>
      <c r="T451" s="244"/>
      <c r="U451" s="244"/>
      <c r="V451" s="244"/>
      <c r="W451" s="244"/>
      <c r="X451" s="244"/>
      <c r="Y451" s="244"/>
      <c r="Z451" s="244"/>
    </row>
    <row r="452" hidden="1">
      <c r="A452" s="249"/>
      <c r="B452" s="249"/>
      <c r="C452" s="250"/>
      <c r="D452" s="244"/>
      <c r="E452" s="244"/>
      <c r="F452" s="244"/>
      <c r="G452" s="244"/>
      <c r="H452" s="244"/>
      <c r="I452" s="244"/>
      <c r="J452" s="244"/>
      <c r="K452" s="244"/>
      <c r="L452" s="244"/>
      <c r="M452" s="244"/>
      <c r="N452" s="244"/>
      <c r="O452" s="244"/>
      <c r="P452" s="244"/>
      <c r="Q452" s="244"/>
      <c r="R452" s="244"/>
      <c r="S452" s="244"/>
      <c r="T452" s="244"/>
      <c r="U452" s="244"/>
      <c r="V452" s="244"/>
      <c r="W452" s="244"/>
      <c r="X452" s="244"/>
      <c r="Y452" s="244"/>
      <c r="Z452" s="244"/>
    </row>
    <row r="453" hidden="1">
      <c r="A453" s="249"/>
      <c r="B453" s="249"/>
      <c r="C453" s="250"/>
      <c r="D453" s="244"/>
      <c r="E453" s="244"/>
      <c r="F453" s="244"/>
      <c r="G453" s="244"/>
      <c r="H453" s="244"/>
      <c r="I453" s="244"/>
      <c r="J453" s="244"/>
      <c r="K453" s="244"/>
      <c r="L453" s="244"/>
      <c r="M453" s="244"/>
      <c r="N453" s="244"/>
      <c r="O453" s="244"/>
      <c r="P453" s="244"/>
      <c r="Q453" s="244"/>
      <c r="R453" s="244"/>
      <c r="S453" s="244"/>
      <c r="T453" s="244"/>
      <c r="U453" s="244"/>
      <c r="V453" s="244"/>
      <c r="W453" s="244"/>
      <c r="X453" s="244"/>
      <c r="Y453" s="244"/>
      <c r="Z453" s="244"/>
    </row>
    <row r="454" hidden="1">
      <c r="A454" s="249"/>
      <c r="B454" s="249"/>
      <c r="C454" s="250"/>
      <c r="D454" s="244"/>
      <c r="E454" s="244"/>
      <c r="F454" s="244"/>
      <c r="G454" s="244"/>
      <c r="H454" s="244"/>
      <c r="I454" s="244"/>
      <c r="J454" s="244"/>
      <c r="K454" s="244"/>
      <c r="L454" s="244"/>
      <c r="M454" s="244"/>
      <c r="N454" s="244"/>
      <c r="O454" s="244"/>
      <c r="P454" s="244"/>
      <c r="Q454" s="244"/>
      <c r="R454" s="244"/>
      <c r="S454" s="244"/>
      <c r="T454" s="244"/>
      <c r="U454" s="244"/>
      <c r="V454" s="244"/>
      <c r="W454" s="244"/>
      <c r="X454" s="244"/>
      <c r="Y454" s="244"/>
      <c r="Z454" s="244"/>
    </row>
    <row r="455" hidden="1">
      <c r="A455" s="249"/>
      <c r="B455" s="249"/>
      <c r="C455" s="250"/>
      <c r="D455" s="244"/>
      <c r="E455" s="244"/>
      <c r="F455" s="244"/>
      <c r="G455" s="244"/>
      <c r="H455" s="244"/>
      <c r="I455" s="244"/>
      <c r="J455" s="244"/>
      <c r="K455" s="244"/>
      <c r="L455" s="244"/>
      <c r="M455" s="244"/>
      <c r="N455" s="244"/>
      <c r="O455" s="244"/>
      <c r="P455" s="244"/>
      <c r="Q455" s="244"/>
      <c r="R455" s="244"/>
      <c r="S455" s="244"/>
      <c r="T455" s="244"/>
      <c r="U455" s="244"/>
      <c r="V455" s="244"/>
      <c r="W455" s="244"/>
      <c r="X455" s="244"/>
      <c r="Y455" s="244"/>
      <c r="Z455" s="244"/>
    </row>
    <row r="456" hidden="1">
      <c r="A456" s="249"/>
      <c r="B456" s="249"/>
      <c r="C456" s="250"/>
      <c r="D456" s="244"/>
      <c r="E456" s="244"/>
      <c r="F456" s="244"/>
      <c r="G456" s="244"/>
      <c r="H456" s="244"/>
      <c r="I456" s="244"/>
      <c r="J456" s="244"/>
      <c r="K456" s="244"/>
      <c r="L456" s="244"/>
      <c r="M456" s="244"/>
      <c r="N456" s="244"/>
      <c r="O456" s="244"/>
      <c r="P456" s="244"/>
      <c r="Q456" s="244"/>
      <c r="R456" s="244"/>
      <c r="S456" s="244"/>
      <c r="T456" s="244"/>
      <c r="U456" s="244"/>
      <c r="V456" s="244"/>
      <c r="W456" s="244"/>
      <c r="X456" s="244"/>
      <c r="Y456" s="244"/>
      <c r="Z456" s="244"/>
    </row>
    <row r="457" hidden="1">
      <c r="A457" s="249"/>
      <c r="B457" s="249"/>
      <c r="C457" s="250"/>
      <c r="D457" s="244"/>
      <c r="E457" s="244"/>
      <c r="F457" s="244"/>
      <c r="G457" s="244"/>
      <c r="H457" s="244"/>
      <c r="I457" s="244"/>
      <c r="J457" s="244"/>
      <c r="K457" s="244"/>
      <c r="L457" s="244"/>
      <c r="M457" s="244"/>
      <c r="N457" s="244"/>
      <c r="O457" s="244"/>
      <c r="P457" s="244"/>
      <c r="Q457" s="244"/>
      <c r="R457" s="244"/>
      <c r="S457" s="244"/>
      <c r="T457" s="244"/>
      <c r="U457" s="244"/>
      <c r="V457" s="244"/>
      <c r="W457" s="244"/>
      <c r="X457" s="244"/>
      <c r="Y457" s="244"/>
      <c r="Z457" s="244"/>
    </row>
    <row r="458" hidden="1">
      <c r="A458" s="249"/>
      <c r="B458" s="249"/>
      <c r="C458" s="250"/>
      <c r="D458" s="244"/>
      <c r="E458" s="244"/>
      <c r="F458" s="244"/>
      <c r="G458" s="244"/>
      <c r="H458" s="244"/>
      <c r="I458" s="244"/>
      <c r="J458" s="244"/>
      <c r="K458" s="244"/>
      <c r="L458" s="244"/>
      <c r="M458" s="244"/>
      <c r="N458" s="244"/>
      <c r="O458" s="244"/>
      <c r="P458" s="244"/>
      <c r="Q458" s="244"/>
      <c r="R458" s="244"/>
      <c r="S458" s="244"/>
      <c r="T458" s="244"/>
      <c r="U458" s="244"/>
      <c r="V458" s="244"/>
      <c r="W458" s="244"/>
      <c r="X458" s="244"/>
      <c r="Y458" s="244"/>
      <c r="Z458" s="244"/>
    </row>
    <row r="459" hidden="1">
      <c r="A459" s="249"/>
      <c r="B459" s="249"/>
      <c r="C459" s="250"/>
      <c r="D459" s="244"/>
      <c r="E459" s="244"/>
      <c r="F459" s="244"/>
      <c r="G459" s="244"/>
      <c r="H459" s="244"/>
      <c r="I459" s="244"/>
      <c r="J459" s="244"/>
      <c r="K459" s="244"/>
      <c r="L459" s="244"/>
      <c r="M459" s="244"/>
      <c r="N459" s="244"/>
      <c r="O459" s="244"/>
      <c r="P459" s="244"/>
      <c r="Q459" s="244"/>
      <c r="R459" s="244"/>
      <c r="S459" s="244"/>
      <c r="T459" s="244"/>
      <c r="U459" s="244"/>
      <c r="V459" s="244"/>
      <c r="W459" s="244"/>
      <c r="X459" s="244"/>
      <c r="Y459" s="244"/>
      <c r="Z459" s="244"/>
    </row>
    <row r="460" hidden="1">
      <c r="A460" s="249"/>
      <c r="B460" s="249"/>
      <c r="C460" s="250"/>
      <c r="D460" s="244"/>
      <c r="E460" s="244"/>
      <c r="F460" s="244"/>
      <c r="G460" s="244"/>
      <c r="H460" s="244"/>
      <c r="I460" s="244"/>
      <c r="J460" s="244"/>
      <c r="K460" s="244"/>
      <c r="L460" s="244"/>
      <c r="M460" s="244"/>
      <c r="N460" s="244"/>
      <c r="O460" s="244"/>
      <c r="P460" s="244"/>
      <c r="Q460" s="244"/>
      <c r="R460" s="244"/>
      <c r="S460" s="244"/>
      <c r="T460" s="244"/>
      <c r="U460" s="244"/>
      <c r="V460" s="244"/>
      <c r="W460" s="244"/>
      <c r="X460" s="244"/>
      <c r="Y460" s="244"/>
      <c r="Z460" s="244"/>
    </row>
    <row r="461" hidden="1">
      <c r="A461" s="249"/>
      <c r="B461" s="249"/>
      <c r="C461" s="250"/>
      <c r="D461" s="244"/>
      <c r="E461" s="244"/>
      <c r="F461" s="244"/>
      <c r="G461" s="244"/>
      <c r="H461" s="244"/>
      <c r="I461" s="244"/>
      <c r="J461" s="244"/>
      <c r="K461" s="244"/>
      <c r="L461" s="244"/>
      <c r="M461" s="244"/>
      <c r="N461" s="244"/>
      <c r="O461" s="244"/>
      <c r="P461" s="244"/>
      <c r="Q461" s="244"/>
      <c r="R461" s="244"/>
      <c r="S461" s="244"/>
      <c r="T461" s="244"/>
      <c r="U461" s="244"/>
      <c r="V461" s="244"/>
      <c r="W461" s="244"/>
      <c r="X461" s="244"/>
      <c r="Y461" s="244"/>
      <c r="Z461" s="244"/>
    </row>
    <row r="462" hidden="1">
      <c r="A462" s="249"/>
      <c r="B462" s="249"/>
      <c r="C462" s="250"/>
      <c r="D462" s="244"/>
      <c r="E462" s="244"/>
      <c r="F462" s="244"/>
      <c r="G462" s="244"/>
      <c r="H462" s="244"/>
      <c r="I462" s="244"/>
      <c r="J462" s="244"/>
      <c r="K462" s="244"/>
      <c r="L462" s="244"/>
      <c r="M462" s="244"/>
      <c r="N462" s="244"/>
      <c r="O462" s="244"/>
      <c r="P462" s="244"/>
      <c r="Q462" s="244"/>
      <c r="R462" s="244"/>
      <c r="S462" s="244"/>
      <c r="T462" s="244"/>
      <c r="U462" s="244"/>
      <c r="V462" s="244"/>
      <c r="W462" s="244"/>
      <c r="X462" s="244"/>
      <c r="Y462" s="244"/>
      <c r="Z462" s="244"/>
    </row>
    <row r="463" hidden="1">
      <c r="A463" s="249"/>
      <c r="B463" s="249"/>
      <c r="C463" s="250"/>
      <c r="D463" s="244"/>
      <c r="E463" s="244"/>
      <c r="F463" s="244"/>
      <c r="G463" s="244"/>
      <c r="H463" s="244"/>
      <c r="I463" s="244"/>
      <c r="J463" s="244"/>
      <c r="K463" s="244"/>
      <c r="L463" s="244"/>
      <c r="M463" s="244"/>
      <c r="N463" s="244"/>
      <c r="O463" s="244"/>
      <c r="P463" s="244"/>
      <c r="Q463" s="244"/>
      <c r="R463" s="244"/>
      <c r="S463" s="244"/>
      <c r="T463" s="244"/>
      <c r="U463" s="244"/>
      <c r="V463" s="244"/>
      <c r="W463" s="244"/>
      <c r="X463" s="244"/>
      <c r="Y463" s="244"/>
      <c r="Z463" s="244"/>
    </row>
    <row r="464" hidden="1">
      <c r="A464" s="249"/>
      <c r="B464" s="249"/>
      <c r="C464" s="250"/>
      <c r="D464" s="244"/>
      <c r="E464" s="244"/>
      <c r="F464" s="244"/>
      <c r="G464" s="244"/>
      <c r="H464" s="244"/>
      <c r="I464" s="244"/>
      <c r="J464" s="244"/>
      <c r="K464" s="244"/>
      <c r="L464" s="244"/>
      <c r="M464" s="244"/>
      <c r="N464" s="244"/>
      <c r="O464" s="244"/>
      <c r="P464" s="244"/>
      <c r="Q464" s="244"/>
      <c r="R464" s="244"/>
      <c r="S464" s="244"/>
      <c r="T464" s="244"/>
      <c r="U464" s="244"/>
      <c r="V464" s="244"/>
      <c r="W464" s="244"/>
      <c r="X464" s="244"/>
      <c r="Y464" s="244"/>
      <c r="Z464" s="244"/>
    </row>
    <row r="465" hidden="1">
      <c r="A465" s="249"/>
      <c r="B465" s="249"/>
      <c r="C465" s="250"/>
      <c r="D465" s="244"/>
      <c r="E465" s="244"/>
      <c r="F465" s="244"/>
      <c r="G465" s="244"/>
      <c r="H465" s="244"/>
      <c r="I465" s="244"/>
      <c r="J465" s="244"/>
      <c r="K465" s="244"/>
      <c r="L465" s="244"/>
      <c r="M465" s="244"/>
      <c r="N465" s="244"/>
      <c r="O465" s="244"/>
      <c r="P465" s="244"/>
      <c r="Q465" s="244"/>
      <c r="R465" s="244"/>
      <c r="S465" s="244"/>
      <c r="T465" s="244"/>
      <c r="U465" s="244"/>
      <c r="V465" s="244"/>
      <c r="W465" s="244"/>
      <c r="X465" s="244"/>
      <c r="Y465" s="244"/>
      <c r="Z465" s="244"/>
    </row>
    <row r="466" hidden="1">
      <c r="A466" s="249"/>
      <c r="B466" s="249"/>
      <c r="C466" s="250"/>
      <c r="D466" s="244"/>
      <c r="E466" s="244"/>
      <c r="F466" s="244"/>
      <c r="G466" s="244"/>
      <c r="H466" s="244"/>
      <c r="I466" s="244"/>
      <c r="J466" s="244"/>
      <c r="K466" s="244"/>
      <c r="L466" s="244"/>
      <c r="M466" s="244"/>
      <c r="N466" s="244"/>
      <c r="O466" s="244"/>
      <c r="P466" s="244"/>
      <c r="Q466" s="244"/>
      <c r="R466" s="244"/>
      <c r="S466" s="244"/>
      <c r="T466" s="244"/>
      <c r="U466" s="244"/>
      <c r="V466" s="244"/>
      <c r="W466" s="244"/>
      <c r="X466" s="244"/>
      <c r="Y466" s="244"/>
      <c r="Z466" s="244"/>
    </row>
    <row r="467" hidden="1">
      <c r="A467" s="249"/>
      <c r="B467" s="249"/>
      <c r="C467" s="250"/>
      <c r="D467" s="244"/>
      <c r="E467" s="244"/>
      <c r="F467" s="244"/>
      <c r="G467" s="244"/>
      <c r="H467" s="244"/>
      <c r="I467" s="244"/>
      <c r="J467" s="244"/>
      <c r="K467" s="244"/>
      <c r="L467" s="244"/>
      <c r="M467" s="244"/>
      <c r="N467" s="244"/>
      <c r="O467" s="244"/>
      <c r="P467" s="244"/>
      <c r="Q467" s="244"/>
      <c r="R467" s="244"/>
      <c r="S467" s="244"/>
      <c r="T467" s="244"/>
      <c r="U467" s="244"/>
      <c r="V467" s="244"/>
      <c r="W467" s="244"/>
      <c r="X467" s="244"/>
      <c r="Y467" s="244"/>
      <c r="Z467" s="244"/>
    </row>
    <row r="468" hidden="1">
      <c r="A468" s="249"/>
      <c r="B468" s="249"/>
      <c r="C468" s="250"/>
      <c r="D468" s="244"/>
      <c r="E468" s="244"/>
      <c r="F468" s="244"/>
      <c r="G468" s="244"/>
      <c r="H468" s="244"/>
      <c r="I468" s="244"/>
      <c r="J468" s="244"/>
      <c r="K468" s="244"/>
      <c r="L468" s="244"/>
      <c r="M468" s="244"/>
      <c r="N468" s="244"/>
      <c r="O468" s="244"/>
      <c r="P468" s="244"/>
      <c r="Q468" s="244"/>
      <c r="R468" s="244"/>
      <c r="S468" s="244"/>
      <c r="T468" s="244"/>
      <c r="U468" s="244"/>
      <c r="V468" s="244"/>
      <c r="W468" s="244"/>
      <c r="X468" s="244"/>
      <c r="Y468" s="244"/>
      <c r="Z468" s="244"/>
    </row>
    <row r="469" hidden="1">
      <c r="A469" s="249"/>
      <c r="B469" s="249"/>
      <c r="C469" s="250"/>
      <c r="D469" s="244"/>
      <c r="E469" s="244"/>
      <c r="F469" s="244"/>
      <c r="G469" s="244"/>
      <c r="H469" s="244"/>
      <c r="I469" s="244"/>
      <c r="J469" s="244"/>
      <c r="K469" s="244"/>
      <c r="L469" s="244"/>
      <c r="M469" s="244"/>
      <c r="N469" s="244"/>
      <c r="O469" s="244"/>
      <c r="P469" s="244"/>
      <c r="Q469" s="244"/>
      <c r="R469" s="244"/>
      <c r="S469" s="244"/>
      <c r="T469" s="244"/>
      <c r="U469" s="244"/>
      <c r="V469" s="244"/>
      <c r="W469" s="244"/>
      <c r="X469" s="244"/>
      <c r="Y469" s="244"/>
      <c r="Z469" s="244"/>
    </row>
    <row r="470" hidden="1">
      <c r="A470" s="249"/>
      <c r="B470" s="249"/>
      <c r="C470" s="250"/>
      <c r="D470" s="244"/>
      <c r="E470" s="244"/>
      <c r="F470" s="244"/>
      <c r="G470" s="244"/>
      <c r="H470" s="244"/>
      <c r="I470" s="244"/>
      <c r="J470" s="244"/>
      <c r="K470" s="244"/>
      <c r="L470" s="244"/>
      <c r="M470" s="244"/>
      <c r="N470" s="244"/>
      <c r="O470" s="244"/>
      <c r="P470" s="244"/>
      <c r="Q470" s="244"/>
      <c r="R470" s="244"/>
      <c r="S470" s="244"/>
      <c r="T470" s="244"/>
      <c r="U470" s="244"/>
      <c r="V470" s="244"/>
      <c r="W470" s="244"/>
      <c r="X470" s="244"/>
      <c r="Y470" s="244"/>
      <c r="Z470" s="244"/>
    </row>
    <row r="471" hidden="1">
      <c r="A471" s="249"/>
      <c r="B471" s="249"/>
      <c r="C471" s="250"/>
      <c r="D471" s="244"/>
      <c r="E471" s="244"/>
      <c r="F471" s="244"/>
      <c r="G471" s="244"/>
      <c r="H471" s="244"/>
      <c r="I471" s="244"/>
      <c r="J471" s="244"/>
      <c r="K471" s="244"/>
      <c r="L471" s="244"/>
      <c r="M471" s="244"/>
      <c r="N471" s="244"/>
      <c r="O471" s="244"/>
      <c r="P471" s="244"/>
      <c r="Q471" s="244"/>
      <c r="R471" s="244"/>
      <c r="S471" s="244"/>
      <c r="T471" s="244"/>
      <c r="U471" s="244"/>
      <c r="V471" s="244"/>
      <c r="W471" s="244"/>
      <c r="X471" s="244"/>
      <c r="Y471" s="244"/>
      <c r="Z471" s="244"/>
    </row>
    <row r="472" hidden="1">
      <c r="A472" s="249"/>
      <c r="B472" s="249"/>
      <c r="C472" s="250"/>
      <c r="D472" s="244"/>
      <c r="E472" s="244"/>
      <c r="F472" s="244"/>
      <c r="G472" s="244"/>
      <c r="H472" s="244"/>
      <c r="I472" s="244"/>
      <c r="J472" s="244"/>
      <c r="K472" s="244"/>
      <c r="L472" s="244"/>
      <c r="M472" s="244"/>
      <c r="N472" s="244"/>
      <c r="O472" s="244"/>
      <c r="P472" s="244"/>
      <c r="Q472" s="244"/>
      <c r="R472" s="244"/>
      <c r="S472" s="244"/>
      <c r="T472" s="244"/>
      <c r="U472" s="244"/>
      <c r="V472" s="244"/>
      <c r="W472" s="244"/>
      <c r="X472" s="244"/>
      <c r="Y472" s="244"/>
      <c r="Z472" s="244"/>
    </row>
    <row r="473" hidden="1">
      <c r="A473" s="249"/>
      <c r="B473" s="249"/>
      <c r="C473" s="250"/>
      <c r="D473" s="244"/>
      <c r="E473" s="244"/>
      <c r="F473" s="244"/>
      <c r="G473" s="244"/>
      <c r="H473" s="244"/>
      <c r="I473" s="244"/>
      <c r="J473" s="244"/>
      <c r="K473" s="244"/>
      <c r="L473" s="244"/>
      <c r="M473" s="244"/>
      <c r="N473" s="244"/>
      <c r="O473" s="244"/>
      <c r="P473" s="244"/>
      <c r="Q473" s="244"/>
      <c r="R473" s="244"/>
      <c r="S473" s="244"/>
      <c r="T473" s="244"/>
      <c r="U473" s="244"/>
      <c r="V473" s="244"/>
      <c r="W473" s="244"/>
      <c r="X473" s="244"/>
      <c r="Y473" s="244"/>
      <c r="Z473" s="244"/>
    </row>
    <row r="474" hidden="1">
      <c r="A474" s="249"/>
      <c r="B474" s="249"/>
      <c r="C474" s="250"/>
      <c r="D474" s="244"/>
      <c r="E474" s="244"/>
      <c r="F474" s="244"/>
      <c r="G474" s="244"/>
      <c r="H474" s="244"/>
      <c r="I474" s="244"/>
      <c r="J474" s="244"/>
      <c r="K474" s="244"/>
      <c r="L474" s="244"/>
      <c r="M474" s="244"/>
      <c r="N474" s="244"/>
      <c r="O474" s="244"/>
      <c r="P474" s="244"/>
      <c r="Q474" s="244"/>
      <c r="R474" s="244"/>
      <c r="S474" s="244"/>
      <c r="T474" s="244"/>
      <c r="U474" s="244"/>
      <c r="V474" s="244"/>
      <c r="W474" s="244"/>
      <c r="X474" s="244"/>
      <c r="Y474" s="244"/>
      <c r="Z474" s="244"/>
    </row>
    <row r="475" hidden="1">
      <c r="A475" s="249"/>
      <c r="B475" s="249"/>
      <c r="C475" s="250"/>
      <c r="D475" s="244"/>
      <c r="E475" s="244"/>
      <c r="F475" s="244"/>
      <c r="G475" s="244"/>
      <c r="H475" s="244"/>
      <c r="I475" s="244"/>
      <c r="J475" s="244"/>
      <c r="K475" s="244"/>
      <c r="L475" s="244"/>
      <c r="M475" s="244"/>
      <c r="N475" s="244"/>
      <c r="O475" s="244"/>
      <c r="P475" s="244"/>
      <c r="Q475" s="244"/>
      <c r="R475" s="244"/>
      <c r="S475" s="244"/>
      <c r="T475" s="244"/>
      <c r="U475" s="244"/>
      <c r="V475" s="244"/>
      <c r="W475" s="244"/>
      <c r="X475" s="244"/>
      <c r="Y475" s="244"/>
      <c r="Z475" s="244"/>
    </row>
    <row r="476" hidden="1">
      <c r="A476" s="249"/>
      <c r="B476" s="249"/>
      <c r="C476" s="250"/>
      <c r="D476" s="244"/>
      <c r="E476" s="244"/>
      <c r="F476" s="244"/>
      <c r="G476" s="244"/>
      <c r="H476" s="244"/>
      <c r="I476" s="244"/>
      <c r="J476" s="244"/>
      <c r="K476" s="244"/>
      <c r="L476" s="244"/>
      <c r="M476" s="244"/>
      <c r="N476" s="244"/>
      <c r="O476" s="244"/>
      <c r="P476" s="244"/>
      <c r="Q476" s="244"/>
      <c r="R476" s="244"/>
      <c r="S476" s="244"/>
      <c r="T476" s="244"/>
      <c r="U476" s="244"/>
      <c r="V476" s="244"/>
      <c r="W476" s="244"/>
      <c r="X476" s="244"/>
      <c r="Y476" s="244"/>
      <c r="Z476" s="244"/>
    </row>
    <row r="477" hidden="1">
      <c r="A477" s="249"/>
      <c r="B477" s="249"/>
      <c r="C477" s="250"/>
      <c r="D477" s="244"/>
      <c r="E477" s="244"/>
      <c r="F477" s="244"/>
      <c r="G477" s="244"/>
      <c r="H477" s="244"/>
      <c r="I477" s="244"/>
      <c r="J477" s="244"/>
      <c r="K477" s="244"/>
      <c r="L477" s="244"/>
      <c r="M477" s="244"/>
      <c r="N477" s="244"/>
      <c r="O477" s="244"/>
      <c r="P477" s="244"/>
      <c r="Q477" s="244"/>
      <c r="R477" s="244"/>
      <c r="S477" s="244"/>
      <c r="T477" s="244"/>
      <c r="U477" s="244"/>
      <c r="V477" s="244"/>
      <c r="W477" s="244"/>
      <c r="X477" s="244"/>
      <c r="Y477" s="244"/>
      <c r="Z477" s="244"/>
    </row>
    <row r="478" hidden="1">
      <c r="A478" s="249"/>
      <c r="B478" s="249"/>
      <c r="C478" s="250"/>
      <c r="D478" s="244"/>
      <c r="E478" s="244"/>
      <c r="F478" s="244"/>
      <c r="G478" s="244"/>
      <c r="H478" s="244"/>
      <c r="I478" s="244"/>
      <c r="J478" s="244"/>
      <c r="K478" s="244"/>
      <c r="L478" s="244"/>
      <c r="M478" s="244"/>
      <c r="N478" s="244"/>
      <c r="O478" s="244"/>
      <c r="P478" s="244"/>
      <c r="Q478" s="244"/>
      <c r="R478" s="244"/>
      <c r="S478" s="244"/>
      <c r="T478" s="244"/>
      <c r="U478" s="244"/>
      <c r="V478" s="244"/>
      <c r="W478" s="244"/>
      <c r="X478" s="244"/>
      <c r="Y478" s="244"/>
      <c r="Z478" s="244"/>
    </row>
    <row r="479" hidden="1">
      <c r="A479" s="249"/>
      <c r="B479" s="249"/>
      <c r="C479" s="250"/>
      <c r="D479" s="244"/>
      <c r="E479" s="244"/>
      <c r="F479" s="244"/>
      <c r="G479" s="244"/>
      <c r="H479" s="244"/>
      <c r="I479" s="244"/>
      <c r="J479" s="244"/>
      <c r="K479" s="244"/>
      <c r="L479" s="244"/>
      <c r="M479" s="244"/>
      <c r="N479" s="244"/>
      <c r="O479" s="244"/>
      <c r="P479" s="244"/>
      <c r="Q479" s="244"/>
      <c r="R479" s="244"/>
      <c r="S479" s="244"/>
      <c r="T479" s="244"/>
      <c r="U479" s="244"/>
      <c r="V479" s="244"/>
      <c r="W479" s="244"/>
      <c r="X479" s="244"/>
      <c r="Y479" s="244"/>
      <c r="Z479" s="244"/>
    </row>
    <row r="480" hidden="1">
      <c r="A480" s="249"/>
      <c r="B480" s="249"/>
      <c r="C480" s="250"/>
      <c r="D480" s="244"/>
      <c r="E480" s="244"/>
      <c r="F480" s="244"/>
      <c r="G480" s="244"/>
      <c r="H480" s="244"/>
      <c r="I480" s="244"/>
      <c r="J480" s="244"/>
      <c r="K480" s="244"/>
      <c r="L480" s="244"/>
      <c r="M480" s="244"/>
      <c r="N480" s="244"/>
      <c r="O480" s="244"/>
      <c r="P480" s="244"/>
      <c r="Q480" s="244"/>
      <c r="R480" s="244"/>
      <c r="S480" s="244"/>
      <c r="T480" s="244"/>
      <c r="U480" s="244"/>
      <c r="V480" s="244"/>
      <c r="W480" s="244"/>
      <c r="X480" s="244"/>
      <c r="Y480" s="244"/>
      <c r="Z480" s="244"/>
    </row>
    <row r="481" hidden="1">
      <c r="A481" s="249"/>
      <c r="B481" s="249"/>
      <c r="C481" s="250"/>
      <c r="D481" s="244"/>
      <c r="E481" s="244"/>
      <c r="F481" s="244"/>
      <c r="G481" s="244"/>
      <c r="H481" s="244"/>
      <c r="I481" s="244"/>
      <c r="J481" s="244"/>
      <c r="K481" s="244"/>
      <c r="L481" s="244"/>
      <c r="M481" s="244"/>
      <c r="N481" s="244"/>
      <c r="O481" s="244"/>
      <c r="P481" s="244"/>
      <c r="Q481" s="244"/>
      <c r="R481" s="244"/>
      <c r="S481" s="244"/>
      <c r="T481" s="244"/>
      <c r="U481" s="244"/>
      <c r="V481" s="244"/>
      <c r="W481" s="244"/>
      <c r="X481" s="244"/>
      <c r="Y481" s="244"/>
      <c r="Z481" s="244"/>
    </row>
    <row r="482" hidden="1">
      <c r="A482" s="249"/>
      <c r="B482" s="249"/>
      <c r="C482" s="250"/>
      <c r="D482" s="244"/>
      <c r="E482" s="244"/>
      <c r="F482" s="244"/>
      <c r="G482" s="244"/>
      <c r="H482" s="244"/>
      <c r="I482" s="244"/>
      <c r="J482" s="244"/>
      <c r="K482" s="244"/>
      <c r="L482" s="244"/>
      <c r="M482" s="244"/>
      <c r="N482" s="244"/>
      <c r="O482" s="244"/>
      <c r="P482" s="244"/>
      <c r="Q482" s="244"/>
      <c r="R482" s="244"/>
      <c r="S482" s="244"/>
      <c r="T482" s="244"/>
      <c r="U482" s="244"/>
      <c r="V482" s="244"/>
      <c r="W482" s="244"/>
      <c r="X482" s="244"/>
      <c r="Y482" s="244"/>
      <c r="Z482" s="244"/>
    </row>
    <row r="483" hidden="1">
      <c r="A483" s="249"/>
      <c r="B483" s="249"/>
      <c r="C483" s="250"/>
      <c r="D483" s="244"/>
      <c r="E483" s="244"/>
      <c r="F483" s="244"/>
      <c r="G483" s="244"/>
      <c r="H483" s="244"/>
      <c r="I483" s="244"/>
      <c r="J483" s="244"/>
      <c r="K483" s="244"/>
      <c r="L483" s="244"/>
      <c r="M483" s="244"/>
      <c r="N483" s="244"/>
      <c r="O483" s="244"/>
      <c r="P483" s="244"/>
      <c r="Q483" s="244"/>
      <c r="R483" s="244"/>
      <c r="S483" s="244"/>
      <c r="T483" s="244"/>
      <c r="U483" s="244"/>
      <c r="V483" s="244"/>
      <c r="W483" s="244"/>
      <c r="X483" s="244"/>
      <c r="Y483" s="244"/>
      <c r="Z483" s="244"/>
    </row>
    <row r="484" hidden="1">
      <c r="A484" s="249"/>
      <c r="B484" s="249"/>
      <c r="C484" s="250"/>
      <c r="D484" s="244"/>
      <c r="E484" s="244"/>
      <c r="F484" s="244"/>
      <c r="G484" s="244"/>
      <c r="H484" s="244"/>
      <c r="I484" s="244"/>
      <c r="J484" s="244"/>
      <c r="K484" s="244"/>
      <c r="L484" s="244"/>
      <c r="M484" s="244"/>
      <c r="N484" s="244"/>
      <c r="O484" s="244"/>
      <c r="P484" s="244"/>
      <c r="Q484" s="244"/>
      <c r="R484" s="244"/>
      <c r="S484" s="244"/>
      <c r="T484" s="244"/>
      <c r="U484" s="244"/>
      <c r="V484" s="244"/>
      <c r="W484" s="244"/>
      <c r="X484" s="244"/>
      <c r="Y484" s="244"/>
      <c r="Z484" s="244"/>
    </row>
    <row r="485" hidden="1">
      <c r="A485" s="249"/>
      <c r="B485" s="249"/>
      <c r="C485" s="250"/>
      <c r="D485" s="244"/>
      <c r="E485" s="244"/>
      <c r="F485" s="244"/>
      <c r="G485" s="244"/>
      <c r="H485" s="244"/>
      <c r="I485" s="244"/>
      <c r="J485" s="244"/>
      <c r="K485" s="244"/>
      <c r="L485" s="244"/>
      <c r="M485" s="244"/>
      <c r="N485" s="244"/>
      <c r="O485" s="244"/>
      <c r="P485" s="244"/>
      <c r="Q485" s="244"/>
      <c r="R485" s="244"/>
      <c r="S485" s="244"/>
      <c r="T485" s="244"/>
      <c r="U485" s="244"/>
      <c r="V485" s="244"/>
      <c r="W485" s="244"/>
      <c r="X485" s="244"/>
      <c r="Y485" s="244"/>
      <c r="Z485" s="244"/>
    </row>
    <row r="486" hidden="1">
      <c r="A486" s="249"/>
      <c r="B486" s="249"/>
      <c r="C486" s="250"/>
      <c r="D486" s="244"/>
      <c r="E486" s="244"/>
      <c r="F486" s="244"/>
      <c r="G486" s="244"/>
      <c r="H486" s="244"/>
      <c r="I486" s="244"/>
      <c r="J486" s="244"/>
      <c r="K486" s="244"/>
      <c r="L486" s="244"/>
      <c r="M486" s="244"/>
      <c r="N486" s="244"/>
      <c r="O486" s="244"/>
      <c r="P486" s="244"/>
      <c r="Q486" s="244"/>
      <c r="R486" s="244"/>
      <c r="S486" s="244"/>
      <c r="T486" s="244"/>
      <c r="U486" s="244"/>
      <c r="V486" s="244"/>
      <c r="W486" s="244"/>
      <c r="X486" s="244"/>
      <c r="Y486" s="244"/>
      <c r="Z486" s="244"/>
    </row>
    <row r="487" hidden="1">
      <c r="A487" s="249"/>
      <c r="B487" s="249"/>
      <c r="C487" s="250"/>
      <c r="D487" s="244"/>
      <c r="E487" s="244"/>
      <c r="F487" s="244"/>
      <c r="G487" s="244"/>
      <c r="H487" s="244"/>
      <c r="I487" s="244"/>
      <c r="J487" s="244"/>
      <c r="K487" s="244"/>
      <c r="L487" s="244"/>
      <c r="M487" s="244"/>
      <c r="N487" s="244"/>
      <c r="O487" s="244"/>
      <c r="P487" s="244"/>
      <c r="Q487" s="244"/>
      <c r="R487" s="244"/>
      <c r="S487" s="244"/>
      <c r="T487" s="244"/>
      <c r="U487" s="244"/>
      <c r="V487" s="244"/>
      <c r="W487" s="244"/>
      <c r="X487" s="244"/>
      <c r="Y487" s="244"/>
      <c r="Z487" s="244"/>
    </row>
    <row r="488" hidden="1">
      <c r="A488" s="249"/>
      <c r="B488" s="249"/>
      <c r="C488" s="250"/>
      <c r="D488" s="244"/>
      <c r="E488" s="244"/>
      <c r="F488" s="244"/>
      <c r="G488" s="244"/>
      <c r="H488" s="244"/>
      <c r="I488" s="244"/>
      <c r="J488" s="244"/>
      <c r="K488" s="244"/>
      <c r="L488" s="244"/>
      <c r="M488" s="244"/>
      <c r="N488" s="244"/>
      <c r="O488" s="244"/>
      <c r="P488" s="244"/>
      <c r="Q488" s="244"/>
      <c r="R488" s="244"/>
      <c r="S488" s="244"/>
      <c r="T488" s="244"/>
      <c r="U488" s="244"/>
      <c r="V488" s="244"/>
      <c r="W488" s="244"/>
      <c r="X488" s="244"/>
      <c r="Y488" s="244"/>
      <c r="Z488" s="244"/>
    </row>
    <row r="489" hidden="1">
      <c r="A489" s="249"/>
      <c r="B489" s="249"/>
      <c r="C489" s="250"/>
      <c r="D489" s="244"/>
      <c r="E489" s="244"/>
      <c r="F489" s="244"/>
      <c r="G489" s="244"/>
      <c r="H489" s="244"/>
      <c r="I489" s="244"/>
      <c r="J489" s="244"/>
      <c r="K489" s="244"/>
      <c r="L489" s="244"/>
      <c r="M489" s="244"/>
      <c r="N489" s="244"/>
      <c r="O489" s="244"/>
      <c r="P489" s="244"/>
      <c r="Q489" s="244"/>
      <c r="R489" s="244"/>
      <c r="S489" s="244"/>
      <c r="T489" s="244"/>
      <c r="U489" s="244"/>
      <c r="V489" s="244"/>
      <c r="W489" s="244"/>
      <c r="X489" s="244"/>
      <c r="Y489" s="244"/>
      <c r="Z489" s="244"/>
    </row>
    <row r="490" hidden="1">
      <c r="A490" s="249"/>
      <c r="B490" s="249"/>
      <c r="C490" s="250"/>
      <c r="D490" s="244"/>
      <c r="E490" s="244"/>
      <c r="F490" s="244"/>
      <c r="G490" s="244"/>
      <c r="H490" s="244"/>
      <c r="I490" s="244"/>
      <c r="J490" s="244"/>
      <c r="K490" s="244"/>
      <c r="L490" s="244"/>
      <c r="M490" s="244"/>
      <c r="N490" s="244"/>
      <c r="O490" s="244"/>
      <c r="P490" s="244"/>
      <c r="Q490" s="244"/>
      <c r="R490" s="244"/>
      <c r="S490" s="244"/>
      <c r="T490" s="244"/>
      <c r="U490" s="244"/>
      <c r="V490" s="244"/>
      <c r="W490" s="244"/>
      <c r="X490" s="244"/>
      <c r="Y490" s="244"/>
      <c r="Z490" s="244"/>
    </row>
    <row r="491" hidden="1">
      <c r="A491" s="249"/>
      <c r="B491" s="249"/>
      <c r="C491" s="250"/>
      <c r="D491" s="244"/>
      <c r="E491" s="244"/>
      <c r="F491" s="244"/>
      <c r="G491" s="244"/>
      <c r="H491" s="244"/>
      <c r="I491" s="244"/>
      <c r="J491" s="244"/>
      <c r="K491" s="244"/>
      <c r="L491" s="244"/>
      <c r="M491" s="244"/>
      <c r="N491" s="244"/>
      <c r="O491" s="244"/>
      <c r="P491" s="244"/>
      <c r="Q491" s="244"/>
      <c r="R491" s="244"/>
      <c r="S491" s="244"/>
      <c r="T491" s="244"/>
      <c r="U491" s="244"/>
      <c r="V491" s="244"/>
      <c r="W491" s="244"/>
      <c r="X491" s="244"/>
      <c r="Y491" s="244"/>
      <c r="Z491" s="244"/>
    </row>
    <row r="492" hidden="1">
      <c r="A492" s="249"/>
      <c r="B492" s="249"/>
      <c r="C492" s="250"/>
      <c r="D492" s="244"/>
      <c r="E492" s="244"/>
      <c r="F492" s="244"/>
      <c r="G492" s="244"/>
      <c r="H492" s="244"/>
      <c r="I492" s="244"/>
      <c r="J492" s="244"/>
      <c r="K492" s="244"/>
      <c r="L492" s="244"/>
      <c r="M492" s="244"/>
      <c r="N492" s="244"/>
      <c r="O492" s="244"/>
      <c r="P492" s="244"/>
      <c r="Q492" s="244"/>
      <c r="R492" s="244"/>
      <c r="S492" s="244"/>
      <c r="T492" s="244"/>
      <c r="U492" s="244"/>
      <c r="V492" s="244"/>
      <c r="W492" s="244"/>
      <c r="X492" s="244"/>
      <c r="Y492" s="244"/>
      <c r="Z492" s="244"/>
    </row>
    <row r="493" hidden="1">
      <c r="A493" s="249"/>
      <c r="B493" s="249"/>
      <c r="C493" s="250"/>
      <c r="D493" s="244"/>
      <c r="E493" s="244"/>
      <c r="F493" s="244"/>
      <c r="G493" s="244"/>
      <c r="H493" s="244"/>
      <c r="I493" s="244"/>
      <c r="J493" s="244"/>
      <c r="K493" s="244"/>
      <c r="L493" s="244"/>
      <c r="M493" s="244"/>
      <c r="N493" s="244"/>
      <c r="O493" s="244"/>
      <c r="P493" s="244"/>
      <c r="Q493" s="244"/>
      <c r="R493" s="244"/>
      <c r="S493" s="244"/>
      <c r="T493" s="244"/>
      <c r="U493" s="244"/>
      <c r="V493" s="244"/>
      <c r="W493" s="244"/>
      <c r="X493" s="244"/>
      <c r="Y493" s="244"/>
      <c r="Z493" s="244"/>
    </row>
    <row r="494" hidden="1">
      <c r="A494" s="249"/>
      <c r="B494" s="249"/>
      <c r="C494" s="250"/>
      <c r="D494" s="244"/>
      <c r="E494" s="244"/>
      <c r="F494" s="244"/>
      <c r="G494" s="244"/>
      <c r="H494" s="244"/>
      <c r="I494" s="244"/>
      <c r="J494" s="244"/>
      <c r="K494" s="244"/>
      <c r="L494" s="244"/>
      <c r="M494" s="244"/>
      <c r="N494" s="244"/>
      <c r="O494" s="244"/>
      <c r="P494" s="244"/>
      <c r="Q494" s="244"/>
      <c r="R494" s="244"/>
      <c r="S494" s="244"/>
      <c r="T494" s="244"/>
      <c r="U494" s="244"/>
      <c r="V494" s="244"/>
      <c r="W494" s="244"/>
      <c r="X494" s="244"/>
      <c r="Y494" s="244"/>
      <c r="Z494" s="244"/>
    </row>
    <row r="495" hidden="1">
      <c r="A495" s="249"/>
      <c r="B495" s="249"/>
      <c r="C495" s="250"/>
      <c r="D495" s="244"/>
      <c r="E495" s="244"/>
      <c r="F495" s="244"/>
      <c r="G495" s="244"/>
      <c r="H495" s="244"/>
      <c r="I495" s="244"/>
      <c r="J495" s="244"/>
      <c r="K495" s="244"/>
      <c r="L495" s="244"/>
      <c r="M495" s="244"/>
      <c r="N495" s="244"/>
      <c r="O495" s="244"/>
      <c r="P495" s="244"/>
      <c r="Q495" s="244"/>
      <c r="R495" s="244"/>
      <c r="S495" s="244"/>
      <c r="T495" s="244"/>
      <c r="U495" s="244"/>
      <c r="V495" s="244"/>
      <c r="W495" s="244"/>
      <c r="X495" s="244"/>
      <c r="Y495" s="244"/>
      <c r="Z495" s="244"/>
    </row>
    <row r="496" hidden="1">
      <c r="A496" s="249"/>
      <c r="B496" s="249"/>
      <c r="C496" s="250"/>
      <c r="D496" s="244"/>
      <c r="E496" s="244"/>
      <c r="F496" s="244"/>
      <c r="G496" s="244"/>
      <c r="H496" s="244"/>
      <c r="I496" s="244"/>
      <c r="J496" s="244"/>
      <c r="K496" s="244"/>
      <c r="L496" s="244"/>
      <c r="M496" s="244"/>
      <c r="N496" s="244"/>
      <c r="O496" s="244"/>
      <c r="P496" s="244"/>
      <c r="Q496" s="244"/>
      <c r="R496" s="244"/>
      <c r="S496" s="244"/>
      <c r="T496" s="244"/>
      <c r="U496" s="244"/>
      <c r="V496" s="244"/>
      <c r="W496" s="244"/>
      <c r="X496" s="244"/>
      <c r="Y496" s="244"/>
      <c r="Z496" s="244"/>
    </row>
    <row r="497" hidden="1">
      <c r="A497" s="249"/>
      <c r="B497" s="249"/>
      <c r="C497" s="250"/>
      <c r="D497" s="244"/>
      <c r="E497" s="244"/>
      <c r="F497" s="244"/>
      <c r="G497" s="244"/>
      <c r="H497" s="244"/>
      <c r="I497" s="244"/>
      <c r="J497" s="244"/>
      <c r="K497" s="244"/>
      <c r="L497" s="244"/>
      <c r="M497" s="244"/>
      <c r="N497" s="244"/>
      <c r="O497" s="244"/>
      <c r="P497" s="244"/>
      <c r="Q497" s="244"/>
      <c r="R497" s="244"/>
      <c r="S497" s="244"/>
      <c r="T497" s="244"/>
      <c r="U497" s="244"/>
      <c r="V497" s="244"/>
      <c r="W497" s="244"/>
      <c r="X497" s="244"/>
      <c r="Y497" s="244"/>
      <c r="Z497" s="244"/>
    </row>
    <row r="498" hidden="1">
      <c r="A498" s="249"/>
      <c r="B498" s="249"/>
      <c r="C498" s="250"/>
      <c r="D498" s="244"/>
      <c r="E498" s="244"/>
      <c r="F498" s="244"/>
      <c r="G498" s="244"/>
      <c r="H498" s="244"/>
      <c r="I498" s="244"/>
      <c r="J498" s="244"/>
      <c r="K498" s="244"/>
      <c r="L498" s="244"/>
      <c r="M498" s="244"/>
      <c r="N498" s="244"/>
      <c r="O498" s="244"/>
      <c r="P498" s="244"/>
      <c r="Q498" s="244"/>
      <c r="R498" s="244"/>
      <c r="S498" s="244"/>
      <c r="T498" s="244"/>
      <c r="U498" s="244"/>
      <c r="V498" s="244"/>
      <c r="W498" s="244"/>
      <c r="X498" s="244"/>
      <c r="Y498" s="244"/>
      <c r="Z498" s="244"/>
    </row>
    <row r="499" hidden="1">
      <c r="A499" s="249"/>
      <c r="B499" s="249"/>
      <c r="C499" s="250"/>
      <c r="D499" s="244"/>
      <c r="E499" s="244"/>
      <c r="F499" s="244"/>
      <c r="G499" s="244"/>
      <c r="H499" s="244"/>
      <c r="I499" s="244"/>
      <c r="J499" s="244"/>
      <c r="K499" s="244"/>
      <c r="L499" s="244"/>
      <c r="M499" s="244"/>
      <c r="N499" s="244"/>
      <c r="O499" s="244"/>
      <c r="P499" s="244"/>
      <c r="Q499" s="244"/>
      <c r="R499" s="244"/>
      <c r="S499" s="244"/>
      <c r="T499" s="244"/>
      <c r="U499" s="244"/>
      <c r="V499" s="244"/>
      <c r="W499" s="244"/>
      <c r="X499" s="244"/>
      <c r="Y499" s="244"/>
      <c r="Z499" s="244"/>
    </row>
    <row r="500" hidden="1">
      <c r="A500" s="249"/>
      <c r="B500" s="249"/>
      <c r="C500" s="250"/>
      <c r="D500" s="244"/>
      <c r="E500" s="244"/>
      <c r="F500" s="244"/>
      <c r="G500" s="244"/>
      <c r="H500" s="244"/>
      <c r="I500" s="244"/>
      <c r="J500" s="244"/>
      <c r="K500" s="244"/>
      <c r="L500" s="244"/>
      <c r="M500" s="244"/>
      <c r="N500" s="244"/>
      <c r="O500" s="244"/>
      <c r="P500" s="244"/>
      <c r="Q500" s="244"/>
      <c r="R500" s="244"/>
      <c r="S500" s="244"/>
      <c r="T500" s="244"/>
      <c r="U500" s="244"/>
      <c r="V500" s="244"/>
      <c r="W500" s="244"/>
      <c r="X500" s="244"/>
      <c r="Y500" s="244"/>
      <c r="Z500" s="244"/>
    </row>
    <row r="501" hidden="1">
      <c r="A501" s="249"/>
      <c r="B501" s="249"/>
      <c r="C501" s="250"/>
      <c r="D501" s="244"/>
      <c r="E501" s="244"/>
      <c r="F501" s="244"/>
      <c r="G501" s="244"/>
      <c r="H501" s="244"/>
      <c r="I501" s="244"/>
      <c r="J501" s="244"/>
      <c r="K501" s="244"/>
      <c r="L501" s="244"/>
      <c r="M501" s="244"/>
      <c r="N501" s="244"/>
      <c r="O501" s="244"/>
      <c r="P501" s="244"/>
      <c r="Q501" s="244"/>
      <c r="R501" s="244"/>
      <c r="S501" s="244"/>
      <c r="T501" s="244"/>
      <c r="U501" s="244"/>
      <c r="V501" s="244"/>
      <c r="W501" s="244"/>
      <c r="X501" s="244"/>
      <c r="Y501" s="244"/>
      <c r="Z501" s="244"/>
    </row>
    <row r="502" hidden="1">
      <c r="A502" s="249"/>
      <c r="B502" s="249"/>
      <c r="C502" s="250"/>
      <c r="D502" s="244"/>
      <c r="E502" s="244"/>
      <c r="F502" s="244"/>
      <c r="G502" s="244"/>
      <c r="H502" s="244"/>
      <c r="I502" s="244"/>
      <c r="J502" s="244"/>
      <c r="K502" s="244"/>
      <c r="L502" s="244"/>
      <c r="M502" s="244"/>
      <c r="N502" s="244"/>
      <c r="O502" s="244"/>
      <c r="P502" s="244"/>
      <c r="Q502" s="244"/>
      <c r="R502" s="244"/>
      <c r="S502" s="244"/>
      <c r="T502" s="244"/>
      <c r="U502" s="244"/>
      <c r="V502" s="244"/>
      <c r="W502" s="244"/>
      <c r="X502" s="244"/>
      <c r="Y502" s="244"/>
      <c r="Z502" s="244"/>
    </row>
    <row r="503" hidden="1">
      <c r="A503" s="249"/>
      <c r="B503" s="249"/>
      <c r="C503" s="250"/>
      <c r="D503" s="244"/>
      <c r="E503" s="244"/>
      <c r="F503" s="244"/>
      <c r="G503" s="244"/>
      <c r="H503" s="244"/>
      <c r="I503" s="244"/>
      <c r="J503" s="244"/>
      <c r="K503" s="244"/>
      <c r="L503" s="244"/>
      <c r="M503" s="244"/>
      <c r="N503" s="244"/>
      <c r="O503" s="244"/>
      <c r="P503" s="244"/>
      <c r="Q503" s="244"/>
      <c r="R503" s="244"/>
      <c r="S503" s="244"/>
      <c r="T503" s="244"/>
      <c r="U503" s="244"/>
      <c r="V503" s="244"/>
      <c r="W503" s="244"/>
      <c r="X503" s="244"/>
      <c r="Y503" s="244"/>
      <c r="Z503" s="244"/>
    </row>
    <row r="504" hidden="1">
      <c r="A504" s="249"/>
      <c r="B504" s="249"/>
      <c r="C504" s="250"/>
      <c r="D504" s="244"/>
      <c r="E504" s="244"/>
      <c r="F504" s="244"/>
      <c r="G504" s="244"/>
      <c r="H504" s="244"/>
      <c r="I504" s="244"/>
      <c r="J504" s="244"/>
      <c r="K504" s="244"/>
      <c r="L504" s="244"/>
      <c r="M504" s="244"/>
      <c r="N504" s="244"/>
      <c r="O504" s="244"/>
      <c r="P504" s="244"/>
      <c r="Q504" s="244"/>
      <c r="R504" s="244"/>
      <c r="S504" s="244"/>
      <c r="T504" s="244"/>
      <c r="U504" s="244"/>
      <c r="V504" s="244"/>
      <c r="W504" s="244"/>
      <c r="X504" s="244"/>
      <c r="Y504" s="244"/>
      <c r="Z504" s="244"/>
    </row>
    <row r="505" hidden="1">
      <c r="A505" s="249"/>
      <c r="B505" s="249"/>
      <c r="C505" s="250"/>
      <c r="D505" s="244"/>
      <c r="E505" s="244"/>
      <c r="F505" s="244"/>
      <c r="G505" s="244"/>
      <c r="H505" s="244"/>
      <c r="I505" s="244"/>
      <c r="J505" s="244"/>
      <c r="K505" s="244"/>
      <c r="L505" s="244"/>
      <c r="M505" s="244"/>
      <c r="N505" s="244"/>
      <c r="O505" s="244"/>
      <c r="P505" s="244"/>
      <c r="Q505" s="244"/>
      <c r="R505" s="244"/>
      <c r="S505" s="244"/>
      <c r="T505" s="244"/>
      <c r="U505" s="244"/>
      <c r="V505" s="244"/>
      <c r="W505" s="244"/>
      <c r="X505" s="244"/>
      <c r="Y505" s="244"/>
      <c r="Z505" s="244"/>
    </row>
    <row r="506" hidden="1">
      <c r="A506" s="249"/>
      <c r="B506" s="249"/>
      <c r="C506" s="250"/>
      <c r="D506" s="244"/>
      <c r="E506" s="244"/>
      <c r="F506" s="244"/>
      <c r="G506" s="244"/>
      <c r="H506" s="244"/>
      <c r="I506" s="244"/>
      <c r="J506" s="244"/>
      <c r="K506" s="244"/>
      <c r="L506" s="244"/>
      <c r="M506" s="244"/>
      <c r="N506" s="244"/>
      <c r="O506" s="244"/>
      <c r="P506" s="244"/>
      <c r="Q506" s="244"/>
      <c r="R506" s="244"/>
      <c r="S506" s="244"/>
      <c r="T506" s="244"/>
      <c r="U506" s="244"/>
      <c r="V506" s="244"/>
      <c r="W506" s="244"/>
      <c r="X506" s="244"/>
      <c r="Y506" s="244"/>
      <c r="Z506" s="244"/>
    </row>
    <row r="507" hidden="1">
      <c r="A507" s="249"/>
      <c r="B507" s="249"/>
      <c r="C507" s="250"/>
      <c r="D507" s="244"/>
      <c r="E507" s="244"/>
      <c r="F507" s="244"/>
      <c r="G507" s="244"/>
      <c r="H507" s="244"/>
      <c r="I507" s="244"/>
      <c r="J507" s="244"/>
      <c r="K507" s="244"/>
      <c r="L507" s="244"/>
      <c r="M507" s="244"/>
      <c r="N507" s="244"/>
      <c r="O507" s="244"/>
      <c r="P507" s="244"/>
      <c r="Q507" s="244"/>
      <c r="R507" s="244"/>
      <c r="S507" s="244"/>
      <c r="T507" s="244"/>
      <c r="U507" s="244"/>
      <c r="V507" s="244"/>
      <c r="W507" s="244"/>
      <c r="X507" s="244"/>
      <c r="Y507" s="244"/>
      <c r="Z507" s="244"/>
    </row>
    <row r="508" hidden="1">
      <c r="A508" s="249"/>
      <c r="B508" s="249"/>
      <c r="C508" s="250"/>
      <c r="D508" s="244"/>
      <c r="E508" s="244"/>
      <c r="F508" s="244"/>
      <c r="G508" s="244"/>
      <c r="H508" s="244"/>
      <c r="I508" s="244"/>
      <c r="J508" s="244"/>
      <c r="K508" s="244"/>
      <c r="L508" s="244"/>
      <c r="M508" s="244"/>
      <c r="N508" s="244"/>
      <c r="O508" s="244"/>
      <c r="P508" s="244"/>
      <c r="Q508" s="244"/>
      <c r="R508" s="244"/>
      <c r="S508" s="244"/>
      <c r="T508" s="244"/>
      <c r="U508" s="244"/>
      <c r="V508" s="244"/>
      <c r="W508" s="244"/>
      <c r="X508" s="244"/>
      <c r="Y508" s="244"/>
      <c r="Z508" s="244"/>
    </row>
    <row r="509" hidden="1">
      <c r="A509" s="249"/>
      <c r="B509" s="249"/>
      <c r="C509" s="250"/>
      <c r="D509" s="244"/>
      <c r="E509" s="244"/>
      <c r="F509" s="244"/>
      <c r="G509" s="244"/>
      <c r="H509" s="244"/>
      <c r="I509" s="244"/>
      <c r="J509" s="244"/>
      <c r="K509" s="244"/>
      <c r="L509" s="244"/>
      <c r="M509" s="244"/>
      <c r="N509" s="244"/>
      <c r="O509" s="244"/>
      <c r="P509" s="244"/>
      <c r="Q509" s="244"/>
      <c r="R509" s="244"/>
      <c r="S509" s="244"/>
      <c r="T509" s="244"/>
      <c r="U509" s="244"/>
      <c r="V509" s="244"/>
      <c r="W509" s="244"/>
      <c r="X509" s="244"/>
      <c r="Y509" s="244"/>
      <c r="Z509" s="244"/>
    </row>
    <row r="510" hidden="1">
      <c r="A510" s="249"/>
      <c r="B510" s="249"/>
      <c r="C510" s="250"/>
      <c r="D510" s="244"/>
      <c r="E510" s="244"/>
      <c r="F510" s="244"/>
      <c r="G510" s="244"/>
      <c r="H510" s="244"/>
      <c r="I510" s="244"/>
      <c r="J510" s="244"/>
      <c r="K510" s="244"/>
      <c r="L510" s="244"/>
      <c r="M510" s="244"/>
      <c r="N510" s="244"/>
      <c r="O510" s="244"/>
      <c r="P510" s="244"/>
      <c r="Q510" s="244"/>
      <c r="R510" s="244"/>
      <c r="S510" s="244"/>
      <c r="T510" s="244"/>
      <c r="U510" s="244"/>
      <c r="V510" s="244"/>
      <c r="W510" s="244"/>
      <c r="X510" s="244"/>
      <c r="Y510" s="244"/>
      <c r="Z510" s="244"/>
    </row>
    <row r="511" hidden="1">
      <c r="A511" s="249"/>
      <c r="B511" s="249"/>
      <c r="C511" s="250"/>
      <c r="D511" s="244"/>
      <c r="E511" s="244"/>
      <c r="F511" s="244"/>
      <c r="G511" s="244"/>
      <c r="H511" s="244"/>
      <c r="I511" s="244"/>
      <c r="J511" s="244"/>
      <c r="K511" s="244"/>
      <c r="L511" s="244"/>
      <c r="M511" s="244"/>
      <c r="N511" s="244"/>
      <c r="O511" s="244"/>
      <c r="P511" s="244"/>
      <c r="Q511" s="244"/>
      <c r="R511" s="244"/>
      <c r="S511" s="244"/>
      <c r="T511" s="244"/>
      <c r="U511" s="244"/>
      <c r="V511" s="244"/>
      <c r="W511" s="244"/>
      <c r="X511" s="244"/>
      <c r="Y511" s="244"/>
      <c r="Z511" s="244"/>
    </row>
    <row r="512" hidden="1">
      <c r="A512" s="249"/>
      <c r="B512" s="249"/>
      <c r="C512" s="250"/>
      <c r="D512" s="244"/>
      <c r="E512" s="244"/>
      <c r="F512" s="244"/>
      <c r="G512" s="244"/>
      <c r="H512" s="244"/>
      <c r="I512" s="244"/>
      <c r="J512" s="244"/>
      <c r="K512" s="244"/>
      <c r="L512" s="244"/>
      <c r="M512" s="244"/>
      <c r="N512" s="244"/>
      <c r="O512" s="244"/>
      <c r="P512" s="244"/>
      <c r="Q512" s="244"/>
      <c r="R512" s="244"/>
      <c r="S512" s="244"/>
      <c r="T512" s="244"/>
      <c r="U512" s="244"/>
      <c r="V512" s="244"/>
      <c r="W512" s="244"/>
      <c r="X512" s="244"/>
      <c r="Y512" s="244"/>
      <c r="Z512" s="244"/>
    </row>
    <row r="513" hidden="1">
      <c r="A513" s="249"/>
      <c r="B513" s="249"/>
      <c r="C513" s="250"/>
      <c r="D513" s="244"/>
      <c r="E513" s="244"/>
      <c r="F513" s="244"/>
      <c r="G513" s="244"/>
      <c r="H513" s="244"/>
      <c r="I513" s="244"/>
      <c r="J513" s="244"/>
      <c r="K513" s="244"/>
      <c r="L513" s="244"/>
      <c r="M513" s="244"/>
      <c r="N513" s="244"/>
      <c r="O513" s="244"/>
      <c r="P513" s="244"/>
      <c r="Q513" s="244"/>
      <c r="R513" s="244"/>
      <c r="S513" s="244"/>
      <c r="T513" s="244"/>
      <c r="U513" s="244"/>
      <c r="V513" s="244"/>
      <c r="W513" s="244"/>
      <c r="X513" s="244"/>
      <c r="Y513" s="244"/>
      <c r="Z513" s="244"/>
    </row>
    <row r="514" hidden="1">
      <c r="A514" s="249"/>
      <c r="B514" s="249"/>
      <c r="C514" s="250"/>
      <c r="D514" s="244"/>
      <c r="E514" s="244"/>
      <c r="F514" s="244"/>
      <c r="G514" s="244"/>
      <c r="H514" s="244"/>
      <c r="I514" s="244"/>
      <c r="J514" s="244"/>
      <c r="K514" s="244"/>
      <c r="L514" s="244"/>
      <c r="M514" s="244"/>
      <c r="N514" s="244"/>
      <c r="O514" s="244"/>
      <c r="P514" s="244"/>
      <c r="Q514" s="244"/>
      <c r="R514" s="244"/>
      <c r="S514" s="244"/>
      <c r="T514" s="244"/>
      <c r="U514" s="244"/>
      <c r="V514" s="244"/>
      <c r="W514" s="244"/>
      <c r="X514" s="244"/>
      <c r="Y514" s="244"/>
      <c r="Z514" s="244"/>
    </row>
    <row r="515" hidden="1">
      <c r="A515" s="249"/>
      <c r="B515" s="249"/>
      <c r="C515" s="250"/>
      <c r="D515" s="244"/>
      <c r="E515" s="244"/>
      <c r="F515" s="244"/>
      <c r="G515" s="244"/>
      <c r="H515" s="244"/>
      <c r="I515" s="244"/>
      <c r="J515" s="244"/>
      <c r="K515" s="244"/>
      <c r="L515" s="244"/>
      <c r="M515" s="244"/>
      <c r="N515" s="244"/>
      <c r="O515" s="244"/>
      <c r="P515" s="244"/>
      <c r="Q515" s="244"/>
      <c r="R515" s="244"/>
      <c r="S515" s="244"/>
      <c r="T515" s="244"/>
      <c r="U515" s="244"/>
      <c r="V515" s="244"/>
      <c r="W515" s="244"/>
      <c r="X515" s="244"/>
      <c r="Y515" s="244"/>
      <c r="Z515" s="244"/>
    </row>
    <row r="516" hidden="1">
      <c r="A516" s="249"/>
      <c r="B516" s="249"/>
      <c r="C516" s="250"/>
      <c r="D516" s="244"/>
      <c r="E516" s="244"/>
      <c r="F516" s="244"/>
      <c r="G516" s="244"/>
      <c r="H516" s="244"/>
      <c r="I516" s="244"/>
      <c r="J516" s="244"/>
      <c r="K516" s="244"/>
      <c r="L516" s="244"/>
      <c r="M516" s="244"/>
      <c r="N516" s="244"/>
      <c r="O516" s="244"/>
      <c r="P516" s="244"/>
      <c r="Q516" s="244"/>
      <c r="R516" s="244"/>
      <c r="S516" s="244"/>
      <c r="T516" s="244"/>
      <c r="U516" s="244"/>
      <c r="V516" s="244"/>
      <c r="W516" s="244"/>
      <c r="X516" s="244"/>
      <c r="Y516" s="244"/>
      <c r="Z516" s="244"/>
    </row>
    <row r="517" hidden="1">
      <c r="A517" s="249"/>
      <c r="B517" s="249"/>
      <c r="C517" s="250"/>
      <c r="D517" s="244"/>
      <c r="E517" s="244"/>
      <c r="F517" s="244"/>
      <c r="G517" s="244"/>
      <c r="H517" s="244"/>
      <c r="I517" s="244"/>
      <c r="J517" s="244"/>
      <c r="K517" s="244"/>
      <c r="L517" s="244"/>
      <c r="M517" s="244"/>
      <c r="N517" s="244"/>
      <c r="O517" s="244"/>
      <c r="P517" s="244"/>
      <c r="Q517" s="244"/>
      <c r="R517" s="244"/>
      <c r="S517" s="244"/>
      <c r="T517" s="244"/>
      <c r="U517" s="244"/>
      <c r="V517" s="244"/>
      <c r="W517" s="244"/>
      <c r="X517" s="244"/>
      <c r="Y517" s="244"/>
      <c r="Z517" s="244"/>
    </row>
    <row r="518" hidden="1">
      <c r="A518" s="249"/>
      <c r="B518" s="249"/>
      <c r="C518" s="250"/>
      <c r="D518" s="244"/>
      <c r="E518" s="244"/>
      <c r="F518" s="244"/>
      <c r="G518" s="244"/>
      <c r="H518" s="244"/>
      <c r="I518" s="244"/>
      <c r="J518" s="244"/>
      <c r="K518" s="244"/>
      <c r="L518" s="244"/>
      <c r="M518" s="244"/>
      <c r="N518" s="244"/>
      <c r="O518" s="244"/>
      <c r="P518" s="244"/>
      <c r="Q518" s="244"/>
      <c r="R518" s="244"/>
      <c r="S518" s="244"/>
      <c r="T518" s="244"/>
      <c r="U518" s="244"/>
      <c r="V518" s="244"/>
      <c r="W518" s="244"/>
      <c r="X518" s="244"/>
      <c r="Y518" s="244"/>
      <c r="Z518" s="244"/>
    </row>
    <row r="519" hidden="1">
      <c r="A519" s="249"/>
      <c r="B519" s="249"/>
      <c r="C519" s="250"/>
      <c r="D519" s="244"/>
      <c r="E519" s="244"/>
      <c r="F519" s="244"/>
      <c r="G519" s="244"/>
      <c r="H519" s="244"/>
      <c r="I519" s="244"/>
      <c r="J519" s="244"/>
      <c r="K519" s="244"/>
      <c r="L519" s="244"/>
      <c r="M519" s="244"/>
      <c r="N519" s="244"/>
      <c r="O519" s="244"/>
      <c r="P519" s="244"/>
      <c r="Q519" s="244"/>
      <c r="R519" s="244"/>
      <c r="S519" s="244"/>
      <c r="T519" s="244"/>
      <c r="U519" s="244"/>
      <c r="V519" s="244"/>
      <c r="W519" s="244"/>
      <c r="X519" s="244"/>
      <c r="Y519" s="244"/>
      <c r="Z519" s="244"/>
    </row>
    <row r="520" hidden="1">
      <c r="A520" s="249"/>
      <c r="B520" s="249"/>
      <c r="C520" s="250"/>
      <c r="D520" s="244"/>
      <c r="E520" s="244"/>
      <c r="F520" s="244"/>
      <c r="G520" s="244"/>
      <c r="H520" s="244"/>
      <c r="I520" s="244"/>
      <c r="J520" s="244"/>
      <c r="K520" s="244"/>
      <c r="L520" s="244"/>
      <c r="M520" s="244"/>
      <c r="N520" s="244"/>
      <c r="O520" s="244"/>
      <c r="P520" s="244"/>
      <c r="Q520" s="244"/>
      <c r="R520" s="244"/>
      <c r="S520" s="244"/>
      <c r="T520" s="244"/>
      <c r="U520" s="244"/>
      <c r="V520" s="244"/>
      <c r="W520" s="244"/>
      <c r="X520" s="244"/>
      <c r="Y520" s="244"/>
      <c r="Z520" s="244"/>
    </row>
    <row r="521" hidden="1">
      <c r="A521" s="249"/>
      <c r="B521" s="249"/>
      <c r="C521" s="250"/>
      <c r="D521" s="244"/>
      <c r="E521" s="244"/>
      <c r="F521" s="244"/>
      <c r="G521" s="244"/>
      <c r="H521" s="244"/>
      <c r="I521" s="244"/>
      <c r="J521" s="244"/>
      <c r="K521" s="244"/>
      <c r="L521" s="244"/>
      <c r="M521" s="244"/>
      <c r="N521" s="244"/>
      <c r="O521" s="244"/>
      <c r="P521" s="244"/>
      <c r="Q521" s="244"/>
      <c r="R521" s="244"/>
      <c r="S521" s="244"/>
      <c r="T521" s="244"/>
      <c r="U521" s="244"/>
      <c r="V521" s="244"/>
      <c r="W521" s="244"/>
      <c r="X521" s="244"/>
      <c r="Y521" s="244"/>
      <c r="Z521" s="244"/>
    </row>
    <row r="522" hidden="1">
      <c r="A522" s="249"/>
      <c r="B522" s="249"/>
      <c r="C522" s="250"/>
      <c r="D522" s="244"/>
      <c r="E522" s="244"/>
      <c r="F522" s="244"/>
      <c r="G522" s="244"/>
      <c r="H522" s="244"/>
      <c r="I522" s="244"/>
      <c r="J522" s="244"/>
      <c r="K522" s="244"/>
      <c r="L522" s="244"/>
      <c r="M522" s="244"/>
      <c r="N522" s="244"/>
      <c r="O522" s="244"/>
      <c r="P522" s="244"/>
      <c r="Q522" s="244"/>
      <c r="R522" s="244"/>
      <c r="S522" s="244"/>
      <c r="T522" s="244"/>
      <c r="U522" s="244"/>
      <c r="V522" s="244"/>
      <c r="W522" s="244"/>
      <c r="X522" s="244"/>
      <c r="Y522" s="244"/>
      <c r="Z522" s="244"/>
    </row>
    <row r="523" hidden="1">
      <c r="A523" s="249"/>
      <c r="B523" s="249"/>
      <c r="C523" s="250"/>
      <c r="D523" s="244"/>
      <c r="E523" s="244"/>
      <c r="F523" s="244"/>
      <c r="G523" s="244"/>
      <c r="H523" s="244"/>
      <c r="I523" s="244"/>
      <c r="J523" s="244"/>
      <c r="K523" s="244"/>
      <c r="L523" s="244"/>
      <c r="M523" s="244"/>
      <c r="N523" s="244"/>
      <c r="O523" s="244"/>
      <c r="P523" s="244"/>
      <c r="Q523" s="244"/>
      <c r="R523" s="244"/>
      <c r="S523" s="244"/>
      <c r="T523" s="244"/>
      <c r="U523" s="244"/>
      <c r="V523" s="244"/>
      <c r="W523" s="244"/>
      <c r="X523" s="244"/>
      <c r="Y523" s="244"/>
      <c r="Z523" s="244"/>
    </row>
    <row r="524" hidden="1">
      <c r="A524" s="249"/>
      <c r="B524" s="249"/>
      <c r="C524" s="250"/>
      <c r="D524" s="244"/>
      <c r="E524" s="244"/>
      <c r="F524" s="244"/>
      <c r="G524" s="244"/>
      <c r="H524" s="244"/>
      <c r="I524" s="244"/>
      <c r="J524" s="244"/>
      <c r="K524" s="244"/>
      <c r="L524" s="244"/>
      <c r="M524" s="244"/>
      <c r="N524" s="244"/>
      <c r="O524" s="244"/>
      <c r="P524" s="244"/>
      <c r="Q524" s="244"/>
      <c r="R524" s="244"/>
      <c r="S524" s="244"/>
      <c r="T524" s="244"/>
      <c r="U524" s="244"/>
      <c r="V524" s="244"/>
      <c r="W524" s="244"/>
      <c r="X524" s="244"/>
      <c r="Y524" s="244"/>
      <c r="Z524" s="244"/>
    </row>
    <row r="525" hidden="1">
      <c r="A525" s="249"/>
      <c r="B525" s="249"/>
      <c r="C525" s="250"/>
      <c r="D525" s="244"/>
      <c r="E525" s="244"/>
      <c r="F525" s="244"/>
      <c r="G525" s="244"/>
      <c r="H525" s="244"/>
      <c r="I525" s="244"/>
      <c r="J525" s="244"/>
      <c r="K525" s="244"/>
      <c r="L525" s="244"/>
      <c r="M525" s="244"/>
      <c r="N525" s="244"/>
      <c r="O525" s="244"/>
      <c r="P525" s="244"/>
      <c r="Q525" s="244"/>
      <c r="R525" s="244"/>
      <c r="S525" s="244"/>
      <c r="T525" s="244"/>
      <c r="U525" s="244"/>
      <c r="V525" s="244"/>
      <c r="W525" s="244"/>
      <c r="X525" s="244"/>
      <c r="Y525" s="244"/>
      <c r="Z525" s="244"/>
    </row>
    <row r="526" hidden="1">
      <c r="A526" s="249"/>
      <c r="B526" s="249"/>
      <c r="C526" s="250"/>
      <c r="D526" s="244"/>
      <c r="E526" s="244"/>
      <c r="F526" s="244"/>
      <c r="G526" s="244"/>
      <c r="H526" s="244"/>
      <c r="I526" s="244"/>
      <c r="J526" s="244"/>
      <c r="K526" s="244"/>
      <c r="L526" s="244"/>
      <c r="M526" s="244"/>
      <c r="N526" s="244"/>
      <c r="O526" s="244"/>
      <c r="P526" s="244"/>
      <c r="Q526" s="244"/>
      <c r="R526" s="244"/>
      <c r="S526" s="244"/>
      <c r="T526" s="244"/>
      <c r="U526" s="244"/>
      <c r="V526" s="244"/>
      <c r="W526" s="244"/>
      <c r="X526" s="244"/>
      <c r="Y526" s="244"/>
      <c r="Z526" s="244"/>
    </row>
    <row r="527" hidden="1">
      <c r="A527" s="249"/>
      <c r="B527" s="249"/>
      <c r="C527" s="250"/>
      <c r="D527" s="244"/>
      <c r="E527" s="244"/>
      <c r="F527" s="244"/>
      <c r="G527" s="244"/>
      <c r="H527" s="244"/>
      <c r="I527" s="244"/>
      <c r="J527" s="244"/>
      <c r="K527" s="244"/>
      <c r="L527" s="244"/>
      <c r="M527" s="244"/>
      <c r="N527" s="244"/>
      <c r="O527" s="244"/>
      <c r="P527" s="244"/>
      <c r="Q527" s="244"/>
      <c r="R527" s="244"/>
      <c r="S527" s="244"/>
      <c r="T527" s="244"/>
      <c r="U527" s="244"/>
      <c r="V527" s="244"/>
      <c r="W527" s="244"/>
      <c r="X527" s="244"/>
      <c r="Y527" s="244"/>
      <c r="Z527" s="244"/>
    </row>
    <row r="528" hidden="1">
      <c r="A528" s="249"/>
      <c r="B528" s="249"/>
      <c r="C528" s="250"/>
      <c r="D528" s="244"/>
      <c r="E528" s="244"/>
      <c r="F528" s="244"/>
      <c r="G528" s="244"/>
      <c r="H528" s="244"/>
      <c r="I528" s="244"/>
      <c r="J528" s="244"/>
      <c r="K528" s="244"/>
      <c r="L528" s="244"/>
      <c r="M528" s="244"/>
      <c r="N528" s="244"/>
      <c r="O528" s="244"/>
      <c r="P528" s="244"/>
      <c r="Q528" s="244"/>
      <c r="R528" s="244"/>
      <c r="S528" s="244"/>
      <c r="T528" s="244"/>
      <c r="U528" s="244"/>
      <c r="V528" s="244"/>
      <c r="W528" s="244"/>
      <c r="X528" s="244"/>
      <c r="Y528" s="244"/>
      <c r="Z528" s="244"/>
    </row>
    <row r="529" hidden="1">
      <c r="A529" s="249"/>
      <c r="B529" s="249"/>
      <c r="C529" s="250"/>
      <c r="D529" s="244"/>
      <c r="E529" s="244"/>
      <c r="F529" s="244"/>
      <c r="G529" s="244"/>
      <c r="H529" s="244"/>
      <c r="I529" s="244"/>
      <c r="J529" s="244"/>
      <c r="K529" s="244"/>
      <c r="L529" s="244"/>
      <c r="M529" s="244"/>
      <c r="N529" s="244"/>
      <c r="O529" s="244"/>
      <c r="P529" s="244"/>
      <c r="Q529" s="244"/>
      <c r="R529" s="244"/>
      <c r="S529" s="244"/>
      <c r="T529" s="244"/>
      <c r="U529" s="244"/>
      <c r="V529" s="244"/>
      <c r="W529" s="244"/>
      <c r="X529" s="244"/>
      <c r="Y529" s="244"/>
      <c r="Z529" s="244"/>
    </row>
    <row r="530" hidden="1">
      <c r="A530" s="249"/>
      <c r="B530" s="249"/>
      <c r="C530" s="250"/>
      <c r="D530" s="244"/>
      <c r="E530" s="244"/>
      <c r="F530" s="244"/>
      <c r="G530" s="244"/>
      <c r="H530" s="244"/>
      <c r="I530" s="244"/>
      <c r="J530" s="244"/>
      <c r="K530" s="244"/>
      <c r="L530" s="244"/>
      <c r="M530" s="244"/>
      <c r="N530" s="244"/>
      <c r="O530" s="244"/>
      <c r="P530" s="244"/>
      <c r="Q530" s="244"/>
      <c r="R530" s="244"/>
      <c r="S530" s="244"/>
      <c r="T530" s="244"/>
      <c r="U530" s="244"/>
      <c r="V530" s="244"/>
      <c r="W530" s="244"/>
      <c r="X530" s="244"/>
      <c r="Y530" s="244"/>
      <c r="Z530" s="244"/>
    </row>
    <row r="531" hidden="1">
      <c r="A531" s="249"/>
      <c r="B531" s="249"/>
      <c r="C531" s="250"/>
      <c r="D531" s="244"/>
      <c r="E531" s="244"/>
      <c r="F531" s="244"/>
      <c r="G531" s="244"/>
      <c r="H531" s="244"/>
      <c r="I531" s="244"/>
      <c r="J531" s="244"/>
      <c r="K531" s="244"/>
      <c r="L531" s="244"/>
      <c r="M531" s="244"/>
      <c r="N531" s="244"/>
      <c r="O531" s="244"/>
      <c r="P531" s="244"/>
      <c r="Q531" s="244"/>
      <c r="R531" s="244"/>
      <c r="S531" s="244"/>
      <c r="T531" s="244"/>
      <c r="U531" s="244"/>
      <c r="V531" s="244"/>
      <c r="W531" s="244"/>
      <c r="X531" s="244"/>
      <c r="Y531" s="244"/>
      <c r="Z531" s="244"/>
    </row>
    <row r="532" hidden="1">
      <c r="A532" s="249"/>
      <c r="B532" s="249"/>
      <c r="C532" s="250"/>
      <c r="D532" s="244"/>
      <c r="E532" s="244"/>
      <c r="F532" s="244"/>
      <c r="G532" s="244"/>
      <c r="H532" s="244"/>
      <c r="I532" s="244"/>
      <c r="J532" s="244"/>
      <c r="K532" s="244"/>
      <c r="L532" s="244"/>
      <c r="M532" s="244"/>
      <c r="N532" s="244"/>
      <c r="O532" s="244"/>
      <c r="P532" s="244"/>
      <c r="Q532" s="244"/>
      <c r="R532" s="244"/>
      <c r="S532" s="244"/>
      <c r="T532" s="244"/>
      <c r="U532" s="244"/>
      <c r="V532" s="244"/>
      <c r="W532" s="244"/>
      <c r="X532" s="244"/>
      <c r="Y532" s="244"/>
      <c r="Z532" s="244"/>
    </row>
    <row r="533" hidden="1">
      <c r="A533" s="249"/>
      <c r="B533" s="249"/>
      <c r="C533" s="250"/>
      <c r="D533" s="244"/>
      <c r="E533" s="244"/>
      <c r="F533" s="244"/>
      <c r="G533" s="244"/>
      <c r="H533" s="244"/>
      <c r="I533" s="244"/>
      <c r="J533" s="244"/>
      <c r="K533" s="244"/>
      <c r="L533" s="244"/>
      <c r="M533" s="244"/>
      <c r="N533" s="244"/>
      <c r="O533" s="244"/>
      <c r="P533" s="244"/>
      <c r="Q533" s="244"/>
      <c r="R533" s="244"/>
      <c r="S533" s="244"/>
      <c r="T533" s="244"/>
      <c r="U533" s="244"/>
      <c r="V533" s="244"/>
      <c r="W533" s="244"/>
      <c r="X533" s="244"/>
      <c r="Y533" s="244"/>
      <c r="Z533" s="244"/>
    </row>
    <row r="534" hidden="1">
      <c r="A534" s="249"/>
      <c r="B534" s="249"/>
      <c r="C534" s="250"/>
      <c r="D534" s="244"/>
      <c r="E534" s="244"/>
      <c r="F534" s="244"/>
      <c r="G534" s="244"/>
      <c r="H534" s="244"/>
      <c r="I534" s="244"/>
      <c r="J534" s="244"/>
      <c r="K534" s="244"/>
      <c r="L534" s="244"/>
      <c r="M534" s="244"/>
      <c r="N534" s="244"/>
      <c r="O534" s="244"/>
      <c r="P534" s="244"/>
      <c r="Q534" s="244"/>
      <c r="R534" s="244"/>
      <c r="S534" s="244"/>
      <c r="T534" s="244"/>
      <c r="U534" s="244"/>
      <c r="V534" s="244"/>
      <c r="W534" s="244"/>
      <c r="X534" s="244"/>
      <c r="Y534" s="244"/>
      <c r="Z534" s="244"/>
    </row>
    <row r="535" hidden="1">
      <c r="A535" s="249"/>
      <c r="B535" s="249"/>
      <c r="C535" s="250"/>
      <c r="D535" s="244"/>
      <c r="E535" s="244"/>
      <c r="F535" s="244"/>
      <c r="G535" s="244"/>
      <c r="H535" s="244"/>
      <c r="I535" s="244"/>
      <c r="J535" s="244"/>
      <c r="K535" s="244"/>
      <c r="L535" s="244"/>
      <c r="M535" s="244"/>
      <c r="N535" s="244"/>
      <c r="O535" s="244"/>
      <c r="P535" s="244"/>
      <c r="Q535" s="244"/>
      <c r="R535" s="244"/>
      <c r="S535" s="244"/>
      <c r="T535" s="244"/>
      <c r="U535" s="244"/>
      <c r="V535" s="244"/>
      <c r="W535" s="244"/>
      <c r="X535" s="244"/>
      <c r="Y535" s="244"/>
      <c r="Z535" s="244"/>
    </row>
    <row r="536" hidden="1">
      <c r="A536" s="249"/>
      <c r="B536" s="249"/>
      <c r="C536" s="250"/>
      <c r="D536" s="244"/>
      <c r="E536" s="244"/>
      <c r="F536" s="244"/>
      <c r="G536" s="244"/>
      <c r="H536" s="244"/>
      <c r="I536" s="244"/>
      <c r="J536" s="244"/>
      <c r="K536" s="244"/>
      <c r="L536" s="244"/>
      <c r="M536" s="244"/>
      <c r="N536" s="244"/>
      <c r="O536" s="244"/>
      <c r="P536" s="244"/>
      <c r="Q536" s="244"/>
      <c r="R536" s="244"/>
      <c r="S536" s="244"/>
      <c r="T536" s="244"/>
      <c r="U536" s="244"/>
      <c r="V536" s="244"/>
      <c r="W536" s="244"/>
      <c r="X536" s="244"/>
      <c r="Y536" s="244"/>
      <c r="Z536" s="244"/>
    </row>
    <row r="537" hidden="1">
      <c r="A537" s="249"/>
      <c r="B537" s="249"/>
      <c r="C537" s="250"/>
      <c r="D537" s="244"/>
      <c r="E537" s="244"/>
      <c r="F537" s="244"/>
      <c r="G537" s="244"/>
      <c r="H537" s="244"/>
      <c r="I537" s="244"/>
      <c r="J537" s="244"/>
      <c r="K537" s="244"/>
      <c r="L537" s="244"/>
      <c r="M537" s="244"/>
      <c r="N537" s="244"/>
      <c r="O537" s="244"/>
      <c r="P537" s="244"/>
      <c r="Q537" s="244"/>
      <c r="R537" s="244"/>
      <c r="S537" s="244"/>
      <c r="T537" s="244"/>
      <c r="U537" s="244"/>
      <c r="V537" s="244"/>
      <c r="W537" s="244"/>
      <c r="X537" s="244"/>
      <c r="Y537" s="244"/>
      <c r="Z537" s="244"/>
    </row>
    <row r="538" hidden="1">
      <c r="A538" s="249"/>
      <c r="B538" s="249"/>
      <c r="C538" s="250"/>
      <c r="D538" s="244"/>
      <c r="E538" s="244"/>
      <c r="F538" s="244"/>
      <c r="G538" s="244"/>
      <c r="H538" s="244"/>
      <c r="I538" s="244"/>
      <c r="J538" s="244"/>
      <c r="K538" s="244"/>
      <c r="L538" s="244"/>
      <c r="M538" s="244"/>
      <c r="N538" s="244"/>
      <c r="O538" s="244"/>
      <c r="P538" s="244"/>
      <c r="Q538" s="244"/>
      <c r="R538" s="244"/>
      <c r="S538" s="244"/>
      <c r="T538" s="244"/>
      <c r="U538" s="244"/>
      <c r="V538" s="244"/>
      <c r="W538" s="244"/>
      <c r="X538" s="244"/>
      <c r="Y538" s="244"/>
      <c r="Z538" s="244"/>
    </row>
    <row r="539" hidden="1">
      <c r="A539" s="249"/>
      <c r="B539" s="249"/>
      <c r="C539" s="250"/>
      <c r="D539" s="244"/>
      <c r="E539" s="244"/>
      <c r="F539" s="244"/>
      <c r="G539" s="244"/>
      <c r="H539" s="244"/>
      <c r="I539" s="244"/>
      <c r="J539" s="244"/>
      <c r="K539" s="244"/>
      <c r="L539" s="244"/>
      <c r="M539" s="244"/>
      <c r="N539" s="244"/>
      <c r="O539" s="244"/>
      <c r="P539" s="244"/>
      <c r="Q539" s="244"/>
      <c r="R539" s="244"/>
      <c r="S539" s="244"/>
      <c r="T539" s="244"/>
      <c r="U539" s="244"/>
      <c r="V539" s="244"/>
      <c r="W539" s="244"/>
      <c r="X539" s="244"/>
      <c r="Y539" s="244"/>
      <c r="Z539" s="244"/>
    </row>
    <row r="540" hidden="1">
      <c r="A540" s="249"/>
      <c r="B540" s="249"/>
      <c r="C540" s="250"/>
      <c r="D540" s="244"/>
      <c r="E540" s="244"/>
      <c r="F540" s="244"/>
      <c r="G540" s="244"/>
      <c r="H540" s="244"/>
      <c r="I540" s="244"/>
      <c r="J540" s="244"/>
      <c r="K540" s="244"/>
      <c r="L540" s="244"/>
      <c r="M540" s="244"/>
      <c r="N540" s="244"/>
      <c r="O540" s="244"/>
      <c r="P540" s="244"/>
      <c r="Q540" s="244"/>
      <c r="R540" s="244"/>
      <c r="S540" s="244"/>
      <c r="T540" s="244"/>
      <c r="U540" s="244"/>
      <c r="V540" s="244"/>
      <c r="W540" s="244"/>
      <c r="X540" s="244"/>
      <c r="Y540" s="244"/>
      <c r="Z540" s="244"/>
    </row>
    <row r="541" hidden="1">
      <c r="A541" s="249"/>
      <c r="B541" s="249"/>
      <c r="C541" s="250"/>
      <c r="D541" s="244"/>
      <c r="E541" s="244"/>
      <c r="F541" s="244"/>
      <c r="G541" s="244"/>
      <c r="H541" s="244"/>
      <c r="I541" s="244"/>
      <c r="J541" s="244"/>
      <c r="K541" s="244"/>
      <c r="L541" s="244"/>
      <c r="M541" s="244"/>
      <c r="N541" s="244"/>
      <c r="O541" s="244"/>
      <c r="P541" s="244"/>
      <c r="Q541" s="244"/>
      <c r="R541" s="244"/>
      <c r="S541" s="244"/>
      <c r="T541" s="244"/>
      <c r="U541" s="244"/>
      <c r="V541" s="244"/>
      <c r="W541" s="244"/>
      <c r="X541" s="244"/>
      <c r="Y541" s="244"/>
      <c r="Z541" s="244"/>
    </row>
    <row r="542" hidden="1">
      <c r="A542" s="249"/>
      <c r="B542" s="249"/>
      <c r="C542" s="250"/>
      <c r="D542" s="244"/>
      <c r="E542" s="244"/>
      <c r="F542" s="244"/>
      <c r="G542" s="244"/>
      <c r="H542" s="244"/>
      <c r="I542" s="244"/>
      <c r="J542" s="244"/>
      <c r="K542" s="244"/>
      <c r="L542" s="244"/>
      <c r="M542" s="244"/>
      <c r="N542" s="244"/>
      <c r="O542" s="244"/>
      <c r="P542" s="244"/>
      <c r="Q542" s="244"/>
      <c r="R542" s="244"/>
      <c r="S542" s="244"/>
      <c r="T542" s="244"/>
      <c r="U542" s="244"/>
      <c r="V542" s="244"/>
      <c r="W542" s="244"/>
      <c r="X542" s="244"/>
      <c r="Y542" s="244"/>
      <c r="Z542" s="244"/>
    </row>
    <row r="543" hidden="1">
      <c r="A543" s="249"/>
      <c r="B543" s="249"/>
      <c r="C543" s="250"/>
      <c r="D543" s="244"/>
      <c r="E543" s="244"/>
      <c r="F543" s="244"/>
      <c r="G543" s="244"/>
      <c r="H543" s="244"/>
      <c r="I543" s="244"/>
      <c r="J543" s="244"/>
      <c r="K543" s="244"/>
      <c r="L543" s="244"/>
      <c r="M543" s="244"/>
      <c r="N543" s="244"/>
      <c r="O543" s="244"/>
      <c r="P543" s="244"/>
      <c r="Q543" s="244"/>
      <c r="R543" s="244"/>
      <c r="S543" s="244"/>
      <c r="T543" s="244"/>
      <c r="U543" s="244"/>
      <c r="V543" s="244"/>
      <c r="W543" s="244"/>
      <c r="X543" s="244"/>
      <c r="Y543" s="244"/>
      <c r="Z543" s="244"/>
    </row>
    <row r="544" hidden="1">
      <c r="A544" s="249"/>
      <c r="B544" s="249"/>
      <c r="C544" s="250"/>
      <c r="D544" s="244"/>
      <c r="E544" s="244"/>
      <c r="F544" s="244"/>
      <c r="G544" s="244"/>
      <c r="H544" s="244"/>
      <c r="I544" s="244"/>
      <c r="J544" s="244"/>
      <c r="K544" s="244"/>
      <c r="L544" s="244"/>
      <c r="M544" s="244"/>
      <c r="N544" s="244"/>
      <c r="O544" s="244"/>
      <c r="P544" s="244"/>
      <c r="Q544" s="244"/>
      <c r="R544" s="244"/>
      <c r="S544" s="244"/>
      <c r="T544" s="244"/>
      <c r="U544" s="244"/>
      <c r="V544" s="244"/>
      <c r="W544" s="244"/>
      <c r="X544" s="244"/>
      <c r="Y544" s="244"/>
      <c r="Z544" s="244"/>
    </row>
    <row r="545" hidden="1">
      <c r="A545" s="249"/>
      <c r="B545" s="249"/>
      <c r="C545" s="250"/>
      <c r="D545" s="244"/>
      <c r="E545" s="244"/>
      <c r="F545" s="244"/>
      <c r="G545" s="244"/>
      <c r="H545" s="244"/>
      <c r="I545" s="244"/>
      <c r="J545" s="244"/>
      <c r="K545" s="244"/>
      <c r="L545" s="244"/>
      <c r="M545" s="244"/>
      <c r="N545" s="244"/>
      <c r="O545" s="244"/>
      <c r="P545" s="244"/>
      <c r="Q545" s="244"/>
      <c r="R545" s="244"/>
      <c r="S545" s="244"/>
      <c r="T545" s="244"/>
      <c r="U545" s="244"/>
      <c r="V545" s="244"/>
      <c r="W545" s="244"/>
      <c r="X545" s="244"/>
      <c r="Y545" s="244"/>
      <c r="Z545" s="244"/>
    </row>
    <row r="546" hidden="1">
      <c r="A546" s="249"/>
      <c r="B546" s="249"/>
      <c r="C546" s="250"/>
      <c r="D546" s="244"/>
      <c r="E546" s="244"/>
      <c r="F546" s="244"/>
      <c r="G546" s="244"/>
      <c r="H546" s="244"/>
      <c r="I546" s="244"/>
      <c r="J546" s="244"/>
      <c r="K546" s="244"/>
      <c r="L546" s="244"/>
      <c r="M546" s="244"/>
      <c r="N546" s="244"/>
      <c r="O546" s="244"/>
      <c r="P546" s="244"/>
      <c r="Q546" s="244"/>
      <c r="R546" s="244"/>
      <c r="S546" s="244"/>
      <c r="T546" s="244"/>
      <c r="U546" s="244"/>
      <c r="V546" s="244"/>
      <c r="W546" s="244"/>
      <c r="X546" s="244"/>
      <c r="Y546" s="244"/>
      <c r="Z546" s="244"/>
    </row>
    <row r="547" hidden="1">
      <c r="A547" s="249"/>
      <c r="B547" s="249"/>
      <c r="C547" s="250"/>
      <c r="D547" s="244"/>
      <c r="E547" s="244"/>
      <c r="F547" s="244"/>
      <c r="G547" s="244"/>
      <c r="H547" s="244"/>
      <c r="I547" s="244"/>
      <c r="J547" s="244"/>
      <c r="K547" s="244"/>
      <c r="L547" s="244"/>
      <c r="M547" s="244"/>
      <c r="N547" s="244"/>
      <c r="O547" s="244"/>
      <c r="P547" s="244"/>
      <c r="Q547" s="244"/>
      <c r="R547" s="244"/>
      <c r="S547" s="244"/>
      <c r="T547" s="244"/>
      <c r="U547" s="244"/>
      <c r="V547" s="244"/>
      <c r="W547" s="244"/>
      <c r="X547" s="244"/>
      <c r="Y547" s="244"/>
      <c r="Z547" s="244"/>
    </row>
    <row r="548" hidden="1">
      <c r="A548" s="249"/>
      <c r="B548" s="249"/>
      <c r="C548" s="250"/>
      <c r="D548" s="244"/>
      <c r="E548" s="244"/>
      <c r="F548" s="244"/>
      <c r="G548" s="244"/>
      <c r="H548" s="244"/>
      <c r="I548" s="244"/>
      <c r="J548" s="244"/>
      <c r="K548" s="244"/>
      <c r="L548" s="244"/>
      <c r="M548" s="244"/>
      <c r="N548" s="244"/>
      <c r="O548" s="244"/>
      <c r="P548" s="244"/>
      <c r="Q548" s="244"/>
      <c r="R548" s="244"/>
      <c r="S548" s="244"/>
      <c r="T548" s="244"/>
      <c r="U548" s="244"/>
      <c r="V548" s="244"/>
      <c r="W548" s="244"/>
      <c r="X548" s="244"/>
      <c r="Y548" s="244"/>
      <c r="Z548" s="244"/>
    </row>
    <row r="549" hidden="1">
      <c r="A549" s="249"/>
      <c r="B549" s="249"/>
      <c r="C549" s="250"/>
      <c r="D549" s="244"/>
      <c r="E549" s="244"/>
      <c r="F549" s="244"/>
      <c r="G549" s="244"/>
      <c r="H549" s="244"/>
      <c r="I549" s="244"/>
      <c r="J549" s="244"/>
      <c r="K549" s="244"/>
      <c r="L549" s="244"/>
      <c r="M549" s="244"/>
      <c r="N549" s="244"/>
      <c r="O549" s="244"/>
      <c r="P549" s="244"/>
      <c r="Q549" s="244"/>
      <c r="R549" s="244"/>
      <c r="S549" s="244"/>
      <c r="T549" s="244"/>
      <c r="U549" s="244"/>
      <c r="V549" s="244"/>
      <c r="W549" s="244"/>
      <c r="X549" s="244"/>
      <c r="Y549" s="244"/>
      <c r="Z549" s="244"/>
    </row>
    <row r="550" hidden="1">
      <c r="A550" s="249"/>
      <c r="B550" s="249"/>
      <c r="C550" s="250"/>
      <c r="D550" s="244"/>
      <c r="E550" s="244"/>
      <c r="F550" s="244"/>
      <c r="G550" s="244"/>
      <c r="H550" s="244"/>
      <c r="I550" s="244"/>
      <c r="J550" s="244"/>
      <c r="K550" s="244"/>
      <c r="L550" s="244"/>
      <c r="M550" s="244"/>
      <c r="N550" s="244"/>
      <c r="O550" s="244"/>
      <c r="P550" s="244"/>
      <c r="Q550" s="244"/>
      <c r="R550" s="244"/>
      <c r="S550" s="244"/>
      <c r="T550" s="244"/>
      <c r="U550" s="244"/>
      <c r="V550" s="244"/>
      <c r="W550" s="244"/>
      <c r="X550" s="244"/>
      <c r="Y550" s="244"/>
      <c r="Z550" s="244"/>
    </row>
    <row r="551" hidden="1">
      <c r="A551" s="249"/>
      <c r="B551" s="249"/>
      <c r="C551" s="250"/>
      <c r="D551" s="244"/>
      <c r="E551" s="244"/>
      <c r="F551" s="244"/>
      <c r="G551" s="244"/>
      <c r="H551" s="244"/>
      <c r="I551" s="244"/>
      <c r="J551" s="244"/>
      <c r="K551" s="244"/>
      <c r="L551" s="244"/>
      <c r="M551" s="244"/>
      <c r="N551" s="244"/>
      <c r="O551" s="244"/>
      <c r="P551" s="244"/>
      <c r="Q551" s="244"/>
      <c r="R551" s="244"/>
      <c r="S551" s="244"/>
      <c r="T551" s="244"/>
      <c r="U551" s="244"/>
      <c r="V551" s="244"/>
      <c r="W551" s="244"/>
      <c r="X551" s="244"/>
      <c r="Y551" s="244"/>
      <c r="Z551" s="244"/>
    </row>
    <row r="552" hidden="1">
      <c r="A552" s="249"/>
      <c r="B552" s="249"/>
      <c r="C552" s="250"/>
      <c r="D552" s="244"/>
      <c r="E552" s="244"/>
      <c r="F552" s="244"/>
      <c r="G552" s="244"/>
      <c r="H552" s="244"/>
      <c r="I552" s="244"/>
      <c r="J552" s="244"/>
      <c r="K552" s="244"/>
      <c r="L552" s="244"/>
      <c r="M552" s="244"/>
      <c r="N552" s="244"/>
      <c r="O552" s="244"/>
      <c r="P552" s="244"/>
      <c r="Q552" s="244"/>
      <c r="R552" s="244"/>
      <c r="S552" s="244"/>
      <c r="T552" s="244"/>
      <c r="U552" s="244"/>
      <c r="V552" s="244"/>
      <c r="W552" s="244"/>
      <c r="X552" s="244"/>
      <c r="Y552" s="244"/>
      <c r="Z552" s="244"/>
    </row>
    <row r="553" hidden="1">
      <c r="A553" s="249"/>
      <c r="B553" s="249"/>
      <c r="C553" s="250"/>
      <c r="D553" s="244"/>
      <c r="E553" s="244"/>
      <c r="F553" s="244"/>
      <c r="G553" s="244"/>
      <c r="H553" s="244"/>
      <c r="I553" s="244"/>
      <c r="J553" s="244"/>
      <c r="K553" s="244"/>
      <c r="L553" s="244"/>
      <c r="M553" s="244"/>
      <c r="N553" s="244"/>
      <c r="O553" s="244"/>
      <c r="P553" s="244"/>
      <c r="Q553" s="244"/>
      <c r="R553" s="244"/>
      <c r="S553" s="244"/>
      <c r="T553" s="244"/>
      <c r="U553" s="244"/>
      <c r="V553" s="244"/>
      <c r="W553" s="244"/>
      <c r="X553" s="244"/>
      <c r="Y553" s="244"/>
      <c r="Z553" s="244"/>
    </row>
    <row r="554" hidden="1">
      <c r="A554" s="249"/>
      <c r="B554" s="249"/>
      <c r="C554" s="250"/>
      <c r="D554" s="244"/>
      <c r="E554" s="244"/>
      <c r="F554" s="244"/>
      <c r="G554" s="244"/>
      <c r="H554" s="244"/>
      <c r="I554" s="244"/>
      <c r="J554" s="244"/>
      <c r="K554" s="244"/>
      <c r="L554" s="244"/>
      <c r="M554" s="244"/>
      <c r="N554" s="244"/>
      <c r="O554" s="244"/>
      <c r="P554" s="244"/>
      <c r="Q554" s="244"/>
      <c r="R554" s="244"/>
      <c r="S554" s="244"/>
      <c r="T554" s="244"/>
      <c r="U554" s="244"/>
      <c r="V554" s="244"/>
      <c r="W554" s="244"/>
      <c r="X554" s="244"/>
      <c r="Y554" s="244"/>
      <c r="Z554" s="244"/>
    </row>
    <row r="555" hidden="1">
      <c r="A555" s="249"/>
      <c r="B555" s="249"/>
      <c r="C555" s="250"/>
      <c r="D555" s="244"/>
      <c r="E555" s="244"/>
      <c r="F555" s="244"/>
      <c r="G555" s="244"/>
      <c r="H555" s="244"/>
      <c r="I555" s="244"/>
      <c r="J555" s="244"/>
      <c r="K555" s="244"/>
      <c r="L555" s="244"/>
      <c r="M555" s="244"/>
      <c r="N555" s="244"/>
      <c r="O555" s="244"/>
      <c r="P555" s="244"/>
      <c r="Q555" s="244"/>
      <c r="R555" s="244"/>
      <c r="S555" s="244"/>
      <c r="T555" s="244"/>
      <c r="U555" s="244"/>
      <c r="V555" s="244"/>
      <c r="W555" s="244"/>
      <c r="X555" s="244"/>
      <c r="Y555" s="244"/>
      <c r="Z555" s="244"/>
    </row>
    <row r="556" hidden="1">
      <c r="A556" s="249"/>
      <c r="B556" s="249"/>
      <c r="C556" s="250"/>
      <c r="D556" s="244"/>
      <c r="E556" s="244"/>
      <c r="F556" s="244"/>
      <c r="G556" s="244"/>
      <c r="H556" s="244"/>
      <c r="I556" s="244"/>
      <c r="J556" s="244"/>
      <c r="K556" s="244"/>
      <c r="L556" s="244"/>
      <c r="M556" s="244"/>
      <c r="N556" s="244"/>
      <c r="O556" s="244"/>
      <c r="P556" s="244"/>
      <c r="Q556" s="244"/>
      <c r="R556" s="244"/>
      <c r="S556" s="244"/>
      <c r="T556" s="244"/>
      <c r="U556" s="244"/>
      <c r="V556" s="244"/>
      <c r="W556" s="244"/>
      <c r="X556" s="244"/>
      <c r="Y556" s="244"/>
      <c r="Z556" s="244"/>
    </row>
    <row r="557" hidden="1">
      <c r="A557" s="249"/>
      <c r="B557" s="249"/>
      <c r="C557" s="250"/>
      <c r="D557" s="244"/>
      <c r="E557" s="244"/>
      <c r="F557" s="244"/>
      <c r="G557" s="244"/>
      <c r="H557" s="244"/>
      <c r="I557" s="244"/>
      <c r="J557" s="244"/>
      <c r="K557" s="244"/>
      <c r="L557" s="244"/>
      <c r="M557" s="244"/>
      <c r="N557" s="244"/>
      <c r="O557" s="244"/>
      <c r="P557" s="244"/>
      <c r="Q557" s="244"/>
      <c r="R557" s="244"/>
      <c r="S557" s="244"/>
      <c r="T557" s="244"/>
      <c r="U557" s="244"/>
      <c r="V557" s="244"/>
      <c r="W557" s="244"/>
      <c r="X557" s="244"/>
      <c r="Y557" s="244"/>
      <c r="Z557" s="244"/>
    </row>
    <row r="558" hidden="1">
      <c r="A558" s="249"/>
      <c r="B558" s="249"/>
      <c r="C558" s="250"/>
      <c r="D558" s="244"/>
      <c r="E558" s="244"/>
      <c r="F558" s="244"/>
      <c r="G558" s="244"/>
      <c r="H558" s="244"/>
      <c r="I558" s="244"/>
      <c r="J558" s="244"/>
      <c r="K558" s="244"/>
      <c r="L558" s="244"/>
      <c r="M558" s="244"/>
      <c r="N558" s="244"/>
      <c r="O558" s="244"/>
      <c r="P558" s="244"/>
      <c r="Q558" s="244"/>
      <c r="R558" s="244"/>
      <c r="S558" s="244"/>
      <c r="T558" s="244"/>
      <c r="U558" s="244"/>
      <c r="V558" s="244"/>
      <c r="W558" s="244"/>
      <c r="X558" s="244"/>
      <c r="Y558" s="244"/>
      <c r="Z558" s="244"/>
    </row>
    <row r="559" hidden="1">
      <c r="A559" s="249"/>
      <c r="B559" s="249"/>
      <c r="C559" s="250"/>
      <c r="D559" s="244"/>
      <c r="E559" s="244"/>
      <c r="F559" s="244"/>
      <c r="G559" s="244"/>
      <c r="H559" s="244"/>
      <c r="I559" s="244"/>
      <c r="J559" s="244"/>
      <c r="K559" s="244"/>
      <c r="L559" s="244"/>
      <c r="M559" s="244"/>
      <c r="N559" s="244"/>
      <c r="O559" s="244"/>
      <c r="P559" s="244"/>
      <c r="Q559" s="244"/>
      <c r="R559" s="244"/>
      <c r="S559" s="244"/>
      <c r="T559" s="244"/>
      <c r="U559" s="244"/>
      <c r="V559" s="244"/>
      <c r="W559" s="244"/>
      <c r="X559" s="244"/>
      <c r="Y559" s="244"/>
      <c r="Z559" s="244"/>
    </row>
    <row r="560" hidden="1">
      <c r="A560" s="249"/>
      <c r="B560" s="249"/>
      <c r="C560" s="250"/>
      <c r="D560" s="244"/>
      <c r="E560" s="244"/>
      <c r="F560" s="244"/>
      <c r="G560" s="244"/>
      <c r="H560" s="244"/>
      <c r="I560" s="244"/>
      <c r="J560" s="244"/>
      <c r="K560" s="244"/>
      <c r="L560" s="244"/>
      <c r="M560" s="244"/>
      <c r="N560" s="244"/>
      <c r="O560" s="244"/>
      <c r="P560" s="244"/>
      <c r="Q560" s="244"/>
      <c r="R560" s="244"/>
      <c r="S560" s="244"/>
      <c r="T560" s="244"/>
      <c r="U560" s="244"/>
      <c r="V560" s="244"/>
      <c r="W560" s="244"/>
      <c r="X560" s="244"/>
      <c r="Y560" s="244"/>
      <c r="Z560" s="244"/>
    </row>
    <row r="561" hidden="1">
      <c r="A561" s="249"/>
      <c r="B561" s="249"/>
      <c r="C561" s="250"/>
      <c r="D561" s="244"/>
      <c r="E561" s="244"/>
      <c r="F561" s="244"/>
      <c r="G561" s="244"/>
      <c r="H561" s="244"/>
      <c r="I561" s="244"/>
      <c r="J561" s="244"/>
      <c r="K561" s="244"/>
      <c r="L561" s="244"/>
      <c r="M561" s="244"/>
      <c r="N561" s="244"/>
      <c r="O561" s="244"/>
      <c r="P561" s="244"/>
      <c r="Q561" s="244"/>
      <c r="R561" s="244"/>
      <c r="S561" s="244"/>
      <c r="T561" s="244"/>
      <c r="U561" s="244"/>
      <c r="V561" s="244"/>
      <c r="W561" s="244"/>
      <c r="X561" s="244"/>
      <c r="Y561" s="244"/>
      <c r="Z561" s="244"/>
    </row>
    <row r="562" hidden="1">
      <c r="A562" s="249"/>
      <c r="B562" s="249"/>
      <c r="C562" s="250"/>
      <c r="D562" s="244"/>
      <c r="E562" s="244"/>
      <c r="F562" s="244"/>
      <c r="G562" s="244"/>
      <c r="H562" s="244"/>
      <c r="I562" s="244"/>
      <c r="J562" s="244"/>
      <c r="K562" s="244"/>
      <c r="L562" s="244"/>
      <c r="M562" s="244"/>
      <c r="N562" s="244"/>
      <c r="O562" s="244"/>
      <c r="P562" s="244"/>
      <c r="Q562" s="244"/>
      <c r="R562" s="244"/>
      <c r="S562" s="244"/>
      <c r="T562" s="244"/>
      <c r="U562" s="244"/>
      <c r="V562" s="244"/>
      <c r="W562" s="244"/>
      <c r="X562" s="244"/>
      <c r="Y562" s="244"/>
      <c r="Z562" s="244"/>
    </row>
    <row r="563" hidden="1">
      <c r="A563" s="249"/>
      <c r="B563" s="249"/>
      <c r="C563" s="250"/>
      <c r="D563" s="244"/>
      <c r="E563" s="244"/>
      <c r="F563" s="244"/>
      <c r="G563" s="244"/>
      <c r="H563" s="244"/>
      <c r="I563" s="244"/>
      <c r="J563" s="244"/>
      <c r="K563" s="244"/>
      <c r="L563" s="244"/>
      <c r="M563" s="244"/>
      <c r="N563" s="244"/>
      <c r="O563" s="244"/>
      <c r="P563" s="244"/>
      <c r="Q563" s="244"/>
      <c r="R563" s="244"/>
      <c r="S563" s="244"/>
      <c r="T563" s="244"/>
      <c r="U563" s="244"/>
      <c r="V563" s="244"/>
      <c r="W563" s="244"/>
      <c r="X563" s="244"/>
      <c r="Y563" s="244"/>
      <c r="Z563" s="244"/>
    </row>
    <row r="564" hidden="1">
      <c r="A564" s="249"/>
      <c r="B564" s="249"/>
      <c r="C564" s="250"/>
      <c r="D564" s="244"/>
      <c r="E564" s="244"/>
      <c r="F564" s="244"/>
      <c r="G564" s="244"/>
      <c r="H564" s="244"/>
      <c r="I564" s="244"/>
      <c r="J564" s="244"/>
      <c r="K564" s="244"/>
      <c r="L564" s="244"/>
      <c r="M564" s="244"/>
      <c r="N564" s="244"/>
      <c r="O564" s="244"/>
      <c r="P564" s="244"/>
      <c r="Q564" s="244"/>
      <c r="R564" s="244"/>
      <c r="S564" s="244"/>
      <c r="T564" s="244"/>
      <c r="U564" s="244"/>
      <c r="V564" s="244"/>
      <c r="W564" s="244"/>
      <c r="X564" s="244"/>
      <c r="Y564" s="244"/>
      <c r="Z564" s="244"/>
    </row>
    <row r="565" hidden="1">
      <c r="A565" s="249"/>
      <c r="B565" s="249"/>
      <c r="C565" s="250"/>
      <c r="D565" s="244"/>
      <c r="E565" s="244"/>
      <c r="F565" s="244"/>
      <c r="G565" s="244"/>
      <c r="H565" s="244"/>
      <c r="I565" s="244"/>
      <c r="J565" s="244"/>
      <c r="K565" s="244"/>
      <c r="L565" s="244"/>
      <c r="M565" s="244"/>
      <c r="N565" s="244"/>
      <c r="O565" s="244"/>
      <c r="P565" s="244"/>
      <c r="Q565" s="244"/>
      <c r="R565" s="244"/>
      <c r="S565" s="244"/>
      <c r="T565" s="244"/>
      <c r="U565" s="244"/>
      <c r="V565" s="244"/>
      <c r="W565" s="244"/>
      <c r="X565" s="244"/>
      <c r="Y565" s="244"/>
      <c r="Z565" s="244"/>
    </row>
    <row r="566" hidden="1">
      <c r="A566" s="249"/>
      <c r="B566" s="249"/>
      <c r="C566" s="250"/>
      <c r="D566" s="244"/>
      <c r="E566" s="244"/>
      <c r="F566" s="244"/>
      <c r="G566" s="244"/>
      <c r="H566" s="244"/>
      <c r="I566" s="244"/>
      <c r="J566" s="244"/>
      <c r="K566" s="244"/>
      <c r="L566" s="244"/>
      <c r="M566" s="244"/>
      <c r="N566" s="244"/>
      <c r="O566" s="244"/>
      <c r="P566" s="244"/>
      <c r="Q566" s="244"/>
      <c r="R566" s="244"/>
      <c r="S566" s="244"/>
      <c r="T566" s="244"/>
      <c r="U566" s="244"/>
      <c r="V566" s="244"/>
      <c r="W566" s="244"/>
      <c r="X566" s="244"/>
      <c r="Y566" s="244"/>
      <c r="Z566" s="244"/>
    </row>
    <row r="567" hidden="1">
      <c r="A567" s="249"/>
      <c r="B567" s="249"/>
      <c r="C567" s="250"/>
      <c r="D567" s="244"/>
      <c r="E567" s="244"/>
      <c r="F567" s="244"/>
      <c r="G567" s="244"/>
      <c r="H567" s="244"/>
      <c r="I567" s="244"/>
      <c r="J567" s="244"/>
      <c r="K567" s="244"/>
      <c r="L567" s="244"/>
      <c r="M567" s="244"/>
      <c r="N567" s="244"/>
      <c r="O567" s="244"/>
      <c r="P567" s="244"/>
      <c r="Q567" s="244"/>
      <c r="R567" s="244"/>
      <c r="S567" s="244"/>
      <c r="T567" s="244"/>
      <c r="U567" s="244"/>
      <c r="V567" s="244"/>
      <c r="W567" s="244"/>
      <c r="X567" s="244"/>
      <c r="Y567" s="244"/>
      <c r="Z567" s="244"/>
    </row>
    <row r="568" hidden="1">
      <c r="A568" s="249"/>
      <c r="B568" s="249"/>
      <c r="C568" s="250"/>
      <c r="D568" s="244"/>
      <c r="E568" s="244"/>
      <c r="F568" s="244"/>
      <c r="G568" s="244"/>
      <c r="H568" s="244"/>
      <c r="I568" s="244"/>
      <c r="J568" s="244"/>
      <c r="K568" s="244"/>
      <c r="L568" s="244"/>
      <c r="M568" s="244"/>
      <c r="N568" s="244"/>
      <c r="O568" s="244"/>
      <c r="P568" s="244"/>
      <c r="Q568" s="244"/>
      <c r="R568" s="244"/>
      <c r="S568" s="244"/>
      <c r="T568" s="244"/>
      <c r="U568" s="244"/>
      <c r="V568" s="244"/>
      <c r="W568" s="244"/>
      <c r="X568" s="244"/>
      <c r="Y568" s="244"/>
      <c r="Z568" s="244"/>
    </row>
    <row r="569" hidden="1">
      <c r="A569" s="249"/>
      <c r="B569" s="249"/>
      <c r="C569" s="250"/>
      <c r="D569" s="244"/>
      <c r="E569" s="244"/>
      <c r="F569" s="244"/>
      <c r="G569" s="244"/>
      <c r="H569" s="244"/>
      <c r="I569" s="244"/>
      <c r="J569" s="244"/>
      <c r="K569" s="244"/>
      <c r="L569" s="244"/>
      <c r="M569" s="244"/>
      <c r="N569" s="244"/>
      <c r="O569" s="244"/>
      <c r="P569" s="244"/>
      <c r="Q569" s="244"/>
      <c r="R569" s="244"/>
      <c r="S569" s="244"/>
      <c r="T569" s="244"/>
      <c r="U569" s="244"/>
      <c r="V569" s="244"/>
      <c r="W569" s="244"/>
      <c r="X569" s="244"/>
      <c r="Y569" s="244"/>
      <c r="Z569" s="244"/>
    </row>
    <row r="570" hidden="1">
      <c r="A570" s="249"/>
      <c r="B570" s="249"/>
      <c r="C570" s="250"/>
      <c r="D570" s="244"/>
      <c r="E570" s="244"/>
      <c r="F570" s="244"/>
      <c r="G570" s="244"/>
      <c r="H570" s="244"/>
      <c r="I570" s="244"/>
      <c r="J570" s="244"/>
      <c r="K570" s="244"/>
      <c r="L570" s="244"/>
      <c r="M570" s="244"/>
      <c r="N570" s="244"/>
      <c r="O570" s="244"/>
      <c r="P570" s="244"/>
      <c r="Q570" s="244"/>
      <c r="R570" s="244"/>
      <c r="S570" s="244"/>
      <c r="T570" s="244"/>
      <c r="U570" s="244"/>
      <c r="V570" s="244"/>
      <c r="W570" s="244"/>
      <c r="X570" s="244"/>
      <c r="Y570" s="244"/>
      <c r="Z570" s="244"/>
    </row>
    <row r="571" hidden="1">
      <c r="A571" s="249"/>
      <c r="B571" s="249"/>
      <c r="C571" s="250"/>
      <c r="D571" s="244"/>
      <c r="E571" s="244"/>
      <c r="F571" s="244"/>
      <c r="G571" s="244"/>
      <c r="H571" s="244"/>
      <c r="I571" s="244"/>
      <c r="J571" s="244"/>
      <c r="K571" s="244"/>
      <c r="L571" s="244"/>
      <c r="M571" s="244"/>
      <c r="N571" s="244"/>
      <c r="O571" s="244"/>
      <c r="P571" s="244"/>
      <c r="Q571" s="244"/>
      <c r="R571" s="244"/>
      <c r="S571" s="244"/>
      <c r="T571" s="244"/>
      <c r="U571" s="244"/>
      <c r="V571" s="244"/>
      <c r="W571" s="244"/>
      <c r="X571" s="244"/>
      <c r="Y571" s="244"/>
      <c r="Z571" s="244"/>
    </row>
    <row r="572" hidden="1">
      <c r="A572" s="249"/>
      <c r="B572" s="249"/>
      <c r="C572" s="250"/>
      <c r="D572" s="244"/>
      <c r="E572" s="244"/>
      <c r="F572" s="244"/>
      <c r="G572" s="244"/>
      <c r="H572" s="244"/>
      <c r="I572" s="244"/>
      <c r="J572" s="244"/>
      <c r="K572" s="244"/>
      <c r="L572" s="244"/>
      <c r="M572" s="244"/>
      <c r="N572" s="244"/>
      <c r="O572" s="244"/>
      <c r="P572" s="244"/>
      <c r="Q572" s="244"/>
      <c r="R572" s="244"/>
      <c r="S572" s="244"/>
      <c r="T572" s="244"/>
      <c r="U572" s="244"/>
      <c r="V572" s="244"/>
      <c r="W572" s="244"/>
      <c r="X572" s="244"/>
      <c r="Y572" s="244"/>
      <c r="Z572" s="244"/>
    </row>
    <row r="573" hidden="1">
      <c r="A573" s="249"/>
      <c r="B573" s="249"/>
      <c r="C573" s="250"/>
      <c r="D573" s="244"/>
      <c r="E573" s="244"/>
      <c r="F573" s="244"/>
      <c r="G573" s="244"/>
      <c r="H573" s="244"/>
      <c r="I573" s="244"/>
      <c r="J573" s="244"/>
      <c r="K573" s="244"/>
      <c r="L573" s="244"/>
      <c r="M573" s="244"/>
      <c r="N573" s="244"/>
      <c r="O573" s="244"/>
      <c r="P573" s="244"/>
      <c r="Q573" s="244"/>
      <c r="R573" s="244"/>
      <c r="S573" s="244"/>
      <c r="T573" s="244"/>
      <c r="U573" s="244"/>
      <c r="V573" s="244"/>
      <c r="W573" s="244"/>
      <c r="X573" s="244"/>
      <c r="Y573" s="244"/>
      <c r="Z573" s="244"/>
    </row>
    <row r="574" hidden="1">
      <c r="A574" s="249"/>
      <c r="B574" s="249"/>
      <c r="C574" s="250"/>
      <c r="D574" s="244"/>
      <c r="E574" s="244"/>
      <c r="F574" s="244"/>
      <c r="G574" s="244"/>
      <c r="H574" s="244"/>
      <c r="I574" s="244"/>
      <c r="J574" s="244"/>
      <c r="K574" s="244"/>
      <c r="L574" s="244"/>
      <c r="M574" s="244"/>
      <c r="N574" s="244"/>
      <c r="O574" s="244"/>
      <c r="P574" s="244"/>
      <c r="Q574" s="244"/>
      <c r="R574" s="244"/>
      <c r="S574" s="244"/>
      <c r="T574" s="244"/>
      <c r="U574" s="244"/>
      <c r="V574" s="244"/>
      <c r="W574" s="244"/>
      <c r="X574" s="244"/>
      <c r="Y574" s="244"/>
      <c r="Z574" s="244"/>
    </row>
    <row r="575" hidden="1">
      <c r="A575" s="249"/>
      <c r="B575" s="249"/>
      <c r="C575" s="250"/>
      <c r="D575" s="244"/>
      <c r="E575" s="244"/>
      <c r="F575" s="244"/>
      <c r="G575" s="244"/>
      <c r="H575" s="244"/>
      <c r="I575" s="244"/>
      <c r="J575" s="244"/>
      <c r="K575" s="244"/>
      <c r="L575" s="244"/>
      <c r="M575" s="244"/>
      <c r="N575" s="244"/>
      <c r="O575" s="244"/>
      <c r="P575" s="244"/>
      <c r="Q575" s="244"/>
      <c r="R575" s="244"/>
      <c r="S575" s="244"/>
      <c r="T575" s="244"/>
      <c r="U575" s="244"/>
      <c r="V575" s="244"/>
      <c r="W575" s="244"/>
      <c r="X575" s="244"/>
      <c r="Y575" s="244"/>
      <c r="Z575" s="244"/>
    </row>
    <row r="576" hidden="1">
      <c r="A576" s="249"/>
      <c r="B576" s="249"/>
      <c r="C576" s="250"/>
      <c r="D576" s="244"/>
      <c r="E576" s="244"/>
      <c r="F576" s="244"/>
      <c r="G576" s="244"/>
      <c r="H576" s="244"/>
      <c r="I576" s="244"/>
      <c r="J576" s="244"/>
      <c r="K576" s="244"/>
      <c r="L576" s="244"/>
      <c r="M576" s="244"/>
      <c r="N576" s="244"/>
      <c r="O576" s="244"/>
      <c r="P576" s="244"/>
      <c r="Q576" s="244"/>
      <c r="R576" s="244"/>
      <c r="S576" s="244"/>
      <c r="T576" s="244"/>
      <c r="U576" s="244"/>
      <c r="V576" s="244"/>
      <c r="W576" s="244"/>
      <c r="X576" s="244"/>
      <c r="Y576" s="244"/>
      <c r="Z576" s="244"/>
    </row>
    <row r="577" hidden="1">
      <c r="A577" s="249"/>
      <c r="B577" s="249"/>
      <c r="C577" s="250"/>
      <c r="D577" s="244"/>
      <c r="E577" s="244"/>
      <c r="F577" s="244"/>
      <c r="G577" s="244"/>
      <c r="H577" s="244"/>
      <c r="I577" s="244"/>
      <c r="J577" s="244"/>
      <c r="K577" s="244"/>
      <c r="L577" s="244"/>
      <c r="M577" s="244"/>
      <c r="N577" s="244"/>
      <c r="O577" s="244"/>
      <c r="P577" s="244"/>
      <c r="Q577" s="244"/>
      <c r="R577" s="244"/>
      <c r="S577" s="244"/>
      <c r="T577" s="244"/>
      <c r="U577" s="244"/>
      <c r="V577" s="244"/>
      <c r="W577" s="244"/>
      <c r="X577" s="244"/>
      <c r="Y577" s="244"/>
      <c r="Z577" s="244"/>
    </row>
    <row r="578" hidden="1">
      <c r="A578" s="249"/>
      <c r="B578" s="249"/>
      <c r="C578" s="250"/>
      <c r="D578" s="244"/>
      <c r="E578" s="244"/>
      <c r="F578" s="244"/>
      <c r="G578" s="244"/>
      <c r="H578" s="244"/>
      <c r="I578" s="244"/>
      <c r="J578" s="244"/>
      <c r="K578" s="244"/>
      <c r="L578" s="244"/>
      <c r="M578" s="244"/>
      <c r="N578" s="244"/>
      <c r="O578" s="244"/>
      <c r="P578" s="244"/>
      <c r="Q578" s="244"/>
      <c r="R578" s="244"/>
      <c r="S578" s="244"/>
      <c r="T578" s="244"/>
      <c r="U578" s="244"/>
      <c r="V578" s="244"/>
      <c r="W578" s="244"/>
      <c r="X578" s="244"/>
      <c r="Y578" s="244"/>
      <c r="Z578" s="244"/>
    </row>
    <row r="579" hidden="1">
      <c r="A579" s="249"/>
      <c r="B579" s="249"/>
      <c r="C579" s="250"/>
      <c r="D579" s="244"/>
      <c r="E579" s="244"/>
      <c r="F579" s="244"/>
      <c r="G579" s="244"/>
      <c r="H579" s="244"/>
      <c r="I579" s="244"/>
      <c r="J579" s="244"/>
      <c r="K579" s="244"/>
      <c r="L579" s="244"/>
      <c r="M579" s="244"/>
      <c r="N579" s="244"/>
      <c r="O579" s="244"/>
      <c r="P579" s="244"/>
      <c r="Q579" s="244"/>
      <c r="R579" s="244"/>
      <c r="S579" s="244"/>
      <c r="T579" s="244"/>
      <c r="U579" s="244"/>
      <c r="V579" s="244"/>
      <c r="W579" s="244"/>
      <c r="X579" s="244"/>
      <c r="Y579" s="244"/>
      <c r="Z579" s="244"/>
    </row>
    <row r="580" hidden="1">
      <c r="A580" s="249"/>
      <c r="B580" s="249"/>
      <c r="C580" s="250"/>
      <c r="D580" s="244"/>
      <c r="E580" s="244"/>
      <c r="F580" s="244"/>
      <c r="G580" s="244"/>
      <c r="H580" s="244"/>
      <c r="I580" s="244"/>
      <c r="J580" s="244"/>
      <c r="K580" s="244"/>
      <c r="L580" s="244"/>
      <c r="M580" s="244"/>
      <c r="N580" s="244"/>
      <c r="O580" s="244"/>
      <c r="P580" s="244"/>
      <c r="Q580" s="244"/>
      <c r="R580" s="244"/>
      <c r="S580" s="244"/>
      <c r="T580" s="244"/>
      <c r="U580" s="244"/>
      <c r="V580" s="244"/>
      <c r="W580" s="244"/>
      <c r="X580" s="244"/>
      <c r="Y580" s="244"/>
      <c r="Z580" s="244"/>
    </row>
    <row r="581" hidden="1">
      <c r="A581" s="249"/>
      <c r="B581" s="249"/>
      <c r="C581" s="250"/>
      <c r="D581" s="244"/>
      <c r="E581" s="244"/>
      <c r="F581" s="244"/>
      <c r="G581" s="244"/>
      <c r="H581" s="244"/>
      <c r="I581" s="244"/>
      <c r="J581" s="244"/>
      <c r="K581" s="244"/>
      <c r="L581" s="244"/>
      <c r="M581" s="244"/>
      <c r="N581" s="244"/>
      <c r="O581" s="244"/>
      <c r="P581" s="244"/>
      <c r="Q581" s="244"/>
      <c r="R581" s="244"/>
      <c r="S581" s="244"/>
      <c r="T581" s="244"/>
      <c r="U581" s="244"/>
      <c r="V581" s="244"/>
      <c r="W581" s="244"/>
      <c r="X581" s="244"/>
      <c r="Y581" s="244"/>
      <c r="Z581" s="244"/>
    </row>
    <row r="582" hidden="1">
      <c r="A582" s="249"/>
      <c r="B582" s="249"/>
      <c r="C582" s="250"/>
      <c r="D582" s="244"/>
      <c r="E582" s="244"/>
      <c r="F582" s="244"/>
      <c r="G582" s="244"/>
      <c r="H582" s="244"/>
      <c r="I582" s="244"/>
      <c r="J582" s="244"/>
      <c r="K582" s="244"/>
      <c r="L582" s="244"/>
      <c r="M582" s="244"/>
      <c r="N582" s="244"/>
      <c r="O582" s="244"/>
      <c r="P582" s="244"/>
      <c r="Q582" s="244"/>
      <c r="R582" s="244"/>
      <c r="S582" s="244"/>
      <c r="T582" s="244"/>
      <c r="U582" s="244"/>
      <c r="V582" s="244"/>
      <c r="W582" s="244"/>
      <c r="X582" s="244"/>
      <c r="Y582" s="244"/>
      <c r="Z582" s="244"/>
    </row>
    <row r="583" hidden="1">
      <c r="A583" s="249"/>
      <c r="B583" s="249"/>
      <c r="C583" s="250"/>
      <c r="D583" s="244"/>
      <c r="E583" s="244"/>
      <c r="F583" s="244"/>
      <c r="G583" s="244"/>
      <c r="H583" s="244"/>
      <c r="I583" s="244"/>
      <c r="J583" s="244"/>
      <c r="K583" s="244"/>
      <c r="L583" s="244"/>
      <c r="M583" s="244"/>
      <c r="N583" s="244"/>
      <c r="O583" s="244"/>
      <c r="P583" s="244"/>
      <c r="Q583" s="244"/>
      <c r="R583" s="244"/>
      <c r="S583" s="244"/>
      <c r="T583" s="244"/>
      <c r="U583" s="244"/>
      <c r="V583" s="244"/>
      <c r="W583" s="244"/>
      <c r="X583" s="244"/>
      <c r="Y583" s="244"/>
      <c r="Z583" s="244"/>
    </row>
    <row r="584" hidden="1">
      <c r="A584" s="249"/>
      <c r="B584" s="249"/>
      <c r="C584" s="250"/>
      <c r="D584" s="244"/>
      <c r="E584" s="244"/>
      <c r="F584" s="244"/>
      <c r="G584" s="244"/>
      <c r="H584" s="244"/>
      <c r="I584" s="244"/>
      <c r="J584" s="244"/>
      <c r="K584" s="244"/>
      <c r="L584" s="244"/>
      <c r="M584" s="244"/>
      <c r="N584" s="244"/>
      <c r="O584" s="244"/>
      <c r="P584" s="244"/>
      <c r="Q584" s="244"/>
      <c r="R584" s="244"/>
      <c r="S584" s="244"/>
      <c r="T584" s="244"/>
      <c r="U584" s="244"/>
      <c r="V584" s="244"/>
      <c r="W584" s="244"/>
      <c r="X584" s="244"/>
      <c r="Y584" s="244"/>
      <c r="Z584" s="244"/>
    </row>
    <row r="585" hidden="1">
      <c r="A585" s="249"/>
      <c r="B585" s="249"/>
      <c r="C585" s="250"/>
      <c r="D585" s="244"/>
      <c r="E585" s="244"/>
      <c r="F585" s="244"/>
      <c r="G585" s="244"/>
      <c r="H585" s="244"/>
      <c r="I585" s="244"/>
      <c r="J585" s="244"/>
      <c r="K585" s="244"/>
      <c r="L585" s="244"/>
      <c r="M585" s="244"/>
      <c r="N585" s="244"/>
      <c r="O585" s="244"/>
      <c r="P585" s="244"/>
      <c r="Q585" s="244"/>
      <c r="R585" s="244"/>
      <c r="S585" s="244"/>
      <c r="T585" s="244"/>
      <c r="U585" s="244"/>
      <c r="V585" s="244"/>
      <c r="W585" s="244"/>
      <c r="X585" s="244"/>
      <c r="Y585" s="244"/>
      <c r="Z585" s="244"/>
    </row>
    <row r="586" hidden="1">
      <c r="A586" s="249"/>
      <c r="B586" s="249"/>
      <c r="C586" s="250"/>
      <c r="D586" s="244"/>
      <c r="E586" s="244"/>
      <c r="F586" s="244"/>
      <c r="G586" s="244"/>
      <c r="H586" s="244"/>
      <c r="I586" s="244"/>
      <c r="J586" s="244"/>
      <c r="K586" s="244"/>
      <c r="L586" s="244"/>
      <c r="M586" s="244"/>
      <c r="N586" s="244"/>
      <c r="O586" s="244"/>
      <c r="P586" s="244"/>
      <c r="Q586" s="244"/>
      <c r="R586" s="244"/>
      <c r="S586" s="244"/>
      <c r="T586" s="244"/>
      <c r="U586" s="244"/>
      <c r="V586" s="244"/>
      <c r="W586" s="244"/>
      <c r="X586" s="244"/>
      <c r="Y586" s="244"/>
      <c r="Z586" s="244"/>
    </row>
    <row r="587" hidden="1">
      <c r="A587" s="249"/>
      <c r="B587" s="249"/>
      <c r="C587" s="250"/>
      <c r="D587" s="244"/>
      <c r="E587" s="244"/>
      <c r="F587" s="244"/>
      <c r="G587" s="244"/>
      <c r="H587" s="244"/>
      <c r="I587" s="244"/>
      <c r="J587" s="244"/>
      <c r="K587" s="244"/>
      <c r="L587" s="244"/>
      <c r="M587" s="244"/>
      <c r="N587" s="244"/>
      <c r="O587" s="244"/>
      <c r="P587" s="244"/>
      <c r="Q587" s="244"/>
      <c r="R587" s="244"/>
      <c r="S587" s="244"/>
      <c r="T587" s="244"/>
      <c r="U587" s="244"/>
      <c r="V587" s="244"/>
      <c r="W587" s="244"/>
      <c r="X587" s="244"/>
      <c r="Y587" s="244"/>
      <c r="Z587" s="244"/>
    </row>
    <row r="588" hidden="1">
      <c r="A588" s="249"/>
      <c r="B588" s="249"/>
      <c r="C588" s="250"/>
      <c r="D588" s="244"/>
      <c r="E588" s="244"/>
      <c r="F588" s="244"/>
      <c r="G588" s="244"/>
      <c r="H588" s="244"/>
      <c r="I588" s="244"/>
      <c r="J588" s="244"/>
      <c r="K588" s="244"/>
      <c r="L588" s="244"/>
      <c r="M588" s="244"/>
      <c r="N588" s="244"/>
      <c r="O588" s="244"/>
      <c r="P588" s="244"/>
      <c r="Q588" s="244"/>
      <c r="R588" s="244"/>
      <c r="S588" s="244"/>
      <c r="T588" s="244"/>
      <c r="U588" s="244"/>
      <c r="V588" s="244"/>
      <c r="W588" s="244"/>
      <c r="X588" s="244"/>
      <c r="Y588" s="244"/>
      <c r="Z588" s="244"/>
    </row>
    <row r="589" hidden="1">
      <c r="A589" s="249"/>
      <c r="B589" s="249"/>
      <c r="C589" s="250"/>
      <c r="D589" s="244"/>
      <c r="E589" s="244"/>
      <c r="F589" s="244"/>
      <c r="G589" s="244"/>
      <c r="H589" s="244"/>
      <c r="I589" s="244"/>
      <c r="J589" s="244"/>
      <c r="K589" s="244"/>
      <c r="L589" s="244"/>
      <c r="M589" s="244"/>
      <c r="N589" s="244"/>
      <c r="O589" s="244"/>
      <c r="P589" s="244"/>
      <c r="Q589" s="244"/>
      <c r="R589" s="244"/>
      <c r="S589" s="244"/>
      <c r="T589" s="244"/>
      <c r="U589" s="244"/>
      <c r="V589" s="244"/>
      <c r="W589" s="244"/>
      <c r="X589" s="244"/>
      <c r="Y589" s="244"/>
      <c r="Z589" s="244"/>
    </row>
    <row r="590" hidden="1">
      <c r="A590" s="249"/>
      <c r="B590" s="249"/>
      <c r="C590" s="250"/>
      <c r="D590" s="244"/>
      <c r="E590" s="244"/>
      <c r="F590" s="244"/>
      <c r="G590" s="244"/>
      <c r="H590" s="244"/>
      <c r="I590" s="244"/>
      <c r="J590" s="244"/>
      <c r="K590" s="244"/>
      <c r="L590" s="244"/>
      <c r="M590" s="244"/>
      <c r="N590" s="244"/>
      <c r="O590" s="244"/>
      <c r="P590" s="244"/>
      <c r="Q590" s="244"/>
      <c r="R590" s="244"/>
      <c r="S590" s="244"/>
      <c r="T590" s="244"/>
      <c r="U590" s="244"/>
      <c r="V590" s="244"/>
      <c r="W590" s="244"/>
      <c r="X590" s="244"/>
      <c r="Y590" s="244"/>
      <c r="Z590" s="244"/>
    </row>
    <row r="591" hidden="1">
      <c r="A591" s="249"/>
      <c r="B591" s="249"/>
      <c r="C591" s="250"/>
      <c r="D591" s="244"/>
      <c r="E591" s="244"/>
      <c r="F591" s="244"/>
      <c r="G591" s="244"/>
      <c r="H591" s="244"/>
      <c r="I591" s="244"/>
      <c r="J591" s="244"/>
      <c r="K591" s="244"/>
      <c r="L591" s="244"/>
      <c r="M591" s="244"/>
      <c r="N591" s="244"/>
      <c r="O591" s="244"/>
      <c r="P591" s="244"/>
      <c r="Q591" s="244"/>
      <c r="R591" s="244"/>
      <c r="S591" s="244"/>
      <c r="T591" s="244"/>
      <c r="U591" s="244"/>
      <c r="V591" s="244"/>
      <c r="W591" s="244"/>
      <c r="X591" s="244"/>
      <c r="Y591" s="244"/>
      <c r="Z591" s="244"/>
    </row>
    <row r="592" hidden="1">
      <c r="A592" s="249"/>
      <c r="B592" s="249"/>
      <c r="C592" s="250"/>
      <c r="D592" s="244"/>
      <c r="E592" s="244"/>
      <c r="F592" s="244"/>
      <c r="G592" s="244"/>
      <c r="H592" s="244"/>
      <c r="I592" s="244"/>
      <c r="J592" s="244"/>
      <c r="K592" s="244"/>
      <c r="L592" s="244"/>
      <c r="M592" s="244"/>
      <c r="N592" s="244"/>
      <c r="O592" s="244"/>
      <c r="P592" s="244"/>
      <c r="Q592" s="244"/>
      <c r="R592" s="244"/>
      <c r="S592" s="244"/>
      <c r="T592" s="244"/>
      <c r="U592" s="244"/>
      <c r="V592" s="244"/>
      <c r="W592" s="244"/>
      <c r="X592" s="244"/>
      <c r="Y592" s="244"/>
      <c r="Z592" s="244"/>
    </row>
    <row r="593" hidden="1">
      <c r="A593" s="249"/>
      <c r="B593" s="249"/>
      <c r="C593" s="250"/>
      <c r="D593" s="244"/>
      <c r="E593" s="244"/>
      <c r="F593" s="244"/>
      <c r="G593" s="244"/>
      <c r="H593" s="244"/>
      <c r="I593" s="244"/>
      <c r="J593" s="244"/>
      <c r="K593" s="244"/>
      <c r="L593" s="244"/>
      <c r="M593" s="244"/>
      <c r="N593" s="244"/>
      <c r="O593" s="244"/>
      <c r="P593" s="244"/>
      <c r="Q593" s="244"/>
      <c r="R593" s="244"/>
      <c r="S593" s="244"/>
      <c r="T593" s="244"/>
      <c r="U593" s="244"/>
      <c r="V593" s="244"/>
      <c r="W593" s="244"/>
      <c r="X593" s="244"/>
      <c r="Y593" s="244"/>
      <c r="Z593" s="244"/>
    </row>
    <row r="594" hidden="1">
      <c r="A594" s="249"/>
      <c r="B594" s="249"/>
      <c r="C594" s="250"/>
      <c r="D594" s="244"/>
      <c r="E594" s="244"/>
      <c r="F594" s="244"/>
      <c r="G594" s="244"/>
      <c r="H594" s="244"/>
      <c r="I594" s="244"/>
      <c r="J594" s="244"/>
      <c r="K594" s="244"/>
      <c r="L594" s="244"/>
      <c r="M594" s="244"/>
      <c r="N594" s="244"/>
      <c r="O594" s="244"/>
      <c r="P594" s="244"/>
      <c r="Q594" s="244"/>
      <c r="R594" s="244"/>
      <c r="S594" s="244"/>
      <c r="T594" s="244"/>
      <c r="U594" s="244"/>
      <c r="V594" s="244"/>
      <c r="W594" s="244"/>
      <c r="X594" s="244"/>
      <c r="Y594" s="244"/>
      <c r="Z594" s="244"/>
    </row>
    <row r="595" hidden="1">
      <c r="A595" s="249"/>
      <c r="B595" s="249"/>
      <c r="C595" s="250"/>
      <c r="D595" s="244"/>
      <c r="E595" s="244"/>
      <c r="F595" s="244"/>
      <c r="G595" s="244"/>
      <c r="H595" s="244"/>
      <c r="I595" s="244"/>
      <c r="J595" s="244"/>
      <c r="K595" s="244"/>
      <c r="L595" s="244"/>
      <c r="M595" s="244"/>
      <c r="N595" s="244"/>
      <c r="O595" s="244"/>
      <c r="P595" s="244"/>
      <c r="Q595" s="244"/>
      <c r="R595" s="244"/>
      <c r="S595" s="244"/>
      <c r="T595" s="244"/>
      <c r="U595" s="244"/>
      <c r="V595" s="244"/>
      <c r="W595" s="244"/>
      <c r="X595" s="244"/>
      <c r="Y595" s="244"/>
      <c r="Z595" s="244"/>
    </row>
    <row r="596" hidden="1">
      <c r="A596" s="249"/>
      <c r="B596" s="249"/>
      <c r="C596" s="250"/>
      <c r="D596" s="244"/>
      <c r="E596" s="244"/>
      <c r="F596" s="244"/>
      <c r="G596" s="244"/>
      <c r="H596" s="244"/>
      <c r="I596" s="244"/>
      <c r="J596" s="244"/>
      <c r="K596" s="244"/>
      <c r="L596" s="244"/>
      <c r="M596" s="244"/>
      <c r="N596" s="244"/>
      <c r="O596" s="244"/>
      <c r="P596" s="244"/>
      <c r="Q596" s="244"/>
      <c r="R596" s="244"/>
      <c r="S596" s="244"/>
      <c r="T596" s="244"/>
      <c r="U596" s="244"/>
      <c r="V596" s="244"/>
      <c r="W596" s="244"/>
      <c r="X596" s="244"/>
      <c r="Y596" s="244"/>
      <c r="Z596" s="244"/>
    </row>
    <row r="597" hidden="1">
      <c r="A597" s="249"/>
      <c r="B597" s="249"/>
      <c r="C597" s="250"/>
      <c r="D597" s="244"/>
      <c r="E597" s="244"/>
      <c r="F597" s="244"/>
      <c r="G597" s="244"/>
      <c r="H597" s="244"/>
      <c r="I597" s="244"/>
      <c r="J597" s="244"/>
      <c r="K597" s="244"/>
      <c r="L597" s="244"/>
      <c r="M597" s="244"/>
      <c r="N597" s="244"/>
      <c r="O597" s="244"/>
      <c r="P597" s="244"/>
      <c r="Q597" s="244"/>
      <c r="R597" s="244"/>
      <c r="S597" s="244"/>
      <c r="T597" s="244"/>
      <c r="U597" s="244"/>
      <c r="V597" s="244"/>
      <c r="W597" s="244"/>
      <c r="X597" s="244"/>
      <c r="Y597" s="244"/>
      <c r="Z597" s="244"/>
    </row>
    <row r="598" hidden="1">
      <c r="A598" s="249"/>
      <c r="B598" s="249"/>
      <c r="C598" s="250"/>
      <c r="D598" s="244"/>
      <c r="E598" s="244"/>
      <c r="F598" s="244"/>
      <c r="G598" s="244"/>
      <c r="H598" s="244"/>
      <c r="I598" s="244"/>
      <c r="J598" s="244"/>
      <c r="K598" s="244"/>
      <c r="L598" s="244"/>
      <c r="M598" s="244"/>
      <c r="N598" s="244"/>
      <c r="O598" s="244"/>
      <c r="P598" s="244"/>
      <c r="Q598" s="244"/>
      <c r="R598" s="244"/>
      <c r="S598" s="244"/>
      <c r="T598" s="244"/>
      <c r="U598" s="244"/>
      <c r="V598" s="244"/>
      <c r="W598" s="244"/>
      <c r="X598" s="244"/>
      <c r="Y598" s="244"/>
      <c r="Z598" s="244"/>
    </row>
    <row r="599" hidden="1">
      <c r="A599" s="249"/>
      <c r="B599" s="249"/>
      <c r="C599" s="250"/>
      <c r="D599" s="244"/>
      <c r="E599" s="244"/>
      <c r="F599" s="244"/>
      <c r="G599" s="244"/>
      <c r="H599" s="244"/>
      <c r="I599" s="244"/>
      <c r="J599" s="244"/>
      <c r="K599" s="244"/>
      <c r="L599" s="244"/>
      <c r="M599" s="244"/>
      <c r="N599" s="244"/>
      <c r="O599" s="244"/>
      <c r="P599" s="244"/>
      <c r="Q599" s="244"/>
      <c r="R599" s="244"/>
      <c r="S599" s="244"/>
      <c r="T599" s="244"/>
      <c r="U599" s="244"/>
      <c r="V599" s="244"/>
      <c r="W599" s="244"/>
      <c r="X599" s="244"/>
      <c r="Y599" s="244"/>
      <c r="Z599" s="244"/>
    </row>
    <row r="600" hidden="1">
      <c r="A600" s="249"/>
      <c r="B600" s="249"/>
      <c r="C600" s="250"/>
      <c r="D600" s="244"/>
      <c r="E600" s="244"/>
      <c r="F600" s="244"/>
      <c r="G600" s="244"/>
      <c r="H600" s="244"/>
      <c r="I600" s="244"/>
      <c r="J600" s="244"/>
      <c r="K600" s="244"/>
      <c r="L600" s="244"/>
      <c r="M600" s="244"/>
      <c r="N600" s="244"/>
      <c r="O600" s="244"/>
      <c r="P600" s="244"/>
      <c r="Q600" s="244"/>
      <c r="R600" s="244"/>
      <c r="S600" s="244"/>
      <c r="T600" s="244"/>
      <c r="U600" s="244"/>
      <c r="V600" s="244"/>
      <c r="W600" s="244"/>
      <c r="X600" s="244"/>
      <c r="Y600" s="244"/>
      <c r="Z600" s="244"/>
    </row>
    <row r="601" hidden="1">
      <c r="A601" s="249"/>
      <c r="B601" s="249"/>
      <c r="C601" s="250"/>
      <c r="D601" s="244"/>
      <c r="E601" s="244"/>
      <c r="F601" s="244"/>
      <c r="G601" s="244"/>
      <c r="H601" s="244"/>
      <c r="I601" s="244"/>
      <c r="J601" s="244"/>
      <c r="K601" s="244"/>
      <c r="L601" s="244"/>
      <c r="M601" s="244"/>
      <c r="N601" s="244"/>
      <c r="O601" s="244"/>
      <c r="P601" s="244"/>
      <c r="Q601" s="244"/>
      <c r="R601" s="244"/>
      <c r="S601" s="244"/>
      <c r="T601" s="244"/>
      <c r="U601" s="244"/>
      <c r="V601" s="244"/>
      <c r="W601" s="244"/>
      <c r="X601" s="244"/>
      <c r="Y601" s="244"/>
      <c r="Z601" s="244"/>
    </row>
    <row r="602" hidden="1">
      <c r="A602" s="249"/>
      <c r="B602" s="249"/>
      <c r="C602" s="250"/>
      <c r="D602" s="244"/>
      <c r="E602" s="244"/>
      <c r="F602" s="244"/>
      <c r="G602" s="244"/>
      <c r="H602" s="244"/>
      <c r="I602" s="244"/>
      <c r="J602" s="244"/>
      <c r="K602" s="244"/>
      <c r="L602" s="244"/>
      <c r="M602" s="244"/>
      <c r="N602" s="244"/>
      <c r="O602" s="244"/>
      <c r="P602" s="244"/>
      <c r="Q602" s="244"/>
      <c r="R602" s="244"/>
      <c r="S602" s="244"/>
      <c r="T602" s="244"/>
      <c r="U602" s="244"/>
      <c r="V602" s="244"/>
      <c r="W602" s="244"/>
      <c r="X602" s="244"/>
      <c r="Y602" s="244"/>
      <c r="Z602" s="244"/>
    </row>
    <row r="603" hidden="1">
      <c r="A603" s="249"/>
      <c r="B603" s="249"/>
      <c r="C603" s="250"/>
      <c r="D603" s="244"/>
      <c r="E603" s="244"/>
      <c r="F603" s="244"/>
      <c r="G603" s="244"/>
      <c r="H603" s="244"/>
      <c r="I603" s="244"/>
      <c r="J603" s="244"/>
      <c r="K603" s="244"/>
      <c r="L603" s="244"/>
      <c r="M603" s="244"/>
      <c r="N603" s="244"/>
      <c r="O603" s="244"/>
      <c r="P603" s="244"/>
      <c r="Q603" s="244"/>
      <c r="R603" s="244"/>
      <c r="S603" s="244"/>
      <c r="T603" s="244"/>
      <c r="U603" s="244"/>
      <c r="V603" s="244"/>
      <c r="W603" s="244"/>
      <c r="X603" s="244"/>
      <c r="Y603" s="244"/>
      <c r="Z603" s="244"/>
    </row>
    <row r="604" hidden="1">
      <c r="A604" s="249"/>
      <c r="B604" s="249"/>
      <c r="C604" s="250"/>
      <c r="D604" s="244"/>
      <c r="E604" s="244"/>
      <c r="F604" s="244"/>
      <c r="G604" s="244"/>
      <c r="H604" s="244"/>
      <c r="I604" s="244"/>
      <c r="J604" s="244"/>
      <c r="K604" s="244"/>
      <c r="L604" s="244"/>
      <c r="M604" s="244"/>
      <c r="N604" s="244"/>
      <c r="O604" s="244"/>
      <c r="P604" s="244"/>
      <c r="Q604" s="244"/>
      <c r="R604" s="244"/>
      <c r="S604" s="244"/>
      <c r="T604" s="244"/>
      <c r="U604" s="244"/>
      <c r="V604" s="244"/>
      <c r="W604" s="244"/>
      <c r="X604" s="244"/>
      <c r="Y604" s="244"/>
      <c r="Z604" s="244"/>
    </row>
    <row r="605" hidden="1">
      <c r="A605" s="249"/>
      <c r="B605" s="249"/>
      <c r="C605" s="250"/>
      <c r="D605" s="244"/>
      <c r="E605" s="244"/>
      <c r="F605" s="244"/>
      <c r="G605" s="244"/>
      <c r="H605" s="244"/>
      <c r="I605" s="244"/>
      <c r="J605" s="244"/>
      <c r="K605" s="244"/>
      <c r="L605" s="244"/>
      <c r="M605" s="244"/>
      <c r="N605" s="244"/>
      <c r="O605" s="244"/>
      <c r="P605" s="244"/>
      <c r="Q605" s="244"/>
      <c r="R605" s="244"/>
      <c r="S605" s="244"/>
      <c r="T605" s="244"/>
      <c r="U605" s="244"/>
      <c r="V605" s="244"/>
      <c r="W605" s="244"/>
      <c r="X605" s="244"/>
      <c r="Y605" s="244"/>
      <c r="Z605" s="244"/>
    </row>
    <row r="606" hidden="1">
      <c r="A606" s="249"/>
      <c r="B606" s="249"/>
      <c r="C606" s="250"/>
      <c r="D606" s="244"/>
      <c r="E606" s="244"/>
      <c r="F606" s="244"/>
      <c r="G606" s="244"/>
      <c r="H606" s="244"/>
      <c r="I606" s="244"/>
      <c r="J606" s="244"/>
      <c r="K606" s="244"/>
      <c r="L606" s="244"/>
      <c r="M606" s="244"/>
      <c r="N606" s="244"/>
      <c r="O606" s="244"/>
      <c r="P606" s="244"/>
      <c r="Q606" s="244"/>
      <c r="R606" s="244"/>
      <c r="S606" s="244"/>
      <c r="T606" s="244"/>
      <c r="U606" s="244"/>
      <c r="V606" s="244"/>
      <c r="W606" s="244"/>
      <c r="X606" s="244"/>
      <c r="Y606" s="244"/>
      <c r="Z606" s="244"/>
    </row>
    <row r="607" hidden="1">
      <c r="A607" s="249"/>
      <c r="B607" s="249"/>
      <c r="C607" s="250"/>
      <c r="D607" s="244"/>
      <c r="E607" s="244"/>
      <c r="F607" s="244"/>
      <c r="G607" s="244"/>
      <c r="H607" s="244"/>
      <c r="I607" s="244"/>
      <c r="J607" s="244"/>
      <c r="K607" s="244"/>
      <c r="L607" s="244"/>
      <c r="M607" s="244"/>
      <c r="N607" s="244"/>
      <c r="O607" s="244"/>
      <c r="P607" s="244"/>
      <c r="Q607" s="244"/>
      <c r="R607" s="244"/>
      <c r="S607" s="244"/>
      <c r="T607" s="244"/>
      <c r="U607" s="244"/>
      <c r="V607" s="244"/>
      <c r="W607" s="244"/>
      <c r="X607" s="244"/>
      <c r="Y607" s="244"/>
      <c r="Z607" s="244"/>
    </row>
    <row r="608" hidden="1">
      <c r="A608" s="249"/>
      <c r="B608" s="249"/>
      <c r="C608" s="250"/>
      <c r="D608" s="244"/>
      <c r="E608" s="244"/>
      <c r="F608" s="244"/>
      <c r="G608" s="244"/>
      <c r="H608" s="244"/>
      <c r="I608" s="244"/>
      <c r="J608" s="244"/>
      <c r="K608" s="244"/>
      <c r="L608" s="244"/>
      <c r="M608" s="244"/>
      <c r="N608" s="244"/>
      <c r="O608" s="244"/>
      <c r="P608" s="244"/>
      <c r="Q608" s="244"/>
      <c r="R608" s="244"/>
      <c r="S608" s="244"/>
      <c r="T608" s="244"/>
      <c r="U608" s="244"/>
      <c r="V608" s="244"/>
      <c r="W608" s="244"/>
      <c r="X608" s="244"/>
      <c r="Y608" s="244"/>
      <c r="Z608" s="244"/>
    </row>
    <row r="609" hidden="1">
      <c r="A609" s="249"/>
      <c r="B609" s="249"/>
      <c r="C609" s="250"/>
      <c r="D609" s="244"/>
      <c r="E609" s="244"/>
      <c r="F609" s="244"/>
      <c r="G609" s="244"/>
      <c r="H609" s="244"/>
      <c r="I609" s="244"/>
      <c r="J609" s="244"/>
      <c r="K609" s="244"/>
      <c r="L609" s="244"/>
      <c r="M609" s="244"/>
      <c r="N609" s="244"/>
      <c r="O609" s="244"/>
      <c r="P609" s="244"/>
      <c r="Q609" s="244"/>
      <c r="R609" s="244"/>
      <c r="S609" s="244"/>
      <c r="T609" s="244"/>
      <c r="U609" s="244"/>
      <c r="V609" s="244"/>
      <c r="W609" s="244"/>
      <c r="X609" s="244"/>
      <c r="Y609" s="244"/>
      <c r="Z609" s="244"/>
    </row>
    <row r="610" hidden="1">
      <c r="A610" s="249"/>
      <c r="B610" s="249"/>
      <c r="C610" s="250"/>
      <c r="D610" s="244"/>
      <c r="E610" s="244"/>
      <c r="F610" s="244"/>
      <c r="G610" s="244"/>
      <c r="H610" s="244"/>
      <c r="I610" s="244"/>
      <c r="J610" s="244"/>
      <c r="K610" s="244"/>
      <c r="L610" s="244"/>
      <c r="M610" s="244"/>
      <c r="N610" s="244"/>
      <c r="O610" s="244"/>
      <c r="P610" s="244"/>
      <c r="Q610" s="244"/>
      <c r="R610" s="244"/>
      <c r="S610" s="244"/>
      <c r="T610" s="244"/>
      <c r="U610" s="244"/>
      <c r="V610" s="244"/>
      <c r="W610" s="244"/>
      <c r="X610" s="244"/>
      <c r="Y610" s="244"/>
      <c r="Z610" s="244"/>
    </row>
    <row r="611" hidden="1">
      <c r="A611" s="249"/>
      <c r="B611" s="249"/>
      <c r="C611" s="250"/>
      <c r="D611" s="244"/>
      <c r="E611" s="244"/>
      <c r="F611" s="244"/>
      <c r="G611" s="244"/>
      <c r="H611" s="244"/>
      <c r="I611" s="244"/>
      <c r="J611" s="244"/>
      <c r="K611" s="244"/>
      <c r="L611" s="244"/>
      <c r="M611" s="244"/>
      <c r="N611" s="244"/>
      <c r="O611" s="244"/>
      <c r="P611" s="244"/>
      <c r="Q611" s="244"/>
      <c r="R611" s="244"/>
      <c r="S611" s="244"/>
      <c r="T611" s="244"/>
      <c r="U611" s="244"/>
      <c r="V611" s="244"/>
      <c r="W611" s="244"/>
      <c r="X611" s="244"/>
      <c r="Y611" s="244"/>
      <c r="Z611" s="244"/>
    </row>
    <row r="612" hidden="1">
      <c r="A612" s="249"/>
      <c r="B612" s="249"/>
      <c r="C612" s="250"/>
      <c r="D612" s="244"/>
      <c r="E612" s="244"/>
      <c r="F612" s="244"/>
      <c r="G612" s="244"/>
      <c r="H612" s="244"/>
      <c r="I612" s="244"/>
      <c r="J612" s="244"/>
      <c r="K612" s="244"/>
      <c r="L612" s="244"/>
      <c r="M612" s="244"/>
      <c r="N612" s="244"/>
      <c r="O612" s="244"/>
      <c r="P612" s="244"/>
      <c r="Q612" s="244"/>
      <c r="R612" s="244"/>
      <c r="S612" s="244"/>
      <c r="T612" s="244"/>
      <c r="U612" s="244"/>
      <c r="V612" s="244"/>
      <c r="W612" s="244"/>
      <c r="X612" s="244"/>
      <c r="Y612" s="244"/>
      <c r="Z612" s="244"/>
    </row>
    <row r="613" hidden="1">
      <c r="A613" s="249"/>
      <c r="B613" s="249"/>
      <c r="C613" s="250"/>
      <c r="D613" s="244"/>
      <c r="E613" s="244"/>
      <c r="F613" s="244"/>
      <c r="G613" s="244"/>
      <c r="H613" s="244"/>
      <c r="I613" s="244"/>
      <c r="J613" s="244"/>
      <c r="K613" s="244"/>
      <c r="L613" s="244"/>
      <c r="M613" s="244"/>
      <c r="N613" s="244"/>
      <c r="O613" s="244"/>
      <c r="P613" s="244"/>
      <c r="Q613" s="244"/>
      <c r="R613" s="244"/>
      <c r="S613" s="244"/>
      <c r="T613" s="244"/>
      <c r="U613" s="244"/>
      <c r="V613" s="244"/>
      <c r="W613" s="244"/>
      <c r="X613" s="244"/>
      <c r="Y613" s="244"/>
      <c r="Z613" s="244"/>
    </row>
    <row r="614" hidden="1">
      <c r="A614" s="249"/>
      <c r="B614" s="249"/>
      <c r="C614" s="250"/>
      <c r="D614" s="244"/>
      <c r="E614" s="244"/>
      <c r="F614" s="244"/>
      <c r="G614" s="244"/>
      <c r="H614" s="244"/>
      <c r="I614" s="244"/>
      <c r="J614" s="244"/>
      <c r="K614" s="244"/>
      <c r="L614" s="244"/>
      <c r="M614" s="244"/>
      <c r="N614" s="244"/>
      <c r="O614" s="244"/>
      <c r="P614" s="244"/>
      <c r="Q614" s="244"/>
      <c r="R614" s="244"/>
      <c r="S614" s="244"/>
      <c r="T614" s="244"/>
      <c r="U614" s="244"/>
      <c r="V614" s="244"/>
      <c r="W614" s="244"/>
      <c r="X614" s="244"/>
      <c r="Y614" s="244"/>
      <c r="Z614" s="244"/>
    </row>
    <row r="615" hidden="1">
      <c r="A615" s="249"/>
      <c r="B615" s="249"/>
      <c r="C615" s="250"/>
      <c r="D615" s="244"/>
      <c r="E615" s="244"/>
      <c r="F615" s="244"/>
      <c r="G615" s="244"/>
      <c r="H615" s="244"/>
      <c r="I615" s="244"/>
      <c r="J615" s="244"/>
      <c r="K615" s="244"/>
      <c r="L615" s="244"/>
      <c r="M615" s="244"/>
      <c r="N615" s="244"/>
      <c r="O615" s="244"/>
      <c r="P615" s="244"/>
      <c r="Q615" s="244"/>
      <c r="R615" s="244"/>
      <c r="S615" s="244"/>
      <c r="T615" s="244"/>
      <c r="U615" s="244"/>
      <c r="V615" s="244"/>
      <c r="W615" s="244"/>
      <c r="X615" s="244"/>
      <c r="Y615" s="244"/>
      <c r="Z615" s="244"/>
    </row>
    <row r="616" hidden="1">
      <c r="A616" s="249"/>
      <c r="B616" s="249"/>
      <c r="C616" s="250"/>
      <c r="D616" s="244"/>
      <c r="E616" s="244"/>
      <c r="F616" s="244"/>
      <c r="G616" s="244"/>
      <c r="H616" s="244"/>
      <c r="I616" s="244"/>
      <c r="J616" s="244"/>
      <c r="K616" s="244"/>
      <c r="L616" s="244"/>
      <c r="M616" s="244"/>
      <c r="N616" s="244"/>
      <c r="O616" s="244"/>
      <c r="P616" s="244"/>
      <c r="Q616" s="244"/>
      <c r="R616" s="244"/>
      <c r="S616" s="244"/>
      <c r="T616" s="244"/>
      <c r="U616" s="244"/>
      <c r="V616" s="244"/>
      <c r="W616" s="244"/>
      <c r="X616" s="244"/>
      <c r="Y616" s="244"/>
      <c r="Z616" s="244"/>
    </row>
    <row r="617" hidden="1">
      <c r="A617" s="249"/>
      <c r="B617" s="249"/>
      <c r="C617" s="250"/>
      <c r="D617" s="244"/>
      <c r="E617" s="244"/>
      <c r="F617" s="244"/>
      <c r="G617" s="244"/>
      <c r="H617" s="244"/>
      <c r="I617" s="244"/>
      <c r="J617" s="244"/>
      <c r="K617" s="244"/>
      <c r="L617" s="244"/>
      <c r="M617" s="244"/>
      <c r="N617" s="244"/>
      <c r="O617" s="244"/>
      <c r="P617" s="244"/>
      <c r="Q617" s="244"/>
      <c r="R617" s="244"/>
      <c r="S617" s="244"/>
      <c r="T617" s="244"/>
      <c r="U617" s="244"/>
      <c r="V617" s="244"/>
      <c r="W617" s="244"/>
      <c r="X617" s="244"/>
      <c r="Y617" s="244"/>
      <c r="Z617" s="244"/>
    </row>
    <row r="618" hidden="1">
      <c r="A618" s="249"/>
      <c r="B618" s="249"/>
      <c r="C618" s="250"/>
      <c r="D618" s="244"/>
      <c r="E618" s="244"/>
      <c r="F618" s="244"/>
      <c r="G618" s="244"/>
      <c r="H618" s="244"/>
      <c r="I618" s="244"/>
      <c r="J618" s="244"/>
      <c r="K618" s="244"/>
      <c r="L618" s="244"/>
      <c r="M618" s="244"/>
      <c r="N618" s="244"/>
      <c r="O618" s="244"/>
      <c r="P618" s="244"/>
      <c r="Q618" s="244"/>
      <c r="R618" s="244"/>
      <c r="S618" s="244"/>
      <c r="T618" s="244"/>
      <c r="U618" s="244"/>
      <c r="V618" s="244"/>
      <c r="W618" s="244"/>
      <c r="X618" s="244"/>
      <c r="Y618" s="244"/>
      <c r="Z618" s="244"/>
    </row>
    <row r="619" hidden="1">
      <c r="A619" s="249"/>
      <c r="B619" s="249"/>
      <c r="C619" s="250"/>
      <c r="D619" s="244"/>
      <c r="E619" s="244"/>
      <c r="F619" s="244"/>
      <c r="G619" s="244"/>
      <c r="H619" s="244"/>
      <c r="I619" s="244"/>
      <c r="J619" s="244"/>
      <c r="K619" s="244"/>
      <c r="L619" s="244"/>
      <c r="M619" s="244"/>
      <c r="N619" s="244"/>
      <c r="O619" s="244"/>
      <c r="P619" s="244"/>
      <c r="Q619" s="244"/>
      <c r="R619" s="244"/>
      <c r="S619" s="244"/>
      <c r="T619" s="244"/>
      <c r="U619" s="244"/>
      <c r="V619" s="244"/>
      <c r="W619" s="244"/>
      <c r="X619" s="244"/>
      <c r="Y619" s="244"/>
      <c r="Z619" s="244"/>
    </row>
    <row r="620" hidden="1">
      <c r="A620" s="249"/>
      <c r="B620" s="249"/>
      <c r="C620" s="250"/>
      <c r="D620" s="244"/>
      <c r="E620" s="244"/>
      <c r="F620" s="244"/>
      <c r="G620" s="244"/>
      <c r="H620" s="244"/>
      <c r="I620" s="244"/>
      <c r="J620" s="244"/>
      <c r="K620" s="244"/>
      <c r="L620" s="244"/>
      <c r="M620" s="244"/>
      <c r="N620" s="244"/>
      <c r="O620" s="244"/>
      <c r="P620" s="244"/>
      <c r="Q620" s="244"/>
      <c r="R620" s="244"/>
      <c r="S620" s="244"/>
      <c r="T620" s="244"/>
      <c r="U620" s="244"/>
      <c r="V620" s="244"/>
      <c r="W620" s="244"/>
      <c r="X620" s="244"/>
      <c r="Y620" s="244"/>
      <c r="Z620" s="244"/>
    </row>
    <row r="621" hidden="1">
      <c r="A621" s="249"/>
      <c r="B621" s="249"/>
      <c r="C621" s="250"/>
      <c r="D621" s="244"/>
      <c r="E621" s="244"/>
      <c r="F621" s="244"/>
      <c r="G621" s="244"/>
      <c r="H621" s="244"/>
      <c r="I621" s="244"/>
      <c r="J621" s="244"/>
      <c r="K621" s="244"/>
      <c r="L621" s="244"/>
      <c r="M621" s="244"/>
      <c r="N621" s="244"/>
      <c r="O621" s="244"/>
      <c r="P621" s="244"/>
      <c r="Q621" s="244"/>
      <c r="R621" s="244"/>
      <c r="S621" s="244"/>
      <c r="T621" s="244"/>
      <c r="U621" s="244"/>
      <c r="V621" s="244"/>
      <c r="W621" s="244"/>
      <c r="X621" s="244"/>
      <c r="Y621" s="244"/>
      <c r="Z621" s="244"/>
    </row>
    <row r="622" hidden="1">
      <c r="A622" s="249"/>
      <c r="B622" s="249"/>
      <c r="C622" s="250"/>
      <c r="D622" s="244"/>
      <c r="E622" s="244"/>
      <c r="F622" s="244"/>
      <c r="G622" s="244"/>
      <c r="H622" s="244"/>
      <c r="I622" s="244"/>
      <c r="J622" s="244"/>
      <c r="K622" s="244"/>
      <c r="L622" s="244"/>
      <c r="M622" s="244"/>
      <c r="N622" s="244"/>
      <c r="O622" s="244"/>
      <c r="P622" s="244"/>
      <c r="Q622" s="244"/>
      <c r="R622" s="244"/>
      <c r="S622" s="244"/>
      <c r="T622" s="244"/>
      <c r="U622" s="244"/>
      <c r="V622" s="244"/>
      <c r="W622" s="244"/>
      <c r="X622" s="244"/>
      <c r="Y622" s="244"/>
      <c r="Z622" s="244"/>
    </row>
    <row r="623" hidden="1">
      <c r="A623" s="249"/>
      <c r="B623" s="249"/>
      <c r="C623" s="250"/>
      <c r="D623" s="244"/>
      <c r="E623" s="244"/>
      <c r="F623" s="244"/>
      <c r="G623" s="244"/>
      <c r="H623" s="244"/>
      <c r="I623" s="244"/>
      <c r="J623" s="244"/>
      <c r="K623" s="244"/>
      <c r="L623" s="244"/>
      <c r="M623" s="244"/>
      <c r="N623" s="244"/>
      <c r="O623" s="244"/>
      <c r="P623" s="244"/>
      <c r="Q623" s="244"/>
      <c r="R623" s="244"/>
      <c r="S623" s="244"/>
      <c r="T623" s="244"/>
      <c r="U623" s="244"/>
      <c r="V623" s="244"/>
      <c r="W623" s="244"/>
      <c r="X623" s="244"/>
      <c r="Y623" s="244"/>
      <c r="Z623" s="244"/>
    </row>
    <row r="624" hidden="1">
      <c r="A624" s="249"/>
      <c r="B624" s="249"/>
      <c r="C624" s="250"/>
      <c r="D624" s="244"/>
      <c r="E624" s="244"/>
      <c r="F624" s="244"/>
      <c r="G624" s="244"/>
      <c r="H624" s="244"/>
      <c r="I624" s="244"/>
      <c r="J624" s="244"/>
      <c r="K624" s="244"/>
      <c r="L624" s="244"/>
      <c r="M624" s="244"/>
      <c r="N624" s="244"/>
      <c r="O624" s="244"/>
      <c r="P624" s="244"/>
      <c r="Q624" s="244"/>
      <c r="R624" s="244"/>
      <c r="S624" s="244"/>
      <c r="T624" s="244"/>
      <c r="U624" s="244"/>
      <c r="V624" s="244"/>
      <c r="W624" s="244"/>
      <c r="X624" s="244"/>
      <c r="Y624" s="244"/>
      <c r="Z624" s="244"/>
    </row>
    <row r="625" hidden="1">
      <c r="A625" s="249"/>
      <c r="B625" s="249"/>
      <c r="C625" s="250"/>
      <c r="D625" s="244"/>
      <c r="E625" s="244"/>
      <c r="F625" s="244"/>
      <c r="G625" s="244"/>
      <c r="H625" s="244"/>
      <c r="I625" s="244"/>
      <c r="J625" s="244"/>
      <c r="K625" s="244"/>
      <c r="L625" s="244"/>
      <c r="M625" s="244"/>
      <c r="N625" s="244"/>
      <c r="O625" s="244"/>
      <c r="P625" s="244"/>
      <c r="Q625" s="244"/>
      <c r="R625" s="244"/>
      <c r="S625" s="244"/>
      <c r="T625" s="244"/>
      <c r="U625" s="244"/>
      <c r="V625" s="244"/>
      <c r="W625" s="244"/>
      <c r="X625" s="244"/>
      <c r="Y625" s="244"/>
      <c r="Z625" s="244"/>
    </row>
    <row r="626" hidden="1">
      <c r="A626" s="249"/>
      <c r="B626" s="249"/>
      <c r="C626" s="250"/>
      <c r="D626" s="244"/>
      <c r="E626" s="244"/>
      <c r="F626" s="244"/>
      <c r="G626" s="244"/>
      <c r="H626" s="244"/>
      <c r="I626" s="244"/>
      <c r="J626" s="244"/>
      <c r="K626" s="244"/>
      <c r="L626" s="244"/>
      <c r="M626" s="244"/>
      <c r="N626" s="244"/>
      <c r="O626" s="244"/>
      <c r="P626" s="244"/>
      <c r="Q626" s="244"/>
      <c r="R626" s="244"/>
      <c r="S626" s="244"/>
      <c r="T626" s="244"/>
      <c r="U626" s="244"/>
      <c r="V626" s="244"/>
      <c r="W626" s="244"/>
      <c r="X626" s="244"/>
      <c r="Y626" s="244"/>
      <c r="Z626" s="244"/>
    </row>
    <row r="627" hidden="1">
      <c r="A627" s="249"/>
      <c r="B627" s="249"/>
      <c r="C627" s="250"/>
      <c r="D627" s="244"/>
      <c r="E627" s="244"/>
      <c r="F627" s="244"/>
      <c r="G627" s="244"/>
      <c r="H627" s="244"/>
      <c r="I627" s="244"/>
      <c r="J627" s="244"/>
      <c r="K627" s="244"/>
      <c r="L627" s="244"/>
      <c r="M627" s="244"/>
      <c r="N627" s="244"/>
      <c r="O627" s="244"/>
      <c r="P627" s="244"/>
      <c r="Q627" s="244"/>
      <c r="R627" s="244"/>
      <c r="S627" s="244"/>
      <c r="T627" s="244"/>
      <c r="U627" s="244"/>
      <c r="V627" s="244"/>
      <c r="W627" s="244"/>
      <c r="X627" s="244"/>
      <c r="Y627" s="244"/>
      <c r="Z627" s="244"/>
    </row>
    <row r="628" hidden="1">
      <c r="A628" s="249"/>
      <c r="B628" s="249"/>
      <c r="C628" s="250"/>
      <c r="D628" s="244"/>
      <c r="E628" s="244"/>
      <c r="F628" s="244"/>
      <c r="G628" s="244"/>
      <c r="H628" s="244"/>
      <c r="I628" s="244"/>
      <c r="J628" s="244"/>
      <c r="K628" s="244"/>
      <c r="L628" s="244"/>
      <c r="M628" s="244"/>
      <c r="N628" s="244"/>
      <c r="O628" s="244"/>
      <c r="P628" s="244"/>
      <c r="Q628" s="244"/>
      <c r="R628" s="244"/>
      <c r="S628" s="244"/>
      <c r="T628" s="244"/>
      <c r="U628" s="244"/>
      <c r="V628" s="244"/>
      <c r="W628" s="244"/>
      <c r="X628" s="244"/>
      <c r="Y628" s="244"/>
      <c r="Z628" s="244"/>
    </row>
    <row r="629" hidden="1">
      <c r="A629" s="249"/>
      <c r="B629" s="249"/>
      <c r="C629" s="250"/>
      <c r="D629" s="244"/>
      <c r="E629" s="244"/>
      <c r="F629" s="244"/>
      <c r="G629" s="244"/>
      <c r="H629" s="244"/>
      <c r="I629" s="244"/>
      <c r="J629" s="244"/>
      <c r="K629" s="244"/>
      <c r="L629" s="244"/>
      <c r="M629" s="244"/>
      <c r="N629" s="244"/>
      <c r="O629" s="244"/>
      <c r="P629" s="244"/>
      <c r="Q629" s="244"/>
      <c r="R629" s="244"/>
      <c r="S629" s="244"/>
      <c r="T629" s="244"/>
      <c r="U629" s="244"/>
      <c r="V629" s="244"/>
      <c r="W629" s="244"/>
      <c r="X629" s="244"/>
      <c r="Y629" s="244"/>
      <c r="Z629" s="244"/>
    </row>
    <row r="630" hidden="1">
      <c r="A630" s="249"/>
      <c r="B630" s="249"/>
      <c r="C630" s="250"/>
      <c r="D630" s="244"/>
      <c r="E630" s="244"/>
      <c r="F630" s="244"/>
      <c r="G630" s="244"/>
      <c r="H630" s="244"/>
      <c r="I630" s="244"/>
      <c r="J630" s="244"/>
      <c r="K630" s="244"/>
      <c r="L630" s="244"/>
      <c r="M630" s="244"/>
      <c r="N630" s="244"/>
      <c r="O630" s="244"/>
      <c r="P630" s="244"/>
      <c r="Q630" s="244"/>
      <c r="R630" s="244"/>
      <c r="S630" s="244"/>
      <c r="T630" s="244"/>
      <c r="U630" s="244"/>
      <c r="V630" s="244"/>
      <c r="W630" s="244"/>
      <c r="X630" s="244"/>
      <c r="Y630" s="244"/>
      <c r="Z630" s="244"/>
    </row>
    <row r="631" hidden="1">
      <c r="A631" s="249"/>
      <c r="B631" s="249"/>
      <c r="C631" s="250"/>
      <c r="D631" s="244"/>
      <c r="E631" s="244"/>
      <c r="F631" s="244"/>
      <c r="G631" s="244"/>
      <c r="H631" s="244"/>
      <c r="I631" s="244"/>
      <c r="J631" s="244"/>
      <c r="K631" s="244"/>
      <c r="L631" s="244"/>
      <c r="M631" s="244"/>
      <c r="N631" s="244"/>
      <c r="O631" s="244"/>
      <c r="P631" s="244"/>
      <c r="Q631" s="244"/>
      <c r="R631" s="244"/>
      <c r="S631" s="244"/>
      <c r="T631" s="244"/>
      <c r="U631" s="244"/>
      <c r="V631" s="244"/>
      <c r="W631" s="244"/>
      <c r="X631" s="244"/>
      <c r="Y631" s="244"/>
      <c r="Z631" s="244"/>
    </row>
    <row r="632" hidden="1">
      <c r="A632" s="249"/>
      <c r="B632" s="249"/>
      <c r="C632" s="250"/>
      <c r="D632" s="244"/>
      <c r="E632" s="244"/>
      <c r="F632" s="244"/>
      <c r="G632" s="244"/>
      <c r="H632" s="244"/>
      <c r="I632" s="244"/>
      <c r="J632" s="244"/>
      <c r="K632" s="244"/>
      <c r="L632" s="244"/>
      <c r="M632" s="244"/>
      <c r="N632" s="244"/>
      <c r="O632" s="244"/>
      <c r="P632" s="244"/>
      <c r="Q632" s="244"/>
      <c r="R632" s="244"/>
      <c r="S632" s="244"/>
      <c r="T632" s="244"/>
      <c r="U632" s="244"/>
      <c r="V632" s="244"/>
      <c r="W632" s="244"/>
      <c r="X632" s="244"/>
      <c r="Y632" s="244"/>
      <c r="Z632" s="244"/>
    </row>
    <row r="633" hidden="1">
      <c r="A633" s="249"/>
      <c r="B633" s="249"/>
      <c r="C633" s="250"/>
      <c r="D633" s="244"/>
      <c r="E633" s="244"/>
      <c r="F633" s="244"/>
      <c r="G633" s="244"/>
      <c r="H633" s="244"/>
      <c r="I633" s="244"/>
      <c r="J633" s="244"/>
      <c r="K633" s="244"/>
      <c r="L633" s="244"/>
      <c r="M633" s="244"/>
      <c r="N633" s="244"/>
      <c r="O633" s="244"/>
      <c r="P633" s="244"/>
      <c r="Q633" s="244"/>
      <c r="R633" s="244"/>
      <c r="S633" s="244"/>
      <c r="T633" s="244"/>
      <c r="U633" s="244"/>
      <c r="V633" s="244"/>
      <c r="W633" s="244"/>
      <c r="X633" s="244"/>
      <c r="Y633" s="244"/>
      <c r="Z633" s="244"/>
    </row>
    <row r="634" hidden="1">
      <c r="A634" s="249"/>
      <c r="B634" s="249"/>
      <c r="C634" s="250"/>
      <c r="D634" s="244"/>
      <c r="E634" s="244"/>
      <c r="F634" s="244"/>
      <c r="G634" s="244"/>
      <c r="H634" s="244"/>
      <c r="I634" s="244"/>
      <c r="J634" s="244"/>
      <c r="K634" s="244"/>
      <c r="L634" s="244"/>
      <c r="M634" s="244"/>
      <c r="N634" s="244"/>
      <c r="O634" s="244"/>
      <c r="P634" s="244"/>
      <c r="Q634" s="244"/>
      <c r="R634" s="244"/>
      <c r="S634" s="244"/>
      <c r="T634" s="244"/>
      <c r="U634" s="244"/>
      <c r="V634" s="244"/>
      <c r="W634" s="244"/>
      <c r="X634" s="244"/>
      <c r="Y634" s="244"/>
      <c r="Z634" s="244"/>
    </row>
    <row r="635" hidden="1">
      <c r="A635" s="249"/>
      <c r="B635" s="249"/>
      <c r="C635" s="250"/>
      <c r="D635" s="244"/>
      <c r="E635" s="244"/>
      <c r="F635" s="244"/>
      <c r="G635" s="244"/>
      <c r="H635" s="244"/>
      <c r="I635" s="244"/>
      <c r="J635" s="244"/>
      <c r="K635" s="244"/>
      <c r="L635" s="244"/>
      <c r="M635" s="244"/>
      <c r="N635" s="244"/>
      <c r="O635" s="244"/>
      <c r="P635" s="244"/>
      <c r="Q635" s="244"/>
      <c r="R635" s="244"/>
      <c r="S635" s="244"/>
      <c r="T635" s="244"/>
      <c r="U635" s="244"/>
      <c r="V635" s="244"/>
      <c r="W635" s="244"/>
      <c r="X635" s="244"/>
      <c r="Y635" s="244"/>
      <c r="Z635" s="244"/>
    </row>
    <row r="636" hidden="1">
      <c r="A636" s="249"/>
      <c r="B636" s="249"/>
      <c r="C636" s="250"/>
      <c r="D636" s="244"/>
      <c r="E636" s="244"/>
      <c r="F636" s="244"/>
      <c r="G636" s="244"/>
      <c r="H636" s="244"/>
      <c r="I636" s="244"/>
      <c r="J636" s="244"/>
      <c r="K636" s="244"/>
      <c r="L636" s="244"/>
      <c r="M636" s="244"/>
      <c r="N636" s="244"/>
      <c r="O636" s="244"/>
      <c r="P636" s="244"/>
      <c r="Q636" s="244"/>
      <c r="R636" s="244"/>
      <c r="S636" s="244"/>
      <c r="T636" s="244"/>
      <c r="U636" s="244"/>
      <c r="V636" s="244"/>
      <c r="W636" s="244"/>
      <c r="X636" s="244"/>
      <c r="Y636" s="244"/>
      <c r="Z636" s="244"/>
    </row>
    <row r="637" hidden="1">
      <c r="A637" s="249"/>
      <c r="B637" s="249"/>
      <c r="C637" s="250"/>
      <c r="D637" s="244"/>
      <c r="E637" s="244"/>
      <c r="F637" s="244"/>
      <c r="G637" s="244"/>
      <c r="H637" s="244"/>
      <c r="I637" s="244"/>
      <c r="J637" s="244"/>
      <c r="K637" s="244"/>
      <c r="L637" s="244"/>
      <c r="M637" s="244"/>
      <c r="N637" s="244"/>
      <c r="O637" s="244"/>
      <c r="P637" s="244"/>
      <c r="Q637" s="244"/>
      <c r="R637" s="244"/>
      <c r="S637" s="244"/>
      <c r="T637" s="244"/>
      <c r="U637" s="244"/>
      <c r="V637" s="244"/>
      <c r="W637" s="244"/>
      <c r="X637" s="244"/>
      <c r="Y637" s="244"/>
      <c r="Z637" s="244"/>
    </row>
    <row r="638" hidden="1">
      <c r="A638" s="249"/>
      <c r="B638" s="249"/>
      <c r="C638" s="250"/>
      <c r="D638" s="244"/>
      <c r="E638" s="244"/>
      <c r="F638" s="244"/>
      <c r="G638" s="244"/>
      <c r="H638" s="244"/>
      <c r="I638" s="244"/>
      <c r="J638" s="244"/>
      <c r="K638" s="244"/>
      <c r="L638" s="244"/>
      <c r="M638" s="244"/>
      <c r="N638" s="244"/>
      <c r="O638" s="244"/>
      <c r="P638" s="244"/>
      <c r="Q638" s="244"/>
      <c r="R638" s="244"/>
      <c r="S638" s="244"/>
      <c r="T638" s="244"/>
      <c r="U638" s="244"/>
      <c r="V638" s="244"/>
      <c r="W638" s="244"/>
      <c r="X638" s="244"/>
      <c r="Y638" s="244"/>
      <c r="Z638" s="244"/>
    </row>
    <row r="639" hidden="1">
      <c r="A639" s="249"/>
      <c r="B639" s="249"/>
      <c r="C639" s="250"/>
      <c r="D639" s="244"/>
      <c r="E639" s="244"/>
      <c r="F639" s="244"/>
      <c r="G639" s="244"/>
      <c r="H639" s="244"/>
      <c r="I639" s="244"/>
      <c r="J639" s="244"/>
      <c r="K639" s="244"/>
      <c r="L639" s="244"/>
      <c r="M639" s="244"/>
      <c r="N639" s="244"/>
      <c r="O639" s="244"/>
      <c r="P639" s="244"/>
      <c r="Q639" s="244"/>
      <c r="R639" s="244"/>
      <c r="S639" s="244"/>
      <c r="T639" s="244"/>
      <c r="U639" s="244"/>
      <c r="V639" s="244"/>
      <c r="W639" s="244"/>
      <c r="X639" s="244"/>
      <c r="Y639" s="244"/>
      <c r="Z639" s="244"/>
    </row>
    <row r="640" hidden="1">
      <c r="A640" s="249"/>
      <c r="B640" s="249"/>
      <c r="C640" s="250"/>
      <c r="D640" s="244"/>
      <c r="E640" s="244"/>
      <c r="F640" s="244"/>
      <c r="G640" s="244"/>
      <c r="H640" s="244"/>
      <c r="I640" s="244"/>
      <c r="J640" s="244"/>
      <c r="K640" s="244"/>
      <c r="L640" s="244"/>
      <c r="M640" s="244"/>
      <c r="N640" s="244"/>
      <c r="O640" s="244"/>
      <c r="P640" s="244"/>
      <c r="Q640" s="244"/>
      <c r="R640" s="244"/>
      <c r="S640" s="244"/>
      <c r="T640" s="244"/>
      <c r="U640" s="244"/>
      <c r="V640" s="244"/>
      <c r="W640" s="244"/>
      <c r="X640" s="244"/>
      <c r="Y640" s="244"/>
      <c r="Z640" s="244"/>
    </row>
    <row r="641" hidden="1">
      <c r="A641" s="249"/>
      <c r="B641" s="249"/>
      <c r="C641" s="250"/>
      <c r="D641" s="244"/>
      <c r="E641" s="244"/>
      <c r="F641" s="244"/>
      <c r="G641" s="244"/>
      <c r="H641" s="244"/>
      <c r="I641" s="244"/>
      <c r="J641" s="244"/>
      <c r="K641" s="244"/>
      <c r="L641" s="244"/>
      <c r="M641" s="244"/>
      <c r="N641" s="244"/>
      <c r="O641" s="244"/>
      <c r="P641" s="244"/>
      <c r="Q641" s="244"/>
      <c r="R641" s="244"/>
      <c r="S641" s="244"/>
      <c r="T641" s="244"/>
      <c r="U641" s="244"/>
      <c r="V641" s="244"/>
      <c r="W641" s="244"/>
      <c r="X641" s="244"/>
      <c r="Y641" s="244"/>
      <c r="Z641" s="244"/>
    </row>
    <row r="642" hidden="1">
      <c r="A642" s="249"/>
      <c r="B642" s="249"/>
      <c r="C642" s="250"/>
      <c r="D642" s="244"/>
      <c r="E642" s="244"/>
      <c r="F642" s="244"/>
      <c r="G642" s="244"/>
      <c r="H642" s="244"/>
      <c r="I642" s="244"/>
      <c r="J642" s="244"/>
      <c r="K642" s="244"/>
      <c r="L642" s="244"/>
      <c r="M642" s="244"/>
      <c r="N642" s="244"/>
      <c r="O642" s="244"/>
      <c r="P642" s="244"/>
      <c r="Q642" s="244"/>
      <c r="R642" s="244"/>
      <c r="S642" s="244"/>
      <c r="T642" s="244"/>
      <c r="U642" s="244"/>
      <c r="V642" s="244"/>
      <c r="W642" s="244"/>
      <c r="X642" s="244"/>
      <c r="Y642" s="244"/>
      <c r="Z642" s="244"/>
    </row>
    <row r="643" hidden="1">
      <c r="A643" s="249"/>
      <c r="B643" s="249"/>
      <c r="C643" s="250"/>
      <c r="D643" s="244"/>
      <c r="E643" s="244"/>
      <c r="F643" s="244"/>
      <c r="G643" s="244"/>
      <c r="H643" s="244"/>
      <c r="I643" s="244"/>
      <c r="J643" s="244"/>
      <c r="K643" s="244"/>
      <c r="L643" s="244"/>
      <c r="M643" s="244"/>
      <c r="N643" s="244"/>
      <c r="O643" s="244"/>
      <c r="P643" s="244"/>
      <c r="Q643" s="244"/>
      <c r="R643" s="244"/>
      <c r="S643" s="244"/>
      <c r="T643" s="244"/>
      <c r="U643" s="244"/>
      <c r="V643" s="244"/>
      <c r="W643" s="244"/>
      <c r="X643" s="244"/>
      <c r="Y643" s="244"/>
      <c r="Z643" s="244"/>
    </row>
    <row r="644" hidden="1">
      <c r="A644" s="249"/>
      <c r="B644" s="249"/>
      <c r="C644" s="250"/>
      <c r="D644" s="244"/>
      <c r="E644" s="244"/>
      <c r="F644" s="244"/>
      <c r="G644" s="244"/>
      <c r="H644" s="244"/>
      <c r="I644" s="244"/>
      <c r="J644" s="244"/>
      <c r="K644" s="244"/>
      <c r="L644" s="244"/>
      <c r="M644" s="244"/>
      <c r="N644" s="244"/>
      <c r="O644" s="244"/>
      <c r="P644" s="244"/>
      <c r="Q644" s="244"/>
      <c r="R644" s="244"/>
      <c r="S644" s="244"/>
      <c r="T644" s="244"/>
      <c r="U644" s="244"/>
      <c r="V644" s="244"/>
      <c r="W644" s="244"/>
      <c r="X644" s="244"/>
      <c r="Y644" s="244"/>
      <c r="Z644" s="244"/>
    </row>
    <row r="645" hidden="1">
      <c r="A645" s="249"/>
      <c r="B645" s="249"/>
      <c r="C645" s="250"/>
      <c r="D645" s="244"/>
      <c r="E645" s="244"/>
      <c r="F645" s="244"/>
      <c r="G645" s="244"/>
      <c r="H645" s="244"/>
      <c r="I645" s="244"/>
      <c r="J645" s="244"/>
      <c r="K645" s="244"/>
      <c r="L645" s="244"/>
      <c r="M645" s="244"/>
      <c r="N645" s="244"/>
      <c r="O645" s="244"/>
      <c r="P645" s="244"/>
      <c r="Q645" s="244"/>
      <c r="R645" s="244"/>
      <c r="S645" s="244"/>
      <c r="T645" s="244"/>
      <c r="U645" s="244"/>
      <c r="V645" s="244"/>
      <c r="W645" s="244"/>
      <c r="X645" s="244"/>
      <c r="Y645" s="244"/>
      <c r="Z645" s="244"/>
    </row>
    <row r="646" hidden="1">
      <c r="A646" s="249"/>
      <c r="B646" s="249"/>
      <c r="C646" s="250"/>
      <c r="D646" s="244"/>
      <c r="E646" s="244"/>
      <c r="F646" s="244"/>
      <c r="G646" s="244"/>
      <c r="H646" s="244"/>
      <c r="I646" s="244"/>
      <c r="J646" s="244"/>
      <c r="K646" s="244"/>
      <c r="L646" s="244"/>
      <c r="M646" s="244"/>
      <c r="N646" s="244"/>
      <c r="O646" s="244"/>
      <c r="P646" s="244"/>
      <c r="Q646" s="244"/>
      <c r="R646" s="244"/>
      <c r="S646" s="244"/>
      <c r="T646" s="244"/>
      <c r="U646" s="244"/>
      <c r="V646" s="244"/>
      <c r="W646" s="244"/>
      <c r="X646" s="244"/>
      <c r="Y646" s="244"/>
      <c r="Z646" s="244"/>
    </row>
    <row r="647" hidden="1">
      <c r="A647" s="249"/>
      <c r="B647" s="249"/>
      <c r="C647" s="250"/>
      <c r="D647" s="244"/>
      <c r="E647" s="244"/>
      <c r="F647" s="244"/>
      <c r="G647" s="244"/>
      <c r="H647" s="244"/>
      <c r="I647" s="244"/>
      <c r="J647" s="244"/>
      <c r="K647" s="244"/>
      <c r="L647" s="244"/>
      <c r="M647" s="244"/>
      <c r="N647" s="244"/>
      <c r="O647" s="244"/>
      <c r="P647" s="244"/>
      <c r="Q647" s="244"/>
      <c r="R647" s="244"/>
      <c r="S647" s="244"/>
      <c r="T647" s="244"/>
      <c r="U647" s="244"/>
      <c r="V647" s="244"/>
      <c r="W647" s="244"/>
      <c r="X647" s="244"/>
      <c r="Y647" s="244"/>
      <c r="Z647" s="244"/>
    </row>
    <row r="648" hidden="1">
      <c r="A648" s="249"/>
      <c r="B648" s="249"/>
      <c r="C648" s="250"/>
      <c r="D648" s="244"/>
      <c r="E648" s="244"/>
      <c r="F648" s="244"/>
      <c r="G648" s="244"/>
      <c r="H648" s="244"/>
      <c r="I648" s="244"/>
      <c r="J648" s="244"/>
      <c r="K648" s="244"/>
      <c r="L648" s="244"/>
      <c r="M648" s="244"/>
      <c r="N648" s="244"/>
      <c r="O648" s="244"/>
      <c r="P648" s="244"/>
      <c r="Q648" s="244"/>
      <c r="R648" s="244"/>
      <c r="S648" s="244"/>
      <c r="T648" s="244"/>
      <c r="U648" s="244"/>
      <c r="V648" s="244"/>
      <c r="W648" s="244"/>
      <c r="X648" s="244"/>
      <c r="Y648" s="244"/>
      <c r="Z648" s="244"/>
    </row>
    <row r="649" hidden="1">
      <c r="A649" s="249"/>
      <c r="B649" s="249"/>
      <c r="C649" s="250"/>
      <c r="D649" s="244"/>
      <c r="E649" s="244"/>
      <c r="F649" s="244"/>
      <c r="G649" s="244"/>
      <c r="H649" s="244"/>
      <c r="I649" s="244"/>
      <c r="J649" s="244"/>
      <c r="K649" s="244"/>
      <c r="L649" s="244"/>
      <c r="M649" s="244"/>
      <c r="N649" s="244"/>
      <c r="O649" s="244"/>
      <c r="P649" s="244"/>
      <c r="Q649" s="244"/>
      <c r="R649" s="244"/>
      <c r="S649" s="244"/>
      <c r="T649" s="244"/>
      <c r="U649" s="244"/>
      <c r="V649" s="244"/>
      <c r="W649" s="244"/>
      <c r="X649" s="244"/>
      <c r="Y649" s="244"/>
      <c r="Z649" s="244"/>
    </row>
    <row r="650" hidden="1">
      <c r="A650" s="249"/>
      <c r="B650" s="249"/>
      <c r="C650" s="250"/>
      <c r="D650" s="244"/>
      <c r="E650" s="244"/>
      <c r="F650" s="244"/>
      <c r="G650" s="244"/>
      <c r="H650" s="244"/>
      <c r="I650" s="244"/>
      <c r="J650" s="244"/>
      <c r="K650" s="244"/>
      <c r="L650" s="244"/>
      <c r="M650" s="244"/>
      <c r="N650" s="244"/>
      <c r="O650" s="244"/>
      <c r="P650" s="244"/>
      <c r="Q650" s="244"/>
      <c r="R650" s="244"/>
      <c r="S650" s="244"/>
      <c r="T650" s="244"/>
      <c r="U650" s="244"/>
      <c r="V650" s="244"/>
      <c r="W650" s="244"/>
      <c r="X650" s="244"/>
      <c r="Y650" s="244"/>
      <c r="Z650" s="244"/>
    </row>
    <row r="651" hidden="1">
      <c r="A651" s="249"/>
      <c r="B651" s="249"/>
      <c r="C651" s="250"/>
      <c r="D651" s="244"/>
      <c r="E651" s="244"/>
      <c r="F651" s="244"/>
      <c r="G651" s="244"/>
      <c r="H651" s="244"/>
      <c r="I651" s="244"/>
      <c r="J651" s="244"/>
      <c r="K651" s="244"/>
      <c r="L651" s="244"/>
      <c r="M651" s="244"/>
      <c r="N651" s="244"/>
      <c r="O651" s="244"/>
      <c r="P651" s="244"/>
      <c r="Q651" s="244"/>
      <c r="R651" s="244"/>
      <c r="S651" s="244"/>
      <c r="T651" s="244"/>
      <c r="U651" s="244"/>
      <c r="V651" s="244"/>
      <c r="W651" s="244"/>
      <c r="X651" s="244"/>
      <c r="Y651" s="244"/>
      <c r="Z651" s="244"/>
    </row>
    <row r="652" hidden="1">
      <c r="A652" s="249"/>
      <c r="B652" s="249"/>
      <c r="C652" s="250"/>
      <c r="D652" s="244"/>
      <c r="E652" s="244"/>
      <c r="F652" s="244"/>
      <c r="G652" s="244"/>
      <c r="H652" s="244"/>
      <c r="I652" s="244"/>
      <c r="J652" s="244"/>
      <c r="K652" s="244"/>
      <c r="L652" s="244"/>
      <c r="M652" s="244"/>
      <c r="N652" s="244"/>
      <c r="O652" s="244"/>
      <c r="P652" s="244"/>
      <c r="Q652" s="244"/>
      <c r="R652" s="244"/>
      <c r="S652" s="244"/>
      <c r="T652" s="244"/>
      <c r="U652" s="244"/>
      <c r="V652" s="244"/>
      <c r="W652" s="244"/>
      <c r="X652" s="244"/>
      <c r="Y652" s="244"/>
      <c r="Z652" s="244"/>
    </row>
    <row r="653" hidden="1">
      <c r="A653" s="249"/>
      <c r="B653" s="249"/>
      <c r="C653" s="250"/>
      <c r="D653" s="244"/>
      <c r="E653" s="244"/>
      <c r="F653" s="244"/>
      <c r="G653" s="244"/>
      <c r="H653" s="244"/>
      <c r="I653" s="244"/>
      <c r="J653" s="244"/>
      <c r="K653" s="244"/>
      <c r="L653" s="244"/>
      <c r="M653" s="244"/>
      <c r="N653" s="244"/>
      <c r="O653" s="244"/>
      <c r="P653" s="244"/>
      <c r="Q653" s="244"/>
      <c r="R653" s="244"/>
      <c r="S653" s="244"/>
      <c r="T653" s="244"/>
      <c r="U653" s="244"/>
      <c r="V653" s="244"/>
      <c r="W653" s="244"/>
      <c r="X653" s="244"/>
      <c r="Y653" s="244"/>
      <c r="Z653" s="244"/>
    </row>
    <row r="654" hidden="1">
      <c r="A654" s="249"/>
      <c r="B654" s="249"/>
      <c r="C654" s="250"/>
      <c r="D654" s="244"/>
      <c r="E654" s="244"/>
      <c r="F654" s="244"/>
      <c r="G654" s="244"/>
      <c r="H654" s="244"/>
      <c r="I654" s="244"/>
      <c r="J654" s="244"/>
      <c r="K654" s="244"/>
      <c r="L654" s="244"/>
      <c r="M654" s="244"/>
      <c r="N654" s="244"/>
      <c r="O654" s="244"/>
      <c r="P654" s="244"/>
      <c r="Q654" s="244"/>
      <c r="R654" s="244"/>
      <c r="S654" s="244"/>
      <c r="T654" s="244"/>
      <c r="U654" s="244"/>
      <c r="V654" s="244"/>
      <c r="W654" s="244"/>
      <c r="X654" s="244"/>
      <c r="Y654" s="244"/>
      <c r="Z654" s="244"/>
    </row>
    <row r="655" hidden="1">
      <c r="A655" s="249"/>
      <c r="B655" s="249"/>
      <c r="C655" s="250"/>
      <c r="D655" s="244"/>
      <c r="E655" s="244"/>
      <c r="F655" s="244"/>
      <c r="G655" s="244"/>
      <c r="H655" s="244"/>
      <c r="I655" s="244"/>
      <c r="J655" s="244"/>
      <c r="K655" s="244"/>
      <c r="L655" s="244"/>
      <c r="M655" s="244"/>
      <c r="N655" s="244"/>
      <c r="O655" s="244"/>
      <c r="P655" s="244"/>
      <c r="Q655" s="244"/>
      <c r="R655" s="244"/>
      <c r="S655" s="244"/>
      <c r="T655" s="244"/>
      <c r="U655" s="244"/>
      <c r="V655" s="244"/>
      <c r="W655" s="244"/>
      <c r="X655" s="244"/>
      <c r="Y655" s="244"/>
      <c r="Z655" s="244"/>
    </row>
    <row r="656" hidden="1">
      <c r="A656" s="249"/>
      <c r="B656" s="249"/>
      <c r="C656" s="250"/>
      <c r="D656" s="244"/>
      <c r="E656" s="244"/>
      <c r="F656" s="244"/>
      <c r="G656" s="244"/>
      <c r="H656" s="244"/>
      <c r="I656" s="244"/>
      <c r="J656" s="244"/>
      <c r="K656" s="244"/>
      <c r="L656" s="244"/>
      <c r="M656" s="244"/>
      <c r="N656" s="244"/>
      <c r="O656" s="244"/>
      <c r="P656" s="244"/>
      <c r="Q656" s="244"/>
      <c r="R656" s="244"/>
      <c r="S656" s="244"/>
      <c r="T656" s="244"/>
      <c r="U656" s="244"/>
      <c r="V656" s="244"/>
      <c r="W656" s="244"/>
      <c r="X656" s="244"/>
      <c r="Y656" s="244"/>
      <c r="Z656" s="244"/>
    </row>
    <row r="657" hidden="1">
      <c r="A657" s="249"/>
      <c r="B657" s="249"/>
      <c r="C657" s="250"/>
      <c r="D657" s="244"/>
      <c r="E657" s="244"/>
      <c r="F657" s="244"/>
      <c r="G657" s="244"/>
      <c r="H657" s="244"/>
      <c r="I657" s="244"/>
      <c r="J657" s="244"/>
      <c r="K657" s="244"/>
      <c r="L657" s="244"/>
      <c r="M657" s="244"/>
      <c r="N657" s="244"/>
      <c r="O657" s="244"/>
      <c r="P657" s="244"/>
      <c r="Q657" s="244"/>
      <c r="R657" s="244"/>
      <c r="S657" s="244"/>
      <c r="T657" s="244"/>
      <c r="U657" s="244"/>
      <c r="V657" s="244"/>
      <c r="W657" s="244"/>
      <c r="X657" s="244"/>
      <c r="Y657" s="244"/>
      <c r="Z657" s="244"/>
    </row>
    <row r="658" hidden="1">
      <c r="A658" s="249"/>
      <c r="B658" s="249"/>
      <c r="C658" s="250"/>
      <c r="D658" s="244"/>
      <c r="E658" s="244"/>
      <c r="F658" s="244"/>
      <c r="G658" s="244"/>
      <c r="H658" s="244"/>
      <c r="I658" s="244"/>
      <c r="J658" s="244"/>
      <c r="K658" s="244"/>
      <c r="L658" s="244"/>
      <c r="M658" s="244"/>
      <c r="N658" s="244"/>
      <c r="O658" s="244"/>
      <c r="P658" s="244"/>
      <c r="Q658" s="244"/>
      <c r="R658" s="244"/>
      <c r="S658" s="244"/>
      <c r="T658" s="244"/>
      <c r="U658" s="244"/>
      <c r="V658" s="244"/>
      <c r="W658" s="244"/>
      <c r="X658" s="244"/>
      <c r="Y658" s="244"/>
      <c r="Z658" s="244"/>
    </row>
    <row r="659" hidden="1">
      <c r="A659" s="249"/>
      <c r="B659" s="249"/>
      <c r="C659" s="250"/>
      <c r="D659" s="244"/>
      <c r="E659" s="244"/>
      <c r="F659" s="244"/>
      <c r="G659" s="244"/>
      <c r="H659" s="244"/>
      <c r="I659" s="244"/>
      <c r="J659" s="244"/>
      <c r="K659" s="244"/>
      <c r="L659" s="244"/>
      <c r="M659" s="244"/>
      <c r="N659" s="244"/>
      <c r="O659" s="244"/>
      <c r="P659" s="244"/>
      <c r="Q659" s="244"/>
      <c r="R659" s="244"/>
      <c r="S659" s="244"/>
      <c r="T659" s="244"/>
      <c r="U659" s="244"/>
      <c r="V659" s="244"/>
      <c r="W659" s="244"/>
      <c r="X659" s="244"/>
      <c r="Y659" s="244"/>
      <c r="Z659" s="244"/>
    </row>
    <row r="660" hidden="1">
      <c r="A660" s="249"/>
      <c r="B660" s="249"/>
      <c r="C660" s="250"/>
      <c r="D660" s="244"/>
      <c r="E660" s="244"/>
      <c r="F660" s="244"/>
      <c r="G660" s="244"/>
      <c r="H660" s="244"/>
      <c r="I660" s="244"/>
      <c r="J660" s="244"/>
      <c r="K660" s="244"/>
      <c r="L660" s="244"/>
      <c r="M660" s="244"/>
      <c r="N660" s="244"/>
      <c r="O660" s="244"/>
      <c r="P660" s="244"/>
      <c r="Q660" s="244"/>
      <c r="R660" s="244"/>
      <c r="S660" s="244"/>
      <c r="T660" s="244"/>
      <c r="U660" s="244"/>
      <c r="V660" s="244"/>
      <c r="W660" s="244"/>
      <c r="X660" s="244"/>
      <c r="Y660" s="244"/>
      <c r="Z660" s="244"/>
    </row>
    <row r="661" hidden="1">
      <c r="A661" s="249"/>
      <c r="B661" s="249"/>
      <c r="C661" s="250"/>
      <c r="D661" s="244"/>
      <c r="E661" s="244"/>
      <c r="F661" s="244"/>
      <c r="G661" s="244"/>
      <c r="H661" s="244"/>
      <c r="I661" s="244"/>
      <c r="J661" s="244"/>
      <c r="K661" s="244"/>
      <c r="L661" s="244"/>
      <c r="M661" s="244"/>
      <c r="N661" s="244"/>
      <c r="O661" s="244"/>
      <c r="P661" s="244"/>
      <c r="Q661" s="244"/>
      <c r="R661" s="244"/>
      <c r="S661" s="244"/>
      <c r="T661" s="244"/>
      <c r="U661" s="244"/>
      <c r="V661" s="244"/>
      <c r="W661" s="244"/>
      <c r="X661" s="244"/>
      <c r="Y661" s="244"/>
      <c r="Z661" s="244"/>
    </row>
    <row r="662" hidden="1">
      <c r="A662" s="249"/>
      <c r="B662" s="249"/>
      <c r="C662" s="250"/>
      <c r="D662" s="244"/>
      <c r="E662" s="244"/>
      <c r="F662" s="244"/>
      <c r="G662" s="244"/>
      <c r="H662" s="244"/>
      <c r="I662" s="244"/>
      <c r="J662" s="244"/>
      <c r="K662" s="244"/>
      <c r="L662" s="244"/>
      <c r="M662" s="244"/>
      <c r="N662" s="244"/>
      <c r="O662" s="244"/>
      <c r="P662" s="244"/>
      <c r="Q662" s="244"/>
      <c r="R662" s="244"/>
      <c r="S662" s="244"/>
      <c r="T662" s="244"/>
      <c r="U662" s="244"/>
      <c r="V662" s="244"/>
      <c r="W662" s="244"/>
      <c r="X662" s="244"/>
      <c r="Y662" s="244"/>
      <c r="Z662" s="244"/>
    </row>
    <row r="663" hidden="1">
      <c r="A663" s="249"/>
      <c r="B663" s="249"/>
      <c r="C663" s="250"/>
      <c r="D663" s="244"/>
      <c r="E663" s="244"/>
      <c r="F663" s="244"/>
      <c r="G663" s="244"/>
      <c r="H663" s="244"/>
      <c r="I663" s="244"/>
      <c r="J663" s="244"/>
      <c r="K663" s="244"/>
      <c r="L663" s="244"/>
      <c r="M663" s="244"/>
      <c r="N663" s="244"/>
      <c r="O663" s="244"/>
      <c r="P663" s="244"/>
      <c r="Q663" s="244"/>
      <c r="R663" s="244"/>
      <c r="S663" s="244"/>
      <c r="T663" s="244"/>
      <c r="U663" s="244"/>
      <c r="V663" s="244"/>
      <c r="W663" s="244"/>
      <c r="X663" s="244"/>
      <c r="Y663" s="244"/>
      <c r="Z663" s="244"/>
    </row>
    <row r="664" hidden="1">
      <c r="A664" s="249"/>
      <c r="B664" s="249"/>
      <c r="C664" s="250"/>
      <c r="D664" s="244"/>
      <c r="E664" s="244"/>
      <c r="F664" s="244"/>
      <c r="G664" s="244"/>
      <c r="H664" s="244"/>
      <c r="I664" s="244"/>
      <c r="J664" s="244"/>
      <c r="K664" s="244"/>
      <c r="L664" s="244"/>
      <c r="M664" s="244"/>
      <c r="N664" s="244"/>
      <c r="O664" s="244"/>
      <c r="P664" s="244"/>
      <c r="Q664" s="244"/>
      <c r="R664" s="244"/>
      <c r="S664" s="244"/>
      <c r="T664" s="244"/>
      <c r="U664" s="244"/>
      <c r="V664" s="244"/>
      <c r="W664" s="244"/>
      <c r="X664" s="244"/>
      <c r="Y664" s="244"/>
      <c r="Z664" s="244"/>
    </row>
    <row r="665" hidden="1">
      <c r="A665" s="249"/>
      <c r="B665" s="249"/>
      <c r="C665" s="250"/>
      <c r="D665" s="244"/>
      <c r="E665" s="244"/>
      <c r="F665" s="244"/>
      <c r="G665" s="244"/>
      <c r="H665" s="244"/>
      <c r="I665" s="244"/>
      <c r="J665" s="244"/>
      <c r="K665" s="244"/>
      <c r="L665" s="244"/>
      <c r="M665" s="244"/>
      <c r="N665" s="244"/>
      <c r="O665" s="244"/>
      <c r="P665" s="244"/>
      <c r="Q665" s="244"/>
      <c r="R665" s="244"/>
      <c r="S665" s="244"/>
      <c r="T665" s="244"/>
      <c r="U665" s="244"/>
      <c r="V665" s="244"/>
      <c r="W665" s="244"/>
      <c r="X665" s="244"/>
      <c r="Y665" s="244"/>
      <c r="Z665" s="244"/>
    </row>
    <row r="666" hidden="1">
      <c r="A666" s="249"/>
      <c r="B666" s="249"/>
      <c r="C666" s="250"/>
      <c r="D666" s="244"/>
      <c r="E666" s="244"/>
      <c r="F666" s="244"/>
      <c r="G666" s="244"/>
      <c r="H666" s="244"/>
      <c r="I666" s="244"/>
      <c r="J666" s="244"/>
      <c r="K666" s="244"/>
      <c r="L666" s="244"/>
      <c r="M666" s="244"/>
      <c r="N666" s="244"/>
      <c r="O666" s="244"/>
      <c r="P666" s="244"/>
      <c r="Q666" s="244"/>
      <c r="R666" s="244"/>
      <c r="S666" s="244"/>
      <c r="T666" s="244"/>
      <c r="U666" s="244"/>
      <c r="V666" s="244"/>
      <c r="W666" s="244"/>
      <c r="X666" s="244"/>
      <c r="Y666" s="244"/>
      <c r="Z666" s="244"/>
    </row>
    <row r="667" hidden="1">
      <c r="A667" s="249"/>
      <c r="B667" s="249"/>
      <c r="C667" s="250"/>
      <c r="D667" s="244"/>
      <c r="E667" s="244"/>
      <c r="F667" s="244"/>
      <c r="G667" s="244"/>
      <c r="H667" s="244"/>
      <c r="I667" s="244"/>
      <c r="J667" s="244"/>
      <c r="K667" s="244"/>
      <c r="L667" s="244"/>
      <c r="M667" s="244"/>
      <c r="N667" s="244"/>
      <c r="O667" s="244"/>
      <c r="P667" s="244"/>
      <c r="Q667" s="244"/>
      <c r="R667" s="244"/>
      <c r="S667" s="244"/>
      <c r="T667" s="244"/>
      <c r="U667" s="244"/>
      <c r="V667" s="244"/>
      <c r="W667" s="244"/>
      <c r="X667" s="244"/>
      <c r="Y667" s="244"/>
      <c r="Z667" s="244"/>
    </row>
    <row r="668" hidden="1">
      <c r="A668" s="249"/>
      <c r="B668" s="249"/>
      <c r="C668" s="250"/>
      <c r="D668" s="244"/>
      <c r="E668" s="244"/>
      <c r="F668" s="244"/>
      <c r="G668" s="244"/>
      <c r="H668" s="244"/>
      <c r="I668" s="244"/>
      <c r="J668" s="244"/>
      <c r="K668" s="244"/>
      <c r="L668" s="244"/>
      <c r="M668" s="244"/>
      <c r="N668" s="244"/>
      <c r="O668" s="244"/>
      <c r="P668" s="244"/>
      <c r="Q668" s="244"/>
      <c r="R668" s="244"/>
      <c r="S668" s="244"/>
      <c r="T668" s="244"/>
      <c r="U668" s="244"/>
      <c r="V668" s="244"/>
      <c r="W668" s="244"/>
      <c r="X668" s="244"/>
      <c r="Y668" s="244"/>
      <c r="Z668" s="244"/>
    </row>
    <row r="669" hidden="1">
      <c r="A669" s="249"/>
      <c r="B669" s="249"/>
      <c r="C669" s="250"/>
      <c r="D669" s="244"/>
      <c r="E669" s="244"/>
      <c r="F669" s="244"/>
      <c r="G669" s="244"/>
      <c r="H669" s="244"/>
      <c r="I669" s="244"/>
      <c r="J669" s="244"/>
      <c r="K669" s="244"/>
      <c r="L669" s="244"/>
      <c r="M669" s="244"/>
      <c r="N669" s="244"/>
      <c r="O669" s="244"/>
      <c r="P669" s="244"/>
      <c r="Q669" s="244"/>
      <c r="R669" s="244"/>
      <c r="S669" s="244"/>
      <c r="T669" s="244"/>
      <c r="U669" s="244"/>
      <c r="V669" s="244"/>
      <c r="W669" s="244"/>
      <c r="X669" s="244"/>
      <c r="Y669" s="244"/>
      <c r="Z669" s="244"/>
    </row>
    <row r="670" hidden="1">
      <c r="A670" s="249"/>
      <c r="B670" s="249"/>
      <c r="C670" s="250"/>
      <c r="D670" s="244"/>
      <c r="E670" s="244"/>
      <c r="F670" s="244"/>
      <c r="G670" s="244"/>
      <c r="H670" s="244"/>
      <c r="I670" s="244"/>
      <c r="J670" s="244"/>
      <c r="K670" s="244"/>
      <c r="L670" s="244"/>
      <c r="M670" s="244"/>
      <c r="N670" s="244"/>
      <c r="O670" s="244"/>
      <c r="P670" s="244"/>
      <c r="Q670" s="244"/>
      <c r="R670" s="244"/>
      <c r="S670" s="244"/>
      <c r="T670" s="244"/>
      <c r="U670" s="244"/>
      <c r="V670" s="244"/>
      <c r="W670" s="244"/>
      <c r="X670" s="244"/>
      <c r="Y670" s="244"/>
      <c r="Z670" s="244"/>
    </row>
    <row r="671" hidden="1">
      <c r="A671" s="249"/>
      <c r="B671" s="249"/>
      <c r="C671" s="250"/>
      <c r="D671" s="244"/>
      <c r="E671" s="244"/>
      <c r="F671" s="244"/>
      <c r="G671" s="244"/>
      <c r="H671" s="244"/>
      <c r="I671" s="244"/>
      <c r="J671" s="244"/>
      <c r="K671" s="244"/>
      <c r="L671" s="244"/>
      <c r="M671" s="244"/>
      <c r="N671" s="244"/>
      <c r="O671" s="244"/>
      <c r="P671" s="244"/>
      <c r="Q671" s="244"/>
      <c r="R671" s="244"/>
      <c r="S671" s="244"/>
      <c r="T671" s="244"/>
      <c r="U671" s="244"/>
      <c r="V671" s="244"/>
      <c r="W671" s="244"/>
      <c r="X671" s="244"/>
      <c r="Y671" s="244"/>
      <c r="Z671" s="244"/>
    </row>
    <row r="672" hidden="1">
      <c r="A672" s="249"/>
      <c r="B672" s="249"/>
      <c r="C672" s="250"/>
      <c r="D672" s="244"/>
      <c r="E672" s="244"/>
      <c r="F672" s="244"/>
      <c r="G672" s="244"/>
      <c r="H672" s="244"/>
      <c r="I672" s="244"/>
      <c r="J672" s="244"/>
      <c r="K672" s="244"/>
      <c r="L672" s="244"/>
      <c r="M672" s="244"/>
      <c r="N672" s="244"/>
      <c r="O672" s="244"/>
      <c r="P672" s="244"/>
      <c r="Q672" s="244"/>
      <c r="R672" s="244"/>
      <c r="S672" s="244"/>
      <c r="T672" s="244"/>
      <c r="U672" s="244"/>
      <c r="V672" s="244"/>
      <c r="W672" s="244"/>
      <c r="X672" s="244"/>
      <c r="Y672" s="244"/>
      <c r="Z672" s="244"/>
    </row>
    <row r="673" hidden="1">
      <c r="A673" s="249"/>
      <c r="B673" s="249"/>
      <c r="C673" s="250"/>
      <c r="D673" s="244"/>
      <c r="E673" s="244"/>
      <c r="F673" s="244"/>
      <c r="G673" s="244"/>
      <c r="H673" s="244"/>
      <c r="I673" s="244"/>
      <c r="J673" s="244"/>
      <c r="K673" s="244"/>
      <c r="L673" s="244"/>
      <c r="M673" s="244"/>
      <c r="N673" s="244"/>
      <c r="O673" s="244"/>
      <c r="P673" s="244"/>
      <c r="Q673" s="244"/>
      <c r="R673" s="244"/>
      <c r="S673" s="244"/>
      <c r="T673" s="244"/>
      <c r="U673" s="244"/>
      <c r="V673" s="244"/>
      <c r="W673" s="244"/>
      <c r="X673" s="244"/>
      <c r="Y673" s="244"/>
      <c r="Z673" s="244"/>
    </row>
    <row r="674" hidden="1">
      <c r="A674" s="249"/>
      <c r="B674" s="249"/>
      <c r="C674" s="250"/>
      <c r="D674" s="244"/>
      <c r="E674" s="244"/>
      <c r="F674" s="244"/>
      <c r="G674" s="244"/>
      <c r="H674" s="244"/>
      <c r="I674" s="244"/>
      <c r="J674" s="244"/>
      <c r="K674" s="244"/>
      <c r="L674" s="244"/>
      <c r="M674" s="244"/>
      <c r="N674" s="244"/>
      <c r="O674" s="244"/>
      <c r="P674" s="244"/>
      <c r="Q674" s="244"/>
      <c r="R674" s="244"/>
      <c r="S674" s="244"/>
      <c r="T674" s="244"/>
      <c r="U674" s="244"/>
      <c r="V674" s="244"/>
      <c r="W674" s="244"/>
      <c r="X674" s="244"/>
      <c r="Y674" s="244"/>
      <c r="Z674" s="244"/>
    </row>
    <row r="675" hidden="1">
      <c r="A675" s="249"/>
      <c r="B675" s="249"/>
      <c r="C675" s="250"/>
      <c r="D675" s="244"/>
      <c r="E675" s="244"/>
      <c r="F675" s="244"/>
      <c r="G675" s="244"/>
      <c r="H675" s="244"/>
      <c r="I675" s="244"/>
      <c r="J675" s="244"/>
      <c r="K675" s="244"/>
      <c r="L675" s="244"/>
      <c r="M675" s="244"/>
      <c r="N675" s="244"/>
      <c r="O675" s="244"/>
      <c r="P675" s="244"/>
      <c r="Q675" s="244"/>
      <c r="R675" s="244"/>
      <c r="S675" s="244"/>
      <c r="T675" s="244"/>
      <c r="U675" s="244"/>
      <c r="V675" s="244"/>
      <c r="W675" s="244"/>
      <c r="X675" s="244"/>
      <c r="Y675" s="244"/>
      <c r="Z675" s="244"/>
    </row>
    <row r="676" hidden="1">
      <c r="A676" s="249"/>
      <c r="B676" s="249"/>
      <c r="C676" s="250"/>
      <c r="D676" s="244"/>
      <c r="E676" s="244"/>
      <c r="F676" s="244"/>
      <c r="G676" s="244"/>
      <c r="H676" s="244"/>
      <c r="I676" s="244"/>
      <c r="J676" s="244"/>
      <c r="K676" s="244"/>
      <c r="L676" s="244"/>
      <c r="M676" s="244"/>
      <c r="N676" s="244"/>
      <c r="O676" s="244"/>
      <c r="P676" s="244"/>
      <c r="Q676" s="244"/>
      <c r="R676" s="244"/>
      <c r="S676" s="244"/>
      <c r="T676" s="244"/>
      <c r="U676" s="244"/>
      <c r="V676" s="244"/>
      <c r="W676" s="244"/>
      <c r="X676" s="244"/>
      <c r="Y676" s="244"/>
      <c r="Z676" s="244"/>
    </row>
    <row r="677" hidden="1">
      <c r="A677" s="249"/>
      <c r="B677" s="249"/>
      <c r="C677" s="250"/>
      <c r="D677" s="244"/>
      <c r="E677" s="244"/>
      <c r="F677" s="244"/>
      <c r="G677" s="244"/>
      <c r="H677" s="244"/>
      <c r="I677" s="244"/>
      <c r="J677" s="244"/>
      <c r="K677" s="244"/>
      <c r="L677" s="244"/>
      <c r="M677" s="244"/>
      <c r="N677" s="244"/>
      <c r="O677" s="244"/>
      <c r="P677" s="244"/>
      <c r="Q677" s="244"/>
      <c r="R677" s="244"/>
      <c r="S677" s="244"/>
      <c r="T677" s="244"/>
      <c r="U677" s="244"/>
      <c r="V677" s="244"/>
      <c r="W677" s="244"/>
      <c r="X677" s="244"/>
      <c r="Y677" s="244"/>
      <c r="Z677" s="244"/>
    </row>
    <row r="678" hidden="1">
      <c r="A678" s="249"/>
      <c r="B678" s="249"/>
      <c r="C678" s="250"/>
      <c r="D678" s="244"/>
      <c r="E678" s="244"/>
      <c r="F678" s="244"/>
      <c r="G678" s="244"/>
      <c r="H678" s="244"/>
      <c r="I678" s="244"/>
      <c r="J678" s="244"/>
      <c r="K678" s="244"/>
      <c r="L678" s="244"/>
      <c r="M678" s="244"/>
      <c r="N678" s="244"/>
      <c r="O678" s="244"/>
      <c r="P678" s="244"/>
      <c r="Q678" s="244"/>
      <c r="R678" s="244"/>
      <c r="S678" s="244"/>
      <c r="T678" s="244"/>
      <c r="U678" s="244"/>
      <c r="V678" s="244"/>
      <c r="W678" s="244"/>
      <c r="X678" s="244"/>
      <c r="Y678" s="244"/>
      <c r="Z678" s="244"/>
    </row>
    <row r="679" hidden="1">
      <c r="A679" s="249"/>
      <c r="B679" s="249"/>
      <c r="C679" s="250"/>
      <c r="D679" s="244"/>
      <c r="E679" s="244"/>
      <c r="F679" s="244"/>
      <c r="G679" s="244"/>
      <c r="H679" s="244"/>
      <c r="I679" s="244"/>
      <c r="J679" s="244"/>
      <c r="K679" s="244"/>
      <c r="L679" s="244"/>
      <c r="M679" s="244"/>
      <c r="N679" s="244"/>
      <c r="O679" s="244"/>
      <c r="P679" s="244"/>
      <c r="Q679" s="244"/>
      <c r="R679" s="244"/>
      <c r="S679" s="244"/>
      <c r="T679" s="244"/>
      <c r="U679" s="244"/>
      <c r="V679" s="244"/>
      <c r="W679" s="244"/>
      <c r="X679" s="244"/>
      <c r="Y679" s="244"/>
      <c r="Z679" s="244"/>
    </row>
    <row r="680" hidden="1">
      <c r="A680" s="249"/>
      <c r="B680" s="249"/>
      <c r="C680" s="250"/>
      <c r="D680" s="244"/>
      <c r="E680" s="244"/>
      <c r="F680" s="244"/>
      <c r="G680" s="244"/>
      <c r="H680" s="244"/>
      <c r="I680" s="244"/>
      <c r="J680" s="244"/>
      <c r="K680" s="244"/>
      <c r="L680" s="244"/>
      <c r="M680" s="244"/>
      <c r="N680" s="244"/>
      <c r="O680" s="244"/>
      <c r="P680" s="244"/>
      <c r="Q680" s="244"/>
      <c r="R680" s="244"/>
      <c r="S680" s="244"/>
      <c r="T680" s="244"/>
      <c r="U680" s="244"/>
      <c r="V680" s="244"/>
      <c r="W680" s="244"/>
      <c r="X680" s="244"/>
      <c r="Y680" s="244"/>
      <c r="Z680" s="244"/>
    </row>
    <row r="681" hidden="1">
      <c r="A681" s="249"/>
      <c r="B681" s="249"/>
      <c r="C681" s="250"/>
      <c r="D681" s="244"/>
      <c r="E681" s="244"/>
      <c r="F681" s="244"/>
      <c r="G681" s="244"/>
      <c r="H681" s="244"/>
      <c r="I681" s="244"/>
      <c r="J681" s="244"/>
      <c r="K681" s="244"/>
      <c r="L681" s="244"/>
      <c r="M681" s="244"/>
      <c r="N681" s="244"/>
      <c r="O681" s="244"/>
      <c r="P681" s="244"/>
      <c r="Q681" s="244"/>
      <c r="R681" s="244"/>
      <c r="S681" s="244"/>
      <c r="T681" s="244"/>
      <c r="U681" s="244"/>
      <c r="V681" s="244"/>
      <c r="W681" s="244"/>
      <c r="X681" s="244"/>
      <c r="Y681" s="244"/>
      <c r="Z681" s="244"/>
    </row>
    <row r="682" hidden="1">
      <c r="A682" s="249"/>
      <c r="B682" s="249"/>
      <c r="C682" s="250"/>
      <c r="D682" s="244"/>
      <c r="E682" s="244"/>
      <c r="F682" s="244"/>
      <c r="G682" s="244"/>
      <c r="H682" s="244"/>
      <c r="I682" s="244"/>
      <c r="J682" s="244"/>
      <c r="K682" s="244"/>
      <c r="L682" s="244"/>
      <c r="M682" s="244"/>
      <c r="N682" s="244"/>
      <c r="O682" s="244"/>
      <c r="P682" s="244"/>
      <c r="Q682" s="244"/>
      <c r="R682" s="244"/>
      <c r="S682" s="244"/>
      <c r="T682" s="244"/>
      <c r="U682" s="244"/>
      <c r="V682" s="244"/>
      <c r="W682" s="244"/>
      <c r="X682" s="244"/>
      <c r="Y682" s="244"/>
      <c r="Z682" s="244"/>
    </row>
    <row r="683" hidden="1">
      <c r="A683" s="249"/>
      <c r="B683" s="249"/>
      <c r="C683" s="250"/>
      <c r="D683" s="244"/>
      <c r="E683" s="244"/>
      <c r="F683" s="244"/>
      <c r="G683" s="244"/>
      <c r="H683" s="244"/>
      <c r="I683" s="244"/>
      <c r="J683" s="244"/>
      <c r="K683" s="244"/>
      <c r="L683" s="244"/>
      <c r="M683" s="244"/>
      <c r="N683" s="244"/>
      <c r="O683" s="244"/>
      <c r="P683" s="244"/>
      <c r="Q683" s="244"/>
      <c r="R683" s="244"/>
      <c r="S683" s="244"/>
      <c r="T683" s="244"/>
      <c r="U683" s="244"/>
      <c r="V683" s="244"/>
      <c r="W683" s="244"/>
      <c r="X683" s="244"/>
      <c r="Y683" s="244"/>
      <c r="Z683" s="244"/>
    </row>
    <row r="684" hidden="1">
      <c r="A684" s="249"/>
      <c r="B684" s="249"/>
      <c r="C684" s="250"/>
      <c r="D684" s="244"/>
      <c r="E684" s="244"/>
      <c r="F684" s="244"/>
      <c r="G684" s="244"/>
      <c r="H684" s="244"/>
      <c r="I684" s="244"/>
      <c r="J684" s="244"/>
      <c r="K684" s="244"/>
      <c r="L684" s="244"/>
      <c r="M684" s="244"/>
      <c r="N684" s="244"/>
      <c r="O684" s="244"/>
      <c r="P684" s="244"/>
      <c r="Q684" s="244"/>
      <c r="R684" s="244"/>
      <c r="S684" s="244"/>
      <c r="T684" s="244"/>
      <c r="U684" s="244"/>
      <c r="V684" s="244"/>
      <c r="W684" s="244"/>
      <c r="X684" s="244"/>
      <c r="Y684" s="244"/>
      <c r="Z684" s="244"/>
    </row>
    <row r="685" hidden="1">
      <c r="A685" s="249"/>
      <c r="B685" s="249"/>
      <c r="C685" s="250"/>
      <c r="D685" s="244"/>
      <c r="E685" s="244"/>
      <c r="F685" s="244"/>
      <c r="G685" s="244"/>
      <c r="H685" s="244"/>
      <c r="I685" s="244"/>
      <c r="J685" s="244"/>
      <c r="K685" s="244"/>
      <c r="L685" s="244"/>
      <c r="M685" s="244"/>
      <c r="N685" s="244"/>
      <c r="O685" s="244"/>
      <c r="P685" s="244"/>
      <c r="Q685" s="244"/>
      <c r="R685" s="244"/>
      <c r="S685" s="244"/>
      <c r="T685" s="244"/>
      <c r="U685" s="244"/>
      <c r="V685" s="244"/>
      <c r="W685" s="244"/>
      <c r="X685" s="244"/>
      <c r="Y685" s="244"/>
      <c r="Z685" s="244"/>
    </row>
    <row r="686" hidden="1">
      <c r="A686" s="249"/>
      <c r="B686" s="249"/>
      <c r="C686" s="250"/>
      <c r="D686" s="244"/>
      <c r="E686" s="244"/>
      <c r="F686" s="244"/>
      <c r="G686" s="244"/>
      <c r="H686" s="244"/>
      <c r="I686" s="244"/>
      <c r="J686" s="244"/>
      <c r="K686" s="244"/>
      <c r="L686" s="244"/>
      <c r="M686" s="244"/>
      <c r="N686" s="244"/>
      <c r="O686" s="244"/>
      <c r="P686" s="244"/>
      <c r="Q686" s="244"/>
      <c r="R686" s="244"/>
      <c r="S686" s="244"/>
      <c r="T686" s="244"/>
      <c r="U686" s="244"/>
      <c r="V686" s="244"/>
      <c r="W686" s="244"/>
      <c r="X686" s="244"/>
      <c r="Y686" s="244"/>
      <c r="Z686" s="244"/>
    </row>
    <row r="687" hidden="1">
      <c r="A687" s="249"/>
      <c r="B687" s="249"/>
      <c r="C687" s="250"/>
      <c r="D687" s="244"/>
      <c r="E687" s="244"/>
      <c r="F687" s="244"/>
      <c r="G687" s="244"/>
      <c r="H687" s="244"/>
      <c r="I687" s="244"/>
      <c r="J687" s="244"/>
      <c r="K687" s="244"/>
      <c r="L687" s="244"/>
      <c r="M687" s="244"/>
      <c r="N687" s="244"/>
      <c r="O687" s="244"/>
      <c r="P687" s="244"/>
      <c r="Q687" s="244"/>
      <c r="R687" s="244"/>
      <c r="S687" s="244"/>
      <c r="T687" s="244"/>
      <c r="U687" s="244"/>
      <c r="V687" s="244"/>
      <c r="W687" s="244"/>
      <c r="X687" s="244"/>
      <c r="Y687" s="244"/>
      <c r="Z687" s="244"/>
    </row>
    <row r="688" hidden="1">
      <c r="A688" s="249"/>
      <c r="B688" s="249"/>
      <c r="C688" s="250"/>
      <c r="D688" s="244"/>
      <c r="E688" s="244"/>
      <c r="F688" s="244"/>
      <c r="G688" s="244"/>
      <c r="H688" s="244"/>
      <c r="I688" s="244"/>
      <c r="J688" s="244"/>
      <c r="K688" s="244"/>
      <c r="L688" s="244"/>
      <c r="M688" s="244"/>
      <c r="N688" s="244"/>
      <c r="O688" s="244"/>
      <c r="P688" s="244"/>
      <c r="Q688" s="244"/>
      <c r="R688" s="244"/>
      <c r="S688" s="244"/>
      <c r="T688" s="244"/>
      <c r="U688" s="244"/>
      <c r="V688" s="244"/>
      <c r="W688" s="244"/>
      <c r="X688" s="244"/>
      <c r="Y688" s="244"/>
      <c r="Z688" s="244"/>
    </row>
    <row r="689" hidden="1">
      <c r="A689" s="249"/>
      <c r="B689" s="249"/>
      <c r="C689" s="250"/>
      <c r="D689" s="244"/>
      <c r="E689" s="244"/>
      <c r="F689" s="244"/>
      <c r="G689" s="244"/>
      <c r="H689" s="244"/>
      <c r="I689" s="244"/>
      <c r="J689" s="244"/>
      <c r="K689" s="244"/>
      <c r="L689" s="244"/>
      <c r="M689" s="244"/>
      <c r="N689" s="244"/>
      <c r="O689" s="244"/>
      <c r="P689" s="244"/>
      <c r="Q689" s="244"/>
      <c r="R689" s="244"/>
      <c r="S689" s="244"/>
      <c r="T689" s="244"/>
      <c r="U689" s="244"/>
      <c r="V689" s="244"/>
      <c r="W689" s="244"/>
      <c r="X689" s="244"/>
      <c r="Y689" s="244"/>
      <c r="Z689" s="244"/>
    </row>
    <row r="690" hidden="1">
      <c r="A690" s="249"/>
      <c r="B690" s="249"/>
      <c r="C690" s="250"/>
      <c r="D690" s="244"/>
      <c r="E690" s="244"/>
      <c r="F690" s="244"/>
      <c r="G690" s="244"/>
      <c r="H690" s="244"/>
      <c r="I690" s="244"/>
      <c r="J690" s="244"/>
      <c r="K690" s="244"/>
      <c r="L690" s="244"/>
      <c r="M690" s="244"/>
      <c r="N690" s="244"/>
      <c r="O690" s="244"/>
      <c r="P690" s="244"/>
      <c r="Q690" s="244"/>
      <c r="R690" s="244"/>
      <c r="S690" s="244"/>
      <c r="T690" s="244"/>
      <c r="U690" s="244"/>
      <c r="V690" s="244"/>
      <c r="W690" s="244"/>
      <c r="X690" s="244"/>
      <c r="Y690" s="244"/>
      <c r="Z690" s="244"/>
    </row>
    <row r="691" hidden="1">
      <c r="A691" s="249"/>
      <c r="B691" s="249"/>
      <c r="C691" s="250"/>
      <c r="D691" s="244"/>
      <c r="E691" s="244"/>
      <c r="F691" s="244"/>
      <c r="G691" s="244"/>
      <c r="H691" s="244"/>
      <c r="I691" s="244"/>
      <c r="J691" s="244"/>
      <c r="K691" s="244"/>
      <c r="L691" s="244"/>
      <c r="M691" s="244"/>
      <c r="N691" s="244"/>
      <c r="O691" s="244"/>
      <c r="P691" s="244"/>
      <c r="Q691" s="244"/>
      <c r="R691" s="244"/>
      <c r="S691" s="244"/>
      <c r="T691" s="244"/>
      <c r="U691" s="244"/>
      <c r="V691" s="244"/>
      <c r="W691" s="244"/>
      <c r="X691" s="244"/>
      <c r="Y691" s="244"/>
      <c r="Z691" s="244"/>
    </row>
    <row r="692" hidden="1">
      <c r="A692" s="249"/>
      <c r="B692" s="249"/>
      <c r="C692" s="250"/>
      <c r="D692" s="244"/>
      <c r="E692" s="244"/>
      <c r="F692" s="244"/>
      <c r="G692" s="244"/>
      <c r="H692" s="244"/>
      <c r="I692" s="244"/>
      <c r="J692" s="244"/>
      <c r="K692" s="244"/>
      <c r="L692" s="244"/>
      <c r="M692" s="244"/>
      <c r="N692" s="244"/>
      <c r="O692" s="244"/>
      <c r="P692" s="244"/>
      <c r="Q692" s="244"/>
      <c r="R692" s="244"/>
      <c r="S692" s="244"/>
      <c r="T692" s="244"/>
      <c r="U692" s="244"/>
      <c r="V692" s="244"/>
      <c r="W692" s="244"/>
      <c r="X692" s="244"/>
      <c r="Y692" s="244"/>
      <c r="Z692" s="244"/>
    </row>
    <row r="693" hidden="1">
      <c r="A693" s="249"/>
      <c r="B693" s="249"/>
      <c r="C693" s="250"/>
      <c r="D693" s="244"/>
      <c r="E693" s="244"/>
      <c r="F693" s="244"/>
      <c r="G693" s="244"/>
      <c r="H693" s="244"/>
      <c r="I693" s="244"/>
      <c r="J693" s="244"/>
      <c r="K693" s="244"/>
      <c r="L693" s="244"/>
      <c r="M693" s="244"/>
      <c r="N693" s="244"/>
      <c r="O693" s="244"/>
      <c r="P693" s="244"/>
      <c r="Q693" s="244"/>
      <c r="R693" s="244"/>
      <c r="S693" s="244"/>
      <c r="T693" s="244"/>
      <c r="U693" s="244"/>
      <c r="V693" s="244"/>
      <c r="W693" s="244"/>
      <c r="X693" s="244"/>
      <c r="Y693" s="244"/>
      <c r="Z693" s="244"/>
    </row>
    <row r="694" hidden="1">
      <c r="A694" s="249"/>
      <c r="B694" s="249"/>
      <c r="C694" s="250"/>
      <c r="D694" s="244"/>
      <c r="E694" s="244"/>
      <c r="F694" s="244"/>
      <c r="G694" s="244"/>
      <c r="H694" s="244"/>
      <c r="I694" s="244"/>
      <c r="J694" s="244"/>
      <c r="K694" s="244"/>
      <c r="L694" s="244"/>
      <c r="M694" s="244"/>
      <c r="N694" s="244"/>
      <c r="O694" s="244"/>
      <c r="P694" s="244"/>
      <c r="Q694" s="244"/>
      <c r="R694" s="244"/>
      <c r="S694" s="244"/>
      <c r="T694" s="244"/>
      <c r="U694" s="244"/>
      <c r="V694" s="244"/>
      <c r="W694" s="244"/>
      <c r="X694" s="244"/>
      <c r="Y694" s="244"/>
      <c r="Z694" s="244"/>
    </row>
    <row r="695" hidden="1">
      <c r="A695" s="249"/>
      <c r="B695" s="249"/>
      <c r="C695" s="250"/>
      <c r="D695" s="244"/>
      <c r="E695" s="244"/>
      <c r="F695" s="244"/>
      <c r="G695" s="244"/>
      <c r="H695" s="244"/>
      <c r="I695" s="244"/>
      <c r="J695" s="244"/>
      <c r="K695" s="244"/>
      <c r="L695" s="244"/>
      <c r="M695" s="244"/>
      <c r="N695" s="244"/>
      <c r="O695" s="244"/>
      <c r="P695" s="244"/>
      <c r="Q695" s="244"/>
      <c r="R695" s="244"/>
      <c r="S695" s="244"/>
      <c r="T695" s="244"/>
      <c r="U695" s="244"/>
      <c r="V695" s="244"/>
      <c r="W695" s="244"/>
      <c r="X695" s="244"/>
      <c r="Y695" s="244"/>
      <c r="Z695" s="244"/>
    </row>
    <row r="696" hidden="1">
      <c r="A696" s="249"/>
      <c r="B696" s="249"/>
      <c r="C696" s="250"/>
      <c r="D696" s="244"/>
      <c r="E696" s="244"/>
      <c r="F696" s="244"/>
      <c r="G696" s="244"/>
      <c r="H696" s="244"/>
      <c r="I696" s="244"/>
      <c r="J696" s="244"/>
      <c r="K696" s="244"/>
      <c r="L696" s="244"/>
      <c r="M696" s="244"/>
      <c r="N696" s="244"/>
      <c r="O696" s="244"/>
      <c r="P696" s="244"/>
      <c r="Q696" s="244"/>
      <c r="R696" s="244"/>
      <c r="S696" s="244"/>
      <c r="T696" s="244"/>
      <c r="U696" s="244"/>
      <c r="V696" s="244"/>
      <c r="W696" s="244"/>
      <c r="X696" s="244"/>
      <c r="Y696" s="244"/>
      <c r="Z696" s="244"/>
    </row>
    <row r="697" hidden="1">
      <c r="A697" s="249"/>
      <c r="B697" s="249"/>
      <c r="C697" s="250"/>
      <c r="D697" s="244"/>
      <c r="E697" s="244"/>
      <c r="F697" s="244"/>
      <c r="G697" s="244"/>
      <c r="H697" s="244"/>
      <c r="I697" s="244"/>
      <c r="J697" s="244"/>
      <c r="K697" s="244"/>
      <c r="L697" s="244"/>
      <c r="M697" s="244"/>
      <c r="N697" s="244"/>
      <c r="O697" s="244"/>
      <c r="P697" s="244"/>
      <c r="Q697" s="244"/>
      <c r="R697" s="244"/>
      <c r="S697" s="244"/>
      <c r="T697" s="244"/>
      <c r="U697" s="244"/>
      <c r="V697" s="244"/>
      <c r="W697" s="244"/>
      <c r="X697" s="244"/>
      <c r="Y697" s="244"/>
      <c r="Z697" s="244"/>
    </row>
    <row r="698" hidden="1">
      <c r="A698" s="249"/>
      <c r="B698" s="249"/>
      <c r="C698" s="250"/>
      <c r="D698" s="244"/>
      <c r="E698" s="244"/>
      <c r="F698" s="244"/>
      <c r="G698" s="244"/>
      <c r="H698" s="244"/>
      <c r="I698" s="244"/>
      <c r="J698" s="244"/>
      <c r="K698" s="244"/>
      <c r="L698" s="244"/>
      <c r="M698" s="244"/>
      <c r="N698" s="244"/>
      <c r="O698" s="244"/>
      <c r="P698" s="244"/>
      <c r="Q698" s="244"/>
      <c r="R698" s="244"/>
      <c r="S698" s="244"/>
      <c r="T698" s="244"/>
      <c r="U698" s="244"/>
      <c r="V698" s="244"/>
      <c r="W698" s="244"/>
      <c r="X698" s="244"/>
      <c r="Y698" s="244"/>
      <c r="Z698" s="244"/>
    </row>
    <row r="699" hidden="1">
      <c r="A699" s="249"/>
      <c r="B699" s="249"/>
      <c r="C699" s="250"/>
      <c r="D699" s="244"/>
      <c r="E699" s="244"/>
      <c r="F699" s="244"/>
      <c r="G699" s="244"/>
      <c r="H699" s="244"/>
      <c r="I699" s="244"/>
      <c r="J699" s="244"/>
      <c r="K699" s="244"/>
      <c r="L699" s="244"/>
      <c r="M699" s="244"/>
      <c r="N699" s="244"/>
      <c r="O699" s="244"/>
      <c r="P699" s="244"/>
      <c r="Q699" s="244"/>
      <c r="R699" s="244"/>
      <c r="S699" s="244"/>
      <c r="T699" s="244"/>
      <c r="U699" s="244"/>
      <c r="V699" s="244"/>
      <c r="W699" s="244"/>
      <c r="X699" s="244"/>
      <c r="Y699" s="244"/>
      <c r="Z699" s="244"/>
    </row>
    <row r="700" hidden="1">
      <c r="A700" s="249"/>
      <c r="B700" s="249"/>
      <c r="C700" s="250"/>
      <c r="D700" s="244"/>
      <c r="E700" s="244"/>
      <c r="F700" s="244"/>
      <c r="G700" s="244"/>
      <c r="H700" s="244"/>
      <c r="I700" s="244"/>
      <c r="J700" s="244"/>
      <c r="K700" s="244"/>
      <c r="L700" s="244"/>
      <c r="M700" s="244"/>
      <c r="N700" s="244"/>
      <c r="O700" s="244"/>
      <c r="P700" s="244"/>
      <c r="Q700" s="244"/>
      <c r="R700" s="244"/>
      <c r="S700" s="244"/>
      <c r="T700" s="244"/>
      <c r="U700" s="244"/>
      <c r="V700" s="244"/>
      <c r="W700" s="244"/>
      <c r="X700" s="244"/>
      <c r="Y700" s="244"/>
      <c r="Z700" s="244"/>
    </row>
    <row r="701" hidden="1">
      <c r="A701" s="249"/>
      <c r="B701" s="249"/>
      <c r="C701" s="250"/>
      <c r="D701" s="244"/>
      <c r="E701" s="244"/>
      <c r="F701" s="244"/>
      <c r="G701" s="244"/>
      <c r="H701" s="244"/>
      <c r="I701" s="244"/>
      <c r="J701" s="244"/>
      <c r="K701" s="244"/>
      <c r="L701" s="244"/>
      <c r="M701" s="244"/>
      <c r="N701" s="244"/>
      <c r="O701" s="244"/>
      <c r="P701" s="244"/>
      <c r="Q701" s="244"/>
      <c r="R701" s="244"/>
      <c r="S701" s="244"/>
      <c r="T701" s="244"/>
      <c r="U701" s="244"/>
      <c r="V701" s="244"/>
      <c r="W701" s="244"/>
      <c r="X701" s="244"/>
      <c r="Y701" s="244"/>
      <c r="Z701" s="244"/>
    </row>
    <row r="702" hidden="1">
      <c r="A702" s="249"/>
      <c r="B702" s="249"/>
      <c r="C702" s="250"/>
      <c r="D702" s="244"/>
      <c r="E702" s="244"/>
      <c r="F702" s="244"/>
      <c r="G702" s="244"/>
      <c r="H702" s="244"/>
      <c r="I702" s="244"/>
      <c r="J702" s="244"/>
      <c r="K702" s="244"/>
      <c r="L702" s="244"/>
      <c r="M702" s="244"/>
      <c r="N702" s="244"/>
      <c r="O702" s="244"/>
      <c r="P702" s="244"/>
      <c r="Q702" s="244"/>
      <c r="R702" s="244"/>
      <c r="S702" s="244"/>
      <c r="T702" s="244"/>
      <c r="U702" s="244"/>
      <c r="V702" s="244"/>
      <c r="W702" s="244"/>
      <c r="X702" s="244"/>
      <c r="Y702" s="244"/>
      <c r="Z702" s="244"/>
    </row>
    <row r="703" hidden="1">
      <c r="A703" s="249"/>
      <c r="B703" s="249"/>
      <c r="C703" s="250"/>
      <c r="D703" s="244"/>
      <c r="E703" s="244"/>
      <c r="F703" s="244"/>
      <c r="G703" s="244"/>
      <c r="H703" s="244"/>
      <c r="I703" s="244"/>
      <c r="J703" s="244"/>
      <c r="K703" s="244"/>
      <c r="L703" s="244"/>
      <c r="M703" s="244"/>
      <c r="N703" s="244"/>
      <c r="O703" s="244"/>
      <c r="P703" s="244"/>
      <c r="Q703" s="244"/>
      <c r="R703" s="244"/>
      <c r="S703" s="244"/>
      <c r="T703" s="244"/>
      <c r="U703" s="244"/>
      <c r="V703" s="244"/>
      <c r="W703" s="244"/>
      <c r="X703" s="244"/>
      <c r="Y703" s="244"/>
      <c r="Z703" s="244"/>
    </row>
    <row r="704" hidden="1">
      <c r="A704" s="249"/>
      <c r="B704" s="249"/>
      <c r="C704" s="250"/>
      <c r="D704" s="244"/>
      <c r="E704" s="244"/>
      <c r="F704" s="244"/>
      <c r="G704" s="244"/>
      <c r="H704" s="244"/>
      <c r="I704" s="244"/>
      <c r="J704" s="244"/>
      <c r="K704" s="244"/>
      <c r="L704" s="244"/>
      <c r="M704" s="244"/>
      <c r="N704" s="244"/>
      <c r="O704" s="244"/>
      <c r="P704" s="244"/>
      <c r="Q704" s="244"/>
      <c r="R704" s="244"/>
      <c r="S704" s="244"/>
      <c r="T704" s="244"/>
      <c r="U704" s="244"/>
      <c r="V704" s="244"/>
      <c r="W704" s="244"/>
      <c r="X704" s="244"/>
      <c r="Y704" s="244"/>
      <c r="Z704" s="244"/>
    </row>
    <row r="705" hidden="1">
      <c r="A705" s="249"/>
      <c r="B705" s="249"/>
      <c r="C705" s="250"/>
      <c r="D705" s="244"/>
      <c r="E705" s="244"/>
      <c r="F705" s="244"/>
      <c r="G705" s="244"/>
      <c r="H705" s="244"/>
      <c r="I705" s="244"/>
      <c r="J705" s="244"/>
      <c r="K705" s="244"/>
      <c r="L705" s="244"/>
      <c r="M705" s="244"/>
      <c r="N705" s="244"/>
      <c r="O705" s="244"/>
      <c r="P705" s="244"/>
      <c r="Q705" s="244"/>
      <c r="R705" s="244"/>
      <c r="S705" s="244"/>
      <c r="T705" s="244"/>
      <c r="U705" s="244"/>
      <c r="V705" s="244"/>
      <c r="W705" s="244"/>
      <c r="X705" s="244"/>
      <c r="Y705" s="244"/>
      <c r="Z705" s="244"/>
    </row>
    <row r="706" hidden="1">
      <c r="A706" s="249"/>
      <c r="B706" s="249"/>
      <c r="C706" s="250"/>
      <c r="D706" s="244"/>
      <c r="E706" s="244"/>
      <c r="F706" s="244"/>
      <c r="G706" s="244"/>
      <c r="H706" s="244"/>
      <c r="I706" s="244"/>
      <c r="J706" s="244"/>
      <c r="K706" s="244"/>
      <c r="L706" s="244"/>
      <c r="M706" s="244"/>
      <c r="N706" s="244"/>
      <c r="O706" s="244"/>
      <c r="P706" s="244"/>
      <c r="Q706" s="244"/>
      <c r="R706" s="244"/>
      <c r="S706" s="244"/>
      <c r="T706" s="244"/>
      <c r="U706" s="244"/>
      <c r="V706" s="244"/>
      <c r="W706" s="244"/>
      <c r="X706" s="244"/>
      <c r="Y706" s="244"/>
      <c r="Z706" s="244"/>
    </row>
    <row r="707" hidden="1">
      <c r="A707" s="249"/>
      <c r="B707" s="249"/>
      <c r="C707" s="250"/>
      <c r="D707" s="244"/>
      <c r="E707" s="244"/>
      <c r="F707" s="244"/>
      <c r="G707" s="244"/>
      <c r="H707" s="244"/>
      <c r="I707" s="244"/>
      <c r="J707" s="244"/>
      <c r="K707" s="244"/>
      <c r="L707" s="244"/>
      <c r="M707" s="244"/>
      <c r="N707" s="244"/>
      <c r="O707" s="244"/>
      <c r="P707" s="244"/>
      <c r="Q707" s="244"/>
      <c r="R707" s="244"/>
      <c r="S707" s="244"/>
      <c r="T707" s="244"/>
      <c r="U707" s="244"/>
      <c r="V707" s="244"/>
      <c r="W707" s="244"/>
      <c r="X707" s="244"/>
      <c r="Y707" s="244"/>
      <c r="Z707" s="244"/>
    </row>
    <row r="708" hidden="1">
      <c r="A708" s="249"/>
      <c r="B708" s="249"/>
      <c r="C708" s="250"/>
      <c r="D708" s="244"/>
      <c r="E708" s="244"/>
      <c r="F708" s="244"/>
      <c r="G708" s="244"/>
      <c r="H708" s="244"/>
      <c r="I708" s="244"/>
      <c r="J708" s="244"/>
      <c r="K708" s="244"/>
      <c r="L708" s="244"/>
      <c r="M708" s="244"/>
      <c r="N708" s="244"/>
      <c r="O708" s="244"/>
      <c r="P708" s="244"/>
      <c r="Q708" s="244"/>
      <c r="R708" s="244"/>
      <c r="S708" s="244"/>
      <c r="T708" s="244"/>
      <c r="U708" s="244"/>
      <c r="V708" s="244"/>
      <c r="W708" s="244"/>
      <c r="X708" s="244"/>
      <c r="Y708" s="244"/>
      <c r="Z708" s="244"/>
    </row>
    <row r="709" hidden="1">
      <c r="A709" s="249"/>
      <c r="B709" s="249"/>
      <c r="C709" s="250"/>
      <c r="D709" s="244"/>
      <c r="E709" s="244"/>
      <c r="F709" s="244"/>
      <c r="G709" s="244"/>
      <c r="H709" s="244"/>
      <c r="I709" s="244"/>
      <c r="J709" s="244"/>
      <c r="K709" s="244"/>
      <c r="L709" s="244"/>
      <c r="M709" s="244"/>
      <c r="N709" s="244"/>
      <c r="O709" s="244"/>
      <c r="P709" s="244"/>
      <c r="Q709" s="244"/>
      <c r="R709" s="244"/>
      <c r="S709" s="244"/>
      <c r="T709" s="244"/>
      <c r="U709" s="244"/>
      <c r="V709" s="244"/>
      <c r="W709" s="244"/>
      <c r="X709" s="244"/>
      <c r="Y709" s="244"/>
      <c r="Z709" s="244"/>
    </row>
    <row r="710" hidden="1">
      <c r="A710" s="249"/>
      <c r="B710" s="249"/>
      <c r="C710" s="250"/>
      <c r="D710" s="244"/>
      <c r="E710" s="244"/>
      <c r="F710" s="244"/>
      <c r="G710" s="244"/>
      <c r="H710" s="244"/>
      <c r="I710" s="244"/>
      <c r="J710" s="244"/>
      <c r="K710" s="244"/>
      <c r="L710" s="244"/>
      <c r="M710" s="244"/>
      <c r="N710" s="244"/>
      <c r="O710" s="244"/>
      <c r="P710" s="244"/>
      <c r="Q710" s="244"/>
      <c r="R710" s="244"/>
      <c r="S710" s="244"/>
      <c r="T710" s="244"/>
      <c r="U710" s="244"/>
      <c r="V710" s="244"/>
      <c r="W710" s="244"/>
      <c r="X710" s="244"/>
      <c r="Y710" s="244"/>
      <c r="Z710" s="244"/>
    </row>
    <row r="711" hidden="1">
      <c r="A711" s="249"/>
      <c r="B711" s="249"/>
      <c r="C711" s="250"/>
      <c r="D711" s="244"/>
      <c r="E711" s="244"/>
      <c r="F711" s="244"/>
      <c r="G711" s="244"/>
      <c r="H711" s="244"/>
      <c r="I711" s="244"/>
      <c r="J711" s="244"/>
      <c r="K711" s="244"/>
      <c r="L711" s="244"/>
      <c r="M711" s="244"/>
      <c r="N711" s="244"/>
      <c r="O711" s="244"/>
      <c r="P711" s="244"/>
      <c r="Q711" s="244"/>
      <c r="R711" s="244"/>
      <c r="S711" s="244"/>
      <c r="T711" s="244"/>
      <c r="U711" s="244"/>
      <c r="V711" s="244"/>
      <c r="W711" s="244"/>
      <c r="X711" s="244"/>
      <c r="Y711" s="244"/>
      <c r="Z711" s="244"/>
    </row>
    <row r="712" hidden="1">
      <c r="A712" s="249"/>
      <c r="B712" s="249"/>
      <c r="C712" s="250"/>
      <c r="D712" s="244"/>
      <c r="E712" s="244"/>
      <c r="F712" s="244"/>
      <c r="G712" s="244"/>
      <c r="H712" s="244"/>
      <c r="I712" s="244"/>
      <c r="J712" s="244"/>
      <c r="K712" s="244"/>
      <c r="L712" s="244"/>
      <c r="M712" s="244"/>
      <c r="N712" s="244"/>
      <c r="O712" s="244"/>
      <c r="P712" s="244"/>
      <c r="Q712" s="244"/>
      <c r="R712" s="244"/>
      <c r="S712" s="244"/>
      <c r="T712" s="244"/>
      <c r="U712" s="244"/>
      <c r="V712" s="244"/>
      <c r="W712" s="244"/>
      <c r="X712" s="244"/>
      <c r="Y712" s="244"/>
      <c r="Z712" s="244"/>
    </row>
    <row r="713" hidden="1">
      <c r="A713" s="249"/>
      <c r="B713" s="249"/>
      <c r="C713" s="250"/>
      <c r="D713" s="244"/>
      <c r="E713" s="244"/>
      <c r="F713" s="244"/>
      <c r="G713" s="244"/>
      <c r="H713" s="244"/>
      <c r="I713" s="244"/>
      <c r="J713" s="244"/>
      <c r="K713" s="244"/>
      <c r="L713" s="244"/>
      <c r="M713" s="244"/>
      <c r="N713" s="244"/>
      <c r="O713" s="244"/>
      <c r="P713" s="244"/>
      <c r="Q713" s="244"/>
      <c r="R713" s="244"/>
      <c r="S713" s="244"/>
      <c r="T713" s="244"/>
      <c r="U713" s="244"/>
      <c r="V713" s="244"/>
      <c r="W713" s="244"/>
      <c r="X713" s="244"/>
      <c r="Y713" s="244"/>
      <c r="Z713" s="244"/>
    </row>
    <row r="714" hidden="1">
      <c r="A714" s="249"/>
      <c r="B714" s="249"/>
      <c r="C714" s="250"/>
      <c r="D714" s="244"/>
      <c r="E714" s="244"/>
      <c r="F714" s="244"/>
      <c r="G714" s="244"/>
      <c r="H714" s="244"/>
      <c r="I714" s="244"/>
      <c r="J714" s="244"/>
      <c r="K714" s="244"/>
      <c r="L714" s="244"/>
      <c r="M714" s="244"/>
      <c r="N714" s="244"/>
      <c r="O714" s="244"/>
      <c r="P714" s="244"/>
      <c r="Q714" s="244"/>
      <c r="R714" s="244"/>
      <c r="S714" s="244"/>
      <c r="T714" s="244"/>
      <c r="U714" s="244"/>
      <c r="V714" s="244"/>
      <c r="W714" s="244"/>
      <c r="X714" s="244"/>
      <c r="Y714" s="244"/>
      <c r="Z714" s="244"/>
    </row>
    <row r="715" hidden="1">
      <c r="A715" s="249"/>
      <c r="B715" s="249"/>
      <c r="C715" s="250"/>
      <c r="D715" s="244"/>
      <c r="E715" s="244"/>
      <c r="F715" s="244"/>
      <c r="G715" s="244"/>
      <c r="H715" s="244"/>
      <c r="I715" s="244"/>
      <c r="J715" s="244"/>
      <c r="K715" s="244"/>
      <c r="L715" s="244"/>
      <c r="M715" s="244"/>
      <c r="N715" s="244"/>
      <c r="O715" s="244"/>
      <c r="P715" s="244"/>
      <c r="Q715" s="244"/>
      <c r="R715" s="244"/>
      <c r="S715" s="244"/>
      <c r="T715" s="244"/>
      <c r="U715" s="244"/>
      <c r="V715" s="244"/>
      <c r="W715" s="244"/>
      <c r="X715" s="244"/>
      <c r="Y715" s="244"/>
      <c r="Z715" s="244"/>
    </row>
    <row r="716" hidden="1">
      <c r="A716" s="249"/>
      <c r="B716" s="249"/>
      <c r="C716" s="250"/>
      <c r="D716" s="244"/>
      <c r="E716" s="244"/>
      <c r="F716" s="244"/>
      <c r="G716" s="244"/>
      <c r="H716" s="244"/>
      <c r="I716" s="244"/>
      <c r="J716" s="244"/>
      <c r="K716" s="244"/>
      <c r="L716" s="244"/>
      <c r="M716" s="244"/>
      <c r="N716" s="244"/>
      <c r="O716" s="244"/>
      <c r="P716" s="244"/>
      <c r="Q716" s="244"/>
      <c r="R716" s="244"/>
      <c r="S716" s="244"/>
      <c r="T716" s="244"/>
      <c r="U716" s="244"/>
      <c r="V716" s="244"/>
      <c r="W716" s="244"/>
      <c r="X716" s="244"/>
      <c r="Y716" s="244"/>
      <c r="Z716" s="244"/>
    </row>
    <row r="717" hidden="1">
      <c r="A717" s="249"/>
      <c r="B717" s="249"/>
      <c r="C717" s="250"/>
      <c r="D717" s="244"/>
      <c r="E717" s="244"/>
      <c r="F717" s="244"/>
      <c r="G717" s="244"/>
      <c r="H717" s="244"/>
      <c r="I717" s="244"/>
      <c r="J717" s="244"/>
      <c r="K717" s="244"/>
      <c r="L717" s="244"/>
      <c r="M717" s="244"/>
      <c r="N717" s="244"/>
      <c r="O717" s="244"/>
      <c r="P717" s="244"/>
      <c r="Q717" s="244"/>
      <c r="R717" s="244"/>
      <c r="S717" s="244"/>
      <c r="T717" s="244"/>
      <c r="U717" s="244"/>
      <c r="V717" s="244"/>
      <c r="W717" s="244"/>
      <c r="X717" s="244"/>
      <c r="Y717" s="244"/>
      <c r="Z717" s="244"/>
    </row>
    <row r="718" hidden="1">
      <c r="A718" s="249"/>
      <c r="B718" s="249"/>
      <c r="C718" s="250"/>
      <c r="D718" s="244"/>
      <c r="E718" s="244"/>
      <c r="F718" s="244"/>
      <c r="G718" s="244"/>
      <c r="H718" s="244"/>
      <c r="I718" s="244"/>
      <c r="J718" s="244"/>
      <c r="K718" s="244"/>
      <c r="L718" s="244"/>
      <c r="M718" s="244"/>
      <c r="N718" s="244"/>
      <c r="O718" s="244"/>
      <c r="P718" s="244"/>
      <c r="Q718" s="244"/>
      <c r="R718" s="244"/>
      <c r="S718" s="244"/>
      <c r="T718" s="244"/>
      <c r="U718" s="244"/>
      <c r="V718" s="244"/>
      <c r="W718" s="244"/>
      <c r="X718" s="244"/>
      <c r="Y718" s="244"/>
      <c r="Z718" s="244"/>
    </row>
    <row r="719" hidden="1">
      <c r="A719" s="249"/>
      <c r="B719" s="249"/>
      <c r="C719" s="250"/>
      <c r="D719" s="244"/>
      <c r="E719" s="244"/>
      <c r="F719" s="244"/>
      <c r="G719" s="244"/>
      <c r="H719" s="244"/>
      <c r="I719" s="244"/>
      <c r="J719" s="244"/>
      <c r="K719" s="244"/>
      <c r="L719" s="244"/>
      <c r="M719" s="244"/>
      <c r="N719" s="244"/>
      <c r="O719" s="244"/>
      <c r="P719" s="244"/>
      <c r="Q719" s="244"/>
      <c r="R719" s="244"/>
      <c r="S719" s="244"/>
      <c r="T719" s="244"/>
      <c r="U719" s="244"/>
      <c r="V719" s="244"/>
      <c r="W719" s="244"/>
      <c r="X719" s="244"/>
      <c r="Y719" s="244"/>
      <c r="Z719" s="244"/>
    </row>
    <row r="720" hidden="1">
      <c r="A720" s="249"/>
      <c r="B720" s="249"/>
      <c r="C720" s="250"/>
      <c r="D720" s="244"/>
      <c r="E720" s="244"/>
      <c r="F720" s="244"/>
      <c r="G720" s="244"/>
      <c r="H720" s="244"/>
      <c r="I720" s="244"/>
      <c r="J720" s="244"/>
      <c r="K720" s="244"/>
      <c r="L720" s="244"/>
      <c r="M720" s="244"/>
      <c r="N720" s="244"/>
      <c r="O720" s="244"/>
      <c r="P720" s="244"/>
      <c r="Q720" s="244"/>
      <c r="R720" s="244"/>
      <c r="S720" s="244"/>
      <c r="T720" s="244"/>
      <c r="U720" s="244"/>
      <c r="V720" s="244"/>
      <c r="W720" s="244"/>
      <c r="X720" s="244"/>
      <c r="Y720" s="244"/>
      <c r="Z720" s="244"/>
    </row>
    <row r="721" hidden="1">
      <c r="A721" s="249"/>
      <c r="B721" s="249"/>
      <c r="C721" s="250"/>
      <c r="D721" s="244"/>
      <c r="E721" s="244"/>
      <c r="F721" s="244"/>
      <c r="G721" s="244"/>
      <c r="H721" s="244"/>
      <c r="I721" s="244"/>
      <c r="J721" s="244"/>
      <c r="K721" s="244"/>
      <c r="L721" s="244"/>
      <c r="M721" s="244"/>
      <c r="N721" s="244"/>
      <c r="O721" s="244"/>
      <c r="P721" s="244"/>
      <c r="Q721" s="244"/>
      <c r="R721" s="244"/>
      <c r="S721" s="244"/>
      <c r="T721" s="244"/>
      <c r="U721" s="244"/>
      <c r="V721" s="244"/>
      <c r="W721" s="244"/>
      <c r="X721" s="244"/>
      <c r="Y721" s="244"/>
      <c r="Z721" s="244"/>
    </row>
    <row r="722" hidden="1">
      <c r="A722" s="249"/>
      <c r="B722" s="249"/>
      <c r="C722" s="250"/>
      <c r="D722" s="244"/>
      <c r="E722" s="244"/>
      <c r="F722" s="244"/>
      <c r="G722" s="244"/>
      <c r="H722" s="244"/>
      <c r="I722" s="244"/>
      <c r="J722" s="244"/>
      <c r="K722" s="244"/>
      <c r="L722" s="244"/>
      <c r="M722" s="244"/>
      <c r="N722" s="244"/>
      <c r="O722" s="244"/>
      <c r="P722" s="244"/>
      <c r="Q722" s="244"/>
      <c r="R722" s="244"/>
      <c r="S722" s="244"/>
      <c r="T722" s="244"/>
      <c r="U722" s="244"/>
      <c r="V722" s="244"/>
      <c r="W722" s="244"/>
      <c r="X722" s="244"/>
      <c r="Y722" s="244"/>
      <c r="Z722" s="244"/>
    </row>
    <row r="723" hidden="1">
      <c r="A723" s="249"/>
      <c r="B723" s="249"/>
      <c r="C723" s="250"/>
      <c r="D723" s="244"/>
      <c r="E723" s="244"/>
      <c r="F723" s="244"/>
      <c r="G723" s="244"/>
      <c r="H723" s="244"/>
      <c r="I723" s="244"/>
      <c r="J723" s="244"/>
      <c r="K723" s="244"/>
      <c r="L723" s="244"/>
      <c r="M723" s="244"/>
      <c r="N723" s="244"/>
      <c r="O723" s="244"/>
      <c r="P723" s="244"/>
      <c r="Q723" s="244"/>
      <c r="R723" s="244"/>
      <c r="S723" s="244"/>
      <c r="T723" s="244"/>
      <c r="U723" s="244"/>
      <c r="V723" s="244"/>
      <c r="W723" s="244"/>
      <c r="X723" s="244"/>
      <c r="Y723" s="244"/>
      <c r="Z723" s="244"/>
    </row>
    <row r="724" hidden="1">
      <c r="A724" s="249"/>
      <c r="B724" s="249"/>
      <c r="C724" s="250"/>
      <c r="D724" s="244"/>
      <c r="E724" s="244"/>
      <c r="F724" s="244"/>
      <c r="G724" s="244"/>
      <c r="H724" s="244"/>
      <c r="I724" s="244"/>
      <c r="J724" s="244"/>
      <c r="K724" s="244"/>
      <c r="L724" s="244"/>
      <c r="M724" s="244"/>
      <c r="N724" s="244"/>
      <c r="O724" s="244"/>
      <c r="P724" s="244"/>
      <c r="Q724" s="244"/>
      <c r="R724" s="244"/>
      <c r="S724" s="244"/>
      <c r="T724" s="244"/>
      <c r="U724" s="244"/>
      <c r="V724" s="244"/>
      <c r="W724" s="244"/>
      <c r="X724" s="244"/>
      <c r="Y724" s="244"/>
      <c r="Z724" s="244"/>
    </row>
    <row r="725" hidden="1">
      <c r="A725" s="249"/>
      <c r="B725" s="249"/>
      <c r="C725" s="250"/>
      <c r="D725" s="244"/>
      <c r="E725" s="244"/>
      <c r="F725" s="244"/>
      <c r="G725" s="244"/>
      <c r="H725" s="244"/>
      <c r="I725" s="244"/>
      <c r="J725" s="244"/>
      <c r="K725" s="244"/>
      <c r="L725" s="244"/>
      <c r="M725" s="244"/>
      <c r="N725" s="244"/>
      <c r="O725" s="244"/>
      <c r="P725" s="244"/>
      <c r="Q725" s="244"/>
      <c r="R725" s="244"/>
      <c r="S725" s="244"/>
      <c r="T725" s="244"/>
      <c r="U725" s="244"/>
      <c r="V725" s="244"/>
      <c r="W725" s="244"/>
      <c r="X725" s="244"/>
      <c r="Y725" s="244"/>
      <c r="Z725" s="244"/>
    </row>
    <row r="726" hidden="1">
      <c r="A726" s="249"/>
      <c r="B726" s="249"/>
      <c r="C726" s="250"/>
      <c r="D726" s="244"/>
      <c r="E726" s="244"/>
      <c r="F726" s="244"/>
      <c r="G726" s="244"/>
      <c r="H726" s="244"/>
      <c r="I726" s="244"/>
      <c r="J726" s="244"/>
      <c r="K726" s="244"/>
      <c r="L726" s="244"/>
      <c r="M726" s="244"/>
      <c r="N726" s="244"/>
      <c r="O726" s="244"/>
      <c r="P726" s="244"/>
      <c r="Q726" s="244"/>
      <c r="R726" s="244"/>
      <c r="S726" s="244"/>
      <c r="T726" s="244"/>
      <c r="U726" s="244"/>
      <c r="V726" s="244"/>
      <c r="W726" s="244"/>
      <c r="X726" s="244"/>
      <c r="Y726" s="244"/>
      <c r="Z726" s="244"/>
    </row>
    <row r="727" hidden="1">
      <c r="A727" s="249"/>
      <c r="B727" s="249"/>
      <c r="C727" s="250"/>
      <c r="D727" s="244"/>
      <c r="E727" s="244"/>
      <c r="F727" s="244"/>
      <c r="G727" s="244"/>
      <c r="H727" s="244"/>
      <c r="I727" s="244"/>
      <c r="J727" s="244"/>
      <c r="K727" s="244"/>
      <c r="L727" s="244"/>
      <c r="M727" s="244"/>
      <c r="N727" s="244"/>
      <c r="O727" s="244"/>
      <c r="P727" s="244"/>
      <c r="Q727" s="244"/>
      <c r="R727" s="244"/>
      <c r="S727" s="244"/>
      <c r="T727" s="244"/>
      <c r="U727" s="244"/>
      <c r="V727" s="244"/>
      <c r="W727" s="244"/>
      <c r="X727" s="244"/>
      <c r="Y727" s="244"/>
      <c r="Z727" s="244"/>
    </row>
    <row r="728" hidden="1">
      <c r="A728" s="249"/>
      <c r="B728" s="249"/>
      <c r="C728" s="250"/>
      <c r="D728" s="244"/>
      <c r="E728" s="244"/>
      <c r="F728" s="244"/>
      <c r="G728" s="244"/>
      <c r="H728" s="244"/>
      <c r="I728" s="244"/>
      <c r="J728" s="244"/>
      <c r="K728" s="244"/>
      <c r="L728" s="244"/>
      <c r="M728" s="244"/>
      <c r="N728" s="244"/>
      <c r="O728" s="244"/>
      <c r="P728" s="244"/>
      <c r="Q728" s="244"/>
      <c r="R728" s="244"/>
      <c r="S728" s="244"/>
      <c r="T728" s="244"/>
      <c r="U728" s="244"/>
      <c r="V728" s="244"/>
      <c r="W728" s="244"/>
      <c r="X728" s="244"/>
      <c r="Y728" s="244"/>
      <c r="Z728" s="244"/>
    </row>
    <row r="729" hidden="1">
      <c r="A729" s="249"/>
      <c r="B729" s="249"/>
      <c r="C729" s="250"/>
      <c r="D729" s="244"/>
      <c r="E729" s="244"/>
      <c r="F729" s="244"/>
      <c r="G729" s="244"/>
      <c r="H729" s="244"/>
      <c r="I729" s="244"/>
      <c r="J729" s="244"/>
      <c r="K729" s="244"/>
      <c r="L729" s="244"/>
      <c r="M729" s="244"/>
      <c r="N729" s="244"/>
      <c r="O729" s="244"/>
      <c r="P729" s="244"/>
      <c r="Q729" s="244"/>
      <c r="R729" s="244"/>
      <c r="S729" s="244"/>
      <c r="T729" s="244"/>
      <c r="U729" s="244"/>
      <c r="V729" s="244"/>
      <c r="W729" s="244"/>
      <c r="X729" s="244"/>
      <c r="Y729" s="244"/>
      <c r="Z729" s="244"/>
    </row>
    <row r="730" hidden="1">
      <c r="A730" s="249"/>
      <c r="B730" s="249"/>
      <c r="C730" s="250"/>
      <c r="D730" s="244"/>
      <c r="E730" s="244"/>
      <c r="F730" s="244"/>
      <c r="G730" s="244"/>
      <c r="H730" s="244"/>
      <c r="I730" s="244"/>
      <c r="J730" s="244"/>
      <c r="K730" s="244"/>
      <c r="L730" s="244"/>
      <c r="M730" s="244"/>
      <c r="N730" s="244"/>
      <c r="O730" s="244"/>
      <c r="P730" s="244"/>
      <c r="Q730" s="244"/>
      <c r="R730" s="244"/>
      <c r="S730" s="244"/>
      <c r="T730" s="244"/>
      <c r="U730" s="244"/>
      <c r="V730" s="244"/>
      <c r="W730" s="244"/>
      <c r="X730" s="244"/>
      <c r="Y730" s="244"/>
      <c r="Z730" s="244"/>
    </row>
    <row r="731" hidden="1">
      <c r="A731" s="249"/>
      <c r="B731" s="249"/>
      <c r="C731" s="250"/>
      <c r="D731" s="244"/>
      <c r="E731" s="244"/>
      <c r="F731" s="244"/>
      <c r="G731" s="244"/>
      <c r="H731" s="244"/>
      <c r="I731" s="244"/>
      <c r="J731" s="244"/>
      <c r="K731" s="244"/>
      <c r="L731" s="244"/>
      <c r="M731" s="244"/>
      <c r="N731" s="244"/>
      <c r="O731" s="244"/>
      <c r="P731" s="244"/>
      <c r="Q731" s="244"/>
      <c r="R731" s="244"/>
      <c r="S731" s="244"/>
      <c r="T731" s="244"/>
      <c r="U731" s="244"/>
      <c r="V731" s="244"/>
      <c r="W731" s="244"/>
      <c r="X731" s="244"/>
      <c r="Y731" s="244"/>
      <c r="Z731" s="244"/>
    </row>
    <row r="732" hidden="1">
      <c r="A732" s="249"/>
      <c r="B732" s="249"/>
      <c r="C732" s="250"/>
      <c r="D732" s="244"/>
      <c r="E732" s="244"/>
      <c r="F732" s="244"/>
      <c r="G732" s="244"/>
      <c r="H732" s="244"/>
      <c r="I732" s="244"/>
      <c r="J732" s="244"/>
      <c r="K732" s="244"/>
      <c r="L732" s="244"/>
      <c r="M732" s="244"/>
      <c r="N732" s="244"/>
      <c r="O732" s="244"/>
      <c r="P732" s="244"/>
      <c r="Q732" s="244"/>
      <c r="R732" s="244"/>
      <c r="S732" s="244"/>
      <c r="T732" s="244"/>
      <c r="U732" s="244"/>
      <c r="V732" s="244"/>
      <c r="W732" s="244"/>
      <c r="X732" s="244"/>
      <c r="Y732" s="244"/>
      <c r="Z732" s="244"/>
    </row>
    <row r="733" hidden="1">
      <c r="A733" s="249"/>
      <c r="B733" s="249"/>
      <c r="C733" s="250"/>
      <c r="D733" s="244"/>
      <c r="E733" s="244"/>
      <c r="F733" s="244"/>
      <c r="G733" s="244"/>
      <c r="H733" s="244"/>
      <c r="I733" s="244"/>
      <c r="J733" s="244"/>
      <c r="K733" s="244"/>
      <c r="L733" s="244"/>
      <c r="M733" s="244"/>
      <c r="N733" s="244"/>
      <c r="O733" s="244"/>
      <c r="P733" s="244"/>
      <c r="Q733" s="244"/>
      <c r="R733" s="244"/>
      <c r="S733" s="244"/>
      <c r="T733" s="244"/>
      <c r="U733" s="244"/>
      <c r="V733" s="244"/>
      <c r="W733" s="244"/>
      <c r="X733" s="244"/>
      <c r="Y733" s="244"/>
      <c r="Z733" s="244"/>
    </row>
    <row r="734" hidden="1">
      <c r="A734" s="249"/>
      <c r="B734" s="249"/>
      <c r="C734" s="250"/>
      <c r="D734" s="244"/>
      <c r="E734" s="244"/>
      <c r="F734" s="244"/>
      <c r="G734" s="244"/>
      <c r="H734" s="244"/>
      <c r="I734" s="244"/>
      <c r="J734" s="244"/>
      <c r="K734" s="244"/>
      <c r="L734" s="244"/>
      <c r="M734" s="244"/>
      <c r="N734" s="244"/>
      <c r="O734" s="244"/>
      <c r="P734" s="244"/>
      <c r="Q734" s="244"/>
      <c r="R734" s="244"/>
      <c r="S734" s="244"/>
      <c r="T734" s="244"/>
      <c r="U734" s="244"/>
      <c r="V734" s="244"/>
      <c r="W734" s="244"/>
      <c r="X734" s="244"/>
      <c r="Y734" s="244"/>
      <c r="Z734" s="244"/>
    </row>
    <row r="735" hidden="1">
      <c r="A735" s="249"/>
      <c r="B735" s="249"/>
      <c r="C735" s="250"/>
      <c r="D735" s="244"/>
      <c r="E735" s="244"/>
      <c r="F735" s="244"/>
      <c r="G735" s="244"/>
      <c r="H735" s="244"/>
      <c r="I735" s="244"/>
      <c r="J735" s="244"/>
      <c r="K735" s="244"/>
      <c r="L735" s="244"/>
      <c r="M735" s="244"/>
      <c r="N735" s="244"/>
      <c r="O735" s="244"/>
      <c r="P735" s="244"/>
      <c r="Q735" s="244"/>
      <c r="R735" s="244"/>
      <c r="S735" s="244"/>
      <c r="T735" s="244"/>
      <c r="U735" s="244"/>
      <c r="V735" s="244"/>
      <c r="W735" s="244"/>
      <c r="X735" s="244"/>
      <c r="Y735" s="244"/>
      <c r="Z735" s="244"/>
    </row>
    <row r="736" hidden="1">
      <c r="A736" s="249"/>
      <c r="B736" s="249"/>
      <c r="C736" s="250"/>
      <c r="D736" s="244"/>
      <c r="E736" s="244"/>
      <c r="F736" s="244"/>
      <c r="G736" s="244"/>
      <c r="H736" s="244"/>
      <c r="I736" s="244"/>
      <c r="J736" s="244"/>
      <c r="K736" s="244"/>
      <c r="L736" s="244"/>
      <c r="M736" s="244"/>
      <c r="N736" s="244"/>
      <c r="O736" s="244"/>
      <c r="P736" s="244"/>
      <c r="Q736" s="244"/>
      <c r="R736" s="244"/>
      <c r="S736" s="244"/>
      <c r="T736" s="244"/>
      <c r="U736" s="244"/>
      <c r="V736" s="244"/>
      <c r="W736" s="244"/>
      <c r="X736" s="244"/>
      <c r="Y736" s="244"/>
      <c r="Z736" s="244"/>
    </row>
    <row r="737" hidden="1">
      <c r="A737" s="249"/>
      <c r="B737" s="249"/>
      <c r="C737" s="250"/>
      <c r="D737" s="244"/>
      <c r="E737" s="244"/>
      <c r="F737" s="244"/>
      <c r="G737" s="244"/>
      <c r="H737" s="244"/>
      <c r="I737" s="244"/>
      <c r="J737" s="244"/>
      <c r="K737" s="244"/>
      <c r="L737" s="244"/>
      <c r="M737" s="244"/>
      <c r="N737" s="244"/>
      <c r="O737" s="244"/>
      <c r="P737" s="244"/>
      <c r="Q737" s="244"/>
      <c r="R737" s="244"/>
      <c r="S737" s="244"/>
      <c r="T737" s="244"/>
      <c r="U737" s="244"/>
      <c r="V737" s="244"/>
      <c r="W737" s="244"/>
      <c r="X737" s="244"/>
      <c r="Y737" s="244"/>
      <c r="Z737" s="244"/>
    </row>
    <row r="738" hidden="1">
      <c r="A738" s="249"/>
      <c r="B738" s="249"/>
      <c r="C738" s="250"/>
      <c r="D738" s="244"/>
      <c r="E738" s="244"/>
      <c r="F738" s="244"/>
      <c r="G738" s="244"/>
      <c r="H738" s="244"/>
      <c r="I738" s="244"/>
      <c r="J738" s="244"/>
      <c r="K738" s="244"/>
      <c r="L738" s="244"/>
      <c r="M738" s="244"/>
      <c r="N738" s="244"/>
      <c r="O738" s="244"/>
      <c r="P738" s="244"/>
      <c r="Q738" s="244"/>
      <c r="R738" s="244"/>
      <c r="S738" s="244"/>
      <c r="T738" s="244"/>
      <c r="U738" s="244"/>
      <c r="V738" s="244"/>
      <c r="W738" s="244"/>
      <c r="X738" s="244"/>
      <c r="Y738" s="244"/>
      <c r="Z738" s="244"/>
    </row>
    <row r="739" hidden="1">
      <c r="A739" s="249"/>
      <c r="B739" s="249"/>
      <c r="C739" s="250"/>
      <c r="D739" s="244"/>
      <c r="E739" s="244"/>
      <c r="F739" s="244"/>
      <c r="G739" s="244"/>
      <c r="H739" s="244"/>
      <c r="I739" s="244"/>
      <c r="J739" s="244"/>
      <c r="K739" s="244"/>
      <c r="L739" s="244"/>
      <c r="M739" s="244"/>
      <c r="N739" s="244"/>
      <c r="O739" s="244"/>
      <c r="P739" s="244"/>
      <c r="Q739" s="244"/>
      <c r="R739" s="244"/>
      <c r="S739" s="244"/>
      <c r="T739" s="244"/>
      <c r="U739" s="244"/>
      <c r="V739" s="244"/>
      <c r="W739" s="244"/>
      <c r="X739" s="244"/>
      <c r="Y739" s="244"/>
      <c r="Z739" s="244"/>
    </row>
    <row r="740" hidden="1">
      <c r="A740" s="249"/>
      <c r="B740" s="249"/>
      <c r="C740" s="250"/>
      <c r="D740" s="244"/>
      <c r="E740" s="244"/>
      <c r="F740" s="244"/>
      <c r="G740" s="244"/>
      <c r="H740" s="244"/>
      <c r="I740" s="244"/>
      <c r="J740" s="244"/>
      <c r="K740" s="244"/>
      <c r="L740" s="244"/>
      <c r="M740" s="244"/>
      <c r="N740" s="244"/>
      <c r="O740" s="244"/>
      <c r="P740" s="244"/>
      <c r="Q740" s="244"/>
      <c r="R740" s="244"/>
      <c r="S740" s="244"/>
      <c r="T740" s="244"/>
      <c r="U740" s="244"/>
      <c r="V740" s="244"/>
      <c r="W740" s="244"/>
      <c r="X740" s="244"/>
      <c r="Y740" s="244"/>
      <c r="Z740" s="244"/>
    </row>
    <row r="741" hidden="1">
      <c r="A741" s="249"/>
      <c r="B741" s="249"/>
      <c r="C741" s="250"/>
      <c r="D741" s="244"/>
      <c r="E741" s="244"/>
      <c r="F741" s="244"/>
      <c r="G741" s="244"/>
      <c r="H741" s="244"/>
      <c r="I741" s="244"/>
      <c r="J741" s="244"/>
      <c r="K741" s="244"/>
      <c r="L741" s="244"/>
      <c r="M741" s="244"/>
      <c r="N741" s="244"/>
      <c r="O741" s="244"/>
      <c r="P741" s="244"/>
      <c r="Q741" s="244"/>
      <c r="R741" s="244"/>
      <c r="S741" s="244"/>
      <c r="T741" s="244"/>
      <c r="U741" s="244"/>
      <c r="V741" s="244"/>
      <c r="W741" s="244"/>
      <c r="X741" s="244"/>
      <c r="Y741" s="244"/>
      <c r="Z741" s="244"/>
    </row>
    <row r="742" hidden="1">
      <c r="A742" s="249"/>
      <c r="B742" s="249"/>
      <c r="C742" s="250"/>
      <c r="D742" s="244"/>
      <c r="E742" s="244"/>
      <c r="F742" s="244"/>
      <c r="G742" s="244"/>
      <c r="H742" s="244"/>
      <c r="I742" s="244"/>
      <c r="J742" s="244"/>
      <c r="K742" s="244"/>
      <c r="L742" s="244"/>
      <c r="M742" s="244"/>
      <c r="N742" s="244"/>
      <c r="O742" s="244"/>
      <c r="P742" s="244"/>
      <c r="Q742" s="244"/>
      <c r="R742" s="244"/>
      <c r="S742" s="244"/>
      <c r="T742" s="244"/>
      <c r="U742" s="244"/>
      <c r="V742" s="244"/>
      <c r="W742" s="244"/>
      <c r="X742" s="244"/>
      <c r="Y742" s="244"/>
      <c r="Z742" s="244"/>
    </row>
    <row r="743" hidden="1">
      <c r="A743" s="249"/>
      <c r="B743" s="249"/>
      <c r="C743" s="250"/>
      <c r="D743" s="244"/>
      <c r="E743" s="244"/>
      <c r="F743" s="244"/>
      <c r="G743" s="244"/>
      <c r="H743" s="244"/>
      <c r="I743" s="244"/>
      <c r="J743" s="244"/>
      <c r="K743" s="244"/>
      <c r="L743" s="244"/>
      <c r="M743" s="244"/>
      <c r="N743" s="244"/>
      <c r="O743" s="244"/>
      <c r="P743" s="244"/>
      <c r="Q743" s="244"/>
      <c r="R743" s="244"/>
      <c r="S743" s="244"/>
      <c r="T743" s="244"/>
      <c r="U743" s="244"/>
      <c r="V743" s="244"/>
      <c r="W743" s="244"/>
      <c r="X743" s="244"/>
      <c r="Y743" s="244"/>
      <c r="Z743" s="244"/>
    </row>
    <row r="744" hidden="1">
      <c r="A744" s="249"/>
      <c r="B744" s="249"/>
      <c r="C744" s="250"/>
      <c r="D744" s="244"/>
      <c r="E744" s="244"/>
      <c r="F744" s="244"/>
      <c r="G744" s="244"/>
      <c r="H744" s="244"/>
      <c r="I744" s="244"/>
      <c r="J744" s="244"/>
      <c r="K744" s="244"/>
      <c r="L744" s="244"/>
      <c r="M744" s="244"/>
      <c r="N744" s="244"/>
      <c r="O744" s="244"/>
      <c r="P744" s="244"/>
      <c r="Q744" s="244"/>
      <c r="R744" s="244"/>
      <c r="S744" s="244"/>
      <c r="T744" s="244"/>
      <c r="U744" s="244"/>
      <c r="V744" s="244"/>
      <c r="W744" s="244"/>
      <c r="X744" s="244"/>
      <c r="Y744" s="244"/>
      <c r="Z744" s="244"/>
    </row>
    <row r="745" hidden="1">
      <c r="A745" s="249"/>
      <c r="B745" s="249"/>
      <c r="C745" s="250"/>
      <c r="D745" s="244"/>
      <c r="E745" s="244"/>
      <c r="F745" s="244"/>
      <c r="G745" s="244"/>
      <c r="H745" s="244"/>
      <c r="I745" s="244"/>
      <c r="J745" s="244"/>
      <c r="K745" s="244"/>
      <c r="L745" s="244"/>
      <c r="M745" s="244"/>
      <c r="N745" s="244"/>
      <c r="O745" s="244"/>
      <c r="P745" s="244"/>
      <c r="Q745" s="244"/>
      <c r="R745" s="244"/>
      <c r="S745" s="244"/>
      <c r="T745" s="244"/>
      <c r="U745" s="244"/>
      <c r="V745" s="244"/>
      <c r="W745" s="244"/>
      <c r="X745" s="244"/>
      <c r="Y745" s="244"/>
      <c r="Z745" s="244"/>
    </row>
    <row r="746" hidden="1">
      <c r="A746" s="249"/>
      <c r="B746" s="249"/>
      <c r="C746" s="250"/>
      <c r="D746" s="244"/>
      <c r="E746" s="244"/>
      <c r="F746" s="244"/>
      <c r="G746" s="244"/>
      <c r="H746" s="244"/>
      <c r="I746" s="244"/>
      <c r="J746" s="244"/>
      <c r="K746" s="244"/>
      <c r="L746" s="244"/>
      <c r="M746" s="244"/>
      <c r="N746" s="244"/>
      <c r="O746" s="244"/>
      <c r="P746" s="244"/>
      <c r="Q746" s="244"/>
      <c r="R746" s="244"/>
      <c r="S746" s="244"/>
      <c r="T746" s="244"/>
      <c r="U746" s="244"/>
      <c r="V746" s="244"/>
      <c r="W746" s="244"/>
      <c r="X746" s="244"/>
      <c r="Y746" s="244"/>
      <c r="Z746" s="244"/>
    </row>
    <row r="747" hidden="1">
      <c r="A747" s="249"/>
      <c r="B747" s="249"/>
      <c r="C747" s="250"/>
      <c r="D747" s="244"/>
      <c r="E747" s="244"/>
      <c r="F747" s="244"/>
      <c r="G747" s="244"/>
      <c r="H747" s="244"/>
      <c r="I747" s="244"/>
      <c r="J747" s="244"/>
      <c r="K747" s="244"/>
      <c r="L747" s="244"/>
      <c r="M747" s="244"/>
      <c r="N747" s="244"/>
      <c r="O747" s="244"/>
      <c r="P747" s="244"/>
      <c r="Q747" s="244"/>
      <c r="R747" s="244"/>
      <c r="S747" s="244"/>
      <c r="T747" s="244"/>
      <c r="U747" s="244"/>
      <c r="V747" s="244"/>
      <c r="W747" s="244"/>
      <c r="X747" s="244"/>
      <c r="Y747" s="244"/>
      <c r="Z747" s="244"/>
    </row>
    <row r="748" hidden="1">
      <c r="A748" s="249"/>
      <c r="B748" s="249"/>
      <c r="C748" s="250"/>
      <c r="D748" s="244"/>
      <c r="E748" s="244"/>
      <c r="F748" s="244"/>
      <c r="G748" s="244"/>
      <c r="H748" s="244"/>
      <c r="I748" s="244"/>
      <c r="J748" s="244"/>
      <c r="K748" s="244"/>
      <c r="L748" s="244"/>
      <c r="M748" s="244"/>
      <c r="N748" s="244"/>
      <c r="O748" s="244"/>
      <c r="P748" s="244"/>
      <c r="Q748" s="244"/>
      <c r="R748" s="244"/>
      <c r="S748" s="244"/>
      <c r="T748" s="244"/>
      <c r="U748" s="244"/>
      <c r="V748" s="244"/>
      <c r="W748" s="244"/>
      <c r="X748" s="244"/>
      <c r="Y748" s="244"/>
      <c r="Z748" s="244"/>
    </row>
    <row r="749" hidden="1">
      <c r="A749" s="249"/>
      <c r="B749" s="249"/>
      <c r="C749" s="250"/>
      <c r="D749" s="244"/>
      <c r="E749" s="244"/>
      <c r="F749" s="244"/>
      <c r="G749" s="244"/>
      <c r="H749" s="244"/>
      <c r="I749" s="244"/>
      <c r="J749" s="244"/>
      <c r="K749" s="244"/>
      <c r="L749" s="244"/>
      <c r="M749" s="244"/>
      <c r="N749" s="244"/>
      <c r="O749" s="244"/>
      <c r="P749" s="244"/>
      <c r="Q749" s="244"/>
      <c r="R749" s="244"/>
      <c r="S749" s="244"/>
      <c r="T749" s="244"/>
      <c r="U749" s="244"/>
      <c r="V749" s="244"/>
      <c r="W749" s="244"/>
      <c r="X749" s="244"/>
      <c r="Y749" s="244"/>
      <c r="Z749" s="244"/>
    </row>
    <row r="750" hidden="1">
      <c r="A750" s="249"/>
      <c r="B750" s="249"/>
      <c r="C750" s="250"/>
      <c r="D750" s="244"/>
      <c r="E750" s="244"/>
      <c r="F750" s="244"/>
      <c r="G750" s="244"/>
      <c r="H750" s="244"/>
      <c r="I750" s="244"/>
      <c r="J750" s="244"/>
      <c r="K750" s="244"/>
      <c r="L750" s="244"/>
      <c r="M750" s="244"/>
      <c r="N750" s="244"/>
      <c r="O750" s="244"/>
      <c r="P750" s="244"/>
      <c r="Q750" s="244"/>
      <c r="R750" s="244"/>
      <c r="S750" s="244"/>
      <c r="T750" s="244"/>
      <c r="U750" s="244"/>
      <c r="V750" s="244"/>
      <c r="W750" s="244"/>
      <c r="X750" s="244"/>
      <c r="Y750" s="244"/>
      <c r="Z750" s="244"/>
    </row>
    <row r="751" hidden="1">
      <c r="A751" s="249"/>
      <c r="B751" s="249"/>
      <c r="C751" s="250"/>
      <c r="D751" s="244"/>
      <c r="E751" s="244"/>
      <c r="F751" s="244"/>
      <c r="G751" s="244"/>
      <c r="H751" s="244"/>
      <c r="I751" s="244"/>
      <c r="J751" s="244"/>
      <c r="K751" s="244"/>
      <c r="L751" s="244"/>
      <c r="M751" s="244"/>
      <c r="N751" s="244"/>
      <c r="O751" s="244"/>
      <c r="P751" s="244"/>
      <c r="Q751" s="244"/>
      <c r="R751" s="244"/>
      <c r="S751" s="244"/>
      <c r="T751" s="244"/>
      <c r="U751" s="244"/>
      <c r="V751" s="244"/>
      <c r="W751" s="244"/>
      <c r="X751" s="244"/>
      <c r="Y751" s="244"/>
      <c r="Z751" s="244"/>
    </row>
    <row r="752" hidden="1">
      <c r="A752" s="249"/>
      <c r="B752" s="249"/>
      <c r="C752" s="250"/>
      <c r="D752" s="244"/>
      <c r="E752" s="244"/>
      <c r="F752" s="244"/>
      <c r="G752" s="244"/>
      <c r="H752" s="244"/>
      <c r="I752" s="244"/>
      <c r="J752" s="244"/>
      <c r="K752" s="244"/>
      <c r="L752" s="244"/>
      <c r="M752" s="244"/>
      <c r="N752" s="244"/>
      <c r="O752" s="244"/>
      <c r="P752" s="244"/>
      <c r="Q752" s="244"/>
      <c r="R752" s="244"/>
      <c r="S752" s="244"/>
      <c r="T752" s="244"/>
      <c r="U752" s="244"/>
      <c r="V752" s="244"/>
      <c r="W752" s="244"/>
      <c r="X752" s="244"/>
      <c r="Y752" s="244"/>
      <c r="Z752" s="244"/>
    </row>
    <row r="753" hidden="1">
      <c r="A753" s="249"/>
      <c r="B753" s="249"/>
      <c r="C753" s="250"/>
      <c r="D753" s="244"/>
      <c r="E753" s="244"/>
      <c r="F753" s="244"/>
      <c r="G753" s="244"/>
      <c r="H753" s="244"/>
      <c r="I753" s="244"/>
      <c r="J753" s="244"/>
      <c r="K753" s="244"/>
      <c r="L753" s="244"/>
      <c r="M753" s="244"/>
      <c r="N753" s="244"/>
      <c r="O753" s="244"/>
      <c r="P753" s="244"/>
      <c r="Q753" s="244"/>
      <c r="R753" s="244"/>
      <c r="S753" s="244"/>
      <c r="T753" s="244"/>
      <c r="U753" s="244"/>
      <c r="V753" s="244"/>
      <c r="W753" s="244"/>
      <c r="X753" s="244"/>
      <c r="Y753" s="244"/>
      <c r="Z753" s="244"/>
    </row>
    <row r="754" hidden="1">
      <c r="A754" s="249"/>
      <c r="B754" s="249"/>
      <c r="C754" s="250"/>
      <c r="D754" s="244"/>
      <c r="E754" s="244"/>
      <c r="F754" s="244"/>
      <c r="G754" s="244"/>
      <c r="H754" s="244"/>
      <c r="I754" s="244"/>
      <c r="J754" s="244"/>
      <c r="K754" s="244"/>
      <c r="L754" s="244"/>
      <c r="M754" s="244"/>
      <c r="N754" s="244"/>
      <c r="O754" s="244"/>
      <c r="P754" s="244"/>
      <c r="Q754" s="244"/>
      <c r="R754" s="244"/>
      <c r="S754" s="244"/>
      <c r="T754" s="244"/>
      <c r="U754" s="244"/>
      <c r="V754" s="244"/>
      <c r="W754" s="244"/>
      <c r="X754" s="244"/>
      <c r="Y754" s="244"/>
      <c r="Z754" s="244"/>
    </row>
    <row r="755" hidden="1">
      <c r="A755" s="249"/>
      <c r="B755" s="249"/>
      <c r="C755" s="250"/>
      <c r="D755" s="244"/>
      <c r="E755" s="244"/>
      <c r="F755" s="244"/>
      <c r="G755" s="244"/>
      <c r="H755" s="244"/>
      <c r="I755" s="244"/>
      <c r="J755" s="244"/>
      <c r="K755" s="244"/>
      <c r="L755" s="244"/>
      <c r="M755" s="244"/>
      <c r="N755" s="244"/>
      <c r="O755" s="244"/>
      <c r="P755" s="244"/>
      <c r="Q755" s="244"/>
      <c r="R755" s="244"/>
      <c r="S755" s="244"/>
      <c r="T755" s="244"/>
      <c r="U755" s="244"/>
      <c r="V755" s="244"/>
      <c r="W755" s="244"/>
      <c r="X755" s="244"/>
      <c r="Y755" s="244"/>
      <c r="Z755" s="244"/>
    </row>
    <row r="756" hidden="1">
      <c r="A756" s="249"/>
      <c r="B756" s="249"/>
      <c r="C756" s="250"/>
      <c r="D756" s="244"/>
      <c r="E756" s="244"/>
      <c r="F756" s="244"/>
      <c r="G756" s="244"/>
      <c r="H756" s="244"/>
      <c r="I756" s="244"/>
      <c r="J756" s="244"/>
      <c r="K756" s="244"/>
      <c r="L756" s="244"/>
      <c r="M756" s="244"/>
      <c r="N756" s="244"/>
      <c r="O756" s="244"/>
      <c r="P756" s="244"/>
      <c r="Q756" s="244"/>
      <c r="R756" s="244"/>
      <c r="S756" s="244"/>
      <c r="T756" s="244"/>
      <c r="U756" s="244"/>
      <c r="V756" s="244"/>
      <c r="W756" s="244"/>
      <c r="X756" s="244"/>
      <c r="Y756" s="244"/>
      <c r="Z756" s="244"/>
    </row>
    <row r="757" hidden="1">
      <c r="A757" s="249"/>
      <c r="B757" s="249"/>
      <c r="C757" s="250"/>
      <c r="D757" s="244"/>
      <c r="E757" s="244"/>
      <c r="F757" s="244"/>
      <c r="G757" s="244"/>
      <c r="H757" s="244"/>
      <c r="I757" s="244"/>
      <c r="J757" s="244"/>
      <c r="K757" s="244"/>
      <c r="L757" s="244"/>
      <c r="M757" s="244"/>
      <c r="N757" s="244"/>
      <c r="O757" s="244"/>
      <c r="P757" s="244"/>
      <c r="Q757" s="244"/>
      <c r="R757" s="244"/>
      <c r="S757" s="244"/>
      <c r="T757" s="244"/>
      <c r="U757" s="244"/>
      <c r="V757" s="244"/>
      <c r="W757" s="244"/>
      <c r="X757" s="244"/>
      <c r="Y757" s="244"/>
      <c r="Z757" s="244"/>
    </row>
    <row r="758" hidden="1">
      <c r="A758" s="249"/>
      <c r="B758" s="249"/>
      <c r="C758" s="250"/>
      <c r="D758" s="244"/>
      <c r="E758" s="244"/>
      <c r="F758" s="244"/>
      <c r="G758" s="244"/>
      <c r="H758" s="244"/>
      <c r="I758" s="244"/>
      <c r="J758" s="244"/>
      <c r="K758" s="244"/>
      <c r="L758" s="244"/>
      <c r="M758" s="244"/>
      <c r="N758" s="244"/>
      <c r="O758" s="244"/>
      <c r="P758" s="244"/>
      <c r="Q758" s="244"/>
      <c r="R758" s="244"/>
      <c r="S758" s="244"/>
      <c r="T758" s="244"/>
      <c r="U758" s="244"/>
      <c r="V758" s="244"/>
      <c r="W758" s="244"/>
      <c r="X758" s="244"/>
      <c r="Y758" s="244"/>
      <c r="Z758" s="244"/>
    </row>
    <row r="759" hidden="1">
      <c r="A759" s="249"/>
      <c r="B759" s="249"/>
      <c r="C759" s="250"/>
      <c r="D759" s="244"/>
      <c r="E759" s="244"/>
      <c r="F759" s="244"/>
      <c r="G759" s="244"/>
      <c r="H759" s="244"/>
      <c r="I759" s="244"/>
      <c r="J759" s="244"/>
      <c r="K759" s="244"/>
      <c r="L759" s="244"/>
      <c r="M759" s="244"/>
      <c r="N759" s="244"/>
      <c r="O759" s="244"/>
      <c r="P759" s="244"/>
      <c r="Q759" s="244"/>
      <c r="R759" s="244"/>
      <c r="S759" s="244"/>
      <c r="T759" s="244"/>
      <c r="U759" s="244"/>
      <c r="V759" s="244"/>
      <c r="W759" s="244"/>
      <c r="X759" s="244"/>
      <c r="Y759" s="244"/>
      <c r="Z759" s="244"/>
    </row>
    <row r="760" hidden="1">
      <c r="A760" s="249"/>
      <c r="B760" s="249"/>
      <c r="C760" s="250"/>
      <c r="D760" s="244"/>
      <c r="E760" s="244"/>
      <c r="F760" s="244"/>
      <c r="G760" s="244"/>
      <c r="H760" s="244"/>
      <c r="I760" s="244"/>
      <c r="J760" s="244"/>
      <c r="K760" s="244"/>
      <c r="L760" s="244"/>
      <c r="M760" s="244"/>
      <c r="N760" s="244"/>
      <c r="O760" s="244"/>
      <c r="P760" s="244"/>
      <c r="Q760" s="244"/>
      <c r="R760" s="244"/>
      <c r="S760" s="244"/>
      <c r="T760" s="244"/>
      <c r="U760" s="244"/>
      <c r="V760" s="244"/>
      <c r="W760" s="244"/>
      <c r="X760" s="244"/>
      <c r="Y760" s="244"/>
      <c r="Z760" s="244"/>
    </row>
    <row r="761" hidden="1">
      <c r="A761" s="249"/>
      <c r="B761" s="249"/>
      <c r="C761" s="250"/>
      <c r="D761" s="244"/>
      <c r="E761" s="244"/>
      <c r="F761" s="244"/>
      <c r="G761" s="244"/>
      <c r="H761" s="244"/>
      <c r="I761" s="244"/>
      <c r="J761" s="244"/>
      <c r="K761" s="244"/>
      <c r="L761" s="244"/>
      <c r="M761" s="244"/>
      <c r="N761" s="244"/>
      <c r="O761" s="244"/>
      <c r="P761" s="244"/>
      <c r="Q761" s="244"/>
      <c r="R761" s="244"/>
      <c r="S761" s="244"/>
      <c r="T761" s="244"/>
      <c r="U761" s="244"/>
      <c r="V761" s="244"/>
      <c r="W761" s="244"/>
      <c r="X761" s="244"/>
      <c r="Y761" s="244"/>
      <c r="Z761" s="244"/>
    </row>
    <row r="762" hidden="1">
      <c r="A762" s="249"/>
      <c r="B762" s="249"/>
      <c r="C762" s="250"/>
      <c r="D762" s="244"/>
      <c r="E762" s="244"/>
      <c r="F762" s="244"/>
      <c r="G762" s="244"/>
      <c r="H762" s="244"/>
      <c r="I762" s="244"/>
      <c r="J762" s="244"/>
      <c r="K762" s="244"/>
      <c r="L762" s="244"/>
      <c r="M762" s="244"/>
      <c r="N762" s="244"/>
      <c r="O762" s="244"/>
      <c r="P762" s="244"/>
      <c r="Q762" s="244"/>
      <c r="R762" s="244"/>
      <c r="S762" s="244"/>
      <c r="T762" s="244"/>
      <c r="U762" s="244"/>
      <c r="V762" s="244"/>
      <c r="W762" s="244"/>
      <c r="X762" s="244"/>
      <c r="Y762" s="244"/>
      <c r="Z762" s="244"/>
    </row>
    <row r="763" hidden="1">
      <c r="A763" s="249"/>
      <c r="B763" s="249"/>
      <c r="C763" s="250"/>
      <c r="D763" s="244"/>
      <c r="E763" s="244"/>
      <c r="F763" s="244"/>
      <c r="G763" s="244"/>
      <c r="H763" s="244"/>
      <c r="I763" s="244"/>
      <c r="J763" s="244"/>
      <c r="K763" s="244"/>
      <c r="L763" s="244"/>
      <c r="M763" s="244"/>
      <c r="N763" s="244"/>
      <c r="O763" s="244"/>
      <c r="P763" s="244"/>
      <c r="Q763" s="244"/>
      <c r="R763" s="244"/>
      <c r="S763" s="244"/>
      <c r="T763" s="244"/>
      <c r="U763" s="244"/>
      <c r="V763" s="244"/>
      <c r="W763" s="244"/>
      <c r="X763" s="244"/>
      <c r="Y763" s="244"/>
      <c r="Z763" s="244"/>
    </row>
    <row r="764" hidden="1">
      <c r="A764" s="249"/>
      <c r="B764" s="249"/>
      <c r="C764" s="250"/>
      <c r="D764" s="244"/>
      <c r="E764" s="244"/>
      <c r="F764" s="244"/>
      <c r="G764" s="244"/>
      <c r="H764" s="244"/>
      <c r="I764" s="244"/>
      <c r="J764" s="244"/>
      <c r="K764" s="244"/>
      <c r="L764" s="244"/>
      <c r="M764" s="244"/>
      <c r="N764" s="244"/>
      <c r="O764" s="244"/>
      <c r="P764" s="244"/>
      <c r="Q764" s="244"/>
      <c r="R764" s="244"/>
      <c r="S764" s="244"/>
      <c r="T764" s="244"/>
      <c r="U764" s="244"/>
      <c r="V764" s="244"/>
      <c r="W764" s="244"/>
      <c r="X764" s="244"/>
      <c r="Y764" s="244"/>
      <c r="Z764" s="244"/>
    </row>
    <row r="765" hidden="1">
      <c r="A765" s="249"/>
      <c r="B765" s="249"/>
      <c r="C765" s="250"/>
      <c r="D765" s="244"/>
      <c r="E765" s="244"/>
      <c r="F765" s="244"/>
      <c r="G765" s="244"/>
      <c r="H765" s="244"/>
      <c r="I765" s="244"/>
      <c r="J765" s="244"/>
      <c r="K765" s="244"/>
      <c r="L765" s="244"/>
      <c r="M765" s="244"/>
      <c r="N765" s="244"/>
      <c r="O765" s="244"/>
      <c r="P765" s="244"/>
      <c r="Q765" s="244"/>
      <c r="R765" s="244"/>
      <c r="S765" s="244"/>
      <c r="T765" s="244"/>
      <c r="U765" s="244"/>
      <c r="V765" s="244"/>
      <c r="W765" s="244"/>
      <c r="X765" s="244"/>
      <c r="Y765" s="244"/>
      <c r="Z765" s="244"/>
    </row>
    <row r="766" hidden="1">
      <c r="A766" s="249"/>
      <c r="B766" s="249"/>
      <c r="C766" s="250"/>
      <c r="D766" s="244"/>
      <c r="E766" s="244"/>
      <c r="F766" s="244"/>
      <c r="G766" s="244"/>
      <c r="H766" s="244"/>
      <c r="I766" s="244"/>
      <c r="J766" s="244"/>
      <c r="K766" s="244"/>
      <c r="L766" s="244"/>
      <c r="M766" s="244"/>
      <c r="N766" s="244"/>
      <c r="O766" s="244"/>
      <c r="P766" s="244"/>
      <c r="Q766" s="244"/>
      <c r="R766" s="244"/>
      <c r="S766" s="244"/>
      <c r="T766" s="244"/>
      <c r="U766" s="244"/>
      <c r="V766" s="244"/>
      <c r="W766" s="244"/>
      <c r="X766" s="244"/>
      <c r="Y766" s="244"/>
      <c r="Z766" s="244"/>
    </row>
    <row r="767" hidden="1">
      <c r="A767" s="249"/>
      <c r="B767" s="249"/>
      <c r="C767" s="250"/>
      <c r="D767" s="244"/>
      <c r="E767" s="244"/>
      <c r="F767" s="244"/>
      <c r="G767" s="244"/>
      <c r="H767" s="244"/>
      <c r="I767" s="244"/>
      <c r="J767" s="244"/>
      <c r="K767" s="244"/>
      <c r="L767" s="244"/>
      <c r="M767" s="244"/>
      <c r="N767" s="244"/>
      <c r="O767" s="244"/>
      <c r="P767" s="244"/>
      <c r="Q767" s="244"/>
      <c r="R767" s="244"/>
      <c r="S767" s="244"/>
      <c r="T767" s="244"/>
      <c r="U767" s="244"/>
      <c r="V767" s="244"/>
      <c r="W767" s="244"/>
      <c r="X767" s="244"/>
      <c r="Y767" s="244"/>
      <c r="Z767" s="244"/>
    </row>
    <row r="768" hidden="1">
      <c r="A768" s="249"/>
      <c r="B768" s="249"/>
      <c r="C768" s="250"/>
      <c r="D768" s="244"/>
      <c r="E768" s="244"/>
      <c r="F768" s="244"/>
      <c r="G768" s="244"/>
      <c r="H768" s="244"/>
      <c r="I768" s="244"/>
      <c r="J768" s="244"/>
      <c r="K768" s="244"/>
      <c r="L768" s="244"/>
      <c r="M768" s="244"/>
      <c r="N768" s="244"/>
      <c r="O768" s="244"/>
      <c r="P768" s="244"/>
      <c r="Q768" s="244"/>
      <c r="R768" s="244"/>
      <c r="S768" s="244"/>
      <c r="T768" s="244"/>
      <c r="U768" s="244"/>
      <c r="V768" s="244"/>
      <c r="W768" s="244"/>
      <c r="X768" s="244"/>
      <c r="Y768" s="244"/>
      <c r="Z768" s="244"/>
    </row>
    <row r="769" hidden="1">
      <c r="A769" s="249"/>
      <c r="B769" s="249"/>
      <c r="C769" s="250"/>
      <c r="D769" s="244"/>
      <c r="E769" s="244"/>
      <c r="F769" s="244"/>
      <c r="G769" s="244"/>
      <c r="H769" s="244"/>
      <c r="I769" s="244"/>
      <c r="J769" s="244"/>
      <c r="K769" s="244"/>
      <c r="L769" s="244"/>
      <c r="M769" s="244"/>
      <c r="N769" s="244"/>
      <c r="O769" s="244"/>
      <c r="P769" s="244"/>
      <c r="Q769" s="244"/>
      <c r="R769" s="244"/>
      <c r="S769" s="244"/>
      <c r="T769" s="244"/>
      <c r="U769" s="244"/>
      <c r="V769" s="244"/>
      <c r="W769" s="244"/>
      <c r="X769" s="244"/>
      <c r="Y769" s="244"/>
      <c r="Z769" s="244"/>
    </row>
    <row r="770" hidden="1">
      <c r="A770" s="249"/>
      <c r="B770" s="249"/>
      <c r="C770" s="250"/>
      <c r="D770" s="244"/>
      <c r="E770" s="244"/>
      <c r="F770" s="244"/>
      <c r="G770" s="244"/>
      <c r="H770" s="244"/>
      <c r="I770" s="244"/>
      <c r="J770" s="244"/>
      <c r="K770" s="244"/>
      <c r="L770" s="244"/>
      <c r="M770" s="244"/>
      <c r="N770" s="244"/>
      <c r="O770" s="244"/>
      <c r="P770" s="244"/>
      <c r="Q770" s="244"/>
      <c r="R770" s="244"/>
      <c r="S770" s="244"/>
      <c r="T770" s="244"/>
      <c r="U770" s="244"/>
      <c r="V770" s="244"/>
      <c r="W770" s="244"/>
      <c r="X770" s="244"/>
      <c r="Y770" s="244"/>
      <c r="Z770" s="244"/>
    </row>
    <row r="771" hidden="1">
      <c r="A771" s="249"/>
      <c r="B771" s="249"/>
      <c r="C771" s="250"/>
      <c r="D771" s="244"/>
      <c r="E771" s="244"/>
      <c r="F771" s="244"/>
      <c r="G771" s="244"/>
      <c r="H771" s="244"/>
      <c r="I771" s="244"/>
      <c r="J771" s="244"/>
      <c r="K771" s="244"/>
      <c r="L771" s="244"/>
      <c r="M771" s="244"/>
      <c r="N771" s="244"/>
      <c r="O771" s="244"/>
      <c r="P771" s="244"/>
      <c r="Q771" s="244"/>
      <c r="R771" s="244"/>
      <c r="S771" s="244"/>
      <c r="T771" s="244"/>
      <c r="U771" s="244"/>
      <c r="V771" s="244"/>
      <c r="W771" s="244"/>
      <c r="X771" s="244"/>
      <c r="Y771" s="244"/>
      <c r="Z771" s="244"/>
    </row>
    <row r="772" hidden="1">
      <c r="A772" s="249"/>
      <c r="B772" s="249"/>
      <c r="C772" s="250"/>
      <c r="D772" s="244"/>
      <c r="E772" s="244"/>
      <c r="F772" s="244"/>
      <c r="G772" s="244"/>
      <c r="H772" s="244"/>
      <c r="I772" s="244"/>
      <c r="J772" s="244"/>
      <c r="K772" s="244"/>
      <c r="L772" s="244"/>
      <c r="M772" s="244"/>
      <c r="N772" s="244"/>
      <c r="O772" s="244"/>
      <c r="P772" s="244"/>
      <c r="Q772" s="244"/>
      <c r="R772" s="244"/>
      <c r="S772" s="244"/>
      <c r="T772" s="244"/>
      <c r="U772" s="244"/>
      <c r="V772" s="244"/>
      <c r="W772" s="244"/>
      <c r="X772" s="244"/>
      <c r="Y772" s="244"/>
      <c r="Z772" s="244"/>
    </row>
    <row r="773" hidden="1">
      <c r="A773" s="249"/>
      <c r="B773" s="249"/>
      <c r="C773" s="250"/>
      <c r="D773" s="244"/>
      <c r="E773" s="244"/>
      <c r="F773" s="244"/>
      <c r="G773" s="244"/>
      <c r="H773" s="244"/>
      <c r="I773" s="244"/>
      <c r="J773" s="244"/>
      <c r="K773" s="244"/>
      <c r="L773" s="244"/>
      <c r="M773" s="244"/>
      <c r="N773" s="244"/>
      <c r="O773" s="244"/>
      <c r="P773" s="244"/>
      <c r="Q773" s="244"/>
      <c r="R773" s="244"/>
      <c r="S773" s="244"/>
      <c r="T773" s="244"/>
      <c r="U773" s="244"/>
      <c r="V773" s="244"/>
      <c r="W773" s="244"/>
      <c r="X773" s="244"/>
      <c r="Y773" s="244"/>
      <c r="Z773" s="244"/>
    </row>
    <row r="774" hidden="1">
      <c r="A774" s="249"/>
      <c r="B774" s="249"/>
      <c r="C774" s="250"/>
      <c r="D774" s="244"/>
      <c r="E774" s="244"/>
      <c r="F774" s="244"/>
      <c r="G774" s="244"/>
      <c r="H774" s="244"/>
      <c r="I774" s="244"/>
      <c r="J774" s="244"/>
      <c r="K774" s="244"/>
      <c r="L774" s="244"/>
      <c r="M774" s="244"/>
      <c r="N774" s="244"/>
      <c r="O774" s="244"/>
      <c r="P774" s="244"/>
      <c r="Q774" s="244"/>
      <c r="R774" s="244"/>
      <c r="S774" s="244"/>
      <c r="T774" s="244"/>
      <c r="U774" s="244"/>
      <c r="V774" s="244"/>
      <c r="W774" s="244"/>
      <c r="X774" s="244"/>
      <c r="Y774" s="244"/>
      <c r="Z774" s="244"/>
    </row>
    <row r="775" hidden="1">
      <c r="A775" s="249"/>
      <c r="B775" s="249"/>
      <c r="C775" s="250"/>
      <c r="D775" s="244"/>
      <c r="E775" s="244"/>
      <c r="F775" s="244"/>
      <c r="G775" s="244"/>
      <c r="H775" s="244"/>
      <c r="I775" s="244"/>
      <c r="J775" s="244"/>
      <c r="K775" s="244"/>
      <c r="L775" s="244"/>
      <c r="M775" s="244"/>
      <c r="N775" s="244"/>
      <c r="O775" s="244"/>
      <c r="P775" s="244"/>
      <c r="Q775" s="244"/>
      <c r="R775" s="244"/>
      <c r="S775" s="244"/>
      <c r="T775" s="244"/>
      <c r="U775" s="244"/>
      <c r="V775" s="244"/>
      <c r="W775" s="244"/>
      <c r="X775" s="244"/>
      <c r="Y775" s="244"/>
      <c r="Z775" s="244"/>
    </row>
    <row r="776" hidden="1">
      <c r="A776" s="249"/>
      <c r="B776" s="249"/>
      <c r="C776" s="250"/>
      <c r="D776" s="244"/>
      <c r="E776" s="244"/>
      <c r="F776" s="244"/>
      <c r="G776" s="244"/>
      <c r="H776" s="244"/>
      <c r="I776" s="244"/>
      <c r="J776" s="244"/>
      <c r="K776" s="244"/>
      <c r="L776" s="244"/>
      <c r="M776" s="244"/>
      <c r="N776" s="244"/>
      <c r="O776" s="244"/>
      <c r="P776" s="244"/>
      <c r="Q776" s="244"/>
      <c r="R776" s="244"/>
      <c r="S776" s="244"/>
      <c r="T776" s="244"/>
      <c r="U776" s="244"/>
      <c r="V776" s="244"/>
      <c r="W776" s="244"/>
      <c r="X776" s="244"/>
      <c r="Y776" s="244"/>
      <c r="Z776" s="244"/>
    </row>
    <row r="777" hidden="1">
      <c r="A777" s="249"/>
      <c r="B777" s="249"/>
      <c r="C777" s="250"/>
      <c r="D777" s="244"/>
      <c r="E777" s="244"/>
      <c r="F777" s="244"/>
      <c r="G777" s="244"/>
      <c r="H777" s="244"/>
      <c r="I777" s="244"/>
      <c r="J777" s="244"/>
      <c r="K777" s="244"/>
      <c r="L777" s="244"/>
      <c r="M777" s="244"/>
      <c r="N777" s="244"/>
      <c r="O777" s="244"/>
      <c r="P777" s="244"/>
      <c r="Q777" s="244"/>
      <c r="R777" s="244"/>
      <c r="S777" s="244"/>
      <c r="T777" s="244"/>
      <c r="U777" s="244"/>
      <c r="V777" s="244"/>
      <c r="W777" s="244"/>
      <c r="X777" s="244"/>
      <c r="Y777" s="244"/>
      <c r="Z777" s="244"/>
    </row>
    <row r="778" hidden="1">
      <c r="A778" s="249"/>
      <c r="B778" s="249"/>
      <c r="C778" s="250"/>
      <c r="D778" s="244"/>
      <c r="E778" s="244"/>
      <c r="F778" s="244"/>
      <c r="G778" s="244"/>
      <c r="H778" s="244"/>
      <c r="I778" s="244"/>
      <c r="J778" s="244"/>
      <c r="K778" s="244"/>
      <c r="L778" s="244"/>
      <c r="M778" s="244"/>
      <c r="N778" s="244"/>
      <c r="O778" s="244"/>
      <c r="P778" s="244"/>
      <c r="Q778" s="244"/>
      <c r="R778" s="244"/>
      <c r="S778" s="244"/>
      <c r="T778" s="244"/>
      <c r="U778" s="244"/>
      <c r="V778" s="244"/>
      <c r="W778" s="244"/>
      <c r="X778" s="244"/>
      <c r="Y778" s="244"/>
      <c r="Z778" s="244"/>
    </row>
    <row r="779" hidden="1">
      <c r="A779" s="249"/>
      <c r="B779" s="249"/>
      <c r="C779" s="250"/>
      <c r="D779" s="244"/>
      <c r="E779" s="244"/>
      <c r="F779" s="244"/>
      <c r="G779" s="244"/>
      <c r="H779" s="244"/>
      <c r="I779" s="244"/>
      <c r="J779" s="244"/>
      <c r="K779" s="244"/>
      <c r="L779" s="244"/>
      <c r="M779" s="244"/>
      <c r="N779" s="244"/>
      <c r="O779" s="244"/>
      <c r="P779" s="244"/>
      <c r="Q779" s="244"/>
      <c r="R779" s="244"/>
      <c r="S779" s="244"/>
      <c r="T779" s="244"/>
      <c r="U779" s="244"/>
      <c r="V779" s="244"/>
      <c r="W779" s="244"/>
      <c r="X779" s="244"/>
      <c r="Y779" s="244"/>
      <c r="Z779" s="244"/>
    </row>
    <row r="780" hidden="1">
      <c r="A780" s="249"/>
      <c r="B780" s="249"/>
      <c r="C780" s="250"/>
      <c r="D780" s="244"/>
      <c r="E780" s="244"/>
      <c r="F780" s="244"/>
      <c r="G780" s="244"/>
      <c r="H780" s="244"/>
      <c r="I780" s="244"/>
      <c r="J780" s="244"/>
      <c r="K780" s="244"/>
      <c r="L780" s="244"/>
      <c r="M780" s="244"/>
      <c r="N780" s="244"/>
      <c r="O780" s="244"/>
      <c r="P780" s="244"/>
      <c r="Q780" s="244"/>
      <c r="R780" s="244"/>
      <c r="S780" s="244"/>
      <c r="T780" s="244"/>
      <c r="U780" s="244"/>
      <c r="V780" s="244"/>
      <c r="W780" s="244"/>
      <c r="X780" s="244"/>
      <c r="Y780" s="244"/>
      <c r="Z780" s="244"/>
    </row>
    <row r="781" hidden="1">
      <c r="A781" s="249"/>
      <c r="B781" s="249"/>
      <c r="C781" s="250"/>
      <c r="D781" s="244"/>
      <c r="E781" s="244"/>
      <c r="F781" s="244"/>
      <c r="G781" s="244"/>
      <c r="H781" s="244"/>
      <c r="I781" s="244"/>
      <c r="J781" s="244"/>
      <c r="K781" s="244"/>
      <c r="L781" s="244"/>
      <c r="M781" s="244"/>
      <c r="N781" s="244"/>
      <c r="O781" s="244"/>
      <c r="P781" s="244"/>
      <c r="Q781" s="244"/>
      <c r="R781" s="244"/>
      <c r="S781" s="244"/>
      <c r="T781" s="244"/>
      <c r="U781" s="244"/>
      <c r="V781" s="244"/>
      <c r="W781" s="244"/>
      <c r="X781" s="244"/>
      <c r="Y781" s="244"/>
      <c r="Z781" s="244"/>
    </row>
    <row r="782" hidden="1">
      <c r="A782" s="249"/>
      <c r="B782" s="249"/>
      <c r="C782" s="250"/>
      <c r="D782" s="244"/>
      <c r="E782" s="244"/>
      <c r="F782" s="244"/>
      <c r="G782" s="244"/>
      <c r="H782" s="244"/>
      <c r="I782" s="244"/>
      <c r="J782" s="244"/>
      <c r="K782" s="244"/>
      <c r="L782" s="244"/>
      <c r="M782" s="244"/>
      <c r="N782" s="244"/>
      <c r="O782" s="244"/>
      <c r="P782" s="244"/>
      <c r="Q782" s="244"/>
      <c r="R782" s="244"/>
      <c r="S782" s="244"/>
      <c r="T782" s="244"/>
      <c r="U782" s="244"/>
      <c r="V782" s="244"/>
      <c r="W782" s="244"/>
      <c r="X782" s="244"/>
      <c r="Y782" s="244"/>
      <c r="Z782" s="244"/>
    </row>
    <row r="783" hidden="1">
      <c r="A783" s="249"/>
      <c r="B783" s="249"/>
      <c r="C783" s="250"/>
      <c r="D783" s="244"/>
      <c r="E783" s="244"/>
      <c r="F783" s="244"/>
      <c r="G783" s="244"/>
      <c r="H783" s="244"/>
      <c r="I783" s="244"/>
      <c r="J783" s="244"/>
      <c r="K783" s="244"/>
      <c r="L783" s="244"/>
      <c r="M783" s="244"/>
      <c r="N783" s="244"/>
      <c r="O783" s="244"/>
      <c r="P783" s="244"/>
      <c r="Q783" s="244"/>
      <c r="R783" s="244"/>
      <c r="S783" s="244"/>
      <c r="T783" s="244"/>
      <c r="U783" s="244"/>
      <c r="V783" s="244"/>
      <c r="W783" s="244"/>
      <c r="X783" s="244"/>
      <c r="Y783" s="244"/>
      <c r="Z783" s="244"/>
    </row>
    <row r="784" hidden="1">
      <c r="A784" s="249"/>
      <c r="B784" s="249"/>
      <c r="C784" s="250"/>
      <c r="D784" s="244"/>
      <c r="E784" s="244"/>
      <c r="F784" s="244"/>
      <c r="G784" s="244"/>
      <c r="H784" s="244"/>
      <c r="I784" s="244"/>
      <c r="J784" s="244"/>
      <c r="K784" s="244"/>
      <c r="L784" s="244"/>
      <c r="M784" s="244"/>
      <c r="N784" s="244"/>
      <c r="O784" s="244"/>
      <c r="P784" s="244"/>
      <c r="Q784" s="244"/>
      <c r="R784" s="244"/>
      <c r="S784" s="244"/>
      <c r="T784" s="244"/>
      <c r="U784" s="244"/>
      <c r="V784" s="244"/>
      <c r="W784" s="244"/>
      <c r="X784" s="244"/>
      <c r="Y784" s="244"/>
      <c r="Z784" s="244"/>
    </row>
    <row r="785" hidden="1">
      <c r="A785" s="249"/>
      <c r="B785" s="249"/>
      <c r="C785" s="250"/>
      <c r="D785" s="244"/>
      <c r="E785" s="244"/>
      <c r="F785" s="244"/>
      <c r="G785" s="244"/>
      <c r="H785" s="244"/>
      <c r="I785" s="244"/>
      <c r="J785" s="244"/>
      <c r="K785" s="244"/>
      <c r="L785" s="244"/>
      <c r="M785" s="244"/>
      <c r="N785" s="244"/>
      <c r="O785" s="244"/>
      <c r="P785" s="244"/>
      <c r="Q785" s="244"/>
      <c r="R785" s="244"/>
      <c r="S785" s="244"/>
      <c r="T785" s="244"/>
      <c r="U785" s="244"/>
      <c r="V785" s="244"/>
      <c r="W785" s="244"/>
      <c r="X785" s="244"/>
      <c r="Y785" s="244"/>
      <c r="Z785" s="244"/>
    </row>
    <row r="786" hidden="1">
      <c r="A786" s="249"/>
      <c r="B786" s="249"/>
      <c r="C786" s="250"/>
      <c r="D786" s="244"/>
      <c r="E786" s="244"/>
      <c r="F786" s="244"/>
      <c r="G786" s="244"/>
      <c r="H786" s="244"/>
      <c r="I786" s="244"/>
      <c r="J786" s="244"/>
      <c r="K786" s="244"/>
      <c r="L786" s="244"/>
      <c r="M786" s="244"/>
      <c r="N786" s="244"/>
      <c r="O786" s="244"/>
      <c r="P786" s="244"/>
      <c r="Q786" s="244"/>
      <c r="R786" s="244"/>
      <c r="S786" s="244"/>
      <c r="T786" s="244"/>
      <c r="U786" s="244"/>
      <c r="V786" s="244"/>
      <c r="W786" s="244"/>
      <c r="X786" s="244"/>
      <c r="Y786" s="244"/>
      <c r="Z786" s="244"/>
    </row>
    <row r="787" hidden="1">
      <c r="A787" s="249"/>
      <c r="B787" s="249"/>
      <c r="C787" s="250"/>
      <c r="D787" s="244"/>
      <c r="E787" s="244"/>
      <c r="F787" s="244"/>
      <c r="G787" s="244"/>
      <c r="H787" s="244"/>
      <c r="I787" s="244"/>
      <c r="J787" s="244"/>
      <c r="K787" s="244"/>
      <c r="L787" s="244"/>
      <c r="M787" s="244"/>
      <c r="N787" s="244"/>
      <c r="O787" s="244"/>
      <c r="P787" s="244"/>
      <c r="Q787" s="244"/>
      <c r="R787" s="244"/>
      <c r="S787" s="244"/>
      <c r="T787" s="244"/>
      <c r="U787" s="244"/>
      <c r="V787" s="244"/>
      <c r="W787" s="244"/>
      <c r="X787" s="244"/>
      <c r="Y787" s="244"/>
      <c r="Z787" s="244"/>
    </row>
    <row r="788" hidden="1">
      <c r="A788" s="249"/>
      <c r="B788" s="249"/>
      <c r="C788" s="250"/>
      <c r="D788" s="244"/>
      <c r="E788" s="244"/>
      <c r="F788" s="244"/>
      <c r="G788" s="244"/>
      <c r="H788" s="244"/>
      <c r="I788" s="244"/>
      <c r="J788" s="244"/>
      <c r="K788" s="244"/>
      <c r="L788" s="244"/>
      <c r="M788" s="244"/>
      <c r="N788" s="244"/>
      <c r="O788" s="244"/>
      <c r="P788" s="244"/>
      <c r="Q788" s="244"/>
      <c r="R788" s="244"/>
      <c r="S788" s="244"/>
      <c r="T788" s="244"/>
      <c r="U788" s="244"/>
      <c r="V788" s="244"/>
      <c r="W788" s="244"/>
      <c r="X788" s="244"/>
      <c r="Y788" s="244"/>
      <c r="Z788" s="244"/>
    </row>
    <row r="789" hidden="1">
      <c r="A789" s="249"/>
      <c r="B789" s="249"/>
      <c r="C789" s="250"/>
      <c r="D789" s="244"/>
      <c r="E789" s="244"/>
      <c r="F789" s="244"/>
      <c r="G789" s="244"/>
      <c r="H789" s="244"/>
      <c r="I789" s="244"/>
      <c r="J789" s="244"/>
      <c r="K789" s="244"/>
      <c r="L789" s="244"/>
      <c r="M789" s="244"/>
      <c r="N789" s="244"/>
      <c r="O789" s="244"/>
      <c r="P789" s="244"/>
      <c r="Q789" s="244"/>
      <c r="R789" s="244"/>
      <c r="S789" s="244"/>
      <c r="T789" s="244"/>
      <c r="U789" s="244"/>
      <c r="V789" s="244"/>
      <c r="W789" s="244"/>
      <c r="X789" s="244"/>
      <c r="Y789" s="244"/>
      <c r="Z789" s="244"/>
    </row>
    <row r="790" hidden="1">
      <c r="A790" s="249"/>
      <c r="B790" s="249"/>
      <c r="C790" s="250"/>
      <c r="D790" s="244"/>
      <c r="E790" s="244"/>
      <c r="F790" s="244"/>
      <c r="G790" s="244"/>
      <c r="H790" s="244"/>
      <c r="I790" s="244"/>
      <c r="J790" s="244"/>
      <c r="K790" s="244"/>
      <c r="L790" s="244"/>
      <c r="M790" s="244"/>
      <c r="N790" s="244"/>
      <c r="O790" s="244"/>
      <c r="P790" s="244"/>
      <c r="Q790" s="244"/>
      <c r="R790" s="244"/>
      <c r="S790" s="244"/>
      <c r="T790" s="244"/>
      <c r="U790" s="244"/>
      <c r="V790" s="244"/>
      <c r="W790" s="244"/>
      <c r="X790" s="244"/>
      <c r="Y790" s="244"/>
      <c r="Z790" s="244"/>
    </row>
    <row r="791" hidden="1">
      <c r="A791" s="249"/>
      <c r="B791" s="249"/>
      <c r="C791" s="250"/>
      <c r="D791" s="244"/>
      <c r="E791" s="244"/>
      <c r="F791" s="244"/>
      <c r="G791" s="244"/>
      <c r="H791" s="244"/>
      <c r="I791" s="244"/>
      <c r="J791" s="244"/>
      <c r="K791" s="244"/>
      <c r="L791" s="244"/>
      <c r="M791" s="244"/>
      <c r="N791" s="244"/>
      <c r="O791" s="244"/>
      <c r="P791" s="244"/>
      <c r="Q791" s="244"/>
      <c r="R791" s="244"/>
      <c r="S791" s="244"/>
      <c r="T791" s="244"/>
      <c r="U791" s="244"/>
      <c r="V791" s="244"/>
      <c r="W791" s="244"/>
      <c r="X791" s="244"/>
      <c r="Y791" s="244"/>
      <c r="Z791" s="244"/>
    </row>
    <row r="792" hidden="1">
      <c r="A792" s="249"/>
      <c r="B792" s="249"/>
      <c r="C792" s="250"/>
      <c r="D792" s="244"/>
      <c r="E792" s="244"/>
      <c r="F792" s="244"/>
      <c r="G792" s="244"/>
      <c r="H792" s="244"/>
      <c r="I792" s="244"/>
      <c r="J792" s="244"/>
      <c r="K792" s="244"/>
      <c r="L792" s="244"/>
      <c r="M792" s="244"/>
      <c r="N792" s="244"/>
      <c r="O792" s="244"/>
      <c r="P792" s="244"/>
      <c r="Q792" s="244"/>
      <c r="R792" s="244"/>
      <c r="S792" s="244"/>
      <c r="T792" s="244"/>
      <c r="U792" s="244"/>
      <c r="V792" s="244"/>
      <c r="W792" s="244"/>
      <c r="X792" s="244"/>
      <c r="Y792" s="244"/>
      <c r="Z792" s="244"/>
    </row>
    <row r="793" hidden="1">
      <c r="A793" s="249"/>
      <c r="B793" s="249"/>
      <c r="C793" s="250"/>
      <c r="D793" s="244"/>
      <c r="E793" s="244"/>
      <c r="F793" s="244"/>
      <c r="G793" s="244"/>
      <c r="H793" s="244"/>
      <c r="I793" s="244"/>
      <c r="J793" s="244"/>
      <c r="K793" s="244"/>
      <c r="L793" s="244"/>
      <c r="M793" s="244"/>
      <c r="N793" s="244"/>
      <c r="O793" s="244"/>
      <c r="P793" s="244"/>
      <c r="Q793" s="244"/>
      <c r="R793" s="244"/>
      <c r="S793" s="244"/>
      <c r="T793" s="244"/>
      <c r="U793" s="244"/>
      <c r="V793" s="244"/>
      <c r="W793" s="244"/>
      <c r="X793" s="244"/>
      <c r="Y793" s="244"/>
      <c r="Z793" s="244"/>
    </row>
    <row r="794" hidden="1">
      <c r="A794" s="249"/>
      <c r="B794" s="249"/>
      <c r="C794" s="250"/>
      <c r="D794" s="244"/>
      <c r="E794" s="244"/>
      <c r="F794" s="244"/>
      <c r="G794" s="244"/>
      <c r="H794" s="244"/>
      <c r="I794" s="244"/>
      <c r="J794" s="244"/>
      <c r="K794" s="244"/>
      <c r="L794" s="244"/>
      <c r="M794" s="244"/>
      <c r="N794" s="244"/>
      <c r="O794" s="244"/>
      <c r="P794" s="244"/>
      <c r="Q794" s="244"/>
      <c r="R794" s="244"/>
      <c r="S794" s="244"/>
      <c r="T794" s="244"/>
      <c r="U794" s="244"/>
      <c r="V794" s="244"/>
      <c r="W794" s="244"/>
      <c r="X794" s="244"/>
      <c r="Y794" s="244"/>
      <c r="Z794" s="244"/>
    </row>
    <row r="795" hidden="1">
      <c r="A795" s="249"/>
      <c r="B795" s="249"/>
      <c r="C795" s="250"/>
      <c r="D795" s="244"/>
      <c r="E795" s="244"/>
      <c r="F795" s="244"/>
      <c r="G795" s="244"/>
      <c r="H795" s="244"/>
      <c r="I795" s="244"/>
      <c r="J795" s="244"/>
      <c r="K795" s="244"/>
      <c r="L795" s="244"/>
      <c r="M795" s="244"/>
      <c r="N795" s="244"/>
      <c r="O795" s="244"/>
      <c r="P795" s="244"/>
      <c r="Q795" s="244"/>
      <c r="R795" s="244"/>
      <c r="S795" s="244"/>
      <c r="T795" s="244"/>
      <c r="U795" s="244"/>
      <c r="V795" s="244"/>
      <c r="W795" s="244"/>
      <c r="X795" s="244"/>
      <c r="Y795" s="244"/>
      <c r="Z795" s="244"/>
    </row>
    <row r="796" hidden="1">
      <c r="A796" s="249"/>
      <c r="B796" s="249"/>
      <c r="C796" s="250"/>
      <c r="D796" s="244"/>
      <c r="E796" s="244"/>
      <c r="F796" s="244"/>
      <c r="G796" s="244"/>
      <c r="H796" s="244"/>
      <c r="I796" s="244"/>
      <c r="J796" s="244"/>
      <c r="K796" s="244"/>
      <c r="L796" s="244"/>
      <c r="M796" s="244"/>
      <c r="N796" s="244"/>
      <c r="O796" s="244"/>
      <c r="P796" s="244"/>
      <c r="Q796" s="244"/>
      <c r="R796" s="244"/>
      <c r="S796" s="244"/>
      <c r="T796" s="244"/>
      <c r="U796" s="244"/>
      <c r="V796" s="244"/>
      <c r="W796" s="244"/>
      <c r="X796" s="244"/>
      <c r="Y796" s="244"/>
      <c r="Z796" s="244"/>
    </row>
    <row r="797" hidden="1">
      <c r="A797" s="249"/>
      <c r="B797" s="249"/>
      <c r="C797" s="250"/>
      <c r="D797" s="244"/>
      <c r="E797" s="244"/>
      <c r="F797" s="244"/>
      <c r="G797" s="244"/>
      <c r="H797" s="244"/>
      <c r="I797" s="244"/>
      <c r="J797" s="244"/>
      <c r="K797" s="244"/>
      <c r="L797" s="244"/>
      <c r="M797" s="244"/>
      <c r="N797" s="244"/>
      <c r="O797" s="244"/>
      <c r="P797" s="244"/>
      <c r="Q797" s="244"/>
      <c r="R797" s="244"/>
      <c r="S797" s="244"/>
      <c r="T797" s="244"/>
      <c r="U797" s="244"/>
      <c r="V797" s="244"/>
      <c r="W797" s="244"/>
      <c r="X797" s="244"/>
      <c r="Y797" s="244"/>
      <c r="Z797" s="244"/>
    </row>
    <row r="798" hidden="1">
      <c r="A798" s="249"/>
      <c r="B798" s="249"/>
      <c r="C798" s="250"/>
      <c r="D798" s="244"/>
      <c r="E798" s="244"/>
      <c r="F798" s="244"/>
      <c r="G798" s="244"/>
      <c r="H798" s="244"/>
      <c r="I798" s="244"/>
      <c r="J798" s="244"/>
      <c r="K798" s="244"/>
      <c r="L798" s="244"/>
      <c r="M798" s="244"/>
      <c r="N798" s="244"/>
      <c r="O798" s="244"/>
      <c r="P798" s="244"/>
      <c r="Q798" s="244"/>
      <c r="R798" s="244"/>
      <c r="S798" s="244"/>
      <c r="T798" s="244"/>
      <c r="U798" s="244"/>
      <c r="V798" s="244"/>
      <c r="W798" s="244"/>
      <c r="X798" s="244"/>
      <c r="Y798" s="244"/>
      <c r="Z798" s="244"/>
    </row>
    <row r="799" hidden="1">
      <c r="A799" s="249"/>
      <c r="B799" s="249"/>
      <c r="C799" s="250"/>
      <c r="D799" s="244"/>
      <c r="E799" s="244"/>
      <c r="F799" s="244"/>
      <c r="G799" s="244"/>
      <c r="H799" s="244"/>
      <c r="I799" s="244"/>
      <c r="J799" s="244"/>
      <c r="K799" s="244"/>
      <c r="L799" s="244"/>
      <c r="M799" s="244"/>
      <c r="N799" s="244"/>
      <c r="O799" s="244"/>
      <c r="P799" s="244"/>
      <c r="Q799" s="244"/>
      <c r="R799" s="244"/>
      <c r="S799" s="244"/>
      <c r="T799" s="244"/>
      <c r="U799" s="244"/>
      <c r="V799" s="244"/>
      <c r="W799" s="244"/>
      <c r="X799" s="244"/>
      <c r="Y799" s="244"/>
      <c r="Z799" s="244"/>
    </row>
    <row r="800" hidden="1">
      <c r="A800" s="249"/>
      <c r="B800" s="249"/>
      <c r="C800" s="250"/>
      <c r="D800" s="244"/>
      <c r="E800" s="244"/>
      <c r="F800" s="244"/>
      <c r="G800" s="244"/>
      <c r="H800" s="244"/>
      <c r="I800" s="244"/>
      <c r="J800" s="244"/>
      <c r="K800" s="244"/>
      <c r="L800" s="244"/>
      <c r="M800" s="244"/>
      <c r="N800" s="244"/>
      <c r="O800" s="244"/>
      <c r="P800" s="244"/>
      <c r="Q800" s="244"/>
      <c r="R800" s="244"/>
      <c r="S800" s="244"/>
      <c r="T800" s="244"/>
      <c r="U800" s="244"/>
      <c r="V800" s="244"/>
      <c r="W800" s="244"/>
      <c r="X800" s="244"/>
      <c r="Y800" s="244"/>
      <c r="Z800" s="244"/>
    </row>
    <row r="801" hidden="1">
      <c r="A801" s="249"/>
      <c r="B801" s="249"/>
      <c r="C801" s="250"/>
      <c r="D801" s="244"/>
      <c r="E801" s="244"/>
      <c r="F801" s="244"/>
      <c r="G801" s="244"/>
      <c r="H801" s="244"/>
      <c r="I801" s="244"/>
      <c r="J801" s="244"/>
      <c r="K801" s="244"/>
      <c r="L801" s="244"/>
      <c r="M801" s="244"/>
      <c r="N801" s="244"/>
      <c r="O801" s="244"/>
      <c r="P801" s="244"/>
      <c r="Q801" s="244"/>
      <c r="R801" s="244"/>
      <c r="S801" s="244"/>
      <c r="T801" s="244"/>
      <c r="U801" s="244"/>
      <c r="V801" s="244"/>
      <c r="W801" s="244"/>
      <c r="X801" s="244"/>
      <c r="Y801" s="244"/>
      <c r="Z801" s="244"/>
    </row>
    <row r="802" hidden="1">
      <c r="A802" s="249"/>
      <c r="B802" s="249"/>
      <c r="C802" s="250"/>
      <c r="D802" s="244"/>
      <c r="E802" s="244"/>
      <c r="F802" s="244"/>
      <c r="G802" s="244"/>
      <c r="H802" s="244"/>
      <c r="I802" s="244"/>
      <c r="J802" s="244"/>
      <c r="K802" s="244"/>
      <c r="L802" s="244"/>
      <c r="M802" s="244"/>
      <c r="N802" s="244"/>
      <c r="O802" s="244"/>
      <c r="P802" s="244"/>
      <c r="Q802" s="244"/>
      <c r="R802" s="244"/>
      <c r="S802" s="244"/>
      <c r="T802" s="244"/>
      <c r="U802" s="244"/>
      <c r="V802" s="244"/>
      <c r="W802" s="244"/>
      <c r="X802" s="244"/>
      <c r="Y802" s="244"/>
      <c r="Z802" s="244"/>
    </row>
    <row r="803" hidden="1">
      <c r="A803" s="249"/>
      <c r="B803" s="249"/>
      <c r="C803" s="250"/>
      <c r="D803" s="244"/>
      <c r="E803" s="244"/>
      <c r="F803" s="244"/>
      <c r="G803" s="244"/>
      <c r="H803" s="244"/>
      <c r="I803" s="244"/>
      <c r="J803" s="244"/>
      <c r="K803" s="244"/>
      <c r="L803" s="244"/>
      <c r="M803" s="244"/>
      <c r="N803" s="244"/>
      <c r="O803" s="244"/>
      <c r="P803" s="244"/>
      <c r="Q803" s="244"/>
      <c r="R803" s="244"/>
      <c r="S803" s="244"/>
      <c r="T803" s="244"/>
      <c r="U803" s="244"/>
      <c r="V803" s="244"/>
      <c r="W803" s="244"/>
      <c r="X803" s="244"/>
      <c r="Y803" s="244"/>
      <c r="Z803" s="244"/>
    </row>
    <row r="804" hidden="1">
      <c r="A804" s="249"/>
      <c r="B804" s="249"/>
      <c r="C804" s="250"/>
      <c r="D804" s="244"/>
      <c r="E804" s="244"/>
      <c r="F804" s="244"/>
      <c r="G804" s="244"/>
      <c r="H804" s="244"/>
      <c r="I804" s="244"/>
      <c r="J804" s="244"/>
      <c r="K804" s="244"/>
      <c r="L804" s="244"/>
      <c r="M804" s="244"/>
      <c r="N804" s="244"/>
      <c r="O804" s="244"/>
      <c r="P804" s="244"/>
      <c r="Q804" s="244"/>
      <c r="R804" s="244"/>
      <c r="S804" s="244"/>
      <c r="T804" s="244"/>
      <c r="U804" s="244"/>
      <c r="V804" s="244"/>
      <c r="W804" s="244"/>
      <c r="X804" s="244"/>
      <c r="Y804" s="244"/>
      <c r="Z804" s="244"/>
    </row>
    <row r="805" hidden="1">
      <c r="A805" s="249"/>
      <c r="B805" s="249"/>
      <c r="C805" s="250"/>
      <c r="D805" s="244"/>
      <c r="E805" s="244"/>
      <c r="F805" s="244"/>
      <c r="G805" s="244"/>
      <c r="H805" s="244"/>
      <c r="I805" s="244"/>
      <c r="J805" s="244"/>
      <c r="K805" s="244"/>
      <c r="L805" s="244"/>
      <c r="M805" s="244"/>
      <c r="N805" s="244"/>
      <c r="O805" s="244"/>
      <c r="P805" s="244"/>
      <c r="Q805" s="244"/>
      <c r="R805" s="244"/>
      <c r="S805" s="244"/>
      <c r="T805" s="244"/>
      <c r="U805" s="244"/>
      <c r="V805" s="244"/>
      <c r="W805" s="244"/>
      <c r="X805" s="244"/>
      <c r="Y805" s="244"/>
      <c r="Z805" s="244"/>
    </row>
    <row r="806" hidden="1">
      <c r="A806" s="249"/>
      <c r="B806" s="249"/>
      <c r="C806" s="250"/>
      <c r="D806" s="244"/>
      <c r="E806" s="244"/>
      <c r="F806" s="244"/>
      <c r="G806" s="244"/>
      <c r="H806" s="244"/>
      <c r="I806" s="244"/>
      <c r="J806" s="244"/>
      <c r="K806" s="244"/>
      <c r="L806" s="244"/>
      <c r="M806" s="244"/>
      <c r="N806" s="244"/>
      <c r="O806" s="244"/>
      <c r="P806" s="244"/>
      <c r="Q806" s="244"/>
      <c r="R806" s="244"/>
      <c r="S806" s="244"/>
      <c r="T806" s="244"/>
      <c r="U806" s="244"/>
      <c r="V806" s="244"/>
      <c r="W806" s="244"/>
      <c r="X806" s="244"/>
      <c r="Y806" s="244"/>
      <c r="Z806" s="244"/>
    </row>
    <row r="807" hidden="1">
      <c r="A807" s="249"/>
      <c r="B807" s="249"/>
      <c r="C807" s="250"/>
      <c r="D807" s="244"/>
      <c r="E807" s="244"/>
      <c r="F807" s="244"/>
      <c r="G807" s="244"/>
      <c r="H807" s="244"/>
      <c r="I807" s="244"/>
      <c r="J807" s="244"/>
      <c r="K807" s="244"/>
      <c r="L807" s="244"/>
      <c r="M807" s="244"/>
      <c r="N807" s="244"/>
      <c r="O807" s="244"/>
      <c r="P807" s="244"/>
      <c r="Q807" s="244"/>
      <c r="R807" s="244"/>
      <c r="S807" s="244"/>
      <c r="T807" s="244"/>
      <c r="U807" s="244"/>
      <c r="V807" s="244"/>
      <c r="W807" s="244"/>
      <c r="X807" s="244"/>
      <c r="Y807" s="244"/>
      <c r="Z807" s="244"/>
    </row>
    <row r="808" hidden="1">
      <c r="A808" s="249"/>
      <c r="B808" s="249"/>
      <c r="C808" s="250"/>
      <c r="D808" s="244"/>
      <c r="E808" s="244"/>
      <c r="F808" s="244"/>
      <c r="G808" s="244"/>
      <c r="H808" s="244"/>
      <c r="I808" s="244"/>
      <c r="J808" s="244"/>
      <c r="K808" s="244"/>
      <c r="L808" s="244"/>
      <c r="M808" s="244"/>
      <c r="N808" s="244"/>
      <c r="O808" s="244"/>
      <c r="P808" s="244"/>
      <c r="Q808" s="244"/>
      <c r="R808" s="244"/>
      <c r="S808" s="244"/>
      <c r="T808" s="244"/>
      <c r="U808" s="244"/>
      <c r="V808" s="244"/>
      <c r="W808" s="244"/>
      <c r="X808" s="244"/>
      <c r="Y808" s="244"/>
      <c r="Z808" s="244"/>
    </row>
    <row r="809" hidden="1">
      <c r="A809" s="249"/>
      <c r="B809" s="249"/>
      <c r="C809" s="250"/>
      <c r="D809" s="244"/>
      <c r="E809" s="244"/>
      <c r="F809" s="244"/>
      <c r="G809" s="244"/>
      <c r="H809" s="244"/>
      <c r="I809" s="244"/>
      <c r="J809" s="244"/>
      <c r="K809" s="244"/>
      <c r="L809" s="244"/>
      <c r="M809" s="244"/>
      <c r="N809" s="244"/>
      <c r="O809" s="244"/>
      <c r="P809" s="244"/>
      <c r="Q809" s="244"/>
      <c r="R809" s="244"/>
      <c r="S809" s="244"/>
      <c r="T809" s="244"/>
      <c r="U809" s="244"/>
      <c r="V809" s="244"/>
      <c r="W809" s="244"/>
      <c r="X809" s="244"/>
      <c r="Y809" s="244"/>
      <c r="Z809" s="244"/>
    </row>
    <row r="810" hidden="1">
      <c r="A810" s="249"/>
      <c r="B810" s="249"/>
      <c r="C810" s="250"/>
      <c r="D810" s="244"/>
      <c r="E810" s="244"/>
      <c r="F810" s="244"/>
      <c r="G810" s="244"/>
      <c r="H810" s="244"/>
      <c r="I810" s="244"/>
      <c r="J810" s="244"/>
      <c r="K810" s="244"/>
      <c r="L810" s="244"/>
      <c r="M810" s="244"/>
      <c r="N810" s="244"/>
      <c r="O810" s="244"/>
      <c r="P810" s="244"/>
      <c r="Q810" s="244"/>
      <c r="R810" s="244"/>
      <c r="S810" s="244"/>
      <c r="T810" s="244"/>
      <c r="U810" s="244"/>
      <c r="V810" s="244"/>
      <c r="W810" s="244"/>
      <c r="X810" s="244"/>
      <c r="Y810" s="244"/>
      <c r="Z810" s="244"/>
    </row>
    <row r="811" hidden="1">
      <c r="A811" s="249"/>
      <c r="B811" s="249"/>
      <c r="C811" s="250"/>
      <c r="D811" s="244"/>
      <c r="E811" s="244"/>
      <c r="F811" s="244"/>
      <c r="G811" s="244"/>
      <c r="H811" s="244"/>
      <c r="I811" s="244"/>
      <c r="J811" s="244"/>
      <c r="K811" s="244"/>
      <c r="L811" s="244"/>
      <c r="M811" s="244"/>
      <c r="N811" s="244"/>
      <c r="O811" s="244"/>
      <c r="P811" s="244"/>
      <c r="Q811" s="244"/>
      <c r="R811" s="244"/>
      <c r="S811" s="244"/>
      <c r="T811" s="244"/>
      <c r="U811" s="244"/>
      <c r="V811" s="244"/>
      <c r="W811" s="244"/>
      <c r="X811" s="244"/>
      <c r="Y811" s="244"/>
      <c r="Z811" s="244"/>
    </row>
    <row r="812" hidden="1">
      <c r="A812" s="249"/>
      <c r="B812" s="249"/>
      <c r="C812" s="250"/>
      <c r="D812" s="244"/>
      <c r="E812" s="244"/>
      <c r="F812" s="244"/>
      <c r="G812" s="244"/>
      <c r="H812" s="244"/>
      <c r="I812" s="244"/>
      <c r="J812" s="244"/>
      <c r="K812" s="244"/>
      <c r="L812" s="244"/>
      <c r="M812" s="244"/>
      <c r="N812" s="244"/>
      <c r="O812" s="244"/>
      <c r="P812" s="244"/>
      <c r="Q812" s="244"/>
      <c r="R812" s="244"/>
      <c r="S812" s="244"/>
      <c r="T812" s="244"/>
      <c r="U812" s="244"/>
      <c r="V812" s="244"/>
      <c r="W812" s="244"/>
      <c r="X812" s="244"/>
      <c r="Y812" s="244"/>
      <c r="Z812" s="244"/>
    </row>
    <row r="813" hidden="1">
      <c r="A813" s="249"/>
      <c r="B813" s="249"/>
      <c r="C813" s="250"/>
      <c r="D813" s="244"/>
      <c r="E813" s="244"/>
      <c r="F813" s="244"/>
      <c r="G813" s="244"/>
      <c r="H813" s="244"/>
      <c r="I813" s="244"/>
      <c r="J813" s="244"/>
      <c r="K813" s="244"/>
      <c r="L813" s="244"/>
      <c r="M813" s="244"/>
      <c r="N813" s="244"/>
      <c r="O813" s="244"/>
      <c r="P813" s="244"/>
      <c r="Q813" s="244"/>
      <c r="R813" s="244"/>
      <c r="S813" s="244"/>
      <c r="T813" s="244"/>
      <c r="U813" s="244"/>
      <c r="V813" s="244"/>
      <c r="W813" s="244"/>
      <c r="X813" s="244"/>
      <c r="Y813" s="244"/>
      <c r="Z813" s="244"/>
    </row>
    <row r="814" hidden="1">
      <c r="A814" s="249"/>
      <c r="B814" s="249"/>
      <c r="C814" s="250"/>
      <c r="D814" s="244"/>
      <c r="E814" s="244"/>
      <c r="F814" s="244"/>
      <c r="G814" s="244"/>
      <c r="H814" s="244"/>
      <c r="I814" s="244"/>
      <c r="J814" s="244"/>
      <c r="K814" s="244"/>
      <c r="L814" s="244"/>
      <c r="M814" s="244"/>
      <c r="N814" s="244"/>
      <c r="O814" s="244"/>
      <c r="P814" s="244"/>
      <c r="Q814" s="244"/>
      <c r="R814" s="244"/>
      <c r="S814" s="244"/>
      <c r="T814" s="244"/>
      <c r="U814" s="244"/>
      <c r="V814" s="244"/>
      <c r="W814" s="244"/>
      <c r="X814" s="244"/>
      <c r="Y814" s="244"/>
      <c r="Z814" s="244"/>
    </row>
    <row r="815" hidden="1">
      <c r="A815" s="249"/>
      <c r="B815" s="249"/>
      <c r="C815" s="250"/>
      <c r="D815" s="244"/>
      <c r="E815" s="244"/>
      <c r="F815" s="244"/>
      <c r="G815" s="244"/>
      <c r="H815" s="244"/>
      <c r="I815" s="244"/>
      <c r="J815" s="244"/>
      <c r="K815" s="244"/>
      <c r="L815" s="244"/>
      <c r="M815" s="244"/>
      <c r="N815" s="244"/>
      <c r="O815" s="244"/>
      <c r="P815" s="244"/>
      <c r="Q815" s="244"/>
      <c r="R815" s="244"/>
      <c r="S815" s="244"/>
      <c r="T815" s="244"/>
      <c r="U815" s="244"/>
      <c r="V815" s="244"/>
      <c r="W815" s="244"/>
      <c r="X815" s="244"/>
      <c r="Y815" s="244"/>
      <c r="Z815" s="244"/>
    </row>
    <row r="816" hidden="1">
      <c r="A816" s="249"/>
      <c r="B816" s="249"/>
      <c r="C816" s="250"/>
      <c r="D816" s="244"/>
      <c r="E816" s="244"/>
      <c r="F816" s="244"/>
      <c r="G816" s="244"/>
      <c r="H816" s="244"/>
      <c r="I816" s="244"/>
      <c r="J816" s="244"/>
      <c r="K816" s="244"/>
      <c r="L816" s="244"/>
      <c r="M816" s="244"/>
      <c r="N816" s="244"/>
      <c r="O816" s="244"/>
      <c r="P816" s="244"/>
      <c r="Q816" s="244"/>
      <c r="R816" s="244"/>
      <c r="S816" s="244"/>
      <c r="T816" s="244"/>
      <c r="U816" s="244"/>
      <c r="V816" s="244"/>
      <c r="W816" s="244"/>
      <c r="X816" s="244"/>
      <c r="Y816" s="244"/>
      <c r="Z816" s="244"/>
    </row>
    <row r="817" hidden="1">
      <c r="A817" s="249"/>
      <c r="B817" s="249"/>
      <c r="C817" s="250"/>
      <c r="D817" s="244"/>
      <c r="E817" s="244"/>
      <c r="F817" s="244"/>
      <c r="G817" s="244"/>
      <c r="H817" s="244"/>
      <c r="I817" s="244"/>
      <c r="J817" s="244"/>
      <c r="K817" s="244"/>
      <c r="L817" s="244"/>
      <c r="M817" s="244"/>
      <c r="N817" s="244"/>
      <c r="O817" s="244"/>
      <c r="P817" s="244"/>
      <c r="Q817" s="244"/>
      <c r="R817" s="244"/>
      <c r="S817" s="244"/>
      <c r="T817" s="244"/>
      <c r="U817" s="244"/>
      <c r="V817" s="244"/>
      <c r="W817" s="244"/>
      <c r="X817" s="244"/>
      <c r="Y817" s="244"/>
      <c r="Z817" s="244"/>
    </row>
    <row r="818" hidden="1">
      <c r="A818" s="249"/>
      <c r="B818" s="249"/>
      <c r="C818" s="250"/>
      <c r="D818" s="244"/>
      <c r="E818" s="244"/>
      <c r="F818" s="244"/>
      <c r="G818" s="244"/>
      <c r="H818" s="244"/>
      <c r="I818" s="244"/>
      <c r="J818" s="244"/>
      <c r="K818" s="244"/>
      <c r="L818" s="244"/>
      <c r="M818" s="244"/>
      <c r="N818" s="244"/>
      <c r="O818" s="244"/>
      <c r="P818" s="244"/>
      <c r="Q818" s="244"/>
      <c r="R818" s="244"/>
      <c r="S818" s="244"/>
      <c r="T818" s="244"/>
      <c r="U818" s="244"/>
      <c r="V818" s="244"/>
      <c r="W818" s="244"/>
      <c r="X818" s="244"/>
      <c r="Y818" s="244"/>
      <c r="Z818" s="244"/>
    </row>
    <row r="819" hidden="1">
      <c r="A819" s="249"/>
      <c r="B819" s="249"/>
      <c r="C819" s="250"/>
      <c r="D819" s="244"/>
      <c r="E819" s="244"/>
      <c r="F819" s="244"/>
      <c r="G819" s="244"/>
      <c r="H819" s="244"/>
      <c r="I819" s="244"/>
      <c r="J819" s="244"/>
      <c r="K819" s="244"/>
      <c r="L819" s="244"/>
      <c r="M819" s="244"/>
      <c r="N819" s="244"/>
      <c r="O819" s="244"/>
      <c r="P819" s="244"/>
      <c r="Q819" s="244"/>
      <c r="R819" s="244"/>
      <c r="S819" s="244"/>
      <c r="T819" s="244"/>
      <c r="U819" s="244"/>
      <c r="V819" s="244"/>
      <c r="W819" s="244"/>
      <c r="X819" s="244"/>
      <c r="Y819" s="244"/>
      <c r="Z819" s="244"/>
    </row>
    <row r="820" hidden="1">
      <c r="A820" s="249"/>
      <c r="B820" s="249"/>
      <c r="C820" s="250"/>
      <c r="D820" s="244"/>
      <c r="E820" s="244"/>
      <c r="F820" s="244"/>
      <c r="G820" s="244"/>
      <c r="H820" s="244"/>
      <c r="I820" s="244"/>
      <c r="J820" s="244"/>
      <c r="K820" s="244"/>
      <c r="L820" s="244"/>
      <c r="M820" s="244"/>
      <c r="N820" s="244"/>
      <c r="O820" s="244"/>
      <c r="P820" s="244"/>
      <c r="Q820" s="244"/>
      <c r="R820" s="244"/>
      <c r="S820" s="244"/>
      <c r="T820" s="244"/>
      <c r="U820" s="244"/>
      <c r="V820" s="244"/>
      <c r="W820" s="244"/>
      <c r="X820" s="244"/>
      <c r="Y820" s="244"/>
      <c r="Z820" s="244"/>
    </row>
    <row r="821" hidden="1">
      <c r="A821" s="249"/>
      <c r="B821" s="249"/>
      <c r="C821" s="250"/>
      <c r="D821" s="244"/>
      <c r="E821" s="244"/>
      <c r="F821" s="244"/>
      <c r="G821" s="244"/>
      <c r="H821" s="244"/>
      <c r="I821" s="244"/>
      <c r="J821" s="244"/>
      <c r="K821" s="244"/>
      <c r="L821" s="244"/>
      <c r="M821" s="244"/>
      <c r="N821" s="244"/>
      <c r="O821" s="244"/>
      <c r="P821" s="244"/>
      <c r="Q821" s="244"/>
      <c r="R821" s="244"/>
      <c r="S821" s="244"/>
      <c r="T821" s="244"/>
      <c r="U821" s="244"/>
      <c r="V821" s="244"/>
      <c r="W821" s="244"/>
      <c r="X821" s="244"/>
      <c r="Y821" s="244"/>
      <c r="Z821" s="244"/>
    </row>
    <row r="822" hidden="1">
      <c r="A822" s="249"/>
      <c r="B822" s="249"/>
      <c r="C822" s="250"/>
      <c r="D822" s="244"/>
      <c r="E822" s="244"/>
      <c r="F822" s="244"/>
      <c r="G822" s="244"/>
      <c r="H822" s="244"/>
      <c r="I822" s="244"/>
      <c r="J822" s="244"/>
      <c r="K822" s="244"/>
      <c r="L822" s="244"/>
      <c r="M822" s="244"/>
      <c r="N822" s="244"/>
      <c r="O822" s="244"/>
      <c r="P822" s="244"/>
      <c r="Q822" s="244"/>
      <c r="R822" s="244"/>
      <c r="S822" s="244"/>
      <c r="T822" s="244"/>
      <c r="U822" s="244"/>
      <c r="V822" s="244"/>
      <c r="W822" s="244"/>
      <c r="X822" s="244"/>
      <c r="Y822" s="244"/>
      <c r="Z822" s="244"/>
    </row>
    <row r="823" hidden="1">
      <c r="A823" s="249"/>
      <c r="B823" s="249"/>
      <c r="C823" s="250"/>
      <c r="D823" s="244"/>
      <c r="E823" s="244"/>
      <c r="F823" s="244"/>
      <c r="G823" s="244"/>
      <c r="H823" s="244"/>
      <c r="I823" s="244"/>
      <c r="J823" s="244"/>
      <c r="K823" s="244"/>
      <c r="L823" s="244"/>
      <c r="M823" s="244"/>
      <c r="N823" s="244"/>
      <c r="O823" s="244"/>
      <c r="P823" s="244"/>
      <c r="Q823" s="244"/>
      <c r="R823" s="244"/>
      <c r="S823" s="244"/>
      <c r="T823" s="244"/>
      <c r="U823" s="244"/>
      <c r="V823" s="244"/>
      <c r="W823" s="244"/>
      <c r="X823" s="244"/>
      <c r="Y823" s="244"/>
      <c r="Z823" s="244"/>
    </row>
    <row r="824" hidden="1">
      <c r="A824" s="249"/>
      <c r="B824" s="249"/>
      <c r="C824" s="250"/>
      <c r="D824" s="244"/>
      <c r="E824" s="244"/>
      <c r="F824" s="244"/>
      <c r="G824" s="244"/>
      <c r="H824" s="244"/>
      <c r="I824" s="244"/>
      <c r="J824" s="244"/>
      <c r="K824" s="244"/>
      <c r="L824" s="244"/>
      <c r="M824" s="244"/>
      <c r="N824" s="244"/>
      <c r="O824" s="244"/>
      <c r="P824" s="244"/>
      <c r="Q824" s="244"/>
      <c r="R824" s="244"/>
      <c r="S824" s="244"/>
      <c r="T824" s="244"/>
      <c r="U824" s="244"/>
      <c r="V824" s="244"/>
      <c r="W824" s="244"/>
      <c r="X824" s="244"/>
      <c r="Y824" s="244"/>
      <c r="Z824" s="244"/>
    </row>
    <row r="825" hidden="1">
      <c r="A825" s="249"/>
      <c r="B825" s="249"/>
      <c r="C825" s="250"/>
      <c r="D825" s="244"/>
      <c r="E825" s="244"/>
      <c r="F825" s="244"/>
      <c r="G825" s="244"/>
      <c r="H825" s="244"/>
      <c r="I825" s="244"/>
      <c r="J825" s="244"/>
      <c r="K825" s="244"/>
      <c r="L825" s="244"/>
      <c r="M825" s="244"/>
      <c r="N825" s="244"/>
      <c r="O825" s="244"/>
      <c r="P825" s="244"/>
      <c r="Q825" s="244"/>
      <c r="R825" s="244"/>
      <c r="S825" s="244"/>
      <c r="T825" s="244"/>
      <c r="U825" s="244"/>
      <c r="V825" s="244"/>
      <c r="W825" s="244"/>
      <c r="X825" s="244"/>
      <c r="Y825" s="244"/>
      <c r="Z825" s="244"/>
    </row>
    <row r="826" hidden="1">
      <c r="A826" s="249"/>
      <c r="B826" s="249"/>
      <c r="C826" s="250"/>
      <c r="D826" s="244"/>
      <c r="E826" s="244"/>
      <c r="F826" s="244"/>
      <c r="G826" s="244"/>
      <c r="H826" s="244"/>
      <c r="I826" s="244"/>
      <c r="J826" s="244"/>
      <c r="K826" s="244"/>
      <c r="L826" s="244"/>
      <c r="M826" s="244"/>
      <c r="N826" s="244"/>
      <c r="O826" s="244"/>
      <c r="P826" s="244"/>
      <c r="Q826" s="244"/>
      <c r="R826" s="244"/>
      <c r="S826" s="244"/>
      <c r="T826" s="244"/>
      <c r="U826" s="244"/>
      <c r="V826" s="244"/>
      <c r="W826" s="244"/>
      <c r="X826" s="244"/>
      <c r="Y826" s="244"/>
      <c r="Z826" s="244"/>
    </row>
    <row r="827" hidden="1">
      <c r="A827" s="249"/>
      <c r="B827" s="249"/>
      <c r="C827" s="250"/>
      <c r="D827" s="244"/>
      <c r="E827" s="244"/>
      <c r="F827" s="244"/>
      <c r="G827" s="244"/>
      <c r="H827" s="244"/>
      <c r="I827" s="244"/>
      <c r="J827" s="244"/>
      <c r="K827" s="244"/>
      <c r="L827" s="244"/>
      <c r="M827" s="244"/>
      <c r="N827" s="244"/>
      <c r="O827" s="244"/>
      <c r="P827" s="244"/>
      <c r="Q827" s="244"/>
      <c r="R827" s="244"/>
      <c r="S827" s="244"/>
      <c r="T827" s="244"/>
      <c r="U827" s="244"/>
      <c r="V827" s="244"/>
      <c r="W827" s="244"/>
      <c r="X827" s="244"/>
      <c r="Y827" s="244"/>
      <c r="Z827" s="244"/>
    </row>
    <row r="828" hidden="1">
      <c r="A828" s="249"/>
      <c r="B828" s="249"/>
      <c r="C828" s="250"/>
      <c r="D828" s="244"/>
      <c r="E828" s="244"/>
      <c r="F828" s="244"/>
      <c r="G828" s="244"/>
      <c r="H828" s="244"/>
      <c r="I828" s="244"/>
      <c r="J828" s="244"/>
      <c r="K828" s="244"/>
      <c r="L828" s="244"/>
      <c r="M828" s="244"/>
      <c r="N828" s="244"/>
      <c r="O828" s="244"/>
      <c r="P828" s="244"/>
      <c r="Q828" s="244"/>
      <c r="R828" s="244"/>
      <c r="S828" s="244"/>
      <c r="T828" s="244"/>
      <c r="U828" s="244"/>
      <c r="V828" s="244"/>
      <c r="W828" s="244"/>
      <c r="X828" s="244"/>
      <c r="Y828" s="244"/>
      <c r="Z828" s="244"/>
    </row>
    <row r="829" hidden="1">
      <c r="A829" s="249"/>
      <c r="B829" s="249"/>
      <c r="C829" s="250"/>
      <c r="D829" s="244"/>
      <c r="E829" s="244"/>
      <c r="F829" s="244"/>
      <c r="G829" s="244"/>
      <c r="H829" s="244"/>
      <c r="I829" s="244"/>
      <c r="J829" s="244"/>
      <c r="K829" s="244"/>
      <c r="L829" s="244"/>
      <c r="M829" s="244"/>
      <c r="N829" s="244"/>
      <c r="O829" s="244"/>
      <c r="P829" s="244"/>
      <c r="Q829" s="244"/>
      <c r="R829" s="244"/>
      <c r="S829" s="244"/>
      <c r="T829" s="244"/>
      <c r="U829" s="244"/>
      <c r="V829" s="244"/>
      <c r="W829" s="244"/>
      <c r="X829" s="244"/>
      <c r="Y829" s="244"/>
      <c r="Z829" s="244"/>
    </row>
    <row r="830" hidden="1">
      <c r="A830" s="249"/>
      <c r="B830" s="249"/>
      <c r="C830" s="250"/>
      <c r="D830" s="244"/>
      <c r="E830" s="244"/>
      <c r="F830" s="244"/>
      <c r="G830" s="244"/>
      <c r="H830" s="244"/>
      <c r="I830" s="244"/>
      <c r="J830" s="244"/>
      <c r="K830" s="244"/>
      <c r="L830" s="244"/>
      <c r="M830" s="244"/>
      <c r="N830" s="244"/>
      <c r="O830" s="244"/>
      <c r="P830" s="244"/>
      <c r="Q830" s="244"/>
      <c r="R830" s="244"/>
      <c r="S830" s="244"/>
      <c r="T830" s="244"/>
      <c r="U830" s="244"/>
      <c r="V830" s="244"/>
      <c r="W830" s="244"/>
      <c r="X830" s="244"/>
      <c r="Y830" s="244"/>
      <c r="Z830" s="244"/>
    </row>
    <row r="831" hidden="1">
      <c r="A831" s="249"/>
      <c r="B831" s="249"/>
      <c r="C831" s="250"/>
      <c r="D831" s="244"/>
      <c r="E831" s="244"/>
      <c r="F831" s="244"/>
      <c r="G831" s="244"/>
      <c r="H831" s="244"/>
      <c r="I831" s="244"/>
      <c r="J831" s="244"/>
      <c r="K831" s="244"/>
      <c r="L831" s="244"/>
      <c r="M831" s="244"/>
      <c r="N831" s="244"/>
      <c r="O831" s="244"/>
      <c r="P831" s="244"/>
      <c r="Q831" s="244"/>
      <c r="R831" s="244"/>
      <c r="S831" s="244"/>
      <c r="T831" s="244"/>
      <c r="U831" s="244"/>
      <c r="V831" s="244"/>
      <c r="W831" s="244"/>
      <c r="X831" s="244"/>
      <c r="Y831" s="244"/>
      <c r="Z831" s="244"/>
    </row>
    <row r="832" hidden="1">
      <c r="A832" s="249"/>
      <c r="B832" s="249"/>
      <c r="C832" s="250"/>
      <c r="D832" s="244"/>
      <c r="E832" s="244"/>
      <c r="F832" s="244"/>
      <c r="G832" s="244"/>
      <c r="H832" s="244"/>
      <c r="I832" s="244"/>
      <c r="J832" s="244"/>
      <c r="K832" s="244"/>
      <c r="L832" s="244"/>
      <c r="M832" s="244"/>
      <c r="N832" s="244"/>
      <c r="O832" s="244"/>
      <c r="P832" s="244"/>
      <c r="Q832" s="244"/>
      <c r="R832" s="244"/>
      <c r="S832" s="244"/>
      <c r="T832" s="244"/>
      <c r="U832" s="244"/>
      <c r="V832" s="244"/>
      <c r="W832" s="244"/>
      <c r="X832" s="244"/>
      <c r="Y832" s="244"/>
      <c r="Z832" s="244"/>
    </row>
    <row r="833" hidden="1">
      <c r="A833" s="249"/>
      <c r="B833" s="249"/>
      <c r="C833" s="250"/>
      <c r="D833" s="244"/>
      <c r="E833" s="244"/>
      <c r="F833" s="244"/>
      <c r="G833" s="244"/>
      <c r="H833" s="244"/>
      <c r="I833" s="244"/>
      <c r="J833" s="244"/>
      <c r="K833" s="244"/>
      <c r="L833" s="244"/>
      <c r="M833" s="244"/>
      <c r="N833" s="244"/>
      <c r="O833" s="244"/>
      <c r="P833" s="244"/>
      <c r="Q833" s="244"/>
      <c r="R833" s="244"/>
      <c r="S833" s="244"/>
      <c r="T833" s="244"/>
      <c r="U833" s="244"/>
      <c r="V833" s="244"/>
      <c r="W833" s="244"/>
      <c r="X833" s="244"/>
      <c r="Y833" s="244"/>
      <c r="Z833" s="244"/>
    </row>
    <row r="834" hidden="1">
      <c r="A834" s="249"/>
      <c r="B834" s="249"/>
      <c r="C834" s="250"/>
      <c r="D834" s="244"/>
      <c r="E834" s="244"/>
      <c r="F834" s="244"/>
      <c r="G834" s="244"/>
      <c r="H834" s="244"/>
      <c r="I834" s="244"/>
      <c r="J834" s="244"/>
      <c r="K834" s="244"/>
      <c r="L834" s="244"/>
      <c r="M834" s="244"/>
      <c r="N834" s="244"/>
      <c r="O834" s="244"/>
      <c r="P834" s="244"/>
      <c r="Q834" s="244"/>
      <c r="R834" s="244"/>
      <c r="S834" s="244"/>
      <c r="T834" s="244"/>
      <c r="U834" s="244"/>
      <c r="V834" s="244"/>
      <c r="W834" s="244"/>
      <c r="X834" s="244"/>
      <c r="Y834" s="244"/>
      <c r="Z834" s="244"/>
    </row>
    <row r="835" hidden="1">
      <c r="A835" s="249"/>
      <c r="B835" s="249"/>
      <c r="C835" s="250"/>
      <c r="D835" s="244"/>
      <c r="E835" s="244"/>
      <c r="F835" s="244"/>
      <c r="G835" s="244"/>
      <c r="H835" s="244"/>
      <c r="I835" s="244"/>
      <c r="J835" s="244"/>
      <c r="K835" s="244"/>
      <c r="L835" s="244"/>
      <c r="M835" s="244"/>
      <c r="N835" s="244"/>
      <c r="O835" s="244"/>
      <c r="P835" s="244"/>
      <c r="Q835" s="244"/>
      <c r="R835" s="244"/>
      <c r="S835" s="244"/>
      <c r="T835" s="244"/>
      <c r="U835" s="244"/>
      <c r="V835" s="244"/>
      <c r="W835" s="244"/>
      <c r="X835" s="244"/>
      <c r="Y835" s="244"/>
      <c r="Z835" s="244"/>
    </row>
    <row r="836" hidden="1">
      <c r="A836" s="249"/>
      <c r="B836" s="249"/>
      <c r="C836" s="250"/>
      <c r="D836" s="244"/>
      <c r="E836" s="244"/>
      <c r="F836" s="244"/>
      <c r="G836" s="244"/>
      <c r="H836" s="244"/>
      <c r="I836" s="244"/>
      <c r="J836" s="244"/>
      <c r="K836" s="244"/>
      <c r="L836" s="244"/>
      <c r="M836" s="244"/>
      <c r="N836" s="244"/>
      <c r="O836" s="244"/>
      <c r="P836" s="244"/>
      <c r="Q836" s="244"/>
      <c r="R836" s="244"/>
      <c r="S836" s="244"/>
      <c r="T836" s="244"/>
      <c r="U836" s="244"/>
      <c r="V836" s="244"/>
      <c r="W836" s="244"/>
      <c r="X836" s="244"/>
      <c r="Y836" s="244"/>
      <c r="Z836" s="244"/>
    </row>
    <row r="837" hidden="1">
      <c r="A837" s="249"/>
      <c r="B837" s="249"/>
      <c r="C837" s="250"/>
      <c r="D837" s="244"/>
      <c r="E837" s="244"/>
      <c r="F837" s="244"/>
      <c r="G837" s="244"/>
      <c r="H837" s="244"/>
      <c r="I837" s="244"/>
      <c r="J837" s="244"/>
      <c r="K837" s="244"/>
      <c r="L837" s="244"/>
      <c r="M837" s="244"/>
      <c r="N837" s="244"/>
      <c r="O837" s="244"/>
      <c r="P837" s="244"/>
      <c r="Q837" s="244"/>
      <c r="R837" s="244"/>
      <c r="S837" s="244"/>
      <c r="T837" s="244"/>
      <c r="U837" s="244"/>
      <c r="V837" s="244"/>
      <c r="W837" s="244"/>
      <c r="X837" s="244"/>
      <c r="Y837" s="244"/>
      <c r="Z837" s="244"/>
    </row>
    <row r="838" hidden="1">
      <c r="A838" s="249"/>
      <c r="B838" s="249"/>
      <c r="C838" s="250"/>
      <c r="D838" s="244"/>
      <c r="E838" s="244"/>
      <c r="F838" s="244"/>
      <c r="G838" s="244"/>
      <c r="H838" s="244"/>
      <c r="I838" s="244"/>
      <c r="J838" s="244"/>
      <c r="K838" s="244"/>
      <c r="L838" s="244"/>
      <c r="M838" s="244"/>
      <c r="N838" s="244"/>
      <c r="O838" s="244"/>
      <c r="P838" s="244"/>
      <c r="Q838" s="244"/>
      <c r="R838" s="244"/>
      <c r="S838" s="244"/>
      <c r="T838" s="244"/>
      <c r="U838" s="244"/>
      <c r="V838" s="244"/>
      <c r="W838" s="244"/>
      <c r="X838" s="244"/>
      <c r="Y838" s="244"/>
      <c r="Z838" s="244"/>
    </row>
    <row r="839" hidden="1">
      <c r="A839" s="249"/>
      <c r="B839" s="249"/>
      <c r="C839" s="250"/>
      <c r="D839" s="244"/>
      <c r="E839" s="244"/>
      <c r="F839" s="244"/>
      <c r="G839" s="244"/>
      <c r="H839" s="244"/>
      <c r="I839" s="244"/>
      <c r="J839" s="244"/>
      <c r="K839" s="244"/>
      <c r="L839" s="244"/>
      <c r="M839" s="244"/>
      <c r="N839" s="244"/>
      <c r="O839" s="244"/>
      <c r="P839" s="244"/>
      <c r="Q839" s="244"/>
      <c r="R839" s="244"/>
      <c r="S839" s="244"/>
      <c r="T839" s="244"/>
      <c r="U839" s="244"/>
      <c r="V839" s="244"/>
      <c r="W839" s="244"/>
      <c r="X839" s="244"/>
      <c r="Y839" s="244"/>
      <c r="Z839" s="244"/>
    </row>
    <row r="840" hidden="1">
      <c r="A840" s="249"/>
      <c r="B840" s="249"/>
      <c r="C840" s="250"/>
      <c r="D840" s="244"/>
      <c r="E840" s="244"/>
      <c r="F840" s="244"/>
      <c r="G840" s="244"/>
      <c r="H840" s="244"/>
      <c r="I840" s="244"/>
      <c r="J840" s="244"/>
      <c r="K840" s="244"/>
      <c r="L840" s="244"/>
      <c r="M840" s="244"/>
      <c r="N840" s="244"/>
      <c r="O840" s="244"/>
      <c r="P840" s="244"/>
      <c r="Q840" s="244"/>
      <c r="R840" s="244"/>
      <c r="S840" s="244"/>
      <c r="T840" s="244"/>
      <c r="U840" s="244"/>
      <c r="V840" s="244"/>
      <c r="W840" s="244"/>
      <c r="X840" s="244"/>
      <c r="Y840" s="244"/>
      <c r="Z840" s="244"/>
    </row>
    <row r="841" hidden="1">
      <c r="A841" s="249"/>
      <c r="B841" s="249"/>
      <c r="C841" s="250"/>
      <c r="D841" s="244"/>
      <c r="E841" s="244"/>
      <c r="F841" s="244"/>
      <c r="G841" s="244"/>
      <c r="H841" s="244"/>
      <c r="I841" s="244"/>
      <c r="J841" s="244"/>
      <c r="K841" s="244"/>
      <c r="L841" s="244"/>
      <c r="M841" s="244"/>
      <c r="N841" s="244"/>
      <c r="O841" s="244"/>
      <c r="P841" s="244"/>
      <c r="Q841" s="244"/>
      <c r="R841" s="244"/>
      <c r="S841" s="244"/>
      <c r="T841" s="244"/>
      <c r="U841" s="244"/>
      <c r="V841" s="244"/>
      <c r="W841" s="244"/>
      <c r="X841" s="244"/>
      <c r="Y841" s="244"/>
      <c r="Z841" s="244"/>
    </row>
    <row r="842" hidden="1">
      <c r="A842" s="249"/>
      <c r="B842" s="249"/>
      <c r="C842" s="250"/>
      <c r="D842" s="244"/>
      <c r="E842" s="244"/>
      <c r="F842" s="244"/>
      <c r="G842" s="244"/>
      <c r="H842" s="244"/>
      <c r="I842" s="244"/>
      <c r="J842" s="244"/>
      <c r="K842" s="244"/>
      <c r="L842" s="244"/>
      <c r="M842" s="244"/>
      <c r="N842" s="244"/>
      <c r="O842" s="244"/>
      <c r="P842" s="244"/>
      <c r="Q842" s="244"/>
      <c r="R842" s="244"/>
      <c r="S842" s="244"/>
      <c r="T842" s="244"/>
      <c r="U842" s="244"/>
      <c r="V842" s="244"/>
      <c r="W842" s="244"/>
      <c r="X842" s="244"/>
      <c r="Y842" s="244"/>
      <c r="Z842" s="244"/>
    </row>
    <row r="843" hidden="1">
      <c r="A843" s="249"/>
      <c r="B843" s="249"/>
      <c r="C843" s="250"/>
      <c r="D843" s="244"/>
      <c r="E843" s="244"/>
      <c r="F843" s="244"/>
      <c r="G843" s="244"/>
      <c r="H843" s="244"/>
      <c r="I843" s="244"/>
      <c r="J843" s="244"/>
      <c r="K843" s="244"/>
      <c r="L843" s="244"/>
      <c r="M843" s="244"/>
      <c r="N843" s="244"/>
      <c r="O843" s="244"/>
      <c r="P843" s="244"/>
      <c r="Q843" s="244"/>
      <c r="R843" s="244"/>
      <c r="S843" s="244"/>
      <c r="T843" s="244"/>
      <c r="U843" s="244"/>
      <c r="V843" s="244"/>
      <c r="W843" s="244"/>
      <c r="X843" s="244"/>
      <c r="Y843" s="244"/>
      <c r="Z843" s="244"/>
    </row>
    <row r="844" hidden="1">
      <c r="A844" s="249"/>
      <c r="B844" s="249"/>
      <c r="C844" s="250"/>
      <c r="D844" s="244"/>
      <c r="E844" s="244"/>
      <c r="F844" s="244"/>
      <c r="G844" s="244"/>
      <c r="H844" s="244"/>
      <c r="I844" s="244"/>
      <c r="J844" s="244"/>
      <c r="K844" s="244"/>
      <c r="L844" s="244"/>
      <c r="M844" s="244"/>
      <c r="N844" s="244"/>
      <c r="O844" s="244"/>
      <c r="P844" s="244"/>
      <c r="Q844" s="244"/>
      <c r="R844" s="244"/>
      <c r="S844" s="244"/>
      <c r="T844" s="244"/>
      <c r="U844" s="244"/>
      <c r="V844" s="244"/>
      <c r="W844" s="244"/>
      <c r="X844" s="244"/>
      <c r="Y844" s="244"/>
      <c r="Z844" s="244"/>
    </row>
    <row r="845" hidden="1">
      <c r="A845" s="249"/>
      <c r="B845" s="249"/>
      <c r="C845" s="250"/>
      <c r="D845" s="244"/>
      <c r="E845" s="244"/>
      <c r="F845" s="244"/>
      <c r="G845" s="244"/>
      <c r="H845" s="244"/>
      <c r="I845" s="244"/>
      <c r="J845" s="244"/>
      <c r="K845" s="244"/>
      <c r="L845" s="244"/>
      <c r="M845" s="244"/>
      <c r="N845" s="244"/>
      <c r="O845" s="244"/>
      <c r="P845" s="244"/>
      <c r="Q845" s="244"/>
      <c r="R845" s="244"/>
      <c r="S845" s="244"/>
      <c r="T845" s="244"/>
      <c r="U845" s="244"/>
      <c r="V845" s="244"/>
      <c r="W845" s="244"/>
      <c r="X845" s="244"/>
      <c r="Y845" s="244"/>
      <c r="Z845" s="244"/>
    </row>
    <row r="846" hidden="1">
      <c r="A846" s="249"/>
      <c r="B846" s="249"/>
      <c r="C846" s="250"/>
      <c r="D846" s="244"/>
      <c r="E846" s="244"/>
      <c r="F846" s="244"/>
      <c r="G846" s="244"/>
      <c r="H846" s="244"/>
      <c r="I846" s="244"/>
      <c r="J846" s="244"/>
      <c r="K846" s="244"/>
      <c r="L846" s="244"/>
      <c r="M846" s="244"/>
      <c r="N846" s="244"/>
      <c r="O846" s="244"/>
      <c r="P846" s="244"/>
      <c r="Q846" s="244"/>
      <c r="R846" s="244"/>
      <c r="S846" s="244"/>
      <c r="T846" s="244"/>
      <c r="U846" s="244"/>
      <c r="V846" s="244"/>
      <c r="W846" s="244"/>
      <c r="X846" s="244"/>
      <c r="Y846" s="244"/>
      <c r="Z846" s="244"/>
    </row>
    <row r="847" hidden="1">
      <c r="A847" s="249"/>
      <c r="B847" s="249"/>
      <c r="C847" s="250"/>
      <c r="D847" s="244"/>
      <c r="E847" s="244"/>
      <c r="F847" s="244"/>
      <c r="G847" s="244"/>
      <c r="H847" s="244"/>
      <c r="I847" s="244"/>
      <c r="J847" s="244"/>
      <c r="K847" s="244"/>
      <c r="L847" s="244"/>
      <c r="M847" s="244"/>
      <c r="N847" s="244"/>
      <c r="O847" s="244"/>
      <c r="P847" s="244"/>
      <c r="Q847" s="244"/>
      <c r="R847" s="244"/>
      <c r="S847" s="244"/>
      <c r="T847" s="244"/>
      <c r="U847" s="244"/>
      <c r="V847" s="244"/>
      <c r="W847" s="244"/>
      <c r="X847" s="244"/>
      <c r="Y847" s="244"/>
      <c r="Z847" s="244"/>
    </row>
    <row r="848" hidden="1">
      <c r="A848" s="249"/>
      <c r="B848" s="249"/>
      <c r="C848" s="250"/>
      <c r="D848" s="244"/>
      <c r="E848" s="244"/>
      <c r="F848" s="244"/>
      <c r="G848" s="244"/>
      <c r="H848" s="244"/>
      <c r="I848" s="244"/>
      <c r="J848" s="244"/>
      <c r="K848" s="244"/>
      <c r="L848" s="244"/>
      <c r="M848" s="244"/>
      <c r="N848" s="244"/>
      <c r="O848" s="244"/>
      <c r="P848" s="244"/>
      <c r="Q848" s="244"/>
      <c r="R848" s="244"/>
      <c r="S848" s="244"/>
      <c r="T848" s="244"/>
      <c r="U848" s="244"/>
      <c r="V848" s="244"/>
      <c r="W848" s="244"/>
      <c r="X848" s="244"/>
      <c r="Y848" s="244"/>
      <c r="Z848" s="244"/>
    </row>
    <row r="849" hidden="1">
      <c r="A849" s="249"/>
      <c r="B849" s="249"/>
      <c r="C849" s="250"/>
      <c r="D849" s="244"/>
      <c r="E849" s="244"/>
      <c r="F849" s="244"/>
      <c r="G849" s="244"/>
      <c r="H849" s="244"/>
      <c r="I849" s="244"/>
      <c r="J849" s="244"/>
      <c r="K849" s="244"/>
      <c r="L849" s="244"/>
      <c r="M849" s="244"/>
      <c r="N849" s="244"/>
      <c r="O849" s="244"/>
      <c r="P849" s="244"/>
      <c r="Q849" s="244"/>
      <c r="R849" s="244"/>
      <c r="S849" s="244"/>
      <c r="T849" s="244"/>
      <c r="U849" s="244"/>
      <c r="V849" s="244"/>
      <c r="W849" s="244"/>
      <c r="X849" s="244"/>
      <c r="Y849" s="244"/>
      <c r="Z849" s="244"/>
    </row>
    <row r="850" hidden="1">
      <c r="A850" s="249"/>
      <c r="B850" s="249"/>
      <c r="C850" s="250"/>
      <c r="D850" s="244"/>
      <c r="E850" s="244"/>
      <c r="F850" s="244"/>
      <c r="G850" s="244"/>
      <c r="H850" s="244"/>
      <c r="I850" s="244"/>
      <c r="J850" s="244"/>
      <c r="K850" s="244"/>
      <c r="L850" s="244"/>
      <c r="M850" s="244"/>
      <c r="N850" s="244"/>
      <c r="O850" s="244"/>
      <c r="P850" s="244"/>
      <c r="Q850" s="244"/>
      <c r="R850" s="244"/>
      <c r="S850" s="244"/>
      <c r="T850" s="244"/>
      <c r="U850" s="244"/>
      <c r="V850" s="244"/>
      <c r="W850" s="244"/>
      <c r="X850" s="244"/>
      <c r="Y850" s="244"/>
      <c r="Z850" s="244"/>
    </row>
    <row r="851" hidden="1">
      <c r="A851" s="249"/>
      <c r="B851" s="249"/>
      <c r="C851" s="250"/>
      <c r="D851" s="244"/>
      <c r="E851" s="244"/>
      <c r="F851" s="244"/>
      <c r="G851" s="244"/>
      <c r="H851" s="244"/>
      <c r="I851" s="244"/>
      <c r="J851" s="244"/>
      <c r="K851" s="244"/>
      <c r="L851" s="244"/>
      <c r="M851" s="244"/>
      <c r="N851" s="244"/>
      <c r="O851" s="244"/>
      <c r="P851" s="244"/>
      <c r="Q851" s="244"/>
      <c r="R851" s="244"/>
      <c r="S851" s="244"/>
      <c r="T851" s="244"/>
      <c r="U851" s="244"/>
      <c r="V851" s="244"/>
      <c r="W851" s="244"/>
      <c r="X851" s="244"/>
      <c r="Y851" s="244"/>
      <c r="Z851" s="244"/>
    </row>
    <row r="852" hidden="1">
      <c r="A852" s="249"/>
      <c r="B852" s="249"/>
      <c r="C852" s="250"/>
      <c r="D852" s="244"/>
      <c r="E852" s="244"/>
      <c r="F852" s="244"/>
      <c r="G852" s="244"/>
      <c r="H852" s="244"/>
      <c r="I852" s="244"/>
      <c r="J852" s="244"/>
      <c r="K852" s="244"/>
      <c r="L852" s="244"/>
      <c r="M852" s="244"/>
      <c r="N852" s="244"/>
      <c r="O852" s="244"/>
      <c r="P852" s="244"/>
      <c r="Q852" s="244"/>
      <c r="R852" s="244"/>
      <c r="S852" s="244"/>
      <c r="T852" s="244"/>
      <c r="U852" s="244"/>
      <c r="V852" s="244"/>
      <c r="W852" s="244"/>
      <c r="X852" s="244"/>
      <c r="Y852" s="244"/>
      <c r="Z852" s="244"/>
    </row>
    <row r="853" hidden="1">
      <c r="A853" s="249"/>
      <c r="B853" s="249"/>
      <c r="C853" s="250"/>
      <c r="D853" s="244"/>
      <c r="E853" s="244"/>
      <c r="F853" s="244"/>
      <c r="G853" s="244"/>
      <c r="H853" s="244"/>
      <c r="I853" s="244"/>
      <c r="J853" s="244"/>
      <c r="K853" s="244"/>
      <c r="L853" s="244"/>
      <c r="M853" s="244"/>
      <c r="N853" s="244"/>
      <c r="O853" s="244"/>
      <c r="P853" s="244"/>
      <c r="Q853" s="244"/>
      <c r="R853" s="244"/>
      <c r="S853" s="244"/>
      <c r="T853" s="244"/>
      <c r="U853" s="244"/>
      <c r="V853" s="244"/>
      <c r="W853" s="244"/>
      <c r="X853" s="244"/>
      <c r="Y853" s="244"/>
      <c r="Z853" s="244"/>
    </row>
    <row r="854" hidden="1">
      <c r="A854" s="249"/>
      <c r="B854" s="249"/>
      <c r="C854" s="250"/>
      <c r="D854" s="244"/>
      <c r="E854" s="244"/>
      <c r="F854" s="244"/>
      <c r="G854" s="244"/>
      <c r="H854" s="244"/>
      <c r="I854" s="244"/>
      <c r="J854" s="244"/>
      <c r="K854" s="244"/>
      <c r="L854" s="244"/>
      <c r="M854" s="244"/>
      <c r="N854" s="244"/>
      <c r="O854" s="244"/>
      <c r="P854" s="244"/>
      <c r="Q854" s="244"/>
      <c r="R854" s="244"/>
      <c r="S854" s="244"/>
      <c r="T854" s="244"/>
      <c r="U854" s="244"/>
      <c r="V854" s="244"/>
      <c r="W854" s="244"/>
      <c r="X854" s="244"/>
      <c r="Y854" s="244"/>
      <c r="Z854" s="244"/>
    </row>
    <row r="855" hidden="1">
      <c r="A855" s="249"/>
      <c r="B855" s="249"/>
      <c r="C855" s="250"/>
      <c r="D855" s="244"/>
      <c r="E855" s="244"/>
      <c r="F855" s="244"/>
      <c r="G855" s="244"/>
      <c r="H855" s="244"/>
      <c r="I855" s="244"/>
      <c r="J855" s="244"/>
      <c r="K855" s="244"/>
      <c r="L855" s="244"/>
      <c r="M855" s="244"/>
      <c r="N855" s="244"/>
      <c r="O855" s="244"/>
      <c r="P855" s="244"/>
      <c r="Q855" s="244"/>
      <c r="R855" s="244"/>
      <c r="S855" s="244"/>
      <c r="T855" s="244"/>
      <c r="U855" s="244"/>
      <c r="V855" s="244"/>
      <c r="W855" s="244"/>
      <c r="X855" s="244"/>
      <c r="Y855" s="244"/>
      <c r="Z855" s="244"/>
    </row>
    <row r="856" hidden="1">
      <c r="A856" s="249"/>
      <c r="B856" s="249"/>
      <c r="C856" s="250"/>
      <c r="D856" s="244"/>
      <c r="E856" s="244"/>
      <c r="F856" s="244"/>
      <c r="G856" s="244"/>
      <c r="H856" s="244"/>
      <c r="I856" s="244"/>
      <c r="J856" s="244"/>
      <c r="K856" s="244"/>
      <c r="L856" s="244"/>
      <c r="M856" s="244"/>
      <c r="N856" s="244"/>
      <c r="O856" s="244"/>
      <c r="P856" s="244"/>
      <c r="Q856" s="244"/>
      <c r="R856" s="244"/>
      <c r="S856" s="244"/>
      <c r="T856" s="244"/>
      <c r="U856" s="244"/>
      <c r="V856" s="244"/>
      <c r="W856" s="244"/>
      <c r="X856" s="244"/>
      <c r="Y856" s="244"/>
      <c r="Z856" s="244"/>
    </row>
    <row r="857" hidden="1">
      <c r="A857" s="249"/>
      <c r="B857" s="249"/>
      <c r="C857" s="250"/>
      <c r="D857" s="244"/>
      <c r="E857" s="244"/>
      <c r="F857" s="244"/>
      <c r="G857" s="244"/>
      <c r="H857" s="244"/>
      <c r="I857" s="244"/>
      <c r="J857" s="244"/>
      <c r="K857" s="244"/>
      <c r="L857" s="244"/>
      <c r="M857" s="244"/>
      <c r="N857" s="244"/>
      <c r="O857" s="244"/>
      <c r="P857" s="244"/>
      <c r="Q857" s="244"/>
      <c r="R857" s="244"/>
      <c r="S857" s="244"/>
      <c r="T857" s="244"/>
      <c r="U857" s="244"/>
      <c r="V857" s="244"/>
      <c r="W857" s="244"/>
      <c r="X857" s="244"/>
      <c r="Y857" s="244"/>
      <c r="Z857" s="244"/>
    </row>
    <row r="858" hidden="1">
      <c r="A858" s="249"/>
      <c r="B858" s="249"/>
      <c r="C858" s="250"/>
      <c r="D858" s="244"/>
      <c r="E858" s="244"/>
      <c r="F858" s="244"/>
      <c r="G858" s="244"/>
      <c r="H858" s="244"/>
      <c r="I858" s="244"/>
      <c r="J858" s="244"/>
      <c r="K858" s="244"/>
      <c r="L858" s="244"/>
      <c r="M858" s="244"/>
      <c r="N858" s="244"/>
      <c r="O858" s="244"/>
      <c r="P858" s="244"/>
      <c r="Q858" s="244"/>
      <c r="R858" s="244"/>
      <c r="S858" s="244"/>
      <c r="T858" s="244"/>
      <c r="U858" s="244"/>
      <c r="V858" s="244"/>
      <c r="W858" s="244"/>
      <c r="X858" s="244"/>
      <c r="Y858" s="244"/>
      <c r="Z858" s="244"/>
    </row>
    <row r="859" hidden="1">
      <c r="A859" s="249"/>
      <c r="B859" s="249"/>
      <c r="C859" s="250"/>
      <c r="D859" s="244"/>
      <c r="E859" s="244"/>
      <c r="F859" s="244"/>
      <c r="G859" s="244"/>
      <c r="H859" s="244"/>
      <c r="I859" s="244"/>
      <c r="J859" s="244"/>
      <c r="K859" s="244"/>
      <c r="L859" s="244"/>
      <c r="M859" s="244"/>
      <c r="N859" s="244"/>
      <c r="O859" s="244"/>
      <c r="P859" s="244"/>
      <c r="Q859" s="244"/>
      <c r="R859" s="244"/>
      <c r="S859" s="244"/>
      <c r="T859" s="244"/>
      <c r="U859" s="244"/>
      <c r="V859" s="244"/>
      <c r="W859" s="244"/>
      <c r="X859" s="244"/>
      <c r="Y859" s="244"/>
      <c r="Z859" s="244"/>
    </row>
    <row r="860" hidden="1">
      <c r="A860" s="249"/>
      <c r="B860" s="249"/>
      <c r="C860" s="250"/>
      <c r="D860" s="244"/>
      <c r="E860" s="244"/>
      <c r="F860" s="244"/>
      <c r="G860" s="244"/>
      <c r="H860" s="244"/>
      <c r="I860" s="244"/>
      <c r="J860" s="244"/>
      <c r="K860" s="244"/>
      <c r="L860" s="244"/>
      <c r="M860" s="244"/>
      <c r="N860" s="244"/>
      <c r="O860" s="244"/>
      <c r="P860" s="244"/>
      <c r="Q860" s="244"/>
      <c r="R860" s="244"/>
      <c r="S860" s="244"/>
      <c r="T860" s="244"/>
      <c r="U860" s="244"/>
      <c r="V860" s="244"/>
      <c r="W860" s="244"/>
      <c r="X860" s="244"/>
      <c r="Y860" s="244"/>
      <c r="Z860" s="244"/>
    </row>
    <row r="861" hidden="1">
      <c r="A861" s="249"/>
      <c r="B861" s="249"/>
      <c r="C861" s="250"/>
      <c r="D861" s="244"/>
      <c r="E861" s="244"/>
      <c r="F861" s="244"/>
      <c r="G861" s="244"/>
      <c r="H861" s="244"/>
      <c r="I861" s="244"/>
      <c r="J861" s="244"/>
      <c r="K861" s="244"/>
      <c r="L861" s="244"/>
      <c r="M861" s="244"/>
      <c r="N861" s="244"/>
      <c r="O861" s="244"/>
      <c r="P861" s="244"/>
      <c r="Q861" s="244"/>
      <c r="R861" s="244"/>
      <c r="S861" s="244"/>
      <c r="T861" s="244"/>
      <c r="U861" s="244"/>
      <c r="V861" s="244"/>
      <c r="W861" s="244"/>
      <c r="X861" s="244"/>
      <c r="Y861" s="244"/>
      <c r="Z861" s="244"/>
    </row>
    <row r="862" hidden="1">
      <c r="A862" s="249"/>
      <c r="B862" s="249"/>
      <c r="C862" s="250"/>
      <c r="D862" s="244"/>
      <c r="E862" s="244"/>
      <c r="F862" s="244"/>
      <c r="G862" s="244"/>
      <c r="H862" s="244"/>
      <c r="I862" s="244"/>
      <c r="J862" s="244"/>
      <c r="K862" s="244"/>
      <c r="L862" s="244"/>
      <c r="M862" s="244"/>
      <c r="N862" s="244"/>
      <c r="O862" s="244"/>
      <c r="P862" s="244"/>
      <c r="Q862" s="244"/>
      <c r="R862" s="244"/>
      <c r="S862" s="244"/>
      <c r="T862" s="244"/>
      <c r="U862" s="244"/>
      <c r="V862" s="244"/>
      <c r="W862" s="244"/>
      <c r="X862" s="244"/>
      <c r="Y862" s="244"/>
      <c r="Z862" s="244"/>
    </row>
    <row r="863" hidden="1">
      <c r="A863" s="249"/>
      <c r="B863" s="249"/>
      <c r="C863" s="250"/>
      <c r="D863" s="244"/>
      <c r="E863" s="244"/>
      <c r="F863" s="244"/>
      <c r="G863" s="244"/>
      <c r="H863" s="244"/>
      <c r="I863" s="244"/>
      <c r="J863" s="244"/>
      <c r="K863" s="244"/>
      <c r="L863" s="244"/>
      <c r="M863" s="244"/>
      <c r="N863" s="244"/>
      <c r="O863" s="244"/>
      <c r="P863" s="244"/>
      <c r="Q863" s="244"/>
      <c r="R863" s="244"/>
      <c r="S863" s="244"/>
      <c r="T863" s="244"/>
      <c r="U863" s="244"/>
      <c r="V863" s="244"/>
      <c r="W863" s="244"/>
      <c r="X863" s="244"/>
      <c r="Y863" s="244"/>
      <c r="Z863" s="244"/>
    </row>
    <row r="864" hidden="1">
      <c r="A864" s="249"/>
      <c r="B864" s="249"/>
      <c r="C864" s="250"/>
      <c r="D864" s="244"/>
      <c r="E864" s="244"/>
      <c r="F864" s="244"/>
      <c r="G864" s="244"/>
      <c r="H864" s="244"/>
      <c r="I864" s="244"/>
      <c r="J864" s="244"/>
      <c r="K864" s="244"/>
      <c r="L864" s="244"/>
      <c r="M864" s="244"/>
      <c r="N864" s="244"/>
      <c r="O864" s="244"/>
      <c r="P864" s="244"/>
      <c r="Q864" s="244"/>
      <c r="R864" s="244"/>
      <c r="S864" s="244"/>
      <c r="T864" s="244"/>
      <c r="U864" s="244"/>
      <c r="V864" s="244"/>
      <c r="W864" s="244"/>
      <c r="X864" s="244"/>
      <c r="Y864" s="244"/>
      <c r="Z864" s="244"/>
    </row>
    <row r="865" hidden="1">
      <c r="A865" s="249"/>
      <c r="B865" s="249"/>
      <c r="C865" s="250"/>
      <c r="D865" s="244"/>
      <c r="E865" s="244"/>
      <c r="F865" s="244"/>
      <c r="G865" s="244"/>
      <c r="H865" s="244"/>
      <c r="I865" s="244"/>
      <c r="J865" s="244"/>
      <c r="K865" s="244"/>
      <c r="L865" s="244"/>
      <c r="M865" s="244"/>
      <c r="N865" s="244"/>
      <c r="O865" s="244"/>
      <c r="P865" s="244"/>
      <c r="Q865" s="244"/>
      <c r="R865" s="244"/>
      <c r="S865" s="244"/>
      <c r="T865" s="244"/>
      <c r="U865" s="244"/>
      <c r="V865" s="244"/>
      <c r="W865" s="244"/>
      <c r="X865" s="244"/>
      <c r="Y865" s="244"/>
      <c r="Z865" s="244"/>
    </row>
    <row r="866" hidden="1">
      <c r="A866" s="249"/>
      <c r="B866" s="249"/>
      <c r="C866" s="250"/>
      <c r="D866" s="244"/>
      <c r="E866" s="244"/>
      <c r="F866" s="244"/>
      <c r="G866" s="244"/>
      <c r="H866" s="244"/>
      <c r="I866" s="244"/>
      <c r="J866" s="244"/>
      <c r="K866" s="244"/>
      <c r="L866" s="244"/>
      <c r="M866" s="244"/>
      <c r="N866" s="244"/>
      <c r="O866" s="244"/>
      <c r="P866" s="244"/>
      <c r="Q866" s="244"/>
      <c r="R866" s="244"/>
      <c r="S866" s="244"/>
      <c r="T866" s="244"/>
      <c r="U866" s="244"/>
      <c r="V866" s="244"/>
      <c r="W866" s="244"/>
      <c r="X866" s="244"/>
      <c r="Y866" s="244"/>
      <c r="Z866" s="244"/>
    </row>
    <row r="867" hidden="1">
      <c r="A867" s="249"/>
      <c r="B867" s="249"/>
      <c r="C867" s="250"/>
      <c r="D867" s="244"/>
      <c r="E867" s="244"/>
      <c r="F867" s="244"/>
      <c r="G867" s="244"/>
      <c r="H867" s="244"/>
      <c r="I867" s="244"/>
      <c r="J867" s="244"/>
      <c r="K867" s="244"/>
      <c r="L867" s="244"/>
      <c r="M867" s="244"/>
      <c r="N867" s="244"/>
      <c r="O867" s="244"/>
      <c r="P867" s="244"/>
      <c r="Q867" s="244"/>
      <c r="R867" s="244"/>
      <c r="S867" s="244"/>
      <c r="T867" s="244"/>
      <c r="U867" s="244"/>
      <c r="V867" s="244"/>
      <c r="W867" s="244"/>
      <c r="X867" s="244"/>
      <c r="Y867" s="244"/>
      <c r="Z867" s="244"/>
    </row>
    <row r="868" hidden="1">
      <c r="A868" s="249"/>
      <c r="B868" s="249"/>
      <c r="C868" s="250"/>
      <c r="D868" s="244"/>
      <c r="E868" s="244"/>
      <c r="F868" s="244"/>
      <c r="G868" s="244"/>
      <c r="H868" s="244"/>
      <c r="I868" s="244"/>
      <c r="J868" s="244"/>
      <c r="K868" s="244"/>
      <c r="L868" s="244"/>
      <c r="M868" s="244"/>
      <c r="N868" s="244"/>
      <c r="O868" s="244"/>
      <c r="P868" s="244"/>
      <c r="Q868" s="244"/>
      <c r="R868" s="244"/>
      <c r="S868" s="244"/>
      <c r="T868" s="244"/>
      <c r="U868" s="244"/>
      <c r="V868" s="244"/>
      <c r="W868" s="244"/>
      <c r="X868" s="244"/>
      <c r="Y868" s="244"/>
      <c r="Z868" s="244"/>
    </row>
    <row r="869" hidden="1">
      <c r="A869" s="249"/>
      <c r="B869" s="249"/>
      <c r="C869" s="250"/>
      <c r="D869" s="244"/>
      <c r="E869" s="244"/>
      <c r="F869" s="244"/>
      <c r="G869" s="244"/>
      <c r="H869" s="244"/>
      <c r="I869" s="244"/>
      <c r="J869" s="244"/>
      <c r="K869" s="244"/>
      <c r="L869" s="244"/>
      <c r="M869" s="244"/>
      <c r="N869" s="244"/>
      <c r="O869" s="244"/>
      <c r="P869" s="244"/>
      <c r="Q869" s="244"/>
      <c r="R869" s="244"/>
      <c r="S869" s="244"/>
      <c r="T869" s="244"/>
      <c r="U869" s="244"/>
      <c r="V869" s="244"/>
      <c r="W869" s="244"/>
      <c r="X869" s="244"/>
      <c r="Y869" s="244"/>
      <c r="Z869" s="244"/>
    </row>
    <row r="870" hidden="1">
      <c r="A870" s="249"/>
      <c r="B870" s="249"/>
      <c r="C870" s="250"/>
      <c r="D870" s="244"/>
      <c r="E870" s="244"/>
      <c r="F870" s="244"/>
      <c r="G870" s="244"/>
      <c r="H870" s="244"/>
      <c r="I870" s="244"/>
      <c r="J870" s="244"/>
      <c r="K870" s="244"/>
      <c r="L870" s="244"/>
      <c r="M870" s="244"/>
      <c r="N870" s="244"/>
      <c r="O870" s="244"/>
      <c r="P870" s="244"/>
      <c r="Q870" s="244"/>
      <c r="R870" s="244"/>
      <c r="S870" s="244"/>
      <c r="T870" s="244"/>
      <c r="U870" s="244"/>
      <c r="V870" s="244"/>
      <c r="W870" s="244"/>
      <c r="X870" s="244"/>
      <c r="Y870" s="244"/>
      <c r="Z870" s="244"/>
    </row>
    <row r="871" hidden="1">
      <c r="A871" s="249"/>
      <c r="B871" s="249"/>
      <c r="C871" s="250"/>
      <c r="D871" s="244"/>
      <c r="E871" s="244"/>
      <c r="F871" s="244"/>
      <c r="G871" s="244"/>
      <c r="H871" s="244"/>
      <c r="I871" s="244"/>
      <c r="J871" s="244"/>
      <c r="K871" s="244"/>
      <c r="L871" s="244"/>
      <c r="M871" s="244"/>
      <c r="N871" s="244"/>
      <c r="O871" s="244"/>
      <c r="P871" s="244"/>
      <c r="Q871" s="244"/>
      <c r="R871" s="244"/>
      <c r="S871" s="244"/>
      <c r="T871" s="244"/>
      <c r="U871" s="244"/>
      <c r="V871" s="244"/>
      <c r="W871" s="244"/>
      <c r="X871" s="244"/>
      <c r="Y871" s="244"/>
      <c r="Z871" s="244"/>
    </row>
    <row r="872" hidden="1">
      <c r="A872" s="249"/>
      <c r="B872" s="249"/>
      <c r="C872" s="250"/>
      <c r="D872" s="244"/>
      <c r="E872" s="244"/>
      <c r="F872" s="244"/>
      <c r="G872" s="244"/>
      <c r="H872" s="244"/>
      <c r="I872" s="244"/>
      <c r="J872" s="244"/>
      <c r="K872" s="244"/>
      <c r="L872" s="244"/>
      <c r="M872" s="244"/>
      <c r="N872" s="244"/>
      <c r="O872" s="244"/>
      <c r="P872" s="244"/>
      <c r="Q872" s="244"/>
      <c r="R872" s="244"/>
      <c r="S872" s="244"/>
      <c r="T872" s="244"/>
      <c r="U872" s="244"/>
      <c r="V872" s="244"/>
      <c r="W872" s="244"/>
      <c r="X872" s="244"/>
      <c r="Y872" s="244"/>
      <c r="Z872" s="244"/>
    </row>
    <row r="873" hidden="1">
      <c r="A873" s="249"/>
      <c r="B873" s="249"/>
      <c r="C873" s="250"/>
      <c r="D873" s="244"/>
      <c r="E873" s="244"/>
      <c r="F873" s="244"/>
      <c r="G873" s="244"/>
      <c r="H873" s="244"/>
      <c r="I873" s="244"/>
      <c r="J873" s="244"/>
      <c r="K873" s="244"/>
      <c r="L873" s="244"/>
      <c r="M873" s="244"/>
      <c r="N873" s="244"/>
      <c r="O873" s="244"/>
      <c r="P873" s="244"/>
      <c r="Q873" s="244"/>
      <c r="R873" s="244"/>
      <c r="S873" s="244"/>
      <c r="T873" s="244"/>
      <c r="U873" s="244"/>
      <c r="V873" s="244"/>
      <c r="W873" s="244"/>
      <c r="X873" s="244"/>
      <c r="Y873" s="244"/>
      <c r="Z873" s="244"/>
    </row>
    <row r="874" hidden="1">
      <c r="A874" s="249"/>
      <c r="B874" s="249"/>
      <c r="C874" s="250"/>
      <c r="D874" s="244"/>
      <c r="E874" s="244"/>
      <c r="F874" s="244"/>
      <c r="G874" s="244"/>
      <c r="H874" s="244"/>
      <c r="I874" s="244"/>
      <c r="J874" s="244"/>
      <c r="K874" s="244"/>
      <c r="L874" s="244"/>
      <c r="M874" s="244"/>
      <c r="N874" s="244"/>
      <c r="O874" s="244"/>
      <c r="P874" s="244"/>
      <c r="Q874" s="244"/>
      <c r="R874" s="244"/>
      <c r="S874" s="244"/>
      <c r="T874" s="244"/>
      <c r="U874" s="244"/>
      <c r="V874" s="244"/>
      <c r="W874" s="244"/>
      <c r="X874" s="244"/>
      <c r="Y874" s="244"/>
      <c r="Z874" s="244"/>
    </row>
    <row r="875" hidden="1">
      <c r="A875" s="249"/>
      <c r="B875" s="249"/>
      <c r="C875" s="250"/>
      <c r="D875" s="244"/>
      <c r="E875" s="244"/>
      <c r="F875" s="244"/>
      <c r="G875" s="244"/>
      <c r="H875" s="244"/>
      <c r="I875" s="244"/>
      <c r="J875" s="244"/>
      <c r="K875" s="244"/>
      <c r="L875" s="244"/>
      <c r="M875" s="244"/>
      <c r="N875" s="244"/>
      <c r="O875" s="244"/>
      <c r="P875" s="244"/>
      <c r="Q875" s="244"/>
      <c r="R875" s="244"/>
      <c r="S875" s="244"/>
      <c r="T875" s="244"/>
      <c r="U875" s="244"/>
      <c r="V875" s="244"/>
      <c r="W875" s="244"/>
      <c r="X875" s="244"/>
      <c r="Y875" s="244"/>
      <c r="Z875" s="244"/>
    </row>
    <row r="876" hidden="1">
      <c r="A876" s="249"/>
      <c r="B876" s="249"/>
      <c r="C876" s="250"/>
      <c r="D876" s="244"/>
      <c r="E876" s="244"/>
      <c r="F876" s="244"/>
      <c r="G876" s="244"/>
      <c r="H876" s="244"/>
      <c r="I876" s="244"/>
      <c r="J876" s="244"/>
      <c r="K876" s="244"/>
      <c r="L876" s="244"/>
      <c r="M876" s="244"/>
      <c r="N876" s="244"/>
      <c r="O876" s="244"/>
      <c r="P876" s="244"/>
      <c r="Q876" s="244"/>
      <c r="R876" s="244"/>
      <c r="S876" s="244"/>
      <c r="T876" s="244"/>
      <c r="U876" s="244"/>
      <c r="V876" s="244"/>
      <c r="W876" s="244"/>
      <c r="X876" s="244"/>
      <c r="Y876" s="244"/>
      <c r="Z876" s="244"/>
    </row>
    <row r="877" hidden="1">
      <c r="A877" s="249"/>
      <c r="B877" s="249"/>
      <c r="C877" s="250"/>
      <c r="D877" s="244"/>
      <c r="E877" s="244"/>
      <c r="F877" s="244"/>
      <c r="G877" s="244"/>
      <c r="H877" s="244"/>
      <c r="I877" s="244"/>
      <c r="J877" s="244"/>
      <c r="K877" s="244"/>
      <c r="L877" s="244"/>
      <c r="M877" s="244"/>
      <c r="N877" s="244"/>
      <c r="O877" s="244"/>
      <c r="P877" s="244"/>
      <c r="Q877" s="244"/>
      <c r="R877" s="244"/>
      <c r="S877" s="244"/>
      <c r="T877" s="244"/>
      <c r="U877" s="244"/>
      <c r="V877" s="244"/>
      <c r="W877" s="244"/>
      <c r="X877" s="244"/>
      <c r="Y877" s="244"/>
      <c r="Z877" s="244"/>
    </row>
    <row r="878" hidden="1">
      <c r="A878" s="249"/>
      <c r="B878" s="249"/>
      <c r="C878" s="250"/>
      <c r="D878" s="244"/>
      <c r="E878" s="244"/>
      <c r="F878" s="244"/>
      <c r="G878" s="244"/>
      <c r="H878" s="244"/>
      <c r="I878" s="244"/>
      <c r="J878" s="244"/>
      <c r="K878" s="244"/>
      <c r="L878" s="244"/>
      <c r="M878" s="244"/>
      <c r="N878" s="244"/>
      <c r="O878" s="244"/>
      <c r="P878" s="244"/>
      <c r="Q878" s="244"/>
      <c r="R878" s="244"/>
      <c r="S878" s="244"/>
      <c r="T878" s="244"/>
      <c r="U878" s="244"/>
      <c r="V878" s="244"/>
      <c r="W878" s="244"/>
      <c r="X878" s="244"/>
      <c r="Y878" s="244"/>
      <c r="Z878" s="244"/>
    </row>
    <row r="879" hidden="1">
      <c r="A879" s="249"/>
      <c r="B879" s="249"/>
      <c r="C879" s="250"/>
      <c r="D879" s="244"/>
      <c r="E879" s="244"/>
      <c r="F879" s="244"/>
      <c r="G879" s="244"/>
      <c r="H879" s="244"/>
      <c r="I879" s="244"/>
      <c r="J879" s="244"/>
      <c r="K879" s="244"/>
      <c r="L879" s="244"/>
      <c r="M879" s="244"/>
      <c r="N879" s="244"/>
      <c r="O879" s="244"/>
      <c r="P879" s="244"/>
      <c r="Q879" s="244"/>
      <c r="R879" s="244"/>
      <c r="S879" s="244"/>
      <c r="T879" s="244"/>
      <c r="U879" s="244"/>
      <c r="V879" s="244"/>
      <c r="W879" s="244"/>
      <c r="X879" s="244"/>
      <c r="Y879" s="244"/>
      <c r="Z879" s="244"/>
    </row>
    <row r="880" hidden="1">
      <c r="A880" s="249"/>
      <c r="B880" s="249"/>
      <c r="C880" s="250"/>
      <c r="D880" s="244"/>
      <c r="E880" s="244"/>
      <c r="F880" s="244"/>
      <c r="G880" s="244"/>
      <c r="H880" s="244"/>
      <c r="I880" s="244"/>
      <c r="J880" s="244"/>
      <c r="K880" s="244"/>
      <c r="L880" s="244"/>
      <c r="M880" s="244"/>
      <c r="N880" s="244"/>
      <c r="O880" s="244"/>
      <c r="P880" s="244"/>
      <c r="Q880" s="244"/>
      <c r="R880" s="244"/>
      <c r="S880" s="244"/>
      <c r="T880" s="244"/>
      <c r="U880" s="244"/>
      <c r="V880" s="244"/>
      <c r="W880" s="244"/>
      <c r="X880" s="244"/>
      <c r="Y880" s="244"/>
      <c r="Z880" s="244"/>
    </row>
    <row r="881" hidden="1">
      <c r="A881" s="249"/>
      <c r="B881" s="249"/>
      <c r="C881" s="250"/>
      <c r="D881" s="244"/>
      <c r="E881" s="244"/>
      <c r="F881" s="244"/>
      <c r="G881" s="244"/>
      <c r="H881" s="244"/>
      <c r="I881" s="244"/>
      <c r="J881" s="244"/>
      <c r="K881" s="244"/>
      <c r="L881" s="244"/>
      <c r="M881" s="244"/>
      <c r="N881" s="244"/>
      <c r="O881" s="244"/>
      <c r="P881" s="244"/>
      <c r="Q881" s="244"/>
      <c r="R881" s="244"/>
      <c r="S881" s="244"/>
      <c r="T881" s="244"/>
      <c r="U881" s="244"/>
      <c r="V881" s="244"/>
      <c r="W881" s="244"/>
      <c r="X881" s="244"/>
      <c r="Y881" s="244"/>
      <c r="Z881" s="244"/>
    </row>
    <row r="882" hidden="1">
      <c r="A882" s="249"/>
      <c r="B882" s="249"/>
      <c r="C882" s="250"/>
      <c r="D882" s="244"/>
      <c r="E882" s="244"/>
      <c r="F882" s="244"/>
      <c r="G882" s="244"/>
      <c r="H882" s="244"/>
      <c r="I882" s="244"/>
      <c r="J882" s="244"/>
      <c r="K882" s="244"/>
      <c r="L882" s="244"/>
      <c r="M882" s="244"/>
      <c r="N882" s="244"/>
      <c r="O882" s="244"/>
      <c r="P882" s="244"/>
      <c r="Q882" s="244"/>
      <c r="R882" s="244"/>
      <c r="S882" s="244"/>
      <c r="T882" s="244"/>
      <c r="U882" s="244"/>
      <c r="V882" s="244"/>
      <c r="W882" s="244"/>
      <c r="X882" s="244"/>
      <c r="Y882" s="244"/>
      <c r="Z882" s="244"/>
    </row>
    <row r="883" hidden="1">
      <c r="A883" s="249"/>
      <c r="B883" s="249"/>
      <c r="C883" s="250"/>
      <c r="D883" s="244"/>
      <c r="E883" s="244"/>
      <c r="F883" s="244"/>
      <c r="G883" s="244"/>
      <c r="H883" s="244"/>
      <c r="I883" s="244"/>
      <c r="J883" s="244"/>
      <c r="K883" s="244"/>
      <c r="L883" s="244"/>
      <c r="M883" s="244"/>
      <c r="N883" s="244"/>
      <c r="O883" s="244"/>
      <c r="P883" s="244"/>
      <c r="Q883" s="244"/>
      <c r="R883" s="244"/>
      <c r="S883" s="244"/>
      <c r="T883" s="244"/>
      <c r="U883" s="244"/>
      <c r="V883" s="244"/>
      <c r="W883" s="244"/>
      <c r="X883" s="244"/>
      <c r="Y883" s="244"/>
      <c r="Z883" s="244"/>
    </row>
    <row r="884" hidden="1">
      <c r="A884" s="249"/>
      <c r="B884" s="249"/>
      <c r="C884" s="250"/>
      <c r="D884" s="244"/>
      <c r="E884" s="244"/>
      <c r="F884" s="244"/>
      <c r="G884" s="244"/>
      <c r="H884" s="244"/>
      <c r="I884" s="244"/>
      <c r="J884" s="244"/>
      <c r="K884" s="244"/>
      <c r="L884" s="244"/>
      <c r="M884" s="244"/>
      <c r="N884" s="244"/>
      <c r="O884" s="244"/>
      <c r="P884" s="244"/>
      <c r="Q884" s="244"/>
      <c r="R884" s="244"/>
      <c r="S884" s="244"/>
      <c r="T884" s="244"/>
      <c r="U884" s="244"/>
      <c r="V884" s="244"/>
      <c r="W884" s="244"/>
      <c r="X884" s="244"/>
      <c r="Y884" s="244"/>
      <c r="Z884" s="244"/>
    </row>
    <row r="885" hidden="1">
      <c r="A885" s="249"/>
      <c r="B885" s="249"/>
      <c r="C885" s="250"/>
      <c r="D885" s="244"/>
      <c r="E885" s="244"/>
      <c r="F885" s="244"/>
      <c r="G885" s="244"/>
      <c r="H885" s="244"/>
      <c r="I885" s="244"/>
      <c r="J885" s="244"/>
      <c r="K885" s="244"/>
      <c r="L885" s="244"/>
      <c r="M885" s="244"/>
      <c r="N885" s="244"/>
      <c r="O885" s="244"/>
      <c r="P885" s="244"/>
      <c r="Q885" s="244"/>
      <c r="R885" s="244"/>
      <c r="S885" s="244"/>
      <c r="T885" s="244"/>
      <c r="U885" s="244"/>
      <c r="V885" s="244"/>
      <c r="W885" s="244"/>
      <c r="X885" s="244"/>
      <c r="Y885" s="244"/>
      <c r="Z885" s="244"/>
    </row>
    <row r="886" hidden="1">
      <c r="A886" s="249"/>
      <c r="B886" s="249"/>
      <c r="C886" s="250"/>
      <c r="D886" s="244"/>
      <c r="E886" s="244"/>
      <c r="F886" s="244"/>
      <c r="G886" s="244"/>
      <c r="H886" s="244"/>
      <c r="I886" s="244"/>
      <c r="J886" s="244"/>
      <c r="K886" s="244"/>
      <c r="L886" s="244"/>
      <c r="M886" s="244"/>
      <c r="N886" s="244"/>
      <c r="O886" s="244"/>
      <c r="P886" s="244"/>
      <c r="Q886" s="244"/>
      <c r="R886" s="244"/>
      <c r="S886" s="244"/>
      <c r="T886" s="244"/>
      <c r="U886" s="244"/>
      <c r="V886" s="244"/>
      <c r="W886" s="244"/>
      <c r="X886" s="244"/>
      <c r="Y886" s="244"/>
      <c r="Z886" s="244"/>
    </row>
    <row r="887" hidden="1">
      <c r="A887" s="249"/>
      <c r="B887" s="249"/>
      <c r="C887" s="250"/>
      <c r="D887" s="244"/>
      <c r="E887" s="244"/>
      <c r="F887" s="244"/>
      <c r="G887" s="244"/>
      <c r="H887" s="244"/>
      <c r="I887" s="244"/>
      <c r="J887" s="244"/>
      <c r="K887" s="244"/>
      <c r="L887" s="244"/>
      <c r="M887" s="244"/>
      <c r="N887" s="244"/>
      <c r="O887" s="244"/>
      <c r="P887" s="244"/>
      <c r="Q887" s="244"/>
      <c r="R887" s="244"/>
      <c r="S887" s="244"/>
      <c r="T887" s="244"/>
      <c r="U887" s="244"/>
      <c r="V887" s="244"/>
      <c r="W887" s="244"/>
      <c r="X887" s="244"/>
      <c r="Y887" s="244"/>
      <c r="Z887" s="244"/>
    </row>
    <row r="888" hidden="1">
      <c r="A888" s="249"/>
      <c r="B888" s="249"/>
      <c r="C888" s="250"/>
      <c r="D888" s="244"/>
      <c r="E888" s="244"/>
      <c r="F888" s="244"/>
      <c r="G888" s="244"/>
      <c r="H888" s="244"/>
      <c r="I888" s="244"/>
      <c r="J888" s="244"/>
      <c r="K888" s="244"/>
      <c r="L888" s="244"/>
      <c r="M888" s="244"/>
      <c r="N888" s="244"/>
      <c r="O888" s="244"/>
      <c r="P888" s="244"/>
      <c r="Q888" s="244"/>
      <c r="R888" s="244"/>
      <c r="S888" s="244"/>
      <c r="T888" s="244"/>
      <c r="U888" s="244"/>
      <c r="V888" s="244"/>
      <c r="W888" s="244"/>
      <c r="X888" s="244"/>
      <c r="Y888" s="244"/>
      <c r="Z888" s="244"/>
    </row>
    <row r="889" hidden="1">
      <c r="A889" s="249"/>
      <c r="B889" s="249"/>
      <c r="C889" s="250"/>
      <c r="D889" s="244"/>
      <c r="E889" s="244"/>
      <c r="F889" s="244"/>
      <c r="G889" s="244"/>
      <c r="H889" s="244"/>
      <c r="I889" s="244"/>
      <c r="J889" s="244"/>
      <c r="K889" s="244"/>
      <c r="L889" s="244"/>
      <c r="M889" s="244"/>
      <c r="N889" s="244"/>
      <c r="O889" s="244"/>
      <c r="P889" s="244"/>
      <c r="Q889" s="244"/>
      <c r="R889" s="244"/>
      <c r="S889" s="244"/>
      <c r="T889" s="244"/>
      <c r="U889" s="244"/>
      <c r="V889" s="244"/>
      <c r="W889" s="244"/>
      <c r="X889" s="244"/>
      <c r="Y889" s="244"/>
      <c r="Z889" s="244"/>
    </row>
    <row r="890" hidden="1">
      <c r="A890" s="249"/>
      <c r="B890" s="249"/>
      <c r="C890" s="250"/>
      <c r="D890" s="244"/>
      <c r="E890" s="244"/>
      <c r="F890" s="244"/>
      <c r="G890" s="244"/>
      <c r="H890" s="244"/>
      <c r="I890" s="244"/>
      <c r="J890" s="244"/>
      <c r="K890" s="244"/>
      <c r="L890" s="244"/>
      <c r="M890" s="244"/>
      <c r="N890" s="244"/>
      <c r="O890" s="244"/>
      <c r="P890" s="244"/>
      <c r="Q890" s="244"/>
      <c r="R890" s="244"/>
      <c r="S890" s="244"/>
      <c r="T890" s="244"/>
      <c r="U890" s="244"/>
      <c r="V890" s="244"/>
      <c r="W890" s="244"/>
      <c r="X890" s="244"/>
      <c r="Y890" s="244"/>
      <c r="Z890" s="244"/>
    </row>
    <row r="891" hidden="1">
      <c r="A891" s="249"/>
      <c r="B891" s="249"/>
      <c r="C891" s="250"/>
      <c r="D891" s="244"/>
      <c r="E891" s="244"/>
      <c r="F891" s="244"/>
      <c r="G891" s="244"/>
      <c r="H891" s="244"/>
      <c r="I891" s="244"/>
      <c r="J891" s="244"/>
      <c r="K891" s="244"/>
      <c r="L891" s="244"/>
      <c r="M891" s="244"/>
      <c r="N891" s="244"/>
      <c r="O891" s="244"/>
      <c r="P891" s="244"/>
      <c r="Q891" s="244"/>
      <c r="R891" s="244"/>
      <c r="S891" s="244"/>
      <c r="T891" s="244"/>
      <c r="U891" s="244"/>
      <c r="V891" s="244"/>
      <c r="W891" s="244"/>
      <c r="X891" s="244"/>
      <c r="Y891" s="244"/>
      <c r="Z891" s="244"/>
    </row>
    <row r="892" hidden="1">
      <c r="A892" s="249"/>
      <c r="B892" s="249"/>
      <c r="C892" s="250"/>
      <c r="D892" s="244"/>
      <c r="E892" s="244"/>
      <c r="F892" s="244"/>
      <c r="G892" s="244"/>
      <c r="H892" s="244"/>
      <c r="I892" s="244"/>
      <c r="J892" s="244"/>
      <c r="K892" s="244"/>
      <c r="L892" s="244"/>
      <c r="M892" s="244"/>
      <c r="N892" s="244"/>
      <c r="O892" s="244"/>
      <c r="P892" s="244"/>
      <c r="Q892" s="244"/>
      <c r="R892" s="244"/>
      <c r="S892" s="244"/>
      <c r="T892" s="244"/>
      <c r="U892" s="244"/>
      <c r="V892" s="244"/>
      <c r="W892" s="244"/>
      <c r="X892" s="244"/>
      <c r="Y892" s="244"/>
      <c r="Z892" s="244"/>
    </row>
    <row r="893" hidden="1">
      <c r="A893" s="249"/>
      <c r="B893" s="249"/>
      <c r="C893" s="250"/>
      <c r="D893" s="244"/>
      <c r="E893" s="244"/>
      <c r="F893" s="244"/>
      <c r="G893" s="244"/>
      <c r="H893" s="244"/>
      <c r="I893" s="244"/>
      <c r="J893" s="244"/>
      <c r="K893" s="244"/>
      <c r="L893" s="244"/>
      <c r="M893" s="244"/>
      <c r="N893" s="244"/>
      <c r="O893" s="244"/>
      <c r="P893" s="244"/>
      <c r="Q893" s="244"/>
      <c r="R893" s="244"/>
      <c r="S893" s="244"/>
      <c r="T893" s="244"/>
      <c r="U893" s="244"/>
      <c r="V893" s="244"/>
      <c r="W893" s="244"/>
      <c r="X893" s="244"/>
      <c r="Y893" s="244"/>
      <c r="Z893" s="244"/>
    </row>
    <row r="894" hidden="1">
      <c r="A894" s="249"/>
      <c r="B894" s="249"/>
      <c r="C894" s="250"/>
      <c r="D894" s="244"/>
      <c r="E894" s="244"/>
      <c r="F894" s="244"/>
      <c r="G894" s="244"/>
      <c r="H894" s="244"/>
      <c r="I894" s="244"/>
      <c r="J894" s="244"/>
      <c r="K894" s="244"/>
      <c r="L894" s="244"/>
      <c r="M894" s="244"/>
      <c r="N894" s="244"/>
      <c r="O894" s="244"/>
      <c r="P894" s="244"/>
      <c r="Q894" s="244"/>
      <c r="R894" s="244"/>
      <c r="S894" s="244"/>
      <c r="T894" s="244"/>
      <c r="U894" s="244"/>
      <c r="V894" s="244"/>
      <c r="W894" s="244"/>
      <c r="X894" s="244"/>
      <c r="Y894" s="244"/>
      <c r="Z894" s="244"/>
    </row>
    <row r="895" hidden="1">
      <c r="A895" s="249"/>
      <c r="B895" s="249"/>
      <c r="C895" s="250"/>
      <c r="D895" s="244"/>
      <c r="E895" s="244"/>
      <c r="F895" s="244"/>
      <c r="G895" s="244"/>
      <c r="H895" s="244"/>
      <c r="I895" s="244"/>
      <c r="J895" s="244"/>
      <c r="K895" s="244"/>
      <c r="L895" s="244"/>
      <c r="M895" s="244"/>
      <c r="N895" s="244"/>
      <c r="O895" s="244"/>
      <c r="P895" s="244"/>
      <c r="Q895" s="244"/>
      <c r="R895" s="244"/>
      <c r="S895" s="244"/>
      <c r="T895" s="244"/>
      <c r="U895" s="244"/>
      <c r="V895" s="244"/>
      <c r="W895" s="244"/>
      <c r="X895" s="244"/>
      <c r="Y895" s="244"/>
      <c r="Z895" s="244"/>
    </row>
    <row r="896" hidden="1">
      <c r="A896" s="249"/>
      <c r="B896" s="249"/>
      <c r="C896" s="250"/>
      <c r="D896" s="244"/>
      <c r="E896" s="244"/>
      <c r="F896" s="244"/>
      <c r="G896" s="244"/>
      <c r="H896" s="244"/>
      <c r="I896" s="244"/>
      <c r="J896" s="244"/>
      <c r="K896" s="244"/>
      <c r="L896" s="244"/>
      <c r="M896" s="244"/>
      <c r="N896" s="244"/>
      <c r="O896" s="244"/>
      <c r="P896" s="244"/>
      <c r="Q896" s="244"/>
      <c r="R896" s="244"/>
      <c r="S896" s="244"/>
      <c r="T896" s="244"/>
      <c r="U896" s="244"/>
      <c r="V896" s="244"/>
      <c r="W896" s="244"/>
      <c r="X896" s="244"/>
      <c r="Y896" s="244"/>
      <c r="Z896" s="244"/>
    </row>
    <row r="897" hidden="1">
      <c r="A897" s="249"/>
      <c r="B897" s="249"/>
      <c r="C897" s="250"/>
      <c r="D897" s="244"/>
      <c r="E897" s="244"/>
      <c r="F897" s="244"/>
      <c r="G897" s="244"/>
      <c r="H897" s="244"/>
      <c r="I897" s="244"/>
      <c r="J897" s="244"/>
      <c r="K897" s="244"/>
      <c r="L897" s="244"/>
      <c r="M897" s="244"/>
      <c r="N897" s="244"/>
      <c r="O897" s="244"/>
      <c r="P897" s="244"/>
      <c r="Q897" s="244"/>
      <c r="R897" s="244"/>
      <c r="S897" s="244"/>
      <c r="T897" s="244"/>
      <c r="U897" s="244"/>
      <c r="V897" s="244"/>
      <c r="W897" s="244"/>
      <c r="X897" s="244"/>
      <c r="Y897" s="244"/>
      <c r="Z897" s="244"/>
    </row>
    <row r="898" hidden="1">
      <c r="A898" s="249"/>
      <c r="B898" s="249"/>
      <c r="C898" s="250"/>
      <c r="D898" s="244"/>
      <c r="E898" s="244"/>
      <c r="F898" s="244"/>
      <c r="G898" s="244"/>
      <c r="H898" s="244"/>
      <c r="I898" s="244"/>
      <c r="J898" s="244"/>
      <c r="K898" s="244"/>
      <c r="L898" s="244"/>
      <c r="M898" s="244"/>
      <c r="N898" s="244"/>
      <c r="O898" s="244"/>
      <c r="P898" s="244"/>
      <c r="Q898" s="244"/>
      <c r="R898" s="244"/>
      <c r="S898" s="244"/>
      <c r="T898" s="244"/>
      <c r="U898" s="244"/>
      <c r="V898" s="244"/>
      <c r="W898" s="244"/>
      <c r="X898" s="244"/>
      <c r="Y898" s="244"/>
      <c r="Z898" s="244"/>
    </row>
    <row r="899" hidden="1">
      <c r="A899" s="249"/>
      <c r="B899" s="249"/>
      <c r="C899" s="250"/>
      <c r="D899" s="244"/>
      <c r="E899" s="244"/>
      <c r="F899" s="244"/>
      <c r="G899" s="244"/>
      <c r="H899" s="244"/>
      <c r="I899" s="244"/>
      <c r="J899" s="244"/>
      <c r="K899" s="244"/>
      <c r="L899" s="244"/>
      <c r="M899" s="244"/>
      <c r="N899" s="244"/>
      <c r="O899" s="244"/>
      <c r="P899" s="244"/>
      <c r="Q899" s="244"/>
      <c r="R899" s="244"/>
      <c r="S899" s="244"/>
      <c r="T899" s="244"/>
      <c r="U899" s="244"/>
      <c r="V899" s="244"/>
      <c r="W899" s="244"/>
      <c r="X899" s="244"/>
      <c r="Y899" s="244"/>
      <c r="Z899" s="244"/>
    </row>
    <row r="900" hidden="1">
      <c r="A900" s="249"/>
      <c r="B900" s="249"/>
      <c r="C900" s="250"/>
      <c r="D900" s="244"/>
      <c r="E900" s="244"/>
      <c r="F900" s="244"/>
      <c r="G900" s="244"/>
      <c r="H900" s="244"/>
      <c r="I900" s="244"/>
      <c r="J900" s="244"/>
      <c r="K900" s="244"/>
      <c r="L900" s="244"/>
      <c r="M900" s="244"/>
      <c r="N900" s="244"/>
      <c r="O900" s="244"/>
      <c r="P900" s="244"/>
      <c r="Q900" s="244"/>
      <c r="R900" s="244"/>
      <c r="S900" s="244"/>
      <c r="T900" s="244"/>
      <c r="U900" s="244"/>
      <c r="V900" s="244"/>
      <c r="W900" s="244"/>
      <c r="X900" s="244"/>
      <c r="Y900" s="244"/>
      <c r="Z900" s="244"/>
    </row>
    <row r="901" hidden="1">
      <c r="A901" s="249"/>
      <c r="B901" s="249"/>
      <c r="C901" s="250"/>
      <c r="D901" s="244"/>
      <c r="E901" s="244"/>
      <c r="F901" s="244"/>
      <c r="G901" s="244"/>
      <c r="H901" s="244"/>
      <c r="I901" s="244"/>
      <c r="J901" s="244"/>
      <c r="K901" s="244"/>
      <c r="L901" s="244"/>
      <c r="M901" s="244"/>
      <c r="N901" s="244"/>
      <c r="O901" s="244"/>
      <c r="P901" s="244"/>
      <c r="Q901" s="244"/>
      <c r="R901" s="244"/>
      <c r="S901" s="244"/>
      <c r="T901" s="244"/>
      <c r="U901" s="244"/>
      <c r="V901" s="244"/>
      <c r="W901" s="244"/>
      <c r="X901" s="244"/>
      <c r="Y901" s="244"/>
      <c r="Z901" s="244"/>
    </row>
    <row r="902" hidden="1">
      <c r="A902" s="249"/>
      <c r="B902" s="249"/>
      <c r="C902" s="250"/>
      <c r="D902" s="244"/>
      <c r="E902" s="244"/>
      <c r="F902" s="244"/>
      <c r="G902" s="244"/>
      <c r="H902" s="244"/>
      <c r="I902" s="244"/>
      <c r="J902" s="244"/>
      <c r="K902" s="244"/>
      <c r="L902" s="244"/>
      <c r="M902" s="244"/>
      <c r="N902" s="244"/>
      <c r="O902" s="244"/>
      <c r="P902" s="244"/>
      <c r="Q902" s="244"/>
      <c r="R902" s="244"/>
      <c r="S902" s="244"/>
      <c r="T902" s="244"/>
      <c r="U902" s="244"/>
      <c r="V902" s="244"/>
      <c r="W902" s="244"/>
      <c r="X902" s="244"/>
      <c r="Y902" s="244"/>
      <c r="Z902" s="244"/>
    </row>
    <row r="903" hidden="1">
      <c r="A903" s="249"/>
      <c r="B903" s="249"/>
      <c r="C903" s="250"/>
      <c r="D903" s="244"/>
      <c r="E903" s="244"/>
      <c r="F903" s="244"/>
      <c r="G903" s="244"/>
      <c r="H903" s="244"/>
      <c r="I903" s="244"/>
      <c r="J903" s="244"/>
      <c r="K903" s="244"/>
      <c r="L903" s="244"/>
      <c r="M903" s="244"/>
      <c r="N903" s="244"/>
      <c r="O903" s="244"/>
      <c r="P903" s="244"/>
      <c r="Q903" s="244"/>
      <c r="R903" s="244"/>
      <c r="S903" s="244"/>
      <c r="T903" s="244"/>
      <c r="U903" s="244"/>
      <c r="V903" s="244"/>
      <c r="W903" s="244"/>
      <c r="X903" s="244"/>
      <c r="Y903" s="244"/>
      <c r="Z903" s="244"/>
    </row>
    <row r="904" hidden="1">
      <c r="A904" s="249"/>
      <c r="B904" s="249"/>
      <c r="C904" s="250"/>
      <c r="D904" s="244"/>
      <c r="E904" s="244"/>
      <c r="F904" s="244"/>
      <c r="G904" s="244"/>
      <c r="H904" s="244"/>
      <c r="I904" s="244"/>
      <c r="J904" s="244"/>
      <c r="K904" s="244"/>
      <c r="L904" s="244"/>
      <c r="M904" s="244"/>
      <c r="N904" s="244"/>
      <c r="O904" s="244"/>
      <c r="P904" s="244"/>
      <c r="Q904" s="244"/>
      <c r="R904" s="244"/>
      <c r="S904" s="244"/>
      <c r="T904" s="244"/>
      <c r="U904" s="244"/>
      <c r="V904" s="244"/>
      <c r="W904" s="244"/>
      <c r="X904" s="244"/>
      <c r="Y904" s="244"/>
      <c r="Z904" s="244"/>
    </row>
    <row r="905" hidden="1">
      <c r="A905" s="249"/>
      <c r="B905" s="249"/>
      <c r="C905" s="250"/>
      <c r="D905" s="244"/>
      <c r="E905" s="244"/>
      <c r="F905" s="244"/>
      <c r="G905" s="244"/>
      <c r="H905" s="244"/>
      <c r="I905" s="244"/>
      <c r="J905" s="244"/>
      <c r="K905" s="244"/>
      <c r="L905" s="244"/>
      <c r="M905" s="244"/>
      <c r="N905" s="244"/>
      <c r="O905" s="244"/>
      <c r="P905" s="244"/>
      <c r="Q905" s="244"/>
      <c r="R905" s="244"/>
      <c r="S905" s="244"/>
      <c r="T905" s="244"/>
      <c r="U905" s="244"/>
      <c r="V905" s="244"/>
      <c r="W905" s="244"/>
      <c r="X905" s="244"/>
      <c r="Y905" s="244"/>
      <c r="Z905" s="244"/>
    </row>
    <row r="906" hidden="1">
      <c r="A906" s="249"/>
      <c r="B906" s="249"/>
      <c r="C906" s="250"/>
      <c r="D906" s="244"/>
      <c r="E906" s="244"/>
      <c r="F906" s="244"/>
      <c r="G906" s="244"/>
      <c r="H906" s="244"/>
      <c r="I906" s="244"/>
      <c r="J906" s="244"/>
      <c r="K906" s="244"/>
      <c r="L906" s="244"/>
      <c r="M906" s="244"/>
      <c r="N906" s="244"/>
      <c r="O906" s="244"/>
      <c r="P906" s="244"/>
      <c r="Q906" s="244"/>
      <c r="R906" s="244"/>
      <c r="S906" s="244"/>
      <c r="T906" s="244"/>
      <c r="U906" s="244"/>
      <c r="V906" s="244"/>
      <c r="W906" s="244"/>
      <c r="X906" s="244"/>
      <c r="Y906" s="244"/>
      <c r="Z906" s="244"/>
    </row>
    <row r="907" hidden="1">
      <c r="A907" s="249"/>
      <c r="B907" s="249"/>
      <c r="C907" s="250"/>
      <c r="D907" s="244"/>
      <c r="E907" s="244"/>
      <c r="F907" s="244"/>
      <c r="G907" s="244"/>
      <c r="H907" s="244"/>
      <c r="I907" s="244"/>
      <c r="J907" s="244"/>
      <c r="K907" s="244"/>
      <c r="L907" s="244"/>
      <c r="M907" s="244"/>
      <c r="N907" s="244"/>
      <c r="O907" s="244"/>
      <c r="P907" s="244"/>
      <c r="Q907" s="244"/>
      <c r="R907" s="244"/>
      <c r="S907" s="244"/>
      <c r="T907" s="244"/>
      <c r="U907" s="244"/>
      <c r="V907" s="244"/>
      <c r="W907" s="244"/>
      <c r="X907" s="244"/>
      <c r="Y907" s="244"/>
      <c r="Z907" s="244"/>
    </row>
    <row r="908" hidden="1">
      <c r="A908" s="249"/>
      <c r="B908" s="249"/>
      <c r="C908" s="250"/>
      <c r="D908" s="244"/>
      <c r="E908" s="244"/>
      <c r="F908" s="244"/>
      <c r="G908" s="244"/>
      <c r="H908" s="244"/>
      <c r="I908" s="244"/>
      <c r="J908" s="244"/>
      <c r="K908" s="244"/>
      <c r="L908" s="244"/>
      <c r="M908" s="244"/>
      <c r="N908" s="244"/>
      <c r="O908" s="244"/>
      <c r="P908" s="244"/>
      <c r="Q908" s="244"/>
      <c r="R908" s="244"/>
      <c r="S908" s="244"/>
      <c r="T908" s="244"/>
      <c r="U908" s="244"/>
      <c r="V908" s="244"/>
      <c r="W908" s="244"/>
      <c r="X908" s="244"/>
      <c r="Y908" s="244"/>
      <c r="Z908" s="244"/>
    </row>
    <row r="909" hidden="1">
      <c r="A909" s="249"/>
      <c r="B909" s="249"/>
      <c r="C909" s="250"/>
      <c r="D909" s="244"/>
      <c r="E909" s="244"/>
      <c r="F909" s="244"/>
      <c r="G909" s="244"/>
      <c r="H909" s="244"/>
      <c r="I909" s="244"/>
      <c r="J909" s="244"/>
      <c r="K909" s="244"/>
      <c r="L909" s="244"/>
      <c r="M909" s="244"/>
      <c r="N909" s="244"/>
      <c r="O909" s="244"/>
      <c r="P909" s="244"/>
      <c r="Q909" s="244"/>
      <c r="R909" s="244"/>
      <c r="S909" s="244"/>
      <c r="T909" s="244"/>
      <c r="U909" s="244"/>
      <c r="V909" s="244"/>
      <c r="W909" s="244"/>
      <c r="X909" s="244"/>
      <c r="Y909" s="244"/>
      <c r="Z909" s="244"/>
    </row>
    <row r="910" hidden="1">
      <c r="A910" s="249"/>
      <c r="B910" s="249"/>
      <c r="C910" s="250"/>
      <c r="D910" s="244"/>
      <c r="E910" s="244"/>
      <c r="F910" s="244"/>
      <c r="G910" s="244"/>
      <c r="H910" s="244"/>
      <c r="I910" s="244"/>
      <c r="J910" s="244"/>
      <c r="K910" s="244"/>
      <c r="L910" s="244"/>
      <c r="M910" s="244"/>
      <c r="N910" s="244"/>
      <c r="O910" s="244"/>
      <c r="P910" s="244"/>
      <c r="Q910" s="244"/>
      <c r="R910" s="244"/>
      <c r="S910" s="244"/>
      <c r="T910" s="244"/>
      <c r="U910" s="244"/>
      <c r="V910" s="244"/>
      <c r="W910" s="244"/>
      <c r="X910" s="244"/>
      <c r="Y910" s="244"/>
      <c r="Z910" s="244"/>
    </row>
    <row r="911" hidden="1">
      <c r="A911" s="249"/>
      <c r="B911" s="249"/>
      <c r="C911" s="250"/>
      <c r="D911" s="244"/>
      <c r="E911" s="244"/>
      <c r="F911" s="244"/>
      <c r="G911" s="244"/>
      <c r="H911" s="244"/>
      <c r="I911" s="244"/>
      <c r="J911" s="244"/>
      <c r="K911" s="244"/>
      <c r="L911" s="244"/>
      <c r="M911" s="244"/>
      <c r="N911" s="244"/>
      <c r="O911" s="244"/>
      <c r="P911" s="244"/>
      <c r="Q911" s="244"/>
      <c r="R911" s="244"/>
      <c r="S911" s="244"/>
      <c r="T911" s="244"/>
      <c r="U911" s="244"/>
      <c r="V911" s="244"/>
      <c r="W911" s="244"/>
      <c r="X911" s="244"/>
      <c r="Y911" s="244"/>
      <c r="Z911" s="244"/>
    </row>
    <row r="912" hidden="1">
      <c r="A912" s="249"/>
      <c r="B912" s="249"/>
      <c r="C912" s="250"/>
      <c r="D912" s="244"/>
      <c r="E912" s="244"/>
      <c r="F912" s="244"/>
      <c r="G912" s="244"/>
      <c r="H912" s="244"/>
      <c r="I912" s="244"/>
      <c r="J912" s="244"/>
      <c r="K912" s="244"/>
      <c r="L912" s="244"/>
      <c r="M912" s="244"/>
      <c r="N912" s="244"/>
      <c r="O912" s="244"/>
      <c r="P912" s="244"/>
      <c r="Q912" s="244"/>
      <c r="R912" s="244"/>
      <c r="S912" s="244"/>
      <c r="T912" s="244"/>
      <c r="U912" s="244"/>
      <c r="V912" s="244"/>
      <c r="W912" s="244"/>
      <c r="X912" s="244"/>
      <c r="Y912" s="244"/>
      <c r="Z912" s="244"/>
    </row>
    <row r="913" hidden="1">
      <c r="A913" s="249"/>
      <c r="B913" s="249"/>
      <c r="C913" s="250"/>
      <c r="D913" s="244"/>
      <c r="E913" s="244"/>
      <c r="F913" s="244"/>
      <c r="G913" s="244"/>
      <c r="H913" s="244"/>
      <c r="I913" s="244"/>
      <c r="J913" s="244"/>
      <c r="K913" s="244"/>
      <c r="L913" s="244"/>
      <c r="M913" s="244"/>
      <c r="N913" s="244"/>
      <c r="O913" s="244"/>
      <c r="P913" s="244"/>
      <c r="Q913" s="244"/>
      <c r="R913" s="244"/>
      <c r="S913" s="244"/>
      <c r="T913" s="244"/>
      <c r="U913" s="244"/>
      <c r="V913" s="244"/>
      <c r="W913" s="244"/>
      <c r="X913" s="244"/>
      <c r="Y913" s="244"/>
      <c r="Z913" s="244"/>
    </row>
    <row r="914" hidden="1">
      <c r="A914" s="249"/>
      <c r="B914" s="249"/>
      <c r="C914" s="250"/>
      <c r="D914" s="244"/>
      <c r="E914" s="244"/>
      <c r="F914" s="244"/>
      <c r="G914" s="244"/>
      <c r="H914" s="244"/>
      <c r="I914" s="244"/>
      <c r="J914" s="244"/>
      <c r="K914" s="244"/>
      <c r="L914" s="244"/>
      <c r="M914" s="244"/>
      <c r="N914" s="244"/>
      <c r="O914" s="244"/>
      <c r="P914" s="244"/>
      <c r="Q914" s="244"/>
      <c r="R914" s="244"/>
      <c r="S914" s="244"/>
      <c r="T914" s="244"/>
      <c r="U914" s="244"/>
      <c r="V914" s="244"/>
      <c r="W914" s="244"/>
      <c r="X914" s="244"/>
      <c r="Y914" s="244"/>
      <c r="Z914" s="244"/>
    </row>
    <row r="915" hidden="1">
      <c r="A915" s="249"/>
      <c r="B915" s="249"/>
      <c r="C915" s="250"/>
      <c r="D915" s="244"/>
      <c r="E915" s="244"/>
      <c r="F915" s="244"/>
      <c r="G915" s="244"/>
      <c r="H915" s="244"/>
      <c r="I915" s="244"/>
      <c r="J915" s="244"/>
      <c r="K915" s="244"/>
      <c r="L915" s="244"/>
      <c r="M915" s="244"/>
      <c r="N915" s="244"/>
      <c r="O915" s="244"/>
      <c r="P915" s="244"/>
      <c r="Q915" s="244"/>
      <c r="R915" s="244"/>
      <c r="S915" s="244"/>
      <c r="T915" s="244"/>
      <c r="U915" s="244"/>
      <c r="V915" s="244"/>
      <c r="W915" s="244"/>
      <c r="X915" s="244"/>
      <c r="Y915" s="244"/>
      <c r="Z915" s="244"/>
    </row>
    <row r="916" hidden="1">
      <c r="A916" s="249"/>
      <c r="B916" s="249"/>
      <c r="C916" s="250"/>
      <c r="D916" s="244"/>
      <c r="E916" s="244"/>
      <c r="F916" s="244"/>
      <c r="G916" s="244"/>
      <c r="H916" s="244"/>
      <c r="I916" s="244"/>
      <c r="J916" s="244"/>
      <c r="K916" s="244"/>
      <c r="L916" s="244"/>
      <c r="M916" s="244"/>
      <c r="N916" s="244"/>
      <c r="O916" s="244"/>
      <c r="P916" s="244"/>
      <c r="Q916" s="244"/>
      <c r="R916" s="244"/>
      <c r="S916" s="244"/>
      <c r="T916" s="244"/>
      <c r="U916" s="244"/>
      <c r="V916" s="244"/>
      <c r="W916" s="244"/>
      <c r="X916" s="244"/>
      <c r="Y916" s="244"/>
      <c r="Z916" s="244"/>
    </row>
    <row r="917" hidden="1">
      <c r="A917" s="249"/>
      <c r="B917" s="249"/>
      <c r="C917" s="250"/>
      <c r="D917" s="244"/>
      <c r="E917" s="244"/>
      <c r="F917" s="244"/>
      <c r="G917" s="244"/>
      <c r="H917" s="244"/>
      <c r="I917" s="244"/>
      <c r="J917" s="244"/>
      <c r="K917" s="244"/>
      <c r="L917" s="244"/>
      <c r="M917" s="244"/>
      <c r="N917" s="244"/>
      <c r="O917" s="244"/>
      <c r="P917" s="244"/>
      <c r="Q917" s="244"/>
      <c r="R917" s="244"/>
      <c r="S917" s="244"/>
      <c r="T917" s="244"/>
      <c r="U917" s="244"/>
      <c r="V917" s="244"/>
      <c r="W917" s="244"/>
      <c r="X917" s="244"/>
      <c r="Y917" s="244"/>
      <c r="Z917" s="244"/>
    </row>
    <row r="918" hidden="1">
      <c r="A918" s="249"/>
      <c r="B918" s="249"/>
      <c r="C918" s="250"/>
      <c r="D918" s="244"/>
      <c r="E918" s="244"/>
      <c r="F918" s="244"/>
      <c r="G918" s="244"/>
      <c r="H918" s="244"/>
      <c r="I918" s="244"/>
      <c r="J918" s="244"/>
      <c r="K918" s="244"/>
      <c r="L918" s="244"/>
      <c r="M918" s="244"/>
      <c r="N918" s="244"/>
      <c r="O918" s="244"/>
      <c r="P918" s="244"/>
      <c r="Q918" s="244"/>
      <c r="R918" s="244"/>
      <c r="S918" s="244"/>
      <c r="T918" s="244"/>
      <c r="U918" s="244"/>
      <c r="V918" s="244"/>
      <c r="W918" s="244"/>
      <c r="X918" s="244"/>
      <c r="Y918" s="244"/>
      <c r="Z918" s="244"/>
    </row>
    <row r="919" hidden="1">
      <c r="A919" s="249"/>
      <c r="B919" s="249"/>
      <c r="C919" s="250"/>
      <c r="D919" s="244"/>
      <c r="E919" s="244"/>
      <c r="F919" s="244"/>
      <c r="G919" s="244"/>
      <c r="H919" s="244"/>
      <c r="I919" s="244"/>
      <c r="J919" s="244"/>
      <c r="K919" s="244"/>
      <c r="L919" s="244"/>
      <c r="M919" s="244"/>
      <c r="N919" s="244"/>
      <c r="O919" s="244"/>
      <c r="P919" s="244"/>
      <c r="Q919" s="244"/>
      <c r="R919" s="244"/>
      <c r="S919" s="244"/>
      <c r="T919" s="244"/>
      <c r="U919" s="244"/>
      <c r="V919" s="244"/>
      <c r="W919" s="244"/>
      <c r="X919" s="244"/>
      <c r="Y919" s="244"/>
      <c r="Z919" s="244"/>
    </row>
    <row r="920" hidden="1">
      <c r="A920" s="249"/>
      <c r="B920" s="249"/>
      <c r="C920" s="250"/>
      <c r="D920" s="244"/>
      <c r="E920" s="244"/>
      <c r="F920" s="244"/>
      <c r="G920" s="244"/>
      <c r="H920" s="244"/>
      <c r="I920" s="244"/>
      <c r="J920" s="244"/>
      <c r="K920" s="244"/>
      <c r="L920" s="244"/>
      <c r="M920" s="244"/>
      <c r="N920" s="244"/>
      <c r="O920" s="244"/>
      <c r="P920" s="244"/>
      <c r="Q920" s="244"/>
      <c r="R920" s="244"/>
      <c r="S920" s="244"/>
      <c r="T920" s="244"/>
      <c r="U920" s="244"/>
      <c r="V920" s="244"/>
      <c r="W920" s="244"/>
      <c r="X920" s="244"/>
      <c r="Y920" s="244"/>
      <c r="Z920" s="244"/>
    </row>
    <row r="921" hidden="1">
      <c r="A921" s="249"/>
      <c r="B921" s="249"/>
      <c r="C921" s="250"/>
      <c r="D921" s="244"/>
      <c r="E921" s="244"/>
      <c r="F921" s="244"/>
      <c r="G921" s="244"/>
      <c r="H921" s="244"/>
      <c r="I921" s="244"/>
      <c r="J921" s="244"/>
      <c r="K921" s="244"/>
      <c r="L921" s="244"/>
      <c r="M921" s="244"/>
      <c r="N921" s="244"/>
      <c r="O921" s="244"/>
      <c r="P921" s="244"/>
      <c r="Q921" s="244"/>
      <c r="R921" s="244"/>
      <c r="S921" s="244"/>
      <c r="T921" s="244"/>
      <c r="U921" s="244"/>
      <c r="V921" s="244"/>
      <c r="W921" s="244"/>
      <c r="X921" s="244"/>
      <c r="Y921" s="244"/>
      <c r="Z921" s="244"/>
    </row>
    <row r="922" hidden="1">
      <c r="A922" s="249"/>
      <c r="B922" s="249"/>
      <c r="C922" s="250"/>
      <c r="D922" s="244"/>
      <c r="E922" s="244"/>
      <c r="F922" s="244"/>
      <c r="G922" s="244"/>
      <c r="H922" s="244"/>
      <c r="I922" s="244"/>
      <c r="J922" s="244"/>
      <c r="K922" s="244"/>
      <c r="L922" s="244"/>
      <c r="M922" s="244"/>
      <c r="N922" s="244"/>
      <c r="O922" s="244"/>
      <c r="P922" s="244"/>
      <c r="Q922" s="244"/>
      <c r="R922" s="244"/>
      <c r="S922" s="244"/>
      <c r="T922" s="244"/>
      <c r="U922" s="244"/>
      <c r="V922" s="244"/>
      <c r="W922" s="244"/>
      <c r="X922" s="244"/>
      <c r="Y922" s="244"/>
      <c r="Z922" s="244"/>
    </row>
    <row r="923" hidden="1">
      <c r="A923" s="249"/>
      <c r="B923" s="249"/>
      <c r="C923" s="250"/>
      <c r="D923" s="244"/>
      <c r="E923" s="244"/>
      <c r="F923" s="244"/>
      <c r="G923" s="244"/>
      <c r="H923" s="244"/>
      <c r="I923" s="244"/>
      <c r="J923" s="244"/>
      <c r="K923" s="244"/>
      <c r="L923" s="244"/>
      <c r="M923" s="244"/>
      <c r="N923" s="244"/>
      <c r="O923" s="244"/>
      <c r="P923" s="244"/>
      <c r="Q923" s="244"/>
      <c r="R923" s="244"/>
      <c r="S923" s="244"/>
      <c r="T923" s="244"/>
      <c r="U923" s="244"/>
      <c r="V923" s="244"/>
      <c r="W923" s="244"/>
      <c r="X923" s="244"/>
      <c r="Y923" s="244"/>
      <c r="Z923" s="244"/>
    </row>
    <row r="924" hidden="1">
      <c r="A924" s="249"/>
      <c r="B924" s="249"/>
      <c r="C924" s="250"/>
      <c r="D924" s="244"/>
      <c r="E924" s="244"/>
      <c r="F924" s="244"/>
      <c r="G924" s="244"/>
      <c r="H924" s="244"/>
      <c r="I924" s="244"/>
      <c r="J924" s="244"/>
      <c r="K924" s="244"/>
      <c r="L924" s="244"/>
      <c r="M924" s="244"/>
      <c r="N924" s="244"/>
      <c r="O924" s="244"/>
      <c r="P924" s="244"/>
      <c r="Q924" s="244"/>
      <c r="R924" s="244"/>
      <c r="S924" s="244"/>
      <c r="T924" s="244"/>
      <c r="U924" s="244"/>
      <c r="V924" s="244"/>
      <c r="W924" s="244"/>
      <c r="X924" s="244"/>
      <c r="Y924" s="244"/>
      <c r="Z924" s="244"/>
    </row>
    <row r="925" hidden="1">
      <c r="A925" s="249"/>
      <c r="B925" s="249"/>
      <c r="C925" s="250"/>
      <c r="D925" s="244"/>
      <c r="E925" s="244"/>
      <c r="F925" s="244"/>
      <c r="G925" s="244"/>
      <c r="H925" s="244"/>
      <c r="I925" s="244"/>
      <c r="J925" s="244"/>
      <c r="K925" s="244"/>
      <c r="L925" s="244"/>
      <c r="M925" s="244"/>
      <c r="N925" s="244"/>
      <c r="O925" s="244"/>
      <c r="P925" s="244"/>
      <c r="Q925" s="244"/>
      <c r="R925" s="244"/>
      <c r="S925" s="244"/>
      <c r="T925" s="244"/>
      <c r="U925" s="244"/>
      <c r="V925" s="244"/>
      <c r="W925" s="244"/>
      <c r="X925" s="244"/>
      <c r="Y925" s="244"/>
      <c r="Z925" s="244"/>
    </row>
    <row r="926" hidden="1">
      <c r="A926" s="249"/>
      <c r="B926" s="249"/>
      <c r="C926" s="250"/>
      <c r="D926" s="244"/>
      <c r="E926" s="244"/>
      <c r="F926" s="244"/>
      <c r="G926" s="244"/>
      <c r="H926" s="244"/>
      <c r="I926" s="244"/>
      <c r="J926" s="244"/>
      <c r="K926" s="244"/>
      <c r="L926" s="244"/>
      <c r="M926" s="244"/>
      <c r="N926" s="244"/>
      <c r="O926" s="244"/>
      <c r="P926" s="244"/>
      <c r="Q926" s="244"/>
      <c r="R926" s="244"/>
      <c r="S926" s="244"/>
      <c r="T926" s="244"/>
      <c r="U926" s="244"/>
      <c r="V926" s="244"/>
      <c r="W926" s="244"/>
      <c r="X926" s="244"/>
      <c r="Y926" s="244"/>
      <c r="Z926" s="244"/>
    </row>
    <row r="927" hidden="1">
      <c r="A927" s="249"/>
      <c r="B927" s="249"/>
      <c r="C927" s="250"/>
      <c r="D927" s="244"/>
      <c r="E927" s="244"/>
      <c r="F927" s="244"/>
      <c r="G927" s="244"/>
      <c r="H927" s="244"/>
      <c r="I927" s="244"/>
      <c r="J927" s="244"/>
      <c r="K927" s="244"/>
      <c r="L927" s="244"/>
      <c r="M927" s="244"/>
      <c r="N927" s="244"/>
      <c r="O927" s="244"/>
      <c r="P927" s="244"/>
      <c r="Q927" s="244"/>
      <c r="R927" s="244"/>
      <c r="S927" s="244"/>
      <c r="T927" s="244"/>
      <c r="U927" s="244"/>
      <c r="V927" s="244"/>
      <c r="W927" s="244"/>
      <c r="X927" s="244"/>
      <c r="Y927" s="244"/>
      <c r="Z927" s="244"/>
    </row>
    <row r="928" hidden="1">
      <c r="A928" s="249"/>
      <c r="B928" s="249"/>
      <c r="C928" s="250"/>
      <c r="D928" s="244"/>
      <c r="E928" s="244"/>
      <c r="F928" s="244"/>
      <c r="G928" s="244"/>
      <c r="H928" s="244"/>
      <c r="I928" s="244"/>
      <c r="J928" s="244"/>
      <c r="K928" s="244"/>
      <c r="L928" s="244"/>
      <c r="M928" s="244"/>
      <c r="N928" s="244"/>
      <c r="O928" s="244"/>
      <c r="P928" s="244"/>
      <c r="Q928" s="244"/>
      <c r="R928" s="244"/>
      <c r="S928" s="244"/>
      <c r="T928" s="244"/>
      <c r="U928" s="244"/>
      <c r="V928" s="244"/>
      <c r="W928" s="244"/>
      <c r="X928" s="244"/>
      <c r="Y928" s="244"/>
      <c r="Z928" s="244"/>
    </row>
    <row r="929" hidden="1">
      <c r="A929" s="249"/>
      <c r="B929" s="249"/>
      <c r="C929" s="250"/>
      <c r="D929" s="244"/>
      <c r="E929" s="244"/>
      <c r="F929" s="244"/>
      <c r="G929" s="244"/>
      <c r="H929" s="244"/>
      <c r="I929" s="244"/>
      <c r="J929" s="244"/>
      <c r="K929" s="244"/>
      <c r="L929" s="244"/>
      <c r="M929" s="244"/>
      <c r="N929" s="244"/>
      <c r="O929" s="244"/>
      <c r="P929" s="244"/>
      <c r="Q929" s="244"/>
      <c r="R929" s="244"/>
      <c r="S929" s="244"/>
      <c r="T929" s="244"/>
      <c r="U929" s="244"/>
      <c r="V929" s="244"/>
      <c r="W929" s="244"/>
      <c r="X929" s="244"/>
      <c r="Y929" s="244"/>
      <c r="Z929" s="244"/>
    </row>
    <row r="930" hidden="1">
      <c r="A930" s="249"/>
      <c r="B930" s="249"/>
      <c r="C930" s="250"/>
      <c r="D930" s="244"/>
      <c r="E930" s="244"/>
      <c r="F930" s="244"/>
      <c r="G930" s="244"/>
      <c r="H930" s="244"/>
      <c r="I930" s="244"/>
      <c r="J930" s="244"/>
      <c r="K930" s="244"/>
      <c r="L930" s="244"/>
      <c r="M930" s="244"/>
      <c r="N930" s="244"/>
      <c r="O930" s="244"/>
      <c r="P930" s="244"/>
      <c r="Q930" s="244"/>
      <c r="R930" s="244"/>
      <c r="S930" s="244"/>
      <c r="T930" s="244"/>
      <c r="U930" s="244"/>
      <c r="V930" s="244"/>
      <c r="W930" s="244"/>
      <c r="X930" s="244"/>
      <c r="Y930" s="244"/>
      <c r="Z930" s="244"/>
    </row>
    <row r="931" hidden="1">
      <c r="A931" s="249"/>
      <c r="B931" s="249"/>
      <c r="C931" s="250"/>
      <c r="D931" s="244"/>
      <c r="E931" s="244"/>
      <c r="F931" s="244"/>
      <c r="G931" s="244"/>
      <c r="H931" s="244"/>
      <c r="I931" s="244"/>
      <c r="J931" s="244"/>
      <c r="K931" s="244"/>
      <c r="L931" s="244"/>
      <c r="M931" s="244"/>
      <c r="N931" s="244"/>
      <c r="O931" s="244"/>
      <c r="P931" s="244"/>
      <c r="Q931" s="244"/>
      <c r="R931" s="244"/>
      <c r="S931" s="244"/>
      <c r="T931" s="244"/>
      <c r="U931" s="244"/>
      <c r="V931" s="244"/>
      <c r="W931" s="244"/>
      <c r="X931" s="244"/>
      <c r="Y931" s="244"/>
      <c r="Z931" s="244"/>
    </row>
    <row r="932" hidden="1">
      <c r="A932" s="249"/>
      <c r="B932" s="249"/>
      <c r="C932" s="250"/>
      <c r="D932" s="244"/>
      <c r="E932" s="244"/>
      <c r="F932" s="244"/>
      <c r="G932" s="244"/>
      <c r="H932" s="244"/>
      <c r="I932" s="244"/>
      <c r="J932" s="244"/>
      <c r="K932" s="244"/>
      <c r="L932" s="244"/>
      <c r="M932" s="244"/>
      <c r="N932" s="244"/>
      <c r="O932" s="244"/>
      <c r="P932" s="244"/>
      <c r="Q932" s="244"/>
      <c r="R932" s="244"/>
      <c r="S932" s="244"/>
      <c r="T932" s="244"/>
      <c r="U932" s="244"/>
      <c r="V932" s="244"/>
      <c r="W932" s="244"/>
      <c r="X932" s="244"/>
      <c r="Y932" s="244"/>
      <c r="Z932" s="244"/>
    </row>
    <row r="933" hidden="1">
      <c r="A933" s="249"/>
      <c r="B933" s="249"/>
      <c r="C933" s="250"/>
      <c r="D933" s="244"/>
      <c r="E933" s="244"/>
      <c r="F933" s="244"/>
      <c r="G933" s="244"/>
      <c r="H933" s="244"/>
      <c r="I933" s="244"/>
      <c r="J933" s="244"/>
      <c r="K933" s="244"/>
      <c r="L933" s="244"/>
      <c r="M933" s="244"/>
      <c r="N933" s="244"/>
      <c r="O933" s="244"/>
      <c r="P933" s="244"/>
      <c r="Q933" s="244"/>
      <c r="R933" s="244"/>
      <c r="S933" s="244"/>
      <c r="T933" s="244"/>
      <c r="U933" s="244"/>
      <c r="V933" s="244"/>
      <c r="W933" s="244"/>
      <c r="X933" s="244"/>
      <c r="Y933" s="244"/>
      <c r="Z933" s="244"/>
    </row>
    <row r="934" hidden="1">
      <c r="A934" s="249"/>
      <c r="B934" s="249"/>
      <c r="C934" s="250"/>
      <c r="D934" s="244"/>
      <c r="E934" s="244"/>
      <c r="F934" s="244"/>
      <c r="G934" s="244"/>
      <c r="H934" s="244"/>
      <c r="I934" s="244"/>
      <c r="J934" s="244"/>
      <c r="K934" s="244"/>
      <c r="L934" s="244"/>
      <c r="M934" s="244"/>
      <c r="N934" s="244"/>
      <c r="O934" s="244"/>
      <c r="P934" s="244"/>
      <c r="Q934" s="244"/>
      <c r="R934" s="244"/>
      <c r="S934" s="244"/>
      <c r="T934" s="244"/>
      <c r="U934" s="244"/>
      <c r="V934" s="244"/>
      <c r="W934" s="244"/>
      <c r="X934" s="244"/>
      <c r="Y934" s="244"/>
      <c r="Z934" s="244"/>
    </row>
    <row r="935" hidden="1">
      <c r="A935" s="249"/>
      <c r="B935" s="249"/>
      <c r="C935" s="250"/>
      <c r="D935" s="244"/>
      <c r="E935" s="244"/>
      <c r="F935" s="244"/>
      <c r="G935" s="244"/>
      <c r="H935" s="244"/>
      <c r="I935" s="244"/>
      <c r="J935" s="244"/>
      <c r="K935" s="244"/>
      <c r="L935" s="244"/>
      <c r="M935" s="244"/>
      <c r="N935" s="244"/>
      <c r="O935" s="244"/>
      <c r="P935" s="244"/>
      <c r="Q935" s="244"/>
      <c r="R935" s="244"/>
      <c r="S935" s="244"/>
      <c r="T935" s="244"/>
      <c r="U935" s="244"/>
      <c r="V935" s="244"/>
      <c r="W935" s="244"/>
      <c r="X935" s="244"/>
      <c r="Y935" s="244"/>
      <c r="Z935" s="244"/>
    </row>
    <row r="936" hidden="1">
      <c r="A936" s="249"/>
      <c r="B936" s="249"/>
      <c r="C936" s="250"/>
      <c r="D936" s="244"/>
      <c r="E936" s="244"/>
      <c r="F936" s="244"/>
      <c r="G936" s="244"/>
      <c r="H936" s="244"/>
      <c r="I936" s="244"/>
      <c r="J936" s="244"/>
      <c r="K936" s="244"/>
      <c r="L936" s="244"/>
      <c r="M936" s="244"/>
      <c r="N936" s="244"/>
      <c r="O936" s="244"/>
      <c r="P936" s="244"/>
      <c r="Q936" s="244"/>
      <c r="R936" s="244"/>
      <c r="S936" s="244"/>
      <c r="T936" s="244"/>
      <c r="U936" s="244"/>
      <c r="V936" s="244"/>
      <c r="W936" s="244"/>
      <c r="X936" s="244"/>
      <c r="Y936" s="244"/>
      <c r="Z936" s="244"/>
    </row>
    <row r="937" hidden="1">
      <c r="A937" s="249"/>
      <c r="B937" s="249"/>
      <c r="C937" s="250"/>
      <c r="D937" s="244"/>
      <c r="E937" s="244"/>
      <c r="F937" s="244"/>
      <c r="G937" s="244"/>
      <c r="H937" s="244"/>
      <c r="I937" s="244"/>
      <c r="J937" s="244"/>
      <c r="K937" s="244"/>
      <c r="L937" s="244"/>
      <c r="M937" s="244"/>
      <c r="N937" s="244"/>
      <c r="O937" s="244"/>
      <c r="P937" s="244"/>
      <c r="Q937" s="244"/>
      <c r="R937" s="244"/>
      <c r="S937" s="244"/>
      <c r="T937" s="244"/>
      <c r="U937" s="244"/>
      <c r="V937" s="244"/>
      <c r="W937" s="244"/>
      <c r="X937" s="244"/>
      <c r="Y937" s="244"/>
      <c r="Z937" s="244"/>
    </row>
    <row r="938" hidden="1">
      <c r="A938" s="249"/>
      <c r="B938" s="249"/>
      <c r="C938" s="250"/>
      <c r="D938" s="244"/>
      <c r="E938" s="244"/>
      <c r="F938" s="244"/>
      <c r="G938" s="244"/>
      <c r="H938" s="244"/>
      <c r="I938" s="244"/>
      <c r="J938" s="244"/>
      <c r="K938" s="244"/>
      <c r="L938" s="244"/>
      <c r="M938" s="244"/>
      <c r="N938" s="244"/>
      <c r="O938" s="244"/>
      <c r="P938" s="244"/>
      <c r="Q938" s="244"/>
      <c r="R938" s="244"/>
      <c r="S938" s="244"/>
      <c r="T938" s="244"/>
      <c r="U938" s="244"/>
      <c r="V938" s="244"/>
      <c r="W938" s="244"/>
      <c r="X938" s="244"/>
      <c r="Y938" s="244"/>
      <c r="Z938" s="244"/>
    </row>
    <row r="939" hidden="1">
      <c r="A939" s="249"/>
      <c r="B939" s="249"/>
      <c r="C939" s="250"/>
      <c r="D939" s="244"/>
      <c r="E939" s="244"/>
      <c r="F939" s="244"/>
      <c r="G939" s="244"/>
      <c r="H939" s="244"/>
      <c r="I939" s="244"/>
      <c r="J939" s="244"/>
      <c r="K939" s="244"/>
      <c r="L939" s="244"/>
      <c r="M939" s="244"/>
      <c r="N939" s="244"/>
      <c r="O939" s="244"/>
      <c r="P939" s="244"/>
      <c r="Q939" s="244"/>
      <c r="R939" s="244"/>
      <c r="S939" s="244"/>
      <c r="T939" s="244"/>
      <c r="U939" s="244"/>
      <c r="V939" s="244"/>
      <c r="W939" s="244"/>
      <c r="X939" s="244"/>
      <c r="Y939" s="244"/>
      <c r="Z939" s="244"/>
    </row>
    <row r="940" hidden="1">
      <c r="A940" s="249"/>
      <c r="B940" s="249"/>
      <c r="C940" s="250"/>
      <c r="D940" s="244"/>
      <c r="E940" s="244"/>
      <c r="F940" s="244"/>
      <c r="G940" s="244"/>
      <c r="H940" s="244"/>
      <c r="I940" s="244"/>
      <c r="J940" s="244"/>
      <c r="K940" s="244"/>
      <c r="L940" s="244"/>
      <c r="M940" s="244"/>
      <c r="N940" s="244"/>
      <c r="O940" s="244"/>
      <c r="P940" s="244"/>
      <c r="Q940" s="244"/>
      <c r="R940" s="244"/>
      <c r="S940" s="244"/>
      <c r="T940" s="244"/>
      <c r="U940" s="244"/>
      <c r="V940" s="244"/>
      <c r="W940" s="244"/>
      <c r="X940" s="244"/>
      <c r="Y940" s="244"/>
      <c r="Z940" s="244"/>
    </row>
    <row r="941" hidden="1">
      <c r="A941" s="249"/>
      <c r="B941" s="249"/>
      <c r="C941" s="250"/>
      <c r="D941" s="244"/>
      <c r="E941" s="244"/>
      <c r="F941" s="244"/>
      <c r="G941" s="244"/>
      <c r="H941" s="244"/>
      <c r="I941" s="244"/>
      <c r="J941" s="244"/>
      <c r="K941" s="244"/>
      <c r="L941" s="244"/>
      <c r="M941" s="244"/>
      <c r="N941" s="244"/>
      <c r="O941" s="244"/>
      <c r="P941" s="244"/>
      <c r="Q941" s="244"/>
      <c r="R941" s="244"/>
      <c r="S941" s="244"/>
      <c r="T941" s="244"/>
      <c r="U941" s="244"/>
      <c r="V941" s="244"/>
      <c r="W941" s="244"/>
      <c r="X941" s="244"/>
      <c r="Y941" s="244"/>
      <c r="Z941" s="244"/>
    </row>
    <row r="942" hidden="1">
      <c r="A942" s="249"/>
      <c r="B942" s="249"/>
      <c r="C942" s="250"/>
      <c r="D942" s="244"/>
      <c r="E942" s="244"/>
      <c r="F942" s="244"/>
      <c r="G942" s="244"/>
      <c r="H942" s="244"/>
      <c r="I942" s="244"/>
      <c r="J942" s="244"/>
      <c r="K942" s="244"/>
      <c r="L942" s="244"/>
      <c r="M942" s="244"/>
      <c r="N942" s="244"/>
      <c r="O942" s="244"/>
      <c r="P942" s="244"/>
      <c r="Q942" s="244"/>
      <c r="R942" s="244"/>
      <c r="S942" s="244"/>
      <c r="T942" s="244"/>
      <c r="U942" s="244"/>
      <c r="V942" s="244"/>
      <c r="W942" s="244"/>
      <c r="X942" s="244"/>
      <c r="Y942" s="244"/>
      <c r="Z942" s="244"/>
    </row>
    <row r="943" hidden="1">
      <c r="A943" s="249"/>
      <c r="B943" s="249"/>
      <c r="C943" s="250"/>
      <c r="D943" s="244"/>
      <c r="E943" s="244"/>
      <c r="F943" s="244"/>
      <c r="G943" s="244"/>
      <c r="H943" s="244"/>
      <c r="I943" s="244"/>
      <c r="J943" s="244"/>
      <c r="K943" s="244"/>
      <c r="L943" s="244"/>
      <c r="M943" s="244"/>
      <c r="N943" s="244"/>
      <c r="O943" s="244"/>
      <c r="P943" s="244"/>
      <c r="Q943" s="244"/>
      <c r="R943" s="244"/>
      <c r="S943" s="244"/>
      <c r="T943" s="244"/>
      <c r="U943" s="244"/>
      <c r="V943" s="244"/>
      <c r="W943" s="244"/>
      <c r="X943" s="244"/>
      <c r="Y943" s="244"/>
      <c r="Z943" s="244"/>
    </row>
    <row r="944" hidden="1">
      <c r="A944" s="249"/>
      <c r="B944" s="249"/>
      <c r="C944" s="250"/>
      <c r="D944" s="244"/>
      <c r="E944" s="244"/>
      <c r="F944" s="244"/>
      <c r="G944" s="244"/>
      <c r="H944" s="244"/>
      <c r="I944" s="244"/>
      <c r="J944" s="244"/>
      <c r="K944" s="244"/>
      <c r="L944" s="244"/>
      <c r="M944" s="244"/>
      <c r="N944" s="244"/>
      <c r="O944" s="244"/>
      <c r="P944" s="244"/>
      <c r="Q944" s="244"/>
      <c r="R944" s="244"/>
      <c r="S944" s="244"/>
      <c r="T944" s="244"/>
      <c r="U944" s="244"/>
      <c r="V944" s="244"/>
      <c r="W944" s="244"/>
      <c r="X944" s="244"/>
      <c r="Y944" s="244"/>
      <c r="Z944" s="244"/>
    </row>
    <row r="945" hidden="1">
      <c r="A945" s="249"/>
      <c r="B945" s="249"/>
      <c r="C945" s="250"/>
      <c r="D945" s="244"/>
      <c r="E945" s="244"/>
      <c r="F945" s="244"/>
      <c r="G945" s="244"/>
      <c r="H945" s="244"/>
      <c r="I945" s="244"/>
      <c r="J945" s="244"/>
      <c r="K945" s="244"/>
      <c r="L945" s="244"/>
      <c r="M945" s="244"/>
      <c r="N945" s="244"/>
      <c r="O945" s="244"/>
      <c r="P945" s="244"/>
      <c r="Q945" s="244"/>
      <c r="R945" s="244"/>
      <c r="S945" s="244"/>
      <c r="T945" s="244"/>
      <c r="U945" s="244"/>
      <c r="V945" s="244"/>
      <c r="W945" s="244"/>
      <c r="X945" s="244"/>
      <c r="Y945" s="244"/>
      <c r="Z945" s="244"/>
    </row>
    <row r="946" hidden="1">
      <c r="A946" s="249"/>
      <c r="B946" s="249"/>
      <c r="C946" s="250"/>
      <c r="D946" s="244"/>
      <c r="E946" s="244"/>
      <c r="F946" s="244"/>
      <c r="G946" s="244"/>
      <c r="H946" s="244"/>
      <c r="I946" s="244"/>
      <c r="J946" s="244"/>
      <c r="K946" s="244"/>
      <c r="L946" s="244"/>
      <c r="M946" s="244"/>
      <c r="N946" s="244"/>
      <c r="O946" s="244"/>
      <c r="P946" s="244"/>
      <c r="Q946" s="244"/>
      <c r="R946" s="244"/>
      <c r="S946" s="244"/>
      <c r="T946" s="244"/>
      <c r="U946" s="244"/>
      <c r="V946" s="244"/>
      <c r="W946" s="244"/>
      <c r="X946" s="244"/>
      <c r="Y946" s="244"/>
      <c r="Z946" s="244"/>
    </row>
    <row r="947" hidden="1">
      <c r="A947" s="249"/>
      <c r="B947" s="249"/>
      <c r="C947" s="250"/>
      <c r="D947" s="244"/>
      <c r="E947" s="244"/>
      <c r="F947" s="244"/>
      <c r="G947" s="244"/>
      <c r="H947" s="244"/>
      <c r="I947" s="244"/>
      <c r="J947" s="244"/>
      <c r="K947" s="244"/>
      <c r="L947" s="244"/>
      <c r="M947" s="244"/>
      <c r="N947" s="244"/>
      <c r="O947" s="244"/>
      <c r="P947" s="244"/>
      <c r="Q947" s="244"/>
      <c r="R947" s="244"/>
      <c r="S947" s="244"/>
      <c r="T947" s="244"/>
      <c r="U947" s="244"/>
      <c r="V947" s="244"/>
      <c r="W947" s="244"/>
      <c r="X947" s="244"/>
      <c r="Y947" s="244"/>
      <c r="Z947" s="244"/>
    </row>
    <row r="948" hidden="1">
      <c r="A948" s="249"/>
      <c r="B948" s="249"/>
      <c r="C948" s="250"/>
      <c r="D948" s="244"/>
      <c r="E948" s="244"/>
      <c r="F948" s="244"/>
      <c r="G948" s="244"/>
      <c r="H948" s="244"/>
      <c r="I948" s="244"/>
      <c r="J948" s="244"/>
      <c r="K948" s="244"/>
      <c r="L948" s="244"/>
      <c r="M948" s="244"/>
      <c r="N948" s="244"/>
      <c r="O948" s="244"/>
      <c r="P948" s="244"/>
      <c r="Q948" s="244"/>
      <c r="R948" s="244"/>
      <c r="S948" s="244"/>
      <c r="T948" s="244"/>
      <c r="U948" s="244"/>
      <c r="V948" s="244"/>
      <c r="W948" s="244"/>
      <c r="X948" s="244"/>
      <c r="Y948" s="244"/>
      <c r="Z948" s="244"/>
    </row>
    <row r="949" hidden="1">
      <c r="A949" s="249"/>
      <c r="B949" s="249"/>
      <c r="C949" s="250"/>
      <c r="D949" s="244"/>
      <c r="E949" s="244"/>
      <c r="F949" s="244"/>
      <c r="G949" s="244"/>
      <c r="H949" s="244"/>
      <c r="I949" s="244"/>
      <c r="J949" s="244"/>
      <c r="K949" s="244"/>
      <c r="L949" s="244"/>
      <c r="M949" s="244"/>
      <c r="N949" s="244"/>
      <c r="O949" s="244"/>
      <c r="P949" s="244"/>
      <c r="Q949" s="244"/>
      <c r="R949" s="244"/>
      <c r="S949" s="244"/>
      <c r="T949" s="244"/>
      <c r="U949" s="244"/>
      <c r="V949" s="244"/>
      <c r="W949" s="244"/>
      <c r="X949" s="244"/>
      <c r="Y949" s="244"/>
      <c r="Z949" s="244"/>
    </row>
    <row r="950" hidden="1">
      <c r="A950" s="249"/>
      <c r="B950" s="249"/>
      <c r="C950" s="250"/>
      <c r="D950" s="244"/>
      <c r="E950" s="244"/>
      <c r="F950" s="244"/>
      <c r="G950" s="244"/>
      <c r="H950" s="244"/>
      <c r="I950" s="244"/>
      <c r="J950" s="244"/>
      <c r="K950" s="244"/>
      <c r="L950" s="244"/>
      <c r="M950" s="244"/>
      <c r="N950" s="244"/>
      <c r="O950" s="244"/>
      <c r="P950" s="244"/>
      <c r="Q950" s="244"/>
      <c r="R950" s="244"/>
      <c r="S950" s="244"/>
      <c r="T950" s="244"/>
      <c r="U950" s="244"/>
      <c r="V950" s="244"/>
      <c r="W950" s="244"/>
      <c r="X950" s="244"/>
      <c r="Y950" s="244"/>
      <c r="Z950" s="244"/>
    </row>
    <row r="951" hidden="1">
      <c r="A951" s="249"/>
      <c r="B951" s="249"/>
      <c r="C951" s="250"/>
      <c r="D951" s="244"/>
      <c r="E951" s="244"/>
      <c r="F951" s="244"/>
      <c r="G951" s="244"/>
      <c r="H951" s="244"/>
      <c r="I951" s="244"/>
      <c r="J951" s="244"/>
      <c r="K951" s="244"/>
      <c r="L951" s="244"/>
      <c r="M951" s="244"/>
      <c r="N951" s="244"/>
      <c r="O951" s="244"/>
      <c r="P951" s="244"/>
      <c r="Q951" s="244"/>
      <c r="R951" s="244"/>
      <c r="S951" s="244"/>
      <c r="T951" s="244"/>
      <c r="U951" s="244"/>
      <c r="V951" s="244"/>
      <c r="W951" s="244"/>
      <c r="X951" s="244"/>
      <c r="Y951" s="244"/>
      <c r="Z951" s="244"/>
    </row>
    <row r="952" hidden="1">
      <c r="A952" s="249"/>
      <c r="B952" s="249"/>
      <c r="C952" s="250"/>
      <c r="D952" s="244"/>
      <c r="E952" s="244"/>
      <c r="F952" s="244"/>
      <c r="G952" s="244"/>
      <c r="H952" s="244"/>
      <c r="I952" s="244"/>
      <c r="J952" s="244"/>
      <c r="K952" s="244"/>
      <c r="L952" s="244"/>
      <c r="M952" s="244"/>
      <c r="N952" s="244"/>
      <c r="O952" s="244"/>
      <c r="P952" s="244"/>
      <c r="Q952" s="244"/>
      <c r="R952" s="244"/>
      <c r="S952" s="244"/>
      <c r="T952" s="244"/>
      <c r="U952" s="244"/>
      <c r="V952" s="244"/>
      <c r="W952" s="244"/>
      <c r="X952" s="244"/>
      <c r="Y952" s="244"/>
      <c r="Z952" s="244"/>
    </row>
    <row r="953" hidden="1">
      <c r="A953" s="249"/>
      <c r="B953" s="249"/>
      <c r="C953" s="250"/>
      <c r="D953" s="244"/>
      <c r="E953" s="244"/>
      <c r="F953" s="244"/>
      <c r="G953" s="244"/>
      <c r="H953" s="244"/>
      <c r="I953" s="244"/>
      <c r="J953" s="244"/>
      <c r="K953" s="244"/>
      <c r="L953" s="244"/>
      <c r="M953" s="244"/>
      <c r="N953" s="244"/>
      <c r="O953" s="244"/>
      <c r="P953" s="244"/>
      <c r="Q953" s="244"/>
      <c r="R953" s="244"/>
      <c r="S953" s="244"/>
      <c r="T953" s="244"/>
      <c r="U953" s="244"/>
      <c r="V953" s="244"/>
      <c r="W953" s="244"/>
      <c r="X953" s="244"/>
      <c r="Y953" s="244"/>
      <c r="Z953" s="244"/>
    </row>
    <row r="954" hidden="1">
      <c r="A954" s="249"/>
      <c r="B954" s="249"/>
      <c r="C954" s="250"/>
      <c r="D954" s="244"/>
      <c r="E954" s="244"/>
      <c r="F954" s="244"/>
      <c r="G954" s="244"/>
      <c r="H954" s="244"/>
      <c r="I954" s="244"/>
      <c r="J954" s="244"/>
      <c r="K954" s="244"/>
      <c r="L954" s="244"/>
      <c r="M954" s="244"/>
      <c r="N954" s="244"/>
      <c r="O954" s="244"/>
      <c r="P954" s="244"/>
      <c r="Q954" s="244"/>
      <c r="R954" s="244"/>
      <c r="S954" s="244"/>
      <c r="T954" s="244"/>
      <c r="U954" s="244"/>
      <c r="V954" s="244"/>
      <c r="W954" s="244"/>
      <c r="X954" s="244"/>
      <c r="Y954" s="244"/>
      <c r="Z954" s="244"/>
    </row>
    <row r="955" hidden="1">
      <c r="A955" s="249"/>
      <c r="B955" s="249"/>
      <c r="C955" s="250"/>
      <c r="D955" s="244"/>
      <c r="E955" s="244"/>
      <c r="F955" s="244"/>
      <c r="G955" s="244"/>
      <c r="H955" s="244"/>
      <c r="I955" s="244"/>
      <c r="J955" s="244"/>
      <c r="K955" s="244"/>
      <c r="L955" s="244"/>
      <c r="M955" s="244"/>
      <c r="N955" s="244"/>
      <c r="O955" s="244"/>
      <c r="P955" s="244"/>
      <c r="Q955" s="244"/>
      <c r="R955" s="244"/>
      <c r="S955" s="244"/>
      <c r="T955" s="244"/>
      <c r="U955" s="244"/>
      <c r="V955" s="244"/>
      <c r="W955" s="244"/>
      <c r="X955" s="244"/>
      <c r="Y955" s="244"/>
      <c r="Z955" s="244"/>
    </row>
    <row r="956" hidden="1">
      <c r="A956" s="249"/>
      <c r="B956" s="249"/>
      <c r="C956" s="250"/>
      <c r="D956" s="244"/>
      <c r="E956" s="244"/>
      <c r="F956" s="244"/>
      <c r="G956" s="244"/>
      <c r="H956" s="244"/>
      <c r="I956" s="244"/>
      <c r="J956" s="244"/>
      <c r="K956" s="244"/>
      <c r="L956" s="244"/>
      <c r="M956" s="244"/>
      <c r="N956" s="244"/>
      <c r="O956" s="244"/>
      <c r="P956" s="244"/>
      <c r="Q956" s="244"/>
      <c r="R956" s="244"/>
      <c r="S956" s="244"/>
      <c r="T956" s="244"/>
      <c r="U956" s="244"/>
      <c r="V956" s="244"/>
      <c r="W956" s="244"/>
      <c r="X956" s="244"/>
      <c r="Y956" s="244"/>
      <c r="Z956" s="244"/>
    </row>
    <row r="957" hidden="1">
      <c r="A957" s="249"/>
      <c r="B957" s="249"/>
      <c r="C957" s="250"/>
      <c r="D957" s="244"/>
      <c r="E957" s="244"/>
      <c r="F957" s="244"/>
      <c r="G957" s="244"/>
      <c r="H957" s="244"/>
      <c r="I957" s="244"/>
      <c r="J957" s="244"/>
      <c r="K957" s="244"/>
      <c r="L957" s="244"/>
      <c r="M957" s="244"/>
      <c r="N957" s="244"/>
      <c r="O957" s="244"/>
      <c r="P957" s="244"/>
      <c r="Q957" s="244"/>
      <c r="R957" s="244"/>
      <c r="S957" s="244"/>
      <c r="T957" s="244"/>
      <c r="U957" s="244"/>
      <c r="V957" s="244"/>
      <c r="W957" s="244"/>
      <c r="X957" s="244"/>
      <c r="Y957" s="244"/>
      <c r="Z957" s="244"/>
    </row>
    <row r="958" hidden="1">
      <c r="A958" s="249"/>
      <c r="B958" s="249"/>
      <c r="C958" s="250"/>
      <c r="D958" s="244"/>
      <c r="E958" s="244"/>
      <c r="F958" s="244"/>
      <c r="G958" s="244"/>
      <c r="H958" s="244"/>
      <c r="I958" s="244"/>
      <c r="J958" s="244"/>
      <c r="K958" s="244"/>
      <c r="L958" s="244"/>
      <c r="M958" s="244"/>
      <c r="N958" s="244"/>
      <c r="O958" s="244"/>
      <c r="P958" s="244"/>
      <c r="Q958" s="244"/>
      <c r="R958" s="244"/>
      <c r="S958" s="244"/>
      <c r="T958" s="244"/>
      <c r="U958" s="244"/>
      <c r="V958" s="244"/>
      <c r="W958" s="244"/>
      <c r="X958" s="244"/>
      <c r="Y958" s="244"/>
      <c r="Z958" s="244"/>
    </row>
    <row r="959" hidden="1">
      <c r="A959" s="249"/>
      <c r="B959" s="249"/>
      <c r="C959" s="250"/>
      <c r="D959" s="244"/>
      <c r="E959" s="244"/>
      <c r="F959" s="244"/>
      <c r="G959" s="244"/>
      <c r="H959" s="244"/>
      <c r="I959" s="244"/>
      <c r="J959" s="244"/>
      <c r="K959" s="244"/>
      <c r="L959" s="244"/>
      <c r="M959" s="244"/>
      <c r="N959" s="244"/>
      <c r="O959" s="244"/>
      <c r="P959" s="244"/>
      <c r="Q959" s="244"/>
      <c r="R959" s="244"/>
      <c r="S959" s="244"/>
      <c r="T959" s="244"/>
      <c r="U959" s="244"/>
      <c r="V959" s="244"/>
      <c r="W959" s="244"/>
      <c r="X959" s="244"/>
      <c r="Y959" s="244"/>
      <c r="Z959" s="244"/>
    </row>
    <row r="960" hidden="1">
      <c r="A960" s="249"/>
      <c r="B960" s="249"/>
      <c r="C960" s="250"/>
      <c r="D960" s="244"/>
      <c r="E960" s="244"/>
      <c r="F960" s="244"/>
      <c r="G960" s="244"/>
      <c r="H960" s="244"/>
      <c r="I960" s="244"/>
      <c r="J960" s="244"/>
      <c r="K960" s="244"/>
      <c r="L960" s="244"/>
      <c r="M960" s="244"/>
      <c r="N960" s="244"/>
      <c r="O960" s="244"/>
      <c r="P960" s="244"/>
      <c r="Q960" s="244"/>
      <c r="R960" s="244"/>
      <c r="S960" s="244"/>
      <c r="T960" s="244"/>
      <c r="U960" s="244"/>
      <c r="V960" s="244"/>
      <c r="W960" s="244"/>
      <c r="X960" s="244"/>
      <c r="Y960" s="244"/>
      <c r="Z960" s="244"/>
    </row>
    <row r="961" hidden="1">
      <c r="A961" s="249"/>
      <c r="B961" s="249"/>
      <c r="C961" s="250"/>
      <c r="D961" s="244"/>
      <c r="E961" s="244"/>
      <c r="F961" s="244"/>
      <c r="G961" s="244"/>
      <c r="H961" s="244"/>
      <c r="I961" s="244"/>
      <c r="J961" s="244"/>
      <c r="K961" s="244"/>
      <c r="L961" s="244"/>
      <c r="M961" s="244"/>
      <c r="N961" s="244"/>
      <c r="O961" s="244"/>
      <c r="P961" s="244"/>
      <c r="Q961" s="244"/>
      <c r="R961" s="244"/>
      <c r="S961" s="244"/>
      <c r="T961" s="244"/>
      <c r="U961" s="244"/>
      <c r="V961" s="244"/>
      <c r="W961" s="244"/>
      <c r="X961" s="244"/>
      <c r="Y961" s="244"/>
      <c r="Z961" s="244"/>
    </row>
    <row r="962" hidden="1">
      <c r="A962" s="249"/>
      <c r="B962" s="249"/>
      <c r="C962" s="250"/>
      <c r="D962" s="244"/>
      <c r="E962" s="244"/>
      <c r="F962" s="244"/>
      <c r="G962" s="244"/>
      <c r="H962" s="244"/>
      <c r="I962" s="244"/>
      <c r="J962" s="244"/>
      <c r="K962" s="244"/>
      <c r="L962" s="244"/>
      <c r="M962" s="244"/>
      <c r="N962" s="244"/>
      <c r="O962" s="244"/>
      <c r="P962" s="244"/>
      <c r="Q962" s="244"/>
      <c r="R962" s="244"/>
      <c r="S962" s="244"/>
      <c r="T962" s="244"/>
      <c r="U962" s="244"/>
      <c r="V962" s="244"/>
      <c r="W962" s="244"/>
      <c r="X962" s="244"/>
      <c r="Y962" s="244"/>
      <c r="Z962" s="244"/>
    </row>
    <row r="963" hidden="1">
      <c r="A963" s="249"/>
      <c r="B963" s="249"/>
      <c r="C963" s="250"/>
      <c r="D963" s="244"/>
      <c r="E963" s="244"/>
      <c r="F963" s="244"/>
      <c r="G963" s="244"/>
      <c r="H963" s="244"/>
      <c r="I963" s="244"/>
      <c r="J963" s="244"/>
      <c r="K963" s="244"/>
      <c r="L963" s="244"/>
      <c r="M963" s="244"/>
      <c r="N963" s="244"/>
      <c r="O963" s="244"/>
      <c r="P963" s="244"/>
      <c r="Q963" s="244"/>
      <c r="R963" s="244"/>
      <c r="S963" s="244"/>
      <c r="T963" s="244"/>
      <c r="U963" s="244"/>
      <c r="V963" s="244"/>
      <c r="W963" s="244"/>
      <c r="X963" s="244"/>
      <c r="Y963" s="244"/>
      <c r="Z963" s="244"/>
    </row>
    <row r="964" hidden="1">
      <c r="A964" s="249"/>
      <c r="B964" s="249"/>
      <c r="C964" s="250"/>
      <c r="D964" s="244"/>
      <c r="E964" s="244"/>
      <c r="F964" s="244"/>
      <c r="G964" s="244"/>
      <c r="H964" s="244"/>
      <c r="I964" s="244"/>
      <c r="J964" s="244"/>
      <c r="K964" s="244"/>
      <c r="L964" s="244"/>
      <c r="M964" s="244"/>
      <c r="N964" s="244"/>
      <c r="O964" s="244"/>
      <c r="P964" s="244"/>
      <c r="Q964" s="244"/>
      <c r="R964" s="244"/>
      <c r="S964" s="244"/>
      <c r="T964" s="244"/>
      <c r="U964" s="244"/>
      <c r="V964" s="244"/>
      <c r="W964" s="244"/>
      <c r="X964" s="244"/>
      <c r="Y964" s="244"/>
      <c r="Z964" s="244"/>
    </row>
    <row r="965" hidden="1">
      <c r="A965" s="249"/>
      <c r="B965" s="249"/>
      <c r="C965" s="250"/>
      <c r="D965" s="244"/>
      <c r="E965" s="244"/>
      <c r="F965" s="244"/>
      <c r="G965" s="244"/>
      <c r="H965" s="244"/>
      <c r="I965" s="244"/>
      <c r="J965" s="244"/>
      <c r="K965" s="244"/>
      <c r="L965" s="244"/>
      <c r="M965" s="244"/>
      <c r="N965" s="244"/>
      <c r="O965" s="244"/>
      <c r="P965" s="244"/>
      <c r="Q965" s="244"/>
      <c r="R965" s="244"/>
      <c r="S965" s="244"/>
      <c r="T965" s="244"/>
      <c r="U965" s="244"/>
      <c r="V965" s="244"/>
      <c r="W965" s="244"/>
      <c r="X965" s="244"/>
      <c r="Y965" s="244"/>
      <c r="Z965" s="244"/>
    </row>
    <row r="966" hidden="1">
      <c r="A966" s="249"/>
      <c r="B966" s="249"/>
      <c r="C966" s="250"/>
      <c r="D966" s="244"/>
      <c r="E966" s="244"/>
      <c r="F966" s="244"/>
      <c r="G966" s="244"/>
      <c r="H966" s="244"/>
      <c r="I966" s="244"/>
      <c r="J966" s="244"/>
      <c r="K966" s="244"/>
      <c r="L966" s="244"/>
      <c r="M966" s="244"/>
      <c r="N966" s="244"/>
      <c r="O966" s="244"/>
      <c r="P966" s="244"/>
      <c r="Q966" s="244"/>
      <c r="R966" s="244"/>
      <c r="S966" s="244"/>
      <c r="T966" s="244"/>
      <c r="U966" s="244"/>
      <c r="V966" s="244"/>
      <c r="W966" s="244"/>
      <c r="X966" s="244"/>
      <c r="Y966" s="244"/>
      <c r="Z966" s="244"/>
    </row>
    <row r="967" hidden="1">
      <c r="A967" s="249"/>
      <c r="B967" s="249"/>
      <c r="C967" s="250"/>
      <c r="D967" s="244"/>
      <c r="E967" s="244"/>
      <c r="F967" s="244"/>
      <c r="G967" s="244"/>
      <c r="H967" s="244"/>
      <c r="I967" s="244"/>
      <c r="J967" s="244"/>
      <c r="K967" s="244"/>
      <c r="L967" s="244"/>
      <c r="M967" s="244"/>
      <c r="N967" s="244"/>
      <c r="O967" s="244"/>
      <c r="P967" s="244"/>
      <c r="Q967" s="244"/>
      <c r="R967" s="244"/>
      <c r="S967" s="244"/>
      <c r="T967" s="244"/>
      <c r="U967" s="244"/>
      <c r="V967" s="244"/>
      <c r="W967" s="244"/>
      <c r="X967" s="244"/>
      <c r="Y967" s="244"/>
      <c r="Z967" s="244"/>
    </row>
    <row r="968" hidden="1">
      <c r="A968" s="249"/>
      <c r="B968" s="249"/>
      <c r="C968" s="250"/>
      <c r="D968" s="244"/>
      <c r="E968" s="244"/>
      <c r="F968" s="244"/>
      <c r="G968" s="244"/>
      <c r="H968" s="244"/>
      <c r="I968" s="244"/>
      <c r="J968" s="244"/>
      <c r="K968" s="244"/>
      <c r="L968" s="244"/>
      <c r="M968" s="244"/>
      <c r="N968" s="244"/>
      <c r="O968" s="244"/>
      <c r="P968" s="244"/>
      <c r="Q968" s="244"/>
      <c r="R968" s="244"/>
      <c r="S968" s="244"/>
      <c r="T968" s="244"/>
      <c r="U968" s="244"/>
      <c r="V968" s="244"/>
      <c r="W968" s="244"/>
      <c r="X968" s="244"/>
      <c r="Y968" s="244"/>
      <c r="Z968" s="244"/>
    </row>
    <row r="969" hidden="1">
      <c r="A969" s="249"/>
      <c r="B969" s="249"/>
      <c r="C969" s="250"/>
      <c r="D969" s="244"/>
      <c r="E969" s="244"/>
      <c r="F969" s="244"/>
      <c r="G969" s="244"/>
      <c r="H969" s="244"/>
      <c r="I969" s="244"/>
      <c r="J969" s="244"/>
      <c r="K969" s="244"/>
      <c r="L969" s="244"/>
      <c r="M969" s="244"/>
      <c r="N969" s="244"/>
      <c r="O969" s="244"/>
      <c r="P969" s="244"/>
      <c r="Q969" s="244"/>
      <c r="R969" s="244"/>
      <c r="S969" s="244"/>
      <c r="T969" s="244"/>
      <c r="U969" s="244"/>
      <c r="V969" s="244"/>
      <c r="W969" s="244"/>
      <c r="X969" s="244"/>
      <c r="Y969" s="244"/>
      <c r="Z969" s="244"/>
    </row>
    <row r="970" hidden="1">
      <c r="A970" s="249"/>
      <c r="B970" s="249"/>
      <c r="C970" s="250"/>
      <c r="D970" s="244"/>
      <c r="E970" s="244"/>
      <c r="F970" s="244"/>
      <c r="G970" s="244"/>
      <c r="H970" s="244"/>
      <c r="I970" s="244"/>
      <c r="J970" s="244"/>
      <c r="K970" s="244"/>
      <c r="L970" s="244"/>
      <c r="M970" s="244"/>
      <c r="N970" s="244"/>
      <c r="O970" s="244"/>
      <c r="P970" s="244"/>
      <c r="Q970" s="244"/>
      <c r="R970" s="244"/>
      <c r="S970" s="244"/>
      <c r="T970" s="244"/>
      <c r="U970" s="244"/>
      <c r="V970" s="244"/>
      <c r="W970" s="244"/>
      <c r="X970" s="244"/>
      <c r="Y970" s="244"/>
      <c r="Z970" s="244"/>
    </row>
    <row r="971" hidden="1">
      <c r="A971" s="249"/>
      <c r="B971" s="249"/>
      <c r="C971" s="250"/>
      <c r="D971" s="244"/>
      <c r="E971" s="244"/>
      <c r="F971" s="244"/>
      <c r="G971" s="244"/>
      <c r="H971" s="244"/>
      <c r="I971" s="244"/>
      <c r="J971" s="244"/>
      <c r="K971" s="244"/>
      <c r="L971" s="244"/>
      <c r="M971" s="244"/>
      <c r="N971" s="244"/>
      <c r="O971" s="244"/>
      <c r="P971" s="244"/>
      <c r="Q971" s="244"/>
      <c r="R971" s="244"/>
      <c r="S971" s="244"/>
      <c r="T971" s="244"/>
      <c r="U971" s="244"/>
      <c r="V971" s="244"/>
      <c r="W971" s="244"/>
      <c r="X971" s="244"/>
      <c r="Y971" s="244"/>
      <c r="Z971" s="244"/>
    </row>
    <row r="972" hidden="1">
      <c r="A972" s="249"/>
      <c r="B972" s="249"/>
      <c r="C972" s="250"/>
      <c r="D972" s="244"/>
      <c r="E972" s="244"/>
      <c r="F972" s="244"/>
      <c r="G972" s="244"/>
      <c r="H972" s="244"/>
      <c r="I972" s="244"/>
      <c r="J972" s="244"/>
      <c r="K972" s="244"/>
      <c r="L972" s="244"/>
      <c r="M972" s="244"/>
      <c r="N972" s="244"/>
      <c r="O972" s="244"/>
      <c r="P972" s="244"/>
      <c r="Q972" s="244"/>
      <c r="R972" s="244"/>
      <c r="S972" s="244"/>
      <c r="T972" s="244"/>
      <c r="U972" s="244"/>
      <c r="V972" s="244"/>
      <c r="W972" s="244"/>
      <c r="X972" s="244"/>
      <c r="Y972" s="244"/>
      <c r="Z972" s="244"/>
    </row>
    <row r="973" hidden="1">
      <c r="A973" s="249"/>
      <c r="B973" s="249"/>
      <c r="C973" s="250"/>
      <c r="D973" s="244"/>
      <c r="E973" s="244"/>
      <c r="F973" s="244"/>
      <c r="G973" s="244"/>
      <c r="H973" s="244"/>
      <c r="I973" s="244"/>
      <c r="J973" s="244"/>
      <c r="K973" s="244"/>
      <c r="L973" s="244"/>
      <c r="M973" s="244"/>
      <c r="N973" s="244"/>
      <c r="O973" s="244"/>
      <c r="P973" s="244"/>
      <c r="Q973" s="244"/>
      <c r="R973" s="244"/>
      <c r="S973" s="244"/>
      <c r="T973" s="244"/>
      <c r="U973" s="244"/>
      <c r="V973" s="244"/>
      <c r="W973" s="244"/>
      <c r="X973" s="244"/>
      <c r="Y973" s="244"/>
      <c r="Z973" s="244"/>
    </row>
    <row r="974" hidden="1">
      <c r="A974" s="249"/>
      <c r="B974" s="249"/>
      <c r="C974" s="250"/>
      <c r="D974" s="244"/>
      <c r="E974" s="244"/>
      <c r="F974" s="244"/>
      <c r="G974" s="244"/>
      <c r="H974" s="244"/>
      <c r="I974" s="244"/>
      <c r="J974" s="244"/>
      <c r="K974" s="244"/>
      <c r="L974" s="244"/>
      <c r="M974" s="244"/>
      <c r="N974" s="244"/>
      <c r="O974" s="244"/>
      <c r="P974" s="244"/>
      <c r="Q974" s="244"/>
      <c r="R974" s="244"/>
      <c r="S974" s="244"/>
      <c r="T974" s="244"/>
      <c r="U974" s="244"/>
      <c r="V974" s="244"/>
      <c r="W974" s="244"/>
      <c r="X974" s="244"/>
      <c r="Y974" s="244"/>
      <c r="Z974" s="244"/>
    </row>
    <row r="975" hidden="1">
      <c r="A975" s="249"/>
      <c r="B975" s="249"/>
      <c r="C975" s="250"/>
      <c r="D975" s="244"/>
      <c r="E975" s="244"/>
      <c r="F975" s="244"/>
      <c r="G975" s="244"/>
      <c r="H975" s="244"/>
      <c r="I975" s="244"/>
      <c r="J975" s="244"/>
      <c r="K975" s="244"/>
      <c r="L975" s="244"/>
      <c r="M975" s="244"/>
      <c r="N975" s="244"/>
      <c r="O975" s="244"/>
      <c r="P975" s="244"/>
      <c r="Q975" s="244"/>
      <c r="R975" s="244"/>
      <c r="S975" s="244"/>
      <c r="T975" s="244"/>
      <c r="U975" s="244"/>
      <c r="V975" s="244"/>
      <c r="W975" s="244"/>
      <c r="X975" s="244"/>
      <c r="Y975" s="244"/>
      <c r="Z975" s="244"/>
    </row>
    <row r="976" hidden="1">
      <c r="A976" s="249"/>
      <c r="B976" s="249"/>
      <c r="C976" s="250"/>
      <c r="D976" s="244"/>
      <c r="E976" s="244"/>
      <c r="F976" s="244"/>
      <c r="G976" s="244"/>
      <c r="H976" s="244"/>
      <c r="I976" s="244"/>
      <c r="J976" s="244"/>
      <c r="K976" s="244"/>
      <c r="L976" s="244"/>
      <c r="M976" s="244"/>
      <c r="N976" s="244"/>
      <c r="O976" s="244"/>
      <c r="P976" s="244"/>
      <c r="Q976" s="244"/>
      <c r="R976" s="244"/>
      <c r="S976" s="244"/>
      <c r="T976" s="244"/>
      <c r="U976" s="244"/>
      <c r="V976" s="244"/>
      <c r="W976" s="244"/>
      <c r="X976" s="244"/>
      <c r="Y976" s="244"/>
      <c r="Z976" s="244"/>
    </row>
    <row r="977" hidden="1">
      <c r="A977" s="249"/>
      <c r="B977" s="249"/>
      <c r="C977" s="250"/>
      <c r="D977" s="244"/>
      <c r="E977" s="244"/>
      <c r="F977" s="244"/>
      <c r="G977" s="244"/>
      <c r="H977" s="244"/>
      <c r="I977" s="244"/>
      <c r="J977" s="244"/>
      <c r="K977" s="244"/>
      <c r="L977" s="244"/>
      <c r="M977" s="244"/>
      <c r="N977" s="244"/>
      <c r="O977" s="244"/>
      <c r="P977" s="244"/>
      <c r="Q977" s="244"/>
      <c r="R977" s="244"/>
      <c r="S977" s="244"/>
      <c r="T977" s="244"/>
      <c r="U977" s="244"/>
      <c r="V977" s="244"/>
      <c r="W977" s="244"/>
      <c r="X977" s="244"/>
      <c r="Y977" s="244"/>
      <c r="Z977" s="244"/>
    </row>
    <row r="978" hidden="1">
      <c r="A978" s="249"/>
      <c r="B978" s="249"/>
      <c r="C978" s="250"/>
      <c r="D978" s="244"/>
      <c r="E978" s="244"/>
      <c r="F978" s="244"/>
      <c r="G978" s="244"/>
      <c r="H978" s="244"/>
      <c r="I978" s="244"/>
      <c r="J978" s="244"/>
      <c r="K978" s="244"/>
      <c r="L978" s="244"/>
      <c r="M978" s="244"/>
      <c r="N978" s="244"/>
      <c r="O978" s="244"/>
      <c r="P978" s="244"/>
      <c r="Q978" s="244"/>
      <c r="R978" s="244"/>
      <c r="S978" s="244"/>
      <c r="T978" s="244"/>
      <c r="U978" s="244"/>
      <c r="V978" s="244"/>
      <c r="W978" s="244"/>
      <c r="X978" s="244"/>
      <c r="Y978" s="244"/>
      <c r="Z978" s="244"/>
    </row>
    <row r="979" hidden="1">
      <c r="A979" s="249"/>
      <c r="B979" s="249"/>
      <c r="C979" s="250"/>
      <c r="D979" s="244"/>
      <c r="E979" s="244"/>
      <c r="F979" s="244"/>
      <c r="G979" s="244"/>
      <c r="H979" s="244"/>
      <c r="I979" s="244"/>
      <c r="J979" s="244"/>
      <c r="K979" s="244"/>
      <c r="L979" s="244"/>
      <c r="M979" s="244"/>
      <c r="N979" s="244"/>
      <c r="O979" s="244"/>
      <c r="P979" s="244"/>
      <c r="Q979" s="244"/>
      <c r="R979" s="244"/>
      <c r="S979" s="244"/>
      <c r="T979" s="244"/>
      <c r="U979" s="244"/>
      <c r="V979" s="244"/>
      <c r="W979" s="244"/>
      <c r="X979" s="244"/>
      <c r="Y979" s="244"/>
      <c r="Z979" s="244"/>
    </row>
    <row r="980" hidden="1">
      <c r="A980" s="249"/>
      <c r="B980" s="249"/>
      <c r="C980" s="250"/>
      <c r="D980" s="244"/>
      <c r="E980" s="244"/>
      <c r="F980" s="244"/>
      <c r="G980" s="244"/>
      <c r="H980" s="244"/>
      <c r="I980" s="244"/>
      <c r="J980" s="244"/>
      <c r="K980" s="244"/>
      <c r="L980" s="244"/>
      <c r="M980" s="244"/>
      <c r="N980" s="244"/>
      <c r="O980" s="244"/>
      <c r="P980" s="244"/>
      <c r="Q980" s="244"/>
      <c r="R980" s="244"/>
      <c r="S980" s="244"/>
      <c r="T980" s="244"/>
      <c r="U980" s="244"/>
      <c r="V980" s="244"/>
      <c r="W980" s="244"/>
      <c r="X980" s="244"/>
      <c r="Y980" s="244"/>
      <c r="Z980" s="244"/>
    </row>
    <row r="981" hidden="1">
      <c r="A981" s="249"/>
      <c r="B981" s="249"/>
      <c r="C981" s="250"/>
      <c r="D981" s="244"/>
      <c r="E981" s="244"/>
      <c r="F981" s="244"/>
      <c r="G981" s="244"/>
      <c r="H981" s="244"/>
      <c r="I981" s="244"/>
      <c r="J981" s="244"/>
      <c r="K981" s="244"/>
      <c r="L981" s="244"/>
      <c r="M981" s="244"/>
      <c r="N981" s="244"/>
      <c r="O981" s="244"/>
      <c r="P981" s="244"/>
      <c r="Q981" s="244"/>
      <c r="R981" s="244"/>
      <c r="S981" s="244"/>
      <c r="T981" s="244"/>
      <c r="U981" s="244"/>
      <c r="V981" s="244"/>
      <c r="W981" s="244"/>
      <c r="X981" s="244"/>
      <c r="Y981" s="244"/>
      <c r="Z981" s="244"/>
    </row>
    <row r="982" hidden="1">
      <c r="A982" s="249"/>
      <c r="B982" s="249"/>
      <c r="C982" s="250"/>
      <c r="D982" s="244"/>
      <c r="E982" s="244"/>
      <c r="F982" s="244"/>
      <c r="G982" s="244"/>
      <c r="H982" s="244"/>
      <c r="I982" s="244"/>
      <c r="J982" s="244"/>
      <c r="K982" s="244"/>
      <c r="L982" s="244"/>
      <c r="M982" s="244"/>
      <c r="N982" s="244"/>
      <c r="O982" s="244"/>
      <c r="P982" s="244"/>
      <c r="Q982" s="244"/>
      <c r="R982" s="244"/>
      <c r="S982" s="244"/>
      <c r="T982" s="244"/>
      <c r="U982" s="244"/>
      <c r="V982" s="244"/>
      <c r="W982" s="244"/>
      <c r="X982" s="244"/>
      <c r="Y982" s="244"/>
      <c r="Z982" s="244"/>
    </row>
    <row r="983" hidden="1">
      <c r="A983" s="249"/>
      <c r="B983" s="249"/>
      <c r="C983" s="250"/>
      <c r="D983" s="244"/>
      <c r="E983" s="244"/>
      <c r="F983" s="244"/>
      <c r="G983" s="244"/>
      <c r="H983" s="244"/>
      <c r="I983" s="244"/>
      <c r="J983" s="244"/>
      <c r="K983" s="244"/>
      <c r="L983" s="244"/>
      <c r="M983" s="244"/>
      <c r="N983" s="244"/>
      <c r="O983" s="244"/>
      <c r="P983" s="244"/>
      <c r="Q983" s="244"/>
      <c r="R983" s="244"/>
      <c r="S983" s="244"/>
      <c r="T983" s="244"/>
      <c r="U983" s="244"/>
      <c r="V983" s="244"/>
      <c r="W983" s="244"/>
      <c r="X983" s="244"/>
      <c r="Y983" s="244"/>
      <c r="Z983" s="244"/>
    </row>
    <row r="984" hidden="1">
      <c r="A984" s="249"/>
      <c r="B984" s="249"/>
      <c r="C984" s="250"/>
      <c r="D984" s="244"/>
      <c r="E984" s="244"/>
      <c r="F984" s="244"/>
      <c r="G984" s="244"/>
      <c r="H984" s="244"/>
      <c r="I984" s="244"/>
      <c r="J984" s="244"/>
      <c r="K984" s="244"/>
      <c r="L984" s="244"/>
      <c r="M984" s="244"/>
      <c r="N984" s="244"/>
      <c r="O984" s="244"/>
      <c r="P984" s="244"/>
      <c r="Q984" s="244"/>
      <c r="R984" s="244"/>
      <c r="S984" s="244"/>
      <c r="T984" s="244"/>
      <c r="U984" s="244"/>
      <c r="V984" s="244"/>
      <c r="W984" s="244"/>
      <c r="X984" s="244"/>
      <c r="Y984" s="244"/>
      <c r="Z984" s="244"/>
    </row>
    <row r="985" hidden="1">
      <c r="A985" s="249"/>
      <c r="B985" s="249"/>
      <c r="C985" s="250"/>
      <c r="D985" s="244"/>
      <c r="E985" s="244"/>
      <c r="F985" s="244"/>
      <c r="G985" s="244"/>
      <c r="H985" s="244"/>
      <c r="I985" s="244"/>
      <c r="J985" s="244"/>
      <c r="K985" s="244"/>
      <c r="L985" s="244"/>
      <c r="M985" s="244"/>
      <c r="N985" s="244"/>
      <c r="O985" s="244"/>
      <c r="P985" s="244"/>
      <c r="Q985" s="244"/>
      <c r="R985" s="244"/>
      <c r="S985" s="244"/>
      <c r="T985" s="244"/>
      <c r="U985" s="244"/>
      <c r="V985" s="244"/>
      <c r="W985" s="244"/>
      <c r="X985" s="244"/>
      <c r="Y985" s="244"/>
      <c r="Z985" s="244"/>
    </row>
    <row r="986" hidden="1">
      <c r="A986" s="249"/>
      <c r="B986" s="249"/>
      <c r="C986" s="250"/>
      <c r="D986" s="244"/>
      <c r="E986" s="244"/>
      <c r="F986" s="244"/>
      <c r="G986" s="244"/>
      <c r="H986" s="244"/>
      <c r="I986" s="244"/>
      <c r="J986" s="244"/>
      <c r="K986" s="244"/>
      <c r="L986" s="244"/>
      <c r="M986" s="244"/>
      <c r="N986" s="244"/>
      <c r="O986" s="244"/>
      <c r="P986" s="244"/>
      <c r="Q986" s="244"/>
      <c r="R986" s="244"/>
      <c r="S986" s="244"/>
      <c r="T986" s="244"/>
      <c r="U986" s="244"/>
      <c r="V986" s="244"/>
      <c r="W986" s="244"/>
      <c r="X986" s="244"/>
      <c r="Y986" s="244"/>
      <c r="Z986" s="244"/>
    </row>
    <row r="987" hidden="1">
      <c r="A987" s="249"/>
      <c r="B987" s="249"/>
      <c r="C987" s="250"/>
      <c r="D987" s="244"/>
      <c r="E987" s="244"/>
      <c r="F987" s="244"/>
      <c r="G987" s="244"/>
      <c r="H987" s="244"/>
      <c r="I987" s="244"/>
      <c r="J987" s="244"/>
      <c r="K987" s="244"/>
      <c r="L987" s="244"/>
      <c r="M987" s="244"/>
      <c r="N987" s="244"/>
      <c r="O987" s="244"/>
      <c r="P987" s="244"/>
      <c r="Q987" s="244"/>
      <c r="R987" s="244"/>
      <c r="S987" s="244"/>
      <c r="T987" s="244"/>
      <c r="U987" s="244"/>
      <c r="V987" s="244"/>
      <c r="W987" s="244"/>
      <c r="X987" s="244"/>
      <c r="Y987" s="244"/>
      <c r="Z987" s="244"/>
    </row>
    <row r="988" hidden="1">
      <c r="A988" s="249"/>
      <c r="B988" s="249"/>
      <c r="C988" s="250"/>
      <c r="D988" s="244"/>
      <c r="E988" s="244"/>
      <c r="F988" s="244"/>
      <c r="G988" s="244"/>
      <c r="H988" s="244"/>
      <c r="I988" s="244"/>
      <c r="J988" s="244"/>
      <c r="K988" s="244"/>
      <c r="L988" s="244"/>
      <c r="M988" s="244"/>
      <c r="N988" s="244"/>
      <c r="O988" s="244"/>
      <c r="P988" s="244"/>
      <c r="Q988" s="244"/>
      <c r="R988" s="244"/>
      <c r="S988" s="244"/>
      <c r="T988" s="244"/>
      <c r="U988" s="244"/>
      <c r="V988" s="244"/>
      <c r="W988" s="244"/>
      <c r="X988" s="244"/>
      <c r="Y988" s="244"/>
      <c r="Z988" s="244"/>
    </row>
    <row r="989" hidden="1">
      <c r="A989" s="249"/>
      <c r="B989" s="249"/>
      <c r="C989" s="250"/>
      <c r="D989" s="244"/>
      <c r="E989" s="244"/>
      <c r="F989" s="244"/>
      <c r="G989" s="244"/>
      <c r="H989" s="244"/>
      <c r="I989" s="244"/>
      <c r="J989" s="244"/>
      <c r="K989" s="244"/>
      <c r="L989" s="244"/>
      <c r="M989" s="244"/>
      <c r="N989" s="244"/>
      <c r="O989" s="244"/>
      <c r="P989" s="244"/>
      <c r="Q989" s="244"/>
      <c r="R989" s="244"/>
      <c r="S989" s="244"/>
      <c r="T989" s="244"/>
      <c r="U989" s="244"/>
      <c r="V989" s="244"/>
      <c r="W989" s="244"/>
      <c r="X989" s="244"/>
      <c r="Y989" s="244"/>
      <c r="Z989" s="244"/>
    </row>
    <row r="990" hidden="1">
      <c r="A990" s="249"/>
      <c r="B990" s="249"/>
      <c r="C990" s="250"/>
      <c r="D990" s="244"/>
      <c r="E990" s="244"/>
      <c r="F990" s="244"/>
      <c r="G990" s="244"/>
      <c r="H990" s="244"/>
      <c r="I990" s="244"/>
      <c r="J990" s="244"/>
      <c r="K990" s="244"/>
      <c r="L990" s="244"/>
      <c r="M990" s="244"/>
      <c r="N990" s="244"/>
      <c r="O990" s="244"/>
      <c r="P990" s="244"/>
      <c r="Q990" s="244"/>
      <c r="R990" s="244"/>
      <c r="S990" s="244"/>
      <c r="T990" s="244"/>
      <c r="U990" s="244"/>
      <c r="V990" s="244"/>
      <c r="W990" s="244"/>
      <c r="X990" s="244"/>
      <c r="Y990" s="244"/>
      <c r="Z990" s="244"/>
    </row>
    <row r="991" hidden="1">
      <c r="A991" s="249"/>
      <c r="B991" s="249"/>
      <c r="C991" s="250"/>
      <c r="D991" s="244"/>
      <c r="E991" s="244"/>
      <c r="F991" s="244"/>
      <c r="G991" s="244"/>
      <c r="H991" s="244"/>
      <c r="I991" s="244"/>
      <c r="J991" s="244"/>
      <c r="K991" s="244"/>
      <c r="L991" s="244"/>
      <c r="M991" s="244"/>
      <c r="N991" s="244"/>
      <c r="O991" s="244"/>
      <c r="P991" s="244"/>
      <c r="Q991" s="244"/>
      <c r="R991" s="244"/>
      <c r="S991" s="244"/>
      <c r="T991" s="244"/>
      <c r="U991" s="244"/>
      <c r="V991" s="244"/>
      <c r="W991" s="244"/>
      <c r="X991" s="244"/>
      <c r="Y991" s="244"/>
      <c r="Z991" s="244"/>
    </row>
    <row r="992" hidden="1">
      <c r="A992" s="249"/>
      <c r="B992" s="249"/>
      <c r="C992" s="250"/>
      <c r="D992" s="244"/>
      <c r="E992" s="244"/>
      <c r="F992" s="244"/>
      <c r="G992" s="244"/>
      <c r="H992" s="244"/>
      <c r="I992" s="244"/>
      <c r="J992" s="244"/>
      <c r="K992" s="244"/>
      <c r="L992" s="244"/>
      <c r="M992" s="244"/>
      <c r="N992" s="244"/>
      <c r="O992" s="244"/>
      <c r="P992" s="244"/>
      <c r="Q992" s="244"/>
      <c r="R992" s="244"/>
      <c r="S992" s="244"/>
      <c r="T992" s="244"/>
      <c r="U992" s="244"/>
      <c r="V992" s="244"/>
      <c r="W992" s="244"/>
      <c r="X992" s="244"/>
      <c r="Y992" s="244"/>
      <c r="Z992" s="244"/>
    </row>
    <row r="993" hidden="1">
      <c r="A993" s="249"/>
      <c r="B993" s="249"/>
      <c r="C993" s="250"/>
      <c r="D993" s="244"/>
      <c r="E993" s="244"/>
      <c r="F993" s="244"/>
      <c r="G993" s="244"/>
      <c r="H993" s="244"/>
      <c r="I993" s="244"/>
      <c r="J993" s="244"/>
      <c r="K993" s="244"/>
      <c r="L993" s="244"/>
      <c r="M993" s="244"/>
      <c r="N993" s="244"/>
      <c r="O993" s="244"/>
      <c r="P993" s="244"/>
      <c r="Q993" s="244"/>
      <c r="R993" s="244"/>
      <c r="S993" s="244"/>
      <c r="T993" s="244"/>
      <c r="U993" s="244"/>
      <c r="V993" s="244"/>
      <c r="W993" s="244"/>
      <c r="X993" s="244"/>
      <c r="Y993" s="244"/>
      <c r="Z993" s="244"/>
    </row>
    <row r="994" hidden="1">
      <c r="A994" s="249"/>
      <c r="B994" s="249"/>
      <c r="C994" s="250"/>
      <c r="D994" s="244"/>
      <c r="E994" s="244"/>
      <c r="F994" s="244"/>
      <c r="G994" s="244"/>
      <c r="H994" s="244"/>
      <c r="I994" s="244"/>
      <c r="J994" s="244"/>
      <c r="K994" s="244"/>
      <c r="L994" s="244"/>
      <c r="M994" s="244"/>
      <c r="N994" s="244"/>
      <c r="O994" s="244"/>
      <c r="P994" s="244"/>
      <c r="Q994" s="244"/>
      <c r="R994" s="244"/>
      <c r="S994" s="244"/>
      <c r="T994" s="244"/>
      <c r="U994" s="244"/>
      <c r="V994" s="244"/>
      <c r="W994" s="244"/>
      <c r="X994" s="244"/>
      <c r="Y994" s="244"/>
      <c r="Z994" s="244"/>
    </row>
    <row r="995" hidden="1">
      <c r="A995" s="249"/>
      <c r="B995" s="249"/>
      <c r="C995" s="250"/>
      <c r="D995" s="244"/>
      <c r="E995" s="244"/>
      <c r="F995" s="244"/>
      <c r="G995" s="244"/>
      <c r="H995" s="244"/>
      <c r="I995" s="244"/>
      <c r="J995" s="244"/>
      <c r="K995" s="244"/>
      <c r="L995" s="244"/>
      <c r="M995" s="244"/>
      <c r="N995" s="244"/>
      <c r="O995" s="244"/>
      <c r="P995" s="244"/>
      <c r="Q995" s="244"/>
      <c r="R995" s="244"/>
      <c r="S995" s="244"/>
      <c r="T995" s="244"/>
      <c r="U995" s="244"/>
      <c r="V995" s="244"/>
      <c r="W995" s="244"/>
      <c r="X995" s="244"/>
      <c r="Y995" s="244"/>
      <c r="Z995" s="244"/>
    </row>
    <row r="996" hidden="1">
      <c r="A996" s="249"/>
      <c r="B996" s="249"/>
      <c r="C996" s="250"/>
      <c r="D996" s="244"/>
      <c r="E996" s="244"/>
      <c r="F996" s="244"/>
      <c r="G996" s="244"/>
      <c r="H996" s="244"/>
      <c r="I996" s="244"/>
      <c r="J996" s="244"/>
      <c r="K996" s="244"/>
      <c r="L996" s="244"/>
      <c r="M996" s="244"/>
      <c r="N996" s="244"/>
      <c r="O996" s="244"/>
      <c r="P996" s="244"/>
      <c r="Q996" s="244"/>
      <c r="R996" s="244"/>
      <c r="S996" s="244"/>
      <c r="T996" s="244"/>
      <c r="U996" s="244"/>
      <c r="V996" s="244"/>
      <c r="W996" s="244"/>
      <c r="X996" s="244"/>
      <c r="Y996" s="244"/>
      <c r="Z996" s="244"/>
    </row>
    <row r="997" hidden="1">
      <c r="A997" s="249"/>
      <c r="B997" s="249"/>
      <c r="C997" s="250"/>
      <c r="D997" s="244"/>
      <c r="E997" s="244"/>
      <c r="F997" s="244"/>
      <c r="G997" s="244"/>
      <c r="H997" s="244"/>
      <c r="I997" s="244"/>
      <c r="J997" s="244"/>
      <c r="K997" s="244"/>
      <c r="L997" s="244"/>
      <c r="M997" s="244"/>
      <c r="N997" s="244"/>
      <c r="O997" s="244"/>
      <c r="P997" s="244"/>
      <c r="Q997" s="244"/>
      <c r="R997" s="244"/>
      <c r="S997" s="244"/>
      <c r="T997" s="244"/>
      <c r="U997" s="244"/>
      <c r="V997" s="244"/>
      <c r="W997" s="244"/>
      <c r="X997" s="244"/>
      <c r="Y997" s="244"/>
      <c r="Z997" s="244"/>
    </row>
    <row r="998" hidden="1">
      <c r="A998" s="249"/>
      <c r="B998" s="249"/>
      <c r="C998" s="250"/>
      <c r="D998" s="244"/>
      <c r="E998" s="244"/>
      <c r="F998" s="244"/>
      <c r="G998" s="244"/>
      <c r="H998" s="244"/>
      <c r="I998" s="244"/>
      <c r="J998" s="244"/>
      <c r="K998" s="244"/>
      <c r="L998" s="244"/>
      <c r="M998" s="244"/>
      <c r="N998" s="244"/>
      <c r="O998" s="244"/>
      <c r="P998" s="244"/>
      <c r="Q998" s="244"/>
      <c r="R998" s="244"/>
      <c r="S998" s="244"/>
      <c r="T998" s="244"/>
      <c r="U998" s="244"/>
      <c r="V998" s="244"/>
      <c r="W998" s="244"/>
      <c r="X998" s="244"/>
      <c r="Y998" s="244"/>
      <c r="Z998" s="244"/>
    </row>
    <row r="999" hidden="1">
      <c r="A999" s="249"/>
      <c r="B999" s="249"/>
      <c r="C999" s="250"/>
      <c r="D999" s="244"/>
      <c r="E999" s="244"/>
      <c r="F999" s="244"/>
      <c r="G999" s="244"/>
      <c r="H999" s="244"/>
      <c r="I999" s="244"/>
      <c r="J999" s="244"/>
      <c r="K999" s="244"/>
      <c r="L999" s="244"/>
      <c r="M999" s="244"/>
      <c r="N999" s="244"/>
      <c r="O999" s="244"/>
      <c r="P999" s="244"/>
      <c r="Q999" s="244"/>
      <c r="R999" s="244"/>
      <c r="S999" s="244"/>
      <c r="T999" s="244"/>
      <c r="U999" s="244"/>
      <c r="V999" s="244"/>
      <c r="W999" s="244"/>
      <c r="X999" s="244"/>
      <c r="Y999" s="244"/>
      <c r="Z999" s="244"/>
    </row>
    <row r="1000" hidden="1">
      <c r="A1000" s="249"/>
      <c r="B1000" s="249"/>
      <c r="C1000" s="250"/>
      <c r="D1000" s="244"/>
      <c r="E1000" s="244"/>
      <c r="F1000" s="244"/>
      <c r="G1000" s="244"/>
      <c r="H1000" s="244"/>
      <c r="I1000" s="244"/>
      <c r="J1000" s="244"/>
      <c r="K1000" s="244"/>
      <c r="L1000" s="244"/>
      <c r="M1000" s="244"/>
      <c r="N1000" s="244"/>
      <c r="O1000" s="244"/>
      <c r="P1000" s="244"/>
      <c r="Q1000" s="244"/>
      <c r="R1000" s="244"/>
      <c r="S1000" s="244"/>
      <c r="T1000" s="244"/>
      <c r="U1000" s="244"/>
      <c r="V1000" s="244"/>
      <c r="W1000" s="244"/>
      <c r="X1000" s="244"/>
      <c r="Y1000" s="244"/>
      <c r="Z1000" s="244"/>
    </row>
    <row r="1001" hidden="1">
      <c r="A1001" s="249"/>
      <c r="B1001" s="249"/>
      <c r="C1001" s="250"/>
      <c r="D1001" s="244"/>
      <c r="E1001" s="244"/>
      <c r="F1001" s="244"/>
      <c r="G1001" s="244"/>
      <c r="H1001" s="244"/>
      <c r="I1001" s="244"/>
      <c r="J1001" s="244"/>
      <c r="K1001" s="244"/>
      <c r="L1001" s="244"/>
      <c r="M1001" s="244"/>
      <c r="N1001" s="244"/>
      <c r="O1001" s="244"/>
      <c r="P1001" s="244"/>
      <c r="Q1001" s="244"/>
      <c r="R1001" s="244"/>
      <c r="S1001" s="244"/>
      <c r="T1001" s="244"/>
      <c r="U1001" s="244"/>
      <c r="V1001" s="244"/>
      <c r="W1001" s="244"/>
      <c r="X1001" s="244"/>
      <c r="Y1001" s="244"/>
      <c r="Z1001" s="244"/>
    </row>
    <row r="1002" hidden="1">
      <c r="A1002" s="249"/>
      <c r="B1002" s="249"/>
      <c r="C1002" s="250"/>
      <c r="D1002" s="244"/>
      <c r="E1002" s="244"/>
      <c r="F1002" s="244"/>
      <c r="G1002" s="244"/>
      <c r="H1002" s="244"/>
      <c r="I1002" s="244"/>
      <c r="J1002" s="244"/>
      <c r="K1002" s="244"/>
      <c r="L1002" s="244"/>
      <c r="M1002" s="244"/>
      <c r="N1002" s="244"/>
      <c r="O1002" s="244"/>
      <c r="P1002" s="244"/>
      <c r="Q1002" s="244"/>
      <c r="R1002" s="244"/>
      <c r="S1002" s="244"/>
      <c r="T1002" s="244"/>
      <c r="U1002" s="244"/>
      <c r="V1002" s="244"/>
      <c r="W1002" s="244"/>
      <c r="X1002" s="244"/>
      <c r="Y1002" s="244"/>
      <c r="Z1002" s="244"/>
    </row>
    <row r="1003" hidden="1">
      <c r="A1003" s="249"/>
      <c r="B1003" s="249"/>
      <c r="C1003" s="250"/>
      <c r="D1003" s="244"/>
      <c r="E1003" s="244"/>
      <c r="F1003" s="244"/>
      <c r="G1003" s="244"/>
      <c r="H1003" s="244"/>
      <c r="I1003" s="244"/>
      <c r="J1003" s="244"/>
      <c r="K1003" s="244"/>
      <c r="L1003" s="244"/>
      <c r="M1003" s="244"/>
      <c r="N1003" s="244"/>
      <c r="O1003" s="244"/>
      <c r="P1003" s="244"/>
      <c r="Q1003" s="244"/>
      <c r="R1003" s="244"/>
      <c r="S1003" s="244"/>
      <c r="T1003" s="244"/>
      <c r="U1003" s="244"/>
      <c r="V1003" s="244"/>
      <c r="W1003" s="244"/>
      <c r="X1003" s="244"/>
      <c r="Y1003" s="244"/>
      <c r="Z1003" s="244"/>
    </row>
    <row r="1004" hidden="1">
      <c r="A1004" s="249"/>
      <c r="B1004" s="249"/>
      <c r="C1004" s="250"/>
      <c r="D1004" s="244"/>
      <c r="E1004" s="244"/>
      <c r="F1004" s="244"/>
      <c r="G1004" s="244"/>
      <c r="H1004" s="244"/>
      <c r="I1004" s="244"/>
      <c r="J1004" s="244"/>
      <c r="K1004" s="244"/>
      <c r="L1004" s="244"/>
      <c r="M1004" s="244"/>
      <c r="N1004" s="244"/>
      <c r="O1004" s="244"/>
      <c r="P1004" s="244"/>
      <c r="Q1004" s="244"/>
      <c r="R1004" s="244"/>
      <c r="S1004" s="244"/>
      <c r="T1004" s="244"/>
      <c r="U1004" s="244"/>
      <c r="V1004" s="244"/>
      <c r="W1004" s="244"/>
      <c r="X1004" s="244"/>
      <c r="Y1004" s="244"/>
      <c r="Z1004" s="244"/>
    </row>
    <row r="1005" hidden="1">
      <c r="A1005" s="249"/>
      <c r="B1005" s="249"/>
      <c r="C1005" s="250"/>
      <c r="D1005" s="244"/>
      <c r="E1005" s="244"/>
      <c r="F1005" s="244"/>
      <c r="G1005" s="244"/>
      <c r="H1005" s="244"/>
      <c r="I1005" s="244"/>
      <c r="J1005" s="244"/>
      <c r="K1005" s="244"/>
      <c r="L1005" s="244"/>
      <c r="M1005" s="244"/>
      <c r="N1005" s="244"/>
      <c r="O1005" s="244"/>
      <c r="P1005" s="244"/>
      <c r="Q1005" s="244"/>
      <c r="R1005" s="244"/>
      <c r="S1005" s="244"/>
      <c r="T1005" s="244"/>
      <c r="U1005" s="244"/>
      <c r="V1005" s="244"/>
      <c r="W1005" s="244"/>
      <c r="X1005" s="244"/>
      <c r="Y1005" s="244"/>
      <c r="Z1005" s="244"/>
    </row>
    <row r="1006" hidden="1">
      <c r="A1006" s="249"/>
      <c r="B1006" s="249"/>
      <c r="C1006" s="250"/>
      <c r="D1006" s="244"/>
      <c r="E1006" s="244"/>
      <c r="F1006" s="244"/>
      <c r="G1006" s="244"/>
      <c r="H1006" s="244"/>
      <c r="I1006" s="244"/>
      <c r="J1006" s="244"/>
      <c r="K1006" s="244"/>
      <c r="L1006" s="244"/>
      <c r="M1006" s="244"/>
      <c r="N1006" s="244"/>
      <c r="O1006" s="244"/>
      <c r="P1006" s="244"/>
      <c r="Q1006" s="244"/>
      <c r="R1006" s="244"/>
      <c r="S1006" s="244"/>
      <c r="T1006" s="244"/>
      <c r="U1006" s="244"/>
      <c r="V1006" s="244"/>
      <c r="W1006" s="244"/>
      <c r="X1006" s="244"/>
      <c r="Y1006" s="244"/>
      <c r="Z1006" s="244"/>
    </row>
    <row r="1007" hidden="1">
      <c r="A1007" s="249"/>
      <c r="B1007" s="249"/>
      <c r="C1007" s="250"/>
      <c r="D1007" s="244"/>
      <c r="E1007" s="244"/>
      <c r="F1007" s="244"/>
      <c r="G1007" s="244"/>
      <c r="H1007" s="244"/>
      <c r="I1007" s="244"/>
      <c r="J1007" s="244"/>
      <c r="K1007" s="244"/>
      <c r="L1007" s="244"/>
      <c r="M1007" s="244"/>
      <c r="N1007" s="244"/>
      <c r="O1007" s="244"/>
      <c r="P1007" s="244"/>
      <c r="Q1007" s="244"/>
      <c r="R1007" s="244"/>
      <c r="S1007" s="244"/>
      <c r="T1007" s="244"/>
      <c r="U1007" s="244"/>
      <c r="V1007" s="244"/>
      <c r="W1007" s="244"/>
      <c r="X1007" s="244"/>
      <c r="Y1007" s="244"/>
      <c r="Z1007" s="244"/>
    </row>
    <row r="1008" hidden="1">
      <c r="A1008" s="249"/>
      <c r="B1008" s="249"/>
      <c r="C1008" s="250"/>
      <c r="D1008" s="244"/>
      <c r="E1008" s="244"/>
      <c r="F1008" s="244"/>
      <c r="G1008" s="244"/>
      <c r="H1008" s="244"/>
      <c r="I1008" s="244"/>
      <c r="J1008" s="244"/>
      <c r="K1008" s="244"/>
      <c r="L1008" s="244"/>
      <c r="M1008" s="244"/>
      <c r="N1008" s="244"/>
      <c r="O1008" s="244"/>
      <c r="P1008" s="244"/>
      <c r="Q1008" s="244"/>
      <c r="R1008" s="244"/>
      <c r="S1008" s="244"/>
      <c r="T1008" s="244"/>
      <c r="U1008" s="244"/>
      <c r="V1008" s="244"/>
      <c r="W1008" s="244"/>
      <c r="X1008" s="244"/>
      <c r="Y1008" s="244"/>
      <c r="Z1008" s="244"/>
    </row>
    <row r="1009" hidden="1">
      <c r="A1009" s="249"/>
      <c r="B1009" s="249"/>
      <c r="C1009" s="250"/>
      <c r="D1009" s="244"/>
      <c r="E1009" s="244"/>
      <c r="F1009" s="244"/>
      <c r="G1009" s="244"/>
      <c r="H1009" s="244"/>
      <c r="I1009" s="244"/>
      <c r="J1009" s="244"/>
      <c r="K1009" s="244"/>
      <c r="L1009" s="244"/>
      <c r="M1009" s="244"/>
      <c r="N1009" s="244"/>
      <c r="O1009" s="244"/>
      <c r="P1009" s="244"/>
      <c r="Q1009" s="244"/>
      <c r="R1009" s="244"/>
      <c r="S1009" s="244"/>
      <c r="T1009" s="244"/>
      <c r="U1009" s="244"/>
      <c r="V1009" s="244"/>
      <c r="W1009" s="244"/>
      <c r="X1009" s="244"/>
      <c r="Y1009" s="244"/>
      <c r="Z1009" s="244"/>
    </row>
    <row r="1010" hidden="1">
      <c r="A1010" s="249"/>
      <c r="B1010" s="249"/>
      <c r="C1010" s="250"/>
      <c r="D1010" s="244"/>
      <c r="E1010" s="244"/>
      <c r="F1010" s="244"/>
      <c r="G1010" s="244"/>
      <c r="H1010" s="244"/>
      <c r="I1010" s="244"/>
      <c r="J1010" s="244"/>
      <c r="K1010" s="244"/>
      <c r="L1010" s="244"/>
      <c r="M1010" s="244"/>
      <c r="N1010" s="244"/>
      <c r="O1010" s="244"/>
      <c r="P1010" s="244"/>
      <c r="Q1010" s="244"/>
      <c r="R1010" s="244"/>
      <c r="S1010" s="244"/>
      <c r="T1010" s="244"/>
      <c r="U1010" s="244"/>
      <c r="V1010" s="244"/>
      <c r="W1010" s="244"/>
      <c r="X1010" s="244"/>
      <c r="Y1010" s="244"/>
      <c r="Z1010" s="244"/>
    </row>
    <row r="1011" hidden="1">
      <c r="A1011" s="249"/>
      <c r="B1011" s="249"/>
      <c r="C1011" s="250"/>
      <c r="D1011" s="244"/>
      <c r="E1011" s="244"/>
      <c r="F1011" s="244"/>
      <c r="G1011" s="244"/>
      <c r="H1011" s="244"/>
      <c r="I1011" s="244"/>
      <c r="J1011" s="244"/>
      <c r="K1011" s="244"/>
      <c r="L1011" s="244"/>
      <c r="M1011" s="244"/>
      <c r="N1011" s="244"/>
      <c r="O1011" s="244"/>
      <c r="P1011" s="244"/>
      <c r="Q1011" s="244"/>
      <c r="R1011" s="244"/>
      <c r="S1011" s="244"/>
      <c r="T1011" s="244"/>
      <c r="U1011" s="244"/>
      <c r="V1011" s="244"/>
      <c r="W1011" s="244"/>
      <c r="X1011" s="244"/>
      <c r="Y1011" s="244"/>
      <c r="Z1011" s="244"/>
    </row>
    <row r="1012" hidden="1">
      <c r="A1012" s="249"/>
      <c r="B1012" s="249"/>
      <c r="C1012" s="250"/>
      <c r="D1012" s="244"/>
      <c r="E1012" s="244"/>
      <c r="F1012" s="244"/>
      <c r="G1012" s="244"/>
      <c r="H1012" s="244"/>
      <c r="I1012" s="244"/>
      <c r="J1012" s="244"/>
      <c r="K1012" s="244"/>
      <c r="L1012" s="244"/>
      <c r="M1012" s="244"/>
      <c r="N1012" s="244"/>
      <c r="O1012" s="244"/>
      <c r="P1012" s="244"/>
      <c r="Q1012" s="244"/>
      <c r="R1012" s="244"/>
      <c r="S1012" s="244"/>
      <c r="T1012" s="244"/>
      <c r="U1012" s="244"/>
      <c r="V1012" s="244"/>
      <c r="W1012" s="244"/>
      <c r="X1012" s="244"/>
      <c r="Y1012" s="244"/>
      <c r="Z1012" s="244"/>
    </row>
    <row r="1013" hidden="1">
      <c r="A1013" s="249"/>
      <c r="B1013" s="249"/>
      <c r="C1013" s="250"/>
      <c r="D1013" s="244"/>
      <c r="E1013" s="244"/>
      <c r="F1013" s="244"/>
      <c r="G1013" s="244"/>
      <c r="H1013" s="244"/>
      <c r="I1013" s="244"/>
      <c r="J1013" s="244"/>
      <c r="K1013" s="244"/>
      <c r="L1013" s="244"/>
      <c r="M1013" s="244"/>
      <c r="N1013" s="244"/>
      <c r="O1013" s="244"/>
      <c r="P1013" s="244"/>
      <c r="Q1013" s="244"/>
      <c r="R1013" s="244"/>
      <c r="S1013" s="244"/>
      <c r="T1013" s="244"/>
      <c r="U1013" s="244"/>
      <c r="V1013" s="244"/>
      <c r="W1013" s="244"/>
      <c r="X1013" s="244"/>
      <c r="Y1013" s="244"/>
      <c r="Z1013" s="244"/>
    </row>
    <row r="1014" hidden="1">
      <c r="A1014" s="249"/>
      <c r="B1014" s="249"/>
      <c r="C1014" s="250"/>
      <c r="D1014" s="244"/>
      <c r="E1014" s="244"/>
      <c r="F1014" s="244"/>
      <c r="G1014" s="244"/>
      <c r="H1014" s="244"/>
      <c r="I1014" s="244"/>
      <c r="J1014" s="244"/>
      <c r="K1014" s="244"/>
      <c r="L1014" s="244"/>
      <c r="M1014" s="244"/>
      <c r="N1014" s="244"/>
      <c r="O1014" s="244"/>
      <c r="P1014" s="244"/>
      <c r="Q1014" s="244"/>
      <c r="R1014" s="244"/>
      <c r="S1014" s="244"/>
      <c r="T1014" s="244"/>
      <c r="U1014" s="244"/>
      <c r="V1014" s="244"/>
      <c r="W1014" s="244"/>
      <c r="X1014" s="244"/>
      <c r="Y1014" s="244"/>
      <c r="Z1014" s="244"/>
    </row>
    <row r="1015" hidden="1">
      <c r="A1015" s="249"/>
      <c r="B1015" s="249"/>
      <c r="C1015" s="250"/>
      <c r="D1015" s="244"/>
      <c r="E1015" s="244"/>
      <c r="F1015" s="244"/>
      <c r="G1015" s="244"/>
      <c r="H1015" s="244"/>
      <c r="I1015" s="244"/>
      <c r="J1015" s="244"/>
      <c r="K1015" s="244"/>
      <c r="L1015" s="244"/>
      <c r="M1015" s="244"/>
      <c r="N1015" s="244"/>
      <c r="O1015" s="244"/>
      <c r="P1015" s="244"/>
      <c r="Q1015" s="244"/>
      <c r="R1015" s="244"/>
      <c r="S1015" s="244"/>
      <c r="T1015" s="244"/>
      <c r="U1015" s="244"/>
      <c r="V1015" s="244"/>
      <c r="W1015" s="244"/>
      <c r="X1015" s="244"/>
      <c r="Y1015" s="244"/>
      <c r="Z1015" s="244"/>
    </row>
    <row r="1016" hidden="1">
      <c r="A1016" s="249"/>
      <c r="B1016" s="249"/>
      <c r="C1016" s="250"/>
      <c r="D1016" s="244"/>
      <c r="E1016" s="244"/>
      <c r="F1016" s="244"/>
      <c r="G1016" s="244"/>
      <c r="H1016" s="244"/>
      <c r="I1016" s="244"/>
      <c r="J1016" s="244"/>
      <c r="K1016" s="244"/>
      <c r="L1016" s="244"/>
      <c r="M1016" s="244"/>
      <c r="N1016" s="244"/>
      <c r="O1016" s="244"/>
      <c r="P1016" s="244"/>
      <c r="Q1016" s="244"/>
      <c r="R1016" s="244"/>
      <c r="S1016" s="244"/>
      <c r="T1016" s="244"/>
      <c r="U1016" s="244"/>
      <c r="V1016" s="244"/>
      <c r="W1016" s="244"/>
      <c r="X1016" s="244"/>
      <c r="Y1016" s="244"/>
      <c r="Z1016" s="244"/>
    </row>
    <row r="1017" hidden="1">
      <c r="A1017" s="249"/>
      <c r="B1017" s="249"/>
      <c r="C1017" s="250"/>
      <c r="D1017" s="244"/>
      <c r="E1017" s="244"/>
      <c r="F1017" s="244"/>
      <c r="G1017" s="244"/>
      <c r="H1017" s="244"/>
      <c r="I1017" s="244"/>
      <c r="J1017" s="244"/>
      <c r="K1017" s="244"/>
      <c r="L1017" s="244"/>
      <c r="M1017" s="244"/>
      <c r="N1017" s="244"/>
      <c r="O1017" s="244"/>
      <c r="P1017" s="244"/>
      <c r="Q1017" s="244"/>
      <c r="R1017" s="244"/>
      <c r="S1017" s="244"/>
      <c r="T1017" s="244"/>
      <c r="U1017" s="244"/>
      <c r="V1017" s="244"/>
      <c r="W1017" s="244"/>
      <c r="X1017" s="244"/>
      <c r="Y1017" s="244"/>
      <c r="Z1017" s="244"/>
    </row>
    <row r="1018" hidden="1">
      <c r="A1018" s="249"/>
      <c r="B1018" s="249"/>
      <c r="C1018" s="250"/>
      <c r="D1018" s="244"/>
      <c r="E1018" s="244"/>
      <c r="F1018" s="244"/>
      <c r="G1018" s="244"/>
      <c r="H1018" s="244"/>
      <c r="I1018" s="244"/>
      <c r="J1018" s="244"/>
      <c r="K1018" s="244"/>
      <c r="L1018" s="244"/>
      <c r="M1018" s="244"/>
      <c r="N1018" s="244"/>
      <c r="O1018" s="244"/>
      <c r="P1018" s="244"/>
      <c r="Q1018" s="244"/>
      <c r="R1018" s="244"/>
      <c r="S1018" s="244"/>
      <c r="T1018" s="244"/>
      <c r="U1018" s="244"/>
      <c r="V1018" s="244"/>
      <c r="W1018" s="244"/>
      <c r="X1018" s="244"/>
      <c r="Y1018" s="244"/>
      <c r="Z1018" s="244"/>
    </row>
    <row r="1019" hidden="1">
      <c r="A1019" s="249"/>
      <c r="B1019" s="249"/>
      <c r="C1019" s="250"/>
      <c r="D1019" s="244"/>
      <c r="E1019" s="244"/>
      <c r="F1019" s="244"/>
      <c r="G1019" s="244"/>
      <c r="H1019" s="244"/>
      <c r="I1019" s="244"/>
      <c r="J1019" s="244"/>
      <c r="K1019" s="244"/>
      <c r="L1019" s="244"/>
      <c r="M1019" s="244"/>
      <c r="N1019" s="244"/>
      <c r="O1019" s="244"/>
      <c r="P1019" s="244"/>
      <c r="Q1019" s="244"/>
      <c r="R1019" s="244"/>
      <c r="S1019" s="244"/>
      <c r="T1019" s="244"/>
      <c r="U1019" s="244"/>
      <c r="V1019" s="244"/>
      <c r="W1019" s="244"/>
      <c r="X1019" s="244"/>
      <c r="Y1019" s="244"/>
      <c r="Z1019" s="24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hidden="1" min="1" max="1" width="6.38"/>
    <col customWidth="1" hidden="1" min="2" max="2" width="7.25"/>
    <col customWidth="1" hidden="1" min="3" max="3" width="6.38"/>
    <col customWidth="1" min="4" max="5" width="6.38"/>
    <col customWidth="1" min="6" max="6" width="12.63"/>
    <col customWidth="1" min="7" max="7" width="10.38"/>
    <col customWidth="1" min="8" max="9" width="6.38"/>
    <col customWidth="1" min="10" max="10" width="17.13"/>
    <col customWidth="1" min="11" max="11" width="15.25"/>
    <col customWidth="1" min="12" max="13" width="6.38"/>
    <col customWidth="1" min="14" max="14" width="13.13"/>
    <col customWidth="1" min="15" max="15" width="12.63"/>
    <col customWidth="1" min="16" max="16" width="6.38"/>
    <col customWidth="1" hidden="1" min="17" max="27" width="6.38"/>
  </cols>
  <sheetData>
    <row r="1">
      <c r="A1" s="251"/>
      <c r="B1" s="251"/>
      <c r="C1" s="251"/>
      <c r="D1" s="251"/>
      <c r="E1" s="252" t="s">
        <v>360</v>
      </c>
      <c r="I1" s="251"/>
      <c r="J1" s="253" t="s">
        <v>361</v>
      </c>
      <c r="L1" s="251"/>
      <c r="M1" s="254" t="s">
        <v>362</v>
      </c>
      <c r="Q1" s="251"/>
      <c r="R1" s="251"/>
      <c r="S1" s="251"/>
      <c r="T1" s="251"/>
      <c r="U1" s="251"/>
      <c r="V1" s="251"/>
      <c r="W1" s="251"/>
      <c r="X1" s="251"/>
      <c r="Y1" s="251"/>
      <c r="Z1" s="251"/>
      <c r="AA1" s="251"/>
    </row>
    <row r="2">
      <c r="A2" s="251"/>
      <c r="B2" s="251"/>
      <c r="C2" s="251"/>
      <c r="D2" s="251"/>
      <c r="I2" s="251"/>
      <c r="L2" s="251"/>
      <c r="Q2" s="251"/>
      <c r="R2" s="251"/>
      <c r="S2" s="251"/>
      <c r="T2" s="251"/>
      <c r="U2" s="251"/>
      <c r="V2" s="251"/>
      <c r="W2" s="251"/>
      <c r="X2" s="251"/>
      <c r="Y2" s="251"/>
      <c r="Z2" s="251"/>
      <c r="AA2" s="251"/>
    </row>
    <row r="3">
      <c r="A3" s="251"/>
      <c r="B3" s="251"/>
      <c r="C3" s="251"/>
      <c r="D3" s="251"/>
      <c r="I3" s="251"/>
      <c r="L3" s="251"/>
      <c r="Q3" s="251"/>
      <c r="R3" s="251"/>
      <c r="S3" s="251"/>
      <c r="T3" s="251"/>
      <c r="U3" s="251"/>
      <c r="V3" s="251"/>
      <c r="W3" s="251"/>
      <c r="X3" s="251"/>
      <c r="Y3" s="251"/>
      <c r="Z3" s="251"/>
      <c r="AA3" s="251"/>
    </row>
    <row r="4">
      <c r="A4" s="251"/>
      <c r="B4" s="255" t="s">
        <v>93</v>
      </c>
      <c r="S4" s="251"/>
      <c r="T4" s="251"/>
      <c r="U4" s="251"/>
      <c r="V4" s="251"/>
      <c r="W4" s="251"/>
      <c r="X4" s="251"/>
      <c r="Y4" s="251"/>
      <c r="Z4" s="251"/>
      <c r="AA4" s="251"/>
    </row>
    <row r="5">
      <c r="A5" s="251"/>
      <c r="B5" s="251">
        <f t="array" ref="B5:B12">SEQUENCE(8,1)</f>
        <v>1</v>
      </c>
      <c r="C5" s="251">
        <f t="array" ref="C5:C12">SEQUENCE(8,1,16,-1)</f>
        <v>16</v>
      </c>
      <c r="D5" s="251"/>
      <c r="E5" s="251" t="str">
        <f t="array" ref="E5:E12">xlookup(B5:B12,qualdata!$M$2:$M$17,qualdata!$O$2:$O$17,"")</f>
        <v/>
      </c>
      <c r="F5" s="251" t="str">
        <f t="array" ref="F5:G12">XLOOKUP(B5:C12,qualdata!M2:M17,qualdata!N2:N17,"")</f>
        <v>Team 1 (Group 1)</v>
      </c>
      <c r="G5" s="251" t="s">
        <v>345</v>
      </c>
      <c r="H5" s="251" t="str">
        <f t="array" ref="H5:H12">xlookup(C5:C12,qualdata!$M$2:$M$17,qualdata!$O$2:$O$17,"")</f>
        <v/>
      </c>
      <c r="I5" s="251"/>
      <c r="J5" s="256"/>
      <c r="K5" s="251"/>
      <c r="L5" s="251"/>
      <c r="M5" s="251" t="str">
        <f t="array" ref="M5:M78">XLOOKUP(N5:N78,qualdata!$N$2:$N$17,qualdata!$O$2:$O$17,"")</f>
        <v/>
      </c>
      <c r="N5" s="251" t="str">
        <f t="shared" ref="N5:O5" si="1">if(J5="",F5,J5)</f>
        <v>Team 1 (Group 1)</v>
      </c>
      <c r="O5" s="251" t="str">
        <f t="shared" si="1"/>
        <v>Team 16 (Group 1)</v>
      </c>
      <c r="P5" s="251" t="str">
        <f t="array" ref="P5:P78">XLOOKUP(O5:O78,qualdata!$N$2:$N$17,qualdata!$O$2:$O$17,"")</f>
        <v/>
      </c>
      <c r="Q5" s="251">
        <f t="array" ref="Q5:R12">XLOOKUP(N5:O12,qualdata!N2:N17,qualdata!M2:M17,"")</f>
        <v>1</v>
      </c>
      <c r="R5" s="251">
        <v>16.0</v>
      </c>
      <c r="S5" s="251"/>
      <c r="T5" s="251"/>
      <c r="U5" s="251"/>
      <c r="V5" s="251"/>
      <c r="W5" s="251"/>
      <c r="X5" s="251"/>
      <c r="Y5" s="251"/>
      <c r="Z5" s="251"/>
      <c r="AA5" s="251"/>
    </row>
    <row r="6">
      <c r="A6" s="251"/>
      <c r="B6" s="251">
        <v>2.0</v>
      </c>
      <c r="C6" s="251">
        <v>15.0</v>
      </c>
      <c r="D6" s="251"/>
      <c r="E6" s="251"/>
      <c r="F6" s="251" t="s">
        <v>331</v>
      </c>
      <c r="G6" s="251" t="s">
        <v>344</v>
      </c>
      <c r="H6" s="251"/>
      <c r="I6" s="251"/>
      <c r="J6" s="251"/>
      <c r="K6" s="251"/>
      <c r="L6" s="251"/>
      <c r="M6" s="251"/>
      <c r="N6" s="251" t="str">
        <f t="shared" ref="N6:O6" si="2">if(J6="",F6,J6)</f>
        <v>Team 2 (Group 1)</v>
      </c>
      <c r="O6" s="251" t="str">
        <f t="shared" si="2"/>
        <v>Team 15 (Group 1)</v>
      </c>
      <c r="P6" s="251"/>
      <c r="Q6" s="251">
        <v>2.0</v>
      </c>
      <c r="R6" s="251">
        <v>15.0</v>
      </c>
      <c r="S6" s="251"/>
      <c r="T6" s="251"/>
      <c r="U6" s="251"/>
      <c r="V6" s="251"/>
      <c r="W6" s="251"/>
      <c r="X6" s="251"/>
      <c r="Y6" s="251"/>
      <c r="Z6" s="251"/>
      <c r="AA6" s="251"/>
    </row>
    <row r="7">
      <c r="A7" s="251"/>
      <c r="B7" s="251">
        <v>3.0</v>
      </c>
      <c r="C7" s="251">
        <v>14.0</v>
      </c>
      <c r="D7" s="251"/>
      <c r="E7" s="251"/>
      <c r="F7" s="251" t="s">
        <v>332</v>
      </c>
      <c r="G7" s="251" t="s">
        <v>343</v>
      </c>
      <c r="H7" s="251"/>
      <c r="I7" s="251"/>
      <c r="J7" s="251"/>
      <c r="K7" s="251"/>
      <c r="L7" s="251"/>
      <c r="M7" s="251"/>
      <c r="N7" s="251" t="str">
        <f t="shared" ref="N7:O7" si="3">if(J7="",F7,J7)</f>
        <v>Team 3 (Group 1)</v>
      </c>
      <c r="O7" s="251" t="str">
        <f t="shared" si="3"/>
        <v>Team 14 (Group 1)</v>
      </c>
      <c r="P7" s="251"/>
      <c r="Q7" s="251">
        <v>3.0</v>
      </c>
      <c r="R7" s="251">
        <v>14.0</v>
      </c>
      <c r="S7" s="251"/>
      <c r="T7" s="251"/>
      <c r="U7" s="251"/>
      <c r="V7" s="251"/>
      <c r="W7" s="251"/>
      <c r="X7" s="251"/>
      <c r="Y7" s="251"/>
      <c r="Z7" s="251"/>
      <c r="AA7" s="251"/>
    </row>
    <row r="8">
      <c r="A8" s="251"/>
      <c r="B8" s="251">
        <v>4.0</v>
      </c>
      <c r="C8" s="251">
        <v>13.0</v>
      </c>
      <c r="D8" s="251"/>
      <c r="E8" s="251"/>
      <c r="F8" s="251" t="s">
        <v>333</v>
      </c>
      <c r="G8" s="251" t="s">
        <v>342</v>
      </c>
      <c r="H8" s="251"/>
      <c r="I8" s="251"/>
      <c r="J8" s="251"/>
      <c r="K8" s="251"/>
      <c r="L8" s="251"/>
      <c r="M8" s="251"/>
      <c r="N8" s="251" t="str">
        <f t="shared" ref="N8:O8" si="4">if(J8="",F8,J8)</f>
        <v>Team 4 (Group 1)</v>
      </c>
      <c r="O8" s="251" t="str">
        <f t="shared" si="4"/>
        <v>Team 13 (Group 1)</v>
      </c>
      <c r="P8" s="251"/>
      <c r="Q8" s="251">
        <v>4.0</v>
      </c>
      <c r="R8" s="251">
        <v>13.0</v>
      </c>
      <c r="S8" s="251"/>
      <c r="T8" s="251"/>
      <c r="U8" s="251"/>
      <c r="V8" s="251"/>
      <c r="W8" s="251"/>
      <c r="X8" s="251"/>
      <c r="Y8" s="251"/>
      <c r="Z8" s="251"/>
      <c r="AA8" s="251"/>
    </row>
    <row r="9">
      <c r="A9" s="251"/>
      <c r="B9" s="251">
        <v>5.0</v>
      </c>
      <c r="C9" s="251">
        <v>12.0</v>
      </c>
      <c r="D9" s="251"/>
      <c r="E9" s="251"/>
      <c r="F9" s="251" t="s">
        <v>334</v>
      </c>
      <c r="G9" s="251" t="s">
        <v>341</v>
      </c>
      <c r="H9" s="251"/>
      <c r="I9" s="251"/>
      <c r="J9" s="251"/>
      <c r="K9" s="251"/>
      <c r="L9" s="251"/>
      <c r="M9" s="251"/>
      <c r="N9" s="251" t="str">
        <f t="shared" ref="N9:O9" si="5">if(J9="",F9,J9)</f>
        <v>Team 5 (Group 1)</v>
      </c>
      <c r="O9" s="251" t="str">
        <f t="shared" si="5"/>
        <v>Team 12 (Group 1)</v>
      </c>
      <c r="P9" s="251"/>
      <c r="Q9" s="251">
        <v>5.0</v>
      </c>
      <c r="R9" s="251">
        <v>12.0</v>
      </c>
      <c r="S9" s="251"/>
      <c r="T9" s="251"/>
      <c r="U9" s="251"/>
      <c r="V9" s="251"/>
      <c r="W9" s="251"/>
      <c r="X9" s="251"/>
      <c r="Y9" s="251"/>
      <c r="Z9" s="251"/>
      <c r="AA9" s="251"/>
    </row>
    <row r="10">
      <c r="A10" s="251"/>
      <c r="B10" s="251">
        <v>6.0</v>
      </c>
      <c r="C10" s="251">
        <v>11.0</v>
      </c>
      <c r="D10" s="251"/>
      <c r="E10" s="251"/>
      <c r="F10" s="251" t="s">
        <v>335</v>
      </c>
      <c r="G10" s="251" t="s">
        <v>340</v>
      </c>
      <c r="H10" s="251"/>
      <c r="I10" s="251"/>
      <c r="J10" s="251"/>
      <c r="K10" s="251"/>
      <c r="L10" s="251"/>
      <c r="M10" s="251"/>
      <c r="N10" s="251" t="str">
        <f t="shared" ref="N10:O10" si="6">if(J10="",F10,J10)</f>
        <v>Team 6 (Group 1)</v>
      </c>
      <c r="O10" s="251" t="str">
        <f t="shared" si="6"/>
        <v>Team 11 (Group 1)</v>
      </c>
      <c r="P10" s="251"/>
      <c r="Q10" s="251">
        <v>6.0</v>
      </c>
      <c r="R10" s="251">
        <v>11.0</v>
      </c>
      <c r="S10" s="251"/>
      <c r="T10" s="251"/>
      <c r="U10" s="251"/>
      <c r="V10" s="251"/>
      <c r="W10" s="251"/>
      <c r="X10" s="251"/>
      <c r="Y10" s="251"/>
      <c r="Z10" s="251"/>
      <c r="AA10" s="251"/>
    </row>
    <row r="11">
      <c r="A11" s="251"/>
      <c r="B11" s="251">
        <v>7.0</v>
      </c>
      <c r="C11" s="251">
        <v>10.0</v>
      </c>
      <c r="D11" s="251"/>
      <c r="E11" s="251"/>
      <c r="F11" s="251" t="s">
        <v>336</v>
      </c>
      <c r="G11" s="251" t="s">
        <v>339</v>
      </c>
      <c r="H11" s="251"/>
      <c r="I11" s="251"/>
      <c r="J11" s="251"/>
      <c r="K11" s="251"/>
      <c r="L11" s="251"/>
      <c r="M11" s="251"/>
      <c r="N11" s="251" t="str">
        <f t="shared" ref="N11:O11" si="7">if(J11="",F11,J11)</f>
        <v>Team 7 (Group 1)</v>
      </c>
      <c r="O11" s="251" t="str">
        <f t="shared" si="7"/>
        <v>Team 10 (Group 1)</v>
      </c>
      <c r="P11" s="251"/>
      <c r="Q11" s="251">
        <v>7.0</v>
      </c>
      <c r="R11" s="251">
        <v>10.0</v>
      </c>
      <c r="S11" s="251"/>
      <c r="T11" s="251"/>
      <c r="U11" s="251"/>
      <c r="V11" s="251"/>
      <c r="W11" s="251"/>
      <c r="X11" s="251"/>
      <c r="Y11" s="251"/>
      <c r="Z11" s="251"/>
      <c r="AA11" s="251"/>
    </row>
    <row r="12">
      <c r="A12" s="251"/>
      <c r="B12" s="251">
        <v>8.0</v>
      </c>
      <c r="C12" s="251">
        <v>9.0</v>
      </c>
      <c r="D12" s="251"/>
      <c r="E12" s="251"/>
      <c r="F12" s="251" t="s">
        <v>337</v>
      </c>
      <c r="G12" s="251" t="s">
        <v>338</v>
      </c>
      <c r="H12" s="251"/>
      <c r="I12" s="251"/>
      <c r="J12" s="251"/>
      <c r="K12" s="251"/>
      <c r="L12" s="251"/>
      <c r="M12" s="251"/>
      <c r="N12" s="251" t="str">
        <f t="shared" ref="N12:O12" si="8">if(J12="",F12,J12)</f>
        <v>Team 8 (Group 1)</v>
      </c>
      <c r="O12" s="251" t="str">
        <f t="shared" si="8"/>
        <v>Team 9 (Group 1)</v>
      </c>
      <c r="P12" s="251"/>
      <c r="Q12" s="251">
        <v>8.0</v>
      </c>
      <c r="R12" s="251">
        <v>9.0</v>
      </c>
      <c r="S12" s="251"/>
      <c r="T12" s="251"/>
      <c r="U12" s="251"/>
      <c r="V12" s="251"/>
      <c r="W12" s="251"/>
      <c r="X12" s="251"/>
      <c r="Y12" s="251"/>
      <c r="Z12" s="251"/>
      <c r="AA12" s="251"/>
    </row>
    <row r="13" hidden="1">
      <c r="A13" s="251"/>
      <c r="B13" s="251"/>
      <c r="C13" s="251"/>
      <c r="D13" s="251"/>
      <c r="E13" s="251"/>
      <c r="F13" s="251"/>
      <c r="G13" s="251"/>
      <c r="H13" s="251"/>
      <c r="I13" s="251"/>
      <c r="J13" s="251"/>
      <c r="K13" s="251"/>
      <c r="L13" s="251"/>
      <c r="M13" s="251" t="s">
        <v>300</v>
      </c>
      <c r="N13" s="251"/>
      <c r="O13" s="251"/>
      <c r="P13" s="251" t="s">
        <v>300</v>
      </c>
      <c r="Q13" s="251">
        <f t="array" ref="Q13:R20">{R5:R12,Q5:Q12}</f>
        <v>16</v>
      </c>
      <c r="R13" s="251">
        <v>1.0</v>
      </c>
      <c r="S13" s="251"/>
      <c r="T13" s="251"/>
      <c r="U13" s="251"/>
      <c r="V13" s="251"/>
      <c r="W13" s="251"/>
      <c r="X13" s="251"/>
      <c r="Y13" s="251"/>
      <c r="Z13" s="251"/>
      <c r="AA13" s="251"/>
    </row>
    <row r="14" hidden="1">
      <c r="A14" s="251"/>
      <c r="B14" s="251"/>
      <c r="C14" s="251"/>
      <c r="D14" s="251"/>
      <c r="E14" s="251"/>
      <c r="F14" s="251"/>
      <c r="G14" s="251"/>
      <c r="H14" s="251"/>
      <c r="I14" s="251"/>
      <c r="J14" s="251"/>
      <c r="K14" s="251"/>
      <c r="L14" s="251"/>
      <c r="M14" s="251" t="s">
        <v>300</v>
      </c>
      <c r="N14" s="251"/>
      <c r="O14" s="251"/>
      <c r="P14" s="251" t="s">
        <v>300</v>
      </c>
      <c r="Q14" s="251">
        <v>15.0</v>
      </c>
      <c r="R14" s="251">
        <v>2.0</v>
      </c>
      <c r="S14" s="251"/>
      <c r="T14" s="251"/>
      <c r="U14" s="251"/>
      <c r="V14" s="251"/>
      <c r="W14" s="251"/>
      <c r="X14" s="251"/>
      <c r="Y14" s="251"/>
      <c r="Z14" s="251"/>
      <c r="AA14" s="251"/>
    </row>
    <row r="15" hidden="1">
      <c r="A15" s="251"/>
      <c r="B15" s="251"/>
      <c r="C15" s="251"/>
      <c r="D15" s="251"/>
      <c r="E15" s="251"/>
      <c r="F15" s="251"/>
      <c r="G15" s="251"/>
      <c r="H15" s="251"/>
      <c r="I15" s="251"/>
      <c r="J15" s="251"/>
      <c r="K15" s="251"/>
      <c r="L15" s="251"/>
      <c r="M15" s="251" t="s">
        <v>300</v>
      </c>
      <c r="N15" s="251"/>
      <c r="O15" s="251"/>
      <c r="P15" s="251" t="s">
        <v>300</v>
      </c>
      <c r="Q15" s="251">
        <v>14.0</v>
      </c>
      <c r="R15" s="251">
        <v>3.0</v>
      </c>
      <c r="S15" s="251"/>
      <c r="T15" s="251"/>
      <c r="U15" s="251"/>
      <c r="V15" s="251"/>
      <c r="W15" s="251"/>
      <c r="X15" s="251"/>
      <c r="Y15" s="251"/>
      <c r="Z15" s="251"/>
      <c r="AA15" s="251"/>
    </row>
    <row r="16" hidden="1">
      <c r="A16" s="251"/>
      <c r="B16" s="251"/>
      <c r="C16" s="251"/>
      <c r="D16" s="251"/>
      <c r="E16" s="251"/>
      <c r="F16" s="251"/>
      <c r="G16" s="251"/>
      <c r="H16" s="251"/>
      <c r="I16" s="251"/>
      <c r="J16" s="251"/>
      <c r="K16" s="251"/>
      <c r="L16" s="251"/>
      <c r="M16" s="251" t="s">
        <v>300</v>
      </c>
      <c r="N16" s="251"/>
      <c r="O16" s="251"/>
      <c r="P16" s="251" t="s">
        <v>300</v>
      </c>
      <c r="Q16" s="251">
        <v>13.0</v>
      </c>
      <c r="R16" s="251">
        <v>4.0</v>
      </c>
      <c r="S16" s="251"/>
      <c r="T16" s="251"/>
      <c r="U16" s="251"/>
      <c r="V16" s="251"/>
      <c r="W16" s="251"/>
      <c r="X16" s="251"/>
      <c r="Y16" s="251"/>
      <c r="Z16" s="251"/>
      <c r="AA16" s="251"/>
    </row>
    <row r="17" hidden="1">
      <c r="A17" s="251"/>
      <c r="B17" s="251"/>
      <c r="C17" s="251"/>
      <c r="D17" s="251"/>
      <c r="E17" s="251"/>
      <c r="F17" s="251"/>
      <c r="G17" s="251"/>
      <c r="H17" s="251"/>
      <c r="I17" s="251"/>
      <c r="J17" s="251"/>
      <c r="K17" s="251"/>
      <c r="L17" s="251"/>
      <c r="M17" s="251" t="s">
        <v>300</v>
      </c>
      <c r="N17" s="251"/>
      <c r="O17" s="251"/>
      <c r="P17" s="251" t="s">
        <v>300</v>
      </c>
      <c r="Q17" s="251">
        <v>12.0</v>
      </c>
      <c r="R17" s="251">
        <v>5.0</v>
      </c>
      <c r="S17" s="251"/>
      <c r="T17" s="251"/>
      <c r="U17" s="251"/>
      <c r="V17" s="251"/>
      <c r="W17" s="251"/>
      <c r="X17" s="251"/>
      <c r="Y17" s="251"/>
      <c r="Z17" s="251"/>
      <c r="AA17" s="251"/>
    </row>
    <row r="18" hidden="1">
      <c r="A18" s="251"/>
      <c r="B18" s="251"/>
      <c r="C18" s="251"/>
      <c r="D18" s="251"/>
      <c r="E18" s="251"/>
      <c r="F18" s="251"/>
      <c r="G18" s="251"/>
      <c r="H18" s="251"/>
      <c r="I18" s="251"/>
      <c r="J18" s="251"/>
      <c r="K18" s="251"/>
      <c r="L18" s="251"/>
      <c r="M18" s="251" t="s">
        <v>300</v>
      </c>
      <c r="N18" s="251"/>
      <c r="O18" s="251"/>
      <c r="P18" s="251" t="s">
        <v>300</v>
      </c>
      <c r="Q18" s="251">
        <v>11.0</v>
      </c>
      <c r="R18" s="251">
        <v>6.0</v>
      </c>
      <c r="S18" s="251"/>
      <c r="T18" s="251"/>
      <c r="U18" s="251"/>
      <c r="V18" s="251"/>
      <c r="W18" s="251"/>
      <c r="X18" s="251"/>
      <c r="Y18" s="251"/>
      <c r="Z18" s="251"/>
      <c r="AA18" s="251"/>
    </row>
    <row r="19" hidden="1">
      <c r="A19" s="251"/>
      <c r="B19" s="251"/>
      <c r="C19" s="251"/>
      <c r="D19" s="251"/>
      <c r="E19" s="251"/>
      <c r="F19" s="251"/>
      <c r="G19" s="251"/>
      <c r="H19" s="251"/>
      <c r="I19" s="251"/>
      <c r="J19" s="251"/>
      <c r="K19" s="251"/>
      <c r="L19" s="251"/>
      <c r="M19" s="251" t="s">
        <v>300</v>
      </c>
      <c r="N19" s="251"/>
      <c r="O19" s="251"/>
      <c r="P19" s="251" t="s">
        <v>300</v>
      </c>
      <c r="Q19" s="251">
        <v>10.0</v>
      </c>
      <c r="R19" s="251">
        <v>7.0</v>
      </c>
      <c r="S19" s="251"/>
      <c r="T19" s="251"/>
      <c r="U19" s="251"/>
      <c r="V19" s="251"/>
      <c r="W19" s="251"/>
      <c r="X19" s="251"/>
      <c r="Y19" s="251"/>
      <c r="Z19" s="251"/>
      <c r="AA19" s="251"/>
    </row>
    <row r="20" hidden="1">
      <c r="A20" s="251"/>
      <c r="B20" s="251"/>
      <c r="C20" s="251"/>
      <c r="D20" s="251"/>
      <c r="E20" s="251"/>
      <c r="F20" s="251"/>
      <c r="G20" s="251"/>
      <c r="H20" s="251"/>
      <c r="I20" s="251"/>
      <c r="J20" s="251"/>
      <c r="K20" s="251"/>
      <c r="L20" s="251"/>
      <c r="M20" s="251" t="s">
        <v>300</v>
      </c>
      <c r="N20" s="251"/>
      <c r="O20" s="251"/>
      <c r="P20" s="251" t="s">
        <v>300</v>
      </c>
      <c r="Q20" s="251">
        <v>9.0</v>
      </c>
      <c r="R20" s="251">
        <v>8.0</v>
      </c>
      <c r="S20" s="251"/>
      <c r="T20" s="251"/>
      <c r="U20" s="251"/>
      <c r="V20" s="251"/>
      <c r="W20" s="251"/>
      <c r="X20" s="251"/>
      <c r="Y20" s="251"/>
      <c r="Z20" s="251"/>
      <c r="AA20" s="251"/>
    </row>
    <row r="21" hidden="1">
      <c r="A21" s="251"/>
      <c r="B21" s="251"/>
      <c r="C21" s="251"/>
      <c r="D21" s="251"/>
      <c r="E21" s="251"/>
      <c r="F21" s="251"/>
      <c r="G21" s="251"/>
      <c r="H21" s="251"/>
      <c r="I21" s="251"/>
      <c r="J21" s="251"/>
      <c r="K21" s="251"/>
      <c r="L21" s="251"/>
      <c r="M21" s="251" t="s">
        <v>300</v>
      </c>
      <c r="N21" s="251"/>
      <c r="O21" s="251"/>
      <c r="P21" s="251" t="s">
        <v>300</v>
      </c>
      <c r="Q21" s="251"/>
      <c r="R21" s="251"/>
      <c r="S21" s="251"/>
      <c r="T21" s="251"/>
      <c r="U21" s="251"/>
      <c r="V21" s="251"/>
      <c r="W21" s="251"/>
      <c r="X21" s="251"/>
      <c r="Y21" s="251"/>
      <c r="Z21" s="251"/>
      <c r="AA21" s="251"/>
    </row>
    <row r="22" hidden="1">
      <c r="A22" s="251"/>
      <c r="B22" s="251"/>
      <c r="C22" s="251"/>
      <c r="D22" s="251"/>
      <c r="E22" s="251"/>
      <c r="F22" s="251"/>
      <c r="G22" s="251"/>
      <c r="H22" s="251"/>
      <c r="I22" s="251"/>
      <c r="J22" s="251"/>
      <c r="K22" s="251"/>
      <c r="L22" s="251"/>
      <c r="M22" s="251" t="s">
        <v>300</v>
      </c>
      <c r="N22" s="251"/>
      <c r="O22" s="251"/>
      <c r="P22" s="251" t="s">
        <v>300</v>
      </c>
      <c r="Q22" s="251"/>
      <c r="R22" s="251"/>
      <c r="S22" s="251"/>
      <c r="T22" s="251"/>
      <c r="U22" s="251"/>
      <c r="V22" s="251"/>
      <c r="W22" s="251"/>
      <c r="X22" s="251"/>
      <c r="Y22" s="251"/>
      <c r="Z22" s="251"/>
      <c r="AA22" s="251"/>
    </row>
    <row r="23">
      <c r="A23" s="251"/>
      <c r="B23" s="251"/>
      <c r="C23" s="251"/>
      <c r="D23" s="251"/>
      <c r="E23" s="251"/>
      <c r="F23" s="251"/>
      <c r="G23" s="251"/>
      <c r="H23" s="251"/>
      <c r="I23" s="251"/>
      <c r="J23" s="251"/>
      <c r="K23" s="251"/>
      <c r="L23" s="251"/>
      <c r="M23" s="251" t="s">
        <v>300</v>
      </c>
      <c r="N23" s="251"/>
      <c r="O23" s="251"/>
      <c r="P23" s="251" t="s">
        <v>300</v>
      </c>
      <c r="Q23" s="251"/>
      <c r="R23" s="251"/>
      <c r="S23" s="251"/>
      <c r="T23" s="251"/>
      <c r="U23" s="251"/>
      <c r="V23" s="251"/>
      <c r="W23" s="251"/>
      <c r="X23" s="251"/>
      <c r="Y23" s="251"/>
      <c r="Z23" s="251"/>
      <c r="AA23" s="251"/>
    </row>
    <row r="24">
      <c r="A24" s="251"/>
      <c r="B24" s="255" t="s">
        <v>363</v>
      </c>
      <c r="S24" s="251"/>
      <c r="T24" s="251"/>
      <c r="U24" s="251"/>
      <c r="V24" s="251"/>
      <c r="W24" s="251"/>
      <c r="X24" s="251"/>
      <c r="Y24" s="251"/>
      <c r="Z24" s="251"/>
      <c r="AA24" s="251"/>
    </row>
    <row r="25">
      <c r="A25" s="251"/>
      <c r="B25" s="251" t="str">
        <f t="array" ref="B25:C28">{qualreseeding!A20:A23,qualreseeding!K20:K23}</f>
        <v>#N/A</v>
      </c>
      <c r="C25" s="251"/>
      <c r="D25" s="251"/>
      <c r="E25" s="251" t="str">
        <f t="array" ref="E25:E28">XLOOKUP(B25:B28,qualdata!$M$2:$M$17,qualdata!$O$2:$O$17)</f>
        <v>#N/A</v>
      </c>
      <c r="F25" s="251" t="str">
        <f t="array" ref="F25:G28">XLOOKUP(B25:C28,qualdata!$M$2:$M$17,qualdata!$N$2:$N$17)</f>
        <v>#N/A</v>
      </c>
      <c r="G25" s="251" t="e">
        <v>#N/A</v>
      </c>
      <c r="H25" s="251" t="str">
        <f t="array" ref="H25:H28">XLOOKUP(C25:C28,qualdata!$M$2:$M$17,qualdata!$O$2:$O$17)</f>
        <v>#N/A</v>
      </c>
      <c r="I25" s="251"/>
      <c r="J25" s="256"/>
      <c r="K25" s="256"/>
      <c r="L25" s="251"/>
      <c r="M25" s="251" t="e">
        <v>#N/A</v>
      </c>
      <c r="N25" s="251" t="str">
        <f t="shared" ref="N25:O25" si="9">if(J25="",F25,J25)</f>
        <v>#N/A</v>
      </c>
      <c r="O25" s="251" t="str">
        <f t="shared" si="9"/>
        <v>#N/A</v>
      </c>
      <c r="P25" s="251" t="e">
        <v>#N/A</v>
      </c>
      <c r="Q25" s="251" t="str">
        <f t="array" ref="Q25:R28">XLOOKUP(N25:O28,qualdata!$N$2:$N$17,qualdata!$M$2:$M$17,"")</f>
        <v>#N/A</v>
      </c>
      <c r="R25" s="251" t="e">
        <v>#N/A</v>
      </c>
      <c r="S25" s="251"/>
      <c r="T25" s="251"/>
      <c r="U25" s="251"/>
      <c r="V25" s="251"/>
      <c r="W25" s="251"/>
      <c r="X25" s="251"/>
      <c r="Y25" s="251"/>
      <c r="Z25" s="251"/>
      <c r="AA25" s="251"/>
    </row>
    <row r="26">
      <c r="A26" s="251"/>
      <c r="B26" s="251"/>
      <c r="C26" s="251"/>
      <c r="D26" s="251"/>
      <c r="E26" s="251" t="e">
        <v>#N/A</v>
      </c>
      <c r="F26" s="251" t="e">
        <v>#N/A</v>
      </c>
      <c r="G26" s="251" t="e">
        <v>#N/A</v>
      </c>
      <c r="H26" s="251" t="e">
        <v>#N/A</v>
      </c>
      <c r="I26" s="251"/>
      <c r="J26" s="256"/>
      <c r="K26" s="251"/>
      <c r="L26" s="251"/>
      <c r="M26" s="251" t="e">
        <v>#N/A</v>
      </c>
      <c r="N26" s="251" t="str">
        <f t="shared" ref="N26:O26" si="10">if(J26="",F26,J26)</f>
        <v>#N/A</v>
      </c>
      <c r="O26" s="251" t="str">
        <f t="shared" si="10"/>
        <v>#N/A</v>
      </c>
      <c r="P26" s="251" t="e">
        <v>#N/A</v>
      </c>
      <c r="Q26" s="251" t="e">
        <v>#N/A</v>
      </c>
      <c r="R26" s="251" t="e">
        <v>#N/A</v>
      </c>
      <c r="S26" s="251"/>
      <c r="T26" s="251"/>
      <c r="U26" s="251"/>
      <c r="V26" s="251"/>
      <c r="W26" s="251"/>
      <c r="X26" s="251"/>
      <c r="Y26" s="251"/>
      <c r="Z26" s="251"/>
      <c r="AA26" s="251"/>
    </row>
    <row r="27">
      <c r="A27" s="251"/>
      <c r="B27" s="251"/>
      <c r="C27" s="251"/>
      <c r="D27" s="251"/>
      <c r="E27" s="251" t="e">
        <v>#N/A</v>
      </c>
      <c r="F27" s="251" t="e">
        <v>#N/A</v>
      </c>
      <c r="G27" s="251" t="e">
        <v>#N/A</v>
      </c>
      <c r="H27" s="251" t="e">
        <v>#N/A</v>
      </c>
      <c r="I27" s="251"/>
      <c r="J27" s="251"/>
      <c r="K27" s="251"/>
      <c r="L27" s="251"/>
      <c r="M27" s="251" t="e">
        <v>#N/A</v>
      </c>
      <c r="N27" s="251" t="str">
        <f t="shared" ref="N27:O27" si="11">if(J27="",F27,J27)</f>
        <v>#N/A</v>
      </c>
      <c r="O27" s="251" t="str">
        <f t="shared" si="11"/>
        <v>#N/A</v>
      </c>
      <c r="P27" s="251" t="e">
        <v>#N/A</v>
      </c>
      <c r="Q27" s="251" t="e">
        <v>#N/A</v>
      </c>
      <c r="R27" s="251" t="e">
        <v>#N/A</v>
      </c>
      <c r="S27" s="251"/>
      <c r="T27" s="251"/>
      <c r="U27" s="251"/>
      <c r="V27" s="251"/>
      <c r="W27" s="251"/>
      <c r="X27" s="251"/>
      <c r="Y27" s="251"/>
      <c r="Z27" s="251"/>
      <c r="AA27" s="251"/>
    </row>
    <row r="28">
      <c r="A28" s="251"/>
      <c r="B28" s="251"/>
      <c r="C28" s="251"/>
      <c r="D28" s="251"/>
      <c r="E28" s="251" t="e">
        <v>#N/A</v>
      </c>
      <c r="F28" s="251" t="e">
        <v>#N/A</v>
      </c>
      <c r="G28" s="251" t="e">
        <v>#N/A</v>
      </c>
      <c r="H28" s="251" t="e">
        <v>#N/A</v>
      </c>
      <c r="I28" s="251"/>
      <c r="J28" s="251"/>
      <c r="K28" s="251"/>
      <c r="L28" s="251"/>
      <c r="M28" s="251" t="e">
        <v>#N/A</v>
      </c>
      <c r="N28" s="251" t="str">
        <f t="shared" ref="N28:O28" si="12">if(J28="",F28,J28)</f>
        <v>#N/A</v>
      </c>
      <c r="O28" s="251" t="str">
        <f t="shared" si="12"/>
        <v>#N/A</v>
      </c>
      <c r="P28" s="251" t="e">
        <v>#N/A</v>
      </c>
      <c r="Q28" s="251" t="e">
        <v>#N/A</v>
      </c>
      <c r="R28" s="251" t="e">
        <v>#N/A</v>
      </c>
      <c r="S28" s="251"/>
      <c r="T28" s="251"/>
      <c r="U28" s="251"/>
      <c r="V28" s="251"/>
      <c r="W28" s="251"/>
      <c r="X28" s="251"/>
      <c r="Y28" s="251"/>
      <c r="Z28" s="251"/>
      <c r="AA28" s="251"/>
    </row>
    <row r="29">
      <c r="A29" s="251"/>
      <c r="B29" s="251"/>
      <c r="C29" s="251"/>
      <c r="D29" s="251"/>
      <c r="E29" s="251"/>
      <c r="F29" s="251"/>
      <c r="G29" s="251"/>
      <c r="H29" s="251"/>
      <c r="I29" s="251"/>
      <c r="J29" s="251"/>
      <c r="K29" s="251"/>
      <c r="L29" s="251"/>
      <c r="M29" s="251" t="s">
        <v>300</v>
      </c>
      <c r="N29" s="251"/>
      <c r="O29" s="251"/>
      <c r="P29" s="251" t="s">
        <v>300</v>
      </c>
      <c r="Q29" s="251" t="str">
        <f t="array" ref="Q29:R32">{{R28;R27;R26;R25},{Q28;Q27;Q26;Q25}}</f>
        <v>#N/A</v>
      </c>
      <c r="R29" s="251" t="e">
        <v>#N/A</v>
      </c>
      <c r="S29" s="251"/>
      <c r="T29" s="251"/>
      <c r="U29" s="251"/>
      <c r="V29" s="251"/>
      <c r="W29" s="251"/>
      <c r="X29" s="251"/>
      <c r="Y29" s="251"/>
      <c r="Z29" s="251"/>
      <c r="AA29" s="251"/>
    </row>
    <row r="30" hidden="1">
      <c r="A30" s="251"/>
      <c r="B30" s="251"/>
      <c r="C30" s="251"/>
      <c r="D30" s="251"/>
      <c r="E30" s="251"/>
      <c r="F30" s="251"/>
      <c r="G30" s="251"/>
      <c r="H30" s="251"/>
      <c r="I30" s="251"/>
      <c r="J30" s="251"/>
      <c r="K30" s="251"/>
      <c r="L30" s="251"/>
      <c r="M30" s="251" t="s">
        <v>300</v>
      </c>
      <c r="N30" s="251"/>
      <c r="O30" s="251"/>
      <c r="P30" s="251" t="s">
        <v>300</v>
      </c>
      <c r="Q30" s="251" t="e">
        <v>#N/A</v>
      </c>
      <c r="R30" s="251" t="e">
        <v>#N/A</v>
      </c>
      <c r="S30" s="251"/>
      <c r="T30" s="251"/>
      <c r="U30" s="251"/>
      <c r="V30" s="251"/>
      <c r="W30" s="251"/>
      <c r="X30" s="251"/>
      <c r="Y30" s="251"/>
      <c r="Z30" s="251"/>
      <c r="AA30" s="251"/>
    </row>
    <row r="31" hidden="1">
      <c r="A31" s="251"/>
      <c r="B31" s="251"/>
      <c r="C31" s="251"/>
      <c r="D31" s="251"/>
      <c r="E31" s="251"/>
      <c r="F31" s="251"/>
      <c r="G31" s="251"/>
      <c r="H31" s="251"/>
      <c r="I31" s="251"/>
      <c r="J31" s="251"/>
      <c r="K31" s="251"/>
      <c r="L31" s="251"/>
      <c r="M31" s="251" t="s">
        <v>300</v>
      </c>
      <c r="N31" s="251"/>
      <c r="O31" s="251"/>
      <c r="P31" s="251" t="s">
        <v>300</v>
      </c>
      <c r="Q31" s="251" t="e">
        <v>#N/A</v>
      </c>
      <c r="R31" s="251" t="e">
        <v>#N/A</v>
      </c>
      <c r="S31" s="251"/>
      <c r="T31" s="251"/>
      <c r="U31" s="251"/>
      <c r="V31" s="251"/>
      <c r="W31" s="251"/>
      <c r="X31" s="251"/>
      <c r="Y31" s="251"/>
      <c r="Z31" s="251"/>
      <c r="AA31" s="251"/>
    </row>
    <row r="32" hidden="1">
      <c r="A32" s="251"/>
      <c r="B32" s="251"/>
      <c r="C32" s="251"/>
      <c r="D32" s="251"/>
      <c r="E32" s="251"/>
      <c r="F32" s="251"/>
      <c r="G32" s="251"/>
      <c r="H32" s="251"/>
      <c r="I32" s="251"/>
      <c r="J32" s="251"/>
      <c r="K32" s="251"/>
      <c r="L32" s="251"/>
      <c r="M32" s="251" t="s">
        <v>300</v>
      </c>
      <c r="N32" s="251"/>
      <c r="O32" s="251"/>
      <c r="P32" s="251" t="s">
        <v>300</v>
      </c>
      <c r="Q32" s="251" t="e">
        <v>#N/A</v>
      </c>
      <c r="R32" s="251" t="e">
        <v>#N/A</v>
      </c>
      <c r="S32" s="251"/>
      <c r="T32" s="251"/>
      <c r="U32" s="251"/>
      <c r="V32" s="251"/>
      <c r="W32" s="251"/>
      <c r="X32" s="251"/>
      <c r="Y32" s="251"/>
      <c r="Z32" s="251"/>
      <c r="AA32" s="251"/>
    </row>
    <row r="33" hidden="1">
      <c r="A33" s="251"/>
      <c r="B33" s="251"/>
      <c r="C33" s="251"/>
      <c r="D33" s="251"/>
      <c r="E33" s="251"/>
      <c r="F33" s="251"/>
      <c r="G33" s="251"/>
      <c r="H33" s="251"/>
      <c r="I33" s="251"/>
      <c r="J33" s="251"/>
      <c r="K33" s="251"/>
      <c r="L33" s="251"/>
      <c r="M33" s="251" t="s">
        <v>300</v>
      </c>
      <c r="N33" s="251"/>
      <c r="O33" s="251"/>
      <c r="P33" s="251" t="s">
        <v>300</v>
      </c>
      <c r="Q33" s="251"/>
      <c r="R33" s="251"/>
      <c r="S33" s="251"/>
      <c r="T33" s="251"/>
      <c r="U33" s="251"/>
      <c r="V33" s="251"/>
      <c r="W33" s="251"/>
      <c r="X33" s="251"/>
      <c r="Y33" s="251"/>
      <c r="Z33" s="251"/>
      <c r="AA33" s="251"/>
    </row>
    <row r="34">
      <c r="A34" s="251"/>
      <c r="B34" s="257" t="s">
        <v>364</v>
      </c>
      <c r="S34" s="251"/>
      <c r="T34" s="251"/>
      <c r="U34" s="251"/>
      <c r="V34" s="251"/>
      <c r="W34" s="251"/>
      <c r="X34" s="251"/>
      <c r="Y34" s="251"/>
      <c r="Z34" s="251"/>
      <c r="AA34" s="251"/>
    </row>
    <row r="35">
      <c r="A35" s="251"/>
      <c r="B35" s="251" t="str">
        <f t="array" ref="B35:C38">{qualreseeding!A29:A32,qualreseeding!K29:K32}</f>
        <v>#N/A</v>
      </c>
      <c r="C35" s="251"/>
      <c r="D35" s="251"/>
      <c r="E35" s="251" t="str">
        <f t="array" ref="E35:E38">XLOOKUP(B35:B38,qualdata!$M$2:$M$17,qualdata!$O$2:$O$17)</f>
        <v>#N/A</v>
      </c>
      <c r="F35" s="251" t="str">
        <f t="array" ref="F35:G38">XLOOKUP(B35:C38,qualdata!$M$2:$M$17,qualdata!$N$2:$N$17)</f>
        <v>#N/A</v>
      </c>
      <c r="G35" s="251" t="e">
        <v>#N/A</v>
      </c>
      <c r="H35" s="251" t="str">
        <f t="array" ref="H35:H38">XLOOKUP(C35:C38,qualdata!$M$2:$M$17,qualdata!$O$2:$O$17)</f>
        <v>#N/A</v>
      </c>
      <c r="I35" s="251"/>
      <c r="J35" s="251"/>
      <c r="K35" s="251"/>
      <c r="L35" s="251"/>
      <c r="M35" s="251" t="e">
        <v>#N/A</v>
      </c>
      <c r="N35" s="251" t="str">
        <f t="shared" ref="N35:O35" si="13">if(J35="",F35,J35)</f>
        <v>#N/A</v>
      </c>
      <c r="O35" s="251" t="str">
        <f t="shared" si="13"/>
        <v>#N/A</v>
      </c>
      <c r="P35" s="251" t="e">
        <v>#N/A</v>
      </c>
      <c r="Q35" s="251" t="str">
        <f t="array" ref="Q35:R38">XLOOKUP(N35:O38,qualdata!$N$2:$N$17,qualdata!$M$2:$M$17,"")</f>
        <v>#N/A</v>
      </c>
      <c r="R35" s="251" t="e">
        <v>#N/A</v>
      </c>
      <c r="S35" s="251"/>
      <c r="T35" s="251"/>
      <c r="U35" s="251"/>
      <c r="V35" s="251"/>
      <c r="W35" s="251"/>
      <c r="X35" s="251"/>
      <c r="Y35" s="251"/>
      <c r="Z35" s="251"/>
      <c r="AA35" s="251"/>
    </row>
    <row r="36">
      <c r="A36" s="251"/>
      <c r="B36" s="251"/>
      <c r="C36" s="251"/>
      <c r="D36" s="251"/>
      <c r="E36" s="251" t="e">
        <v>#N/A</v>
      </c>
      <c r="F36" s="251" t="e">
        <v>#N/A</v>
      </c>
      <c r="G36" s="251" t="e">
        <v>#N/A</v>
      </c>
      <c r="H36" s="251" t="e">
        <v>#N/A</v>
      </c>
      <c r="I36" s="251"/>
      <c r="J36" s="251"/>
      <c r="K36" s="251"/>
      <c r="L36" s="251"/>
      <c r="M36" s="251" t="e">
        <v>#N/A</v>
      </c>
      <c r="N36" s="251" t="str">
        <f t="shared" ref="N36:O36" si="14">if(J36="",F36,J36)</f>
        <v>#N/A</v>
      </c>
      <c r="O36" s="251" t="str">
        <f t="shared" si="14"/>
        <v>#N/A</v>
      </c>
      <c r="P36" s="251" t="e">
        <v>#N/A</v>
      </c>
      <c r="Q36" s="251" t="e">
        <v>#N/A</v>
      </c>
      <c r="R36" s="251" t="e">
        <v>#N/A</v>
      </c>
      <c r="S36" s="251"/>
      <c r="T36" s="251"/>
      <c r="U36" s="251"/>
      <c r="V36" s="251"/>
      <c r="W36" s="251"/>
      <c r="X36" s="251"/>
      <c r="Y36" s="251"/>
      <c r="Z36" s="251"/>
      <c r="AA36" s="251"/>
    </row>
    <row r="37">
      <c r="A37" s="251"/>
      <c r="B37" s="251"/>
      <c r="C37" s="251"/>
      <c r="D37" s="251"/>
      <c r="E37" s="251" t="e">
        <v>#N/A</v>
      </c>
      <c r="F37" s="251" t="e">
        <v>#N/A</v>
      </c>
      <c r="G37" s="251" t="e">
        <v>#N/A</v>
      </c>
      <c r="H37" s="251" t="e">
        <v>#N/A</v>
      </c>
      <c r="I37" s="251"/>
      <c r="J37" s="251"/>
      <c r="K37" s="251"/>
      <c r="L37" s="251"/>
      <c r="M37" s="251" t="e">
        <v>#N/A</v>
      </c>
      <c r="N37" s="251" t="str">
        <f t="shared" ref="N37:O37" si="15">if(J37="",F37,J37)</f>
        <v>#N/A</v>
      </c>
      <c r="O37" s="251" t="str">
        <f t="shared" si="15"/>
        <v>#N/A</v>
      </c>
      <c r="P37" s="251" t="e">
        <v>#N/A</v>
      </c>
      <c r="Q37" s="251" t="e">
        <v>#N/A</v>
      </c>
      <c r="R37" s="251" t="e">
        <v>#N/A</v>
      </c>
      <c r="S37" s="251"/>
      <c r="T37" s="251"/>
      <c r="U37" s="251"/>
      <c r="V37" s="251"/>
      <c r="W37" s="251"/>
      <c r="X37" s="251"/>
      <c r="Y37" s="251"/>
      <c r="Z37" s="251"/>
      <c r="AA37" s="251"/>
    </row>
    <row r="38">
      <c r="A38" s="251"/>
      <c r="B38" s="251"/>
      <c r="C38" s="251"/>
      <c r="D38" s="251"/>
      <c r="E38" s="251" t="e">
        <v>#N/A</v>
      </c>
      <c r="F38" s="251" t="e">
        <v>#N/A</v>
      </c>
      <c r="G38" s="251" t="e">
        <v>#N/A</v>
      </c>
      <c r="H38" s="251" t="e">
        <v>#N/A</v>
      </c>
      <c r="I38" s="251"/>
      <c r="J38" s="251"/>
      <c r="K38" s="251"/>
      <c r="L38" s="251"/>
      <c r="M38" s="251" t="e">
        <v>#N/A</v>
      </c>
      <c r="N38" s="251" t="str">
        <f t="shared" ref="N38:O38" si="16">if(J38="",F38,J38)</f>
        <v>#N/A</v>
      </c>
      <c r="O38" s="251" t="str">
        <f t="shared" si="16"/>
        <v>#N/A</v>
      </c>
      <c r="P38" s="251" t="e">
        <v>#N/A</v>
      </c>
      <c r="Q38" s="251" t="e">
        <v>#N/A</v>
      </c>
      <c r="R38" s="251" t="e">
        <v>#N/A</v>
      </c>
      <c r="S38" s="251"/>
      <c r="T38" s="251"/>
      <c r="U38" s="251"/>
      <c r="V38" s="251"/>
      <c r="W38" s="251"/>
      <c r="X38" s="251"/>
      <c r="Y38" s="251"/>
      <c r="Z38" s="251"/>
      <c r="AA38" s="251"/>
    </row>
    <row r="39">
      <c r="A39" s="251"/>
      <c r="B39" s="251"/>
      <c r="C39" s="251"/>
      <c r="D39" s="251"/>
      <c r="E39" s="251"/>
      <c r="F39" s="251"/>
      <c r="G39" s="251"/>
      <c r="H39" s="251"/>
      <c r="I39" s="251"/>
      <c r="J39" s="251"/>
      <c r="K39" s="251"/>
      <c r="L39" s="251"/>
      <c r="M39" s="251" t="s">
        <v>300</v>
      </c>
      <c r="N39" s="251"/>
      <c r="O39" s="251"/>
      <c r="P39" s="251" t="s">
        <v>300</v>
      </c>
      <c r="Q39" s="251" t="str">
        <f t="array" ref="Q39:R42">{{R38;R37;R36;R35},{Q38;Q37;Q36;Q35}}</f>
        <v>#N/A</v>
      </c>
      <c r="R39" s="251" t="e">
        <v>#N/A</v>
      </c>
      <c r="S39" s="251"/>
      <c r="T39" s="251"/>
      <c r="U39" s="251"/>
      <c r="V39" s="251"/>
      <c r="W39" s="251"/>
      <c r="X39" s="251"/>
      <c r="Y39" s="251"/>
      <c r="Z39" s="251"/>
      <c r="AA39" s="251"/>
    </row>
    <row r="40" hidden="1">
      <c r="A40" s="251"/>
      <c r="B40" s="251"/>
      <c r="C40" s="251"/>
      <c r="D40" s="251"/>
      <c r="E40" s="251"/>
      <c r="F40" s="251"/>
      <c r="G40" s="251"/>
      <c r="H40" s="251"/>
      <c r="I40" s="251"/>
      <c r="J40" s="251"/>
      <c r="K40" s="251"/>
      <c r="L40" s="251"/>
      <c r="M40" s="251" t="s">
        <v>300</v>
      </c>
      <c r="N40" s="251"/>
      <c r="O40" s="251"/>
      <c r="P40" s="251" t="s">
        <v>300</v>
      </c>
      <c r="Q40" s="251" t="e">
        <v>#N/A</v>
      </c>
      <c r="R40" s="251" t="e">
        <v>#N/A</v>
      </c>
      <c r="S40" s="251"/>
      <c r="T40" s="251"/>
      <c r="U40" s="251"/>
      <c r="V40" s="251"/>
      <c r="W40" s="251"/>
      <c r="X40" s="251"/>
      <c r="Y40" s="251"/>
      <c r="Z40" s="251"/>
      <c r="AA40" s="251"/>
    </row>
    <row r="41" hidden="1">
      <c r="A41" s="251"/>
      <c r="B41" s="251"/>
      <c r="C41" s="251"/>
      <c r="D41" s="251"/>
      <c r="E41" s="251"/>
      <c r="F41" s="251"/>
      <c r="G41" s="251"/>
      <c r="H41" s="251"/>
      <c r="I41" s="251"/>
      <c r="J41" s="251"/>
      <c r="K41" s="251"/>
      <c r="L41" s="251"/>
      <c r="M41" s="251" t="s">
        <v>300</v>
      </c>
      <c r="N41" s="251"/>
      <c r="O41" s="251"/>
      <c r="P41" s="251" t="s">
        <v>300</v>
      </c>
      <c r="Q41" s="251" t="e">
        <v>#N/A</v>
      </c>
      <c r="R41" s="251" t="e">
        <v>#N/A</v>
      </c>
      <c r="S41" s="251"/>
      <c r="T41" s="251"/>
      <c r="U41" s="251"/>
      <c r="V41" s="251"/>
      <c r="W41" s="251"/>
      <c r="X41" s="251"/>
      <c r="Y41" s="251"/>
      <c r="Z41" s="251"/>
      <c r="AA41" s="251"/>
    </row>
    <row r="42" hidden="1">
      <c r="A42" s="251"/>
      <c r="B42" s="251"/>
      <c r="C42" s="251"/>
      <c r="D42" s="251"/>
      <c r="E42" s="251"/>
      <c r="F42" s="251"/>
      <c r="G42" s="251"/>
      <c r="H42" s="251"/>
      <c r="I42" s="251"/>
      <c r="J42" s="251"/>
      <c r="K42" s="251"/>
      <c r="L42" s="251"/>
      <c r="M42" s="251" t="s">
        <v>300</v>
      </c>
      <c r="N42" s="251"/>
      <c r="O42" s="251"/>
      <c r="P42" s="251" t="s">
        <v>300</v>
      </c>
      <c r="Q42" s="251" t="e">
        <v>#N/A</v>
      </c>
      <c r="R42" s="251" t="e">
        <v>#N/A</v>
      </c>
      <c r="S42" s="251"/>
      <c r="T42" s="251"/>
      <c r="U42" s="251"/>
      <c r="V42" s="251"/>
      <c r="W42" s="251"/>
      <c r="X42" s="251"/>
      <c r="Y42" s="251"/>
      <c r="Z42" s="251"/>
      <c r="AA42" s="251"/>
    </row>
    <row r="43" hidden="1">
      <c r="A43" s="251"/>
      <c r="B43" s="251"/>
      <c r="C43" s="251"/>
      <c r="D43" s="251"/>
      <c r="E43" s="251"/>
      <c r="F43" s="251"/>
      <c r="G43" s="251"/>
      <c r="H43" s="251"/>
      <c r="I43" s="251"/>
      <c r="J43" s="251"/>
      <c r="K43" s="251"/>
      <c r="L43" s="251"/>
      <c r="M43" s="251" t="s">
        <v>300</v>
      </c>
      <c r="N43" s="251"/>
      <c r="O43" s="251"/>
      <c r="P43" s="251" t="s">
        <v>300</v>
      </c>
      <c r="Q43" s="251"/>
      <c r="R43" s="251"/>
      <c r="S43" s="251"/>
      <c r="T43" s="251"/>
      <c r="U43" s="251"/>
      <c r="V43" s="251"/>
      <c r="W43" s="251"/>
      <c r="X43" s="251"/>
      <c r="Y43" s="251"/>
      <c r="Z43" s="251"/>
      <c r="AA43" s="251"/>
    </row>
    <row r="44">
      <c r="A44" s="251"/>
      <c r="B44" s="255" t="s">
        <v>365</v>
      </c>
      <c r="S44" s="251"/>
      <c r="T44" s="251"/>
      <c r="U44" s="251"/>
      <c r="V44" s="251"/>
      <c r="W44" s="251"/>
      <c r="X44" s="251"/>
      <c r="Y44" s="251"/>
      <c r="Z44" s="251"/>
      <c r="AA44" s="251"/>
    </row>
    <row r="45">
      <c r="A45" s="251"/>
      <c r="B45" s="251" t="str">
        <f t="array" ref="B45:C46">{qualreseeding!A58:A59,qualreseeding!K58:K59}</f>
        <v>#N/A</v>
      </c>
      <c r="C45" s="251"/>
      <c r="D45" s="251"/>
      <c r="E45" s="251" t="str">
        <f t="array" ref="E45:E46">XLOOKUP(B45:B46,qualdata!$M$2:$M$17,qualdata!$O$2:$O$17)</f>
        <v>#N/A</v>
      </c>
      <c r="F45" s="251" t="str">
        <f t="array" ref="F45:G46">XLOOKUP(B45:C46,qualdata!$M$2:$M$17,qualdata!$N$2:$N$17)</f>
        <v>#N/A</v>
      </c>
      <c r="G45" s="251" t="e">
        <v>#N/A</v>
      </c>
      <c r="H45" s="251" t="str">
        <f t="array" ref="H45:H46">XLOOKUP(C45:C46,qualdata!$M$2:$M$17,qualdata!$O$2:$O$17)</f>
        <v>#N/A</v>
      </c>
      <c r="I45" s="251"/>
      <c r="J45" s="251"/>
      <c r="K45" s="251"/>
      <c r="L45" s="251"/>
      <c r="M45" s="251" t="e">
        <v>#N/A</v>
      </c>
      <c r="N45" s="251" t="str">
        <f t="shared" ref="N45:O45" si="17">if(J45="",F45,J45)</f>
        <v>#N/A</v>
      </c>
      <c r="O45" s="251" t="str">
        <f t="shared" si="17"/>
        <v>#N/A</v>
      </c>
      <c r="P45" s="251" t="e">
        <v>#N/A</v>
      </c>
      <c r="Q45" s="251" t="str">
        <f t="array" ref="Q45:R46">XLOOKUP(N45:O46,qualdata!$N$2:$N$17,qualdata!$M$2:$M$17,"")</f>
        <v>#N/A</v>
      </c>
      <c r="R45" s="251" t="e">
        <v>#N/A</v>
      </c>
      <c r="S45" s="251"/>
      <c r="T45" s="251"/>
      <c r="U45" s="251"/>
      <c r="V45" s="251"/>
      <c r="W45" s="251"/>
      <c r="X45" s="251"/>
      <c r="Y45" s="251"/>
      <c r="Z45" s="251"/>
      <c r="AA45" s="251"/>
    </row>
    <row r="46">
      <c r="A46" s="251"/>
      <c r="B46" s="251"/>
      <c r="C46" s="251"/>
      <c r="D46" s="251"/>
      <c r="E46" s="251" t="e">
        <v>#N/A</v>
      </c>
      <c r="F46" s="251" t="e">
        <v>#N/A</v>
      </c>
      <c r="G46" s="251" t="e">
        <v>#N/A</v>
      </c>
      <c r="H46" s="251" t="e">
        <v>#N/A</v>
      </c>
      <c r="I46" s="251"/>
      <c r="J46" s="251"/>
      <c r="K46" s="251"/>
      <c r="L46" s="251"/>
      <c r="M46" s="251" t="e">
        <v>#N/A</v>
      </c>
      <c r="N46" s="251" t="str">
        <f t="shared" ref="N46:O46" si="18">if(J46="",F46,J46)</f>
        <v>#N/A</v>
      </c>
      <c r="O46" s="251" t="str">
        <f t="shared" si="18"/>
        <v>#N/A</v>
      </c>
      <c r="P46" s="251" t="e">
        <v>#N/A</v>
      </c>
      <c r="Q46" s="251" t="e">
        <v>#N/A</v>
      </c>
      <c r="R46" s="251" t="e">
        <v>#N/A</v>
      </c>
      <c r="S46" s="251"/>
      <c r="T46" s="251"/>
      <c r="U46" s="251"/>
      <c r="V46" s="251"/>
      <c r="W46" s="251"/>
      <c r="X46" s="251"/>
      <c r="Y46" s="251"/>
      <c r="Z46" s="251"/>
      <c r="AA46" s="251"/>
    </row>
    <row r="47">
      <c r="A47" s="251"/>
      <c r="B47" s="251"/>
      <c r="C47" s="251"/>
      <c r="D47" s="251"/>
      <c r="E47" s="251"/>
      <c r="F47" s="251"/>
      <c r="G47" s="251"/>
      <c r="H47" s="251"/>
      <c r="I47" s="251"/>
      <c r="J47" s="251"/>
      <c r="K47" s="251"/>
      <c r="L47" s="251"/>
      <c r="M47" s="251" t="s">
        <v>300</v>
      </c>
      <c r="N47" s="251"/>
      <c r="O47" s="251"/>
      <c r="P47" s="251" t="s">
        <v>300</v>
      </c>
      <c r="Q47" s="251" t="str">
        <f t="array" ref="Q47:R48">{{R46;R45},{Q46;Q45}}</f>
        <v>#N/A</v>
      </c>
      <c r="R47" s="251" t="e">
        <v>#N/A</v>
      </c>
      <c r="S47" s="251"/>
      <c r="T47" s="251"/>
      <c r="U47" s="251"/>
      <c r="V47" s="251"/>
      <c r="W47" s="251"/>
      <c r="X47" s="251"/>
      <c r="Y47" s="251"/>
      <c r="Z47" s="251"/>
      <c r="AA47" s="251"/>
    </row>
    <row r="48" hidden="1">
      <c r="A48" s="251"/>
      <c r="B48" s="251"/>
      <c r="C48" s="251"/>
      <c r="D48" s="251"/>
      <c r="E48" s="251"/>
      <c r="F48" s="251"/>
      <c r="G48" s="251"/>
      <c r="H48" s="251"/>
      <c r="I48" s="251"/>
      <c r="J48" s="251"/>
      <c r="K48" s="251"/>
      <c r="L48" s="251"/>
      <c r="M48" s="251" t="s">
        <v>300</v>
      </c>
      <c r="N48" s="251"/>
      <c r="O48" s="251"/>
      <c r="P48" s="251" t="s">
        <v>300</v>
      </c>
      <c r="Q48" s="251" t="e">
        <v>#N/A</v>
      </c>
      <c r="R48" s="251" t="e">
        <v>#N/A</v>
      </c>
      <c r="S48" s="251"/>
      <c r="T48" s="251"/>
      <c r="U48" s="251"/>
      <c r="V48" s="251"/>
      <c r="W48" s="251"/>
      <c r="X48" s="251"/>
      <c r="Y48" s="251"/>
      <c r="Z48" s="251"/>
      <c r="AA48" s="251"/>
    </row>
    <row r="49" hidden="1">
      <c r="A49" s="251"/>
      <c r="B49" s="251"/>
      <c r="C49" s="251"/>
      <c r="D49" s="251"/>
      <c r="E49" s="251"/>
      <c r="F49" s="251"/>
      <c r="G49" s="251"/>
      <c r="H49" s="251"/>
      <c r="I49" s="251"/>
      <c r="J49" s="251"/>
      <c r="K49" s="251"/>
      <c r="L49" s="251"/>
      <c r="M49" s="251" t="s">
        <v>300</v>
      </c>
      <c r="N49" s="251"/>
      <c r="O49" s="251"/>
      <c r="P49" s="251" t="s">
        <v>300</v>
      </c>
      <c r="Q49" s="251"/>
      <c r="R49" s="251"/>
      <c r="S49" s="251"/>
      <c r="T49" s="251"/>
      <c r="U49" s="251"/>
      <c r="V49" s="251"/>
      <c r="W49" s="251"/>
      <c r="X49" s="251"/>
      <c r="Y49" s="251"/>
      <c r="Z49" s="251"/>
      <c r="AA49" s="251"/>
    </row>
    <row r="50">
      <c r="A50" s="251"/>
      <c r="B50" s="255" t="s">
        <v>366</v>
      </c>
      <c r="S50" s="251"/>
      <c r="T50" s="251"/>
      <c r="U50" s="251"/>
      <c r="V50" s="251"/>
      <c r="W50" s="251"/>
      <c r="X50" s="251"/>
      <c r="Y50" s="251"/>
      <c r="Z50" s="251"/>
      <c r="AA50" s="251"/>
    </row>
    <row r="51">
      <c r="A51" s="251"/>
      <c r="B51" s="251" t="str">
        <f t="array" ref="B51:C54">qualreseeding!P121:Q124</f>
        <v>#N/A</v>
      </c>
      <c r="C51" s="251"/>
      <c r="D51" s="251"/>
      <c r="E51" s="251" t="str">
        <f t="array" ref="E51:E54">XLOOKUP(B51:B54,qualdata!$M$2:$M$17,qualdata!$O$2:$O$17)</f>
        <v>#N/A</v>
      </c>
      <c r="F51" s="251" t="str">
        <f t="array" ref="F51:G54">XLOOKUP(B51:C54,qualdata!$M$2:$M$17,qualdata!$N$2:$N$17)</f>
        <v>#N/A</v>
      </c>
      <c r="G51" s="251" t="e">
        <v>#N/A</v>
      </c>
      <c r="H51" s="251" t="str">
        <f t="array" ref="H51:H54">XLOOKUP(C51:C54,qualdata!$M$2:$M$17,qualdata!$O$2:$O$17)</f>
        <v>#N/A</v>
      </c>
      <c r="I51" s="251"/>
      <c r="J51" s="251"/>
      <c r="K51" s="251"/>
      <c r="L51" s="251"/>
      <c r="M51" s="251" t="e">
        <v>#N/A</v>
      </c>
      <c r="N51" s="251" t="str">
        <f t="shared" ref="N51:O51" si="19">if(J51="",F51,J51)</f>
        <v>#N/A</v>
      </c>
      <c r="O51" s="251" t="str">
        <f t="shared" si="19"/>
        <v>#N/A</v>
      </c>
      <c r="P51" s="251" t="e">
        <v>#N/A</v>
      </c>
      <c r="Q51" s="251" t="str">
        <f t="array" ref="Q51:R54">XLOOKUP(N51:O54,qualdata!$N$2:$N$17,qualdata!$M$2:$M$17,"")</f>
        <v>#N/A</v>
      </c>
      <c r="R51" s="251" t="e">
        <v>#N/A</v>
      </c>
      <c r="S51" s="251"/>
      <c r="T51" s="251"/>
      <c r="U51" s="251"/>
      <c r="V51" s="251"/>
      <c r="W51" s="251"/>
      <c r="X51" s="251"/>
      <c r="Y51" s="251"/>
      <c r="Z51" s="251"/>
      <c r="AA51" s="251"/>
    </row>
    <row r="52">
      <c r="A52" s="251"/>
      <c r="B52" s="251"/>
      <c r="C52" s="251"/>
      <c r="D52" s="251"/>
      <c r="E52" s="251" t="e">
        <v>#N/A</v>
      </c>
      <c r="F52" s="251" t="e">
        <v>#N/A</v>
      </c>
      <c r="G52" s="251" t="e">
        <v>#N/A</v>
      </c>
      <c r="H52" s="251" t="e">
        <v>#N/A</v>
      </c>
      <c r="I52" s="251"/>
      <c r="J52" s="256"/>
      <c r="K52" s="256"/>
      <c r="L52" s="251"/>
      <c r="M52" s="251" t="e">
        <v>#N/A</v>
      </c>
      <c r="N52" s="251" t="str">
        <f t="shared" ref="N52:O52" si="20">if(J52="",F52,J52)</f>
        <v>#N/A</v>
      </c>
      <c r="O52" s="251" t="str">
        <f t="shared" si="20"/>
        <v>#N/A</v>
      </c>
      <c r="P52" s="251" t="e">
        <v>#N/A</v>
      </c>
      <c r="Q52" s="251" t="e">
        <v>#N/A</v>
      </c>
      <c r="R52" s="251" t="e">
        <v>#N/A</v>
      </c>
      <c r="S52" s="251"/>
      <c r="T52" s="251"/>
      <c r="U52" s="251"/>
      <c r="V52" s="251"/>
      <c r="W52" s="251"/>
      <c r="X52" s="251"/>
      <c r="Y52" s="251"/>
      <c r="Z52" s="251"/>
      <c r="AA52" s="251"/>
    </row>
    <row r="53">
      <c r="A53" s="251"/>
      <c r="B53" s="251"/>
      <c r="C53" s="251"/>
      <c r="D53" s="251"/>
      <c r="E53" s="251" t="e">
        <v>#N/A</v>
      </c>
      <c r="F53" s="251" t="e">
        <v>#N/A</v>
      </c>
      <c r="G53" s="251" t="e">
        <v>#N/A</v>
      </c>
      <c r="H53" s="251" t="e">
        <v>#N/A</v>
      </c>
      <c r="I53" s="251"/>
      <c r="J53" s="251"/>
      <c r="K53" s="251"/>
      <c r="L53" s="251"/>
      <c r="M53" s="251" t="e">
        <v>#N/A</v>
      </c>
      <c r="N53" s="251" t="str">
        <f t="shared" ref="N53:O53" si="21">if(J53="",F53,J53)</f>
        <v>#N/A</v>
      </c>
      <c r="O53" s="251" t="str">
        <f t="shared" si="21"/>
        <v>#N/A</v>
      </c>
      <c r="P53" s="251" t="e">
        <v>#N/A</v>
      </c>
      <c r="Q53" s="251" t="e">
        <v>#N/A</v>
      </c>
      <c r="R53" s="251" t="e">
        <v>#N/A</v>
      </c>
      <c r="S53" s="251"/>
      <c r="T53" s="251"/>
      <c r="U53" s="251"/>
      <c r="V53" s="251"/>
      <c r="W53" s="251"/>
      <c r="X53" s="251"/>
      <c r="Y53" s="251"/>
      <c r="Z53" s="251"/>
      <c r="AA53" s="251"/>
    </row>
    <row r="54">
      <c r="A54" s="251"/>
      <c r="B54" s="251"/>
      <c r="C54" s="251"/>
      <c r="D54" s="251"/>
      <c r="E54" s="251" t="e">
        <v>#N/A</v>
      </c>
      <c r="F54" s="251" t="e">
        <v>#N/A</v>
      </c>
      <c r="G54" s="251" t="e">
        <v>#N/A</v>
      </c>
      <c r="H54" s="251" t="e">
        <v>#N/A</v>
      </c>
      <c r="I54" s="251"/>
      <c r="J54" s="256"/>
      <c r="K54" s="251"/>
      <c r="L54" s="251"/>
      <c r="M54" s="251" t="e">
        <v>#N/A</v>
      </c>
      <c r="N54" s="251" t="str">
        <f t="shared" ref="N54:O54" si="22">if(J54="",F54,J54)</f>
        <v>#N/A</v>
      </c>
      <c r="O54" s="251" t="str">
        <f t="shared" si="22"/>
        <v>#N/A</v>
      </c>
      <c r="P54" s="251" t="e">
        <v>#N/A</v>
      </c>
      <c r="Q54" s="251" t="e">
        <v>#N/A</v>
      </c>
      <c r="R54" s="251" t="e">
        <v>#N/A</v>
      </c>
      <c r="S54" s="251"/>
      <c r="T54" s="251"/>
      <c r="U54" s="251"/>
      <c r="V54" s="251"/>
      <c r="W54" s="251"/>
      <c r="X54" s="251"/>
      <c r="Y54" s="251"/>
      <c r="Z54" s="251"/>
      <c r="AA54" s="251"/>
    </row>
    <row r="55">
      <c r="A55" s="251"/>
      <c r="B55" s="251"/>
      <c r="C55" s="251"/>
      <c r="D55" s="251"/>
      <c r="E55" s="251"/>
      <c r="F55" s="251"/>
      <c r="G55" s="251"/>
      <c r="H55" s="251"/>
      <c r="I55" s="251"/>
      <c r="J55" s="251"/>
      <c r="K55" s="251"/>
      <c r="L55" s="251"/>
      <c r="M55" s="251" t="s">
        <v>300</v>
      </c>
      <c r="N55" s="251"/>
      <c r="O55" s="251"/>
      <c r="P55" s="251" t="s">
        <v>300</v>
      </c>
      <c r="Q55" s="251"/>
      <c r="R55" s="251"/>
      <c r="S55" s="251"/>
      <c r="T55" s="251"/>
      <c r="U55" s="251"/>
      <c r="V55" s="251"/>
      <c r="W55" s="251"/>
      <c r="X55" s="251"/>
      <c r="Y55" s="251"/>
      <c r="Z55" s="251"/>
      <c r="AA55" s="251"/>
    </row>
    <row r="56" hidden="1">
      <c r="A56" s="251"/>
      <c r="B56" s="251"/>
      <c r="C56" s="251"/>
      <c r="D56" s="251"/>
      <c r="E56" s="251"/>
      <c r="F56" s="251"/>
      <c r="G56" s="251"/>
      <c r="H56" s="251"/>
      <c r="I56" s="251"/>
      <c r="J56" s="251"/>
      <c r="K56" s="251"/>
      <c r="L56" s="251"/>
      <c r="M56" s="251" t="s">
        <v>300</v>
      </c>
      <c r="N56" s="251"/>
      <c r="O56" s="251"/>
      <c r="P56" s="251" t="s">
        <v>300</v>
      </c>
      <c r="Q56" s="251"/>
      <c r="R56" s="251"/>
      <c r="S56" s="251"/>
      <c r="T56" s="251"/>
      <c r="U56" s="251"/>
      <c r="V56" s="251"/>
      <c r="W56" s="251"/>
      <c r="X56" s="251"/>
      <c r="Y56" s="251"/>
      <c r="Z56" s="251"/>
      <c r="AA56" s="251"/>
    </row>
    <row r="57">
      <c r="A57" s="251"/>
      <c r="B57" s="255" t="s">
        <v>367</v>
      </c>
      <c r="S57" s="251"/>
      <c r="T57" s="251"/>
      <c r="U57" s="251"/>
      <c r="V57" s="251"/>
      <c r="W57" s="251"/>
      <c r="X57" s="251"/>
      <c r="Y57" s="251"/>
      <c r="Z57" s="251"/>
      <c r="AA57" s="251"/>
    </row>
    <row r="58">
      <c r="A58" s="251"/>
      <c r="B58" s="251" t="str">
        <f t="array" ref="B58:C59">{qualreseeding!A64:A65,qualreseeding!K64:K65}</f>
        <v>#REF!</v>
      </c>
      <c r="C58" s="251"/>
      <c r="D58" s="251"/>
      <c r="E58" s="251" t="str">
        <f t="array" ref="E58:E59">XLOOKUP(B58:B59,qualdata!$M$2:$M$17,qualdata!$O$2:$O$17)</f>
        <v>#REF!</v>
      </c>
      <c r="F58" s="251" t="str">
        <f t="array" ref="F58:G59">XLOOKUP(B58:C59,qualdata!$M$2:$M$17,qualdata!$N$2:$N$17)</f>
        <v>#REF!</v>
      </c>
      <c r="G58" s="251" t="e">
        <v>#N/A</v>
      </c>
      <c r="H58" s="251" t="str">
        <f t="array" ref="H58:H59">XLOOKUP(C58:C59,qualdata!$M$2:$M$17,qualdata!$O$2:$O$17)</f>
        <v>#N/A</v>
      </c>
      <c r="I58" s="251"/>
      <c r="J58" s="251"/>
      <c r="K58" s="251"/>
      <c r="L58" s="251"/>
      <c r="M58" s="251" t="e">
        <v>#REF!</v>
      </c>
      <c r="N58" s="251" t="str">
        <f t="shared" ref="N58:O58" si="23">if(J58="",F58,J58)</f>
        <v>#REF!</v>
      </c>
      <c r="O58" s="251" t="str">
        <f t="shared" si="23"/>
        <v>#N/A</v>
      </c>
      <c r="P58" s="251" t="e">
        <v>#N/A</v>
      </c>
      <c r="Q58" s="251" t="str">
        <f t="array" ref="Q58:R59">XLOOKUP(N58:O59,qualdata!$N$2:$N$17,qualdata!$M$2:$M$17,"")</f>
        <v>#REF!</v>
      </c>
      <c r="R58" s="251" t="e">
        <v>#N/A</v>
      </c>
      <c r="S58" s="251"/>
      <c r="T58" s="251"/>
      <c r="U58" s="251"/>
      <c r="V58" s="251"/>
      <c r="W58" s="251"/>
      <c r="X58" s="251"/>
      <c r="Y58" s="251"/>
      <c r="Z58" s="251"/>
      <c r="AA58" s="251"/>
    </row>
    <row r="59">
      <c r="A59" s="251"/>
      <c r="B59" s="251"/>
      <c r="C59" s="251"/>
      <c r="D59" s="251"/>
      <c r="E59" s="251" t="e">
        <v>#N/A</v>
      </c>
      <c r="F59" s="251" t="e">
        <v>#N/A</v>
      </c>
      <c r="G59" s="251" t="e">
        <v>#N/A</v>
      </c>
      <c r="H59" s="251" t="e">
        <v>#N/A</v>
      </c>
      <c r="I59" s="251"/>
      <c r="J59" s="251"/>
      <c r="K59" s="251"/>
      <c r="L59" s="251"/>
      <c r="M59" s="251" t="e">
        <v>#N/A</v>
      </c>
      <c r="N59" s="251" t="str">
        <f t="shared" ref="N59:O59" si="24">if(J59="",F59,J59)</f>
        <v>#N/A</v>
      </c>
      <c r="O59" s="251" t="str">
        <f t="shared" si="24"/>
        <v>#N/A</v>
      </c>
      <c r="P59" s="251" t="e">
        <v>#N/A</v>
      </c>
      <c r="Q59" s="251" t="e">
        <v>#N/A</v>
      </c>
      <c r="R59" s="251" t="e">
        <v>#N/A</v>
      </c>
      <c r="S59" s="251"/>
      <c r="T59" s="251"/>
      <c r="U59" s="251"/>
      <c r="V59" s="251"/>
      <c r="W59" s="251"/>
      <c r="X59" s="251"/>
      <c r="Y59" s="251"/>
      <c r="Z59" s="251"/>
      <c r="AA59" s="251"/>
    </row>
    <row r="60">
      <c r="A60" s="251"/>
      <c r="B60" s="251"/>
      <c r="C60" s="251"/>
      <c r="D60" s="251"/>
      <c r="E60" s="251"/>
      <c r="F60" s="251"/>
      <c r="G60" s="251"/>
      <c r="H60" s="251"/>
      <c r="I60" s="251"/>
      <c r="J60" s="251"/>
      <c r="K60" s="251"/>
      <c r="L60" s="251"/>
      <c r="M60" s="251" t="s">
        <v>300</v>
      </c>
      <c r="N60" s="251"/>
      <c r="O60" s="251"/>
      <c r="P60" s="251" t="s">
        <v>300</v>
      </c>
      <c r="Q60" s="251" t="str">
        <f t="array" ref="Q60:R61">{{R59;R58},{Q59;Q58}}</f>
        <v>#N/A</v>
      </c>
      <c r="R60" s="251" t="e">
        <v>#N/A</v>
      </c>
      <c r="S60" s="251"/>
      <c r="T60" s="251"/>
      <c r="U60" s="251"/>
      <c r="V60" s="251"/>
      <c r="W60" s="251"/>
      <c r="X60" s="251"/>
      <c r="Y60" s="251"/>
      <c r="Z60" s="251"/>
      <c r="AA60" s="251"/>
    </row>
    <row r="61" hidden="1">
      <c r="A61" s="251"/>
      <c r="B61" s="251"/>
      <c r="C61" s="251"/>
      <c r="D61" s="251"/>
      <c r="E61" s="251"/>
      <c r="F61" s="251"/>
      <c r="G61" s="251"/>
      <c r="H61" s="251"/>
      <c r="I61" s="251"/>
      <c r="J61" s="251"/>
      <c r="K61" s="251"/>
      <c r="L61" s="251"/>
      <c r="M61" s="251" t="s">
        <v>300</v>
      </c>
      <c r="N61" s="251"/>
      <c r="O61" s="251"/>
      <c r="P61" s="251" t="s">
        <v>300</v>
      </c>
      <c r="Q61" s="251" t="e">
        <v>#N/A</v>
      </c>
      <c r="R61" s="251" t="e">
        <v>#REF!</v>
      </c>
      <c r="S61" s="251"/>
      <c r="T61" s="251"/>
      <c r="U61" s="251"/>
      <c r="V61" s="251"/>
      <c r="W61" s="251"/>
      <c r="X61" s="251"/>
      <c r="Y61" s="251"/>
      <c r="Z61" s="251"/>
      <c r="AA61" s="251"/>
    </row>
    <row r="62" hidden="1">
      <c r="A62" s="251"/>
      <c r="B62" s="251"/>
      <c r="C62" s="251"/>
      <c r="D62" s="251"/>
      <c r="E62" s="251"/>
      <c r="F62" s="251"/>
      <c r="G62" s="251"/>
      <c r="H62" s="251"/>
      <c r="I62" s="251"/>
      <c r="J62" s="251"/>
      <c r="K62" s="251"/>
      <c r="L62" s="251"/>
      <c r="M62" s="251" t="s">
        <v>300</v>
      </c>
      <c r="N62" s="251"/>
      <c r="O62" s="251"/>
      <c r="P62" s="251" t="s">
        <v>300</v>
      </c>
      <c r="Q62" s="251"/>
      <c r="R62" s="251"/>
      <c r="S62" s="251"/>
      <c r="T62" s="251"/>
      <c r="U62" s="251"/>
      <c r="V62" s="251"/>
      <c r="W62" s="251"/>
      <c r="X62" s="251"/>
      <c r="Y62" s="251"/>
      <c r="Z62" s="251"/>
      <c r="AA62" s="251"/>
    </row>
    <row r="63">
      <c r="A63" s="251"/>
      <c r="B63" s="255" t="s">
        <v>368</v>
      </c>
      <c r="S63" s="251"/>
      <c r="T63" s="251"/>
      <c r="U63" s="251"/>
      <c r="V63" s="251"/>
      <c r="W63" s="251"/>
      <c r="X63" s="251"/>
      <c r="Y63" s="251"/>
      <c r="Z63" s="251"/>
      <c r="AA63" s="251"/>
    </row>
    <row r="64">
      <c r="A64" s="251"/>
      <c r="B64" s="251" t="str">
        <f t="array" ref="B64:C66">qualreseeding!J207:K209</f>
        <v>#N/A</v>
      </c>
      <c r="C64" s="251"/>
      <c r="D64" s="251"/>
      <c r="E64" s="251" t="str">
        <f t="array" ref="E64:E66">XLOOKUP(B64:B66,qualdata!$M$2:$M$17,qualdata!$O$2:$O$17)</f>
        <v>#N/A</v>
      </c>
      <c r="F64" s="251" t="str">
        <f t="array" ref="F64:G66">XLOOKUP(B64:C66,qualdata!$M$2:$M$17,qualdata!$N$2:$N$17)</f>
        <v>#N/A</v>
      </c>
      <c r="G64" s="251" t="e">
        <v>#N/A</v>
      </c>
      <c r="H64" s="251" t="str">
        <f t="array" ref="H64:H66">XLOOKUP(C64:C66,qualdata!$M$2:$M$17,qualdata!$O$2:$O$17)</f>
        <v>#N/A</v>
      </c>
      <c r="I64" s="251"/>
      <c r="J64" s="256"/>
      <c r="K64" s="256"/>
      <c r="L64" s="251"/>
      <c r="M64" s="251" t="e">
        <v>#N/A</v>
      </c>
      <c r="N64" s="251" t="str">
        <f t="shared" ref="N64:O64" si="25">if(J64="",F64,J64)</f>
        <v>#N/A</v>
      </c>
      <c r="O64" s="251" t="str">
        <f t="shared" si="25"/>
        <v>#N/A</v>
      </c>
      <c r="P64" s="251" t="e">
        <v>#N/A</v>
      </c>
      <c r="Q64" s="251" t="str">
        <f t="array" ref="Q64:R66">XLOOKUP(N64:O66,qualdata!$N$2:$N$17,qualdata!$M$2:$M$17,"")</f>
        <v>#N/A</v>
      </c>
      <c r="R64" s="251" t="e">
        <v>#N/A</v>
      </c>
      <c r="S64" s="251"/>
      <c r="T64" s="251"/>
      <c r="U64" s="251"/>
      <c r="V64" s="251"/>
      <c r="W64" s="251"/>
      <c r="X64" s="251"/>
      <c r="Y64" s="251"/>
      <c r="Z64" s="251"/>
      <c r="AA64" s="251"/>
    </row>
    <row r="65">
      <c r="A65" s="251"/>
      <c r="B65" s="251"/>
      <c r="C65" s="251"/>
      <c r="D65" s="251"/>
      <c r="E65" s="251" t="e">
        <v>#N/A</v>
      </c>
      <c r="F65" s="251" t="e">
        <v>#N/A</v>
      </c>
      <c r="G65" s="251" t="e">
        <v>#N/A</v>
      </c>
      <c r="H65" s="251" t="e">
        <v>#N/A</v>
      </c>
      <c r="I65" s="251"/>
      <c r="J65" s="256"/>
      <c r="K65" s="251"/>
      <c r="L65" s="251"/>
      <c r="M65" s="251" t="e">
        <v>#N/A</v>
      </c>
      <c r="N65" s="251" t="str">
        <f t="shared" ref="N65:O65" si="26">if(J65="",F65,J65)</f>
        <v>#N/A</v>
      </c>
      <c r="O65" s="251" t="str">
        <f t="shared" si="26"/>
        <v>#N/A</v>
      </c>
      <c r="P65" s="251" t="e">
        <v>#N/A</v>
      </c>
      <c r="Q65" s="251" t="e">
        <v>#N/A</v>
      </c>
      <c r="R65" s="251" t="e">
        <v>#N/A</v>
      </c>
      <c r="S65" s="251"/>
      <c r="T65" s="251"/>
      <c r="U65" s="251"/>
      <c r="V65" s="251"/>
      <c r="W65" s="251"/>
      <c r="X65" s="251"/>
      <c r="Y65" s="251"/>
      <c r="Z65" s="251"/>
      <c r="AA65" s="251"/>
    </row>
    <row r="66">
      <c r="A66" s="251"/>
      <c r="B66" s="251"/>
      <c r="C66" s="251"/>
      <c r="D66" s="251"/>
      <c r="E66" s="251" t="e">
        <v>#N/A</v>
      </c>
      <c r="F66" s="251" t="e">
        <v>#N/A</v>
      </c>
      <c r="G66" s="251" t="e">
        <v>#N/A</v>
      </c>
      <c r="H66" s="251" t="e">
        <v>#N/A</v>
      </c>
      <c r="I66" s="251"/>
      <c r="J66" s="256"/>
      <c r="K66" s="251"/>
      <c r="L66" s="251"/>
      <c r="M66" s="251" t="e">
        <v>#N/A</v>
      </c>
      <c r="N66" s="251" t="str">
        <f t="shared" ref="N66:O66" si="27">if(J66="",F66,J66)</f>
        <v>#N/A</v>
      </c>
      <c r="O66" s="251" t="str">
        <f t="shared" si="27"/>
        <v>#N/A</v>
      </c>
      <c r="P66" s="251" t="e">
        <v>#N/A</v>
      </c>
      <c r="Q66" s="251" t="e">
        <v>#N/A</v>
      </c>
      <c r="R66" s="251" t="e">
        <v>#N/A</v>
      </c>
      <c r="S66" s="251"/>
      <c r="T66" s="251"/>
      <c r="U66" s="251"/>
      <c r="V66" s="251"/>
      <c r="W66" s="251"/>
      <c r="X66" s="251"/>
      <c r="Y66" s="251"/>
      <c r="Z66" s="251"/>
      <c r="AA66" s="251"/>
    </row>
    <row r="67">
      <c r="A67" s="251"/>
      <c r="B67" s="251"/>
      <c r="C67" s="251"/>
      <c r="D67" s="251"/>
      <c r="E67" s="251"/>
      <c r="F67" s="251"/>
      <c r="G67" s="251"/>
      <c r="H67" s="251"/>
      <c r="I67" s="251"/>
      <c r="J67" s="251"/>
      <c r="K67" s="251"/>
      <c r="L67" s="251"/>
      <c r="M67" s="251" t="s">
        <v>300</v>
      </c>
      <c r="N67" s="251"/>
      <c r="O67" s="251"/>
      <c r="P67" s="251" t="s">
        <v>300</v>
      </c>
      <c r="Q67" s="251"/>
      <c r="R67" s="251"/>
      <c r="S67" s="251"/>
      <c r="T67" s="251"/>
      <c r="U67" s="251"/>
      <c r="V67" s="251"/>
      <c r="W67" s="251"/>
      <c r="X67" s="251"/>
      <c r="Y67" s="251"/>
      <c r="Z67" s="251"/>
      <c r="AA67" s="251"/>
    </row>
    <row r="68" hidden="1">
      <c r="A68" s="251"/>
      <c r="B68" s="251"/>
      <c r="C68" s="251"/>
      <c r="D68" s="251"/>
      <c r="E68" s="251"/>
      <c r="F68" s="251"/>
      <c r="G68" s="251"/>
      <c r="H68" s="251"/>
      <c r="I68" s="251"/>
      <c r="J68" s="251"/>
      <c r="K68" s="251"/>
      <c r="L68" s="251"/>
      <c r="M68" s="251" t="s">
        <v>300</v>
      </c>
      <c r="N68" s="251"/>
      <c r="O68" s="251"/>
      <c r="P68" s="251" t="s">
        <v>300</v>
      </c>
      <c r="Q68" s="251"/>
      <c r="R68" s="251"/>
      <c r="S68" s="251"/>
      <c r="T68" s="251"/>
      <c r="U68" s="251"/>
      <c r="V68" s="251"/>
      <c r="W68" s="251"/>
      <c r="X68" s="251"/>
      <c r="Y68" s="251"/>
      <c r="Z68" s="251"/>
      <c r="AA68" s="251"/>
    </row>
    <row r="69">
      <c r="A69" s="251"/>
      <c r="B69" s="255" t="s">
        <v>369</v>
      </c>
      <c r="S69" s="251"/>
      <c r="T69" s="251"/>
      <c r="U69" s="251"/>
      <c r="V69" s="251"/>
      <c r="W69" s="251"/>
      <c r="X69" s="251"/>
      <c r="Y69" s="251"/>
      <c r="Z69" s="251"/>
      <c r="AA69" s="251"/>
    </row>
    <row r="70">
      <c r="A70" s="251"/>
      <c r="B70" s="251" t="str">
        <f t="array" ref="B70:C72">qualreseeding!J270:K272</f>
        <v>#N/A</v>
      </c>
      <c r="C70" s="251"/>
      <c r="D70" s="251"/>
      <c r="E70" s="251" t="str">
        <f t="array" ref="E70:E72">XLOOKUP(B70:B72,qualdata!$M$2:$M$17,qualdata!$O$2:$O$17)</f>
        <v>#N/A</v>
      </c>
      <c r="F70" s="251" t="str">
        <f t="array" ref="F70:G72">XLOOKUP(B70:C72,qualdata!$M$2:$M$17,qualdata!$N$2:$N$17)</f>
        <v>#N/A</v>
      </c>
      <c r="G70" s="251" t="e">
        <v>#N/A</v>
      </c>
      <c r="H70" s="251" t="str">
        <f t="array" ref="H70:H72">XLOOKUP(C70:C72,qualdata!$M$2:$M$17,qualdata!$O$2:$O$17)</f>
        <v>#N/A</v>
      </c>
      <c r="I70" s="251"/>
      <c r="J70" s="251"/>
      <c r="K70" s="251"/>
      <c r="L70" s="251"/>
      <c r="M70" s="251" t="e">
        <v>#N/A</v>
      </c>
      <c r="N70" s="251" t="str">
        <f t="shared" ref="N70:O70" si="28">if(J70="",F70,J70)</f>
        <v>#N/A</v>
      </c>
      <c r="O70" s="251" t="str">
        <f t="shared" si="28"/>
        <v>#N/A</v>
      </c>
      <c r="P70" s="251" t="e">
        <v>#N/A</v>
      </c>
      <c r="Q70" s="251" t="str">
        <f t="array" ref="Q70:R72">XLOOKUP(N70:O72,qualdata!$N$2:$N$17,qualdata!$M$2:$M$17,"")</f>
        <v>#N/A</v>
      </c>
      <c r="R70" s="251" t="e">
        <v>#N/A</v>
      </c>
      <c r="S70" s="251"/>
      <c r="T70" s="251"/>
      <c r="U70" s="251"/>
      <c r="V70" s="251"/>
      <c r="W70" s="251"/>
      <c r="X70" s="251"/>
      <c r="Y70" s="251"/>
      <c r="Z70" s="251"/>
      <c r="AA70" s="251"/>
    </row>
    <row r="71">
      <c r="A71" s="251"/>
      <c r="B71" s="251"/>
      <c r="C71" s="251"/>
      <c r="D71" s="251"/>
      <c r="E71" s="251" t="e">
        <v>#N/A</v>
      </c>
      <c r="F71" s="251" t="e">
        <v>#N/A</v>
      </c>
      <c r="G71" s="251" t="e">
        <v>#N/A</v>
      </c>
      <c r="H71" s="251" t="e">
        <v>#N/A</v>
      </c>
      <c r="I71" s="251"/>
      <c r="J71" s="251"/>
      <c r="K71" s="251"/>
      <c r="L71" s="251"/>
      <c r="M71" s="251" t="e">
        <v>#N/A</v>
      </c>
      <c r="N71" s="251" t="str">
        <f t="shared" ref="N71:O71" si="29">if(J71="",F71,J71)</f>
        <v>#N/A</v>
      </c>
      <c r="O71" s="251" t="str">
        <f t="shared" si="29"/>
        <v>#N/A</v>
      </c>
      <c r="P71" s="251" t="e">
        <v>#N/A</v>
      </c>
      <c r="Q71" s="251" t="e">
        <v>#N/A</v>
      </c>
      <c r="R71" s="251" t="e">
        <v>#N/A</v>
      </c>
      <c r="S71" s="251"/>
      <c r="T71" s="251"/>
      <c r="U71" s="251"/>
      <c r="V71" s="251"/>
      <c r="W71" s="251"/>
      <c r="X71" s="251"/>
      <c r="Y71" s="251"/>
      <c r="Z71" s="251"/>
      <c r="AA71" s="251"/>
    </row>
    <row r="72">
      <c r="A72" s="251"/>
      <c r="B72" s="251"/>
      <c r="C72" s="251"/>
      <c r="D72" s="251"/>
      <c r="E72" s="251" t="e">
        <v>#N/A</v>
      </c>
      <c r="F72" s="251" t="e">
        <v>#N/A</v>
      </c>
      <c r="G72" s="251" t="e">
        <v>#N/A</v>
      </c>
      <c r="H72" s="251" t="e">
        <v>#N/A</v>
      </c>
      <c r="I72" s="251"/>
      <c r="J72" s="251"/>
      <c r="K72" s="251"/>
      <c r="L72" s="251"/>
      <c r="M72" s="251" t="e">
        <v>#N/A</v>
      </c>
      <c r="N72" s="251" t="str">
        <f t="shared" ref="N72:O72" si="30">if(J72="",F72,J72)</f>
        <v>#N/A</v>
      </c>
      <c r="O72" s="251" t="str">
        <f t="shared" si="30"/>
        <v>#N/A</v>
      </c>
      <c r="P72" s="251" t="e">
        <v>#N/A</v>
      </c>
      <c r="Q72" s="251" t="e">
        <v>#N/A</v>
      </c>
      <c r="R72" s="251" t="e">
        <v>#N/A</v>
      </c>
      <c r="S72" s="251"/>
      <c r="T72" s="251"/>
      <c r="U72" s="251"/>
      <c r="V72" s="251"/>
      <c r="W72" s="251"/>
      <c r="X72" s="251"/>
      <c r="Y72" s="251"/>
      <c r="Z72" s="251"/>
      <c r="AA72" s="251"/>
    </row>
    <row r="73">
      <c r="A73" s="251"/>
      <c r="B73" s="251"/>
      <c r="C73" s="251"/>
      <c r="D73" s="251"/>
      <c r="E73" s="251"/>
      <c r="F73" s="251"/>
      <c r="G73" s="251"/>
      <c r="H73" s="251"/>
      <c r="I73" s="251"/>
      <c r="J73" s="251"/>
      <c r="K73" s="251"/>
      <c r="L73" s="251"/>
      <c r="M73" s="251" t="s">
        <v>300</v>
      </c>
      <c r="N73" s="251"/>
      <c r="O73" s="251"/>
      <c r="P73" s="251" t="s">
        <v>300</v>
      </c>
      <c r="Q73" s="251"/>
      <c r="R73" s="251"/>
      <c r="S73" s="251"/>
      <c r="T73" s="251"/>
      <c r="U73" s="251"/>
      <c r="V73" s="251"/>
      <c r="W73" s="251"/>
      <c r="X73" s="251"/>
      <c r="Y73" s="251"/>
      <c r="Z73" s="251"/>
      <c r="AA73" s="251"/>
    </row>
    <row r="74" hidden="1">
      <c r="A74" s="251"/>
      <c r="B74" s="251"/>
      <c r="C74" s="251"/>
      <c r="D74" s="251"/>
      <c r="E74" s="251"/>
      <c r="F74" s="251"/>
      <c r="G74" s="251"/>
      <c r="H74" s="251"/>
      <c r="I74" s="251"/>
      <c r="J74" s="251"/>
      <c r="K74" s="251"/>
      <c r="L74" s="251"/>
      <c r="M74" s="251" t="s">
        <v>300</v>
      </c>
      <c r="N74" s="251"/>
      <c r="O74" s="251"/>
      <c r="P74" s="251" t="s">
        <v>300</v>
      </c>
      <c r="Q74" s="251"/>
      <c r="R74" s="251"/>
      <c r="S74" s="251"/>
      <c r="T74" s="251"/>
      <c r="U74" s="251"/>
      <c r="V74" s="251"/>
      <c r="W74" s="251"/>
      <c r="X74" s="251"/>
      <c r="Y74" s="251"/>
      <c r="Z74" s="251"/>
      <c r="AA74" s="251"/>
    </row>
    <row r="75">
      <c r="A75" s="251"/>
      <c r="B75" s="255" t="s">
        <v>370</v>
      </c>
      <c r="S75" s="251"/>
      <c r="T75" s="251"/>
      <c r="U75" s="251"/>
      <c r="V75" s="251"/>
      <c r="W75" s="251"/>
      <c r="X75" s="251"/>
      <c r="Y75" s="251"/>
      <c r="Z75" s="251"/>
      <c r="AA75" s="251"/>
    </row>
    <row r="76">
      <c r="A76" s="251"/>
      <c r="B76" s="251" t="str">
        <f t="array" ref="B76:C78">qualreseeding!J350:K352</f>
        <v>#N/A</v>
      </c>
      <c r="C76" s="251"/>
      <c r="D76" s="251"/>
      <c r="E76" s="251" t="str">
        <f t="array" ref="E76:E78">XLOOKUP(B76:B78,qualdata!$M$2:$M$17,qualdata!$O$2:$O$17)</f>
        <v>#N/A</v>
      </c>
      <c r="F76" s="251" t="str">
        <f t="array" ref="F76:G78">XLOOKUP(B76:C78,qualdata!$M$2:$M$17,qualdata!$N$2:$N$17)</f>
        <v>#N/A</v>
      </c>
      <c r="G76" s="251" t="e">
        <v>#N/A</v>
      </c>
      <c r="H76" s="251" t="str">
        <f t="array" ref="H76:H78">XLOOKUP(C76:C78,qualdata!$M$2:$M$17,qualdata!$O$2:$O$17)</f>
        <v>#N/A</v>
      </c>
      <c r="I76" s="251"/>
      <c r="J76" s="256"/>
      <c r="K76" s="256"/>
      <c r="L76" s="251"/>
      <c r="M76" s="251" t="e">
        <v>#N/A</v>
      </c>
      <c r="N76" s="251" t="str">
        <f t="shared" ref="N76:O76" si="31">if(J76="",F76,J76)</f>
        <v>#N/A</v>
      </c>
      <c r="O76" s="251" t="str">
        <f t="shared" si="31"/>
        <v>#N/A</v>
      </c>
      <c r="P76" s="251" t="e">
        <v>#N/A</v>
      </c>
      <c r="Q76" s="251" t="str">
        <f t="array" ref="Q76:R78">XLOOKUP(N76:O78,qualdata!$N$2:$N$17,qualdata!$M$2:$M$17,"")</f>
        <v>#N/A</v>
      </c>
      <c r="R76" s="251" t="e">
        <v>#N/A</v>
      </c>
      <c r="S76" s="251"/>
      <c r="T76" s="251"/>
      <c r="U76" s="251"/>
      <c r="V76" s="251"/>
      <c r="W76" s="251"/>
      <c r="X76" s="251"/>
      <c r="Y76" s="251"/>
      <c r="Z76" s="251"/>
      <c r="AA76" s="251"/>
    </row>
    <row r="77">
      <c r="A77" s="251"/>
      <c r="B77" s="251"/>
      <c r="C77" s="251"/>
      <c r="D77" s="251"/>
      <c r="E77" s="251" t="e">
        <v>#N/A</v>
      </c>
      <c r="F77" s="251" t="e">
        <v>#N/A</v>
      </c>
      <c r="G77" s="251" t="e">
        <v>#N/A</v>
      </c>
      <c r="H77" s="251" t="e">
        <v>#N/A</v>
      </c>
      <c r="I77" s="251"/>
      <c r="J77" s="251"/>
      <c r="K77" s="251"/>
      <c r="L77" s="251"/>
      <c r="M77" s="251" t="e">
        <v>#N/A</v>
      </c>
      <c r="N77" s="251" t="str">
        <f t="shared" ref="N77:O77" si="32">if(J77="",F77,J77)</f>
        <v>#N/A</v>
      </c>
      <c r="O77" s="251" t="str">
        <f t="shared" si="32"/>
        <v>#N/A</v>
      </c>
      <c r="P77" s="251" t="e">
        <v>#N/A</v>
      </c>
      <c r="Q77" s="251" t="e">
        <v>#N/A</v>
      </c>
      <c r="R77" s="251" t="e">
        <v>#N/A</v>
      </c>
      <c r="S77" s="251"/>
      <c r="T77" s="251"/>
      <c r="U77" s="251"/>
      <c r="V77" s="251"/>
      <c r="W77" s="251"/>
      <c r="X77" s="251"/>
      <c r="Y77" s="251"/>
      <c r="Z77" s="251"/>
      <c r="AA77" s="251"/>
    </row>
    <row r="78">
      <c r="A78" s="251"/>
      <c r="B78" s="251"/>
      <c r="C78" s="251"/>
      <c r="D78" s="251"/>
      <c r="E78" s="251" t="e">
        <v>#N/A</v>
      </c>
      <c r="F78" s="251" t="e">
        <v>#N/A</v>
      </c>
      <c r="G78" s="251" t="e">
        <v>#N/A</v>
      </c>
      <c r="H78" s="251" t="e">
        <v>#N/A</v>
      </c>
      <c r="I78" s="251"/>
      <c r="J78" s="256"/>
      <c r="K78" s="256"/>
      <c r="L78" s="251"/>
      <c r="M78" s="251" t="e">
        <v>#N/A</v>
      </c>
      <c r="N78" s="251" t="str">
        <f t="shared" ref="N78:O78" si="33">if(J78="",F78,J78)</f>
        <v>#N/A</v>
      </c>
      <c r="O78" s="251" t="str">
        <f t="shared" si="33"/>
        <v>#N/A</v>
      </c>
      <c r="P78" s="251" t="e">
        <v>#N/A</v>
      </c>
      <c r="Q78" s="251" t="e">
        <v>#N/A</v>
      </c>
      <c r="R78" s="251" t="e">
        <v>#N/A</v>
      </c>
      <c r="S78" s="251"/>
      <c r="T78" s="251"/>
      <c r="U78" s="251"/>
      <c r="V78" s="251"/>
      <c r="W78" s="251"/>
      <c r="X78" s="251"/>
      <c r="Y78" s="251"/>
      <c r="Z78" s="251"/>
      <c r="AA78" s="251"/>
    </row>
    <row r="79">
      <c r="A79" s="251"/>
      <c r="B79" s="251"/>
      <c r="C79" s="251"/>
      <c r="D79" s="251"/>
      <c r="E79" s="251"/>
      <c r="F79" s="251"/>
      <c r="G79" s="251"/>
      <c r="H79" s="251"/>
      <c r="I79" s="251"/>
      <c r="J79" s="251"/>
      <c r="K79" s="251"/>
      <c r="L79" s="251"/>
      <c r="M79" s="251"/>
      <c r="N79" s="251"/>
      <c r="O79" s="251"/>
      <c r="P79" s="251"/>
      <c r="Q79" s="251"/>
      <c r="R79" s="251"/>
      <c r="S79" s="251"/>
      <c r="T79" s="251"/>
      <c r="U79" s="251"/>
      <c r="V79" s="251"/>
      <c r="W79" s="251"/>
      <c r="X79" s="251"/>
      <c r="Y79" s="251"/>
      <c r="Z79" s="251"/>
      <c r="AA79" s="251"/>
    </row>
  </sheetData>
  <mergeCells count="12">
    <mergeCell ref="B50:R50"/>
    <mergeCell ref="B57:R57"/>
    <mergeCell ref="B63:R63"/>
    <mergeCell ref="B69:R69"/>
    <mergeCell ref="B75:R75"/>
    <mergeCell ref="E1:H3"/>
    <mergeCell ref="J1:K3"/>
    <mergeCell ref="M1:P3"/>
    <mergeCell ref="B4:R4"/>
    <mergeCell ref="B24:R24"/>
    <mergeCell ref="B34:R34"/>
    <mergeCell ref="B44:R44"/>
  </mergeCells>
  <conditionalFormatting sqref="N5:O12">
    <cfRule type="expression" dxfId="14" priority="1">
      <formula>countif($N$5:$O$12,N5)&gt;1</formula>
    </cfRule>
  </conditionalFormatting>
  <conditionalFormatting sqref="N25:O28">
    <cfRule type="expression" dxfId="14" priority="2">
      <formula>countif($N$25:$O$28,N25)&gt;1</formula>
    </cfRule>
  </conditionalFormatting>
  <conditionalFormatting sqref="N35:O38">
    <cfRule type="expression" dxfId="14" priority="3">
      <formula>countif($N$35:$O$38,N35)&gt;1</formula>
    </cfRule>
  </conditionalFormatting>
  <conditionalFormatting sqref="N45:O46">
    <cfRule type="expression" dxfId="14" priority="4">
      <formula>countif($N$45:$O$46,N45)&gt;1</formula>
    </cfRule>
  </conditionalFormatting>
  <conditionalFormatting sqref="N51:O54">
    <cfRule type="expression" dxfId="14" priority="5">
      <formula>countif($N$51:$O$54,N51)&gt;1</formula>
    </cfRule>
  </conditionalFormatting>
  <conditionalFormatting sqref="N58:O59">
    <cfRule type="expression" dxfId="14" priority="6">
      <formula>countif($N$58:$O$59,N58)&gt;1</formula>
    </cfRule>
  </conditionalFormatting>
  <conditionalFormatting sqref="N64:O66">
    <cfRule type="expression" dxfId="14" priority="7">
      <formula>countif($N$64:$O$66,N64)&gt;1</formula>
    </cfRule>
  </conditionalFormatting>
  <conditionalFormatting sqref="N70:O72">
    <cfRule type="expression" dxfId="14" priority="8">
      <formula>countif($N$70:$O$72,N70)&gt;1</formula>
    </cfRule>
  </conditionalFormatting>
  <conditionalFormatting sqref="N76:O78">
    <cfRule type="expression" dxfId="14" priority="9">
      <formula>countif($N$76:$O$78,N76)&gt;1</formula>
    </cfRule>
  </conditionalFormatting>
  <dataValidations>
    <dataValidation type="list" allowBlank="1" showErrorMessage="1" sqref="J70:K72">
      <formula1>'Choose matchups (Contender)'!$F$70:$G$72</formula1>
    </dataValidation>
    <dataValidation type="list" allowBlank="1" showErrorMessage="1" sqref="J58:K59">
      <formula1>'Choose matchups (Contender)'!$F$58:$G$59</formula1>
    </dataValidation>
    <dataValidation type="list" allowBlank="1" showErrorMessage="1" sqref="J25:K28">
      <formula1>'Choose matchups (Contender)'!$F$25:$G$28</formula1>
    </dataValidation>
    <dataValidation type="list" allowBlank="1" showErrorMessage="1" sqref="J5:J12">
      <formula1>'Choose matchups (Contender)'!$F$5:$F$12</formula1>
    </dataValidation>
    <dataValidation type="list" allowBlank="1" showErrorMessage="1" sqref="J64:K66">
      <formula1>'Choose matchups (Contender)'!$F$64:$G$66</formula1>
    </dataValidation>
    <dataValidation type="list" allowBlank="1" showErrorMessage="1" sqref="J51:K54">
      <formula1>'Choose matchups (Contender)'!$F$51:$G$54</formula1>
    </dataValidation>
    <dataValidation type="list" allowBlank="1" showErrorMessage="1" sqref="J35:K38">
      <formula1>'Choose matchups (Contender)'!$F$35:$G$38</formula1>
    </dataValidation>
    <dataValidation type="list" allowBlank="1" showErrorMessage="1" sqref="K5:K12">
      <formula1>'Choose matchups (Contender)'!$G$5:$G$12</formula1>
    </dataValidation>
    <dataValidation type="list" allowBlank="1" showErrorMessage="1" sqref="J76:K78">
      <formula1>'Choose matchups (Contender)'!$F$76:$G$78</formula1>
    </dataValidation>
    <dataValidation type="list" allowBlank="1" showErrorMessage="1" sqref="J45:K46">
      <formula1>'Choose matchups (Contender)'!$F$45:$G$46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hidden="1" min="1" max="1" width="6.38"/>
    <col customWidth="1" hidden="1" min="2" max="2" width="7.25"/>
    <col customWidth="1" hidden="1" min="3" max="4" width="6.38"/>
    <col customWidth="1" min="5" max="5" width="6.38"/>
    <col customWidth="1" min="6" max="6" width="12.63"/>
    <col customWidth="1" min="7" max="7" width="10.38"/>
    <col customWidth="1" min="8" max="9" width="6.38"/>
    <col customWidth="1" min="10" max="10" width="17.13"/>
    <col customWidth="1" min="11" max="11" width="15.25"/>
    <col customWidth="1" min="12" max="13" width="6.38"/>
    <col customWidth="1" min="14" max="14" width="13.13"/>
    <col customWidth="1" min="15" max="15" width="12.63"/>
    <col customWidth="1" min="16" max="16" width="6.38"/>
    <col customWidth="1" hidden="1" min="17" max="27" width="6.38"/>
  </cols>
  <sheetData>
    <row r="1">
      <c r="A1" s="251"/>
      <c r="B1" s="251"/>
      <c r="C1" s="251"/>
      <c r="D1" s="251"/>
      <c r="E1" s="252" t="s">
        <v>360</v>
      </c>
      <c r="I1" s="251"/>
      <c r="J1" s="253" t="s">
        <v>361</v>
      </c>
      <c r="L1" s="251"/>
      <c r="M1" s="254" t="s">
        <v>362</v>
      </c>
      <c r="Q1" s="251"/>
      <c r="R1" s="251"/>
      <c r="S1" s="251"/>
      <c r="T1" s="251"/>
      <c r="U1" s="251"/>
      <c r="V1" s="251"/>
      <c r="W1" s="251"/>
      <c r="X1" s="251"/>
      <c r="Y1" s="251"/>
      <c r="Z1" s="251"/>
      <c r="AA1" s="251"/>
    </row>
    <row r="2">
      <c r="A2" s="251"/>
      <c r="B2" s="251"/>
      <c r="C2" s="251"/>
      <c r="D2" s="251"/>
      <c r="I2" s="251"/>
      <c r="L2" s="251"/>
      <c r="Q2" s="251"/>
      <c r="R2" s="251"/>
      <c r="S2" s="251"/>
      <c r="T2" s="251"/>
      <c r="U2" s="251"/>
      <c r="V2" s="251"/>
      <c r="W2" s="251"/>
      <c r="X2" s="251"/>
      <c r="Y2" s="251"/>
      <c r="Z2" s="251"/>
      <c r="AA2" s="251"/>
    </row>
    <row r="3">
      <c r="A3" s="251"/>
      <c r="B3" s="251"/>
      <c r="C3" s="251"/>
      <c r="D3" s="251"/>
      <c r="I3" s="251"/>
      <c r="L3" s="251"/>
      <c r="Q3" s="251"/>
      <c r="R3" s="251"/>
      <c r="S3" s="251"/>
      <c r="T3" s="251"/>
      <c r="U3" s="251"/>
      <c r="V3" s="251"/>
      <c r="W3" s="251"/>
      <c r="X3" s="251"/>
      <c r="Y3" s="251"/>
      <c r="Z3" s="251"/>
      <c r="AA3" s="251"/>
    </row>
    <row r="4">
      <c r="A4" s="251"/>
      <c r="B4" s="255" t="s">
        <v>93</v>
      </c>
      <c r="S4" s="251"/>
      <c r="T4" s="251"/>
      <c r="U4" s="251"/>
      <c r="V4" s="251"/>
      <c r="W4" s="251"/>
      <c r="X4" s="251"/>
      <c r="Y4" s="251"/>
      <c r="Z4" s="251"/>
      <c r="AA4" s="251"/>
    </row>
    <row r="5">
      <c r="A5" s="251"/>
      <c r="B5" s="251">
        <f t="array" ref="B5:B12">SEQUENCE(8,1)</f>
        <v>1</v>
      </c>
      <c r="C5" s="251">
        <f t="array" ref="C5:C12">SEQUENCE(8,1,16,-1)</f>
        <v>16</v>
      </c>
      <c r="D5" s="251"/>
      <c r="E5" s="251" t="str">
        <f t="array" ref="E5:E12">xlookup(B5:B12,data!$M$2:$M$17,data!$O$2:$O$17,"")</f>
        <v/>
      </c>
      <c r="F5" s="251" t="str">
        <f t="array" ref="F5:G12">XLOOKUP(B5:C12,data!M2:M17,data!N2:N17,"")</f>
        <v>Team 1 (Group 2)</v>
      </c>
      <c r="G5" s="251" t="s">
        <v>100</v>
      </c>
      <c r="H5" s="251" t="str">
        <f t="array" ref="H5:H12">xlookup(C5:C12,data!$M$2:$M$17,data!$O$2:$O$17,"")</f>
        <v/>
      </c>
      <c r="I5" s="251"/>
      <c r="J5" s="256"/>
      <c r="K5" s="251"/>
      <c r="L5" s="251"/>
      <c r="M5" s="251" t="str">
        <f t="array" ref="M5:M78">XLOOKUP(N5:N78,data!$N$2:$N$17,data!$O$2:$O$17,"")</f>
        <v/>
      </c>
      <c r="N5" s="251" t="str">
        <f t="shared" ref="N5:O5" si="1">if(J5="",F5,J5)</f>
        <v>Team 1 (Group 2)</v>
      </c>
      <c r="O5" s="251" t="str">
        <f t="shared" si="1"/>
        <v>TBD</v>
      </c>
      <c r="P5" s="251" t="str">
        <f t="array" ref="P5:P78">XLOOKUP(O5:O78,data!$N$2:$N$17,data!$O$2:$O$17,"")</f>
        <v/>
      </c>
      <c r="Q5" s="251">
        <f t="array" ref="Q5:R12">XLOOKUP(N5:O12,data!N2:N17,data!M2:M17,"")</f>
        <v>1</v>
      </c>
      <c r="R5" s="251">
        <v>9.0</v>
      </c>
      <c r="S5" s="251"/>
      <c r="T5" s="251"/>
      <c r="U5" s="251"/>
      <c r="V5" s="251"/>
      <c r="W5" s="251"/>
      <c r="X5" s="251"/>
      <c r="Y5" s="251"/>
      <c r="Z5" s="251"/>
      <c r="AA5" s="251"/>
    </row>
    <row r="6">
      <c r="A6" s="251"/>
      <c r="B6" s="251">
        <v>2.0</v>
      </c>
      <c r="C6" s="251">
        <v>15.0</v>
      </c>
      <c r="D6" s="251"/>
      <c r="E6" s="251"/>
      <c r="F6" s="251" t="s">
        <v>348</v>
      </c>
      <c r="G6" s="251" t="s">
        <v>100</v>
      </c>
      <c r="H6" s="251" t="s">
        <v>300</v>
      </c>
      <c r="I6" s="251"/>
      <c r="J6" s="251"/>
      <c r="K6" s="251"/>
      <c r="L6" s="251"/>
      <c r="M6" s="251"/>
      <c r="N6" s="251" t="str">
        <f t="shared" ref="N6:O6" si="2">if(J6="",F6,J6)</f>
        <v>Team 2 (Group 2)</v>
      </c>
      <c r="O6" s="251" t="str">
        <f t="shared" si="2"/>
        <v>TBD</v>
      </c>
      <c r="P6" s="251" t="s">
        <v>300</v>
      </c>
      <c r="Q6" s="251">
        <v>2.0</v>
      </c>
      <c r="R6" s="251">
        <v>9.0</v>
      </c>
      <c r="S6" s="251"/>
      <c r="T6" s="251"/>
      <c r="U6" s="251"/>
      <c r="V6" s="251"/>
      <c r="W6" s="251"/>
      <c r="X6" s="251"/>
      <c r="Y6" s="251"/>
      <c r="Z6" s="251"/>
      <c r="AA6" s="251"/>
    </row>
    <row r="7">
      <c r="A7" s="251"/>
      <c r="B7" s="251">
        <v>3.0</v>
      </c>
      <c r="C7" s="251">
        <v>14.0</v>
      </c>
      <c r="D7" s="251"/>
      <c r="E7" s="251"/>
      <c r="F7" s="251" t="s">
        <v>349</v>
      </c>
      <c r="G7" s="251" t="s">
        <v>100</v>
      </c>
      <c r="H7" s="251" t="s">
        <v>300</v>
      </c>
      <c r="I7" s="251"/>
      <c r="J7" s="251"/>
      <c r="K7" s="251"/>
      <c r="L7" s="251"/>
      <c r="M7" s="251"/>
      <c r="N7" s="251" t="str">
        <f t="shared" ref="N7:O7" si="3">if(J7="",F7,J7)</f>
        <v>Team 3 (Group 2)</v>
      </c>
      <c r="O7" s="251" t="str">
        <f t="shared" si="3"/>
        <v>TBD</v>
      </c>
      <c r="P7" s="251" t="s">
        <v>300</v>
      </c>
      <c r="Q7" s="251">
        <v>3.0</v>
      </c>
      <c r="R7" s="251">
        <v>9.0</v>
      </c>
      <c r="S7" s="251"/>
      <c r="T7" s="251"/>
      <c r="U7" s="251"/>
      <c r="V7" s="251"/>
      <c r="W7" s="251"/>
      <c r="X7" s="251"/>
      <c r="Y7" s="251"/>
      <c r="Z7" s="251"/>
      <c r="AA7" s="251"/>
    </row>
    <row r="8">
      <c r="A8" s="251"/>
      <c r="B8" s="251">
        <v>4.0</v>
      </c>
      <c r="C8" s="251">
        <v>13.0</v>
      </c>
      <c r="D8" s="251"/>
      <c r="E8" s="251"/>
      <c r="F8" s="251" t="s">
        <v>350</v>
      </c>
      <c r="G8" s="251" t="s">
        <v>100</v>
      </c>
      <c r="H8" s="251" t="s">
        <v>300</v>
      </c>
      <c r="I8" s="251"/>
      <c r="J8" s="251"/>
      <c r="K8" s="251"/>
      <c r="L8" s="251"/>
      <c r="M8" s="251"/>
      <c r="N8" s="251" t="str">
        <f t="shared" ref="N8:O8" si="4">if(J8="",F8,J8)</f>
        <v>Team 4 (Group 2)</v>
      </c>
      <c r="O8" s="251" t="str">
        <f t="shared" si="4"/>
        <v>TBD</v>
      </c>
      <c r="P8" s="251" t="s">
        <v>300</v>
      </c>
      <c r="Q8" s="251">
        <v>4.0</v>
      </c>
      <c r="R8" s="251">
        <v>9.0</v>
      </c>
      <c r="S8" s="251"/>
      <c r="T8" s="251"/>
      <c r="U8" s="251"/>
      <c r="V8" s="251"/>
      <c r="W8" s="251"/>
      <c r="X8" s="251"/>
      <c r="Y8" s="251"/>
      <c r="Z8" s="251"/>
      <c r="AA8" s="251"/>
    </row>
    <row r="9">
      <c r="A9" s="251"/>
      <c r="B9" s="251">
        <v>5.0</v>
      </c>
      <c r="C9" s="251">
        <v>12.0</v>
      </c>
      <c r="D9" s="251"/>
      <c r="E9" s="251"/>
      <c r="F9" s="251" t="s">
        <v>351</v>
      </c>
      <c r="G9" s="251" t="s">
        <v>100</v>
      </c>
      <c r="H9" s="251" t="s">
        <v>300</v>
      </c>
      <c r="I9" s="251"/>
      <c r="J9" s="251"/>
      <c r="K9" s="251"/>
      <c r="L9" s="251"/>
      <c r="M9" s="251"/>
      <c r="N9" s="251" t="str">
        <f t="shared" ref="N9:O9" si="5">if(J9="",F9,J9)</f>
        <v>Team 5 (Group 2)</v>
      </c>
      <c r="O9" s="251" t="str">
        <f t="shared" si="5"/>
        <v>TBD</v>
      </c>
      <c r="P9" s="251" t="s">
        <v>300</v>
      </c>
      <c r="Q9" s="251">
        <v>5.0</v>
      </c>
      <c r="R9" s="251">
        <v>9.0</v>
      </c>
      <c r="S9" s="251"/>
      <c r="T9" s="251"/>
      <c r="U9" s="251"/>
      <c r="V9" s="251"/>
      <c r="W9" s="251"/>
      <c r="X9" s="251"/>
      <c r="Y9" s="251"/>
      <c r="Z9" s="251"/>
      <c r="AA9" s="251"/>
    </row>
    <row r="10">
      <c r="A10" s="251"/>
      <c r="B10" s="251">
        <v>6.0</v>
      </c>
      <c r="C10" s="251">
        <v>11.0</v>
      </c>
      <c r="D10" s="251"/>
      <c r="E10" s="251"/>
      <c r="F10" s="251" t="s">
        <v>352</v>
      </c>
      <c r="G10" s="251" t="s">
        <v>100</v>
      </c>
      <c r="H10" s="251" t="s">
        <v>300</v>
      </c>
      <c r="I10" s="251"/>
      <c r="J10" s="251"/>
      <c r="K10" s="251"/>
      <c r="L10" s="251"/>
      <c r="M10" s="251"/>
      <c r="N10" s="251" t="str">
        <f t="shared" ref="N10:O10" si="6">if(J10="",F10,J10)</f>
        <v>Team 6 (Group 2)</v>
      </c>
      <c r="O10" s="251" t="str">
        <f t="shared" si="6"/>
        <v>TBD</v>
      </c>
      <c r="P10" s="251" t="s">
        <v>300</v>
      </c>
      <c r="Q10" s="251">
        <v>6.0</v>
      </c>
      <c r="R10" s="251">
        <v>9.0</v>
      </c>
      <c r="S10" s="251"/>
      <c r="T10" s="251"/>
      <c r="U10" s="251"/>
      <c r="V10" s="251"/>
      <c r="W10" s="251"/>
      <c r="X10" s="251"/>
      <c r="Y10" s="251"/>
      <c r="Z10" s="251"/>
      <c r="AA10" s="251"/>
    </row>
    <row r="11">
      <c r="A11" s="251"/>
      <c r="B11" s="251">
        <v>7.0</v>
      </c>
      <c r="C11" s="251">
        <v>10.0</v>
      </c>
      <c r="D11" s="251"/>
      <c r="E11" s="251"/>
      <c r="F11" s="251" t="s">
        <v>353</v>
      </c>
      <c r="G11" s="251" t="s">
        <v>100</v>
      </c>
      <c r="H11" s="251" t="s">
        <v>300</v>
      </c>
      <c r="I11" s="251"/>
      <c r="J11" s="251"/>
      <c r="K11" s="251"/>
      <c r="L11" s="251"/>
      <c r="M11" s="251"/>
      <c r="N11" s="251" t="str">
        <f t="shared" ref="N11:O11" si="7">if(J11="",F11,J11)</f>
        <v>Team 7 (Group 2)</v>
      </c>
      <c r="O11" s="251" t="str">
        <f t="shared" si="7"/>
        <v>TBD</v>
      </c>
      <c r="P11" s="251" t="s">
        <v>300</v>
      </c>
      <c r="Q11" s="251">
        <v>7.0</v>
      </c>
      <c r="R11" s="251">
        <v>9.0</v>
      </c>
      <c r="S11" s="251"/>
      <c r="T11" s="251"/>
      <c r="U11" s="251"/>
      <c r="V11" s="251"/>
      <c r="W11" s="251"/>
      <c r="X11" s="251"/>
      <c r="Y11" s="251"/>
      <c r="Z11" s="251"/>
      <c r="AA11" s="251"/>
    </row>
    <row r="12">
      <c r="A12" s="251"/>
      <c r="B12" s="251">
        <v>8.0</v>
      </c>
      <c r="C12" s="251">
        <v>9.0</v>
      </c>
      <c r="D12" s="251"/>
      <c r="E12" s="251"/>
      <c r="F12" s="251" t="s">
        <v>354</v>
      </c>
      <c r="G12" s="251" t="s">
        <v>100</v>
      </c>
      <c r="H12" s="251" t="s">
        <v>300</v>
      </c>
      <c r="I12" s="251"/>
      <c r="J12" s="251"/>
      <c r="K12" s="251"/>
      <c r="L12" s="251"/>
      <c r="M12" s="251"/>
      <c r="N12" s="251" t="str">
        <f t="shared" ref="N12:O12" si="8">if(J12="",F12,J12)</f>
        <v>Team 8 (Group 2)</v>
      </c>
      <c r="O12" s="251" t="str">
        <f t="shared" si="8"/>
        <v>TBD</v>
      </c>
      <c r="P12" s="251" t="s">
        <v>300</v>
      </c>
      <c r="Q12" s="251">
        <v>8.0</v>
      </c>
      <c r="R12" s="251">
        <v>9.0</v>
      </c>
      <c r="S12" s="251"/>
      <c r="T12" s="251"/>
      <c r="U12" s="251"/>
      <c r="V12" s="251"/>
      <c r="W12" s="251"/>
      <c r="X12" s="251"/>
      <c r="Y12" s="251"/>
      <c r="Z12" s="251"/>
      <c r="AA12" s="251"/>
    </row>
    <row r="13" hidden="1">
      <c r="A13" s="251"/>
      <c r="B13" s="251"/>
      <c r="C13" s="251"/>
      <c r="D13" s="251"/>
      <c r="E13" s="251"/>
      <c r="F13" s="251"/>
      <c r="G13" s="251"/>
      <c r="H13" s="251"/>
      <c r="I13" s="251"/>
      <c r="J13" s="251"/>
      <c r="K13" s="251"/>
      <c r="L13" s="251"/>
      <c r="M13" s="251" t="s">
        <v>300</v>
      </c>
      <c r="N13" s="251"/>
      <c r="O13" s="251"/>
      <c r="P13" s="251" t="s">
        <v>300</v>
      </c>
      <c r="Q13" s="251">
        <f t="array" ref="Q13:R20">{R5:R12,Q5:Q12}</f>
        <v>9</v>
      </c>
      <c r="R13" s="251">
        <v>1.0</v>
      </c>
      <c r="S13" s="251"/>
      <c r="T13" s="251"/>
      <c r="U13" s="251"/>
      <c r="V13" s="251"/>
      <c r="W13" s="251"/>
      <c r="X13" s="251"/>
      <c r="Y13" s="251"/>
      <c r="Z13" s="251"/>
      <c r="AA13" s="251"/>
    </row>
    <row r="14" hidden="1">
      <c r="A14" s="251"/>
      <c r="B14" s="251"/>
      <c r="C14" s="251"/>
      <c r="D14" s="251"/>
      <c r="E14" s="251"/>
      <c r="F14" s="251"/>
      <c r="G14" s="251"/>
      <c r="H14" s="251"/>
      <c r="I14" s="251"/>
      <c r="J14" s="251"/>
      <c r="K14" s="251"/>
      <c r="L14" s="251"/>
      <c r="M14" s="251" t="s">
        <v>300</v>
      </c>
      <c r="N14" s="251"/>
      <c r="O14" s="251"/>
      <c r="P14" s="251" t="s">
        <v>300</v>
      </c>
      <c r="Q14" s="251">
        <v>9.0</v>
      </c>
      <c r="R14" s="251">
        <v>2.0</v>
      </c>
      <c r="S14" s="251"/>
      <c r="T14" s="251"/>
      <c r="U14" s="251"/>
      <c r="V14" s="251"/>
      <c r="W14" s="251"/>
      <c r="X14" s="251"/>
      <c r="Y14" s="251"/>
      <c r="Z14" s="251"/>
      <c r="AA14" s="251"/>
    </row>
    <row r="15" hidden="1">
      <c r="A15" s="251"/>
      <c r="B15" s="251"/>
      <c r="C15" s="251"/>
      <c r="D15" s="251"/>
      <c r="E15" s="251"/>
      <c r="F15" s="251"/>
      <c r="G15" s="251"/>
      <c r="H15" s="251"/>
      <c r="I15" s="251"/>
      <c r="J15" s="251"/>
      <c r="K15" s="251"/>
      <c r="L15" s="251"/>
      <c r="M15" s="251" t="s">
        <v>300</v>
      </c>
      <c r="N15" s="251"/>
      <c r="O15" s="251"/>
      <c r="P15" s="251" t="s">
        <v>300</v>
      </c>
      <c r="Q15" s="251">
        <v>9.0</v>
      </c>
      <c r="R15" s="251">
        <v>3.0</v>
      </c>
      <c r="S15" s="251"/>
      <c r="T15" s="251"/>
      <c r="U15" s="251"/>
      <c r="V15" s="251"/>
      <c r="W15" s="251"/>
      <c r="X15" s="251"/>
      <c r="Y15" s="251"/>
      <c r="Z15" s="251"/>
      <c r="AA15" s="251"/>
    </row>
    <row r="16" hidden="1">
      <c r="A16" s="251"/>
      <c r="B16" s="251"/>
      <c r="C16" s="251"/>
      <c r="D16" s="251"/>
      <c r="E16" s="251"/>
      <c r="F16" s="251"/>
      <c r="G16" s="251"/>
      <c r="H16" s="251"/>
      <c r="I16" s="251"/>
      <c r="J16" s="251"/>
      <c r="K16" s="251"/>
      <c r="L16" s="251"/>
      <c r="M16" s="251" t="s">
        <v>300</v>
      </c>
      <c r="N16" s="251"/>
      <c r="O16" s="251"/>
      <c r="P16" s="251" t="s">
        <v>300</v>
      </c>
      <c r="Q16" s="251">
        <v>9.0</v>
      </c>
      <c r="R16" s="251">
        <v>4.0</v>
      </c>
      <c r="S16" s="251"/>
      <c r="T16" s="251"/>
      <c r="U16" s="251"/>
      <c r="V16" s="251"/>
      <c r="W16" s="251"/>
      <c r="X16" s="251"/>
      <c r="Y16" s="251"/>
      <c r="Z16" s="251"/>
      <c r="AA16" s="251"/>
    </row>
    <row r="17" hidden="1">
      <c r="A17" s="251"/>
      <c r="B17" s="251"/>
      <c r="C17" s="251"/>
      <c r="D17" s="251"/>
      <c r="E17" s="251"/>
      <c r="F17" s="251"/>
      <c r="G17" s="251"/>
      <c r="H17" s="251"/>
      <c r="I17" s="251"/>
      <c r="J17" s="251"/>
      <c r="K17" s="251"/>
      <c r="L17" s="251"/>
      <c r="M17" s="251" t="s">
        <v>300</v>
      </c>
      <c r="N17" s="251"/>
      <c r="O17" s="251"/>
      <c r="P17" s="251" t="s">
        <v>300</v>
      </c>
      <c r="Q17" s="251">
        <v>9.0</v>
      </c>
      <c r="R17" s="251">
        <v>5.0</v>
      </c>
      <c r="S17" s="251"/>
      <c r="T17" s="251"/>
      <c r="U17" s="251"/>
      <c r="V17" s="251"/>
      <c r="W17" s="251"/>
      <c r="X17" s="251"/>
      <c r="Y17" s="251"/>
      <c r="Z17" s="251"/>
      <c r="AA17" s="251"/>
    </row>
    <row r="18" hidden="1">
      <c r="A18" s="251"/>
      <c r="B18" s="251"/>
      <c r="C18" s="251"/>
      <c r="D18" s="251"/>
      <c r="E18" s="251"/>
      <c r="F18" s="251"/>
      <c r="G18" s="251"/>
      <c r="H18" s="251"/>
      <c r="I18" s="251"/>
      <c r="J18" s="251"/>
      <c r="K18" s="251"/>
      <c r="L18" s="251"/>
      <c r="M18" s="251" t="s">
        <v>300</v>
      </c>
      <c r="N18" s="251"/>
      <c r="O18" s="251"/>
      <c r="P18" s="251" t="s">
        <v>300</v>
      </c>
      <c r="Q18" s="251">
        <v>9.0</v>
      </c>
      <c r="R18" s="251">
        <v>6.0</v>
      </c>
      <c r="S18" s="251"/>
      <c r="T18" s="251"/>
      <c r="U18" s="251"/>
      <c r="V18" s="251"/>
      <c r="W18" s="251"/>
      <c r="X18" s="251"/>
      <c r="Y18" s="251"/>
      <c r="Z18" s="251"/>
      <c r="AA18" s="251"/>
    </row>
    <row r="19" hidden="1">
      <c r="A19" s="251"/>
      <c r="B19" s="251"/>
      <c r="C19" s="251"/>
      <c r="D19" s="251"/>
      <c r="E19" s="251"/>
      <c r="F19" s="251"/>
      <c r="G19" s="251"/>
      <c r="H19" s="251"/>
      <c r="I19" s="251"/>
      <c r="J19" s="251"/>
      <c r="K19" s="251"/>
      <c r="L19" s="251"/>
      <c r="M19" s="251" t="s">
        <v>300</v>
      </c>
      <c r="N19" s="251"/>
      <c r="O19" s="251"/>
      <c r="P19" s="251" t="s">
        <v>300</v>
      </c>
      <c r="Q19" s="251">
        <v>9.0</v>
      </c>
      <c r="R19" s="251">
        <v>7.0</v>
      </c>
      <c r="S19" s="251"/>
      <c r="T19" s="251"/>
      <c r="U19" s="251"/>
      <c r="V19" s="251"/>
      <c r="W19" s="251"/>
      <c r="X19" s="251"/>
      <c r="Y19" s="251"/>
      <c r="Z19" s="251"/>
      <c r="AA19" s="251"/>
    </row>
    <row r="20" hidden="1">
      <c r="A20" s="251"/>
      <c r="B20" s="251"/>
      <c r="C20" s="251"/>
      <c r="D20" s="251"/>
      <c r="E20" s="251"/>
      <c r="F20" s="251"/>
      <c r="G20" s="251"/>
      <c r="H20" s="251"/>
      <c r="I20" s="251"/>
      <c r="J20" s="251"/>
      <c r="K20" s="251"/>
      <c r="L20" s="251"/>
      <c r="M20" s="251" t="s">
        <v>300</v>
      </c>
      <c r="N20" s="251"/>
      <c r="O20" s="251"/>
      <c r="P20" s="251" t="s">
        <v>300</v>
      </c>
      <c r="Q20" s="251">
        <v>9.0</v>
      </c>
      <c r="R20" s="251">
        <v>8.0</v>
      </c>
      <c r="S20" s="251"/>
      <c r="T20" s="251"/>
      <c r="U20" s="251"/>
      <c r="V20" s="251"/>
      <c r="W20" s="251"/>
      <c r="X20" s="251"/>
      <c r="Y20" s="251"/>
      <c r="Z20" s="251"/>
      <c r="AA20" s="251"/>
    </row>
    <row r="21" hidden="1">
      <c r="A21" s="251"/>
      <c r="B21" s="251"/>
      <c r="C21" s="251"/>
      <c r="D21" s="251"/>
      <c r="E21" s="251"/>
      <c r="F21" s="251"/>
      <c r="G21" s="251"/>
      <c r="H21" s="251"/>
      <c r="I21" s="251"/>
      <c r="J21" s="251"/>
      <c r="K21" s="251"/>
      <c r="L21" s="251"/>
      <c r="M21" s="251" t="s">
        <v>300</v>
      </c>
      <c r="N21" s="251"/>
      <c r="O21" s="251"/>
      <c r="P21" s="251" t="s">
        <v>300</v>
      </c>
      <c r="Q21" s="251"/>
      <c r="R21" s="251"/>
      <c r="S21" s="251"/>
      <c r="T21" s="251"/>
      <c r="U21" s="251"/>
      <c r="V21" s="251"/>
      <c r="W21" s="251"/>
      <c r="X21" s="251"/>
      <c r="Y21" s="251"/>
      <c r="Z21" s="251"/>
      <c r="AA21" s="251"/>
    </row>
    <row r="22" hidden="1">
      <c r="A22" s="251"/>
      <c r="B22" s="251"/>
      <c r="C22" s="251"/>
      <c r="D22" s="251"/>
      <c r="E22" s="251"/>
      <c r="F22" s="251"/>
      <c r="G22" s="251"/>
      <c r="H22" s="251"/>
      <c r="I22" s="251"/>
      <c r="J22" s="251"/>
      <c r="K22" s="251"/>
      <c r="L22" s="251"/>
      <c r="M22" s="251" t="s">
        <v>300</v>
      </c>
      <c r="N22" s="251"/>
      <c r="O22" s="251"/>
      <c r="P22" s="251" t="s">
        <v>300</v>
      </c>
      <c r="Q22" s="251"/>
      <c r="R22" s="251"/>
      <c r="S22" s="251"/>
      <c r="T22" s="251"/>
      <c r="U22" s="251"/>
      <c r="V22" s="251"/>
      <c r="W22" s="251"/>
      <c r="X22" s="251"/>
      <c r="Y22" s="251"/>
      <c r="Z22" s="251"/>
      <c r="AA22" s="251"/>
    </row>
    <row r="23">
      <c r="A23" s="251"/>
      <c r="B23" s="251"/>
      <c r="C23" s="251"/>
      <c r="D23" s="251"/>
      <c r="E23" s="251"/>
      <c r="F23" s="251"/>
      <c r="G23" s="251"/>
      <c r="H23" s="251"/>
      <c r="I23" s="251"/>
      <c r="J23" s="251"/>
      <c r="K23" s="251"/>
      <c r="L23" s="251"/>
      <c r="M23" s="251" t="s">
        <v>300</v>
      </c>
      <c r="N23" s="251"/>
      <c r="O23" s="251"/>
      <c r="P23" s="251" t="s">
        <v>300</v>
      </c>
      <c r="Q23" s="251"/>
      <c r="R23" s="251"/>
      <c r="S23" s="251"/>
      <c r="T23" s="251"/>
      <c r="U23" s="251"/>
      <c r="V23" s="251"/>
      <c r="W23" s="251"/>
      <c r="X23" s="251"/>
      <c r="Y23" s="251"/>
      <c r="Z23" s="251"/>
      <c r="AA23" s="251"/>
    </row>
    <row r="24">
      <c r="A24" s="251"/>
      <c r="B24" s="255" t="s">
        <v>363</v>
      </c>
      <c r="S24" s="251"/>
      <c r="T24" s="251"/>
      <c r="U24" s="251"/>
      <c r="V24" s="251"/>
      <c r="W24" s="251"/>
      <c r="X24" s="251"/>
      <c r="Y24" s="251"/>
      <c r="Z24" s="251"/>
      <c r="AA24" s="251"/>
    </row>
    <row r="25">
      <c r="A25" s="251"/>
      <c r="B25" s="251" t="str">
        <f t="array" ref="B25:C28">{reseeding!A20:A23,reseeding!K20:K23}</f>
        <v>#N/A</v>
      </c>
      <c r="C25" s="251"/>
      <c r="D25" s="251"/>
      <c r="E25" s="251" t="str">
        <f t="array" ref="E25:E28">XLOOKUP(B25:B28,data!$M$2:$M$17,data!$O$2:$O$17)</f>
        <v>#N/A</v>
      </c>
      <c r="F25" s="251" t="str">
        <f t="array" ref="F25:G28">XLOOKUP(B25:C28,data!$M$2:$M$17,data!$N$2:$N$17)</f>
        <v>#N/A</v>
      </c>
      <c r="G25" s="251" t="e">
        <v>#N/A</v>
      </c>
      <c r="H25" s="251" t="str">
        <f t="array" ref="H25:H28">XLOOKUP(C25:C28,data!$M$2:$M$17,data!$O$2:$O$17)</f>
        <v>#N/A</v>
      </c>
      <c r="I25" s="251"/>
      <c r="J25" s="256"/>
      <c r="K25" s="256"/>
      <c r="L25" s="251"/>
      <c r="M25" s="251" t="e">
        <v>#N/A</v>
      </c>
      <c r="N25" s="251" t="str">
        <f t="shared" ref="N25:O25" si="9">if(J25="",F25,J25)</f>
        <v>#N/A</v>
      </c>
      <c r="O25" s="251" t="str">
        <f t="shared" si="9"/>
        <v>#N/A</v>
      </c>
      <c r="P25" s="251" t="e">
        <v>#N/A</v>
      </c>
      <c r="Q25" s="251" t="str">
        <f t="array" ref="Q25:R28">XLOOKUP(N25:O28,data!$N$2:$N$17,data!$M$2:$M$17,"")</f>
        <v>#N/A</v>
      </c>
      <c r="R25" s="251" t="e">
        <v>#N/A</v>
      </c>
      <c r="S25" s="251"/>
      <c r="T25" s="251"/>
      <c r="U25" s="251"/>
      <c r="V25" s="251"/>
      <c r="W25" s="251"/>
      <c r="X25" s="251"/>
      <c r="Y25" s="251"/>
      <c r="Z25" s="251"/>
      <c r="AA25" s="251"/>
    </row>
    <row r="26">
      <c r="A26" s="251"/>
      <c r="B26" s="251"/>
      <c r="C26" s="251"/>
      <c r="D26" s="251"/>
      <c r="E26" s="251" t="e">
        <v>#N/A</v>
      </c>
      <c r="F26" s="251" t="e">
        <v>#N/A</v>
      </c>
      <c r="G26" s="251" t="e">
        <v>#N/A</v>
      </c>
      <c r="H26" s="251" t="e">
        <v>#N/A</v>
      </c>
      <c r="I26" s="251"/>
      <c r="J26" s="256"/>
      <c r="K26" s="256"/>
      <c r="L26" s="251"/>
      <c r="M26" s="251" t="e">
        <v>#N/A</v>
      </c>
      <c r="N26" s="251" t="str">
        <f t="shared" ref="N26:O26" si="10">if(J26="",F26,J26)</f>
        <v>#N/A</v>
      </c>
      <c r="O26" s="251" t="str">
        <f t="shared" si="10"/>
        <v>#N/A</v>
      </c>
      <c r="P26" s="251" t="e">
        <v>#N/A</v>
      </c>
      <c r="Q26" s="251" t="e">
        <v>#N/A</v>
      </c>
      <c r="R26" s="251" t="e">
        <v>#N/A</v>
      </c>
      <c r="S26" s="251"/>
      <c r="T26" s="251"/>
      <c r="U26" s="251"/>
      <c r="V26" s="251"/>
      <c r="W26" s="251"/>
      <c r="X26" s="251"/>
      <c r="Y26" s="251"/>
      <c r="Z26" s="251"/>
      <c r="AA26" s="251"/>
    </row>
    <row r="27">
      <c r="A27" s="251"/>
      <c r="B27" s="251"/>
      <c r="C27" s="251"/>
      <c r="D27" s="251"/>
      <c r="E27" s="251" t="e">
        <v>#N/A</v>
      </c>
      <c r="F27" s="251" t="e">
        <v>#N/A</v>
      </c>
      <c r="G27" s="251" t="e">
        <v>#N/A</v>
      </c>
      <c r="H27" s="251" t="e">
        <v>#N/A</v>
      </c>
      <c r="I27" s="251"/>
      <c r="J27" s="251"/>
      <c r="K27" s="251"/>
      <c r="L27" s="251"/>
      <c r="M27" s="251" t="e">
        <v>#N/A</v>
      </c>
      <c r="N27" s="251" t="str">
        <f t="shared" ref="N27:O27" si="11">if(J27="",F27,J27)</f>
        <v>#N/A</v>
      </c>
      <c r="O27" s="251" t="str">
        <f t="shared" si="11"/>
        <v>#N/A</v>
      </c>
      <c r="P27" s="251" t="e">
        <v>#N/A</v>
      </c>
      <c r="Q27" s="251" t="e">
        <v>#N/A</v>
      </c>
      <c r="R27" s="251" t="e">
        <v>#N/A</v>
      </c>
      <c r="S27" s="251"/>
      <c r="T27" s="251"/>
      <c r="U27" s="251"/>
      <c r="V27" s="251"/>
      <c r="W27" s="251"/>
      <c r="X27" s="251"/>
      <c r="Y27" s="251"/>
      <c r="Z27" s="251"/>
      <c r="AA27" s="251"/>
    </row>
    <row r="28">
      <c r="A28" s="251"/>
      <c r="B28" s="251"/>
      <c r="C28" s="251"/>
      <c r="D28" s="251"/>
      <c r="E28" s="251" t="e">
        <v>#N/A</v>
      </c>
      <c r="F28" s="251" t="e">
        <v>#N/A</v>
      </c>
      <c r="G28" s="251" t="e">
        <v>#N/A</v>
      </c>
      <c r="H28" s="251" t="e">
        <v>#N/A</v>
      </c>
      <c r="I28" s="251"/>
      <c r="J28" s="251"/>
      <c r="K28" s="251"/>
      <c r="L28" s="251"/>
      <c r="M28" s="251" t="e">
        <v>#N/A</v>
      </c>
      <c r="N28" s="251" t="str">
        <f t="shared" ref="N28:O28" si="12">if(J28="",F28,J28)</f>
        <v>#N/A</v>
      </c>
      <c r="O28" s="251" t="str">
        <f t="shared" si="12"/>
        <v>#N/A</v>
      </c>
      <c r="P28" s="251" t="e">
        <v>#N/A</v>
      </c>
      <c r="Q28" s="251" t="e">
        <v>#N/A</v>
      </c>
      <c r="R28" s="251" t="e">
        <v>#N/A</v>
      </c>
      <c r="S28" s="251"/>
      <c r="T28" s="251"/>
      <c r="U28" s="251"/>
      <c r="V28" s="251"/>
      <c r="W28" s="251"/>
      <c r="X28" s="251"/>
      <c r="Y28" s="251"/>
      <c r="Z28" s="251"/>
      <c r="AA28" s="251"/>
    </row>
    <row r="29">
      <c r="A29" s="251"/>
      <c r="B29" s="251"/>
      <c r="C29" s="251"/>
      <c r="D29" s="251"/>
      <c r="E29" s="251"/>
      <c r="F29" s="251"/>
      <c r="G29" s="251"/>
      <c r="H29" s="251"/>
      <c r="I29" s="251"/>
      <c r="J29" s="251"/>
      <c r="K29" s="251"/>
      <c r="L29" s="251"/>
      <c r="M29" s="251" t="s">
        <v>300</v>
      </c>
      <c r="N29" s="251"/>
      <c r="O29" s="251"/>
      <c r="P29" s="251" t="s">
        <v>300</v>
      </c>
      <c r="Q29" s="251" t="str">
        <f t="array" ref="Q29:R32">{{R28;R27;R26;R25},{Q28;Q27;Q26;Q25}}</f>
        <v>#N/A</v>
      </c>
      <c r="R29" s="251" t="e">
        <v>#N/A</v>
      </c>
      <c r="S29" s="251"/>
      <c r="T29" s="251"/>
      <c r="U29" s="251"/>
      <c r="V29" s="251"/>
      <c r="W29" s="251"/>
      <c r="X29" s="251"/>
      <c r="Y29" s="251"/>
      <c r="Z29" s="251"/>
      <c r="AA29" s="251"/>
    </row>
    <row r="30" hidden="1">
      <c r="A30" s="251"/>
      <c r="B30" s="251"/>
      <c r="C30" s="251"/>
      <c r="D30" s="251"/>
      <c r="E30" s="251"/>
      <c r="F30" s="251"/>
      <c r="G30" s="251"/>
      <c r="H30" s="251"/>
      <c r="I30" s="251"/>
      <c r="J30" s="251"/>
      <c r="K30" s="251"/>
      <c r="L30" s="251"/>
      <c r="M30" s="251" t="s">
        <v>300</v>
      </c>
      <c r="N30" s="251"/>
      <c r="O30" s="251"/>
      <c r="P30" s="251" t="s">
        <v>300</v>
      </c>
      <c r="Q30" s="251" t="e">
        <v>#N/A</v>
      </c>
      <c r="R30" s="251" t="e">
        <v>#N/A</v>
      </c>
      <c r="S30" s="251"/>
      <c r="T30" s="251"/>
      <c r="U30" s="251"/>
      <c r="V30" s="251"/>
      <c r="W30" s="251"/>
      <c r="X30" s="251"/>
      <c r="Y30" s="251"/>
      <c r="Z30" s="251"/>
      <c r="AA30" s="251"/>
    </row>
    <row r="31" hidden="1">
      <c r="A31" s="251"/>
      <c r="B31" s="251"/>
      <c r="C31" s="251"/>
      <c r="D31" s="251"/>
      <c r="E31" s="251"/>
      <c r="F31" s="251"/>
      <c r="G31" s="251"/>
      <c r="H31" s="251"/>
      <c r="I31" s="251"/>
      <c r="J31" s="251"/>
      <c r="K31" s="251"/>
      <c r="L31" s="251"/>
      <c r="M31" s="251" t="s">
        <v>300</v>
      </c>
      <c r="N31" s="251"/>
      <c r="O31" s="251"/>
      <c r="P31" s="251" t="s">
        <v>300</v>
      </c>
      <c r="Q31" s="251" t="e">
        <v>#N/A</v>
      </c>
      <c r="R31" s="251" t="e">
        <v>#N/A</v>
      </c>
      <c r="S31" s="251"/>
      <c r="T31" s="251"/>
      <c r="U31" s="251"/>
      <c r="V31" s="251"/>
      <c r="W31" s="251"/>
      <c r="X31" s="251"/>
      <c r="Y31" s="251"/>
      <c r="Z31" s="251"/>
      <c r="AA31" s="251"/>
    </row>
    <row r="32" hidden="1">
      <c r="A32" s="251"/>
      <c r="B32" s="251"/>
      <c r="C32" s="251"/>
      <c r="D32" s="251"/>
      <c r="E32" s="251"/>
      <c r="F32" s="251"/>
      <c r="G32" s="251"/>
      <c r="H32" s="251"/>
      <c r="I32" s="251"/>
      <c r="J32" s="251"/>
      <c r="K32" s="251"/>
      <c r="L32" s="251"/>
      <c r="M32" s="251" t="s">
        <v>300</v>
      </c>
      <c r="N32" s="251"/>
      <c r="O32" s="251"/>
      <c r="P32" s="251" t="s">
        <v>300</v>
      </c>
      <c r="Q32" s="251" t="e">
        <v>#N/A</v>
      </c>
      <c r="R32" s="251" t="e">
        <v>#N/A</v>
      </c>
      <c r="S32" s="251"/>
      <c r="T32" s="251"/>
      <c r="U32" s="251"/>
      <c r="V32" s="251"/>
      <c r="W32" s="251"/>
      <c r="X32" s="251"/>
      <c r="Y32" s="251"/>
      <c r="Z32" s="251"/>
      <c r="AA32" s="251"/>
    </row>
    <row r="33" hidden="1">
      <c r="A33" s="251"/>
      <c r="B33" s="251"/>
      <c r="C33" s="251"/>
      <c r="D33" s="251"/>
      <c r="E33" s="251"/>
      <c r="F33" s="251"/>
      <c r="G33" s="251"/>
      <c r="H33" s="251"/>
      <c r="I33" s="251"/>
      <c r="J33" s="251"/>
      <c r="K33" s="251"/>
      <c r="L33" s="251"/>
      <c r="M33" s="251" t="s">
        <v>300</v>
      </c>
      <c r="N33" s="251"/>
      <c r="O33" s="251"/>
      <c r="P33" s="251" t="s">
        <v>300</v>
      </c>
      <c r="Q33" s="251"/>
      <c r="R33" s="251"/>
      <c r="S33" s="251"/>
      <c r="T33" s="251"/>
      <c r="U33" s="251"/>
      <c r="V33" s="251"/>
      <c r="W33" s="251"/>
      <c r="X33" s="251"/>
      <c r="Y33" s="251"/>
      <c r="Z33" s="251"/>
      <c r="AA33" s="251"/>
    </row>
    <row r="34">
      <c r="A34" s="251"/>
      <c r="B34" s="257" t="s">
        <v>364</v>
      </c>
      <c r="S34" s="251"/>
      <c r="T34" s="251"/>
      <c r="U34" s="251"/>
      <c r="V34" s="251"/>
      <c r="W34" s="251"/>
      <c r="X34" s="251"/>
      <c r="Y34" s="251"/>
      <c r="Z34" s="251"/>
      <c r="AA34" s="251"/>
    </row>
    <row r="35">
      <c r="A35" s="251"/>
      <c r="B35" s="251" t="str">
        <f t="array" ref="B35:C38">{reseeding!A29:A32,reseeding!K29:K32}</f>
        <v>#N/A</v>
      </c>
      <c r="C35" s="251"/>
      <c r="D35" s="251"/>
      <c r="E35" s="251" t="str">
        <f t="array" ref="E35:E38">XLOOKUP(B35:B38,data!$M$2:$M$17,data!$O$2:$O$17)</f>
        <v>#N/A</v>
      </c>
      <c r="F35" s="251" t="str">
        <f t="array" ref="F35:G38">XLOOKUP(B35:C38,data!$M$2:$M$17,data!$N$2:$N$17)</f>
        <v>#N/A</v>
      </c>
      <c r="G35" s="251" t="e">
        <v>#N/A</v>
      </c>
      <c r="H35" s="251" t="str">
        <f t="array" ref="H35:H38">XLOOKUP(C35:C38,data!$M$2:$M$17,data!$O$2:$O$17)</f>
        <v>#N/A</v>
      </c>
      <c r="I35" s="251"/>
      <c r="J35" s="251"/>
      <c r="K35" s="251"/>
      <c r="L35" s="251"/>
      <c r="M35" s="251" t="e">
        <v>#N/A</v>
      </c>
      <c r="N35" s="251" t="str">
        <f t="shared" ref="N35:O35" si="13">if(J35="",F35,J35)</f>
        <v>#N/A</v>
      </c>
      <c r="O35" s="251" t="str">
        <f t="shared" si="13"/>
        <v>#N/A</v>
      </c>
      <c r="P35" s="251" t="e">
        <v>#N/A</v>
      </c>
      <c r="Q35" s="251" t="str">
        <f t="array" ref="Q35:R38">XLOOKUP(N35:O38,data!$N$2:$N$17,data!$M$2:$M$17,"")</f>
        <v>#N/A</v>
      </c>
      <c r="R35" s="251" t="e">
        <v>#N/A</v>
      </c>
      <c r="S35" s="251"/>
      <c r="T35" s="251"/>
      <c r="U35" s="251"/>
      <c r="V35" s="251"/>
      <c r="W35" s="251"/>
      <c r="X35" s="251"/>
      <c r="Y35" s="251"/>
      <c r="Z35" s="251"/>
      <c r="AA35" s="251"/>
    </row>
    <row r="36">
      <c r="A36" s="251"/>
      <c r="B36" s="251"/>
      <c r="C36" s="251"/>
      <c r="D36" s="251"/>
      <c r="E36" s="251" t="e">
        <v>#N/A</v>
      </c>
      <c r="F36" s="251" t="e">
        <v>#N/A</v>
      </c>
      <c r="G36" s="251" t="e">
        <v>#N/A</v>
      </c>
      <c r="H36" s="251" t="e">
        <v>#N/A</v>
      </c>
      <c r="I36" s="251"/>
      <c r="J36" s="251"/>
      <c r="K36" s="251"/>
      <c r="L36" s="251"/>
      <c r="M36" s="251" t="e">
        <v>#N/A</v>
      </c>
      <c r="N36" s="251" t="str">
        <f t="shared" ref="N36:O36" si="14">if(J36="",F36,J36)</f>
        <v>#N/A</v>
      </c>
      <c r="O36" s="251" t="str">
        <f t="shared" si="14"/>
        <v>#N/A</v>
      </c>
      <c r="P36" s="251" t="e">
        <v>#N/A</v>
      </c>
      <c r="Q36" s="251" t="e">
        <v>#N/A</v>
      </c>
      <c r="R36" s="251" t="e">
        <v>#N/A</v>
      </c>
      <c r="S36" s="251"/>
      <c r="T36" s="251"/>
      <c r="U36" s="251"/>
      <c r="V36" s="251"/>
      <c r="W36" s="251"/>
      <c r="X36" s="251"/>
      <c r="Y36" s="251"/>
      <c r="Z36" s="251"/>
      <c r="AA36" s="251"/>
    </row>
    <row r="37">
      <c r="A37" s="251"/>
      <c r="B37" s="251"/>
      <c r="C37" s="251"/>
      <c r="D37" s="251"/>
      <c r="E37" s="251" t="e">
        <v>#N/A</v>
      </c>
      <c r="F37" s="251" t="e">
        <v>#N/A</v>
      </c>
      <c r="G37" s="251" t="e">
        <v>#N/A</v>
      </c>
      <c r="H37" s="251" t="e">
        <v>#N/A</v>
      </c>
      <c r="I37" s="251"/>
      <c r="J37" s="251"/>
      <c r="K37" s="251"/>
      <c r="L37" s="251"/>
      <c r="M37" s="251" t="e">
        <v>#N/A</v>
      </c>
      <c r="N37" s="251" t="str">
        <f t="shared" ref="N37:O37" si="15">if(J37="",F37,J37)</f>
        <v>#N/A</v>
      </c>
      <c r="O37" s="251" t="str">
        <f t="shared" si="15"/>
        <v>#N/A</v>
      </c>
      <c r="P37" s="251" t="e">
        <v>#N/A</v>
      </c>
      <c r="Q37" s="251" t="e">
        <v>#N/A</v>
      </c>
      <c r="R37" s="251" t="e">
        <v>#N/A</v>
      </c>
      <c r="S37" s="251"/>
      <c r="T37" s="251"/>
      <c r="U37" s="251"/>
      <c r="V37" s="251"/>
      <c r="W37" s="251"/>
      <c r="X37" s="251"/>
      <c r="Y37" s="251"/>
      <c r="Z37" s="251"/>
      <c r="AA37" s="251"/>
    </row>
    <row r="38">
      <c r="A38" s="251"/>
      <c r="B38" s="251"/>
      <c r="C38" s="251"/>
      <c r="D38" s="251"/>
      <c r="E38" s="251" t="e">
        <v>#N/A</v>
      </c>
      <c r="F38" s="251" t="e">
        <v>#N/A</v>
      </c>
      <c r="G38" s="251" t="e">
        <v>#N/A</v>
      </c>
      <c r="H38" s="251" t="e">
        <v>#N/A</v>
      </c>
      <c r="I38" s="251"/>
      <c r="J38" s="251"/>
      <c r="K38" s="251"/>
      <c r="L38" s="251"/>
      <c r="M38" s="251" t="e">
        <v>#N/A</v>
      </c>
      <c r="N38" s="251" t="str">
        <f t="shared" ref="N38:O38" si="16">if(J38="",F38,J38)</f>
        <v>#N/A</v>
      </c>
      <c r="O38" s="251" t="str">
        <f t="shared" si="16"/>
        <v>#N/A</v>
      </c>
      <c r="P38" s="251" t="e">
        <v>#N/A</v>
      </c>
      <c r="Q38" s="251" t="e">
        <v>#N/A</v>
      </c>
      <c r="R38" s="251" t="e">
        <v>#N/A</v>
      </c>
      <c r="S38" s="251"/>
      <c r="T38" s="251"/>
      <c r="U38" s="251"/>
      <c r="V38" s="251"/>
      <c r="W38" s="251"/>
      <c r="X38" s="251"/>
      <c r="Y38" s="251"/>
      <c r="Z38" s="251"/>
      <c r="AA38" s="251"/>
    </row>
    <row r="39">
      <c r="A39" s="251"/>
      <c r="B39" s="251"/>
      <c r="C39" s="251"/>
      <c r="D39" s="251"/>
      <c r="E39" s="251"/>
      <c r="F39" s="251"/>
      <c r="G39" s="251"/>
      <c r="H39" s="251"/>
      <c r="I39" s="251"/>
      <c r="J39" s="251"/>
      <c r="K39" s="251"/>
      <c r="L39" s="251"/>
      <c r="M39" s="251" t="s">
        <v>300</v>
      </c>
      <c r="N39" s="251"/>
      <c r="O39" s="251"/>
      <c r="P39" s="251" t="s">
        <v>300</v>
      </c>
      <c r="Q39" s="251" t="str">
        <f t="array" ref="Q39:R42">{{R38;R37;R36;R35},{Q38;Q37;Q36;Q35}}</f>
        <v>#N/A</v>
      </c>
      <c r="R39" s="251" t="e">
        <v>#N/A</v>
      </c>
      <c r="S39" s="251"/>
      <c r="T39" s="251"/>
      <c r="U39" s="251"/>
      <c r="V39" s="251"/>
      <c r="W39" s="251"/>
      <c r="X39" s="251"/>
      <c r="Y39" s="251"/>
      <c r="Z39" s="251"/>
      <c r="AA39" s="251"/>
    </row>
    <row r="40" hidden="1">
      <c r="A40" s="251"/>
      <c r="B40" s="251"/>
      <c r="C40" s="251"/>
      <c r="D40" s="251"/>
      <c r="E40" s="251"/>
      <c r="F40" s="251"/>
      <c r="G40" s="251"/>
      <c r="H40" s="251"/>
      <c r="I40" s="251"/>
      <c r="J40" s="251"/>
      <c r="K40" s="251"/>
      <c r="L40" s="251"/>
      <c r="M40" s="251" t="s">
        <v>300</v>
      </c>
      <c r="N40" s="251"/>
      <c r="O40" s="251"/>
      <c r="P40" s="251" t="s">
        <v>300</v>
      </c>
      <c r="Q40" s="251" t="e">
        <v>#N/A</v>
      </c>
      <c r="R40" s="251" t="e">
        <v>#N/A</v>
      </c>
      <c r="S40" s="251"/>
      <c r="T40" s="251"/>
      <c r="U40" s="251"/>
      <c r="V40" s="251"/>
      <c r="W40" s="251"/>
      <c r="X40" s="251"/>
      <c r="Y40" s="251"/>
      <c r="Z40" s="251"/>
      <c r="AA40" s="251"/>
    </row>
    <row r="41" hidden="1">
      <c r="A41" s="251"/>
      <c r="B41" s="251"/>
      <c r="C41" s="251"/>
      <c r="D41" s="251"/>
      <c r="E41" s="251"/>
      <c r="F41" s="251"/>
      <c r="G41" s="251"/>
      <c r="H41" s="251"/>
      <c r="I41" s="251"/>
      <c r="J41" s="251"/>
      <c r="K41" s="251"/>
      <c r="L41" s="251"/>
      <c r="M41" s="251" t="s">
        <v>300</v>
      </c>
      <c r="N41" s="251"/>
      <c r="O41" s="251"/>
      <c r="P41" s="251" t="s">
        <v>300</v>
      </c>
      <c r="Q41" s="251" t="e">
        <v>#N/A</v>
      </c>
      <c r="R41" s="251" t="e">
        <v>#N/A</v>
      </c>
      <c r="S41" s="251"/>
      <c r="T41" s="251"/>
      <c r="U41" s="251"/>
      <c r="V41" s="251"/>
      <c r="W41" s="251"/>
      <c r="X41" s="251"/>
      <c r="Y41" s="251"/>
      <c r="Z41" s="251"/>
      <c r="AA41" s="251"/>
    </row>
    <row r="42" hidden="1">
      <c r="A42" s="251"/>
      <c r="B42" s="251"/>
      <c r="C42" s="251"/>
      <c r="D42" s="251"/>
      <c r="E42" s="251"/>
      <c r="F42" s="251"/>
      <c r="G42" s="251"/>
      <c r="H42" s="251"/>
      <c r="I42" s="251"/>
      <c r="J42" s="251"/>
      <c r="K42" s="251"/>
      <c r="L42" s="251"/>
      <c r="M42" s="251" t="s">
        <v>300</v>
      </c>
      <c r="N42" s="251"/>
      <c r="O42" s="251"/>
      <c r="P42" s="251" t="s">
        <v>300</v>
      </c>
      <c r="Q42" s="251" t="e">
        <v>#N/A</v>
      </c>
      <c r="R42" s="251" t="e">
        <v>#N/A</v>
      </c>
      <c r="S42" s="251"/>
      <c r="T42" s="251"/>
      <c r="U42" s="251"/>
      <c r="V42" s="251"/>
      <c r="W42" s="251"/>
      <c r="X42" s="251"/>
      <c r="Y42" s="251"/>
      <c r="Z42" s="251"/>
      <c r="AA42" s="251"/>
    </row>
    <row r="43" hidden="1">
      <c r="A43" s="251"/>
      <c r="B43" s="251"/>
      <c r="C43" s="251"/>
      <c r="D43" s="251"/>
      <c r="E43" s="251"/>
      <c r="F43" s="251"/>
      <c r="G43" s="251"/>
      <c r="H43" s="251"/>
      <c r="I43" s="251"/>
      <c r="J43" s="251"/>
      <c r="K43" s="251"/>
      <c r="L43" s="251"/>
      <c r="M43" s="251" t="s">
        <v>300</v>
      </c>
      <c r="N43" s="251"/>
      <c r="O43" s="251"/>
      <c r="P43" s="251" t="s">
        <v>300</v>
      </c>
      <c r="Q43" s="251"/>
      <c r="R43" s="251"/>
      <c r="S43" s="251"/>
      <c r="T43" s="251"/>
      <c r="U43" s="251"/>
      <c r="V43" s="251"/>
      <c r="W43" s="251"/>
      <c r="X43" s="251"/>
      <c r="Y43" s="251"/>
      <c r="Z43" s="251"/>
      <c r="AA43" s="251"/>
    </row>
    <row r="44">
      <c r="A44" s="251"/>
      <c r="B44" s="255" t="s">
        <v>365</v>
      </c>
      <c r="S44" s="251"/>
      <c r="T44" s="251"/>
      <c r="U44" s="251"/>
      <c r="V44" s="251"/>
      <c r="W44" s="251"/>
      <c r="X44" s="251"/>
      <c r="Y44" s="251"/>
      <c r="Z44" s="251"/>
      <c r="AA44" s="251"/>
    </row>
    <row r="45">
      <c r="A45" s="251"/>
      <c r="B45" s="251" t="str">
        <f t="array" ref="B45:C46">{reseeding!A58:A59,reseeding!K58:K59}</f>
        <v>#N/A</v>
      </c>
      <c r="C45" s="251"/>
      <c r="D45" s="251"/>
      <c r="E45" s="251" t="str">
        <f t="array" ref="E45:E46">XLOOKUP(B45:B46,data!$M$2:$M$17,data!$O$2:$O$17)</f>
        <v>#N/A</v>
      </c>
      <c r="F45" s="251" t="str">
        <f t="array" ref="F45:G46">XLOOKUP(B45:C46,data!$M$2:$M$17,data!$N$2:$N$17)</f>
        <v>#N/A</v>
      </c>
      <c r="G45" s="251" t="e">
        <v>#N/A</v>
      </c>
      <c r="H45" s="251" t="str">
        <f t="array" ref="H45:H46">XLOOKUP(C45:C46,data!$M$2:$M$17,data!$O$2:$O$17)</f>
        <v>#N/A</v>
      </c>
      <c r="I45" s="251"/>
      <c r="J45" s="251"/>
      <c r="K45" s="251"/>
      <c r="L45" s="251"/>
      <c r="M45" s="251" t="e">
        <v>#N/A</v>
      </c>
      <c r="N45" s="251" t="str">
        <f t="shared" ref="N45:O45" si="17">if(J45="",F45,J45)</f>
        <v>#N/A</v>
      </c>
      <c r="O45" s="251" t="str">
        <f t="shared" si="17"/>
        <v>#N/A</v>
      </c>
      <c r="P45" s="251" t="e">
        <v>#N/A</v>
      </c>
      <c r="Q45" s="251" t="str">
        <f t="array" ref="Q45:R46">XLOOKUP(N45:O46,data!$N$2:$N$17,data!$M$2:$M$17,"")</f>
        <v>#N/A</v>
      </c>
      <c r="R45" s="251" t="e">
        <v>#N/A</v>
      </c>
      <c r="S45" s="251"/>
      <c r="T45" s="251"/>
      <c r="U45" s="251"/>
      <c r="V45" s="251"/>
      <c r="W45" s="251"/>
      <c r="X45" s="251"/>
      <c r="Y45" s="251"/>
      <c r="Z45" s="251"/>
      <c r="AA45" s="251"/>
    </row>
    <row r="46">
      <c r="A46" s="251"/>
      <c r="B46" s="251"/>
      <c r="C46" s="251"/>
      <c r="D46" s="251"/>
      <c r="E46" s="251" t="e">
        <v>#N/A</v>
      </c>
      <c r="F46" s="251" t="e">
        <v>#N/A</v>
      </c>
      <c r="G46" s="251" t="e">
        <v>#N/A</v>
      </c>
      <c r="H46" s="251" t="e">
        <v>#N/A</v>
      </c>
      <c r="I46" s="251"/>
      <c r="J46" s="251"/>
      <c r="K46" s="251"/>
      <c r="L46" s="251"/>
      <c r="M46" s="251" t="e">
        <v>#N/A</v>
      </c>
      <c r="N46" s="251" t="str">
        <f t="shared" ref="N46:O46" si="18">if(J46="",F46,J46)</f>
        <v>#N/A</v>
      </c>
      <c r="O46" s="251" t="str">
        <f t="shared" si="18"/>
        <v>#N/A</v>
      </c>
      <c r="P46" s="251" t="e">
        <v>#N/A</v>
      </c>
      <c r="Q46" s="251" t="e">
        <v>#N/A</v>
      </c>
      <c r="R46" s="251" t="e">
        <v>#N/A</v>
      </c>
      <c r="S46" s="251"/>
      <c r="T46" s="251"/>
      <c r="U46" s="251"/>
      <c r="V46" s="251"/>
      <c r="W46" s="251"/>
      <c r="X46" s="251"/>
      <c r="Y46" s="251"/>
      <c r="Z46" s="251"/>
      <c r="AA46" s="251"/>
    </row>
    <row r="47">
      <c r="A47" s="251"/>
      <c r="B47" s="251"/>
      <c r="C47" s="251"/>
      <c r="D47" s="251"/>
      <c r="E47" s="251"/>
      <c r="F47" s="251"/>
      <c r="G47" s="251"/>
      <c r="H47" s="251"/>
      <c r="I47" s="251"/>
      <c r="J47" s="251"/>
      <c r="K47" s="251"/>
      <c r="L47" s="251"/>
      <c r="M47" s="251" t="s">
        <v>300</v>
      </c>
      <c r="N47" s="251"/>
      <c r="O47" s="251"/>
      <c r="P47" s="251" t="s">
        <v>300</v>
      </c>
      <c r="Q47" s="251" t="str">
        <f t="array" ref="Q47:R48">{{R46;R45},{Q46;Q45}}</f>
        <v>#N/A</v>
      </c>
      <c r="R47" s="251" t="e">
        <v>#N/A</v>
      </c>
      <c r="S47" s="251"/>
      <c r="T47" s="251"/>
      <c r="U47" s="251"/>
      <c r="V47" s="251"/>
      <c r="W47" s="251"/>
      <c r="X47" s="251"/>
      <c r="Y47" s="251"/>
      <c r="Z47" s="251"/>
      <c r="AA47" s="251"/>
    </row>
    <row r="48" hidden="1">
      <c r="A48" s="251"/>
      <c r="B48" s="251"/>
      <c r="C48" s="251"/>
      <c r="D48" s="251"/>
      <c r="E48" s="251"/>
      <c r="F48" s="251"/>
      <c r="G48" s="251"/>
      <c r="H48" s="251"/>
      <c r="I48" s="251"/>
      <c r="J48" s="251"/>
      <c r="K48" s="251"/>
      <c r="L48" s="251"/>
      <c r="M48" s="251" t="s">
        <v>300</v>
      </c>
      <c r="N48" s="251"/>
      <c r="O48" s="251"/>
      <c r="P48" s="251" t="s">
        <v>300</v>
      </c>
      <c r="Q48" s="251" t="e">
        <v>#N/A</v>
      </c>
      <c r="R48" s="251" t="e">
        <v>#N/A</v>
      </c>
      <c r="S48" s="251"/>
      <c r="T48" s="251"/>
      <c r="U48" s="251"/>
      <c r="V48" s="251"/>
      <c r="W48" s="251"/>
      <c r="X48" s="251"/>
      <c r="Y48" s="251"/>
      <c r="Z48" s="251"/>
      <c r="AA48" s="251"/>
    </row>
    <row r="49" hidden="1">
      <c r="A49" s="251"/>
      <c r="B49" s="251"/>
      <c r="C49" s="251"/>
      <c r="D49" s="251"/>
      <c r="E49" s="251"/>
      <c r="F49" s="251"/>
      <c r="G49" s="251"/>
      <c r="H49" s="251"/>
      <c r="I49" s="251"/>
      <c r="J49" s="251"/>
      <c r="K49" s="251"/>
      <c r="L49" s="251"/>
      <c r="M49" s="251" t="s">
        <v>300</v>
      </c>
      <c r="N49" s="251"/>
      <c r="O49" s="251"/>
      <c r="P49" s="251" t="s">
        <v>300</v>
      </c>
      <c r="Q49" s="251"/>
      <c r="R49" s="251"/>
      <c r="S49" s="251"/>
      <c r="T49" s="251"/>
      <c r="U49" s="251"/>
      <c r="V49" s="251"/>
      <c r="W49" s="251"/>
      <c r="X49" s="251"/>
      <c r="Y49" s="251"/>
      <c r="Z49" s="251"/>
      <c r="AA49" s="251"/>
    </row>
    <row r="50">
      <c r="A50" s="251"/>
      <c r="B50" s="255" t="s">
        <v>366</v>
      </c>
      <c r="S50" s="251"/>
      <c r="T50" s="251"/>
      <c r="U50" s="251"/>
      <c r="V50" s="251"/>
      <c r="W50" s="251"/>
      <c r="X50" s="251"/>
      <c r="Y50" s="251"/>
      <c r="Z50" s="251"/>
      <c r="AA50" s="251"/>
    </row>
    <row r="51">
      <c r="A51" s="251"/>
      <c r="B51" s="251" t="str">
        <f t="array" ref="B51:C54">reseeding!P121:Q124</f>
        <v>#N/A</v>
      </c>
      <c r="C51" s="251"/>
      <c r="D51" s="251"/>
      <c r="E51" s="251" t="str">
        <f t="array" ref="E51:E54">XLOOKUP(B51:B54,data!$M$2:$M$17,data!$O$2:$O$17)</f>
        <v>#N/A</v>
      </c>
      <c r="F51" s="251" t="str">
        <f t="array" ref="F51:G54">XLOOKUP(B51:C54,data!$M$2:$M$17,data!$N$2:$N$17)</f>
        <v>#N/A</v>
      </c>
      <c r="G51" s="251" t="e">
        <v>#N/A</v>
      </c>
      <c r="H51" s="251" t="str">
        <f t="array" ref="H51:H54">XLOOKUP(C51:C54,data!$M$2:$M$17,data!$O$2:$O$17)</f>
        <v>#N/A</v>
      </c>
      <c r="I51" s="251"/>
      <c r="J51" s="251"/>
      <c r="K51" s="251"/>
      <c r="L51" s="251"/>
      <c r="M51" s="251" t="e">
        <v>#N/A</v>
      </c>
      <c r="N51" s="251" t="str">
        <f t="shared" ref="N51:O51" si="19">if(J51="",F51,J51)</f>
        <v>#N/A</v>
      </c>
      <c r="O51" s="251" t="str">
        <f t="shared" si="19"/>
        <v>#N/A</v>
      </c>
      <c r="P51" s="251" t="e">
        <v>#N/A</v>
      </c>
      <c r="Q51" s="251" t="str">
        <f t="array" ref="Q51:R54">XLOOKUP(N51:O54,data!$N$2:$N$17,data!$M$2:$M$17,"")</f>
        <v>#N/A</v>
      </c>
      <c r="R51" s="251" t="e">
        <v>#N/A</v>
      </c>
      <c r="S51" s="251"/>
      <c r="T51" s="251"/>
      <c r="U51" s="251"/>
      <c r="V51" s="251"/>
      <c r="W51" s="251"/>
      <c r="X51" s="251"/>
      <c r="Y51" s="251"/>
      <c r="Z51" s="251"/>
      <c r="AA51" s="251"/>
    </row>
    <row r="52">
      <c r="A52" s="251"/>
      <c r="B52" s="251"/>
      <c r="C52" s="251"/>
      <c r="D52" s="251"/>
      <c r="E52" s="251" t="e">
        <v>#N/A</v>
      </c>
      <c r="F52" s="251" t="e">
        <v>#N/A</v>
      </c>
      <c r="G52" s="251" t="e">
        <v>#N/A</v>
      </c>
      <c r="H52" s="251" t="e">
        <v>#N/A</v>
      </c>
      <c r="I52" s="251"/>
      <c r="J52" s="256"/>
      <c r="K52" s="256"/>
      <c r="L52" s="251"/>
      <c r="M52" s="251" t="e">
        <v>#N/A</v>
      </c>
      <c r="N52" s="251" t="str">
        <f t="shared" ref="N52:O52" si="20">if(J52="",F52,J52)</f>
        <v>#N/A</v>
      </c>
      <c r="O52" s="251" t="str">
        <f t="shared" si="20"/>
        <v>#N/A</v>
      </c>
      <c r="P52" s="251" t="e">
        <v>#N/A</v>
      </c>
      <c r="Q52" s="251" t="e">
        <v>#N/A</v>
      </c>
      <c r="R52" s="251" t="e">
        <v>#N/A</v>
      </c>
      <c r="S52" s="251"/>
      <c r="T52" s="251"/>
      <c r="U52" s="251"/>
      <c r="V52" s="251"/>
      <c r="W52" s="251"/>
      <c r="X52" s="251"/>
      <c r="Y52" s="251"/>
      <c r="Z52" s="251"/>
      <c r="AA52" s="251"/>
    </row>
    <row r="53">
      <c r="A53" s="251"/>
      <c r="B53" s="251"/>
      <c r="C53" s="251"/>
      <c r="D53" s="251"/>
      <c r="E53" s="251" t="e">
        <v>#N/A</v>
      </c>
      <c r="F53" s="251" t="e">
        <v>#N/A</v>
      </c>
      <c r="G53" s="251" t="e">
        <v>#N/A</v>
      </c>
      <c r="H53" s="251" t="e">
        <v>#N/A</v>
      </c>
      <c r="I53" s="251"/>
      <c r="J53" s="251"/>
      <c r="K53" s="251"/>
      <c r="L53" s="251"/>
      <c r="M53" s="251" t="e">
        <v>#N/A</v>
      </c>
      <c r="N53" s="251" t="str">
        <f t="shared" ref="N53:O53" si="21">if(J53="",F53,J53)</f>
        <v>#N/A</v>
      </c>
      <c r="O53" s="251" t="str">
        <f t="shared" si="21"/>
        <v>#N/A</v>
      </c>
      <c r="P53" s="251" t="e">
        <v>#N/A</v>
      </c>
      <c r="Q53" s="251" t="e">
        <v>#N/A</v>
      </c>
      <c r="R53" s="251" t="e">
        <v>#N/A</v>
      </c>
      <c r="S53" s="251"/>
      <c r="T53" s="251"/>
      <c r="U53" s="251"/>
      <c r="V53" s="251"/>
      <c r="W53" s="251"/>
      <c r="X53" s="251"/>
      <c r="Y53" s="251"/>
      <c r="Z53" s="251"/>
      <c r="AA53" s="251"/>
    </row>
    <row r="54">
      <c r="A54" s="251"/>
      <c r="B54" s="251"/>
      <c r="C54" s="251"/>
      <c r="D54" s="251"/>
      <c r="E54" s="251" t="e">
        <v>#N/A</v>
      </c>
      <c r="F54" s="251" t="e">
        <v>#N/A</v>
      </c>
      <c r="G54" s="251" t="e">
        <v>#N/A</v>
      </c>
      <c r="H54" s="251" t="e">
        <v>#N/A</v>
      </c>
      <c r="I54" s="251"/>
      <c r="J54" s="256"/>
      <c r="K54" s="251"/>
      <c r="L54" s="251"/>
      <c r="M54" s="251" t="e">
        <v>#N/A</v>
      </c>
      <c r="N54" s="251" t="str">
        <f t="shared" ref="N54:O54" si="22">if(J54="",F54,J54)</f>
        <v>#N/A</v>
      </c>
      <c r="O54" s="251" t="str">
        <f t="shared" si="22"/>
        <v>#N/A</v>
      </c>
      <c r="P54" s="251" t="e">
        <v>#N/A</v>
      </c>
      <c r="Q54" s="251" t="e">
        <v>#N/A</v>
      </c>
      <c r="R54" s="251" t="e">
        <v>#N/A</v>
      </c>
      <c r="S54" s="251"/>
      <c r="T54" s="251"/>
      <c r="U54" s="251"/>
      <c r="V54" s="251"/>
      <c r="W54" s="251"/>
      <c r="X54" s="251"/>
      <c r="Y54" s="251"/>
      <c r="Z54" s="251"/>
      <c r="AA54" s="251"/>
    </row>
    <row r="55">
      <c r="A55" s="251"/>
      <c r="B55" s="251"/>
      <c r="C55" s="251"/>
      <c r="D55" s="251"/>
      <c r="E55" s="251"/>
      <c r="F55" s="251"/>
      <c r="G55" s="251"/>
      <c r="H55" s="251"/>
      <c r="I55" s="251"/>
      <c r="J55" s="251"/>
      <c r="K55" s="251"/>
      <c r="L55" s="251"/>
      <c r="M55" s="251" t="s">
        <v>300</v>
      </c>
      <c r="N55" s="251"/>
      <c r="O55" s="251"/>
      <c r="P55" s="251" t="s">
        <v>300</v>
      </c>
      <c r="Q55" s="251"/>
      <c r="R55" s="251"/>
      <c r="S55" s="251"/>
      <c r="T55" s="251"/>
      <c r="U55" s="251"/>
      <c r="V55" s="251"/>
      <c r="W55" s="251"/>
      <c r="X55" s="251"/>
      <c r="Y55" s="251"/>
      <c r="Z55" s="251"/>
      <c r="AA55" s="251"/>
    </row>
    <row r="56" hidden="1">
      <c r="A56" s="251"/>
      <c r="B56" s="251"/>
      <c r="C56" s="251"/>
      <c r="D56" s="251"/>
      <c r="E56" s="251"/>
      <c r="F56" s="251"/>
      <c r="G56" s="251"/>
      <c r="H56" s="251"/>
      <c r="I56" s="251"/>
      <c r="J56" s="251"/>
      <c r="K56" s="251"/>
      <c r="L56" s="251"/>
      <c r="M56" s="251" t="s">
        <v>300</v>
      </c>
      <c r="N56" s="251"/>
      <c r="O56" s="251"/>
      <c r="P56" s="251" t="s">
        <v>300</v>
      </c>
      <c r="Q56" s="251"/>
      <c r="R56" s="251"/>
      <c r="S56" s="251"/>
      <c r="T56" s="251"/>
      <c r="U56" s="251"/>
      <c r="V56" s="251"/>
      <c r="W56" s="251"/>
      <c r="X56" s="251"/>
      <c r="Y56" s="251"/>
      <c r="Z56" s="251"/>
      <c r="AA56" s="251"/>
    </row>
    <row r="57">
      <c r="A57" s="251"/>
      <c r="B57" s="255" t="s">
        <v>367</v>
      </c>
      <c r="S57" s="251"/>
      <c r="T57" s="251"/>
      <c r="U57" s="251"/>
      <c r="V57" s="251"/>
      <c r="W57" s="251"/>
      <c r="X57" s="251"/>
      <c r="Y57" s="251"/>
      <c r="Z57" s="251"/>
      <c r="AA57" s="251"/>
    </row>
    <row r="58">
      <c r="A58" s="251"/>
      <c r="B58" s="251" t="str">
        <f t="array" ref="B58:C59">{reseeding!A64:A65,reseeding!K64:K65}</f>
        <v>#REF!</v>
      </c>
      <c r="C58" s="251"/>
      <c r="D58" s="251"/>
      <c r="E58" s="251" t="str">
        <f t="array" ref="E58:E59">XLOOKUP(B58:B59,data!$M$2:$M$17,data!$O$2:$O$17)</f>
        <v>#REF!</v>
      </c>
      <c r="F58" s="251" t="str">
        <f t="array" ref="F58:G59">XLOOKUP(B58:C59,data!$M$2:$M$17,data!$N$2:$N$17)</f>
        <v>#REF!</v>
      </c>
      <c r="G58" s="251" t="e">
        <v>#N/A</v>
      </c>
      <c r="H58" s="251" t="str">
        <f t="array" ref="H58:H59">XLOOKUP(C58:C59,data!$M$2:$M$17,data!$O$2:$O$17)</f>
        <v>#N/A</v>
      </c>
      <c r="I58" s="251"/>
      <c r="J58" s="251"/>
      <c r="K58" s="251"/>
      <c r="L58" s="251"/>
      <c r="M58" s="251" t="e">
        <v>#REF!</v>
      </c>
      <c r="N58" s="251" t="str">
        <f t="shared" ref="N58:O58" si="23">if(J58="",F58,J58)</f>
        <v>#REF!</v>
      </c>
      <c r="O58" s="251" t="str">
        <f t="shared" si="23"/>
        <v>#N/A</v>
      </c>
      <c r="P58" s="251" t="e">
        <v>#N/A</v>
      </c>
      <c r="Q58" s="251" t="str">
        <f t="array" ref="Q58:R59">XLOOKUP(N58:O59,data!$N$2:$N$17,data!$M$2:$M$17,"")</f>
        <v>#REF!</v>
      </c>
      <c r="R58" s="251" t="e">
        <v>#N/A</v>
      </c>
      <c r="S58" s="251"/>
      <c r="T58" s="251"/>
      <c r="U58" s="251"/>
      <c r="V58" s="251"/>
      <c r="W58" s="251"/>
      <c r="X58" s="251"/>
      <c r="Y58" s="251"/>
      <c r="Z58" s="251"/>
      <c r="AA58" s="251"/>
    </row>
    <row r="59">
      <c r="A59" s="251"/>
      <c r="B59" s="251"/>
      <c r="C59" s="251"/>
      <c r="D59" s="251"/>
      <c r="E59" s="251" t="e">
        <v>#N/A</v>
      </c>
      <c r="F59" s="251" t="e">
        <v>#N/A</v>
      </c>
      <c r="G59" s="251" t="e">
        <v>#N/A</v>
      </c>
      <c r="H59" s="251" t="e">
        <v>#N/A</v>
      </c>
      <c r="I59" s="251"/>
      <c r="J59" s="251"/>
      <c r="K59" s="251"/>
      <c r="L59" s="251"/>
      <c r="M59" s="251" t="e">
        <v>#N/A</v>
      </c>
      <c r="N59" s="251" t="str">
        <f t="shared" ref="N59:O59" si="24">if(J59="",F59,J59)</f>
        <v>#N/A</v>
      </c>
      <c r="O59" s="251" t="str">
        <f t="shared" si="24"/>
        <v>#N/A</v>
      </c>
      <c r="P59" s="251" t="e">
        <v>#N/A</v>
      </c>
      <c r="Q59" s="251" t="e">
        <v>#N/A</v>
      </c>
      <c r="R59" s="251" t="e">
        <v>#N/A</v>
      </c>
      <c r="S59" s="251"/>
      <c r="T59" s="251"/>
      <c r="U59" s="251"/>
      <c r="V59" s="251"/>
      <c r="W59" s="251"/>
      <c r="X59" s="251"/>
      <c r="Y59" s="251"/>
      <c r="Z59" s="251"/>
      <c r="AA59" s="251"/>
    </row>
    <row r="60">
      <c r="A60" s="251"/>
      <c r="B60" s="251"/>
      <c r="C60" s="251"/>
      <c r="D60" s="251"/>
      <c r="E60" s="251"/>
      <c r="F60" s="251"/>
      <c r="G60" s="251"/>
      <c r="H60" s="251"/>
      <c r="I60" s="251"/>
      <c r="J60" s="251"/>
      <c r="K60" s="251"/>
      <c r="L60" s="251"/>
      <c r="M60" s="251" t="s">
        <v>300</v>
      </c>
      <c r="N60" s="251"/>
      <c r="O60" s="251"/>
      <c r="P60" s="251" t="s">
        <v>300</v>
      </c>
      <c r="Q60" s="251" t="str">
        <f t="array" ref="Q60:R61">{{R59;R58},{Q59;Q58}}</f>
        <v>#N/A</v>
      </c>
      <c r="R60" s="251" t="e">
        <v>#N/A</v>
      </c>
      <c r="S60" s="251"/>
      <c r="T60" s="251"/>
      <c r="U60" s="251"/>
      <c r="V60" s="251"/>
      <c r="W60" s="251"/>
      <c r="X60" s="251"/>
      <c r="Y60" s="251"/>
      <c r="Z60" s="251"/>
      <c r="AA60" s="251"/>
    </row>
    <row r="61" hidden="1">
      <c r="A61" s="251"/>
      <c r="B61" s="251"/>
      <c r="C61" s="251"/>
      <c r="D61" s="251"/>
      <c r="E61" s="251"/>
      <c r="F61" s="251"/>
      <c r="G61" s="251"/>
      <c r="H61" s="251"/>
      <c r="I61" s="251"/>
      <c r="J61" s="251"/>
      <c r="K61" s="251"/>
      <c r="L61" s="251"/>
      <c r="M61" s="251" t="s">
        <v>300</v>
      </c>
      <c r="N61" s="251"/>
      <c r="O61" s="251"/>
      <c r="P61" s="251" t="s">
        <v>300</v>
      </c>
      <c r="Q61" s="251" t="e">
        <v>#N/A</v>
      </c>
      <c r="R61" s="251" t="e">
        <v>#REF!</v>
      </c>
      <c r="S61" s="251"/>
      <c r="T61" s="251"/>
      <c r="U61" s="251"/>
      <c r="V61" s="251"/>
      <c r="W61" s="251"/>
      <c r="X61" s="251"/>
      <c r="Y61" s="251"/>
      <c r="Z61" s="251"/>
      <c r="AA61" s="251"/>
    </row>
    <row r="62" hidden="1">
      <c r="A62" s="251"/>
      <c r="B62" s="251"/>
      <c r="C62" s="251"/>
      <c r="D62" s="251"/>
      <c r="E62" s="251"/>
      <c r="F62" s="251"/>
      <c r="G62" s="251"/>
      <c r="H62" s="251"/>
      <c r="I62" s="251"/>
      <c r="J62" s="251"/>
      <c r="K62" s="251"/>
      <c r="L62" s="251"/>
      <c r="M62" s="251" t="s">
        <v>300</v>
      </c>
      <c r="N62" s="251"/>
      <c r="O62" s="251"/>
      <c r="P62" s="251" t="s">
        <v>300</v>
      </c>
      <c r="Q62" s="251"/>
      <c r="R62" s="251"/>
      <c r="S62" s="251"/>
      <c r="T62" s="251"/>
      <c r="U62" s="251"/>
      <c r="V62" s="251"/>
      <c r="W62" s="251"/>
      <c r="X62" s="251"/>
      <c r="Y62" s="251"/>
      <c r="Z62" s="251"/>
      <c r="AA62" s="251"/>
    </row>
    <row r="63">
      <c r="A63" s="251"/>
      <c r="B63" s="255" t="s">
        <v>368</v>
      </c>
      <c r="S63" s="251"/>
      <c r="T63" s="251"/>
      <c r="U63" s="251"/>
      <c r="V63" s="251"/>
      <c r="W63" s="251"/>
      <c r="X63" s="251"/>
      <c r="Y63" s="251"/>
      <c r="Z63" s="251"/>
      <c r="AA63" s="251"/>
    </row>
    <row r="64">
      <c r="A64" s="251"/>
      <c r="B64" s="251" t="str">
        <f t="array" ref="B64:C66">reseeding!J207:K209</f>
        <v>#N/A</v>
      </c>
      <c r="C64" s="251"/>
      <c r="D64" s="251"/>
      <c r="E64" s="251" t="str">
        <f t="array" ref="E64:E66">XLOOKUP(B64:B66,data!$M$2:$M$17,data!$O$2:$O$17)</f>
        <v>#N/A</v>
      </c>
      <c r="F64" s="251" t="str">
        <f t="array" ref="F64:G66">XLOOKUP(B64:C66,data!$M$2:$M$17,data!$N$2:$N$17)</f>
        <v>#N/A</v>
      </c>
      <c r="G64" s="251" t="e">
        <v>#N/A</v>
      </c>
      <c r="H64" s="251" t="str">
        <f t="array" ref="H64:H66">XLOOKUP(C64:C66,data!$M$2:$M$17,data!$O$2:$O$17)</f>
        <v>#N/A</v>
      </c>
      <c r="I64" s="251"/>
      <c r="J64" s="256"/>
      <c r="K64" s="256"/>
      <c r="L64" s="251"/>
      <c r="M64" s="251" t="e">
        <v>#N/A</v>
      </c>
      <c r="N64" s="251" t="str">
        <f t="shared" ref="N64:O64" si="25">if(J64="",F64,J64)</f>
        <v>#N/A</v>
      </c>
      <c r="O64" s="251" t="str">
        <f t="shared" si="25"/>
        <v>#N/A</v>
      </c>
      <c r="P64" s="251" t="e">
        <v>#N/A</v>
      </c>
      <c r="Q64" s="251" t="str">
        <f t="array" ref="Q64:R66">XLOOKUP(N64:O66,data!$N$2:$N$17,data!$M$2:$M$17,"")</f>
        <v>#N/A</v>
      </c>
      <c r="R64" s="251" t="e">
        <v>#N/A</v>
      </c>
      <c r="S64" s="251"/>
      <c r="T64" s="251"/>
      <c r="U64" s="251"/>
      <c r="V64" s="251"/>
      <c r="W64" s="251"/>
      <c r="X64" s="251"/>
      <c r="Y64" s="251"/>
      <c r="Z64" s="251"/>
      <c r="AA64" s="251"/>
    </row>
    <row r="65">
      <c r="A65" s="251"/>
      <c r="B65" s="251"/>
      <c r="C65" s="251"/>
      <c r="D65" s="251"/>
      <c r="E65" s="251" t="e">
        <v>#N/A</v>
      </c>
      <c r="F65" s="251" t="e">
        <v>#N/A</v>
      </c>
      <c r="G65" s="251" t="e">
        <v>#N/A</v>
      </c>
      <c r="H65" s="251" t="e">
        <v>#N/A</v>
      </c>
      <c r="I65" s="251"/>
      <c r="J65" s="256"/>
      <c r="K65" s="251"/>
      <c r="L65" s="251"/>
      <c r="M65" s="251" t="e">
        <v>#N/A</v>
      </c>
      <c r="N65" s="251" t="str">
        <f t="shared" ref="N65:O65" si="26">if(J65="",F65,J65)</f>
        <v>#N/A</v>
      </c>
      <c r="O65" s="251" t="str">
        <f t="shared" si="26"/>
        <v>#N/A</v>
      </c>
      <c r="P65" s="251" t="e">
        <v>#N/A</v>
      </c>
      <c r="Q65" s="251" t="e">
        <v>#N/A</v>
      </c>
      <c r="R65" s="251" t="e">
        <v>#N/A</v>
      </c>
      <c r="S65" s="251"/>
      <c r="T65" s="251"/>
      <c r="U65" s="251"/>
      <c r="V65" s="251"/>
      <c r="W65" s="251"/>
      <c r="X65" s="251"/>
      <c r="Y65" s="251"/>
      <c r="Z65" s="251"/>
      <c r="AA65" s="251"/>
    </row>
    <row r="66">
      <c r="A66" s="251"/>
      <c r="B66" s="251"/>
      <c r="C66" s="251"/>
      <c r="D66" s="251"/>
      <c r="E66" s="251" t="e">
        <v>#N/A</v>
      </c>
      <c r="F66" s="251" t="e">
        <v>#N/A</v>
      </c>
      <c r="G66" s="251" t="e">
        <v>#N/A</v>
      </c>
      <c r="H66" s="251" t="e">
        <v>#N/A</v>
      </c>
      <c r="I66" s="251"/>
      <c r="J66" s="256"/>
      <c r="K66" s="251"/>
      <c r="L66" s="251"/>
      <c r="M66" s="251" t="e">
        <v>#N/A</v>
      </c>
      <c r="N66" s="251" t="str">
        <f t="shared" ref="N66:O66" si="27">if(J66="",F66,J66)</f>
        <v>#N/A</v>
      </c>
      <c r="O66" s="251" t="str">
        <f t="shared" si="27"/>
        <v>#N/A</v>
      </c>
      <c r="P66" s="251" t="e">
        <v>#N/A</v>
      </c>
      <c r="Q66" s="251" t="e">
        <v>#N/A</v>
      </c>
      <c r="R66" s="251" t="e">
        <v>#N/A</v>
      </c>
      <c r="S66" s="251"/>
      <c r="T66" s="251"/>
      <c r="U66" s="251"/>
      <c r="V66" s="251"/>
      <c r="W66" s="251"/>
      <c r="X66" s="251"/>
      <c r="Y66" s="251"/>
      <c r="Z66" s="251"/>
      <c r="AA66" s="251"/>
    </row>
    <row r="67">
      <c r="A67" s="251"/>
      <c r="B67" s="251"/>
      <c r="C67" s="251"/>
      <c r="D67" s="251"/>
      <c r="E67" s="251"/>
      <c r="F67" s="251"/>
      <c r="G67" s="251"/>
      <c r="H67" s="251"/>
      <c r="I67" s="251"/>
      <c r="J67" s="251"/>
      <c r="K67" s="251"/>
      <c r="L67" s="251"/>
      <c r="M67" s="251" t="s">
        <v>300</v>
      </c>
      <c r="N67" s="251"/>
      <c r="O67" s="251"/>
      <c r="P67" s="251" t="s">
        <v>300</v>
      </c>
      <c r="Q67" s="251"/>
      <c r="R67" s="251"/>
      <c r="S67" s="251"/>
      <c r="T67" s="251"/>
      <c r="U67" s="251"/>
      <c r="V67" s="251"/>
      <c r="W67" s="251"/>
      <c r="X67" s="251"/>
      <c r="Y67" s="251"/>
      <c r="Z67" s="251"/>
      <c r="AA67" s="251"/>
    </row>
    <row r="68" hidden="1">
      <c r="A68" s="251"/>
      <c r="B68" s="251"/>
      <c r="C68" s="251"/>
      <c r="D68" s="251"/>
      <c r="E68" s="251"/>
      <c r="F68" s="251"/>
      <c r="G68" s="251"/>
      <c r="H68" s="251"/>
      <c r="I68" s="251"/>
      <c r="J68" s="251"/>
      <c r="K68" s="251"/>
      <c r="L68" s="251"/>
      <c r="M68" s="251" t="s">
        <v>300</v>
      </c>
      <c r="N68" s="251"/>
      <c r="O68" s="251"/>
      <c r="P68" s="251" t="s">
        <v>300</v>
      </c>
      <c r="Q68" s="251"/>
      <c r="R68" s="251"/>
      <c r="S68" s="251"/>
      <c r="T68" s="251"/>
      <c r="U68" s="251"/>
      <c r="V68" s="251"/>
      <c r="W68" s="251"/>
      <c r="X68" s="251"/>
      <c r="Y68" s="251"/>
      <c r="Z68" s="251"/>
      <c r="AA68" s="251"/>
    </row>
    <row r="69">
      <c r="A69" s="251"/>
      <c r="B69" s="255" t="s">
        <v>369</v>
      </c>
      <c r="S69" s="251"/>
      <c r="T69" s="251"/>
      <c r="U69" s="251"/>
      <c r="V69" s="251"/>
      <c r="W69" s="251"/>
      <c r="X69" s="251"/>
      <c r="Y69" s="251"/>
      <c r="Z69" s="251"/>
      <c r="AA69" s="251"/>
    </row>
    <row r="70">
      <c r="A70" s="251"/>
      <c r="B70" s="251" t="str">
        <f t="array" ref="B70:C72">reseeding!J270:K272</f>
        <v>#N/A</v>
      </c>
      <c r="C70" s="251"/>
      <c r="D70" s="251"/>
      <c r="E70" s="251" t="str">
        <f t="array" ref="E70:E72">XLOOKUP(B70:B72,data!$M$2:$M$17,data!$O$2:$O$17)</f>
        <v>#N/A</v>
      </c>
      <c r="F70" s="251" t="str">
        <f t="array" ref="F70:G72">XLOOKUP(B70:C72,data!$M$2:$M$17,data!$N$2:$N$17)</f>
        <v>#N/A</v>
      </c>
      <c r="G70" s="251" t="e">
        <v>#N/A</v>
      </c>
      <c r="H70" s="251" t="str">
        <f t="array" ref="H70:H72">XLOOKUP(C70:C72,data!$M$2:$M$17,data!$O$2:$O$17)</f>
        <v>#N/A</v>
      </c>
      <c r="I70" s="251"/>
      <c r="J70" s="251"/>
      <c r="K70" s="251"/>
      <c r="L70" s="251"/>
      <c r="M70" s="251" t="e">
        <v>#N/A</v>
      </c>
      <c r="N70" s="251" t="str">
        <f t="shared" ref="N70:O70" si="28">if(J70="",F70,J70)</f>
        <v>#N/A</v>
      </c>
      <c r="O70" s="251" t="str">
        <f t="shared" si="28"/>
        <v>#N/A</v>
      </c>
      <c r="P70" s="251" t="e">
        <v>#N/A</v>
      </c>
      <c r="Q70" s="251" t="str">
        <f t="array" ref="Q70:R72">XLOOKUP(N70:O72,data!$N$2:$N$17,data!$M$2:$M$17,"")</f>
        <v>#N/A</v>
      </c>
      <c r="R70" s="251" t="e">
        <v>#N/A</v>
      </c>
      <c r="S70" s="251"/>
      <c r="T70" s="251"/>
      <c r="U70" s="251"/>
      <c r="V70" s="251"/>
      <c r="W70" s="251"/>
      <c r="X70" s="251"/>
      <c r="Y70" s="251"/>
      <c r="Z70" s="251"/>
      <c r="AA70" s="251"/>
    </row>
    <row r="71">
      <c r="A71" s="251"/>
      <c r="B71" s="251"/>
      <c r="C71" s="251"/>
      <c r="D71" s="251"/>
      <c r="E71" s="251" t="e">
        <v>#N/A</v>
      </c>
      <c r="F71" s="251" t="e">
        <v>#N/A</v>
      </c>
      <c r="G71" s="251" t="e">
        <v>#N/A</v>
      </c>
      <c r="H71" s="251" t="e">
        <v>#N/A</v>
      </c>
      <c r="I71" s="251"/>
      <c r="J71" s="251"/>
      <c r="K71" s="251"/>
      <c r="L71" s="251"/>
      <c r="M71" s="251" t="e">
        <v>#N/A</v>
      </c>
      <c r="N71" s="251" t="str">
        <f t="shared" ref="N71:O71" si="29">if(J71="",F71,J71)</f>
        <v>#N/A</v>
      </c>
      <c r="O71" s="251" t="str">
        <f t="shared" si="29"/>
        <v>#N/A</v>
      </c>
      <c r="P71" s="251" t="e">
        <v>#N/A</v>
      </c>
      <c r="Q71" s="251" t="e">
        <v>#N/A</v>
      </c>
      <c r="R71" s="251" t="e">
        <v>#N/A</v>
      </c>
      <c r="S71" s="251"/>
      <c r="T71" s="251"/>
      <c r="U71" s="251"/>
      <c r="V71" s="251"/>
      <c r="W71" s="251"/>
      <c r="X71" s="251"/>
      <c r="Y71" s="251"/>
      <c r="Z71" s="251"/>
      <c r="AA71" s="251"/>
    </row>
    <row r="72">
      <c r="A72" s="251"/>
      <c r="B72" s="251"/>
      <c r="C72" s="251"/>
      <c r="D72" s="251"/>
      <c r="E72" s="251" t="e">
        <v>#N/A</v>
      </c>
      <c r="F72" s="251" t="e">
        <v>#N/A</v>
      </c>
      <c r="G72" s="251" t="e">
        <v>#N/A</v>
      </c>
      <c r="H72" s="251" t="e">
        <v>#N/A</v>
      </c>
      <c r="I72" s="251"/>
      <c r="J72" s="251"/>
      <c r="K72" s="251"/>
      <c r="L72" s="251"/>
      <c r="M72" s="251" t="e">
        <v>#N/A</v>
      </c>
      <c r="N72" s="251" t="str">
        <f t="shared" ref="N72:O72" si="30">if(J72="",F72,J72)</f>
        <v>#N/A</v>
      </c>
      <c r="O72" s="251" t="str">
        <f t="shared" si="30"/>
        <v>#N/A</v>
      </c>
      <c r="P72" s="251" t="e">
        <v>#N/A</v>
      </c>
      <c r="Q72" s="251" t="e">
        <v>#N/A</v>
      </c>
      <c r="R72" s="251" t="e">
        <v>#N/A</v>
      </c>
      <c r="S72" s="251"/>
      <c r="T72" s="251"/>
      <c r="U72" s="251"/>
      <c r="V72" s="251"/>
      <c r="W72" s="251"/>
      <c r="X72" s="251"/>
      <c r="Y72" s="251"/>
      <c r="Z72" s="251"/>
      <c r="AA72" s="251"/>
    </row>
    <row r="73">
      <c r="A73" s="251"/>
      <c r="B73" s="251"/>
      <c r="C73" s="251"/>
      <c r="D73" s="251"/>
      <c r="E73" s="251"/>
      <c r="F73" s="251"/>
      <c r="G73" s="251"/>
      <c r="H73" s="251"/>
      <c r="I73" s="251"/>
      <c r="J73" s="251"/>
      <c r="K73" s="251"/>
      <c r="L73" s="251"/>
      <c r="M73" s="251" t="s">
        <v>300</v>
      </c>
      <c r="N73" s="251"/>
      <c r="O73" s="251"/>
      <c r="P73" s="251" t="s">
        <v>300</v>
      </c>
      <c r="Q73" s="251"/>
      <c r="R73" s="251"/>
      <c r="S73" s="251"/>
      <c r="T73" s="251"/>
      <c r="U73" s="251"/>
      <c r="V73" s="251"/>
      <c r="W73" s="251"/>
      <c r="X73" s="251"/>
      <c r="Y73" s="251"/>
      <c r="Z73" s="251"/>
      <c r="AA73" s="251"/>
    </row>
    <row r="74" hidden="1">
      <c r="A74" s="251"/>
      <c r="B74" s="251"/>
      <c r="C74" s="251"/>
      <c r="D74" s="251"/>
      <c r="E74" s="251"/>
      <c r="F74" s="251"/>
      <c r="G74" s="251"/>
      <c r="H74" s="251"/>
      <c r="I74" s="251"/>
      <c r="J74" s="251"/>
      <c r="K74" s="251"/>
      <c r="L74" s="251"/>
      <c r="M74" s="251" t="s">
        <v>300</v>
      </c>
      <c r="N74" s="251"/>
      <c r="O74" s="251"/>
      <c r="P74" s="251" t="s">
        <v>300</v>
      </c>
      <c r="Q74" s="251"/>
      <c r="R74" s="251"/>
      <c r="S74" s="251"/>
      <c r="T74" s="251"/>
      <c r="U74" s="251"/>
      <c r="V74" s="251"/>
      <c r="W74" s="251"/>
      <c r="X74" s="251"/>
      <c r="Y74" s="251"/>
      <c r="Z74" s="251"/>
      <c r="AA74" s="251"/>
    </row>
    <row r="75">
      <c r="A75" s="251"/>
      <c r="B75" s="255" t="s">
        <v>370</v>
      </c>
      <c r="S75" s="251"/>
      <c r="T75" s="251"/>
      <c r="U75" s="251"/>
      <c r="V75" s="251"/>
      <c r="W75" s="251"/>
      <c r="X75" s="251"/>
      <c r="Y75" s="251"/>
      <c r="Z75" s="251"/>
      <c r="AA75" s="251"/>
    </row>
    <row r="76">
      <c r="A76" s="251"/>
      <c r="B76" s="251" t="str">
        <f t="array" ref="B76:C78">reseeding!J350:K352</f>
        <v>#N/A</v>
      </c>
      <c r="C76" s="251"/>
      <c r="D76" s="251"/>
      <c r="E76" s="251" t="str">
        <f t="array" ref="E76:E78">XLOOKUP(B76:B78,data!$M$2:$M$17,data!$O$2:$O$17)</f>
        <v>#N/A</v>
      </c>
      <c r="F76" s="251" t="str">
        <f t="array" ref="F76:G78">XLOOKUP(B76:C78,data!$M$2:$M$17,data!$N$2:$N$17)</f>
        <v>#N/A</v>
      </c>
      <c r="G76" s="251" t="e">
        <v>#N/A</v>
      </c>
      <c r="H76" s="251" t="str">
        <f t="array" ref="H76:H78">XLOOKUP(C76:C78,data!$M$2:$M$17,data!$O$2:$O$17)</f>
        <v>#N/A</v>
      </c>
      <c r="I76" s="251"/>
      <c r="J76" s="256"/>
      <c r="K76" s="256"/>
      <c r="L76" s="251"/>
      <c r="M76" s="251" t="e">
        <v>#N/A</v>
      </c>
      <c r="N76" s="251" t="str">
        <f t="shared" ref="N76:O76" si="31">if(J76="",F76,J76)</f>
        <v>#N/A</v>
      </c>
      <c r="O76" s="251" t="str">
        <f t="shared" si="31"/>
        <v>#N/A</v>
      </c>
      <c r="P76" s="251" t="e">
        <v>#N/A</v>
      </c>
      <c r="Q76" s="251" t="str">
        <f t="array" ref="Q76:R78">XLOOKUP(N76:O78,data!$N$2:$N$17,data!$M$2:$M$17,"")</f>
        <v>#N/A</v>
      </c>
      <c r="R76" s="251" t="e">
        <v>#N/A</v>
      </c>
      <c r="S76" s="251"/>
      <c r="T76" s="251"/>
      <c r="U76" s="251"/>
      <c r="V76" s="251"/>
      <c r="W76" s="251"/>
      <c r="X76" s="251"/>
      <c r="Y76" s="251"/>
      <c r="Z76" s="251"/>
      <c r="AA76" s="251"/>
    </row>
    <row r="77">
      <c r="A77" s="251"/>
      <c r="B77" s="251"/>
      <c r="C77" s="251"/>
      <c r="D77" s="251"/>
      <c r="E77" s="251" t="e">
        <v>#N/A</v>
      </c>
      <c r="F77" s="251" t="e">
        <v>#N/A</v>
      </c>
      <c r="G77" s="251" t="e">
        <v>#N/A</v>
      </c>
      <c r="H77" s="251" t="e">
        <v>#N/A</v>
      </c>
      <c r="I77" s="251"/>
      <c r="J77" s="251"/>
      <c r="K77" s="251"/>
      <c r="L77" s="251"/>
      <c r="M77" s="251" t="e">
        <v>#N/A</v>
      </c>
      <c r="N77" s="251" t="str">
        <f t="shared" ref="N77:O77" si="32">if(J77="",F77,J77)</f>
        <v>#N/A</v>
      </c>
      <c r="O77" s="251" t="str">
        <f t="shared" si="32"/>
        <v>#N/A</v>
      </c>
      <c r="P77" s="251" t="e">
        <v>#N/A</v>
      </c>
      <c r="Q77" s="251" t="e">
        <v>#N/A</v>
      </c>
      <c r="R77" s="251" t="e">
        <v>#N/A</v>
      </c>
      <c r="S77" s="251"/>
      <c r="T77" s="251"/>
      <c r="U77" s="251"/>
      <c r="V77" s="251"/>
      <c r="W77" s="251"/>
      <c r="X77" s="251"/>
      <c r="Y77" s="251"/>
      <c r="Z77" s="251"/>
      <c r="AA77" s="251"/>
    </row>
    <row r="78">
      <c r="A78" s="251"/>
      <c r="B78" s="251"/>
      <c r="C78" s="251"/>
      <c r="D78" s="251"/>
      <c r="E78" s="251" t="e">
        <v>#N/A</v>
      </c>
      <c r="F78" s="251" t="e">
        <v>#N/A</v>
      </c>
      <c r="G78" s="251" t="e">
        <v>#N/A</v>
      </c>
      <c r="H78" s="251" t="e">
        <v>#N/A</v>
      </c>
      <c r="I78" s="251"/>
      <c r="J78" s="256"/>
      <c r="K78" s="256"/>
      <c r="L78" s="251"/>
      <c r="M78" s="251" t="e">
        <v>#N/A</v>
      </c>
      <c r="N78" s="251" t="str">
        <f t="shared" ref="N78:O78" si="33">if(J78="",F78,J78)</f>
        <v>#N/A</v>
      </c>
      <c r="O78" s="251" t="str">
        <f t="shared" si="33"/>
        <v>#N/A</v>
      </c>
      <c r="P78" s="251" t="e">
        <v>#N/A</v>
      </c>
      <c r="Q78" s="251" t="e">
        <v>#N/A</v>
      </c>
      <c r="R78" s="251" t="e">
        <v>#N/A</v>
      </c>
      <c r="S78" s="251"/>
      <c r="T78" s="251"/>
      <c r="U78" s="251"/>
      <c r="V78" s="251"/>
      <c r="W78" s="251"/>
      <c r="X78" s="251"/>
      <c r="Y78" s="251"/>
      <c r="Z78" s="251"/>
      <c r="AA78" s="251"/>
    </row>
    <row r="79">
      <c r="A79" s="251"/>
      <c r="B79" s="251"/>
      <c r="C79" s="251"/>
      <c r="D79" s="251"/>
      <c r="E79" s="251"/>
      <c r="F79" s="251"/>
      <c r="G79" s="251"/>
      <c r="H79" s="251"/>
      <c r="I79" s="251"/>
      <c r="J79" s="251"/>
      <c r="K79" s="251"/>
      <c r="L79" s="251"/>
      <c r="M79" s="251"/>
      <c r="N79" s="251"/>
      <c r="O79" s="251"/>
      <c r="P79" s="251"/>
      <c r="Q79" s="251"/>
      <c r="R79" s="251"/>
      <c r="S79" s="251"/>
      <c r="T79" s="251"/>
      <c r="U79" s="251"/>
      <c r="V79" s="251"/>
      <c r="W79" s="251"/>
      <c r="X79" s="251"/>
      <c r="Y79" s="251"/>
      <c r="Z79" s="251"/>
      <c r="AA79" s="251"/>
    </row>
  </sheetData>
  <mergeCells count="12">
    <mergeCell ref="B50:R50"/>
    <mergeCell ref="B57:R57"/>
    <mergeCell ref="B63:R63"/>
    <mergeCell ref="B69:R69"/>
    <mergeCell ref="B75:R75"/>
    <mergeCell ref="E1:H3"/>
    <mergeCell ref="J1:K3"/>
    <mergeCell ref="M1:P3"/>
    <mergeCell ref="B4:R4"/>
    <mergeCell ref="B24:R24"/>
    <mergeCell ref="B34:R34"/>
    <mergeCell ref="B44:R44"/>
  </mergeCells>
  <conditionalFormatting sqref="N5:O12">
    <cfRule type="expression" dxfId="14" priority="1">
      <formula>countif($N$5:$O$12,N5)&gt;1</formula>
    </cfRule>
  </conditionalFormatting>
  <conditionalFormatting sqref="N25:O28">
    <cfRule type="expression" dxfId="14" priority="2">
      <formula>countif($N$25:$O$28,N25)&gt;1</formula>
    </cfRule>
  </conditionalFormatting>
  <conditionalFormatting sqref="N35:O38">
    <cfRule type="expression" dxfId="14" priority="3">
      <formula>countif($N$35:$O$38,N35)&gt;1</formula>
    </cfRule>
  </conditionalFormatting>
  <conditionalFormatting sqref="N45:O46">
    <cfRule type="expression" dxfId="14" priority="4">
      <formula>countif($N$45:$O$46,N45)&gt;1</formula>
    </cfRule>
  </conditionalFormatting>
  <conditionalFormatting sqref="N51:O54">
    <cfRule type="expression" dxfId="14" priority="5">
      <formula>countif($N$51:$O$54,N51)&gt;1</formula>
    </cfRule>
  </conditionalFormatting>
  <conditionalFormatting sqref="N58:O59">
    <cfRule type="expression" dxfId="14" priority="6">
      <formula>countif($N$58:$O$59,N58)&gt;1</formula>
    </cfRule>
  </conditionalFormatting>
  <conditionalFormatting sqref="N64:O66">
    <cfRule type="expression" dxfId="14" priority="7">
      <formula>countif($N$64:$O$66,N64)&gt;1</formula>
    </cfRule>
  </conditionalFormatting>
  <conditionalFormatting sqref="N70:O72">
    <cfRule type="expression" dxfId="14" priority="8">
      <formula>countif($N$70:$O$72,N70)&gt;1</formula>
    </cfRule>
  </conditionalFormatting>
  <conditionalFormatting sqref="N76:O78">
    <cfRule type="expression" dxfId="14" priority="9">
      <formula>countif($N$76:$O$78,N76)&gt;1</formula>
    </cfRule>
  </conditionalFormatting>
  <dataValidations>
    <dataValidation type="list" allowBlank="1" showErrorMessage="1" sqref="J70:K72">
      <formula1>'Choose matchups (Main)'!$F$70:$G$72</formula1>
    </dataValidation>
    <dataValidation type="list" allowBlank="1" showErrorMessage="1" sqref="K5:K12">
      <formula1>'Choose matchups (Main)'!$G$5:$G$12</formula1>
    </dataValidation>
    <dataValidation type="list" allowBlank="1" showErrorMessage="1" sqref="J58:K59">
      <formula1>'Choose matchups (Main)'!$F$58:$G$59</formula1>
    </dataValidation>
    <dataValidation type="list" allowBlank="1" showErrorMessage="1" sqref="J35:K38">
      <formula1>'Choose matchups (Main)'!$F$35:$G$38</formula1>
    </dataValidation>
    <dataValidation type="list" allowBlank="1" showErrorMessage="1" sqref="J76:K78">
      <formula1>'Choose matchups (Main)'!$F$76:$G$78</formula1>
    </dataValidation>
    <dataValidation type="list" allowBlank="1" showErrorMessage="1" sqref="J45:K46">
      <formula1>'Choose matchups (Main)'!$F$45:$G$46</formula1>
    </dataValidation>
    <dataValidation type="list" allowBlank="1" showErrorMessage="1" sqref="J64:K66">
      <formula1>'Choose matchups (Main)'!$F$64:$G$66</formula1>
    </dataValidation>
    <dataValidation type="list" allowBlank="1" showErrorMessage="1" sqref="J51:K54">
      <formula1>'Choose matchups (Main)'!$F$51:$G$54</formula1>
    </dataValidation>
    <dataValidation type="list" allowBlank="1" showErrorMessage="1" sqref="J5:J12">
      <formula1>'Choose matchups (Main)'!$F$5:$F$12</formula1>
    </dataValidation>
    <dataValidation type="list" allowBlank="1" showErrorMessage="1" sqref="J25:K28">
      <formula1>'Choose matchups (Main)'!$F$25:$G$28</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35" width="6.38"/>
  </cols>
  <sheetData>
    <row r="1">
      <c r="A1" s="37" t="s">
        <v>88</v>
      </c>
      <c r="B1" s="37" t="s">
        <v>327</v>
      </c>
      <c r="C1" s="37" t="s">
        <v>326</v>
      </c>
      <c r="D1" s="37" t="s">
        <v>371</v>
      </c>
      <c r="E1" s="258" t="s">
        <v>372</v>
      </c>
      <c r="F1" s="259" t="s">
        <v>373</v>
      </c>
      <c r="G1" s="260" t="s">
        <v>374</v>
      </c>
      <c r="H1" s="261" t="s">
        <v>375</v>
      </c>
      <c r="I1" s="262" t="s">
        <v>376</v>
      </c>
      <c r="J1" s="263" t="s">
        <v>377</v>
      </c>
      <c r="AC1" s="264" t="s">
        <v>378</v>
      </c>
      <c r="AD1" s="261"/>
    </row>
    <row r="2">
      <c r="A2" s="48">
        <f>data!M2</f>
        <v>1</v>
      </c>
      <c r="C2" s="48" t="str">
        <f t="array" ref="C2">xlookup($A2,data!$M$2:$M$17,(xlookup(C$1,data!$N$1:$BR$1,data!$N$2:$BR$17)))</f>
        <v>Team 1 (Group 2)</v>
      </c>
      <c r="D2" s="48">
        <f t="array" ref="D2">xlookup($A2,data!$M$2:$M$17,(xlookup(D$1,data!$N$1:$BR$1,data!$N$2:$BR$17)))</f>
        <v>9</v>
      </c>
      <c r="E2" s="48" t="str">
        <f t="array" ref="E2">xlookup($A2,data!$M$2:$M$17,(xlookup(E$1,data!$N$1:$BR$1,data!$N$2:$BR$17)))</f>
        <v/>
      </c>
      <c r="F2" s="48" t="str">
        <f t="array" ref="F2">xlookup($A2,data!$M$2:$M$17,(xlookup(F$1,data!$N$1:$BR$1,data!$N$2:$BR$17)))</f>
        <v/>
      </c>
      <c r="G2" s="48" t="str">
        <f t="array" ref="G2">xlookup($A2,data!$M$2:$M$17,(xlookup(G$1,data!$N$1:$BR$1,data!$N$2:$BR$17)))</f>
        <v/>
      </c>
      <c r="H2" s="48">
        <f t="array" ref="H2">xlookup($A2,data!$M$2:$M$17,(xlookup(H$1,data!$N$1:$BR$1,data!$N$2:$BR$17)))</f>
        <v>0</v>
      </c>
      <c r="I2" s="48">
        <f t="array" ref="I2">xlookup($A2,data!$M$2:$M$17,(xlookup(I$1,data!$N$1:$BR$1,data!$N$2:$BR$17)))</f>
        <v>0</v>
      </c>
      <c r="J2" s="48">
        <f t="array" ref="J2">xlookup($A2,data!$M$2:$M$17,(xlookup(J$1,data!$N$1:$BR$1,data!$N$2:$BR$17)))</f>
        <v>0</v>
      </c>
      <c r="AC2" s="265" t="str">
        <f t="array" ref="AC2:AD9">'Choose matchups (Main)'!Q25:R32</f>
        <v>#N/A</v>
      </c>
      <c r="AD2" s="265" t="e">
        <v>#N/A</v>
      </c>
    </row>
    <row r="3">
      <c r="A3" s="48">
        <f>data!M3</f>
        <v>2</v>
      </c>
      <c r="C3" s="48" t="str">
        <f t="array" ref="C3">xlookup($A3,data!$M$2:$M$17,(xlookup(C$1,data!$N$1:$BR$1,data!$N$2:$BR$17)))</f>
        <v>Team 2 (Group 2)</v>
      </c>
      <c r="D3" s="48">
        <f t="array" ref="D3">xlookup($A3,data!$M$2:$M$17,(xlookup(D$1,data!$N$1:$BR$1,data!$N$2:$BR$17)))</f>
        <v>9</v>
      </c>
      <c r="E3" s="48" t="str">
        <f t="array" ref="E3">xlookup($A3,data!$M$2:$M$17,(xlookup(E$1,data!$N$1:$BR$1,data!$N$2:$BR$17)))</f>
        <v/>
      </c>
      <c r="F3" s="48" t="str">
        <f t="array" ref="F3">xlookup($A3,data!$M$2:$M$17,(xlookup(F$1,data!$N$1:$BR$1,data!$N$2:$BR$17)))</f>
        <v/>
      </c>
      <c r="G3" s="48" t="str">
        <f t="array" ref="G3">xlookup($A3,data!$M$2:$M$17,(xlookup(G$1,data!$N$1:$BR$1,data!$N$2:$BR$17)))</f>
        <v/>
      </c>
      <c r="H3" s="48">
        <f t="array" ref="H3">xlookup($A3,data!$M$2:$M$17,(xlookup(H$1,data!$N$1:$BR$1,data!$N$2:$BR$17)))</f>
        <v>0</v>
      </c>
      <c r="I3" s="48">
        <f t="array" ref="I3">xlookup($A3,data!$M$2:$M$17,(xlookup(I$1,data!$N$1:$BR$1,data!$N$2:$BR$17)))</f>
        <v>0</v>
      </c>
      <c r="J3" s="48">
        <f t="array" ref="J3">xlookup($A3,data!$M$2:$M$17,(xlookup(J$1,data!$N$1:$BR$1,data!$N$2:$BR$17)))</f>
        <v>0</v>
      </c>
      <c r="AC3" s="265" t="e">
        <v>#N/A</v>
      </c>
      <c r="AD3" s="265" t="e">
        <v>#N/A</v>
      </c>
    </row>
    <row r="4">
      <c r="A4" s="48">
        <f>data!M4</f>
        <v>3</v>
      </c>
      <c r="C4" s="48" t="str">
        <f t="array" ref="C4">xlookup($A4,data!$M$2:$M$17,(xlookup(C$1,data!$N$1:$BR$1,data!$N$2:$BR$17)))</f>
        <v>Team 3 (Group 2)</v>
      </c>
      <c r="D4" s="48">
        <f t="array" ref="D4">xlookup($A4,data!$M$2:$M$17,(xlookup(D$1,data!$N$1:$BR$1,data!$N$2:$BR$17)))</f>
        <v>9</v>
      </c>
      <c r="E4" s="48" t="str">
        <f t="array" ref="E4">xlookup($A4,data!$M$2:$M$17,(xlookup(E$1,data!$N$1:$BR$1,data!$N$2:$BR$17)))</f>
        <v/>
      </c>
      <c r="F4" s="48" t="str">
        <f t="array" ref="F4">xlookup($A4,data!$M$2:$M$17,(xlookup(F$1,data!$N$1:$BR$1,data!$N$2:$BR$17)))</f>
        <v/>
      </c>
      <c r="G4" s="48" t="str">
        <f t="array" ref="G4">xlookup($A4,data!$M$2:$M$17,(xlookup(G$1,data!$N$1:$BR$1,data!$N$2:$BR$17)))</f>
        <v/>
      </c>
      <c r="H4" s="48">
        <f t="array" ref="H4">xlookup($A4,data!$M$2:$M$17,(xlookup(H$1,data!$N$1:$BR$1,data!$N$2:$BR$17)))</f>
        <v>0</v>
      </c>
      <c r="I4" s="48">
        <f t="array" ref="I4">xlookup($A4,data!$M$2:$M$17,(xlookup(I$1,data!$N$1:$BR$1,data!$N$2:$BR$17)))</f>
        <v>0</v>
      </c>
      <c r="J4" s="48">
        <f t="array" ref="J4">xlookup($A4,data!$M$2:$M$17,(xlookup(J$1,data!$N$1:$BR$1,data!$N$2:$BR$17)))</f>
        <v>0</v>
      </c>
      <c r="AC4" s="265" t="e">
        <v>#N/A</v>
      </c>
      <c r="AD4" s="265" t="e">
        <v>#N/A</v>
      </c>
    </row>
    <row r="5">
      <c r="A5" s="48">
        <f>data!M5</f>
        <v>4</v>
      </c>
      <c r="C5" s="48" t="str">
        <f t="array" ref="C5">xlookup($A5,data!$M$2:$M$17,(xlookup(C$1,data!$N$1:$BR$1,data!$N$2:$BR$17)))</f>
        <v>Team 4 (Group 2)</v>
      </c>
      <c r="D5" s="48">
        <f t="array" ref="D5">xlookup($A5,data!$M$2:$M$17,(xlookup(D$1,data!$N$1:$BR$1,data!$N$2:$BR$17)))</f>
        <v>9</v>
      </c>
      <c r="E5" s="48" t="str">
        <f t="array" ref="E5">xlookup($A5,data!$M$2:$M$17,(xlookup(E$1,data!$N$1:$BR$1,data!$N$2:$BR$17)))</f>
        <v/>
      </c>
      <c r="F5" s="48" t="str">
        <f t="array" ref="F5">xlookup($A5,data!$M$2:$M$17,(xlookup(F$1,data!$N$1:$BR$1,data!$N$2:$BR$17)))</f>
        <v/>
      </c>
      <c r="G5" s="48" t="str">
        <f t="array" ref="G5">xlookup($A5,data!$M$2:$M$17,(xlookup(G$1,data!$N$1:$BR$1,data!$N$2:$BR$17)))</f>
        <v/>
      </c>
      <c r="H5" s="48">
        <f t="array" ref="H5">xlookup($A5,data!$M$2:$M$17,(xlookup(H$1,data!$N$1:$BR$1,data!$N$2:$BR$17)))</f>
        <v>0</v>
      </c>
      <c r="I5" s="48">
        <f t="array" ref="I5">xlookup($A5,data!$M$2:$M$17,(xlookup(I$1,data!$N$1:$BR$1,data!$N$2:$BR$17)))</f>
        <v>0</v>
      </c>
      <c r="J5" s="48">
        <f t="array" ref="J5">xlookup($A5,data!$M$2:$M$17,(xlookup(J$1,data!$N$1:$BR$1,data!$N$2:$BR$17)))</f>
        <v>0</v>
      </c>
      <c r="AC5" s="265" t="e">
        <v>#N/A</v>
      </c>
      <c r="AD5" s="265" t="e">
        <v>#N/A</v>
      </c>
    </row>
    <row r="6">
      <c r="A6" s="48">
        <f>data!M6</f>
        <v>5</v>
      </c>
      <c r="C6" s="48" t="str">
        <f t="array" ref="C6">xlookup($A6,data!$M$2:$M$17,(xlookup(C$1,data!$N$1:$BR$1,data!$N$2:$BR$17)))</f>
        <v>Team 5 (Group 2)</v>
      </c>
      <c r="D6" s="48">
        <f t="array" ref="D6">xlookup($A6,data!$M$2:$M$17,(xlookup(D$1,data!$N$1:$BR$1,data!$N$2:$BR$17)))</f>
        <v>9</v>
      </c>
      <c r="E6" s="48" t="str">
        <f t="array" ref="E6">xlookup($A6,data!$M$2:$M$17,(xlookup(E$1,data!$N$1:$BR$1,data!$N$2:$BR$17)))</f>
        <v/>
      </c>
      <c r="F6" s="48" t="str">
        <f t="array" ref="F6">xlookup($A6,data!$M$2:$M$17,(xlookup(F$1,data!$N$1:$BR$1,data!$N$2:$BR$17)))</f>
        <v/>
      </c>
      <c r="G6" s="48" t="str">
        <f t="array" ref="G6">xlookup($A6,data!$M$2:$M$17,(xlookup(G$1,data!$N$1:$BR$1,data!$N$2:$BR$17)))</f>
        <v/>
      </c>
      <c r="H6" s="48">
        <f t="array" ref="H6">xlookup($A6,data!$M$2:$M$17,(xlookup(H$1,data!$N$1:$BR$1,data!$N$2:$BR$17)))</f>
        <v>0</v>
      </c>
      <c r="I6" s="48">
        <f t="array" ref="I6">xlookup($A6,data!$M$2:$M$17,(xlookup(I$1,data!$N$1:$BR$1,data!$N$2:$BR$17)))</f>
        <v>0</v>
      </c>
      <c r="J6" s="48">
        <f t="array" ref="J6">xlookup($A6,data!$M$2:$M$17,(xlookup(J$1,data!$N$1:$BR$1,data!$N$2:$BR$17)))</f>
        <v>0</v>
      </c>
      <c r="AC6" s="265" t="e">
        <v>#N/A</v>
      </c>
      <c r="AD6" s="265" t="e">
        <v>#N/A</v>
      </c>
    </row>
    <row r="7">
      <c r="A7" s="48">
        <f>data!M7</f>
        <v>6</v>
      </c>
      <c r="C7" s="48" t="str">
        <f t="array" ref="C7">xlookup($A7,data!$M$2:$M$17,(xlookup(C$1,data!$N$1:$BR$1,data!$N$2:$BR$17)))</f>
        <v>Team 6 (Group 2)</v>
      </c>
      <c r="D7" s="48">
        <f t="array" ref="D7">xlookup($A7,data!$M$2:$M$17,(xlookup(D$1,data!$N$1:$BR$1,data!$N$2:$BR$17)))</f>
        <v>9</v>
      </c>
      <c r="E7" s="48" t="str">
        <f t="array" ref="E7">xlookup($A7,data!$M$2:$M$17,(xlookup(E$1,data!$N$1:$BR$1,data!$N$2:$BR$17)))</f>
        <v/>
      </c>
      <c r="F7" s="48" t="str">
        <f t="array" ref="F7">xlookup($A7,data!$M$2:$M$17,(xlookup(F$1,data!$N$1:$BR$1,data!$N$2:$BR$17)))</f>
        <v/>
      </c>
      <c r="G7" s="48" t="str">
        <f t="array" ref="G7">xlookup($A7,data!$M$2:$M$17,(xlookup(G$1,data!$N$1:$BR$1,data!$N$2:$BR$17)))</f>
        <v/>
      </c>
      <c r="H7" s="48">
        <f t="array" ref="H7">xlookup($A7,data!$M$2:$M$17,(xlookup(H$1,data!$N$1:$BR$1,data!$N$2:$BR$17)))</f>
        <v>0</v>
      </c>
      <c r="I7" s="48">
        <f t="array" ref="I7">xlookup($A7,data!$M$2:$M$17,(xlookup(I$1,data!$N$1:$BR$1,data!$N$2:$BR$17)))</f>
        <v>0</v>
      </c>
      <c r="J7" s="48">
        <f t="array" ref="J7">xlookup($A7,data!$M$2:$M$17,(xlookup(J$1,data!$N$1:$BR$1,data!$N$2:$BR$17)))</f>
        <v>0</v>
      </c>
      <c r="AC7" s="265" t="e">
        <v>#N/A</v>
      </c>
      <c r="AD7" s="265" t="e">
        <v>#N/A</v>
      </c>
    </row>
    <row r="8">
      <c r="A8" s="48">
        <f>data!M8</f>
        <v>7</v>
      </c>
      <c r="C8" s="48" t="str">
        <f t="array" ref="C8">xlookup($A8,data!$M$2:$M$17,(xlookup(C$1,data!$N$1:$BR$1,data!$N$2:$BR$17)))</f>
        <v>Team 7 (Group 2)</v>
      </c>
      <c r="D8" s="48">
        <f t="array" ref="D8">xlookup($A8,data!$M$2:$M$17,(xlookup(D$1,data!$N$1:$BR$1,data!$N$2:$BR$17)))</f>
        <v>9</v>
      </c>
      <c r="E8" s="48" t="str">
        <f t="array" ref="E8">xlookup($A8,data!$M$2:$M$17,(xlookup(E$1,data!$N$1:$BR$1,data!$N$2:$BR$17)))</f>
        <v/>
      </c>
      <c r="F8" s="48" t="str">
        <f t="array" ref="F8">xlookup($A8,data!$M$2:$M$17,(xlookup(F$1,data!$N$1:$BR$1,data!$N$2:$BR$17)))</f>
        <v/>
      </c>
      <c r="G8" s="48" t="str">
        <f t="array" ref="G8">xlookup($A8,data!$M$2:$M$17,(xlookup(G$1,data!$N$1:$BR$1,data!$N$2:$BR$17)))</f>
        <v/>
      </c>
      <c r="H8" s="48">
        <f t="array" ref="H8">xlookup($A8,data!$M$2:$M$17,(xlookup(H$1,data!$N$1:$BR$1,data!$N$2:$BR$17)))</f>
        <v>0</v>
      </c>
      <c r="I8" s="48">
        <f t="array" ref="I8">xlookup($A8,data!$M$2:$M$17,(xlookup(I$1,data!$N$1:$BR$1,data!$N$2:$BR$17)))</f>
        <v>0</v>
      </c>
      <c r="J8" s="48">
        <f t="array" ref="J8">xlookup($A8,data!$M$2:$M$17,(xlookup(J$1,data!$N$1:$BR$1,data!$N$2:$BR$17)))</f>
        <v>0</v>
      </c>
      <c r="AC8" s="265" t="e">
        <v>#N/A</v>
      </c>
      <c r="AD8" s="265" t="e">
        <v>#N/A</v>
      </c>
    </row>
    <row r="9">
      <c r="A9" s="48">
        <f>data!M9</f>
        <v>8</v>
      </c>
      <c r="C9" s="48" t="str">
        <f t="array" ref="C9">xlookup($A9,data!$M$2:$M$17,(xlookup(C$1,data!$N$1:$BR$1,data!$N$2:$BR$17)))</f>
        <v>Team 8 (Group 2)</v>
      </c>
      <c r="D9" s="48">
        <f t="array" ref="D9">xlookup($A9,data!$M$2:$M$17,(xlookup(D$1,data!$N$1:$BR$1,data!$N$2:$BR$17)))</f>
        <v>9</v>
      </c>
      <c r="E9" s="48" t="str">
        <f t="array" ref="E9">xlookup($A9,data!$M$2:$M$17,(xlookup(E$1,data!$N$1:$BR$1,data!$N$2:$BR$17)))</f>
        <v/>
      </c>
      <c r="F9" s="48" t="str">
        <f t="array" ref="F9">xlookup($A9,data!$M$2:$M$17,(xlookup(F$1,data!$N$1:$BR$1,data!$N$2:$BR$17)))</f>
        <v/>
      </c>
      <c r="G9" s="48" t="str">
        <f t="array" ref="G9">xlookup($A9,data!$M$2:$M$17,(xlookup(G$1,data!$N$1:$BR$1,data!$N$2:$BR$17)))</f>
        <v/>
      </c>
      <c r="H9" s="48">
        <f t="array" ref="H9">xlookup($A9,data!$M$2:$M$17,(xlookup(H$1,data!$N$1:$BR$1,data!$N$2:$BR$17)))</f>
        <v>0</v>
      </c>
      <c r="I9" s="48">
        <f t="array" ref="I9">xlookup($A9,data!$M$2:$M$17,(xlookup(I$1,data!$N$1:$BR$1,data!$N$2:$BR$17)))</f>
        <v>0</v>
      </c>
      <c r="J9" s="48">
        <f t="array" ref="J9">xlookup($A9,data!$M$2:$M$17,(xlookup(J$1,data!$N$1:$BR$1,data!$N$2:$BR$17)))</f>
        <v>0</v>
      </c>
      <c r="AC9" s="265" t="e">
        <v>#N/A</v>
      </c>
      <c r="AD9" s="265" t="e">
        <v>#N/A</v>
      </c>
    </row>
    <row r="10">
      <c r="A10" s="48">
        <f>data!M10</f>
        <v>9</v>
      </c>
      <c r="C10" s="48" t="str">
        <f t="array" ref="C10">xlookup($A10,data!$M$2:$M$17,(xlookup(C$1,data!$N$1:$BR$1,data!$N$2:$BR$17)))</f>
        <v>TBD</v>
      </c>
      <c r="D10" s="48">
        <f t="array" ref="D10">xlookup($A10,data!$M$2:$M$17,(xlookup(D$1,data!$N$1:$BR$1,data!$N$2:$BR$17)))</f>
        <v>1</v>
      </c>
      <c r="E10" s="48" t="str">
        <f t="array" ref="E10">xlookup($A10,data!$M$2:$M$17,(xlookup(E$1,data!$N$1:$BR$1,data!$N$2:$BR$17)))</f>
        <v/>
      </c>
      <c r="F10" s="48" t="str">
        <f t="array" ref="F10">xlookup($A10,data!$M$2:$M$17,(xlookup(F$1,data!$N$1:$BR$1,data!$N$2:$BR$17)))</f>
        <v/>
      </c>
      <c r="G10" s="48" t="str">
        <f t="array" ref="G10">xlookup($A10,data!$M$2:$M$17,(xlookup(G$1,data!$N$1:$BR$1,data!$N$2:$BR$17)))</f>
        <v/>
      </c>
      <c r="H10" s="48">
        <f t="array" ref="H10">xlookup($A10,data!$M$2:$M$17,(xlookup(H$1,data!$N$1:$BR$1,data!$N$2:$BR$17)))</f>
        <v>0</v>
      </c>
      <c r="I10" s="48">
        <f t="array" ref="I10">xlookup($A10,data!$M$2:$M$17,(xlookup(I$1,data!$N$1:$BR$1,data!$N$2:$BR$17)))</f>
        <v>0</v>
      </c>
      <c r="J10" s="48">
        <f t="array" ref="J10">xlookup($A10,data!$M$2:$M$17,(xlookup(J$1,data!$N$1:$BR$1,data!$N$2:$BR$17)))</f>
        <v>0</v>
      </c>
      <c r="AC10" s="264" t="s">
        <v>379</v>
      </c>
      <c r="AD10" s="261"/>
    </row>
    <row r="11">
      <c r="A11" s="48">
        <f>data!M11</f>
        <v>10</v>
      </c>
      <c r="C11" s="48" t="str">
        <f t="array" ref="C11">xlookup($A11,data!$M$2:$M$17,(xlookup(C$1,data!$N$1:$BR$1,data!$N$2:$BR$17)))</f>
        <v>TBD</v>
      </c>
      <c r="D11" s="48" t="str">
        <f t="array" ref="D11">xlookup($A11,data!$M$2:$M$17,(xlookup(D$1,data!$N$1:$BR$1,data!$N$2:$BR$17)))</f>
        <v/>
      </c>
      <c r="E11" s="48" t="str">
        <f t="array" ref="E11">xlookup($A11,data!$M$2:$M$17,(xlookup(E$1,data!$N$1:$BR$1,data!$N$2:$BR$17)))</f>
        <v/>
      </c>
      <c r="F11" s="48" t="str">
        <f t="array" ref="F11">xlookup($A11,data!$M$2:$M$17,(xlookup(F$1,data!$N$1:$BR$1,data!$N$2:$BR$17)))</f>
        <v/>
      </c>
      <c r="G11" s="48" t="str">
        <f t="array" ref="G11">xlookup($A11,data!$M$2:$M$17,(xlookup(G$1,data!$N$1:$BR$1,data!$N$2:$BR$17)))</f>
        <v/>
      </c>
      <c r="H11" s="48">
        <f t="array" ref="H11">xlookup($A11,data!$M$2:$M$17,(xlookup(H$1,data!$N$1:$BR$1,data!$N$2:$BR$17)))</f>
        <v>0</v>
      </c>
      <c r="I11" s="48">
        <f t="array" ref="I11">xlookup($A11,data!$M$2:$M$17,(xlookup(I$1,data!$N$1:$BR$1,data!$N$2:$BR$17)))</f>
        <v>0</v>
      </c>
      <c r="J11" s="48">
        <f t="array" ref="J11">xlookup($A11,data!$M$2:$M$17,(xlookup(J$1,data!$N$1:$BR$1,data!$N$2:$BR$17)))</f>
        <v>0</v>
      </c>
      <c r="AC11" s="265" t="str">
        <f t="array" ref="AC11:AD18">'Choose matchups (Main)'!Q35:R42</f>
        <v>#N/A</v>
      </c>
      <c r="AD11" s="265" t="e">
        <v>#N/A</v>
      </c>
    </row>
    <row r="12">
      <c r="A12" s="48">
        <f>data!M12</f>
        <v>11</v>
      </c>
      <c r="C12" s="48" t="str">
        <f t="array" ref="C12">xlookup($A12,data!$M$2:$M$17,(xlookup(C$1,data!$N$1:$BR$1,data!$N$2:$BR$17)))</f>
        <v>TBD</v>
      </c>
      <c r="D12" s="48" t="str">
        <f t="array" ref="D12">xlookup($A12,data!$M$2:$M$17,(xlookup(D$1,data!$N$1:$BR$1,data!$N$2:$BR$17)))</f>
        <v/>
      </c>
      <c r="E12" s="48" t="str">
        <f t="array" ref="E12">xlookup($A12,data!$M$2:$M$17,(xlookup(E$1,data!$N$1:$BR$1,data!$N$2:$BR$17)))</f>
        <v/>
      </c>
      <c r="F12" s="48" t="str">
        <f t="array" ref="F12">xlookup($A12,data!$M$2:$M$17,(xlookup(F$1,data!$N$1:$BR$1,data!$N$2:$BR$17)))</f>
        <v/>
      </c>
      <c r="G12" s="48" t="str">
        <f t="array" ref="G12">xlookup($A12,data!$M$2:$M$17,(xlookup(G$1,data!$N$1:$BR$1,data!$N$2:$BR$17)))</f>
        <v/>
      </c>
      <c r="H12" s="48">
        <f t="array" ref="H12">xlookup($A12,data!$M$2:$M$17,(xlookup(H$1,data!$N$1:$BR$1,data!$N$2:$BR$17)))</f>
        <v>0</v>
      </c>
      <c r="I12" s="48">
        <f t="array" ref="I12">xlookup($A12,data!$M$2:$M$17,(xlookup(I$1,data!$N$1:$BR$1,data!$N$2:$BR$17)))</f>
        <v>0</v>
      </c>
      <c r="J12" s="48">
        <f t="array" ref="J12">xlookup($A12,data!$M$2:$M$17,(xlookup(J$1,data!$N$1:$BR$1,data!$N$2:$BR$17)))</f>
        <v>0</v>
      </c>
      <c r="AC12" s="265" t="e">
        <v>#N/A</v>
      </c>
      <c r="AD12" s="265" t="e">
        <v>#N/A</v>
      </c>
    </row>
    <row r="13">
      <c r="A13" s="48">
        <f>data!M13</f>
        <v>12</v>
      </c>
      <c r="C13" s="48" t="str">
        <f t="array" ref="C13">xlookup($A13,data!$M$2:$M$17,(xlookup(C$1,data!$N$1:$BR$1,data!$N$2:$BR$17)))</f>
        <v>TBD</v>
      </c>
      <c r="D13" s="48" t="str">
        <f t="array" ref="D13">xlookup($A13,data!$M$2:$M$17,(xlookup(D$1,data!$N$1:$BR$1,data!$N$2:$BR$17)))</f>
        <v/>
      </c>
      <c r="E13" s="48" t="str">
        <f t="array" ref="E13">xlookup($A13,data!$M$2:$M$17,(xlookup(E$1,data!$N$1:$BR$1,data!$N$2:$BR$17)))</f>
        <v/>
      </c>
      <c r="F13" s="48" t="str">
        <f t="array" ref="F13">xlookup($A13,data!$M$2:$M$17,(xlookup(F$1,data!$N$1:$BR$1,data!$N$2:$BR$17)))</f>
        <v/>
      </c>
      <c r="G13" s="48" t="str">
        <f t="array" ref="G13">xlookup($A13,data!$M$2:$M$17,(xlookup(G$1,data!$N$1:$BR$1,data!$N$2:$BR$17)))</f>
        <v/>
      </c>
      <c r="H13" s="48">
        <f t="array" ref="H13">xlookup($A13,data!$M$2:$M$17,(xlookup(H$1,data!$N$1:$BR$1,data!$N$2:$BR$17)))</f>
        <v>0</v>
      </c>
      <c r="I13" s="48">
        <f t="array" ref="I13">xlookup($A13,data!$M$2:$M$17,(xlookup(I$1,data!$N$1:$BR$1,data!$N$2:$BR$17)))</f>
        <v>0</v>
      </c>
      <c r="J13" s="48">
        <f t="array" ref="J13">xlookup($A13,data!$M$2:$M$17,(xlookup(J$1,data!$N$1:$BR$1,data!$N$2:$BR$17)))</f>
        <v>0</v>
      </c>
      <c r="AC13" s="265" t="e">
        <v>#N/A</v>
      </c>
      <c r="AD13" s="265" t="e">
        <v>#N/A</v>
      </c>
    </row>
    <row r="14">
      <c r="A14" s="48">
        <f>data!M14</f>
        <v>13</v>
      </c>
      <c r="C14" s="48" t="str">
        <f t="array" ref="C14">xlookup($A14,data!$M$2:$M$17,(xlookup(C$1,data!$N$1:$BR$1,data!$N$2:$BR$17)))</f>
        <v>TBD</v>
      </c>
      <c r="D14" s="48" t="str">
        <f t="array" ref="D14">xlookup($A14,data!$M$2:$M$17,(xlookup(D$1,data!$N$1:$BR$1,data!$N$2:$BR$17)))</f>
        <v/>
      </c>
      <c r="E14" s="48" t="str">
        <f t="array" ref="E14">xlookup($A14,data!$M$2:$M$17,(xlookup(E$1,data!$N$1:$BR$1,data!$N$2:$BR$17)))</f>
        <v/>
      </c>
      <c r="F14" s="48" t="str">
        <f t="array" ref="F14">xlookup($A14,data!$M$2:$M$17,(xlookup(F$1,data!$N$1:$BR$1,data!$N$2:$BR$17)))</f>
        <v/>
      </c>
      <c r="G14" s="48" t="str">
        <f t="array" ref="G14">xlookup($A14,data!$M$2:$M$17,(xlookup(G$1,data!$N$1:$BR$1,data!$N$2:$BR$17)))</f>
        <v/>
      </c>
      <c r="H14" s="48">
        <f t="array" ref="H14">xlookup($A14,data!$M$2:$M$17,(xlookup(H$1,data!$N$1:$BR$1,data!$N$2:$BR$17)))</f>
        <v>0</v>
      </c>
      <c r="I14" s="48">
        <f t="array" ref="I14">xlookup($A14,data!$M$2:$M$17,(xlookup(I$1,data!$N$1:$BR$1,data!$N$2:$BR$17)))</f>
        <v>0</v>
      </c>
      <c r="J14" s="48">
        <f t="array" ref="J14">xlookup($A14,data!$M$2:$M$17,(xlookup(J$1,data!$N$1:$BR$1,data!$N$2:$BR$17)))</f>
        <v>0</v>
      </c>
      <c r="AC14" s="265" t="e">
        <v>#N/A</v>
      </c>
      <c r="AD14" s="265" t="e">
        <v>#N/A</v>
      </c>
    </row>
    <row r="15">
      <c r="A15" s="48">
        <f>data!M15</f>
        <v>14</v>
      </c>
      <c r="C15" s="48" t="str">
        <f t="array" ref="C15">xlookup($A15,data!$M$2:$M$17,(xlookup(C$1,data!$N$1:$BR$1,data!$N$2:$BR$17)))</f>
        <v>TBD</v>
      </c>
      <c r="D15" s="48" t="str">
        <f t="array" ref="D15">xlookup($A15,data!$M$2:$M$17,(xlookup(D$1,data!$N$1:$BR$1,data!$N$2:$BR$17)))</f>
        <v/>
      </c>
      <c r="E15" s="48" t="str">
        <f t="array" ref="E15">xlookup($A15,data!$M$2:$M$17,(xlookup(E$1,data!$N$1:$BR$1,data!$N$2:$BR$17)))</f>
        <v/>
      </c>
      <c r="F15" s="48" t="str">
        <f t="array" ref="F15">xlookup($A15,data!$M$2:$M$17,(xlookup(F$1,data!$N$1:$BR$1,data!$N$2:$BR$17)))</f>
        <v/>
      </c>
      <c r="G15" s="48" t="str">
        <f t="array" ref="G15">xlookup($A15,data!$M$2:$M$17,(xlookup(G$1,data!$N$1:$BR$1,data!$N$2:$BR$17)))</f>
        <v/>
      </c>
      <c r="H15" s="48">
        <f t="array" ref="H15">xlookup($A15,data!$M$2:$M$17,(xlookup(H$1,data!$N$1:$BR$1,data!$N$2:$BR$17)))</f>
        <v>0</v>
      </c>
      <c r="I15" s="48">
        <f t="array" ref="I15">xlookup($A15,data!$M$2:$M$17,(xlookup(I$1,data!$N$1:$BR$1,data!$N$2:$BR$17)))</f>
        <v>0</v>
      </c>
      <c r="J15" s="48">
        <f t="array" ref="J15">xlookup($A15,data!$M$2:$M$17,(xlookup(J$1,data!$N$1:$BR$1,data!$N$2:$BR$17)))</f>
        <v>0</v>
      </c>
      <c r="AC15" s="265" t="e">
        <v>#N/A</v>
      </c>
      <c r="AD15" s="265" t="e">
        <v>#N/A</v>
      </c>
    </row>
    <row r="16">
      <c r="A16" s="48">
        <f>data!M16</f>
        <v>15</v>
      </c>
      <c r="C16" s="48" t="str">
        <f t="array" ref="C16">xlookup($A16,data!$M$2:$M$17,(xlookup(C$1,data!$N$1:$BR$1,data!$N$2:$BR$17)))</f>
        <v>TBD</v>
      </c>
      <c r="D16" s="48" t="str">
        <f t="array" ref="D16">xlookup($A16,data!$M$2:$M$17,(xlookup(D$1,data!$N$1:$BR$1,data!$N$2:$BR$17)))</f>
        <v/>
      </c>
      <c r="E16" s="48" t="str">
        <f t="array" ref="E16">xlookup($A16,data!$M$2:$M$17,(xlookup(E$1,data!$N$1:$BR$1,data!$N$2:$BR$17)))</f>
        <v/>
      </c>
      <c r="F16" s="48" t="str">
        <f t="array" ref="F16">xlookup($A16,data!$M$2:$M$17,(xlookup(F$1,data!$N$1:$BR$1,data!$N$2:$BR$17)))</f>
        <v/>
      </c>
      <c r="G16" s="48" t="str">
        <f t="array" ref="G16">xlookup($A16,data!$M$2:$M$17,(xlookup(G$1,data!$N$1:$BR$1,data!$N$2:$BR$17)))</f>
        <v/>
      </c>
      <c r="H16" s="48">
        <f t="array" ref="H16">xlookup($A16,data!$M$2:$M$17,(xlookup(H$1,data!$N$1:$BR$1,data!$N$2:$BR$17)))</f>
        <v>0</v>
      </c>
      <c r="I16" s="48">
        <f t="array" ref="I16">xlookup($A16,data!$M$2:$M$17,(xlookup(I$1,data!$N$1:$BR$1,data!$N$2:$BR$17)))</f>
        <v>0</v>
      </c>
      <c r="J16" s="48">
        <f t="array" ref="J16">xlookup($A16,data!$M$2:$M$17,(xlookup(J$1,data!$N$1:$BR$1,data!$N$2:$BR$17)))</f>
        <v>0</v>
      </c>
      <c r="AC16" s="265" t="e">
        <v>#N/A</v>
      </c>
      <c r="AD16" s="265" t="e">
        <v>#N/A</v>
      </c>
    </row>
    <row r="17">
      <c r="A17" s="48">
        <f>data!M17</f>
        <v>16</v>
      </c>
      <c r="C17" s="48" t="str">
        <f t="array" ref="C17">xlookup($A17,data!$M$2:$M$17,(xlookup(C$1,data!$N$1:$BR$1,data!$N$2:$BR$17)))</f>
        <v>TBD</v>
      </c>
      <c r="D17" s="48" t="str">
        <f t="array" ref="D17">xlookup($A17,data!$M$2:$M$17,(xlookup(D$1,data!$N$1:$BR$1,data!$N$2:$BR$17)))</f>
        <v/>
      </c>
      <c r="E17" s="48" t="str">
        <f t="array" ref="E17">xlookup($A17,data!$M$2:$M$17,(xlookup(E$1,data!$N$1:$BR$1,data!$N$2:$BR$17)))</f>
        <v/>
      </c>
      <c r="F17" s="48" t="str">
        <f t="array" ref="F17">xlookup($A17,data!$M$2:$M$17,(xlookup(F$1,data!$N$1:$BR$1,data!$N$2:$BR$17)))</f>
        <v/>
      </c>
      <c r="G17" s="48" t="str">
        <f t="array" ref="G17">xlookup($A17,data!$M$2:$M$17,(xlookup(G$1,data!$N$1:$BR$1,data!$N$2:$BR$17)))</f>
        <v/>
      </c>
      <c r="H17" s="48">
        <f t="array" ref="H17">xlookup($A17,data!$M$2:$M$17,(xlookup(H$1,data!$N$1:$BR$1,data!$N$2:$BR$17)))</f>
        <v>0</v>
      </c>
      <c r="I17" s="48">
        <f t="array" ref="I17">xlookup($A17,data!$M$2:$M$17,(xlookup(I$1,data!$N$1:$BR$1,data!$N$2:$BR$17)))</f>
        <v>0</v>
      </c>
      <c r="J17" s="48">
        <f t="array" ref="J17">xlookup($A17,data!$M$2:$M$17,(xlookup(J$1,data!$N$1:$BR$1,data!$N$2:$BR$17)))</f>
        <v>0</v>
      </c>
      <c r="AC17" s="265" t="e">
        <v>#N/A</v>
      </c>
      <c r="AD17" s="265" t="e">
        <v>#N/A</v>
      </c>
    </row>
    <row r="18">
      <c r="A18" s="266" t="s">
        <v>380</v>
      </c>
      <c r="AC18" s="265" t="e">
        <v>#N/A</v>
      </c>
      <c r="AD18" s="265" t="e">
        <v>#N/A</v>
      </c>
    </row>
    <row r="19">
      <c r="A19" s="37" t="s">
        <v>88</v>
      </c>
      <c r="B19" s="37" t="s">
        <v>327</v>
      </c>
      <c r="C19" s="37" t="s">
        <v>326</v>
      </c>
      <c r="D19" s="37" t="s">
        <v>371</v>
      </c>
      <c r="E19" s="258" t="s">
        <v>372</v>
      </c>
      <c r="F19" s="259" t="s">
        <v>373</v>
      </c>
      <c r="G19" s="260" t="s">
        <v>374</v>
      </c>
      <c r="H19" s="261" t="s">
        <v>375</v>
      </c>
      <c r="I19" s="262" t="s">
        <v>376</v>
      </c>
      <c r="J19" s="263" t="s">
        <v>377</v>
      </c>
      <c r="K19" s="47" t="s">
        <v>381</v>
      </c>
      <c r="AC19" s="261"/>
      <c r="AD19" s="261"/>
    </row>
    <row r="20">
      <c r="A20" s="48" t="str">
        <f>IFERROR(__xludf.DUMMYFUNCTION("sort(filter($A$2:$J$17,$G$2:$G$17=""W""),8,false,10,false)"),"#N/A")</f>
        <v>#N/A</v>
      </c>
      <c r="K20" s="48" t="str">
        <f>A27</f>
        <v/>
      </c>
      <c r="AC20" s="261"/>
      <c r="AD20" s="261"/>
    </row>
    <row r="21">
      <c r="K21" s="48" t="str">
        <f>A26</f>
        <v/>
      </c>
      <c r="AC21" s="261"/>
      <c r="AD21" s="261"/>
    </row>
    <row r="22">
      <c r="K22" s="48" t="str">
        <f>A25</f>
        <v/>
      </c>
      <c r="AC22" s="261"/>
      <c r="AD22" s="261"/>
    </row>
    <row r="23">
      <c r="K23" s="48" t="str">
        <f>A24</f>
        <v/>
      </c>
      <c r="AC23" s="261"/>
      <c r="AD23" s="261"/>
    </row>
    <row r="24">
      <c r="K24" s="48" t="str">
        <f>A23</f>
        <v/>
      </c>
      <c r="AC24" s="261"/>
      <c r="AD24" s="261"/>
    </row>
    <row r="25">
      <c r="K25" s="48" t="str">
        <f>A22</f>
        <v/>
      </c>
      <c r="AC25" s="261"/>
      <c r="AD25" s="261"/>
    </row>
    <row r="26">
      <c r="K26" s="48" t="str">
        <f>A21</f>
        <v/>
      </c>
      <c r="AC26" s="261"/>
      <c r="AD26" s="261"/>
    </row>
    <row r="27">
      <c r="K27" s="48" t="str">
        <f>A20</f>
        <v>#N/A</v>
      </c>
      <c r="AC27" s="261"/>
      <c r="AD27" s="261"/>
    </row>
    <row r="28">
      <c r="A28" s="266" t="s">
        <v>382</v>
      </c>
      <c r="AC28" s="261"/>
      <c r="AD28" s="261"/>
    </row>
    <row r="29">
      <c r="A29" s="48" t="str">
        <f>IFERROR(__xludf.DUMMYFUNCTION("sort(filter($A$2:$J$17,$G$2:$G$17=""L""),8,false,10,false)"),"#N/A")</f>
        <v>#N/A</v>
      </c>
      <c r="K29" s="48" t="str">
        <f>A36</f>
        <v/>
      </c>
      <c r="AC29" s="261"/>
      <c r="AD29" s="261"/>
    </row>
    <row r="30">
      <c r="K30" s="48" t="str">
        <f>A35</f>
        <v/>
      </c>
      <c r="AC30" s="261"/>
      <c r="AD30" s="261"/>
    </row>
    <row r="31">
      <c r="K31" s="48" t="str">
        <f>A34</f>
        <v/>
      </c>
      <c r="AC31" s="261"/>
      <c r="AD31" s="261"/>
    </row>
    <row r="32">
      <c r="K32" s="48" t="str">
        <f>A33</f>
        <v/>
      </c>
      <c r="AC32" s="261"/>
      <c r="AD32" s="261"/>
    </row>
    <row r="33">
      <c r="K33" s="48" t="str">
        <f>A32</f>
        <v/>
      </c>
      <c r="AC33" s="261"/>
      <c r="AD33" s="261"/>
    </row>
    <row r="34">
      <c r="K34" s="48" t="str">
        <f>A31</f>
        <v/>
      </c>
      <c r="AC34" s="261"/>
      <c r="AD34" s="261"/>
    </row>
    <row r="35">
      <c r="K35" s="48" t="str">
        <f>A30</f>
        <v/>
      </c>
      <c r="AC35" s="261"/>
      <c r="AD35" s="261"/>
    </row>
    <row r="36">
      <c r="K36" s="48" t="str">
        <f>A29</f>
        <v>#N/A</v>
      </c>
      <c r="AC36" s="261"/>
      <c r="AD36" s="261"/>
    </row>
    <row r="37">
      <c r="AC37" s="261"/>
      <c r="AD37" s="261"/>
    </row>
    <row r="38">
      <c r="AC38" s="261"/>
      <c r="AD38" s="261"/>
    </row>
    <row r="39">
      <c r="A39" s="37" t="s">
        <v>88</v>
      </c>
      <c r="B39" s="37" t="s">
        <v>327</v>
      </c>
      <c r="C39" s="37" t="s">
        <v>326</v>
      </c>
      <c r="D39" s="37" t="s">
        <v>371</v>
      </c>
      <c r="E39" s="37" t="s">
        <v>381</v>
      </c>
      <c r="F39" s="260" t="s">
        <v>383</v>
      </c>
      <c r="G39" s="261" t="s">
        <v>384</v>
      </c>
      <c r="H39" s="262" t="s">
        <v>385</v>
      </c>
      <c r="I39" s="267" t="s">
        <v>386</v>
      </c>
      <c r="J39" s="263" t="s">
        <v>387</v>
      </c>
      <c r="AC39" s="261"/>
      <c r="AD39" s="261"/>
    </row>
    <row r="40">
      <c r="A40" s="48">
        <f>data!M2</f>
        <v>1</v>
      </c>
      <c r="C40" s="48" t="str">
        <f t="array" ref="C40">xlookup($A40,data!$M$2:$M$17,(xlookup(C$39,data!$N$1:$BR$1,data!$N$2:$BR$17)))</f>
        <v>Team 1 (Group 2)</v>
      </c>
      <c r="D40" s="48">
        <f t="array" ref="D40">xlookup($A40,data!$M$2:$M$17,(xlookup(D$39,data!$N$1:$BR$1,data!$N$2:$BR$17)))</f>
        <v>9</v>
      </c>
      <c r="E40" s="48" t="str">
        <f t="array" ref="E40">xlookup($A40,data!$M$2:$M$17,(xlookup(E$39,data!$N$1:$BR$1,data!$N$2:$BR$17)))</f>
        <v/>
      </c>
      <c r="F40" s="48" t="str">
        <f t="array" ref="F40">xlookup($A40,data!$M$2:$M$17,(xlookup(F$39,data!$N$1:$BR$1,data!$N$2:$BR$17)))</f>
        <v/>
      </c>
      <c r="G40" s="48">
        <f t="array" ref="G40">xlookup($A40,data!$M$2:$M$17,(xlookup(G$39,data!$N$1:$BR$1,data!$N$2:$BR$17)))</f>
        <v>0</v>
      </c>
      <c r="H40" s="48">
        <f t="array" ref="H40">xlookup($A40,data!$M$2:$M$17,(xlookup(H$39,data!$N$1:$BR$1,data!$N$2:$BR$17)))</f>
        <v>0</v>
      </c>
      <c r="I40" s="48">
        <f t="array" ref="I40">xlookup($A40,data!$M$2:$M$17,(xlookup(I$39,data!$N$1:$BR$1,data!$N$2:$BR$17)))</f>
        <v>0</v>
      </c>
      <c r="J40" s="48">
        <f t="array" ref="J40">xlookup($A40,data!$M$2:$M$17,(xlookup(J$39,data!$N$1:$BR$1,data!$N$2:$BR$17)))</f>
        <v>0</v>
      </c>
      <c r="AC40" s="261"/>
      <c r="AD40" s="261"/>
    </row>
    <row r="41">
      <c r="A41" s="48">
        <f>data!M3</f>
        <v>2</v>
      </c>
      <c r="C41" s="48" t="str">
        <f t="array" ref="C41">xlookup($A41,data!$M$2:$M$17,(xlookup(C$39,data!$N$1:$BR$1,data!$N$2:$BR$17)))</f>
        <v>Team 2 (Group 2)</v>
      </c>
      <c r="D41" s="48">
        <f t="array" ref="D41">xlookup($A41,data!$M$2:$M$17,(xlookup(D$39,data!$N$1:$BR$1,data!$N$2:$BR$17)))</f>
        <v>9</v>
      </c>
      <c r="E41" s="48" t="str">
        <f t="array" ref="E41">xlookup($A41,data!$M$2:$M$17,(xlookup(E$39,data!$N$1:$BR$1,data!$N$2:$BR$17)))</f>
        <v/>
      </c>
      <c r="F41" s="48" t="str">
        <f t="array" ref="F41">xlookup($A41,data!$M$2:$M$17,(xlookup(F$39,data!$N$1:$BR$1,data!$N$2:$BR$17)))</f>
        <v/>
      </c>
      <c r="G41" s="48">
        <f t="array" ref="G41">xlookup($A41,data!$M$2:$M$17,(xlookup(G$39,data!$N$1:$BR$1,data!$N$2:$BR$17)))</f>
        <v>0</v>
      </c>
      <c r="H41" s="48">
        <f t="array" ref="H41">xlookup($A41,data!$M$2:$M$17,(xlookup(H$39,data!$N$1:$BR$1,data!$N$2:$BR$17)))</f>
        <v>0</v>
      </c>
      <c r="I41" s="48">
        <f t="array" ref="I41">xlookup($A41,data!$M$2:$M$17,(xlookup(I$39,data!$N$1:$BR$1,data!$N$2:$BR$17)))</f>
        <v>0</v>
      </c>
      <c r="J41" s="48">
        <f t="array" ref="J41">xlookup($A41,data!$M$2:$M$17,(xlookup(J$39,data!$N$1:$BR$1,data!$N$2:$BR$17)))</f>
        <v>0</v>
      </c>
      <c r="AC41" s="261"/>
      <c r="AD41" s="261"/>
    </row>
    <row r="42">
      <c r="A42" s="48">
        <f>data!M4</f>
        <v>3</v>
      </c>
      <c r="C42" s="48" t="str">
        <f t="array" ref="C42">xlookup($A42,data!$M$2:$M$17,(xlookup(C$39,data!$N$1:$BR$1,data!$N$2:$BR$17)))</f>
        <v>Team 3 (Group 2)</v>
      </c>
      <c r="D42" s="48">
        <f t="array" ref="D42">xlookup($A42,data!$M$2:$M$17,(xlookup(D$39,data!$N$1:$BR$1,data!$N$2:$BR$17)))</f>
        <v>9</v>
      </c>
      <c r="E42" s="48" t="str">
        <f t="array" ref="E42">xlookup($A42,data!$M$2:$M$17,(xlookup(E$39,data!$N$1:$BR$1,data!$N$2:$BR$17)))</f>
        <v/>
      </c>
      <c r="F42" s="48" t="str">
        <f t="array" ref="F42">xlookup($A42,data!$M$2:$M$17,(xlookup(F$39,data!$N$1:$BR$1,data!$N$2:$BR$17)))</f>
        <v/>
      </c>
      <c r="G42" s="48">
        <f t="array" ref="G42">xlookup($A42,data!$M$2:$M$17,(xlookup(G$39,data!$N$1:$BR$1,data!$N$2:$BR$17)))</f>
        <v>0</v>
      </c>
      <c r="H42" s="48">
        <f t="array" ref="H42">xlookup($A42,data!$M$2:$M$17,(xlookup(H$39,data!$N$1:$BR$1,data!$N$2:$BR$17)))</f>
        <v>0</v>
      </c>
      <c r="I42" s="48">
        <f t="array" ref="I42">xlookup($A42,data!$M$2:$M$17,(xlookup(I$39,data!$N$1:$BR$1,data!$N$2:$BR$17)))</f>
        <v>0</v>
      </c>
      <c r="J42" s="48">
        <f t="array" ref="J42">xlookup($A42,data!$M$2:$M$17,(xlookup(J$39,data!$N$1:$BR$1,data!$N$2:$BR$17)))</f>
        <v>0</v>
      </c>
      <c r="AC42" s="261"/>
      <c r="AD42" s="261"/>
    </row>
    <row r="43">
      <c r="A43" s="48">
        <f>data!M5</f>
        <v>4</v>
      </c>
      <c r="C43" s="48" t="str">
        <f t="array" ref="C43">xlookup($A43,data!$M$2:$M$17,(xlookup(C$39,data!$N$1:$BR$1,data!$N$2:$BR$17)))</f>
        <v>Team 4 (Group 2)</v>
      </c>
      <c r="D43" s="48">
        <f t="array" ref="D43">xlookup($A43,data!$M$2:$M$17,(xlookup(D$39,data!$N$1:$BR$1,data!$N$2:$BR$17)))</f>
        <v>9</v>
      </c>
      <c r="E43" s="48" t="str">
        <f t="array" ref="E43">xlookup($A43,data!$M$2:$M$17,(xlookup(E$39,data!$N$1:$BR$1,data!$N$2:$BR$17)))</f>
        <v/>
      </c>
      <c r="F43" s="48" t="str">
        <f t="array" ref="F43">xlookup($A43,data!$M$2:$M$17,(xlookup(F$39,data!$N$1:$BR$1,data!$N$2:$BR$17)))</f>
        <v/>
      </c>
      <c r="G43" s="48">
        <f t="array" ref="G43">xlookup($A43,data!$M$2:$M$17,(xlookup(G$39,data!$N$1:$BR$1,data!$N$2:$BR$17)))</f>
        <v>0</v>
      </c>
      <c r="H43" s="48">
        <f t="array" ref="H43">xlookup($A43,data!$M$2:$M$17,(xlookup(H$39,data!$N$1:$BR$1,data!$N$2:$BR$17)))</f>
        <v>0</v>
      </c>
      <c r="I43" s="48">
        <f t="array" ref="I43">xlookup($A43,data!$M$2:$M$17,(xlookup(I$39,data!$N$1:$BR$1,data!$N$2:$BR$17)))</f>
        <v>0</v>
      </c>
      <c r="J43" s="48">
        <f t="array" ref="J43">xlookup($A43,data!$M$2:$M$17,(xlookup(J$39,data!$N$1:$BR$1,data!$N$2:$BR$17)))</f>
        <v>0</v>
      </c>
      <c r="AC43" s="261"/>
      <c r="AD43" s="261"/>
    </row>
    <row r="44">
      <c r="A44" s="48">
        <f>data!M6</f>
        <v>5</v>
      </c>
      <c r="C44" s="48" t="str">
        <f t="array" ref="C44">xlookup($A44,data!$M$2:$M$17,(xlookup(C$39,data!$N$1:$BR$1,data!$N$2:$BR$17)))</f>
        <v>Team 5 (Group 2)</v>
      </c>
      <c r="D44" s="48">
        <f t="array" ref="D44">xlookup($A44,data!$M$2:$M$17,(xlookup(D$39,data!$N$1:$BR$1,data!$N$2:$BR$17)))</f>
        <v>9</v>
      </c>
      <c r="E44" s="48" t="str">
        <f t="array" ref="E44">xlookup($A44,data!$M$2:$M$17,(xlookup(E$39,data!$N$1:$BR$1,data!$N$2:$BR$17)))</f>
        <v/>
      </c>
      <c r="F44" s="48" t="str">
        <f t="array" ref="F44">xlookup($A44,data!$M$2:$M$17,(xlookup(F$39,data!$N$1:$BR$1,data!$N$2:$BR$17)))</f>
        <v/>
      </c>
      <c r="G44" s="48">
        <f t="array" ref="G44">xlookup($A44,data!$M$2:$M$17,(xlookup(G$39,data!$N$1:$BR$1,data!$N$2:$BR$17)))</f>
        <v>0</v>
      </c>
      <c r="H44" s="48">
        <f t="array" ref="H44">xlookup($A44,data!$M$2:$M$17,(xlookup(H$39,data!$N$1:$BR$1,data!$N$2:$BR$17)))</f>
        <v>0</v>
      </c>
      <c r="I44" s="48">
        <f t="array" ref="I44">xlookup($A44,data!$M$2:$M$17,(xlookup(I$39,data!$N$1:$BR$1,data!$N$2:$BR$17)))</f>
        <v>0</v>
      </c>
      <c r="J44" s="48">
        <f t="array" ref="J44">xlookup($A44,data!$M$2:$M$17,(xlookup(J$39,data!$N$1:$BR$1,data!$N$2:$BR$17)))</f>
        <v>0</v>
      </c>
      <c r="AC44" s="261"/>
      <c r="AD44" s="261"/>
    </row>
    <row r="45">
      <c r="A45" s="48">
        <f>data!M7</f>
        <v>6</v>
      </c>
      <c r="C45" s="48" t="str">
        <f t="array" ref="C45">xlookup($A45,data!$M$2:$M$17,(xlookup(C$39,data!$N$1:$BR$1,data!$N$2:$BR$17)))</f>
        <v>Team 6 (Group 2)</v>
      </c>
      <c r="D45" s="48">
        <f t="array" ref="D45">xlookup($A45,data!$M$2:$M$17,(xlookup(D$39,data!$N$1:$BR$1,data!$N$2:$BR$17)))</f>
        <v>9</v>
      </c>
      <c r="E45" s="48" t="str">
        <f t="array" ref="E45">xlookup($A45,data!$M$2:$M$17,(xlookup(E$39,data!$N$1:$BR$1,data!$N$2:$BR$17)))</f>
        <v/>
      </c>
      <c r="F45" s="48" t="str">
        <f t="array" ref="F45">xlookup($A45,data!$M$2:$M$17,(xlookup(F$39,data!$N$1:$BR$1,data!$N$2:$BR$17)))</f>
        <v/>
      </c>
      <c r="G45" s="48">
        <f t="array" ref="G45">xlookup($A45,data!$M$2:$M$17,(xlookup(G$39,data!$N$1:$BR$1,data!$N$2:$BR$17)))</f>
        <v>0</v>
      </c>
      <c r="H45" s="48">
        <f t="array" ref="H45">xlookup($A45,data!$M$2:$M$17,(xlookup(H$39,data!$N$1:$BR$1,data!$N$2:$BR$17)))</f>
        <v>0</v>
      </c>
      <c r="I45" s="48">
        <f t="array" ref="I45">xlookup($A45,data!$M$2:$M$17,(xlookup(I$39,data!$N$1:$BR$1,data!$N$2:$BR$17)))</f>
        <v>0</v>
      </c>
      <c r="J45" s="48">
        <f t="array" ref="J45">xlookup($A45,data!$M$2:$M$17,(xlookup(J$39,data!$N$1:$BR$1,data!$N$2:$BR$17)))</f>
        <v>0</v>
      </c>
      <c r="AC45" s="261"/>
      <c r="AD45" s="261"/>
    </row>
    <row r="46">
      <c r="A46" s="48">
        <f>data!M8</f>
        <v>7</v>
      </c>
      <c r="C46" s="48" t="str">
        <f t="array" ref="C46">xlookup($A46,data!$M$2:$M$17,(xlookup(C$39,data!$N$1:$BR$1,data!$N$2:$BR$17)))</f>
        <v>Team 7 (Group 2)</v>
      </c>
      <c r="D46" s="48">
        <f t="array" ref="D46">xlookup($A46,data!$M$2:$M$17,(xlookup(D$39,data!$N$1:$BR$1,data!$N$2:$BR$17)))</f>
        <v>9</v>
      </c>
      <c r="E46" s="48" t="str">
        <f t="array" ref="E46">xlookup($A46,data!$M$2:$M$17,(xlookup(E$39,data!$N$1:$BR$1,data!$N$2:$BR$17)))</f>
        <v/>
      </c>
      <c r="F46" s="48" t="str">
        <f t="array" ref="F46">xlookup($A46,data!$M$2:$M$17,(xlookup(F$39,data!$N$1:$BR$1,data!$N$2:$BR$17)))</f>
        <v/>
      </c>
      <c r="G46" s="48">
        <f t="array" ref="G46">xlookup($A46,data!$M$2:$M$17,(xlookup(G$39,data!$N$1:$BR$1,data!$N$2:$BR$17)))</f>
        <v>0</v>
      </c>
      <c r="H46" s="48">
        <f t="array" ref="H46">xlookup($A46,data!$M$2:$M$17,(xlookup(H$39,data!$N$1:$BR$1,data!$N$2:$BR$17)))</f>
        <v>0</v>
      </c>
      <c r="I46" s="48">
        <f t="array" ref="I46">xlookup($A46,data!$M$2:$M$17,(xlookup(I$39,data!$N$1:$BR$1,data!$N$2:$BR$17)))</f>
        <v>0</v>
      </c>
      <c r="J46" s="48">
        <f t="array" ref="J46">xlookup($A46,data!$M$2:$M$17,(xlookup(J$39,data!$N$1:$BR$1,data!$N$2:$BR$17)))</f>
        <v>0</v>
      </c>
      <c r="AC46" s="261"/>
      <c r="AD46" s="261"/>
    </row>
    <row r="47">
      <c r="A47" s="48">
        <f>data!M9</f>
        <v>8</v>
      </c>
      <c r="C47" s="48" t="str">
        <f t="array" ref="C47">xlookup($A47,data!$M$2:$M$17,(xlookup(C$39,data!$N$1:$BR$1,data!$N$2:$BR$17)))</f>
        <v>Team 8 (Group 2)</v>
      </c>
      <c r="D47" s="48">
        <f t="array" ref="D47">xlookup($A47,data!$M$2:$M$17,(xlookup(D$39,data!$N$1:$BR$1,data!$N$2:$BR$17)))</f>
        <v>9</v>
      </c>
      <c r="E47" s="48" t="str">
        <f t="array" ref="E47">xlookup($A47,data!$M$2:$M$17,(xlookup(E$39,data!$N$1:$BR$1,data!$N$2:$BR$17)))</f>
        <v/>
      </c>
      <c r="F47" s="48" t="str">
        <f t="array" ref="F47">xlookup($A47,data!$M$2:$M$17,(xlookup(F$39,data!$N$1:$BR$1,data!$N$2:$BR$17)))</f>
        <v/>
      </c>
      <c r="G47" s="48">
        <f t="array" ref="G47">xlookup($A47,data!$M$2:$M$17,(xlookup(G$39,data!$N$1:$BR$1,data!$N$2:$BR$17)))</f>
        <v>0</v>
      </c>
      <c r="H47" s="48">
        <f t="array" ref="H47">xlookup($A47,data!$M$2:$M$17,(xlookup(H$39,data!$N$1:$BR$1,data!$N$2:$BR$17)))</f>
        <v>0</v>
      </c>
      <c r="I47" s="48">
        <f t="array" ref="I47">xlookup($A47,data!$M$2:$M$17,(xlookup(I$39,data!$N$1:$BR$1,data!$N$2:$BR$17)))</f>
        <v>0</v>
      </c>
      <c r="J47" s="48">
        <f t="array" ref="J47">xlookup($A47,data!$M$2:$M$17,(xlookup(J$39,data!$N$1:$BR$1,data!$N$2:$BR$17)))</f>
        <v>0</v>
      </c>
      <c r="AC47" s="261"/>
      <c r="AD47" s="261"/>
    </row>
    <row r="48">
      <c r="A48" s="48">
        <f>data!M10</f>
        <v>9</v>
      </c>
      <c r="C48" s="48" t="str">
        <f t="array" ref="C48">xlookup($A48,data!$M$2:$M$17,(xlookup(C$39,data!$N$1:$BR$1,data!$N$2:$BR$17)))</f>
        <v>TBD</v>
      </c>
      <c r="D48" s="48">
        <f t="array" ref="D48">xlookup($A48,data!$M$2:$M$17,(xlookup(D$39,data!$N$1:$BR$1,data!$N$2:$BR$17)))</f>
        <v>1</v>
      </c>
      <c r="E48" s="48" t="str">
        <f t="array" ref="E48">xlookup($A48,data!$M$2:$M$17,(xlookup(E$39,data!$N$1:$BR$1,data!$N$2:$BR$17)))</f>
        <v/>
      </c>
      <c r="F48" s="48" t="str">
        <f t="array" ref="F48">xlookup($A48,data!$M$2:$M$17,(xlookup(F$39,data!$N$1:$BR$1,data!$N$2:$BR$17)))</f>
        <v/>
      </c>
      <c r="G48" s="48">
        <f t="array" ref="G48">xlookup($A48,data!$M$2:$M$17,(xlookup(G$39,data!$N$1:$BR$1,data!$N$2:$BR$17)))</f>
        <v>0</v>
      </c>
      <c r="H48" s="48">
        <f t="array" ref="H48">xlookup($A48,data!$M$2:$M$17,(xlookup(H$39,data!$N$1:$BR$1,data!$N$2:$BR$17)))</f>
        <v>0</v>
      </c>
      <c r="I48" s="48">
        <f t="array" ref="I48">xlookup($A48,data!$M$2:$M$17,(xlookup(I$39,data!$N$1:$BR$1,data!$N$2:$BR$17)))</f>
        <v>0</v>
      </c>
      <c r="J48" s="48">
        <f t="array" ref="J48">xlookup($A48,data!$M$2:$M$17,(xlookup(J$39,data!$N$1:$BR$1,data!$N$2:$BR$17)))</f>
        <v>0</v>
      </c>
      <c r="AC48" s="261"/>
      <c r="AD48" s="261"/>
    </row>
    <row r="49">
      <c r="A49" s="48">
        <f>data!M11</f>
        <v>10</v>
      </c>
      <c r="C49" s="48" t="str">
        <f t="array" ref="C49">xlookup($A49,data!$M$2:$M$17,(xlookup(C$39,data!$N$1:$BR$1,data!$N$2:$BR$17)))</f>
        <v>TBD</v>
      </c>
      <c r="D49" s="48" t="str">
        <f t="array" ref="D49">xlookup($A49,data!$M$2:$M$17,(xlookup(D$39,data!$N$1:$BR$1,data!$N$2:$BR$17)))</f>
        <v/>
      </c>
      <c r="E49" s="48" t="str">
        <f t="array" ref="E49">xlookup($A49,data!$M$2:$M$17,(xlookup(E$39,data!$N$1:$BR$1,data!$N$2:$BR$17)))</f>
        <v/>
      </c>
      <c r="F49" s="48" t="str">
        <f t="array" ref="F49">xlookup($A49,data!$M$2:$M$17,(xlookup(F$39,data!$N$1:$BR$1,data!$N$2:$BR$17)))</f>
        <v/>
      </c>
      <c r="G49" s="48">
        <f t="array" ref="G49">xlookup($A49,data!$M$2:$M$17,(xlookup(G$39,data!$N$1:$BR$1,data!$N$2:$BR$17)))</f>
        <v>0</v>
      </c>
      <c r="H49" s="48">
        <f t="array" ref="H49">xlookup($A49,data!$M$2:$M$17,(xlookup(H$39,data!$N$1:$BR$1,data!$N$2:$BR$17)))</f>
        <v>0</v>
      </c>
      <c r="I49" s="48">
        <f t="array" ref="I49">xlookup($A49,data!$M$2:$M$17,(xlookup(I$39,data!$N$1:$BR$1,data!$N$2:$BR$17)))</f>
        <v>0</v>
      </c>
      <c r="J49" s="48">
        <f t="array" ref="J49">xlookup($A49,data!$M$2:$M$17,(xlookup(J$39,data!$N$1:$BR$1,data!$N$2:$BR$17)))</f>
        <v>0</v>
      </c>
      <c r="AC49" s="261"/>
      <c r="AD49" s="261"/>
    </row>
    <row r="50">
      <c r="A50" s="48">
        <f>data!M12</f>
        <v>11</v>
      </c>
      <c r="C50" s="48" t="str">
        <f t="array" ref="C50">xlookup($A50,data!$M$2:$M$17,(xlookup(C$39,data!$N$1:$BR$1,data!$N$2:$BR$17)))</f>
        <v>TBD</v>
      </c>
      <c r="D50" s="48" t="str">
        <f t="array" ref="D50">xlookup($A50,data!$M$2:$M$17,(xlookup(D$39,data!$N$1:$BR$1,data!$N$2:$BR$17)))</f>
        <v/>
      </c>
      <c r="E50" s="48" t="str">
        <f t="array" ref="E50">xlookup($A50,data!$M$2:$M$17,(xlookup(E$39,data!$N$1:$BR$1,data!$N$2:$BR$17)))</f>
        <v/>
      </c>
      <c r="F50" s="48" t="str">
        <f t="array" ref="F50">xlookup($A50,data!$M$2:$M$17,(xlookup(F$39,data!$N$1:$BR$1,data!$N$2:$BR$17)))</f>
        <v/>
      </c>
      <c r="G50" s="48">
        <f t="array" ref="G50">xlookup($A50,data!$M$2:$M$17,(xlookup(G$39,data!$N$1:$BR$1,data!$N$2:$BR$17)))</f>
        <v>0</v>
      </c>
      <c r="H50" s="48">
        <f t="array" ref="H50">xlookup($A50,data!$M$2:$M$17,(xlookup(H$39,data!$N$1:$BR$1,data!$N$2:$BR$17)))</f>
        <v>0</v>
      </c>
      <c r="I50" s="48">
        <f t="array" ref="I50">xlookup($A50,data!$M$2:$M$17,(xlookup(I$39,data!$N$1:$BR$1,data!$N$2:$BR$17)))</f>
        <v>0</v>
      </c>
      <c r="J50" s="48">
        <f t="array" ref="J50">xlookup($A50,data!$M$2:$M$17,(xlookup(J$39,data!$N$1:$BR$1,data!$N$2:$BR$17)))</f>
        <v>0</v>
      </c>
      <c r="AC50" s="261"/>
      <c r="AD50" s="261"/>
    </row>
    <row r="51">
      <c r="A51" s="48">
        <f>data!M13</f>
        <v>12</v>
      </c>
      <c r="C51" s="48" t="str">
        <f t="array" ref="C51">xlookup($A51,data!$M$2:$M$17,(xlookup(C$39,data!$N$1:$BR$1,data!$N$2:$BR$17)))</f>
        <v>TBD</v>
      </c>
      <c r="D51" s="48" t="str">
        <f t="array" ref="D51">xlookup($A51,data!$M$2:$M$17,(xlookup(D$39,data!$N$1:$BR$1,data!$N$2:$BR$17)))</f>
        <v/>
      </c>
      <c r="E51" s="48" t="str">
        <f t="array" ref="E51">xlookup($A51,data!$M$2:$M$17,(xlookup(E$39,data!$N$1:$BR$1,data!$N$2:$BR$17)))</f>
        <v/>
      </c>
      <c r="F51" s="48" t="str">
        <f t="array" ref="F51">xlookup($A51,data!$M$2:$M$17,(xlookup(F$39,data!$N$1:$BR$1,data!$N$2:$BR$17)))</f>
        <v/>
      </c>
      <c r="G51" s="48">
        <f t="array" ref="G51">xlookup($A51,data!$M$2:$M$17,(xlookup(G$39,data!$N$1:$BR$1,data!$N$2:$BR$17)))</f>
        <v>0</v>
      </c>
      <c r="H51" s="48">
        <f t="array" ref="H51">xlookup($A51,data!$M$2:$M$17,(xlookup(H$39,data!$N$1:$BR$1,data!$N$2:$BR$17)))</f>
        <v>0</v>
      </c>
      <c r="I51" s="48">
        <f t="array" ref="I51">xlookup($A51,data!$M$2:$M$17,(xlookup(I$39,data!$N$1:$BR$1,data!$N$2:$BR$17)))</f>
        <v>0</v>
      </c>
      <c r="J51" s="48">
        <f t="array" ref="J51">xlookup($A51,data!$M$2:$M$17,(xlookup(J$39,data!$N$1:$BR$1,data!$N$2:$BR$17)))</f>
        <v>0</v>
      </c>
      <c r="AC51" s="261"/>
      <c r="AD51" s="261"/>
    </row>
    <row r="52">
      <c r="A52" s="48">
        <f>data!M14</f>
        <v>13</v>
      </c>
      <c r="C52" s="48" t="str">
        <f t="array" ref="C52">xlookup($A52,data!$M$2:$M$17,(xlookup(C$39,data!$N$1:$BR$1,data!$N$2:$BR$17)))</f>
        <v>TBD</v>
      </c>
      <c r="D52" s="48" t="str">
        <f t="array" ref="D52">xlookup($A52,data!$M$2:$M$17,(xlookup(D$39,data!$N$1:$BR$1,data!$N$2:$BR$17)))</f>
        <v/>
      </c>
      <c r="E52" s="48" t="str">
        <f t="array" ref="E52">xlookup($A52,data!$M$2:$M$17,(xlookup(E$39,data!$N$1:$BR$1,data!$N$2:$BR$17)))</f>
        <v/>
      </c>
      <c r="F52" s="48" t="str">
        <f t="array" ref="F52">xlookup($A52,data!$M$2:$M$17,(xlookup(F$39,data!$N$1:$BR$1,data!$N$2:$BR$17)))</f>
        <v/>
      </c>
      <c r="G52" s="48">
        <f t="array" ref="G52">xlookup($A52,data!$M$2:$M$17,(xlookup(G$39,data!$N$1:$BR$1,data!$N$2:$BR$17)))</f>
        <v>0</v>
      </c>
      <c r="H52" s="48">
        <f t="array" ref="H52">xlookup($A52,data!$M$2:$M$17,(xlookup(H$39,data!$N$1:$BR$1,data!$N$2:$BR$17)))</f>
        <v>0</v>
      </c>
      <c r="I52" s="48">
        <f t="array" ref="I52">xlookup($A52,data!$M$2:$M$17,(xlookup(I$39,data!$N$1:$BR$1,data!$N$2:$BR$17)))</f>
        <v>0</v>
      </c>
      <c r="J52" s="48">
        <f t="array" ref="J52">xlookup($A52,data!$M$2:$M$17,(xlookup(J$39,data!$N$1:$BR$1,data!$N$2:$BR$17)))</f>
        <v>0</v>
      </c>
      <c r="AC52" s="261"/>
      <c r="AD52" s="261"/>
    </row>
    <row r="53">
      <c r="A53" s="48">
        <f>data!M15</f>
        <v>14</v>
      </c>
      <c r="C53" s="48" t="str">
        <f t="array" ref="C53">xlookup($A53,data!$M$2:$M$17,(xlookup(C$39,data!$N$1:$BR$1,data!$N$2:$BR$17)))</f>
        <v>TBD</v>
      </c>
      <c r="D53" s="48" t="str">
        <f t="array" ref="D53">xlookup($A53,data!$M$2:$M$17,(xlookup(D$39,data!$N$1:$BR$1,data!$N$2:$BR$17)))</f>
        <v/>
      </c>
      <c r="E53" s="48" t="str">
        <f t="array" ref="E53">xlookup($A53,data!$M$2:$M$17,(xlookup(E$39,data!$N$1:$BR$1,data!$N$2:$BR$17)))</f>
        <v/>
      </c>
      <c r="F53" s="48" t="str">
        <f t="array" ref="F53">xlookup($A53,data!$M$2:$M$17,(xlookup(F$39,data!$N$1:$BR$1,data!$N$2:$BR$17)))</f>
        <v/>
      </c>
      <c r="G53" s="48">
        <f t="array" ref="G53">xlookup($A53,data!$M$2:$M$17,(xlookup(G$39,data!$N$1:$BR$1,data!$N$2:$BR$17)))</f>
        <v>0</v>
      </c>
      <c r="H53" s="48">
        <f t="array" ref="H53">xlookup($A53,data!$M$2:$M$17,(xlookup(H$39,data!$N$1:$BR$1,data!$N$2:$BR$17)))</f>
        <v>0</v>
      </c>
      <c r="I53" s="48">
        <f t="array" ref="I53">xlookup($A53,data!$M$2:$M$17,(xlookup(I$39,data!$N$1:$BR$1,data!$N$2:$BR$17)))</f>
        <v>0</v>
      </c>
      <c r="J53" s="48">
        <f t="array" ref="J53">xlookup($A53,data!$M$2:$M$17,(xlookup(J$39,data!$N$1:$BR$1,data!$N$2:$BR$17)))</f>
        <v>0</v>
      </c>
      <c r="AC53" s="261"/>
      <c r="AD53" s="261"/>
    </row>
    <row r="54">
      <c r="A54" s="48">
        <f>data!M16</f>
        <v>15</v>
      </c>
      <c r="C54" s="48" t="str">
        <f t="array" ref="C54">xlookup($A54,data!$M$2:$M$17,(xlookup(C$39,data!$N$1:$BR$1,data!$N$2:$BR$17)))</f>
        <v>TBD</v>
      </c>
      <c r="D54" s="48" t="str">
        <f t="array" ref="D54">xlookup($A54,data!$M$2:$M$17,(xlookup(D$39,data!$N$1:$BR$1,data!$N$2:$BR$17)))</f>
        <v/>
      </c>
      <c r="E54" s="48" t="str">
        <f t="array" ref="E54">xlookup($A54,data!$M$2:$M$17,(xlookup(E$39,data!$N$1:$BR$1,data!$N$2:$BR$17)))</f>
        <v/>
      </c>
      <c r="F54" s="48" t="str">
        <f t="array" ref="F54">xlookup($A54,data!$M$2:$M$17,(xlookup(F$39,data!$N$1:$BR$1,data!$N$2:$BR$17)))</f>
        <v/>
      </c>
      <c r="G54" s="48">
        <f t="array" ref="G54">xlookup($A54,data!$M$2:$M$17,(xlookup(G$39,data!$N$1:$BR$1,data!$N$2:$BR$17)))</f>
        <v>0</v>
      </c>
      <c r="H54" s="48">
        <f t="array" ref="H54">xlookup($A54,data!$M$2:$M$17,(xlookup(H$39,data!$N$1:$BR$1,data!$N$2:$BR$17)))</f>
        <v>0</v>
      </c>
      <c r="I54" s="48">
        <f t="array" ref="I54">xlookup($A54,data!$M$2:$M$17,(xlookup(I$39,data!$N$1:$BR$1,data!$N$2:$BR$17)))</f>
        <v>0</v>
      </c>
      <c r="J54" s="48">
        <f t="array" ref="J54">xlookup($A54,data!$M$2:$M$17,(xlookup(J$39,data!$N$1:$BR$1,data!$N$2:$BR$17)))</f>
        <v>0</v>
      </c>
      <c r="AC54" s="261"/>
      <c r="AD54" s="261"/>
    </row>
    <row r="55">
      <c r="A55" s="48">
        <f>data!M17</f>
        <v>16</v>
      </c>
      <c r="C55" s="48" t="str">
        <f t="array" ref="C55">xlookup($A55,data!$M$2:$M$17,(xlookup(C$39,data!$N$1:$BR$1,data!$N$2:$BR$17)))</f>
        <v>TBD</v>
      </c>
      <c r="D55" s="48" t="str">
        <f t="array" ref="D55">xlookup($A55,data!$M$2:$M$17,(xlookup(D$39,data!$N$1:$BR$1,data!$N$2:$BR$17)))</f>
        <v/>
      </c>
      <c r="E55" s="48" t="str">
        <f t="array" ref="E55">xlookup($A55,data!$M$2:$M$17,(xlookup(E$39,data!$N$1:$BR$1,data!$N$2:$BR$17)))</f>
        <v/>
      </c>
      <c r="F55" s="48" t="str">
        <f t="array" ref="F55">xlookup($A55,data!$M$2:$M$17,(xlookup(F$39,data!$N$1:$BR$1,data!$N$2:$BR$17)))</f>
        <v/>
      </c>
      <c r="G55" s="48">
        <f t="array" ref="G55">xlookup($A55,data!$M$2:$M$17,(xlookup(G$39,data!$N$1:$BR$1,data!$N$2:$BR$17)))</f>
        <v>0</v>
      </c>
      <c r="H55" s="48">
        <f t="array" ref="H55">xlookup($A55,data!$M$2:$M$17,(xlookup(H$39,data!$N$1:$BR$1,data!$N$2:$BR$17)))</f>
        <v>0</v>
      </c>
      <c r="I55" s="48">
        <f t="array" ref="I55">xlookup($A55,data!$M$2:$M$17,(xlookup(I$39,data!$N$1:$BR$1,data!$N$2:$BR$17)))</f>
        <v>0</v>
      </c>
      <c r="J55" s="48">
        <f t="array" ref="J55">xlookup($A55,data!$M$2:$M$17,(xlookup(J$39,data!$N$1:$BR$1,data!$N$2:$BR$17)))</f>
        <v>0</v>
      </c>
      <c r="AC55" s="37"/>
      <c r="AD55" s="261"/>
    </row>
    <row r="56">
      <c r="A56" s="268" t="s">
        <v>62</v>
      </c>
      <c r="AB56" s="266" t="s">
        <v>388</v>
      </c>
      <c r="AC56" s="265" t="str">
        <f t="array" ref="AC56:AD59">'Choose matchups (Main)'!Q45:R48</f>
        <v>#N/A</v>
      </c>
      <c r="AD56" s="265" t="e">
        <v>#N/A</v>
      </c>
      <c r="AE56" s="48" t="str">
        <f>'Main Event'!BR132</f>
        <v/>
      </c>
      <c r="AF56" s="48" t="str">
        <f>'Main Event'!BV132</f>
        <v/>
      </c>
      <c r="AG56" s="48">
        <f>'Main Event'!BR136</f>
        <v>0</v>
      </c>
      <c r="AH56" s="48">
        <f>'Main Event'!BV136</f>
        <v>0</v>
      </c>
    </row>
    <row r="57">
      <c r="A57" s="37" t="s">
        <v>88</v>
      </c>
      <c r="B57" s="37" t="s">
        <v>327</v>
      </c>
      <c r="C57" s="37" t="s">
        <v>326</v>
      </c>
      <c r="D57" s="37" t="s">
        <v>371</v>
      </c>
      <c r="E57" s="37" t="s">
        <v>381</v>
      </c>
      <c r="F57" s="260" t="s">
        <v>383</v>
      </c>
      <c r="G57" s="261" t="s">
        <v>384</v>
      </c>
      <c r="H57" s="262" t="s">
        <v>385</v>
      </c>
      <c r="I57" s="267" t="s">
        <v>386</v>
      </c>
      <c r="J57" s="263" t="s">
        <v>387</v>
      </c>
      <c r="K57" s="37" t="s">
        <v>389</v>
      </c>
      <c r="AC57" s="265" t="e">
        <v>#N/A</v>
      </c>
      <c r="AD57" s="265" t="e">
        <v>#N/A</v>
      </c>
      <c r="AE57" s="48" t="str">
        <f>'Main Event'!BR139</f>
        <v/>
      </c>
      <c r="AF57" s="48" t="str">
        <f>'Main Event'!BV139</f>
        <v/>
      </c>
      <c r="AG57" s="48">
        <f>'Main Event'!BR143</f>
        <v>0</v>
      </c>
      <c r="AH57" s="48">
        <f>'Main Event'!BV143</f>
        <v>0</v>
      </c>
    </row>
    <row r="58">
      <c r="A58" s="48" t="str">
        <f>IFERROR(__xludf.DUMMYFUNCTION("sort(filter($A$40:$J$55,$I$40:$I$55=2),7,false,9,false)"),"#N/A")</f>
        <v>#N/A</v>
      </c>
      <c r="K58" s="48" t="str">
        <f>A61</f>
        <v/>
      </c>
      <c r="AC58" s="265" t="e">
        <v>#N/A</v>
      </c>
      <c r="AD58" s="265" t="e">
        <v>#N/A</v>
      </c>
      <c r="AE58" s="48" t="str">
        <f t="shared" ref="AE58:AE59" si="1">AF56</f>
        <v/>
      </c>
      <c r="AF58" s="48" t="str">
        <f t="shared" ref="AF58:AF59" si="2">AE56</f>
        <v/>
      </c>
      <c r="AG58" s="48">
        <f t="shared" ref="AG58:AG59" si="3">AH56</f>
        <v>0</v>
      </c>
      <c r="AH58" s="48">
        <f t="shared" ref="AH58:AH59" si="4">AG56</f>
        <v>0</v>
      </c>
    </row>
    <row r="59">
      <c r="K59" s="48" t="str">
        <f>A60</f>
        <v/>
      </c>
      <c r="AC59" s="265" t="e">
        <v>#N/A</v>
      </c>
      <c r="AD59" s="265" t="e">
        <v>#N/A</v>
      </c>
      <c r="AE59" s="48" t="str">
        <f t="shared" si="1"/>
        <v/>
      </c>
      <c r="AF59" s="48" t="str">
        <f t="shared" si="2"/>
        <v/>
      </c>
      <c r="AG59" s="48">
        <f t="shared" si="3"/>
        <v>0</v>
      </c>
      <c r="AH59" s="48">
        <f t="shared" si="4"/>
        <v>0</v>
      </c>
    </row>
    <row r="60">
      <c r="K60" s="48" t="str">
        <f>A59</f>
        <v/>
      </c>
      <c r="AB60" s="266" t="s">
        <v>390</v>
      </c>
      <c r="AC60" s="265" t="str">
        <f t="array" ref="AC60:AD63">'Choose matchups (Main)'!Q58:R61</f>
        <v>#REF!</v>
      </c>
      <c r="AD60" s="265" t="e">
        <v>#N/A</v>
      </c>
      <c r="AE60" s="48" t="str">
        <f>'Main Event'!GP132</f>
        <v/>
      </c>
      <c r="AF60" s="48" t="str">
        <f>'Main Event'!GT132</f>
        <v/>
      </c>
      <c r="AG60" s="48">
        <f>'Main Event'!GP136</f>
        <v>0</v>
      </c>
      <c r="AH60" s="48">
        <f>'Main Event'!GT136</f>
        <v>0</v>
      </c>
    </row>
    <row r="61">
      <c r="K61" s="48" t="str">
        <f>A58</f>
        <v>#N/A</v>
      </c>
      <c r="AC61" s="265" t="e">
        <v>#N/A</v>
      </c>
      <c r="AD61" s="265" t="e">
        <v>#N/A</v>
      </c>
      <c r="AE61" s="48" t="str">
        <f>'Main Event'!GP139</f>
        <v/>
      </c>
      <c r="AF61" s="48" t="str">
        <f>'Main Event'!GT139</f>
        <v/>
      </c>
      <c r="AG61" s="48">
        <f>'Main Event'!GP143</f>
        <v>0</v>
      </c>
      <c r="AH61" s="48">
        <f>'Main Event'!GT143</f>
        <v>0</v>
      </c>
    </row>
    <row r="62">
      <c r="A62" s="269" t="s">
        <v>391</v>
      </c>
      <c r="AC62" s="265" t="e">
        <v>#N/A</v>
      </c>
      <c r="AD62" s="265" t="e">
        <v>#N/A</v>
      </c>
      <c r="AE62" s="48" t="str">
        <f t="shared" ref="AE62:AE63" si="5">AF60</f>
        <v/>
      </c>
      <c r="AF62" s="48" t="str">
        <f t="shared" ref="AF62:AF63" si="6">AE60</f>
        <v/>
      </c>
      <c r="AG62" s="48">
        <f t="shared" ref="AG62:AG63" si="7">AH60</f>
        <v>0</v>
      </c>
      <c r="AH62" s="48">
        <f t="shared" ref="AH62:AH63" si="8">AG60</f>
        <v>0</v>
      </c>
    </row>
    <row r="63">
      <c r="A63" s="37" t="s">
        <v>88</v>
      </c>
      <c r="B63" s="37" t="s">
        <v>327</v>
      </c>
      <c r="C63" s="37" t="s">
        <v>326</v>
      </c>
      <c r="D63" s="37" t="s">
        <v>371</v>
      </c>
      <c r="E63" s="37" t="s">
        <v>381</v>
      </c>
      <c r="F63" s="260" t="s">
        <v>383</v>
      </c>
      <c r="G63" s="261" t="s">
        <v>384</v>
      </c>
      <c r="H63" s="262" t="s">
        <v>385</v>
      </c>
      <c r="I63" s="267" t="s">
        <v>386</v>
      </c>
      <c r="J63" s="263" t="s">
        <v>387</v>
      </c>
      <c r="K63" s="37" t="s">
        <v>389</v>
      </c>
      <c r="AC63" s="265" t="e">
        <v>#N/A</v>
      </c>
      <c r="AD63" s="265" t="e">
        <v>#REF!</v>
      </c>
      <c r="AE63" s="48" t="str">
        <f t="shared" si="5"/>
        <v/>
      </c>
      <c r="AF63" s="48" t="str">
        <f t="shared" si="6"/>
        <v/>
      </c>
      <c r="AG63" s="48">
        <f t="shared" si="7"/>
        <v>0</v>
      </c>
      <c r="AH63" s="48">
        <f t="shared" si="8"/>
        <v>0</v>
      </c>
    </row>
    <row r="64">
      <c r="A64" s="48" t="str">
        <f>IFERROR(__xludf.DUMMYFUNCTION("sort(filter($A$40:$J$55,$I$40:$I$55=0),7,false,9,false)"),"#REF!")</f>
        <v>#REF!</v>
      </c>
      <c r="B64" s="48"/>
      <c r="C64" s="48"/>
      <c r="D64" s="48"/>
      <c r="E64" s="48"/>
      <c r="F64" s="48"/>
      <c r="G64" s="48"/>
      <c r="H64" s="48"/>
      <c r="I64" s="48"/>
      <c r="J64" s="48"/>
      <c r="K64" s="48" t="str">
        <f>A67</f>
        <v/>
      </c>
      <c r="AB64" s="266" t="s">
        <v>392</v>
      </c>
      <c r="AC64" s="265" t="str">
        <f>iferror(L89,"")</f>
        <v/>
      </c>
      <c r="AD64" s="265" t="str">
        <f>M89</f>
        <v>#N/A</v>
      </c>
      <c r="AE64" s="48" t="str">
        <f>'Main Event'!ED132</f>
        <v/>
      </c>
      <c r="AF64" s="48" t="str">
        <f>'Main Event'!EH132</f>
        <v/>
      </c>
      <c r="AG64" s="48">
        <f>'Main Event'!ED136</f>
        <v>0</v>
      </c>
      <c r="AH64" s="48">
        <f>'Main Event'!EH136</f>
        <v>0</v>
      </c>
    </row>
    <row r="65">
      <c r="A65" s="48"/>
      <c r="B65" s="48"/>
      <c r="C65" s="48"/>
      <c r="D65" s="48"/>
      <c r="E65" s="48"/>
      <c r="F65" s="48"/>
      <c r="G65" s="48"/>
      <c r="H65" s="48"/>
      <c r="I65" s="48"/>
      <c r="J65" s="48"/>
      <c r="K65" s="48" t="str">
        <f>A66</f>
        <v/>
      </c>
      <c r="AC65" s="265" t="str">
        <f t="shared" ref="AC65:AD65" si="9">L90</f>
        <v>#N/A</v>
      </c>
      <c r="AD65" s="265" t="str">
        <f t="shared" si="9"/>
        <v>#N/A</v>
      </c>
      <c r="AE65" s="48" t="str">
        <f>'Main Event'!ED139</f>
        <v/>
      </c>
      <c r="AF65" s="48" t="str">
        <f>'Main Event'!EH139</f>
        <v/>
      </c>
      <c r="AG65" s="48">
        <f>'Main Event'!ED143</f>
        <v>0</v>
      </c>
      <c r="AH65" s="48">
        <f>'Main Event'!EH143</f>
        <v>0</v>
      </c>
    </row>
    <row r="66">
      <c r="A66" s="48"/>
      <c r="B66" s="48"/>
      <c r="C66" s="48"/>
      <c r="D66" s="48"/>
      <c r="E66" s="48"/>
      <c r="F66" s="48"/>
      <c r="G66" s="48"/>
      <c r="H66" s="48"/>
      <c r="I66" s="48"/>
      <c r="J66" s="48"/>
      <c r="K66" s="48" t="str">
        <f>A65</f>
        <v/>
      </c>
      <c r="AC66" s="265" t="str">
        <f t="shared" ref="AC66:AD66" si="10">L91</f>
        <v>#N/A</v>
      </c>
      <c r="AD66" s="265" t="str">
        <f t="shared" si="10"/>
        <v>#N/A</v>
      </c>
      <c r="AE66" s="48" t="str">
        <f>'Main Event'!ED146</f>
        <v/>
      </c>
      <c r="AF66" s="48" t="str">
        <f>'Main Event'!EH146</f>
        <v/>
      </c>
      <c r="AG66" s="48">
        <f>'Main Event'!ED150</f>
        <v>0</v>
      </c>
      <c r="AH66" s="48">
        <f>'Main Event'!EH150</f>
        <v>0</v>
      </c>
    </row>
    <row r="67">
      <c r="A67" s="48"/>
      <c r="B67" s="48"/>
      <c r="C67" s="48"/>
      <c r="D67" s="48"/>
      <c r="E67" s="48"/>
      <c r="F67" s="48"/>
      <c r="G67" s="48"/>
      <c r="H67" s="48"/>
      <c r="I67" s="48"/>
      <c r="J67" s="48"/>
      <c r="K67" s="48" t="str">
        <f>A64</f>
        <v>#REF!</v>
      </c>
      <c r="AC67" s="265" t="str">
        <f t="shared" ref="AC67:AD67" si="11">L92</f>
        <v>#N/A</v>
      </c>
      <c r="AD67" s="265" t="str">
        <f t="shared" si="11"/>
        <v>#N/A</v>
      </c>
      <c r="AE67" s="48" t="str">
        <f>'Main Event'!ED153</f>
        <v/>
      </c>
      <c r="AF67" s="48" t="str">
        <f>'Main Event'!EH153</f>
        <v/>
      </c>
      <c r="AG67" s="48">
        <f>'Main Event'!ED157</f>
        <v>0</v>
      </c>
      <c r="AH67" s="48">
        <f>'Main Event'!EH157</f>
        <v>0</v>
      </c>
    </row>
    <row r="68">
      <c r="A68" s="269" t="s">
        <v>393</v>
      </c>
      <c r="AC68" s="270" t="str">
        <f t="shared" ref="AC68:AC71" si="12">AD64</f>
        <v>#N/A</v>
      </c>
      <c r="AD68" s="270" t="str">
        <f t="shared" ref="AD68:AD71" si="13">AC64</f>
        <v/>
      </c>
      <c r="AE68" s="48" t="str">
        <f t="shared" ref="AE68:AE71" si="14">AF64</f>
        <v/>
      </c>
      <c r="AF68" s="48" t="str">
        <f t="shared" ref="AF68:AF71" si="15">AE64</f>
        <v/>
      </c>
      <c r="AG68" s="48">
        <f t="shared" ref="AG68:AG71" si="16">AH64</f>
        <v>0</v>
      </c>
      <c r="AH68" s="48">
        <f t="shared" ref="AH68:AH71" si="17">AG64</f>
        <v>0</v>
      </c>
    </row>
    <row r="69">
      <c r="A69" s="37" t="s">
        <v>88</v>
      </c>
      <c r="B69" s="37" t="s">
        <v>327</v>
      </c>
      <c r="C69" s="37" t="s">
        <v>326</v>
      </c>
      <c r="D69" s="37" t="s">
        <v>371</v>
      </c>
      <c r="E69" s="37" t="s">
        <v>381</v>
      </c>
      <c r="F69" s="260" t="s">
        <v>383</v>
      </c>
      <c r="G69" s="261" t="s">
        <v>384</v>
      </c>
      <c r="H69" s="262" t="s">
        <v>385</v>
      </c>
      <c r="I69" s="267" t="s">
        <v>386</v>
      </c>
      <c r="J69" s="263" t="s">
        <v>387</v>
      </c>
      <c r="K69" s="263" t="s">
        <v>394</v>
      </c>
      <c r="AC69" s="270" t="str">
        <f t="shared" si="12"/>
        <v>#N/A</v>
      </c>
      <c r="AD69" s="270" t="str">
        <f t="shared" si="13"/>
        <v>#N/A</v>
      </c>
      <c r="AE69" s="48" t="str">
        <f t="shared" si="14"/>
        <v/>
      </c>
      <c r="AF69" s="48" t="str">
        <f t="shared" si="15"/>
        <v/>
      </c>
      <c r="AG69" s="48">
        <f t="shared" si="16"/>
        <v>0</v>
      </c>
      <c r="AH69" s="48">
        <f t="shared" si="17"/>
        <v>0</v>
      </c>
    </row>
    <row r="70">
      <c r="A70" s="48" t="str">
        <f>IFERROR(__xludf.DUMMYFUNCTION("sort(filter($A$40:$J$55,$I$40:$I$55=1),6,true,8,false,10,false)"),"#N/A")</f>
        <v>#N/A</v>
      </c>
      <c r="K70" s="47">
        <v>1.0</v>
      </c>
      <c r="AC70" s="270" t="str">
        <f t="shared" si="12"/>
        <v>#N/A</v>
      </c>
      <c r="AD70" s="270" t="str">
        <f t="shared" si="13"/>
        <v>#N/A</v>
      </c>
      <c r="AE70" s="48" t="str">
        <f t="shared" si="14"/>
        <v/>
      </c>
      <c r="AF70" s="48" t="str">
        <f t="shared" si="15"/>
        <v/>
      </c>
      <c r="AG70" s="48">
        <f t="shared" si="16"/>
        <v>0</v>
      </c>
      <c r="AH70" s="48">
        <f t="shared" si="17"/>
        <v>0</v>
      </c>
    </row>
    <row r="71">
      <c r="K71" s="47">
        <v>2.0</v>
      </c>
      <c r="AC71" s="270" t="str">
        <f t="shared" si="12"/>
        <v>#N/A</v>
      </c>
      <c r="AD71" s="270" t="str">
        <f t="shared" si="13"/>
        <v>#N/A</v>
      </c>
      <c r="AE71" s="48" t="str">
        <f t="shared" si="14"/>
        <v/>
      </c>
      <c r="AF71" s="48" t="str">
        <f t="shared" si="15"/>
        <v/>
      </c>
      <c r="AG71" s="48">
        <f t="shared" si="16"/>
        <v>0</v>
      </c>
      <c r="AH71" s="48">
        <f t="shared" si="17"/>
        <v>0</v>
      </c>
    </row>
    <row r="72">
      <c r="K72" s="47">
        <v>3.0</v>
      </c>
      <c r="AC72" s="37"/>
      <c r="AD72" s="261"/>
    </row>
    <row r="73">
      <c r="K73" s="47">
        <v>4.0</v>
      </c>
      <c r="AC73" s="261"/>
      <c r="AD73" s="261"/>
    </row>
    <row r="74">
      <c r="K74" s="47">
        <v>5.0</v>
      </c>
      <c r="AC74" s="261"/>
      <c r="AD74" s="261"/>
    </row>
    <row r="75">
      <c r="K75" s="47">
        <v>6.0</v>
      </c>
      <c r="AC75" s="261"/>
      <c r="AD75" s="261"/>
    </row>
    <row r="76">
      <c r="K76" s="47">
        <v>7.0</v>
      </c>
      <c r="AC76" s="261"/>
      <c r="AD76" s="261"/>
    </row>
    <row r="77">
      <c r="K77" s="47">
        <v>8.0</v>
      </c>
      <c r="AC77" s="261"/>
      <c r="AD77" s="261"/>
    </row>
    <row r="78" collapsed="1">
      <c r="A78" s="47" t="s">
        <v>395</v>
      </c>
      <c r="AC78" s="261"/>
      <c r="AD78" s="261"/>
    </row>
    <row r="79" hidden="1" outlineLevel="1">
      <c r="A79" s="37"/>
      <c r="B79" s="37"/>
      <c r="C79" s="37" t="s">
        <v>396</v>
      </c>
      <c r="D79" s="37" t="s">
        <v>394</v>
      </c>
      <c r="E79" s="37" t="s">
        <v>397</v>
      </c>
      <c r="AC79" s="261"/>
      <c r="AD79" s="261"/>
    </row>
    <row r="80" hidden="1" outlineLevel="1">
      <c r="A80" s="270" t="str">
        <f t="shared" ref="A80:A87" si="19">A70</f>
        <v>#N/A</v>
      </c>
      <c r="B80" s="37" t="str">
        <f t="shared" ref="B80:C80" si="18">C70</f>
        <v/>
      </c>
      <c r="C80" s="270" t="str">
        <f t="shared" si="18"/>
        <v/>
      </c>
      <c r="D80" s="270">
        <f t="shared" ref="D80:D87" si="21">K70</f>
        <v>1</v>
      </c>
      <c r="E80" s="270" t="str">
        <f t="shared" ref="E80:E87" si="22">xlookup(C80,$A$80:$A$87,$D$80:$D$87,"")</f>
        <v/>
      </c>
      <c r="AC80" s="261"/>
      <c r="AD80" s="261"/>
    </row>
    <row r="81" hidden="1" outlineLevel="1">
      <c r="A81" s="270" t="str">
        <f t="shared" si="19"/>
        <v/>
      </c>
      <c r="B81" s="37" t="str">
        <f t="shared" ref="B81:C81" si="20">C71</f>
        <v/>
      </c>
      <c r="C81" s="270" t="str">
        <f t="shared" si="20"/>
        <v/>
      </c>
      <c r="D81" s="270">
        <f t="shared" si="21"/>
        <v>2</v>
      </c>
      <c r="E81" s="270" t="str">
        <f t="shared" si="22"/>
        <v/>
      </c>
      <c r="AC81" s="261"/>
      <c r="AD81" s="261"/>
    </row>
    <row r="82" hidden="1" outlineLevel="1">
      <c r="A82" s="270" t="str">
        <f t="shared" si="19"/>
        <v/>
      </c>
      <c r="B82" s="37" t="str">
        <f t="shared" ref="B82:C82" si="23">C72</f>
        <v/>
      </c>
      <c r="C82" s="270" t="str">
        <f t="shared" si="23"/>
        <v/>
      </c>
      <c r="D82" s="270">
        <f t="shared" si="21"/>
        <v>3</v>
      </c>
      <c r="E82" s="270" t="str">
        <f t="shared" si="22"/>
        <v/>
      </c>
      <c r="AC82" s="261"/>
      <c r="AD82" s="261"/>
    </row>
    <row r="83" hidden="1" outlineLevel="1">
      <c r="A83" s="270" t="str">
        <f t="shared" si="19"/>
        <v/>
      </c>
      <c r="B83" s="37" t="str">
        <f t="shared" ref="B83:C83" si="24">C73</f>
        <v/>
      </c>
      <c r="C83" s="270" t="str">
        <f t="shared" si="24"/>
        <v/>
      </c>
      <c r="D83" s="270">
        <f t="shared" si="21"/>
        <v>4</v>
      </c>
      <c r="E83" s="270" t="str">
        <f t="shared" si="22"/>
        <v/>
      </c>
      <c r="AC83" s="261"/>
      <c r="AD83" s="261"/>
    </row>
    <row r="84" hidden="1" outlineLevel="1">
      <c r="A84" s="270" t="str">
        <f t="shared" si="19"/>
        <v/>
      </c>
      <c r="B84" s="37" t="str">
        <f t="shared" ref="B84:C84" si="25">C74</f>
        <v/>
      </c>
      <c r="C84" s="270" t="str">
        <f t="shared" si="25"/>
        <v/>
      </c>
      <c r="D84" s="270">
        <f t="shared" si="21"/>
        <v>5</v>
      </c>
      <c r="E84" s="270" t="str">
        <f t="shared" si="22"/>
        <v/>
      </c>
      <c r="AC84" s="261"/>
      <c r="AD84" s="261"/>
    </row>
    <row r="85" hidden="1" outlineLevel="1">
      <c r="A85" s="270" t="str">
        <f t="shared" si="19"/>
        <v/>
      </c>
      <c r="B85" s="37" t="str">
        <f t="shared" ref="B85:C85" si="26">C75</f>
        <v/>
      </c>
      <c r="C85" s="270" t="str">
        <f t="shared" si="26"/>
        <v/>
      </c>
      <c r="D85" s="270">
        <f t="shared" si="21"/>
        <v>6</v>
      </c>
      <c r="E85" s="270" t="str">
        <f t="shared" si="22"/>
        <v/>
      </c>
      <c r="AC85" s="261"/>
      <c r="AD85" s="261"/>
    </row>
    <row r="86" hidden="1" outlineLevel="1">
      <c r="A86" s="270" t="str">
        <f t="shared" si="19"/>
        <v/>
      </c>
      <c r="B86" s="37" t="str">
        <f t="shared" ref="B86:C86" si="27">C76</f>
        <v/>
      </c>
      <c r="C86" s="270" t="str">
        <f t="shared" si="27"/>
        <v/>
      </c>
      <c r="D86" s="270">
        <f t="shared" si="21"/>
        <v>7</v>
      </c>
      <c r="E86" s="270" t="str">
        <f t="shared" si="22"/>
        <v/>
      </c>
      <c r="AC86" s="261"/>
      <c r="AD86" s="261"/>
    </row>
    <row r="87" hidden="1" outlineLevel="1">
      <c r="A87" s="270" t="str">
        <f t="shared" si="19"/>
        <v/>
      </c>
      <c r="B87" s="37" t="str">
        <f t="shared" ref="B87:C87" si="28">C77</f>
        <v/>
      </c>
      <c r="C87" s="270" t="str">
        <f t="shared" si="28"/>
        <v/>
      </c>
      <c r="D87" s="270">
        <f t="shared" si="21"/>
        <v>8</v>
      </c>
      <c r="E87" s="270" t="str">
        <f t="shared" si="22"/>
        <v/>
      </c>
      <c r="AC87" s="261"/>
      <c r="AD87" s="261"/>
    </row>
    <row r="88" hidden="1" outlineLevel="1">
      <c r="AC88" s="261"/>
      <c r="AD88" s="261"/>
    </row>
    <row r="89" hidden="1" outlineLevel="1">
      <c r="A89" s="37"/>
      <c r="B89" s="270">
        <v>1.0</v>
      </c>
      <c r="C89" s="270">
        <v>8.0</v>
      </c>
      <c r="D89" s="270">
        <f t="array" ref="D89">if(xlookup(B89,D80:D87,E80:E87)=C89,1,0)</f>
        <v>0</v>
      </c>
      <c r="E89" s="270">
        <v>7.0</v>
      </c>
      <c r="F89" s="270">
        <f t="array" ref="F89">if(xlookup(B89,D80:D87,E80:E87)=E89,1,0)</f>
        <v>0</v>
      </c>
      <c r="G89" s="270">
        <v>6.0</v>
      </c>
      <c r="H89" s="270">
        <f t="array" ref="H89">if(xlookup(B89,D80:D87,E80:E87)=G89,1,0)</f>
        <v>0</v>
      </c>
      <c r="I89" s="270">
        <v>5.0</v>
      </c>
      <c r="J89" s="270">
        <f t="array" ref="J89">if(xlookup(B89,D80:D87,E80:E87)=I89,1,0)</f>
        <v>0</v>
      </c>
      <c r="K89" s="37"/>
      <c r="L89" s="271" t="str">
        <f t="array" ref="L89:M92">'Choose matchups (Main)'!Q51:R54</f>
        <v>#N/A</v>
      </c>
      <c r="M89" s="271" t="e">
        <v>#N/A</v>
      </c>
      <c r="N89" s="37"/>
      <c r="O89" s="37"/>
      <c r="P89" s="37"/>
      <c r="Q89" s="37"/>
      <c r="AC89" s="261"/>
      <c r="AD89" s="261"/>
    </row>
    <row r="90" hidden="1" outlineLevel="1">
      <c r="A90" s="37"/>
      <c r="B90" s="270">
        <v>2.0</v>
      </c>
      <c r="C90" s="270">
        <v>7.0</v>
      </c>
      <c r="D90" s="270">
        <f t="array" ref="D90">if(xlookup(B90,D80:D87,E80:E87)=C90,1,0)</f>
        <v>0</v>
      </c>
      <c r="E90" s="270">
        <v>8.0</v>
      </c>
      <c r="F90" s="270">
        <f t="array" ref="F90">if(xlookup(B90,D80:D87,E80:E87)=E90,1,0)</f>
        <v>0</v>
      </c>
      <c r="G90" s="270">
        <v>8.0</v>
      </c>
      <c r="H90" s="270">
        <f t="array" ref="H90">if(xlookup(B90,D80:D87,E80:E87)=G90,1,0)</f>
        <v>0</v>
      </c>
      <c r="I90" s="270">
        <v>8.0</v>
      </c>
      <c r="J90" s="270">
        <f t="array" ref="J90">if(xlookup(B90,D80:D87,E80:E87)=I90,1,0)</f>
        <v>0</v>
      </c>
      <c r="K90" s="37"/>
      <c r="L90" s="271" t="e">
        <v>#N/A</v>
      </c>
      <c r="M90" s="271" t="e">
        <v>#N/A</v>
      </c>
      <c r="N90" s="37"/>
      <c r="O90" s="37"/>
      <c r="P90" s="37"/>
      <c r="Q90" s="37"/>
      <c r="AC90" s="261"/>
      <c r="AD90" s="261"/>
    </row>
    <row r="91" hidden="1" outlineLevel="1">
      <c r="A91" s="37"/>
      <c r="B91" s="270">
        <v>3.0</v>
      </c>
      <c r="C91" s="270">
        <v>6.0</v>
      </c>
      <c r="D91" s="270">
        <f t="array" ref="D91">if(xlookup(B91,D80:D87,E80:E87)=C91,1,0)</f>
        <v>0</v>
      </c>
      <c r="E91" s="270">
        <v>6.0</v>
      </c>
      <c r="F91" s="270">
        <f t="array" ref="F91">if(xlookup(B91,D80:D87,E80:E87)=E91,1,0)</f>
        <v>0</v>
      </c>
      <c r="G91" s="270">
        <v>7.0</v>
      </c>
      <c r="H91" s="270">
        <f t="array" ref="H91">if(xlookup(B91,D80:D87,E80:E87)=G91,1,0)</f>
        <v>0</v>
      </c>
      <c r="I91" s="270">
        <v>7.0</v>
      </c>
      <c r="J91" s="270">
        <f t="array" ref="J91">if(xlookup(B91,D80:D87,E80:E87)=I91,1,0)</f>
        <v>0</v>
      </c>
      <c r="K91" s="37"/>
      <c r="L91" s="271" t="e">
        <v>#N/A</v>
      </c>
      <c r="M91" s="271" t="e">
        <v>#N/A</v>
      </c>
      <c r="N91" s="37"/>
      <c r="O91" s="37"/>
      <c r="P91" s="37"/>
      <c r="Q91" s="37"/>
      <c r="AC91" s="261"/>
      <c r="AD91" s="261"/>
    </row>
    <row r="92" hidden="1" outlineLevel="1">
      <c r="A92" s="37"/>
      <c r="B92" s="270">
        <v>4.0</v>
      </c>
      <c r="C92" s="270">
        <v>5.0</v>
      </c>
      <c r="D92" s="270">
        <f t="array" ref="D92">if(xlookup(B92,D80:D87,E80:E87)=C92,1,0)</f>
        <v>0</v>
      </c>
      <c r="E92" s="270">
        <v>5.0</v>
      </c>
      <c r="F92" s="270">
        <f t="array" ref="F92">if(xlookup(B92,D80:D87,E80:E87)=E92,1,0)</f>
        <v>0</v>
      </c>
      <c r="G92" s="270">
        <v>5.0</v>
      </c>
      <c r="H92" s="270">
        <f t="array" ref="H92">if(xlookup(B92,D80:D87,E80:E87)=G92,1,0)</f>
        <v>0</v>
      </c>
      <c r="I92" s="270">
        <v>6.0</v>
      </c>
      <c r="J92" s="270">
        <f t="array" ref="J92">if(xlookup(B92,D80:D87,E80:E87)=I92,1,0)</f>
        <v>0</v>
      </c>
      <c r="K92" s="37"/>
      <c r="L92" s="271" t="e">
        <v>#N/A</v>
      </c>
      <c r="M92" s="271" t="e">
        <v>#N/A</v>
      </c>
      <c r="N92" s="37"/>
      <c r="O92" s="37"/>
      <c r="P92" s="37"/>
      <c r="Q92" s="37"/>
      <c r="AC92" s="261"/>
      <c r="AD92" s="261"/>
    </row>
    <row r="93" hidden="1" outlineLevel="1">
      <c r="A93" s="270">
        <v>1.0</v>
      </c>
      <c r="B93" s="37"/>
      <c r="C93" s="37"/>
      <c r="D93" s="272">
        <f>sum(D89:D92)</f>
        <v>0</v>
      </c>
      <c r="E93" s="37"/>
      <c r="F93" s="272">
        <f>sum(F89:F92)</f>
        <v>0</v>
      </c>
      <c r="G93" s="37"/>
      <c r="H93" s="272">
        <f>sum(H89:H92)</f>
        <v>0</v>
      </c>
      <c r="I93" s="37"/>
      <c r="J93" s="272">
        <f>sum(J89:J92)</f>
        <v>0</v>
      </c>
      <c r="K93" s="37"/>
      <c r="L93" s="37"/>
      <c r="M93" s="37"/>
      <c r="N93" s="37"/>
      <c r="O93" s="37"/>
      <c r="P93" s="37"/>
      <c r="Q93" s="37"/>
      <c r="AC93" s="261"/>
      <c r="AD93" s="261"/>
    </row>
    <row r="94" hidden="1" outlineLevel="1">
      <c r="A94" s="37"/>
      <c r="B94" s="270">
        <v>1.0</v>
      </c>
      <c r="C94" s="270">
        <v>8.0</v>
      </c>
      <c r="D94" s="270">
        <f t="array" ref="D94">if(xlookup(B94,D80:D87,E80:E87)=C94,1,0)</f>
        <v>0</v>
      </c>
      <c r="E94" s="270">
        <v>7.0</v>
      </c>
      <c r="F94" s="270">
        <f t="array" ref="F94">if(xlookup(B94,D80:D87,E80:E87)=E94,1,0)</f>
        <v>0</v>
      </c>
      <c r="G94" s="270">
        <v>6.0</v>
      </c>
      <c r="H94" s="270">
        <f t="array" ref="H94">if(xlookup(B94,D80:D87,E80:E87)=G94,1,0)</f>
        <v>0</v>
      </c>
      <c r="I94" s="270">
        <v>5.0</v>
      </c>
      <c r="J94" s="270">
        <f t="array" ref="J94">if(xlookup(B94,D80:D87,E80:E87)=I94,1,0)</f>
        <v>0</v>
      </c>
      <c r="K94" s="37"/>
      <c r="L94" s="37"/>
      <c r="M94" s="37"/>
      <c r="N94" s="37"/>
      <c r="O94" s="37"/>
      <c r="P94" s="37"/>
      <c r="Q94" s="37"/>
      <c r="AC94" s="261"/>
      <c r="AD94" s="261"/>
    </row>
    <row r="95" hidden="1" outlineLevel="1">
      <c r="A95" s="37"/>
      <c r="B95" s="270">
        <v>2.0</v>
      </c>
      <c r="C95" s="270">
        <v>7.0</v>
      </c>
      <c r="D95" s="270">
        <f t="array" ref="D95">if(xlookup(B95,D80:D87,E80:E87)=C95,1,0)</f>
        <v>0</v>
      </c>
      <c r="E95" s="270">
        <v>8.0</v>
      </c>
      <c r="F95" s="270">
        <f t="array" ref="F95">if(xlookup(B95,D80:D87,E80:E87)=E95,1,0)</f>
        <v>0</v>
      </c>
      <c r="G95" s="270">
        <v>8.0</v>
      </c>
      <c r="H95" s="270">
        <f t="array" ref="H95">if(xlookup(B95,D80:D87,E80:E87)=G95,1,0)</f>
        <v>0</v>
      </c>
      <c r="I95" s="270">
        <v>8.0</v>
      </c>
      <c r="J95" s="270">
        <f t="array" ref="J95">if(xlookup(B95,D80:D87,E80:E87)=I95,1,0)</f>
        <v>0</v>
      </c>
      <c r="K95" s="37"/>
      <c r="L95" s="37"/>
      <c r="M95" s="37"/>
      <c r="N95" s="37"/>
      <c r="O95" s="37"/>
      <c r="P95" s="37"/>
      <c r="Q95" s="37"/>
      <c r="AC95" s="261"/>
      <c r="AD95" s="261"/>
    </row>
    <row r="96" hidden="1" outlineLevel="1">
      <c r="A96" s="37"/>
      <c r="B96" s="270">
        <v>3.0</v>
      </c>
      <c r="C96" s="270">
        <v>5.0</v>
      </c>
      <c r="D96" s="270">
        <f t="array" ref="D96">if(xlookup(B96,D80:D87,E80:E87)=C96,1,0)</f>
        <v>0</v>
      </c>
      <c r="E96" s="270">
        <v>5.0</v>
      </c>
      <c r="F96" s="270">
        <f t="array" ref="F96">if(xlookup(B96,D80:D87,E80:E87)=E96,1,0)</f>
        <v>0</v>
      </c>
      <c r="G96" s="270">
        <v>5.0</v>
      </c>
      <c r="H96" s="270">
        <f t="array" ref="H96">if(xlookup(B96,D80:D87,E80:E87)=G96,1,0)</f>
        <v>0</v>
      </c>
      <c r="I96" s="270">
        <v>6.0</v>
      </c>
      <c r="J96" s="270">
        <f t="array" ref="J96">if(xlookup(B96,D80:D87,E80:E87)=I96,1,0)</f>
        <v>0</v>
      </c>
      <c r="K96" s="37"/>
      <c r="L96" s="37"/>
      <c r="M96" s="37"/>
      <c r="N96" s="37"/>
      <c r="O96" s="37"/>
      <c r="P96" s="37"/>
      <c r="Q96" s="37"/>
      <c r="AC96" s="261"/>
      <c r="AD96" s="261"/>
    </row>
    <row r="97" hidden="1" outlineLevel="1">
      <c r="A97" s="37"/>
      <c r="B97" s="270">
        <v>4.0</v>
      </c>
      <c r="C97" s="270">
        <v>6.0</v>
      </c>
      <c r="D97" s="270">
        <f t="array" ref="D97">if(xlookup(B97,D80:D87,E80:E87)=C97,1,0)</f>
        <v>0</v>
      </c>
      <c r="E97" s="270">
        <v>6.0</v>
      </c>
      <c r="F97" s="270">
        <f t="array" ref="F97">if(xlookup(B97,D80:D87,E80:E87)=E97,1,0)</f>
        <v>0</v>
      </c>
      <c r="G97" s="270">
        <v>7.0</v>
      </c>
      <c r="H97" s="270">
        <f t="array" ref="H97">if(xlookup(B97,D80:D87,E80:E87)=G97,1,0)</f>
        <v>0</v>
      </c>
      <c r="I97" s="270">
        <v>7.0</v>
      </c>
      <c r="J97" s="270">
        <f t="array" ref="J97">if(xlookup(B97,D80:D87,E80:E87)=I97,1,0)</f>
        <v>0</v>
      </c>
      <c r="K97" s="37"/>
      <c r="L97" s="37"/>
      <c r="M97" s="37"/>
      <c r="N97" s="37"/>
      <c r="O97" s="37"/>
      <c r="P97" s="37"/>
      <c r="Q97" s="37"/>
      <c r="AC97" s="261"/>
      <c r="AD97" s="261"/>
    </row>
    <row r="98" hidden="1" outlineLevel="1">
      <c r="A98" s="270">
        <f>A93+1</f>
        <v>2</v>
      </c>
      <c r="B98" s="37"/>
      <c r="C98" s="37"/>
      <c r="D98" s="272">
        <f>sum(D94:D97)</f>
        <v>0</v>
      </c>
      <c r="E98" s="37"/>
      <c r="F98" s="272">
        <f>sum(F94:F97)</f>
        <v>0</v>
      </c>
      <c r="G98" s="37"/>
      <c r="H98" s="272">
        <f>sum(H94:H97)</f>
        <v>0</v>
      </c>
      <c r="I98" s="37"/>
      <c r="J98" s="272">
        <f>sum(J94:J97)</f>
        <v>0</v>
      </c>
      <c r="K98" s="37"/>
      <c r="L98" s="37"/>
      <c r="M98" s="37"/>
      <c r="N98" s="37"/>
      <c r="O98" s="37"/>
      <c r="P98" s="37"/>
      <c r="Q98" s="37"/>
      <c r="AC98" s="261"/>
      <c r="AD98" s="261"/>
    </row>
    <row r="99" hidden="1" outlineLevel="1">
      <c r="A99" s="37"/>
      <c r="B99" s="270">
        <v>1.0</v>
      </c>
      <c r="C99" s="270">
        <v>8.0</v>
      </c>
      <c r="D99" s="270">
        <f t="array" ref="D99">if(xlookup(B99,D80:D87,E80:E87)=C99,1,0)</f>
        <v>0</v>
      </c>
      <c r="E99" s="270">
        <v>7.0</v>
      </c>
      <c r="F99" s="270">
        <f t="array" ref="F99">if(xlookup(B99,D80:D87,E80:E87)=E99,1,0)</f>
        <v>0</v>
      </c>
      <c r="G99" s="270">
        <v>6.0</v>
      </c>
      <c r="H99" s="270">
        <f t="array" ref="H99">if(xlookup(B99,D80:D87,E80:E87)=G99,1,0)</f>
        <v>0</v>
      </c>
      <c r="I99" s="270">
        <v>5.0</v>
      </c>
      <c r="J99" s="270">
        <f t="array" ref="J99">if(xlookup(B99,D80:D87,E80:E87)=I99,1,0)</f>
        <v>0</v>
      </c>
      <c r="K99" s="37"/>
      <c r="L99" s="37"/>
      <c r="M99" s="37"/>
      <c r="N99" s="37"/>
      <c r="O99" s="37"/>
      <c r="P99" s="37"/>
      <c r="Q99" s="37"/>
      <c r="AC99" s="261"/>
      <c r="AD99" s="261"/>
    </row>
    <row r="100" hidden="1" outlineLevel="1">
      <c r="A100" s="37"/>
      <c r="B100" s="270">
        <v>2.0</v>
      </c>
      <c r="C100" s="270">
        <v>6.0</v>
      </c>
      <c r="D100" s="270">
        <f t="array" ref="D100">if(xlookup(B100,D80:D87,E80:E87)=C100,1,0)</f>
        <v>0</v>
      </c>
      <c r="E100" s="270">
        <v>6.0</v>
      </c>
      <c r="F100" s="270">
        <f t="array" ref="F100">if(xlookup(B100,D80:D87,E80:E87)=E100,1,0)</f>
        <v>0</v>
      </c>
      <c r="G100" s="270">
        <v>7.0</v>
      </c>
      <c r="H100" s="270">
        <f t="array" ref="H100">if(xlookup(B100,D80:D87,E80:E87)=G100,1,0)</f>
        <v>0</v>
      </c>
      <c r="I100" s="270">
        <v>7.0</v>
      </c>
      <c r="J100" s="270">
        <f t="array" ref="J100">if(xlookup(B100,D80:D87,E80:E87)=I100,1,0)</f>
        <v>0</v>
      </c>
      <c r="K100" s="37"/>
      <c r="L100" s="37"/>
      <c r="M100" s="37"/>
      <c r="N100" s="37"/>
      <c r="O100" s="37"/>
      <c r="P100" s="37"/>
      <c r="Q100" s="37"/>
      <c r="AC100" s="261"/>
      <c r="AD100" s="261"/>
    </row>
    <row r="101" hidden="1" outlineLevel="1">
      <c r="A101" s="37"/>
      <c r="B101" s="270">
        <v>3.0</v>
      </c>
      <c r="C101" s="270">
        <v>7.0</v>
      </c>
      <c r="D101" s="270">
        <f t="array" ref="D101">if(xlookup(B101,D80:D87,E80:E87)=C101,1,0)</f>
        <v>0</v>
      </c>
      <c r="E101" s="270">
        <v>8.0</v>
      </c>
      <c r="F101" s="270">
        <f t="array" ref="F101">if(xlookup(B101,D80:D87,E80:E87)=E101,1,0)</f>
        <v>0</v>
      </c>
      <c r="G101" s="270">
        <v>8.0</v>
      </c>
      <c r="H101" s="270">
        <f t="array" ref="H101">if(xlookup(B101,D80:D87,E80:E87)=G101,1,0)</f>
        <v>0</v>
      </c>
      <c r="I101" s="270">
        <v>8.0</v>
      </c>
      <c r="J101" s="270">
        <f t="array" ref="J101">if(xlookup(B101,D80:D87,E80:E87)=I101,1,0)</f>
        <v>0</v>
      </c>
      <c r="K101" s="37"/>
      <c r="L101" s="37"/>
      <c r="M101" s="37"/>
      <c r="N101" s="37"/>
      <c r="O101" s="37"/>
      <c r="P101" s="37"/>
      <c r="Q101" s="37"/>
      <c r="AC101" s="261"/>
      <c r="AD101" s="261"/>
    </row>
    <row r="102" hidden="1" outlineLevel="1">
      <c r="A102" s="37"/>
      <c r="B102" s="270">
        <v>4.0</v>
      </c>
      <c r="C102" s="270">
        <v>5.0</v>
      </c>
      <c r="D102" s="270">
        <f t="array" ref="D102">if(xlookup(B102,D80:D87,E80:E87)=C102,1,0)</f>
        <v>0</v>
      </c>
      <c r="E102" s="270">
        <v>5.0</v>
      </c>
      <c r="F102" s="270">
        <f t="array" ref="F102">if(xlookup(B102,D80:D87,E80:E87)=E102,1,0)</f>
        <v>0</v>
      </c>
      <c r="G102" s="270">
        <v>5.0</v>
      </c>
      <c r="H102" s="270">
        <f t="array" ref="H102">if(xlookup(B102,D80:D87,E80:E87)=G102,1,0)</f>
        <v>0</v>
      </c>
      <c r="I102" s="270">
        <v>6.0</v>
      </c>
      <c r="J102" s="270">
        <f t="array" ref="J102">if(xlookup(B102,D80:D87,E80:E87)=I102,1,0)</f>
        <v>0</v>
      </c>
      <c r="K102" s="37"/>
      <c r="L102" s="37"/>
      <c r="M102" s="37"/>
      <c r="N102" s="37"/>
      <c r="O102" s="37"/>
      <c r="P102" s="37"/>
      <c r="Q102" s="37"/>
      <c r="AC102" s="261"/>
      <c r="AD102" s="261"/>
    </row>
    <row r="103" hidden="1" outlineLevel="1">
      <c r="A103" s="270">
        <f>A98+1</f>
        <v>3</v>
      </c>
      <c r="B103" s="37"/>
      <c r="C103" s="37"/>
      <c r="D103" s="272">
        <f>sum(D99:D102)</f>
        <v>0</v>
      </c>
      <c r="E103" s="37"/>
      <c r="F103" s="272">
        <f>sum(F99:F102)</f>
        <v>0</v>
      </c>
      <c r="G103" s="37"/>
      <c r="H103" s="272">
        <f>sum(H99:H102)</f>
        <v>0</v>
      </c>
      <c r="I103" s="37"/>
      <c r="J103" s="272">
        <f>sum(J99:J102)</f>
        <v>0</v>
      </c>
      <c r="K103" s="37"/>
      <c r="L103" s="37"/>
      <c r="M103" s="37"/>
      <c r="N103" s="37"/>
      <c r="O103" s="37"/>
      <c r="P103" s="37"/>
      <c r="Q103" s="37"/>
      <c r="AC103" s="261"/>
      <c r="AD103" s="261"/>
    </row>
    <row r="104" hidden="1" outlineLevel="1">
      <c r="A104" s="37"/>
      <c r="B104" s="270">
        <v>1.0</v>
      </c>
      <c r="C104" s="270">
        <v>8.0</v>
      </c>
      <c r="D104" s="270">
        <f t="array" ref="D104">if(xlookup(B104,D80:D87,E80:E87)=C104,1,0)</f>
        <v>0</v>
      </c>
      <c r="E104" s="270">
        <v>7.0</v>
      </c>
      <c r="F104" s="270">
        <f t="array" ref="F104">if(xlookup(B104,D80:D87,E80:E87)=E104,1,0)</f>
        <v>0</v>
      </c>
      <c r="G104" s="270">
        <v>6.0</v>
      </c>
      <c r="H104" s="270">
        <f t="array" ref="H104">if(xlookup(B104,D80:D87,E80:E87)=G104,1,0)</f>
        <v>0</v>
      </c>
      <c r="I104" s="270">
        <v>5.0</v>
      </c>
      <c r="J104" s="270">
        <f t="array" ref="J104">if(xlookup(B104,D80:D87,E80:E87)=I104,1,0)</f>
        <v>0</v>
      </c>
      <c r="K104" s="37"/>
      <c r="L104" s="37"/>
      <c r="M104" s="37"/>
      <c r="N104" s="37"/>
      <c r="O104" s="37"/>
      <c r="P104" s="37"/>
      <c r="Q104" s="37"/>
      <c r="AC104" s="261"/>
      <c r="AD104" s="261"/>
    </row>
    <row r="105" hidden="1" outlineLevel="1">
      <c r="A105" s="37"/>
      <c r="B105" s="270">
        <v>2.0</v>
      </c>
      <c r="C105" s="270">
        <v>6.0</v>
      </c>
      <c r="D105" s="270">
        <f t="array" ref="D105">if(xlookup(B105,D80:D87,E80:E87)=C105,1,0)</f>
        <v>0</v>
      </c>
      <c r="E105" s="270">
        <v>6.0</v>
      </c>
      <c r="F105" s="270">
        <f t="array" ref="F105">if(xlookup(B105,D80:D87,E80:E87)=E105,1,0)</f>
        <v>0</v>
      </c>
      <c r="G105" s="270">
        <v>7.0</v>
      </c>
      <c r="H105" s="270">
        <f t="array" ref="H105">if(xlookup(B105,D80:D87,E80:E87)=G105,1,0)</f>
        <v>0</v>
      </c>
      <c r="I105" s="270">
        <v>7.0</v>
      </c>
      <c r="J105" s="270">
        <f t="array" ref="J105">if(xlookup(B105,D80:D87,E80:E87)=I105,1,0)</f>
        <v>0</v>
      </c>
      <c r="K105" s="37"/>
      <c r="L105" s="37"/>
      <c r="M105" s="37"/>
      <c r="N105" s="37"/>
      <c r="O105" s="37"/>
      <c r="P105" s="37"/>
      <c r="Q105" s="37"/>
      <c r="AC105" s="261"/>
      <c r="AD105" s="261"/>
    </row>
    <row r="106" hidden="1" outlineLevel="1">
      <c r="A106" s="37"/>
      <c r="B106" s="270">
        <v>3.0</v>
      </c>
      <c r="C106" s="270">
        <v>5.0</v>
      </c>
      <c r="D106" s="270">
        <f t="array" ref="D106">if(xlookup(B106,D80:D87,E80:E87)=C106,1,0)</f>
        <v>0</v>
      </c>
      <c r="E106" s="270">
        <v>5.0</v>
      </c>
      <c r="F106" s="270">
        <f t="array" ref="F106">if(xlookup(B106,D80:D87,E80:E87)=E106,1,0)</f>
        <v>0</v>
      </c>
      <c r="G106" s="270">
        <v>5.0</v>
      </c>
      <c r="H106" s="270">
        <f t="array" ref="H106">if(xlookup(B106,D80:D87,E80:E87)=G106,1,0)</f>
        <v>0</v>
      </c>
      <c r="I106" s="270">
        <v>6.0</v>
      </c>
      <c r="J106" s="270">
        <f t="array" ref="J106">if(xlookup(B106,D80:D87,E80:E87)=I106,1,0)</f>
        <v>0</v>
      </c>
      <c r="K106" s="37"/>
      <c r="L106" s="37"/>
      <c r="M106" s="37"/>
      <c r="N106" s="37"/>
      <c r="O106" s="37"/>
      <c r="P106" s="37"/>
      <c r="Q106" s="37"/>
      <c r="AC106" s="261"/>
      <c r="AD106" s="261"/>
    </row>
    <row r="107" hidden="1" outlineLevel="1">
      <c r="A107" s="37"/>
      <c r="B107" s="270">
        <v>4.0</v>
      </c>
      <c r="C107" s="270">
        <v>7.0</v>
      </c>
      <c r="D107" s="270">
        <f t="array" ref="D107">if(xlookup(B107,D80:D87,E80:E87)=C107,1,0)</f>
        <v>0</v>
      </c>
      <c r="E107" s="270">
        <v>8.0</v>
      </c>
      <c r="F107" s="270">
        <f t="array" ref="F107">if(xlookup(B107,D80:D87,E80:E87)=E107,1,0)</f>
        <v>0</v>
      </c>
      <c r="G107" s="270">
        <v>8.0</v>
      </c>
      <c r="H107" s="270">
        <f t="array" ref="H107">if(xlookup(B107,D80:D87,E80:E87)=G107,1,0)</f>
        <v>0</v>
      </c>
      <c r="I107" s="270">
        <v>8.0</v>
      </c>
      <c r="J107" s="270">
        <f t="array" ref="J107">if(xlookup(B107,D80:D87,E80:E87)=I107,1,0)</f>
        <v>0</v>
      </c>
      <c r="K107" s="37"/>
      <c r="L107" s="37"/>
      <c r="M107" s="37"/>
      <c r="N107" s="37"/>
      <c r="O107" s="37"/>
      <c r="P107" s="37"/>
      <c r="Q107" s="37"/>
      <c r="AC107" s="261"/>
      <c r="AD107" s="261"/>
    </row>
    <row r="108" hidden="1" outlineLevel="1">
      <c r="A108" s="270">
        <f>A103+1</f>
        <v>4</v>
      </c>
      <c r="B108" s="37"/>
      <c r="C108" s="37"/>
      <c r="D108" s="272">
        <f>sum(D104:D107)</f>
        <v>0</v>
      </c>
      <c r="E108" s="37"/>
      <c r="F108" s="272">
        <f>sum(F104:F107)</f>
        <v>0</v>
      </c>
      <c r="G108" s="37"/>
      <c r="H108" s="272">
        <f>sum(H104:H107)</f>
        <v>0</v>
      </c>
      <c r="I108" s="37"/>
      <c r="J108" s="272">
        <f>sum(J104:J107)</f>
        <v>0</v>
      </c>
      <c r="K108" s="37"/>
      <c r="L108" s="37"/>
      <c r="M108" s="37"/>
      <c r="N108" s="37"/>
      <c r="O108" s="37"/>
      <c r="P108" s="37"/>
      <c r="Q108" s="37"/>
      <c r="AC108" s="261"/>
      <c r="AD108" s="261"/>
    </row>
    <row r="109" hidden="1" outlineLevel="1">
      <c r="A109" s="37"/>
      <c r="B109" s="270">
        <v>1.0</v>
      </c>
      <c r="C109" s="270">
        <v>8.0</v>
      </c>
      <c r="D109" s="270">
        <f t="array" ref="D109">if(xlookup(B109,D80:D87,E80:E87)=C109,1,0)</f>
        <v>0</v>
      </c>
      <c r="E109" s="270">
        <v>7.0</v>
      </c>
      <c r="F109" s="270">
        <f t="array" ref="F109">if(xlookup(B109,D80:D87,E80:E87)=E109,1,0)</f>
        <v>0</v>
      </c>
      <c r="G109" s="270">
        <v>6.0</v>
      </c>
      <c r="H109" s="270">
        <f t="array" ref="H109">if(xlookup(B109,D80:D87,E80:E87)=G109,1,0)</f>
        <v>0</v>
      </c>
      <c r="I109" s="270">
        <v>5.0</v>
      </c>
      <c r="J109" s="270">
        <f t="array" ref="J109">if(xlookup(B109,D80:D87,E80:E87)=I109,1,0)</f>
        <v>0</v>
      </c>
      <c r="K109" s="37"/>
      <c r="L109" s="37"/>
      <c r="M109" s="37"/>
      <c r="N109" s="37"/>
      <c r="O109" s="37"/>
      <c r="P109" s="37"/>
      <c r="Q109" s="37"/>
      <c r="AC109" s="261"/>
      <c r="AD109" s="261"/>
    </row>
    <row r="110" hidden="1" outlineLevel="1">
      <c r="A110" s="37"/>
      <c r="B110" s="270">
        <v>2.0</v>
      </c>
      <c r="C110" s="270">
        <v>5.0</v>
      </c>
      <c r="D110" s="270">
        <f t="array" ref="D110">if(xlookup(B110,D80:D87,E80:E87)=C110,1,0)</f>
        <v>0</v>
      </c>
      <c r="E110" s="270">
        <v>5.0</v>
      </c>
      <c r="F110" s="270">
        <f t="array" ref="F110">if(xlookup(B110,D80:D87,E80:E87)=E110,1,0)</f>
        <v>0</v>
      </c>
      <c r="G110" s="270">
        <v>5.0</v>
      </c>
      <c r="H110" s="270">
        <f t="array" ref="H110">if(xlookup(B110,D80:D87,E80:E87)=G110,1,0)</f>
        <v>0</v>
      </c>
      <c r="I110" s="270">
        <v>6.0</v>
      </c>
      <c r="J110" s="270">
        <f t="array" ref="J110">if(xlookup(B110,D80:D87,E80:E87)=I110,1,0)</f>
        <v>0</v>
      </c>
      <c r="K110" s="37"/>
      <c r="L110" s="37"/>
      <c r="M110" s="37"/>
      <c r="N110" s="37"/>
      <c r="O110" s="37"/>
      <c r="P110" s="37"/>
      <c r="Q110" s="37"/>
      <c r="AC110" s="261"/>
      <c r="AD110" s="261"/>
    </row>
    <row r="111" hidden="1" outlineLevel="1">
      <c r="A111" s="37"/>
      <c r="B111" s="270">
        <v>3.0</v>
      </c>
      <c r="C111" s="270">
        <v>7.0</v>
      </c>
      <c r="D111" s="270">
        <f t="array" ref="D111">if(xlookup(B111,D80:D87,E80:E87)=C111,1,0)</f>
        <v>0</v>
      </c>
      <c r="E111" s="270">
        <v>8.0</v>
      </c>
      <c r="F111" s="270">
        <f t="array" ref="F111">if(xlookup(B111,D80:D87,E80:E87)=E111,1,0)</f>
        <v>0</v>
      </c>
      <c r="G111" s="270">
        <v>8.0</v>
      </c>
      <c r="H111" s="270">
        <f t="array" ref="H111">if(xlookup(B111,D80:D87,E80:E87)=G111,1,0)</f>
        <v>0</v>
      </c>
      <c r="I111" s="270">
        <v>8.0</v>
      </c>
      <c r="J111" s="270">
        <f t="array" ref="J111">if(xlookup(B111,D80:D87,E80:E87)=I111,1,0)</f>
        <v>0</v>
      </c>
      <c r="K111" s="37"/>
      <c r="L111" s="37"/>
      <c r="M111" s="37"/>
      <c r="N111" s="37"/>
      <c r="O111" s="37"/>
      <c r="P111" s="37"/>
      <c r="Q111" s="37"/>
      <c r="AC111" s="261"/>
      <c r="AD111" s="261"/>
    </row>
    <row r="112" hidden="1" outlineLevel="1">
      <c r="A112" s="37"/>
      <c r="B112" s="270">
        <v>4.0</v>
      </c>
      <c r="C112" s="270">
        <v>6.0</v>
      </c>
      <c r="D112" s="270">
        <f t="array" ref="D112">if(xlookup(B112,D80:D87,E80:E87)=C112,1,0)</f>
        <v>0</v>
      </c>
      <c r="E112" s="270">
        <v>6.0</v>
      </c>
      <c r="F112" s="270">
        <f t="array" ref="F112">if(xlookup(B112,D80:D87,E80:E87)=E112,1,0)</f>
        <v>0</v>
      </c>
      <c r="G112" s="270">
        <v>7.0</v>
      </c>
      <c r="H112" s="270">
        <f t="array" ref="H112">if(xlookup(B112,D80:D87,E80:E87)=G112,1,0)</f>
        <v>0</v>
      </c>
      <c r="I112" s="270">
        <v>7.0</v>
      </c>
      <c r="J112" s="270">
        <f t="array" ref="J112">if(xlookup(B112,D80:D87,E80:E87)=I112,1,0)</f>
        <v>0</v>
      </c>
      <c r="K112" s="37"/>
      <c r="L112" s="37"/>
      <c r="M112" s="37"/>
      <c r="N112" s="37"/>
      <c r="O112" s="37"/>
      <c r="P112" s="37"/>
      <c r="Q112" s="37"/>
      <c r="AC112" s="261"/>
      <c r="AD112" s="261"/>
    </row>
    <row r="113" hidden="1" outlineLevel="1">
      <c r="A113" s="270">
        <f>A108+1</f>
        <v>5</v>
      </c>
      <c r="B113" s="37"/>
      <c r="C113" s="37"/>
      <c r="D113" s="272">
        <f>sum(D109:D112)</f>
        <v>0</v>
      </c>
      <c r="E113" s="37"/>
      <c r="F113" s="272">
        <f>sum(F109:F112)</f>
        <v>0</v>
      </c>
      <c r="G113" s="37"/>
      <c r="H113" s="272">
        <f>sum(H109:H112)</f>
        <v>0</v>
      </c>
      <c r="I113" s="37"/>
      <c r="J113" s="272">
        <f>sum(J109:J112)</f>
        <v>0</v>
      </c>
      <c r="K113" s="37"/>
      <c r="L113" s="37"/>
      <c r="M113" s="37"/>
      <c r="N113" s="37"/>
      <c r="O113" s="37"/>
      <c r="P113" s="37"/>
      <c r="Q113" s="37"/>
      <c r="AC113" s="261"/>
      <c r="AD113" s="261"/>
    </row>
    <row r="114" hidden="1" outlineLevel="1">
      <c r="A114" s="37"/>
      <c r="B114" s="270">
        <v>1.0</v>
      </c>
      <c r="C114" s="270">
        <v>8.0</v>
      </c>
      <c r="D114" s="270">
        <f t="array" ref="D114">if(xlookup(B114,D80:D87,E80:E87)=C114,1,0)</f>
        <v>0</v>
      </c>
      <c r="E114" s="270">
        <v>7.0</v>
      </c>
      <c r="F114" s="270">
        <f t="array" ref="F114">if(xlookup(B114,D80:D87,E80:E87)=E114,1,0)</f>
        <v>0</v>
      </c>
      <c r="G114" s="270">
        <v>6.0</v>
      </c>
      <c r="H114" s="270">
        <f t="array" ref="H114">if(xlookup(B114,D80:D87,E80:E87)=G114,1,0)</f>
        <v>0</v>
      </c>
      <c r="I114" s="270">
        <v>5.0</v>
      </c>
      <c r="J114" s="270">
        <f t="array" ref="J114">if(xlookup(B114,D80:D87,E80:E87)=I114,1,0)</f>
        <v>0</v>
      </c>
      <c r="K114" s="37"/>
      <c r="L114" s="37"/>
      <c r="M114" s="37"/>
      <c r="N114" s="37"/>
      <c r="O114" s="37"/>
      <c r="P114" s="37"/>
      <c r="Q114" s="37"/>
      <c r="AC114" s="261"/>
      <c r="AD114" s="261"/>
    </row>
    <row r="115" hidden="1" outlineLevel="1">
      <c r="A115" s="37"/>
      <c r="B115" s="270">
        <v>2.0</v>
      </c>
      <c r="C115" s="270">
        <v>5.0</v>
      </c>
      <c r="D115" s="270">
        <f t="array" ref="D115">if(xlookup(B115,D80:D87,E80:E87)=C115,1,0)</f>
        <v>0</v>
      </c>
      <c r="E115" s="270">
        <v>5.0</v>
      </c>
      <c r="F115" s="270">
        <f t="array" ref="F115">if(xlookup(B115,D80:D87,E80:E87)=E115,1,0)</f>
        <v>0</v>
      </c>
      <c r="G115" s="270">
        <v>5.0</v>
      </c>
      <c r="H115" s="270">
        <f t="array" ref="H115">if(xlookup(B115,D80:D87,E80:E87)=G115,1,0)</f>
        <v>0</v>
      </c>
      <c r="I115" s="270">
        <v>6.0</v>
      </c>
      <c r="J115" s="270">
        <f t="array" ref="J115">if(xlookup(B115,D80:D87,E80:E87)=I115,1,0)</f>
        <v>0</v>
      </c>
      <c r="K115" s="37"/>
      <c r="L115" s="37"/>
      <c r="M115" s="37"/>
      <c r="N115" s="37"/>
      <c r="O115" s="37"/>
      <c r="P115" s="37"/>
      <c r="Q115" s="37"/>
      <c r="AC115" s="261"/>
      <c r="AD115" s="261"/>
    </row>
    <row r="116" hidden="1" outlineLevel="1">
      <c r="A116" s="37"/>
      <c r="B116" s="270">
        <v>3.0</v>
      </c>
      <c r="C116" s="270">
        <v>6.0</v>
      </c>
      <c r="D116" s="270">
        <f t="array" ref="D116">if(xlookup(B116,D80:D87,E80:E87)=C116,1,0)</f>
        <v>0</v>
      </c>
      <c r="E116" s="270">
        <v>6.0</v>
      </c>
      <c r="F116" s="270">
        <f t="array" ref="F116">if(xlookup(B116,D80:D87,E80:E87)=E116,1,0)</f>
        <v>0</v>
      </c>
      <c r="G116" s="270">
        <v>7.0</v>
      </c>
      <c r="H116" s="270">
        <f t="array" ref="H116">if(xlookup(B116,D80:D87,E80:E87)=G116,1,0)</f>
        <v>0</v>
      </c>
      <c r="I116" s="270">
        <v>7.0</v>
      </c>
      <c r="J116" s="270">
        <f t="array" ref="J116">if(xlookup(B116,D80:D87,E80:E87)=I116,1,0)</f>
        <v>0</v>
      </c>
      <c r="K116" s="37"/>
      <c r="L116" s="37"/>
      <c r="M116" s="37"/>
      <c r="N116" s="37"/>
      <c r="O116" s="37"/>
      <c r="P116" s="37"/>
      <c r="Q116" s="37"/>
      <c r="AC116" s="261"/>
      <c r="AD116" s="261"/>
    </row>
    <row r="117" hidden="1" outlineLevel="1">
      <c r="A117" s="37"/>
      <c r="B117" s="270">
        <v>4.0</v>
      </c>
      <c r="C117" s="270">
        <v>7.0</v>
      </c>
      <c r="D117" s="270">
        <f t="array" ref="D117">if(xlookup(B117,D80:D87,E80:E87)=C117,1,0)</f>
        <v>0</v>
      </c>
      <c r="E117" s="270">
        <v>8.0</v>
      </c>
      <c r="F117" s="270">
        <f t="array" ref="F117">if(xlookup(B117,D80:D87,E80:E87)=E117,1,0)</f>
        <v>0</v>
      </c>
      <c r="G117" s="270">
        <v>8.0</v>
      </c>
      <c r="H117" s="270">
        <f t="array" ref="H117">if(xlookup(B117,D80:D87,E80:E87)=G117,1,0)</f>
        <v>0</v>
      </c>
      <c r="I117" s="270">
        <v>8.0</v>
      </c>
      <c r="J117" s="270">
        <f t="array" ref="J117">if(xlookup(B117,D80:D87,E80:E87)=I117,1,0)</f>
        <v>0</v>
      </c>
      <c r="K117" s="37"/>
      <c r="L117" s="37"/>
      <c r="M117" s="37"/>
      <c r="N117" s="37"/>
      <c r="O117" s="37"/>
      <c r="P117" s="37"/>
      <c r="Q117" s="37"/>
      <c r="AC117" s="261"/>
      <c r="AD117" s="261"/>
    </row>
    <row r="118" hidden="1" outlineLevel="1">
      <c r="A118" s="270">
        <f>A113+1</f>
        <v>6</v>
      </c>
      <c r="B118" s="37"/>
      <c r="C118" s="37"/>
      <c r="D118" s="272">
        <f>sum(D114:D117)</f>
        <v>0</v>
      </c>
      <c r="E118" s="37"/>
      <c r="F118" s="272">
        <f>sum(F114:F117)</f>
        <v>0</v>
      </c>
      <c r="G118" s="37"/>
      <c r="H118" s="272">
        <f>sum(H114:H117)</f>
        <v>0</v>
      </c>
      <c r="I118" s="37"/>
      <c r="J118" s="272">
        <f>sum(J114:J117)</f>
        <v>0</v>
      </c>
      <c r="K118" s="37"/>
      <c r="L118" s="37"/>
      <c r="M118" s="37"/>
      <c r="N118" s="37"/>
      <c r="O118" s="37"/>
      <c r="P118" s="37"/>
      <c r="Q118" s="37"/>
      <c r="AC118" s="261"/>
      <c r="AD118" s="261"/>
    </row>
    <row r="119" hidden="1" outlineLevel="1">
      <c r="A119" s="37"/>
      <c r="B119" s="37"/>
      <c r="C119" s="37"/>
      <c r="D119" s="37"/>
      <c r="E119" s="37"/>
      <c r="F119" s="37"/>
      <c r="G119" s="37"/>
      <c r="H119" s="37"/>
      <c r="I119" s="37"/>
      <c r="J119" s="37"/>
      <c r="K119" s="37"/>
      <c r="L119" s="37"/>
      <c r="M119" s="37"/>
      <c r="N119" s="37"/>
      <c r="O119" s="37"/>
      <c r="P119" s="37"/>
      <c r="Q119" s="37"/>
      <c r="AC119" s="261"/>
      <c r="AD119" s="261"/>
    </row>
    <row r="120" hidden="1" outlineLevel="1">
      <c r="A120" s="37"/>
      <c r="B120" s="37"/>
      <c r="C120" s="37"/>
      <c r="D120" s="37"/>
      <c r="E120" s="37"/>
      <c r="F120" s="37"/>
      <c r="G120" s="37"/>
      <c r="H120" s="37"/>
      <c r="I120" s="37"/>
      <c r="J120" s="37"/>
      <c r="K120" s="37"/>
      <c r="L120" s="270">
        <f t="array" ref="L120:O120">xlookup(K121,D121:D144,F121:I144)</f>
        <v>8</v>
      </c>
      <c r="M120" s="270">
        <v>7.0</v>
      </c>
      <c r="N120" s="270">
        <v>6.0</v>
      </c>
      <c r="O120" s="270">
        <v>5.0</v>
      </c>
      <c r="P120" s="37"/>
      <c r="Q120" s="37"/>
      <c r="AC120" s="261"/>
      <c r="AD120" s="261"/>
    </row>
    <row r="121" hidden="1" outlineLevel="1">
      <c r="A121" s="37"/>
      <c r="B121" s="37"/>
      <c r="C121" s="270">
        <v>1.0</v>
      </c>
      <c r="D121" s="270">
        <v>1.0</v>
      </c>
      <c r="E121" s="272">
        <f t="array" ref="E121">xlookup(C121,A89:A118,D89:D118,"")</f>
        <v>0</v>
      </c>
      <c r="F121" s="270">
        <v>8.0</v>
      </c>
      <c r="G121" s="270">
        <v>7.0</v>
      </c>
      <c r="H121" s="270">
        <v>6.0</v>
      </c>
      <c r="I121" s="270">
        <v>5.0</v>
      </c>
      <c r="J121" s="37" t="str">
        <f t="array" ref="J121">xlookup(C121,A89:A117,G89:G117)</f>
        <v/>
      </c>
      <c r="K121" s="270">
        <f t="array" ref="K121:L144">sort(D121:E144,2,true)</f>
        <v>1</v>
      </c>
      <c r="L121" s="270">
        <v>0.0</v>
      </c>
      <c r="M121" s="37"/>
      <c r="N121" s="270">
        <v>1.0</v>
      </c>
      <c r="O121" s="270">
        <f t="array" ref="O121:O124">transpose(L120:O120)</f>
        <v>8</v>
      </c>
      <c r="P121" s="271" t="str">
        <f t="array" ref="P121">xlookup(N121,K70:K77,A70:A77,"")</f>
        <v>#N/A</v>
      </c>
      <c r="Q121" s="271" t="str">
        <f t="array" ref="Q121">xlookup(O121,K70:K77,A70:A77,"")</f>
        <v/>
      </c>
      <c r="AC121" s="261"/>
      <c r="AD121" s="261"/>
    </row>
    <row r="122" hidden="1" outlineLevel="1">
      <c r="A122" s="37"/>
      <c r="B122" s="37"/>
      <c r="C122" s="270">
        <f t="shared" ref="C122:D122" si="29">C121+1</f>
        <v>2</v>
      </c>
      <c r="D122" s="270">
        <f t="shared" si="29"/>
        <v>2</v>
      </c>
      <c r="E122" s="272">
        <f t="array" ref="E122">xlookup(C122,A89:A118,D89:D118,"")</f>
        <v>0</v>
      </c>
      <c r="F122" s="270">
        <v>8.0</v>
      </c>
      <c r="G122" s="270">
        <v>7.0</v>
      </c>
      <c r="H122" s="270">
        <v>5.0</v>
      </c>
      <c r="I122" s="270">
        <v>6.0</v>
      </c>
      <c r="J122" s="37"/>
      <c r="K122" s="270">
        <v>2.0</v>
      </c>
      <c r="L122" s="270">
        <v>0.0</v>
      </c>
      <c r="M122" s="37"/>
      <c r="N122" s="270">
        <v>2.0</v>
      </c>
      <c r="O122" s="270">
        <v>7.0</v>
      </c>
      <c r="P122" s="271" t="str">
        <f t="array" ref="P122">xlookup(N122,K70:K77,A70:A77,"")</f>
        <v/>
      </c>
      <c r="Q122" s="271" t="str">
        <f t="array" ref="Q122">xlookup(O122,K70:K77,A70:A77,"")</f>
        <v/>
      </c>
      <c r="AC122" s="261"/>
      <c r="AD122" s="261"/>
    </row>
    <row r="123" hidden="1" outlineLevel="1">
      <c r="A123" s="37"/>
      <c r="B123" s="37"/>
      <c r="C123" s="270">
        <f t="shared" ref="C123:D123" si="30">C122+1</f>
        <v>3</v>
      </c>
      <c r="D123" s="270">
        <f t="shared" si="30"/>
        <v>3</v>
      </c>
      <c r="E123" s="272">
        <f t="array" ref="E123">xlookup(C123,A89:A118,D89:D118,"")</f>
        <v>0</v>
      </c>
      <c r="F123" s="270">
        <v>8.0</v>
      </c>
      <c r="G123" s="270">
        <v>6.0</v>
      </c>
      <c r="H123" s="270">
        <v>7.0</v>
      </c>
      <c r="I123" s="270">
        <v>5.0</v>
      </c>
      <c r="J123" s="37"/>
      <c r="K123" s="270">
        <v>3.0</v>
      </c>
      <c r="L123" s="270">
        <v>0.0</v>
      </c>
      <c r="M123" s="37"/>
      <c r="N123" s="270">
        <v>3.0</v>
      </c>
      <c r="O123" s="270">
        <v>6.0</v>
      </c>
      <c r="P123" s="271" t="str">
        <f t="array" ref="P123">xlookup(N123,K70:K77,A70:A77,"")</f>
        <v/>
      </c>
      <c r="Q123" s="271" t="str">
        <f t="array" ref="Q123">xlookup(O123,K70:K77,A70:A77,"")</f>
        <v/>
      </c>
      <c r="AC123" s="261"/>
      <c r="AD123" s="261"/>
    </row>
    <row r="124" hidden="1" outlineLevel="1">
      <c r="A124" s="37"/>
      <c r="B124" s="37"/>
      <c r="C124" s="270">
        <f t="shared" ref="C124:D124" si="31">C123+1</f>
        <v>4</v>
      </c>
      <c r="D124" s="270">
        <f t="shared" si="31"/>
        <v>4</v>
      </c>
      <c r="E124" s="272">
        <f t="array" ref="E124">xlookup(C124,A89:A118,D89:D118,"")</f>
        <v>0</v>
      </c>
      <c r="F124" s="270">
        <v>8.0</v>
      </c>
      <c r="G124" s="270">
        <v>6.0</v>
      </c>
      <c r="H124" s="270">
        <v>5.0</v>
      </c>
      <c r="I124" s="270">
        <v>7.0</v>
      </c>
      <c r="J124" s="37"/>
      <c r="K124" s="270">
        <v>4.0</v>
      </c>
      <c r="L124" s="270">
        <v>0.0</v>
      </c>
      <c r="M124" s="37"/>
      <c r="N124" s="270">
        <v>4.0</v>
      </c>
      <c r="O124" s="270">
        <v>5.0</v>
      </c>
      <c r="P124" s="271" t="str">
        <f t="array" ref="P124">xlookup(N124,K70:K77,A70:A77,"")</f>
        <v/>
      </c>
      <c r="Q124" s="271" t="str">
        <f t="array" ref="Q124">xlookup(O124,K70:K77,A70:A77,"")</f>
        <v/>
      </c>
      <c r="AC124" s="261"/>
      <c r="AD124" s="261"/>
    </row>
    <row r="125" hidden="1" outlineLevel="1">
      <c r="A125" s="37"/>
      <c r="B125" s="37"/>
      <c r="C125" s="270">
        <f t="shared" ref="C125:D125" si="32">C124+1</f>
        <v>5</v>
      </c>
      <c r="D125" s="270">
        <f t="shared" si="32"/>
        <v>5</v>
      </c>
      <c r="E125" s="272">
        <f t="array" ref="E125">xlookup(C125,A89:A118,D89:D118,"")</f>
        <v>0</v>
      </c>
      <c r="F125" s="270">
        <v>8.0</v>
      </c>
      <c r="G125" s="270">
        <v>5.0</v>
      </c>
      <c r="H125" s="270">
        <v>7.0</v>
      </c>
      <c r="I125" s="270">
        <v>6.0</v>
      </c>
      <c r="J125" s="37"/>
      <c r="K125" s="270">
        <v>5.0</v>
      </c>
      <c r="L125" s="270">
        <v>0.0</v>
      </c>
      <c r="M125" s="37"/>
      <c r="N125" s="37"/>
      <c r="O125" s="37"/>
      <c r="P125" s="37"/>
      <c r="Q125" s="37"/>
      <c r="AC125" s="261"/>
      <c r="AD125" s="261"/>
    </row>
    <row r="126" hidden="1" outlineLevel="1">
      <c r="A126" s="37"/>
      <c r="B126" s="37"/>
      <c r="C126" s="270">
        <f t="shared" ref="C126:D126" si="33">C125+1</f>
        <v>6</v>
      </c>
      <c r="D126" s="270">
        <f t="shared" si="33"/>
        <v>6</v>
      </c>
      <c r="E126" s="272">
        <f t="array" ref="E126">xlookup(C126,A89:A118,D89:D118,"")</f>
        <v>0</v>
      </c>
      <c r="F126" s="270">
        <v>8.0</v>
      </c>
      <c r="G126" s="270">
        <v>5.0</v>
      </c>
      <c r="H126" s="270">
        <v>6.0</v>
      </c>
      <c r="I126" s="270">
        <v>7.0</v>
      </c>
      <c r="J126" s="37"/>
      <c r="K126" s="270">
        <v>6.0</v>
      </c>
      <c r="L126" s="270">
        <v>0.0</v>
      </c>
      <c r="M126" s="37"/>
      <c r="N126" s="37"/>
      <c r="O126" s="37"/>
      <c r="P126" s="37"/>
      <c r="Q126" s="37"/>
      <c r="AC126" s="261"/>
      <c r="AD126" s="261"/>
    </row>
    <row r="127" hidden="1" outlineLevel="1">
      <c r="A127" s="37"/>
      <c r="B127" s="37"/>
      <c r="C127" s="270">
        <v>1.0</v>
      </c>
      <c r="D127" s="270">
        <f>D126+1</f>
        <v>7</v>
      </c>
      <c r="E127" s="272">
        <f t="array" ref="E127">xlookup(C127,A89:A118,F89:F118,"")</f>
        <v>0</v>
      </c>
      <c r="F127" s="270">
        <v>7.0</v>
      </c>
      <c r="G127" s="270">
        <v>8.0</v>
      </c>
      <c r="H127" s="270">
        <v>6.0</v>
      </c>
      <c r="I127" s="270">
        <v>5.0</v>
      </c>
      <c r="J127" s="37"/>
      <c r="K127" s="270">
        <v>7.0</v>
      </c>
      <c r="L127" s="270">
        <v>0.0</v>
      </c>
      <c r="M127" s="37"/>
      <c r="N127" s="37"/>
      <c r="O127" s="37"/>
      <c r="P127" s="37"/>
      <c r="Q127" s="37"/>
      <c r="AC127" s="261"/>
      <c r="AD127" s="261"/>
    </row>
    <row r="128" hidden="1" outlineLevel="1">
      <c r="A128" s="37"/>
      <c r="B128" s="37"/>
      <c r="C128" s="270">
        <f t="shared" ref="C128:D128" si="34">C127+1</f>
        <v>2</v>
      </c>
      <c r="D128" s="270">
        <f t="shared" si="34"/>
        <v>8</v>
      </c>
      <c r="E128" s="272">
        <f t="array" ref="E128">xlookup(C128,A89:A118,F89:F118,"")</f>
        <v>0</v>
      </c>
      <c r="F128" s="270">
        <v>7.0</v>
      </c>
      <c r="G128" s="270">
        <v>8.0</v>
      </c>
      <c r="H128" s="270">
        <v>5.0</v>
      </c>
      <c r="I128" s="270">
        <v>6.0</v>
      </c>
      <c r="J128" s="37"/>
      <c r="K128" s="270">
        <v>8.0</v>
      </c>
      <c r="L128" s="270">
        <v>0.0</v>
      </c>
      <c r="M128" s="37"/>
      <c r="N128" s="37"/>
      <c r="O128" s="37"/>
      <c r="P128" s="37"/>
      <c r="Q128" s="37"/>
      <c r="AC128" s="261"/>
      <c r="AD128" s="261"/>
    </row>
    <row r="129" hidden="1" outlineLevel="1">
      <c r="A129" s="37"/>
      <c r="B129" s="37"/>
      <c r="C129" s="270">
        <f t="shared" ref="C129:D129" si="35">C128+1</f>
        <v>3</v>
      </c>
      <c r="D129" s="270">
        <f t="shared" si="35"/>
        <v>9</v>
      </c>
      <c r="E129" s="272">
        <f t="array" ref="E129">xlookup(C129,A89:A118,F89:F118,"")</f>
        <v>0</v>
      </c>
      <c r="F129" s="270">
        <v>7.0</v>
      </c>
      <c r="G129" s="270">
        <v>6.0</v>
      </c>
      <c r="H129" s="270">
        <v>8.0</v>
      </c>
      <c r="I129" s="270">
        <v>5.0</v>
      </c>
      <c r="J129" s="37"/>
      <c r="K129" s="270">
        <v>9.0</v>
      </c>
      <c r="L129" s="270">
        <v>0.0</v>
      </c>
      <c r="M129" s="37"/>
      <c r="N129" s="37"/>
      <c r="O129" s="37"/>
      <c r="P129" s="37"/>
      <c r="Q129" s="37"/>
      <c r="AC129" s="261"/>
      <c r="AD129" s="261"/>
    </row>
    <row r="130" hidden="1" outlineLevel="1">
      <c r="A130" s="37"/>
      <c r="B130" s="37"/>
      <c r="C130" s="270">
        <f t="shared" ref="C130:D130" si="36">C129+1</f>
        <v>4</v>
      </c>
      <c r="D130" s="270">
        <f t="shared" si="36"/>
        <v>10</v>
      </c>
      <c r="E130" s="272">
        <f t="array" ref="E130">xlookup(C130,A89:A118,F89:F118,"")</f>
        <v>0</v>
      </c>
      <c r="F130" s="270">
        <v>7.0</v>
      </c>
      <c r="G130" s="270">
        <v>6.0</v>
      </c>
      <c r="H130" s="270">
        <v>5.0</v>
      </c>
      <c r="I130" s="270">
        <v>8.0</v>
      </c>
      <c r="J130" s="37"/>
      <c r="K130" s="270">
        <v>10.0</v>
      </c>
      <c r="L130" s="270">
        <v>0.0</v>
      </c>
      <c r="M130" s="37"/>
      <c r="N130" s="37"/>
      <c r="O130" s="37"/>
      <c r="P130" s="37"/>
      <c r="Q130" s="37"/>
      <c r="AC130" s="261"/>
      <c r="AD130" s="261"/>
    </row>
    <row r="131" hidden="1" outlineLevel="1">
      <c r="A131" s="37"/>
      <c r="B131" s="37"/>
      <c r="C131" s="270">
        <f t="shared" ref="C131:D131" si="37">C130+1</f>
        <v>5</v>
      </c>
      <c r="D131" s="270">
        <f t="shared" si="37"/>
        <v>11</v>
      </c>
      <c r="E131" s="272">
        <f t="array" ref="E131">xlookup(C131,A89:A118,F89:F118,"")</f>
        <v>0</v>
      </c>
      <c r="F131" s="270">
        <v>7.0</v>
      </c>
      <c r="G131" s="270">
        <v>5.0</v>
      </c>
      <c r="H131" s="270">
        <v>8.0</v>
      </c>
      <c r="I131" s="270">
        <v>6.0</v>
      </c>
      <c r="J131" s="37"/>
      <c r="K131" s="270">
        <v>11.0</v>
      </c>
      <c r="L131" s="270">
        <v>0.0</v>
      </c>
      <c r="M131" s="37"/>
      <c r="N131" s="37"/>
      <c r="O131" s="37"/>
      <c r="P131" s="37"/>
      <c r="Q131" s="37"/>
      <c r="AC131" s="261"/>
      <c r="AD131" s="261"/>
    </row>
    <row r="132" hidden="1" outlineLevel="1">
      <c r="A132" s="37"/>
      <c r="B132" s="37"/>
      <c r="C132" s="270">
        <f t="shared" ref="C132:D132" si="38">C131+1</f>
        <v>6</v>
      </c>
      <c r="D132" s="270">
        <f t="shared" si="38"/>
        <v>12</v>
      </c>
      <c r="E132" s="272">
        <f t="array" ref="E132">xlookup(C132,A89:A118,F89:F118,"")</f>
        <v>0</v>
      </c>
      <c r="F132" s="270">
        <v>7.0</v>
      </c>
      <c r="G132" s="270">
        <v>5.0</v>
      </c>
      <c r="H132" s="270">
        <v>6.0</v>
      </c>
      <c r="I132" s="270">
        <v>8.0</v>
      </c>
      <c r="J132" s="37"/>
      <c r="K132" s="270">
        <v>12.0</v>
      </c>
      <c r="L132" s="270">
        <v>0.0</v>
      </c>
      <c r="M132" s="37"/>
      <c r="N132" s="37"/>
      <c r="O132" s="37"/>
      <c r="P132" s="37"/>
      <c r="Q132" s="37"/>
      <c r="AC132" s="261"/>
      <c r="AD132" s="261"/>
    </row>
    <row r="133" hidden="1" outlineLevel="1">
      <c r="A133" s="37"/>
      <c r="B133" s="37"/>
      <c r="C133" s="270">
        <v>1.0</v>
      </c>
      <c r="D133" s="270">
        <f>D132+1</f>
        <v>13</v>
      </c>
      <c r="E133" s="272">
        <f t="array" ref="E133">xlookup(C133,A89:A118,H89:H118,"")</f>
        <v>0</v>
      </c>
      <c r="F133" s="270">
        <v>6.0</v>
      </c>
      <c r="G133" s="270">
        <v>8.0</v>
      </c>
      <c r="H133" s="270">
        <v>7.0</v>
      </c>
      <c r="I133" s="270">
        <v>5.0</v>
      </c>
      <c r="J133" s="37"/>
      <c r="K133" s="270">
        <v>13.0</v>
      </c>
      <c r="L133" s="270">
        <v>0.0</v>
      </c>
      <c r="M133" s="37"/>
      <c r="N133" s="37"/>
      <c r="O133" s="37"/>
      <c r="P133" s="37"/>
      <c r="Q133" s="37"/>
      <c r="AC133" s="261"/>
      <c r="AD133" s="261"/>
    </row>
    <row r="134" hidden="1" outlineLevel="1">
      <c r="A134" s="37"/>
      <c r="B134" s="37"/>
      <c r="C134" s="270">
        <f t="shared" ref="C134:D134" si="39">C133+1</f>
        <v>2</v>
      </c>
      <c r="D134" s="270">
        <f t="shared" si="39"/>
        <v>14</v>
      </c>
      <c r="E134" s="272">
        <f t="array" ref="E134">xlookup(C134,A89:A118,H89:H118,"")</f>
        <v>0</v>
      </c>
      <c r="F134" s="270">
        <v>6.0</v>
      </c>
      <c r="G134" s="270">
        <v>8.0</v>
      </c>
      <c r="H134" s="270">
        <v>5.0</v>
      </c>
      <c r="I134" s="270">
        <v>7.0</v>
      </c>
      <c r="J134" s="37"/>
      <c r="K134" s="270">
        <v>14.0</v>
      </c>
      <c r="L134" s="270">
        <v>0.0</v>
      </c>
      <c r="M134" s="37"/>
      <c r="N134" s="37"/>
      <c r="O134" s="37"/>
      <c r="P134" s="37"/>
      <c r="Q134" s="37"/>
      <c r="AC134" s="261"/>
      <c r="AD134" s="261"/>
    </row>
    <row r="135" hidden="1" outlineLevel="1">
      <c r="A135" s="37"/>
      <c r="B135" s="37"/>
      <c r="C135" s="270">
        <f t="shared" ref="C135:D135" si="40">C134+1</f>
        <v>3</v>
      </c>
      <c r="D135" s="270">
        <f t="shared" si="40"/>
        <v>15</v>
      </c>
      <c r="E135" s="272">
        <f t="array" ref="E135">xlookup(C135,A89:A118,H89:H118,"")</f>
        <v>0</v>
      </c>
      <c r="F135" s="270">
        <v>6.0</v>
      </c>
      <c r="G135" s="270">
        <v>7.0</v>
      </c>
      <c r="H135" s="270">
        <v>8.0</v>
      </c>
      <c r="I135" s="270">
        <v>5.0</v>
      </c>
      <c r="J135" s="37"/>
      <c r="K135" s="270">
        <v>15.0</v>
      </c>
      <c r="L135" s="270">
        <v>0.0</v>
      </c>
      <c r="M135" s="37"/>
      <c r="N135" s="37"/>
      <c r="O135" s="37"/>
      <c r="P135" s="37"/>
      <c r="Q135" s="37"/>
      <c r="AC135" s="261"/>
      <c r="AD135" s="261"/>
    </row>
    <row r="136" hidden="1" outlineLevel="1">
      <c r="A136" s="37"/>
      <c r="B136" s="37"/>
      <c r="C136" s="270">
        <f t="shared" ref="C136:D136" si="41">C135+1</f>
        <v>4</v>
      </c>
      <c r="D136" s="270">
        <f t="shared" si="41"/>
        <v>16</v>
      </c>
      <c r="E136" s="272">
        <f t="array" ref="E136">xlookup(C136,A89:A118,H89:H118,"")</f>
        <v>0</v>
      </c>
      <c r="F136" s="270">
        <v>6.0</v>
      </c>
      <c r="G136" s="270">
        <v>7.0</v>
      </c>
      <c r="H136" s="270">
        <v>5.0</v>
      </c>
      <c r="I136" s="270">
        <v>8.0</v>
      </c>
      <c r="J136" s="37"/>
      <c r="K136" s="270">
        <v>16.0</v>
      </c>
      <c r="L136" s="270">
        <v>0.0</v>
      </c>
      <c r="M136" s="37"/>
      <c r="N136" s="37"/>
      <c r="O136" s="37"/>
      <c r="P136" s="37"/>
      <c r="Q136" s="37"/>
      <c r="AC136" s="261"/>
      <c r="AD136" s="261"/>
    </row>
    <row r="137" hidden="1" outlineLevel="1">
      <c r="A137" s="37"/>
      <c r="B137" s="37"/>
      <c r="C137" s="270">
        <f t="shared" ref="C137:D137" si="42">C136+1</f>
        <v>5</v>
      </c>
      <c r="D137" s="270">
        <f t="shared" si="42"/>
        <v>17</v>
      </c>
      <c r="E137" s="272">
        <f t="array" ref="E137">xlookup(C137,A89:A118,H89:H118,"")</f>
        <v>0</v>
      </c>
      <c r="F137" s="270">
        <v>6.0</v>
      </c>
      <c r="G137" s="270">
        <v>5.0</v>
      </c>
      <c r="H137" s="270">
        <v>8.0</v>
      </c>
      <c r="I137" s="270">
        <v>7.0</v>
      </c>
      <c r="J137" s="37"/>
      <c r="K137" s="270">
        <v>17.0</v>
      </c>
      <c r="L137" s="270">
        <v>0.0</v>
      </c>
      <c r="M137" s="37"/>
      <c r="N137" s="37"/>
      <c r="O137" s="37"/>
      <c r="P137" s="37"/>
      <c r="Q137" s="37"/>
      <c r="AC137" s="261"/>
      <c r="AD137" s="261"/>
    </row>
    <row r="138" hidden="1" outlineLevel="1">
      <c r="A138" s="37"/>
      <c r="B138" s="37"/>
      <c r="C138" s="270">
        <f t="shared" ref="C138:D138" si="43">C137+1</f>
        <v>6</v>
      </c>
      <c r="D138" s="270">
        <f t="shared" si="43"/>
        <v>18</v>
      </c>
      <c r="E138" s="272">
        <f t="array" ref="E138">xlookup(C138,A89:A118,H89:H118,"")</f>
        <v>0</v>
      </c>
      <c r="F138" s="270">
        <v>6.0</v>
      </c>
      <c r="G138" s="270">
        <v>5.0</v>
      </c>
      <c r="H138" s="270">
        <v>7.0</v>
      </c>
      <c r="I138" s="270">
        <v>8.0</v>
      </c>
      <c r="J138" s="37"/>
      <c r="K138" s="270">
        <v>18.0</v>
      </c>
      <c r="L138" s="270">
        <v>0.0</v>
      </c>
      <c r="M138" s="37"/>
      <c r="N138" s="37"/>
      <c r="O138" s="37"/>
      <c r="P138" s="37"/>
      <c r="Q138" s="37"/>
      <c r="AC138" s="261"/>
      <c r="AD138" s="261"/>
    </row>
    <row r="139" hidden="1" outlineLevel="1">
      <c r="A139" s="37"/>
      <c r="B139" s="37"/>
      <c r="C139" s="270">
        <v>1.0</v>
      </c>
      <c r="D139" s="270">
        <f>D138+1</f>
        <v>19</v>
      </c>
      <c r="E139" s="272">
        <f t="array" ref="E139">xlookup(C139,A89:A118,J89:J118,"")</f>
        <v>0</v>
      </c>
      <c r="F139" s="270">
        <v>5.0</v>
      </c>
      <c r="G139" s="270">
        <v>8.0</v>
      </c>
      <c r="H139" s="270">
        <v>7.0</v>
      </c>
      <c r="I139" s="270">
        <v>6.0</v>
      </c>
      <c r="J139" s="37"/>
      <c r="K139" s="270">
        <v>19.0</v>
      </c>
      <c r="L139" s="270">
        <v>0.0</v>
      </c>
      <c r="M139" s="37"/>
      <c r="N139" s="37"/>
      <c r="O139" s="37"/>
      <c r="P139" s="37"/>
      <c r="Q139" s="37"/>
      <c r="AC139" s="261"/>
      <c r="AD139" s="261"/>
    </row>
    <row r="140" hidden="1" outlineLevel="1">
      <c r="A140" s="37"/>
      <c r="B140" s="37"/>
      <c r="C140" s="270">
        <f t="shared" ref="C140:D140" si="44">C139+1</f>
        <v>2</v>
      </c>
      <c r="D140" s="270">
        <f t="shared" si="44"/>
        <v>20</v>
      </c>
      <c r="E140" s="272">
        <f t="array" ref="E140">xlookup(C140,A89:A118,J89:J118,"")</f>
        <v>0</v>
      </c>
      <c r="F140" s="270">
        <v>5.0</v>
      </c>
      <c r="G140" s="270">
        <v>8.0</v>
      </c>
      <c r="H140" s="270">
        <v>6.0</v>
      </c>
      <c r="I140" s="270">
        <v>7.0</v>
      </c>
      <c r="J140" s="37"/>
      <c r="K140" s="270">
        <v>20.0</v>
      </c>
      <c r="L140" s="270">
        <v>0.0</v>
      </c>
      <c r="M140" s="37"/>
      <c r="N140" s="37"/>
      <c r="O140" s="37"/>
      <c r="P140" s="37"/>
      <c r="Q140" s="37"/>
      <c r="AC140" s="261"/>
      <c r="AD140" s="261"/>
    </row>
    <row r="141" hidden="1" outlineLevel="1">
      <c r="A141" s="37"/>
      <c r="B141" s="37"/>
      <c r="C141" s="270">
        <f t="shared" ref="C141:D141" si="45">C140+1</f>
        <v>3</v>
      </c>
      <c r="D141" s="270">
        <f t="shared" si="45"/>
        <v>21</v>
      </c>
      <c r="E141" s="272">
        <f t="array" ref="E141">xlookup(C141,A89:A118,J89:J118,"")</f>
        <v>0</v>
      </c>
      <c r="F141" s="270">
        <v>5.0</v>
      </c>
      <c r="G141" s="270">
        <v>7.0</v>
      </c>
      <c r="H141" s="270">
        <v>8.0</v>
      </c>
      <c r="I141" s="270">
        <v>6.0</v>
      </c>
      <c r="J141" s="37"/>
      <c r="K141" s="270">
        <v>21.0</v>
      </c>
      <c r="L141" s="270">
        <v>0.0</v>
      </c>
      <c r="M141" s="37"/>
      <c r="N141" s="37"/>
      <c r="O141" s="37"/>
      <c r="P141" s="37"/>
      <c r="Q141" s="37"/>
      <c r="AC141" s="261"/>
      <c r="AD141" s="261"/>
    </row>
    <row r="142" hidden="1" outlineLevel="1">
      <c r="A142" s="37"/>
      <c r="B142" s="37"/>
      <c r="C142" s="270">
        <f t="shared" ref="C142:D142" si="46">C141+1</f>
        <v>4</v>
      </c>
      <c r="D142" s="270">
        <f t="shared" si="46"/>
        <v>22</v>
      </c>
      <c r="E142" s="272">
        <f t="array" ref="E142">xlookup(C142,A89:A118,J89:J118,"")</f>
        <v>0</v>
      </c>
      <c r="F142" s="270">
        <v>5.0</v>
      </c>
      <c r="G142" s="270">
        <v>7.0</v>
      </c>
      <c r="H142" s="270">
        <v>6.0</v>
      </c>
      <c r="I142" s="270">
        <v>8.0</v>
      </c>
      <c r="J142" s="37"/>
      <c r="K142" s="270">
        <v>22.0</v>
      </c>
      <c r="L142" s="270">
        <v>0.0</v>
      </c>
      <c r="M142" s="37"/>
      <c r="N142" s="37"/>
      <c r="O142" s="37"/>
      <c r="P142" s="37"/>
      <c r="Q142" s="37"/>
      <c r="AC142" s="261"/>
      <c r="AD142" s="261"/>
    </row>
    <row r="143" hidden="1" outlineLevel="1">
      <c r="A143" s="37"/>
      <c r="B143" s="37"/>
      <c r="C143" s="270">
        <f t="shared" ref="C143:D143" si="47">C142+1</f>
        <v>5</v>
      </c>
      <c r="D143" s="270">
        <f t="shared" si="47"/>
        <v>23</v>
      </c>
      <c r="E143" s="272">
        <f t="array" ref="E143">xlookup(C143,A89:A118,J89:J118,"")</f>
        <v>0</v>
      </c>
      <c r="F143" s="270">
        <v>5.0</v>
      </c>
      <c r="G143" s="270">
        <v>6.0</v>
      </c>
      <c r="H143" s="270">
        <v>8.0</v>
      </c>
      <c r="I143" s="270">
        <v>7.0</v>
      </c>
      <c r="J143" s="37"/>
      <c r="K143" s="270">
        <v>23.0</v>
      </c>
      <c r="L143" s="270">
        <v>0.0</v>
      </c>
      <c r="M143" s="37"/>
      <c r="N143" s="37"/>
      <c r="O143" s="37"/>
      <c r="P143" s="37"/>
      <c r="Q143" s="37"/>
      <c r="AC143" s="261"/>
      <c r="AD143" s="261"/>
    </row>
    <row r="144" hidden="1" outlineLevel="1">
      <c r="A144" s="37"/>
      <c r="B144" s="37"/>
      <c r="C144" s="270">
        <f t="shared" ref="C144:D144" si="48">C143+1</f>
        <v>6</v>
      </c>
      <c r="D144" s="270">
        <f t="shared" si="48"/>
        <v>24</v>
      </c>
      <c r="E144" s="272">
        <f t="array" ref="E144">xlookup(C144,A89:A118,J89:J118,"")</f>
        <v>0</v>
      </c>
      <c r="F144" s="270">
        <v>5.0</v>
      </c>
      <c r="G144" s="270">
        <v>6.0</v>
      </c>
      <c r="H144" s="270">
        <v>7.0</v>
      </c>
      <c r="I144" s="270">
        <v>8.0</v>
      </c>
      <c r="J144" s="37"/>
      <c r="K144" s="270">
        <v>24.0</v>
      </c>
      <c r="L144" s="270">
        <v>0.0</v>
      </c>
      <c r="M144" s="37"/>
      <c r="N144" s="37"/>
      <c r="O144" s="37"/>
      <c r="P144" s="37"/>
      <c r="Q144" s="37"/>
      <c r="AC144" s="261"/>
      <c r="AD144" s="261"/>
    </row>
    <row r="145">
      <c r="A145" s="268"/>
      <c r="AC145" s="261"/>
      <c r="AD145" s="261"/>
    </row>
    <row r="146">
      <c r="A146" s="37" t="s">
        <v>88</v>
      </c>
      <c r="B146" s="37" t="s">
        <v>327</v>
      </c>
      <c r="C146" s="37" t="s">
        <v>326</v>
      </c>
      <c r="D146" s="37" t="s">
        <v>371</v>
      </c>
      <c r="E146" s="37" t="s">
        <v>381</v>
      </c>
      <c r="F146" s="260" t="s">
        <v>398</v>
      </c>
      <c r="G146" s="261" t="s">
        <v>399</v>
      </c>
      <c r="H146" s="262" t="s">
        <v>400</v>
      </c>
      <c r="I146" s="267" t="s">
        <v>401</v>
      </c>
      <c r="J146" s="47" t="s">
        <v>402</v>
      </c>
      <c r="K146" s="37"/>
      <c r="AC146" s="261"/>
      <c r="AD146" s="261"/>
    </row>
    <row r="147">
      <c r="A147" s="48">
        <f t="shared" ref="A147:A162" si="49">A2</f>
        <v>1</v>
      </c>
      <c r="C147" s="48" t="str">
        <f t="array" ref="C147">xlookup($A147,data!$M$2:$M$17,(xlookup(C$146,data!$N$1:$BR$1,data!$N$2:$BR$17)))</f>
        <v>Team 1 (Group 2)</v>
      </c>
      <c r="D147" s="48">
        <f t="array" ref="D147">xlookup($A147,data!$M$2:$M$17,(xlookup(D$146,data!$N$1:$BR$1,data!$N$2:$BR$17)))</f>
        <v>9</v>
      </c>
      <c r="E147" s="48" t="str">
        <f t="array" ref="E147">xlookup($A147,data!$M$2:$M$17,(xlookup(E$146,data!$N$1:$BR$1,data!$N$2:$BR$17)))</f>
        <v/>
      </c>
      <c r="F147" s="48" t="str">
        <f t="array" ref="F147">xlookup($A147,data!$M$2:$M$17,(xlookup(F$146,data!$N$1:$BR$1,data!$N$2:$BR$17)))</f>
        <v/>
      </c>
      <c r="G147" s="48">
        <f t="array" ref="G147">xlookup($A147,data!$M$2:$M$17,(xlookup(G$146,data!$N$1:$BR$1,data!$N$2:$BR$17)))</f>
        <v>0</v>
      </c>
      <c r="H147" s="48">
        <f t="array" ref="H147">xlookup($A147,data!$M$2:$M$17,(xlookup(H$146,data!$N$1:$BR$1,data!$N$2:$BR$17)))</f>
        <v>0</v>
      </c>
      <c r="I147" s="48">
        <f t="array" ref="I147">xlookup($A147,data!$M$2:$M$17,(xlookup(I$146,data!$N$1:$BR$1,data!$N$2:$BR$17)))</f>
        <v>0</v>
      </c>
      <c r="J147" s="48">
        <f t="array" ref="J147">xlookup($A147,data!$M$2:$M$17,(xlookup(J$146,data!$N$1:$BR$1,data!$N$2:$BR$17)))</f>
        <v>0</v>
      </c>
      <c r="AC147" s="261"/>
      <c r="AD147" s="261"/>
    </row>
    <row r="148">
      <c r="A148" s="48">
        <f t="shared" si="49"/>
        <v>2</v>
      </c>
      <c r="C148" s="48" t="str">
        <f t="array" ref="C148">xlookup($A148,data!$M$2:$M$17,(xlookup(C$146,data!$N$1:$BR$1,data!$N$2:$BR$17)))</f>
        <v>Team 2 (Group 2)</v>
      </c>
      <c r="D148" s="48">
        <f t="array" ref="D148">xlookup($A148,data!$M$2:$M$17,(xlookup(D$146,data!$N$1:$BR$1,data!$N$2:$BR$17)))</f>
        <v>9</v>
      </c>
      <c r="E148" s="48" t="str">
        <f t="array" ref="E148">xlookup($A148,data!$M$2:$M$17,(xlookup(E$146,data!$N$1:$BR$1,data!$N$2:$BR$17)))</f>
        <v/>
      </c>
      <c r="F148" s="48" t="str">
        <f t="array" ref="F148">xlookup($A148,data!$M$2:$M$17,(xlookup(F$146,data!$N$1:$BR$1,data!$N$2:$BR$17)))</f>
        <v/>
      </c>
      <c r="G148" s="48">
        <f t="array" ref="G148">xlookup($A148,data!$M$2:$M$17,(xlookup(G$146,data!$N$1:$BR$1,data!$N$2:$BR$17)))</f>
        <v>0</v>
      </c>
      <c r="H148" s="48">
        <f t="array" ref="H148">xlookup($A148,data!$M$2:$M$17,(xlookup(H$146,data!$N$1:$BR$1,data!$N$2:$BR$17)))</f>
        <v>0</v>
      </c>
      <c r="I148" s="48">
        <f t="array" ref="I148">xlookup($A148,data!$M$2:$M$17,(xlookup(I$146,data!$N$1:$BR$1,data!$N$2:$BR$17)))</f>
        <v>0</v>
      </c>
      <c r="J148" s="48">
        <f t="array" ref="J148">xlookup($A148,data!$M$2:$M$17,(xlookup(J$146,data!$N$1:$BR$1,data!$N$2:$BR$17)))</f>
        <v>0</v>
      </c>
      <c r="AC148" s="261"/>
      <c r="AD148" s="261"/>
    </row>
    <row r="149">
      <c r="A149" s="48">
        <f t="shared" si="49"/>
        <v>3</v>
      </c>
      <c r="C149" s="48" t="str">
        <f t="array" ref="C149">xlookup($A149,data!$M$2:$M$17,(xlookup(C$146,data!$N$1:$BR$1,data!$N$2:$BR$17)))</f>
        <v>Team 3 (Group 2)</v>
      </c>
      <c r="D149" s="48">
        <f t="array" ref="D149">xlookup($A149,data!$M$2:$M$17,(xlookup(D$146,data!$N$1:$BR$1,data!$N$2:$BR$17)))</f>
        <v>9</v>
      </c>
      <c r="E149" s="48" t="str">
        <f t="array" ref="E149">xlookup($A149,data!$M$2:$M$17,(xlookup(E$146,data!$N$1:$BR$1,data!$N$2:$BR$17)))</f>
        <v/>
      </c>
      <c r="F149" s="48" t="str">
        <f t="array" ref="F149">xlookup($A149,data!$M$2:$M$17,(xlookup(F$146,data!$N$1:$BR$1,data!$N$2:$BR$17)))</f>
        <v/>
      </c>
      <c r="G149" s="48">
        <f t="array" ref="G149">xlookup($A149,data!$M$2:$M$17,(xlookup(G$146,data!$N$1:$BR$1,data!$N$2:$BR$17)))</f>
        <v>0</v>
      </c>
      <c r="H149" s="48">
        <f t="array" ref="H149">xlookup($A149,data!$M$2:$M$17,(xlookup(H$146,data!$N$1:$BR$1,data!$N$2:$BR$17)))</f>
        <v>0</v>
      </c>
      <c r="I149" s="48">
        <f t="array" ref="I149">xlookup($A149,data!$M$2:$M$17,(xlookup(I$146,data!$N$1:$BR$1,data!$N$2:$BR$17)))</f>
        <v>0</v>
      </c>
      <c r="J149" s="48">
        <f t="array" ref="J149">xlookup($A149,data!$M$2:$M$17,(xlookup(J$146,data!$N$1:$BR$1,data!$N$2:$BR$17)))</f>
        <v>0</v>
      </c>
      <c r="AC149" s="261"/>
      <c r="AD149" s="261"/>
    </row>
    <row r="150">
      <c r="A150" s="48">
        <f t="shared" si="49"/>
        <v>4</v>
      </c>
      <c r="C150" s="48" t="str">
        <f t="array" ref="C150">xlookup($A150,data!$M$2:$M$17,(xlookup(C$146,data!$N$1:$BR$1,data!$N$2:$BR$17)))</f>
        <v>Team 4 (Group 2)</v>
      </c>
      <c r="D150" s="48">
        <f t="array" ref="D150">xlookup($A150,data!$M$2:$M$17,(xlookup(D$146,data!$N$1:$BR$1,data!$N$2:$BR$17)))</f>
        <v>9</v>
      </c>
      <c r="E150" s="48" t="str">
        <f t="array" ref="E150">xlookup($A150,data!$M$2:$M$17,(xlookup(E$146,data!$N$1:$BR$1,data!$N$2:$BR$17)))</f>
        <v/>
      </c>
      <c r="F150" s="48" t="str">
        <f t="array" ref="F150">xlookup($A150,data!$M$2:$M$17,(xlookup(F$146,data!$N$1:$BR$1,data!$N$2:$BR$17)))</f>
        <v/>
      </c>
      <c r="G150" s="48">
        <f t="array" ref="G150">xlookup($A150,data!$M$2:$M$17,(xlookup(G$146,data!$N$1:$BR$1,data!$N$2:$BR$17)))</f>
        <v>0</v>
      </c>
      <c r="H150" s="48">
        <f t="array" ref="H150">xlookup($A150,data!$M$2:$M$17,(xlookup(H$146,data!$N$1:$BR$1,data!$N$2:$BR$17)))</f>
        <v>0</v>
      </c>
      <c r="I150" s="48">
        <f t="array" ref="I150">xlookup($A150,data!$M$2:$M$17,(xlookup(I$146,data!$N$1:$BR$1,data!$N$2:$BR$17)))</f>
        <v>0</v>
      </c>
      <c r="J150" s="48">
        <f t="array" ref="J150">xlookup($A150,data!$M$2:$M$17,(xlookup(J$146,data!$N$1:$BR$1,data!$N$2:$BR$17)))</f>
        <v>0</v>
      </c>
      <c r="AC150" s="261"/>
      <c r="AD150" s="261"/>
    </row>
    <row r="151">
      <c r="A151" s="48">
        <f t="shared" si="49"/>
        <v>5</v>
      </c>
      <c r="C151" s="48" t="str">
        <f t="array" ref="C151">xlookup($A151,data!$M$2:$M$17,(xlookup(C$146,data!$N$1:$BR$1,data!$N$2:$BR$17)))</f>
        <v>Team 5 (Group 2)</v>
      </c>
      <c r="D151" s="48">
        <f t="array" ref="D151">xlookup($A151,data!$M$2:$M$17,(xlookup(D$146,data!$N$1:$BR$1,data!$N$2:$BR$17)))</f>
        <v>9</v>
      </c>
      <c r="E151" s="48" t="str">
        <f t="array" ref="E151">xlookup($A151,data!$M$2:$M$17,(xlookup(E$146,data!$N$1:$BR$1,data!$N$2:$BR$17)))</f>
        <v/>
      </c>
      <c r="F151" s="48" t="str">
        <f t="array" ref="F151">xlookup($A151,data!$M$2:$M$17,(xlookup(F$146,data!$N$1:$BR$1,data!$N$2:$BR$17)))</f>
        <v/>
      </c>
      <c r="G151" s="48">
        <f t="array" ref="G151">xlookup($A151,data!$M$2:$M$17,(xlookup(G$146,data!$N$1:$BR$1,data!$N$2:$BR$17)))</f>
        <v>0</v>
      </c>
      <c r="H151" s="48">
        <f t="array" ref="H151">xlookup($A151,data!$M$2:$M$17,(xlookup(H$146,data!$N$1:$BR$1,data!$N$2:$BR$17)))</f>
        <v>0</v>
      </c>
      <c r="I151" s="48">
        <f t="array" ref="I151">xlookup($A151,data!$M$2:$M$17,(xlookup(I$146,data!$N$1:$BR$1,data!$N$2:$BR$17)))</f>
        <v>0</v>
      </c>
      <c r="J151" s="48">
        <f t="array" ref="J151">xlookup($A151,data!$M$2:$M$17,(xlookup(J$146,data!$N$1:$BR$1,data!$N$2:$BR$17)))</f>
        <v>0</v>
      </c>
      <c r="AC151" s="261"/>
      <c r="AD151" s="261"/>
    </row>
    <row r="152">
      <c r="A152" s="48">
        <f t="shared" si="49"/>
        <v>6</v>
      </c>
      <c r="C152" s="48" t="str">
        <f t="array" ref="C152">xlookup($A152,data!$M$2:$M$17,(xlookup(C$146,data!$N$1:$BR$1,data!$N$2:$BR$17)))</f>
        <v>Team 6 (Group 2)</v>
      </c>
      <c r="D152" s="48">
        <f t="array" ref="D152">xlookup($A152,data!$M$2:$M$17,(xlookup(D$146,data!$N$1:$BR$1,data!$N$2:$BR$17)))</f>
        <v>9</v>
      </c>
      <c r="E152" s="48" t="str">
        <f t="array" ref="E152">xlookup($A152,data!$M$2:$M$17,(xlookup(E$146,data!$N$1:$BR$1,data!$N$2:$BR$17)))</f>
        <v/>
      </c>
      <c r="F152" s="48" t="str">
        <f t="array" ref="F152">xlookup($A152,data!$M$2:$M$17,(xlookup(F$146,data!$N$1:$BR$1,data!$N$2:$BR$17)))</f>
        <v/>
      </c>
      <c r="G152" s="48">
        <f t="array" ref="G152">xlookup($A152,data!$M$2:$M$17,(xlookup(G$146,data!$N$1:$BR$1,data!$N$2:$BR$17)))</f>
        <v>0</v>
      </c>
      <c r="H152" s="48">
        <f t="array" ref="H152">xlookup($A152,data!$M$2:$M$17,(xlookup(H$146,data!$N$1:$BR$1,data!$N$2:$BR$17)))</f>
        <v>0</v>
      </c>
      <c r="I152" s="48">
        <f t="array" ref="I152">xlookup($A152,data!$M$2:$M$17,(xlookup(I$146,data!$N$1:$BR$1,data!$N$2:$BR$17)))</f>
        <v>0</v>
      </c>
      <c r="J152" s="48">
        <f t="array" ref="J152">xlookup($A152,data!$M$2:$M$17,(xlookup(J$146,data!$N$1:$BR$1,data!$N$2:$BR$17)))</f>
        <v>0</v>
      </c>
      <c r="AC152" s="261"/>
      <c r="AD152" s="261"/>
    </row>
    <row r="153">
      <c r="A153" s="48">
        <f t="shared" si="49"/>
        <v>7</v>
      </c>
      <c r="C153" s="48" t="str">
        <f t="array" ref="C153">xlookup($A153,data!$M$2:$M$17,(xlookup(C$146,data!$N$1:$BR$1,data!$N$2:$BR$17)))</f>
        <v>Team 7 (Group 2)</v>
      </c>
      <c r="D153" s="48">
        <f t="array" ref="D153">xlookup($A153,data!$M$2:$M$17,(xlookup(D$146,data!$N$1:$BR$1,data!$N$2:$BR$17)))</f>
        <v>9</v>
      </c>
      <c r="E153" s="48" t="str">
        <f t="array" ref="E153">xlookup($A153,data!$M$2:$M$17,(xlookup(E$146,data!$N$1:$BR$1,data!$N$2:$BR$17)))</f>
        <v/>
      </c>
      <c r="F153" s="48" t="str">
        <f t="array" ref="F153">xlookup($A153,data!$M$2:$M$17,(xlookup(F$146,data!$N$1:$BR$1,data!$N$2:$BR$17)))</f>
        <v/>
      </c>
      <c r="G153" s="48">
        <f t="array" ref="G153">xlookup($A153,data!$M$2:$M$17,(xlookup(G$146,data!$N$1:$BR$1,data!$N$2:$BR$17)))</f>
        <v>0</v>
      </c>
      <c r="H153" s="48">
        <f t="array" ref="H153">xlookup($A153,data!$M$2:$M$17,(xlookup(H$146,data!$N$1:$BR$1,data!$N$2:$BR$17)))</f>
        <v>0</v>
      </c>
      <c r="I153" s="48">
        <f t="array" ref="I153">xlookup($A153,data!$M$2:$M$17,(xlookup(I$146,data!$N$1:$BR$1,data!$N$2:$BR$17)))</f>
        <v>0</v>
      </c>
      <c r="J153" s="48">
        <f t="array" ref="J153">xlookup($A153,data!$M$2:$M$17,(xlookup(J$146,data!$N$1:$BR$1,data!$N$2:$BR$17)))</f>
        <v>0</v>
      </c>
      <c r="AC153" s="261"/>
      <c r="AD153" s="261"/>
    </row>
    <row r="154">
      <c r="A154" s="48">
        <f t="shared" si="49"/>
        <v>8</v>
      </c>
      <c r="C154" s="48" t="str">
        <f t="array" ref="C154">xlookup($A154,data!$M$2:$M$17,(xlookup(C$146,data!$N$1:$BR$1,data!$N$2:$BR$17)))</f>
        <v>Team 8 (Group 2)</v>
      </c>
      <c r="D154" s="48">
        <f t="array" ref="D154">xlookup($A154,data!$M$2:$M$17,(xlookup(D$146,data!$N$1:$BR$1,data!$N$2:$BR$17)))</f>
        <v>9</v>
      </c>
      <c r="E154" s="48" t="str">
        <f t="array" ref="E154">xlookup($A154,data!$M$2:$M$17,(xlookup(E$146,data!$N$1:$BR$1,data!$N$2:$BR$17)))</f>
        <v/>
      </c>
      <c r="F154" s="48" t="str">
        <f t="array" ref="F154">xlookup($A154,data!$M$2:$M$17,(xlookup(F$146,data!$N$1:$BR$1,data!$N$2:$BR$17)))</f>
        <v/>
      </c>
      <c r="G154" s="48">
        <f t="array" ref="G154">xlookup($A154,data!$M$2:$M$17,(xlookup(G$146,data!$N$1:$BR$1,data!$N$2:$BR$17)))</f>
        <v>0</v>
      </c>
      <c r="H154" s="48">
        <f t="array" ref="H154">xlookup($A154,data!$M$2:$M$17,(xlookup(H$146,data!$N$1:$BR$1,data!$N$2:$BR$17)))</f>
        <v>0</v>
      </c>
      <c r="I154" s="48">
        <f t="array" ref="I154">xlookup($A154,data!$M$2:$M$17,(xlookup(I$146,data!$N$1:$BR$1,data!$N$2:$BR$17)))</f>
        <v>0</v>
      </c>
      <c r="J154" s="48">
        <f t="array" ref="J154">xlookup($A154,data!$M$2:$M$17,(xlookup(J$146,data!$N$1:$BR$1,data!$N$2:$BR$17)))</f>
        <v>0</v>
      </c>
      <c r="AC154" s="261"/>
      <c r="AD154" s="261"/>
    </row>
    <row r="155">
      <c r="A155" s="48">
        <f t="shared" si="49"/>
        <v>9</v>
      </c>
      <c r="C155" s="48" t="str">
        <f t="array" ref="C155">xlookup($A155,data!$M$2:$M$17,(xlookup(C$146,data!$N$1:$BR$1,data!$N$2:$BR$17)))</f>
        <v>TBD</v>
      </c>
      <c r="D155" s="48">
        <f t="array" ref="D155">xlookup($A155,data!$M$2:$M$17,(xlookup(D$146,data!$N$1:$BR$1,data!$N$2:$BR$17)))</f>
        <v>1</v>
      </c>
      <c r="E155" s="48" t="str">
        <f t="array" ref="E155">xlookup($A155,data!$M$2:$M$17,(xlookup(E$146,data!$N$1:$BR$1,data!$N$2:$BR$17)))</f>
        <v/>
      </c>
      <c r="F155" s="48" t="str">
        <f t="array" ref="F155">xlookup($A155,data!$M$2:$M$17,(xlookup(F$146,data!$N$1:$BR$1,data!$N$2:$BR$17)))</f>
        <v/>
      </c>
      <c r="G155" s="48">
        <f t="array" ref="G155">xlookup($A155,data!$M$2:$M$17,(xlookup(G$146,data!$N$1:$BR$1,data!$N$2:$BR$17)))</f>
        <v>0</v>
      </c>
      <c r="H155" s="48">
        <f t="array" ref="H155">xlookup($A155,data!$M$2:$M$17,(xlookup(H$146,data!$N$1:$BR$1,data!$N$2:$BR$17)))</f>
        <v>0</v>
      </c>
      <c r="I155" s="48">
        <f t="array" ref="I155">xlookup($A155,data!$M$2:$M$17,(xlookup(I$146,data!$N$1:$BR$1,data!$N$2:$BR$17)))</f>
        <v>0</v>
      </c>
      <c r="J155" s="48">
        <f t="array" ref="J155">xlookup($A155,data!$M$2:$M$17,(xlookup(J$146,data!$N$1:$BR$1,data!$N$2:$BR$17)))</f>
        <v>0</v>
      </c>
      <c r="AC155" s="261"/>
      <c r="AD155" s="261"/>
    </row>
    <row r="156">
      <c r="A156" s="48">
        <f t="shared" si="49"/>
        <v>10</v>
      </c>
      <c r="C156" s="48" t="str">
        <f t="array" ref="C156">xlookup($A156,data!$M$2:$M$17,(xlookup(C$146,data!$N$1:$BR$1,data!$N$2:$BR$17)))</f>
        <v>TBD</v>
      </c>
      <c r="D156" s="48" t="str">
        <f t="array" ref="D156">xlookup($A156,data!$M$2:$M$17,(xlookup(D$146,data!$N$1:$BR$1,data!$N$2:$BR$17)))</f>
        <v/>
      </c>
      <c r="E156" s="48" t="str">
        <f t="array" ref="E156">xlookup($A156,data!$M$2:$M$17,(xlookup(E$146,data!$N$1:$BR$1,data!$N$2:$BR$17)))</f>
        <v/>
      </c>
      <c r="F156" s="48" t="str">
        <f t="array" ref="F156">xlookup($A156,data!$M$2:$M$17,(xlookup(F$146,data!$N$1:$BR$1,data!$N$2:$BR$17)))</f>
        <v/>
      </c>
      <c r="G156" s="48">
        <f t="array" ref="G156">xlookup($A156,data!$M$2:$M$17,(xlookup(G$146,data!$N$1:$BR$1,data!$N$2:$BR$17)))</f>
        <v>0</v>
      </c>
      <c r="H156" s="48">
        <f t="array" ref="H156">xlookup($A156,data!$M$2:$M$17,(xlookup(H$146,data!$N$1:$BR$1,data!$N$2:$BR$17)))</f>
        <v>0</v>
      </c>
      <c r="I156" s="48">
        <f t="array" ref="I156">xlookup($A156,data!$M$2:$M$17,(xlookup(I$146,data!$N$1:$BR$1,data!$N$2:$BR$17)))</f>
        <v>0</v>
      </c>
      <c r="J156" s="48">
        <f t="array" ref="J156">xlookup($A156,data!$M$2:$M$17,(xlookup(J$146,data!$N$1:$BR$1,data!$N$2:$BR$17)))</f>
        <v>0</v>
      </c>
      <c r="AC156" s="261"/>
      <c r="AD156" s="261"/>
    </row>
    <row r="157">
      <c r="A157" s="48">
        <f t="shared" si="49"/>
        <v>11</v>
      </c>
      <c r="C157" s="48" t="str">
        <f t="array" ref="C157">xlookup($A157,data!$M$2:$M$17,(xlookup(C$146,data!$N$1:$BR$1,data!$N$2:$BR$17)))</f>
        <v>TBD</v>
      </c>
      <c r="D157" s="48" t="str">
        <f t="array" ref="D157">xlookup($A157,data!$M$2:$M$17,(xlookup(D$146,data!$N$1:$BR$1,data!$N$2:$BR$17)))</f>
        <v/>
      </c>
      <c r="E157" s="48" t="str">
        <f t="array" ref="E157">xlookup($A157,data!$M$2:$M$17,(xlookup(E$146,data!$N$1:$BR$1,data!$N$2:$BR$17)))</f>
        <v/>
      </c>
      <c r="F157" s="48" t="str">
        <f t="array" ref="F157">xlookup($A157,data!$M$2:$M$17,(xlookup(F$146,data!$N$1:$BR$1,data!$N$2:$BR$17)))</f>
        <v/>
      </c>
      <c r="G157" s="48">
        <f t="array" ref="G157">xlookup($A157,data!$M$2:$M$17,(xlookup(G$146,data!$N$1:$BR$1,data!$N$2:$BR$17)))</f>
        <v>0</v>
      </c>
      <c r="H157" s="48">
        <f t="array" ref="H157">xlookup($A157,data!$M$2:$M$17,(xlookup(H$146,data!$N$1:$BR$1,data!$N$2:$BR$17)))</f>
        <v>0</v>
      </c>
      <c r="I157" s="48">
        <f t="array" ref="I157">xlookup($A157,data!$M$2:$M$17,(xlookup(I$146,data!$N$1:$BR$1,data!$N$2:$BR$17)))</f>
        <v>0</v>
      </c>
      <c r="J157" s="48">
        <f t="array" ref="J157">xlookup($A157,data!$M$2:$M$17,(xlookup(J$146,data!$N$1:$BR$1,data!$N$2:$BR$17)))</f>
        <v>0</v>
      </c>
      <c r="AC157" s="261"/>
      <c r="AD157" s="261"/>
    </row>
    <row r="158">
      <c r="A158" s="48">
        <f t="shared" si="49"/>
        <v>12</v>
      </c>
      <c r="C158" s="48" t="str">
        <f t="array" ref="C158">xlookup($A158,data!$M$2:$M$17,(xlookup(C$146,data!$N$1:$BR$1,data!$N$2:$BR$17)))</f>
        <v>TBD</v>
      </c>
      <c r="D158" s="48" t="str">
        <f t="array" ref="D158">xlookup($A158,data!$M$2:$M$17,(xlookup(D$146,data!$N$1:$BR$1,data!$N$2:$BR$17)))</f>
        <v/>
      </c>
      <c r="E158" s="48" t="str">
        <f t="array" ref="E158">xlookup($A158,data!$M$2:$M$17,(xlookup(E$146,data!$N$1:$BR$1,data!$N$2:$BR$17)))</f>
        <v/>
      </c>
      <c r="F158" s="48" t="str">
        <f t="array" ref="F158">xlookup($A158,data!$M$2:$M$17,(xlookup(F$146,data!$N$1:$BR$1,data!$N$2:$BR$17)))</f>
        <v/>
      </c>
      <c r="G158" s="48">
        <f t="array" ref="G158">xlookup($A158,data!$M$2:$M$17,(xlookup(G$146,data!$N$1:$BR$1,data!$N$2:$BR$17)))</f>
        <v>0</v>
      </c>
      <c r="H158" s="48">
        <f t="array" ref="H158">xlookup($A158,data!$M$2:$M$17,(xlookup(H$146,data!$N$1:$BR$1,data!$N$2:$BR$17)))</f>
        <v>0</v>
      </c>
      <c r="I158" s="48">
        <f t="array" ref="I158">xlookup($A158,data!$M$2:$M$17,(xlookup(I$146,data!$N$1:$BR$1,data!$N$2:$BR$17)))</f>
        <v>0</v>
      </c>
      <c r="J158" s="48">
        <f t="array" ref="J158">xlookup($A158,data!$M$2:$M$17,(xlookup(J$146,data!$N$1:$BR$1,data!$N$2:$BR$17)))</f>
        <v>0</v>
      </c>
      <c r="AC158" s="261"/>
      <c r="AD158" s="261"/>
    </row>
    <row r="159">
      <c r="A159" s="48">
        <f t="shared" si="49"/>
        <v>13</v>
      </c>
      <c r="C159" s="48" t="str">
        <f t="array" ref="C159">xlookup($A159,data!$M$2:$M$17,(xlookup(C$146,data!$N$1:$BR$1,data!$N$2:$BR$17)))</f>
        <v>TBD</v>
      </c>
      <c r="D159" s="48" t="str">
        <f t="array" ref="D159">xlookup($A159,data!$M$2:$M$17,(xlookup(D$146,data!$N$1:$BR$1,data!$N$2:$BR$17)))</f>
        <v/>
      </c>
      <c r="E159" s="48" t="str">
        <f t="array" ref="E159">xlookup($A159,data!$M$2:$M$17,(xlookup(E$146,data!$N$1:$BR$1,data!$N$2:$BR$17)))</f>
        <v/>
      </c>
      <c r="F159" s="48" t="str">
        <f t="array" ref="F159">xlookup($A159,data!$M$2:$M$17,(xlookup(F$146,data!$N$1:$BR$1,data!$N$2:$BR$17)))</f>
        <v/>
      </c>
      <c r="G159" s="48">
        <f t="array" ref="G159">xlookup($A159,data!$M$2:$M$17,(xlookup(G$146,data!$N$1:$BR$1,data!$N$2:$BR$17)))</f>
        <v>0</v>
      </c>
      <c r="H159" s="48">
        <f t="array" ref="H159">xlookup($A159,data!$M$2:$M$17,(xlookup(H$146,data!$N$1:$BR$1,data!$N$2:$BR$17)))</f>
        <v>0</v>
      </c>
      <c r="I159" s="48">
        <f t="array" ref="I159">xlookup($A159,data!$M$2:$M$17,(xlookup(I$146,data!$N$1:$BR$1,data!$N$2:$BR$17)))</f>
        <v>0</v>
      </c>
      <c r="J159" s="48">
        <f t="array" ref="J159">xlookup($A159,data!$M$2:$M$17,(xlookup(J$146,data!$N$1:$BR$1,data!$N$2:$BR$17)))</f>
        <v>0</v>
      </c>
      <c r="AC159" s="261"/>
      <c r="AD159" s="261"/>
    </row>
    <row r="160">
      <c r="A160" s="48">
        <f t="shared" si="49"/>
        <v>14</v>
      </c>
      <c r="C160" s="48" t="str">
        <f t="array" ref="C160">xlookup($A160,data!$M$2:$M$17,(xlookup(C$146,data!$N$1:$BR$1,data!$N$2:$BR$17)))</f>
        <v>TBD</v>
      </c>
      <c r="D160" s="48" t="str">
        <f t="array" ref="D160">xlookup($A160,data!$M$2:$M$17,(xlookup(D$146,data!$N$1:$BR$1,data!$N$2:$BR$17)))</f>
        <v/>
      </c>
      <c r="E160" s="48" t="str">
        <f t="array" ref="E160">xlookup($A160,data!$M$2:$M$17,(xlookup(E$146,data!$N$1:$BR$1,data!$N$2:$BR$17)))</f>
        <v/>
      </c>
      <c r="F160" s="48" t="str">
        <f t="array" ref="F160">xlookup($A160,data!$M$2:$M$17,(xlookup(F$146,data!$N$1:$BR$1,data!$N$2:$BR$17)))</f>
        <v/>
      </c>
      <c r="G160" s="48">
        <f t="array" ref="G160">xlookup($A160,data!$M$2:$M$17,(xlookup(G$146,data!$N$1:$BR$1,data!$N$2:$BR$17)))</f>
        <v>0</v>
      </c>
      <c r="H160" s="48">
        <f t="array" ref="H160">xlookup($A160,data!$M$2:$M$17,(xlookup(H$146,data!$N$1:$BR$1,data!$N$2:$BR$17)))</f>
        <v>0</v>
      </c>
      <c r="I160" s="48">
        <f t="array" ref="I160">xlookup($A160,data!$M$2:$M$17,(xlookup(I$146,data!$N$1:$BR$1,data!$N$2:$BR$17)))</f>
        <v>0</v>
      </c>
      <c r="J160" s="48">
        <f t="array" ref="J160">xlookup($A160,data!$M$2:$M$17,(xlookup(J$146,data!$N$1:$BR$1,data!$N$2:$BR$17)))</f>
        <v>0</v>
      </c>
      <c r="AC160" s="261"/>
      <c r="AD160" s="261"/>
    </row>
    <row r="161">
      <c r="A161" s="48">
        <f t="shared" si="49"/>
        <v>15</v>
      </c>
      <c r="C161" s="48" t="str">
        <f t="array" ref="C161">xlookup($A161,data!$M$2:$M$17,(xlookup(C$146,data!$N$1:$BR$1,data!$N$2:$BR$17)))</f>
        <v>TBD</v>
      </c>
      <c r="D161" s="48" t="str">
        <f t="array" ref="D161">xlookup($A161,data!$M$2:$M$17,(xlookup(D$146,data!$N$1:$BR$1,data!$N$2:$BR$17)))</f>
        <v/>
      </c>
      <c r="E161" s="48" t="str">
        <f t="array" ref="E161">xlookup($A161,data!$M$2:$M$17,(xlookup(E$146,data!$N$1:$BR$1,data!$N$2:$BR$17)))</f>
        <v/>
      </c>
      <c r="F161" s="48" t="str">
        <f t="array" ref="F161">xlookup($A161,data!$M$2:$M$17,(xlookup(F$146,data!$N$1:$BR$1,data!$N$2:$BR$17)))</f>
        <v/>
      </c>
      <c r="G161" s="48">
        <f t="array" ref="G161">xlookup($A161,data!$M$2:$M$17,(xlookup(G$146,data!$N$1:$BR$1,data!$N$2:$BR$17)))</f>
        <v>0</v>
      </c>
      <c r="H161" s="48">
        <f t="array" ref="H161">xlookup($A161,data!$M$2:$M$17,(xlookup(H$146,data!$N$1:$BR$1,data!$N$2:$BR$17)))</f>
        <v>0</v>
      </c>
      <c r="I161" s="48">
        <f t="array" ref="I161">xlookup($A161,data!$M$2:$M$17,(xlookup(I$146,data!$N$1:$BR$1,data!$N$2:$BR$17)))</f>
        <v>0</v>
      </c>
      <c r="J161" s="48">
        <f t="array" ref="J161">xlookup($A161,data!$M$2:$M$17,(xlookup(J$146,data!$N$1:$BR$1,data!$N$2:$BR$17)))</f>
        <v>0</v>
      </c>
      <c r="AC161" s="261"/>
      <c r="AD161" s="261"/>
    </row>
    <row r="162">
      <c r="A162" s="48">
        <f t="shared" si="49"/>
        <v>16</v>
      </c>
      <c r="C162" s="48" t="str">
        <f t="array" ref="C162">xlookup($A162,data!$M$2:$M$17,(xlookup(C$146,data!$N$1:$BR$1,data!$N$2:$BR$17)))</f>
        <v>TBD</v>
      </c>
      <c r="D162" s="48" t="str">
        <f t="array" ref="D162">xlookup($A162,data!$M$2:$M$17,(xlookup(D$146,data!$N$1:$BR$1,data!$N$2:$BR$17)))</f>
        <v/>
      </c>
      <c r="E162" s="48" t="str">
        <f t="array" ref="E162">xlookup($A162,data!$M$2:$M$17,(xlookup(E$146,data!$N$1:$BR$1,data!$N$2:$BR$17)))</f>
        <v/>
      </c>
      <c r="F162" s="48" t="str">
        <f t="array" ref="F162">xlookup($A162,data!$M$2:$M$17,(xlookup(F$146,data!$N$1:$BR$1,data!$N$2:$BR$17)))</f>
        <v/>
      </c>
      <c r="G162" s="48">
        <f t="array" ref="G162">xlookup($A162,data!$M$2:$M$17,(xlookup(G$146,data!$N$1:$BR$1,data!$N$2:$BR$17)))</f>
        <v>0</v>
      </c>
      <c r="H162" s="48">
        <f t="array" ref="H162">xlookup($A162,data!$M$2:$M$17,(xlookup(H$146,data!$N$1:$BR$1,data!$N$2:$BR$17)))</f>
        <v>0</v>
      </c>
      <c r="I162" s="48">
        <f t="array" ref="I162">xlookup($A162,data!$M$2:$M$17,(xlookup(I$146,data!$N$1:$BR$1,data!$N$2:$BR$17)))</f>
        <v>0</v>
      </c>
      <c r="J162" s="48">
        <f t="array" ref="J162">xlookup($A162,data!$M$2:$M$17,(xlookup(J$146,data!$N$1:$BR$1,data!$N$2:$BR$17)))</f>
        <v>0</v>
      </c>
      <c r="AC162" s="261"/>
      <c r="AD162" s="261"/>
    </row>
    <row r="163">
      <c r="A163" s="269" t="s">
        <v>37</v>
      </c>
      <c r="AB163" s="47" t="s">
        <v>403</v>
      </c>
      <c r="AC163" s="265" t="str">
        <f>iferror(K176,"")</f>
        <v/>
      </c>
      <c r="AD163" s="268" t="str">
        <f>L176</f>
        <v>#N/A</v>
      </c>
      <c r="AE163" s="48" t="str">
        <f>'Main Event'!CX175</f>
        <v/>
      </c>
      <c r="AF163" s="48" t="str">
        <f>'Main Event'!DB175</f>
        <v/>
      </c>
      <c r="AG163" s="48">
        <f>'Main Event'!CX179</f>
        <v>0</v>
      </c>
      <c r="AH163" s="48">
        <f>'Main Event'!DB179</f>
        <v>0</v>
      </c>
    </row>
    <row r="164">
      <c r="A164" s="37" t="s">
        <v>88</v>
      </c>
      <c r="B164" s="37" t="s">
        <v>327</v>
      </c>
      <c r="C164" s="37" t="s">
        <v>326</v>
      </c>
      <c r="D164" s="37" t="s">
        <v>371</v>
      </c>
      <c r="E164" s="37" t="s">
        <v>381</v>
      </c>
      <c r="F164" s="260" t="s">
        <v>398</v>
      </c>
      <c r="G164" s="261" t="s">
        <v>399</v>
      </c>
      <c r="H164" s="262" t="s">
        <v>400</v>
      </c>
      <c r="I164" s="267" t="s">
        <v>401</v>
      </c>
      <c r="J164" s="47" t="s">
        <v>402</v>
      </c>
      <c r="K164" s="263" t="s">
        <v>394</v>
      </c>
      <c r="AC164" s="265" t="str">
        <f t="shared" ref="AC164:AD164" si="50">K177</f>
        <v>#N/A</v>
      </c>
      <c r="AD164" s="268" t="str">
        <f t="shared" si="50"/>
        <v>#N/A</v>
      </c>
      <c r="AE164" s="48" t="str">
        <f>'Main Event'!CX182</f>
        <v/>
      </c>
      <c r="AF164" s="48" t="str">
        <f>'Main Event'!DB182</f>
        <v/>
      </c>
      <c r="AG164" s="48">
        <f>'Main Event'!CX186</f>
        <v>0</v>
      </c>
      <c r="AH164" s="48">
        <f>'Main Event'!DB186</f>
        <v>0</v>
      </c>
    </row>
    <row r="165">
      <c r="A165" s="48" t="str">
        <f>IFERROR(__xludf.DUMMYFUNCTION("sort(filter(A147:J162,I147:I162=2),6,true,8,false,10,false)"),"#N/A")</f>
        <v>#N/A</v>
      </c>
      <c r="K165" s="47">
        <v>1.0</v>
      </c>
      <c r="AC165" s="268" t="str">
        <f t="shared" ref="AC165:AD165" si="51">K178</f>
        <v>#N/A</v>
      </c>
      <c r="AD165" s="268" t="str">
        <f t="shared" si="51"/>
        <v>#N/A</v>
      </c>
      <c r="AE165" s="48" t="str">
        <f>'Main Event'!CX189</f>
        <v/>
      </c>
      <c r="AF165" s="48" t="str">
        <f>'Main Event'!DB189</f>
        <v/>
      </c>
      <c r="AG165" s="48">
        <f>'Main Event'!CX193</f>
        <v>0</v>
      </c>
      <c r="AH165" s="48">
        <f>'Main Event'!DB193</f>
        <v>0</v>
      </c>
    </row>
    <row r="166">
      <c r="K166" s="47">
        <v>2.0</v>
      </c>
      <c r="AC166" s="268" t="str">
        <f t="shared" ref="AC166:AC168" si="52">AD163</f>
        <v>#N/A</v>
      </c>
      <c r="AD166" s="265" t="str">
        <f t="shared" ref="AD166:AD168" si="53">AC163</f>
        <v/>
      </c>
      <c r="AE166" s="48" t="str">
        <f t="shared" ref="AE166:AE168" si="54">AF163</f>
        <v/>
      </c>
      <c r="AF166" s="48" t="str">
        <f t="shared" ref="AF166:AF168" si="55">AE163</f>
        <v/>
      </c>
      <c r="AG166" s="48">
        <f t="shared" ref="AG166:AG168" si="56">AH163</f>
        <v>0</v>
      </c>
      <c r="AH166" s="48">
        <f t="shared" ref="AH166:AH168" si="57">AG163</f>
        <v>0</v>
      </c>
    </row>
    <row r="167">
      <c r="K167" s="47">
        <v>3.0</v>
      </c>
      <c r="AC167" s="268" t="str">
        <f t="shared" si="52"/>
        <v>#N/A</v>
      </c>
      <c r="AD167" s="265" t="str">
        <f t="shared" si="53"/>
        <v>#N/A</v>
      </c>
      <c r="AE167" s="48" t="str">
        <f t="shared" si="54"/>
        <v/>
      </c>
      <c r="AF167" s="48" t="str">
        <f t="shared" si="55"/>
        <v/>
      </c>
      <c r="AG167" s="48">
        <f t="shared" si="56"/>
        <v>0</v>
      </c>
      <c r="AH167" s="48">
        <f t="shared" si="57"/>
        <v>0</v>
      </c>
    </row>
    <row r="168">
      <c r="K168" s="47">
        <v>4.0</v>
      </c>
      <c r="AC168" s="268" t="str">
        <f t="shared" si="52"/>
        <v>#N/A</v>
      </c>
      <c r="AD168" s="268" t="str">
        <f t="shared" si="53"/>
        <v>#N/A</v>
      </c>
      <c r="AE168" s="48" t="str">
        <f t="shared" si="54"/>
        <v/>
      </c>
      <c r="AF168" s="48" t="str">
        <f t="shared" si="55"/>
        <v/>
      </c>
      <c r="AG168" s="48">
        <f t="shared" si="56"/>
        <v>0</v>
      </c>
      <c r="AH168" s="48">
        <f t="shared" si="57"/>
        <v>0</v>
      </c>
    </row>
    <row r="169">
      <c r="K169" s="47">
        <v>5.0</v>
      </c>
      <c r="AB169" s="47" t="s">
        <v>404</v>
      </c>
      <c r="AC169" s="261" t="str">
        <f>iferror(K239,"")</f>
        <v/>
      </c>
      <c r="AD169" s="268" t="str">
        <f>L239</f>
        <v>#N/A</v>
      </c>
      <c r="AE169" s="48" t="str">
        <f>'Main Event'!FJ175</f>
        <v/>
      </c>
      <c r="AF169" s="48" t="str">
        <f>'Main Event'!FN175</f>
        <v/>
      </c>
      <c r="AG169" s="48">
        <f>'Main Event'!FJ179</f>
        <v>0</v>
      </c>
      <c r="AH169" s="48">
        <f>'Main Event'!FN179</f>
        <v>0</v>
      </c>
    </row>
    <row r="170">
      <c r="K170" s="47">
        <v>6.0</v>
      </c>
      <c r="AC170" s="268" t="str">
        <f t="shared" ref="AC170:AD170" si="58">K240</f>
        <v>#N/A</v>
      </c>
      <c r="AD170" s="268" t="str">
        <f t="shared" si="58"/>
        <v>#N/A</v>
      </c>
      <c r="AE170" s="48" t="str">
        <f>'Main Event'!FJ182</f>
        <v/>
      </c>
      <c r="AF170" s="48" t="str">
        <f>'Main Event'!FN182</f>
        <v/>
      </c>
      <c r="AG170" s="48">
        <f>'Main Event'!FJ186</f>
        <v>0</v>
      </c>
      <c r="AH170" s="48">
        <f>'Main Event'!FN186</f>
        <v>0</v>
      </c>
    </row>
    <row r="171">
      <c r="A171" s="37"/>
      <c r="B171" s="37"/>
      <c r="C171" s="37" t="s">
        <v>394</v>
      </c>
      <c r="D171" s="37" t="s">
        <v>405</v>
      </c>
      <c r="E171" s="37" t="s">
        <v>406</v>
      </c>
      <c r="F171" s="37"/>
      <c r="G171" s="37"/>
      <c r="H171" s="37"/>
      <c r="I171" s="37"/>
      <c r="J171" s="37"/>
      <c r="K171" s="37"/>
      <c r="L171" s="37"/>
      <c r="M171" s="37"/>
      <c r="N171" s="37"/>
      <c r="O171" s="37"/>
      <c r="P171" s="37"/>
      <c r="Q171" s="37"/>
      <c r="AC171" s="268" t="str">
        <f t="shared" ref="AC171:AD171" si="59">K241</f>
        <v>#N/A</v>
      </c>
      <c r="AD171" s="268" t="str">
        <f t="shared" si="59"/>
        <v>#N/A</v>
      </c>
      <c r="AE171" s="48" t="str">
        <f>'Main Event'!FJ189</f>
        <v/>
      </c>
      <c r="AF171" s="48" t="str">
        <f>'Main Event'!FN189</f>
        <v/>
      </c>
      <c r="AG171" s="48">
        <f>'Main Event'!FJ193</f>
        <v>0</v>
      </c>
      <c r="AH171" s="48">
        <f>'Main Event'!FN193</f>
        <v>0</v>
      </c>
    </row>
    <row r="172">
      <c r="A172" s="270" t="str">
        <f t="shared" ref="A172:A177" si="60">A165</f>
        <v>#N/A</v>
      </c>
      <c r="B172" s="37" t="str">
        <f t="shared" ref="B172:B177" si="61">C165</f>
        <v/>
      </c>
      <c r="C172" s="270">
        <f t="shared" ref="C172:C177" si="62">K165</f>
        <v>1</v>
      </c>
      <c r="D172" s="37" t="str">
        <f t="array" ref="D172">xlookup(D165,A165:A170,K165:K170,"")</f>
        <v/>
      </c>
      <c r="E172" s="270" t="str">
        <f t="array" ref="E172">xlookup(E165,A165:A170,K165:K170,"")</f>
        <v/>
      </c>
      <c r="F172" s="37"/>
      <c r="G172" s="37"/>
      <c r="H172" s="37"/>
      <c r="I172" s="37"/>
      <c r="J172" s="37"/>
      <c r="K172" s="37"/>
      <c r="L172" s="37"/>
      <c r="M172" s="37"/>
      <c r="N172" s="37"/>
      <c r="O172" s="37"/>
      <c r="P172" s="37"/>
      <c r="Q172" s="37"/>
      <c r="AC172" s="268" t="str">
        <f t="shared" ref="AC172:AC174" si="63">AD169</f>
        <v>#N/A</v>
      </c>
      <c r="AD172" s="261" t="str">
        <f t="shared" ref="AD172:AD174" si="64">AC169</f>
        <v/>
      </c>
      <c r="AE172" s="48" t="str">
        <f t="shared" ref="AE172:AE174" si="65">AF169</f>
        <v/>
      </c>
      <c r="AF172" s="48" t="str">
        <f t="shared" ref="AF172:AF174" si="66">AE169</f>
        <v/>
      </c>
      <c r="AG172" s="48">
        <f t="shared" ref="AG172:AG174" si="67">AH169</f>
        <v>0</v>
      </c>
      <c r="AH172" s="48">
        <f t="shared" ref="AH172:AH174" si="68">AG169</f>
        <v>0</v>
      </c>
    </row>
    <row r="173">
      <c r="A173" s="270" t="str">
        <f t="shared" si="60"/>
        <v/>
      </c>
      <c r="B173" s="37" t="str">
        <f t="shared" si="61"/>
        <v/>
      </c>
      <c r="C173" s="270">
        <f t="shared" si="62"/>
        <v>2</v>
      </c>
      <c r="D173" s="37" t="str">
        <f t="array" ref="D173">xlookup(D166,A165:A170,K165:K170,"")</f>
        <v/>
      </c>
      <c r="E173" s="270" t="str">
        <f t="array" ref="E173">xlookup(E166,A165:A170,K165:K170,"")</f>
        <v/>
      </c>
      <c r="F173" s="37"/>
      <c r="G173" s="37"/>
      <c r="H173" s="37"/>
      <c r="I173" s="37"/>
      <c r="J173" s="37"/>
      <c r="K173" s="37"/>
      <c r="L173" s="37"/>
      <c r="M173" s="37"/>
      <c r="N173" s="37"/>
      <c r="O173" s="37"/>
      <c r="P173" s="37"/>
      <c r="Q173" s="37"/>
      <c r="AC173" s="268" t="str">
        <f t="shared" si="63"/>
        <v>#N/A</v>
      </c>
      <c r="AD173" s="268" t="str">
        <f t="shared" si="64"/>
        <v>#N/A</v>
      </c>
      <c r="AE173" s="48" t="str">
        <f t="shared" si="65"/>
        <v/>
      </c>
      <c r="AF173" s="48" t="str">
        <f t="shared" si="66"/>
        <v/>
      </c>
      <c r="AG173" s="48">
        <f t="shared" si="67"/>
        <v>0</v>
      </c>
      <c r="AH173" s="48">
        <f t="shared" si="68"/>
        <v>0</v>
      </c>
    </row>
    <row r="174">
      <c r="A174" s="270" t="str">
        <f t="shared" si="60"/>
        <v/>
      </c>
      <c r="B174" s="37" t="str">
        <f t="shared" si="61"/>
        <v/>
      </c>
      <c r="C174" s="270">
        <f t="shared" si="62"/>
        <v>3</v>
      </c>
      <c r="D174" s="37" t="str">
        <f t="array" ref="D174">xlookup(D167,A165:A170,K165:K170,"")</f>
        <v/>
      </c>
      <c r="E174" s="270" t="str">
        <f t="array" ref="E174">xlookup(E167,A165:A170,K165:K170,"")</f>
        <v/>
      </c>
      <c r="F174" s="37"/>
      <c r="G174" s="37"/>
      <c r="H174" s="37"/>
      <c r="I174" s="37"/>
      <c r="J174" s="37"/>
      <c r="K174" s="37"/>
      <c r="L174" s="37"/>
      <c r="M174" s="37"/>
      <c r="N174" s="37"/>
      <c r="O174" s="37"/>
      <c r="P174" s="37"/>
      <c r="Q174" s="37"/>
      <c r="AC174" s="268" t="str">
        <f t="shared" si="63"/>
        <v>#N/A</v>
      </c>
      <c r="AD174" s="268" t="str">
        <f t="shared" si="64"/>
        <v>#N/A</v>
      </c>
      <c r="AE174" s="48" t="str">
        <f t="shared" si="65"/>
        <v/>
      </c>
      <c r="AF174" s="48" t="str">
        <f t="shared" si="66"/>
        <v/>
      </c>
      <c r="AG174" s="48">
        <f t="shared" si="67"/>
        <v>0</v>
      </c>
      <c r="AH174" s="48">
        <f t="shared" si="68"/>
        <v>0</v>
      </c>
    </row>
    <row r="175">
      <c r="A175" s="270" t="str">
        <f t="shared" si="60"/>
        <v/>
      </c>
      <c r="B175" s="37" t="str">
        <f t="shared" si="61"/>
        <v/>
      </c>
      <c r="C175" s="270">
        <f t="shared" si="62"/>
        <v>4</v>
      </c>
      <c r="D175" s="37" t="str">
        <f t="array" ref="D175">xlookup(D168,A165:A170,K165:K170,"")</f>
        <v/>
      </c>
      <c r="E175" s="270" t="str">
        <f t="array" ref="E175">xlookup(E168,A165:A170,K165:K170,"")</f>
        <v/>
      </c>
      <c r="F175" s="37"/>
      <c r="G175" s="37"/>
      <c r="H175" s="37"/>
      <c r="I175" s="37"/>
      <c r="J175" s="37"/>
      <c r="K175" s="37"/>
      <c r="L175" s="37"/>
      <c r="M175" s="37"/>
      <c r="N175" s="37"/>
      <c r="O175" s="37"/>
      <c r="P175" s="37"/>
      <c r="Q175" s="37"/>
      <c r="AC175" s="261"/>
      <c r="AD175" s="261"/>
    </row>
    <row r="176">
      <c r="A176" s="270" t="str">
        <f t="shared" si="60"/>
        <v/>
      </c>
      <c r="B176" s="37" t="str">
        <f t="shared" si="61"/>
        <v/>
      </c>
      <c r="C176" s="270">
        <f t="shared" si="62"/>
        <v>5</v>
      </c>
      <c r="D176" s="37" t="str">
        <f t="array" ref="D176">xlookup(D169,A165:A170,K165:K170,"")</f>
        <v/>
      </c>
      <c r="E176" s="270" t="str">
        <f t="array" ref="E176">xlookup(E169,A165:A170,K165:K170,"")</f>
        <v/>
      </c>
      <c r="F176" s="37"/>
      <c r="G176" s="37"/>
      <c r="H176" s="37"/>
      <c r="I176" s="37"/>
      <c r="J176" s="37"/>
      <c r="K176" s="271" t="str">
        <f t="array" ref="K176:L178">'Choose matchups (Main)'!Q64:R66</f>
        <v>#N/A</v>
      </c>
      <c r="L176" s="271" t="e">
        <v>#N/A</v>
      </c>
      <c r="M176" s="37"/>
      <c r="N176" s="37"/>
      <c r="O176" s="37"/>
      <c r="P176" s="37"/>
      <c r="Q176" s="37"/>
      <c r="AC176" s="261"/>
      <c r="AD176" s="261"/>
    </row>
    <row r="177">
      <c r="A177" s="270" t="str">
        <f t="shared" si="60"/>
        <v/>
      </c>
      <c r="B177" s="37" t="str">
        <f t="shared" si="61"/>
        <v/>
      </c>
      <c r="C177" s="270">
        <f t="shared" si="62"/>
        <v>6</v>
      </c>
      <c r="D177" s="37" t="str">
        <f t="array" ref="D177">xlookup(D170,A165:A170,K165:K170,"")</f>
        <v/>
      </c>
      <c r="E177" s="270" t="str">
        <f t="array" ref="E177">xlookup(E170,A165:A170,K165:K170,"")</f>
        <v/>
      </c>
      <c r="F177" s="37"/>
      <c r="G177" s="37"/>
      <c r="H177" s="37"/>
      <c r="I177" s="37"/>
      <c r="J177" s="37"/>
      <c r="K177" s="271" t="e">
        <v>#N/A</v>
      </c>
      <c r="L177" s="271" t="e">
        <v>#N/A</v>
      </c>
      <c r="M177" s="37"/>
      <c r="N177" s="37"/>
      <c r="O177" s="37"/>
      <c r="P177" s="37"/>
      <c r="Q177" s="37"/>
      <c r="AC177" s="261"/>
      <c r="AD177" s="261"/>
    </row>
    <row r="178">
      <c r="A178" s="37"/>
      <c r="B178" s="37"/>
      <c r="C178" s="37"/>
      <c r="D178" s="37"/>
      <c r="E178" s="37"/>
      <c r="F178" s="37"/>
      <c r="G178" s="37"/>
      <c r="H178" s="37"/>
      <c r="I178" s="37"/>
      <c r="J178" s="37"/>
      <c r="K178" s="271" t="e">
        <v>#N/A</v>
      </c>
      <c r="L178" s="271" t="e">
        <v>#N/A</v>
      </c>
      <c r="M178" s="37"/>
      <c r="N178" s="37"/>
      <c r="O178" s="37"/>
      <c r="P178" s="37"/>
      <c r="Q178" s="37"/>
      <c r="AC178" s="261"/>
      <c r="AD178" s="261"/>
    </row>
    <row r="179" collapsed="1">
      <c r="A179" s="37" t="s">
        <v>407</v>
      </c>
      <c r="B179" s="37"/>
      <c r="C179" s="37"/>
      <c r="D179" s="37"/>
      <c r="E179" s="37"/>
      <c r="F179" s="37"/>
      <c r="G179" s="37"/>
      <c r="H179" s="37"/>
      <c r="I179" s="37"/>
      <c r="J179" s="37"/>
      <c r="K179" s="37"/>
      <c r="L179" s="37"/>
      <c r="M179" s="37"/>
      <c r="N179" s="37"/>
      <c r="O179" s="37"/>
      <c r="P179" s="37"/>
      <c r="Q179" s="37"/>
      <c r="AC179" s="261"/>
      <c r="AD179" s="261"/>
    </row>
    <row r="180" hidden="1" outlineLevel="1">
      <c r="A180" s="270">
        <v>1.0</v>
      </c>
      <c r="B180" s="270">
        <v>6.0</v>
      </c>
      <c r="C180" s="270">
        <f t="array" ref="C180">if(or(xlookup(A180,C172:C177,D172:D177)=B180,xlookup(A180,C172:C177,E172:E177)=B180),1,0)</f>
        <v>0</v>
      </c>
      <c r="D180" s="37"/>
      <c r="E180" s="270">
        <v>1.0</v>
      </c>
      <c r="F180" s="270">
        <v>6.0</v>
      </c>
      <c r="G180" s="270">
        <f t="array" ref="G180">if(or(xlookup(E180,C172:C177,D172:D177)=F180,xlookup(E180,C172:C177,E172:E177)=F180),1,0)</f>
        <v>0</v>
      </c>
      <c r="H180" s="37"/>
      <c r="I180" s="270">
        <v>1.0</v>
      </c>
      <c r="J180" s="270">
        <v>6.0</v>
      </c>
      <c r="K180" s="270">
        <f t="array" ref="K180">if(or(xlookup(I180,C172:C177,D172:D177)=J180,xlookup(I180,C172:C177,E172:E177)=J180),1,0)</f>
        <v>0</v>
      </c>
      <c r="L180" s="37"/>
      <c r="M180" s="270">
        <v>1.0</v>
      </c>
      <c r="N180" s="270">
        <f>C183</f>
        <v>0</v>
      </c>
      <c r="O180" s="270">
        <f t="array" ref="O180:Q180">TRANSPOSE(B180:B182)</f>
        <v>6</v>
      </c>
      <c r="P180" s="270">
        <v>5.0</v>
      </c>
      <c r="Q180" s="270">
        <v>4.0</v>
      </c>
      <c r="AC180" s="261"/>
      <c r="AD180" s="261"/>
    </row>
    <row r="181" hidden="1" outlineLevel="1">
      <c r="A181" s="270">
        <v>2.0</v>
      </c>
      <c r="B181" s="270">
        <v>5.0</v>
      </c>
      <c r="C181" s="270">
        <f t="array" ref="C181">if(or(xlookup(A181,C172:C177,D172:D177)=B181,xlookup(A181,C172:C177,E172:E177)=B181),1,0)</f>
        <v>0</v>
      </c>
      <c r="D181" s="37"/>
      <c r="E181" s="270">
        <v>2.0</v>
      </c>
      <c r="F181" s="270">
        <v>5.0</v>
      </c>
      <c r="G181" s="270">
        <f t="array" ref="G181">if(or(xlookup(E181,C172:C177,D172:D177)=F181,xlookup(E181,C172:C177,E172:E177)=F181),1,0)</f>
        <v>0</v>
      </c>
      <c r="H181" s="37"/>
      <c r="I181" s="270">
        <v>2.0</v>
      </c>
      <c r="J181" s="270">
        <v>4.0</v>
      </c>
      <c r="K181" s="270">
        <f t="array" ref="K181">if(or(xlookup(I181,C172:C177,D172:D177)=J181,xlookup(I181,C172:C177,E172:E177)=J181),1,0)</f>
        <v>0</v>
      </c>
      <c r="L181" s="37"/>
      <c r="M181" s="270">
        <f t="shared" ref="M181:M197" si="69">M180+1</f>
        <v>2</v>
      </c>
      <c r="N181" s="270">
        <f>C187</f>
        <v>0</v>
      </c>
      <c r="O181" s="270">
        <f t="array" ref="O181:Q181">TRANSPOSE(B184:B186)</f>
        <v>6</v>
      </c>
      <c r="P181" s="270">
        <v>4.0</v>
      </c>
      <c r="Q181" s="270">
        <v>5.0</v>
      </c>
      <c r="AC181" s="261"/>
      <c r="AD181" s="261"/>
    </row>
    <row r="182" hidden="1" outlineLevel="1">
      <c r="A182" s="270">
        <v>3.0</v>
      </c>
      <c r="B182" s="270">
        <v>4.0</v>
      </c>
      <c r="C182" s="270">
        <f t="array" ref="C182">if(or(xlookup(A182,C172:C177,D172:D177)=B182,xlookup(A182,C172:C177,E172:E177)=B182),1,0)</f>
        <v>0</v>
      </c>
      <c r="D182" s="37"/>
      <c r="E182" s="270">
        <v>4.0</v>
      </c>
      <c r="F182" s="270">
        <v>3.0</v>
      </c>
      <c r="G182" s="270">
        <f t="array" ref="G182">if(or(xlookup(E182,C172:C177,D172:D177)=F182,xlookup(E182,C172:C177,E172:E177)=F182),1,0)</f>
        <v>0</v>
      </c>
      <c r="H182" s="37"/>
      <c r="I182" s="270">
        <v>5.0</v>
      </c>
      <c r="J182" s="270">
        <v>3.0</v>
      </c>
      <c r="K182" s="270">
        <f t="array" ref="K182">if(or(xlookup(I182,C172:C177,D172:D177)=J182,xlookup(I182,C172:C177,E172:E177)=J182),1,0)</f>
        <v>0</v>
      </c>
      <c r="L182" s="37"/>
      <c r="M182" s="270">
        <f t="shared" si="69"/>
        <v>3</v>
      </c>
      <c r="N182" s="270">
        <f>C191</f>
        <v>0</v>
      </c>
      <c r="O182" s="270">
        <f t="array" ref="O182:Q182">TRANSPOSE(B188:B190)</f>
        <v>5</v>
      </c>
      <c r="P182" s="270">
        <v>6.0</v>
      </c>
      <c r="Q182" s="270">
        <v>4.0</v>
      </c>
      <c r="AC182" s="261"/>
      <c r="AD182" s="261"/>
    </row>
    <row r="183" hidden="1" outlineLevel="1">
      <c r="A183" s="37"/>
      <c r="B183" s="37"/>
      <c r="C183" s="272">
        <f>SUM(C180:C182)</f>
        <v>0</v>
      </c>
      <c r="D183" s="37"/>
      <c r="E183" s="37"/>
      <c r="F183" s="37"/>
      <c r="G183" s="272">
        <f>SUM(G180:G182)</f>
        <v>0</v>
      </c>
      <c r="H183" s="37"/>
      <c r="I183" s="37"/>
      <c r="J183" s="37"/>
      <c r="K183" s="272">
        <f>SUM(K180:K182)</f>
        <v>0</v>
      </c>
      <c r="L183" s="37"/>
      <c r="M183" s="270">
        <f t="shared" si="69"/>
        <v>4</v>
      </c>
      <c r="N183" s="270">
        <f>C195</f>
        <v>0</v>
      </c>
      <c r="O183" s="270">
        <f t="array" ref="O183:Q183">TRANSPOSE(B192:B194)</f>
        <v>5</v>
      </c>
      <c r="P183" s="270">
        <v>4.0</v>
      </c>
      <c r="Q183" s="270">
        <v>6.0</v>
      </c>
      <c r="AC183" s="261"/>
      <c r="AD183" s="261"/>
    </row>
    <row r="184" hidden="1" outlineLevel="1">
      <c r="A184" s="270">
        <v>1.0</v>
      </c>
      <c r="B184" s="270">
        <v>6.0</v>
      </c>
      <c r="C184" s="270">
        <f t="array" ref="C184">if(or(xlookup(A184,C172:C177,D172:D177)=B184,xlookup(A184,C172:C177,E172:E177)=B184),1,0)</f>
        <v>0</v>
      </c>
      <c r="D184" s="37"/>
      <c r="E184" s="270">
        <v>1.0</v>
      </c>
      <c r="F184" s="270">
        <v>6.0</v>
      </c>
      <c r="G184" s="270">
        <f t="array" ref="G184">if(or(xlookup(E184,C172:C177,D172:D177)=F184,xlookup(E184,C172:C177,E172:E177)=F184),1,0)</f>
        <v>0</v>
      </c>
      <c r="H184" s="37"/>
      <c r="I184" s="270">
        <v>1.0</v>
      </c>
      <c r="J184" s="270">
        <v>6.0</v>
      </c>
      <c r="K184" s="270">
        <f t="array" ref="K184">if(or(xlookup(I184,C172:C177,D172:D177)=J184,xlookup(I184,C172:C177,E172:E177)=J184),1,0)</f>
        <v>0</v>
      </c>
      <c r="L184" s="37"/>
      <c r="M184" s="270">
        <f t="shared" si="69"/>
        <v>5</v>
      </c>
      <c r="N184" s="270">
        <f>C199</f>
        <v>0</v>
      </c>
      <c r="O184" s="270">
        <f t="array" ref="O184:Q184">TRANSPOSE(B196:B198)</f>
        <v>4</v>
      </c>
      <c r="P184" s="270">
        <v>6.0</v>
      </c>
      <c r="Q184" s="270">
        <v>5.0</v>
      </c>
      <c r="AC184" s="261"/>
      <c r="AD184" s="261"/>
    </row>
    <row r="185" hidden="1" outlineLevel="1">
      <c r="A185" s="270">
        <v>2.0</v>
      </c>
      <c r="B185" s="270">
        <v>4.0</v>
      </c>
      <c r="C185" s="270">
        <f t="array" ref="C185">if(or(xlookup(A185,C172:C177,D172:D177)=B185,xlookup(A185,C172:C177,E172:E177)=B185),1,0)</f>
        <v>0</v>
      </c>
      <c r="D185" s="37"/>
      <c r="E185" s="270">
        <v>2.0</v>
      </c>
      <c r="F185" s="270">
        <v>3.0</v>
      </c>
      <c r="G185" s="270">
        <f t="array" ref="G185">if(or(xlookup(E185,C172:C177,D172:D177)=F185,xlookup(E185,C172:C177,E172:E177)=F185),1,0)</f>
        <v>0</v>
      </c>
      <c r="H185" s="37"/>
      <c r="I185" s="270">
        <v>2.0</v>
      </c>
      <c r="J185" s="270">
        <v>3.0</v>
      </c>
      <c r="K185" s="270">
        <f t="array" ref="K185">if(or(xlookup(I185,C172:C177,D172:D177)=J185,xlookup(I185,C172:C177,E172:E177)=J185),1,0)</f>
        <v>0</v>
      </c>
      <c r="L185" s="37"/>
      <c r="M185" s="270">
        <f t="shared" si="69"/>
        <v>6</v>
      </c>
      <c r="N185" s="270">
        <f>C203</f>
        <v>0</v>
      </c>
      <c r="O185" s="270">
        <f t="array" ref="O185:Q185">TRANSPOSE(B200:B202)</f>
        <v>4</v>
      </c>
      <c r="P185" s="270">
        <v>5.0</v>
      </c>
      <c r="Q185" s="270">
        <v>6.0</v>
      </c>
      <c r="AC185" s="261"/>
      <c r="AD185" s="261"/>
    </row>
    <row r="186" hidden="1" outlineLevel="1">
      <c r="A186" s="270">
        <v>3.0</v>
      </c>
      <c r="B186" s="270">
        <v>5.0</v>
      </c>
      <c r="C186" s="270">
        <f t="array" ref="C186">if(or(xlookup(A186,C172:C177,D172:D177)=B186,xlookup(A186,C172:C177,E172:E177)=B186),1,0)</f>
        <v>0</v>
      </c>
      <c r="D186" s="37"/>
      <c r="E186" s="270">
        <v>4.0</v>
      </c>
      <c r="F186" s="270">
        <v>5.0</v>
      </c>
      <c r="G186" s="270">
        <f t="array" ref="G186">if(or(xlookup(E186,C172:C177,D172:D177)=F186,xlookup(E186,C172:C177,E172:E177)=F186),1,0)</f>
        <v>0</v>
      </c>
      <c r="H186" s="37"/>
      <c r="I186" s="270">
        <v>5.0</v>
      </c>
      <c r="J186" s="270">
        <v>4.0</v>
      </c>
      <c r="K186" s="270">
        <f t="array" ref="K186">if(or(xlookup(I186,C172:C177,D172:D177)=J186,xlookup(I186,C172:C177,E172:E177)=J186),1,0)</f>
        <v>0</v>
      </c>
      <c r="L186" s="37"/>
      <c r="M186" s="270">
        <f t="shared" si="69"/>
        <v>7</v>
      </c>
      <c r="N186" s="270">
        <f>G183</f>
        <v>0</v>
      </c>
      <c r="O186" s="270">
        <f t="array" ref="O186:Q186">TRANSPOSE(F180:F182)</f>
        <v>6</v>
      </c>
      <c r="P186" s="270">
        <v>5.0</v>
      </c>
      <c r="Q186" s="270">
        <v>3.0</v>
      </c>
      <c r="AC186" s="261"/>
      <c r="AD186" s="261"/>
    </row>
    <row r="187" hidden="1" outlineLevel="1">
      <c r="A187" s="37"/>
      <c r="B187" s="37"/>
      <c r="C187" s="272">
        <f>SUM(C184:C186)</f>
        <v>0</v>
      </c>
      <c r="D187" s="37"/>
      <c r="E187" s="37"/>
      <c r="F187" s="37"/>
      <c r="G187" s="272">
        <f>SUM(G184:G186)</f>
        <v>0</v>
      </c>
      <c r="H187" s="37"/>
      <c r="I187" s="37"/>
      <c r="J187" s="37"/>
      <c r="K187" s="272">
        <f>SUM(K184:K186)</f>
        <v>0</v>
      </c>
      <c r="L187" s="37"/>
      <c r="M187" s="270">
        <f t="shared" si="69"/>
        <v>8</v>
      </c>
      <c r="N187" s="270">
        <f>G187</f>
        <v>0</v>
      </c>
      <c r="O187" s="270">
        <f t="array" ref="O187:Q187">TRANSPOSE(F184:F186)</f>
        <v>6</v>
      </c>
      <c r="P187" s="270">
        <v>3.0</v>
      </c>
      <c r="Q187" s="270">
        <v>5.0</v>
      </c>
      <c r="AC187" s="261"/>
      <c r="AD187" s="261"/>
    </row>
    <row r="188" hidden="1" outlineLevel="1">
      <c r="A188" s="270">
        <v>1.0</v>
      </c>
      <c r="B188" s="270">
        <v>5.0</v>
      </c>
      <c r="C188" s="270">
        <f t="array" ref="C188">if(or(xlookup(A188,C172:C177,D172:D177)=B188,xlookup(A188,C172:C177,E172:E177)=B188),1,0)</f>
        <v>0</v>
      </c>
      <c r="D188" s="37"/>
      <c r="E188" s="270">
        <v>1.0</v>
      </c>
      <c r="F188" s="270">
        <v>5.0</v>
      </c>
      <c r="G188" s="270">
        <f t="array" ref="G188">if(or(xlookup(E188,C172:C177,D172:D177)=F188,xlookup(E188,C172:C177,E172:E177)=F188),1,0)</f>
        <v>0</v>
      </c>
      <c r="H188" s="37"/>
      <c r="I188" s="270">
        <v>1.0</v>
      </c>
      <c r="J188" s="270">
        <v>4.0</v>
      </c>
      <c r="K188" s="270">
        <f t="array" ref="K188">if(or(xlookup(I188,C172:C177,D172:D177)=J188,xlookup(I188,C172:C177,E172:E177)=J188),1,0)</f>
        <v>0</v>
      </c>
      <c r="L188" s="37"/>
      <c r="M188" s="270">
        <f t="shared" si="69"/>
        <v>9</v>
      </c>
      <c r="N188" s="270">
        <f>G191</f>
        <v>0</v>
      </c>
      <c r="O188" s="270">
        <f t="array" ref="O188:Q188">TRANSPOSE(F188:F190)</f>
        <v>5</v>
      </c>
      <c r="P188" s="270">
        <v>6.0</v>
      </c>
      <c r="Q188" s="270">
        <v>3.0</v>
      </c>
      <c r="AC188" s="261"/>
      <c r="AD188" s="261"/>
    </row>
    <row r="189" hidden="1" outlineLevel="1">
      <c r="A189" s="270">
        <v>2.0</v>
      </c>
      <c r="B189" s="270">
        <v>6.0</v>
      </c>
      <c r="C189" s="270">
        <f t="array" ref="C189">if(or(xlookup(A189,C172:C177,D172:D177)=B189,xlookup(A189,C172:C177,E172:E177)=B189),1,0)</f>
        <v>0</v>
      </c>
      <c r="D189" s="37"/>
      <c r="E189" s="270">
        <v>2.0</v>
      </c>
      <c r="F189" s="270">
        <v>6.0</v>
      </c>
      <c r="G189" s="270">
        <f t="array" ref="G189">if(or(xlookup(E189,C172:C177,D172:D177)=F189,xlookup(E189,C172:C177,E172:E177)=F189),1,0)</f>
        <v>0</v>
      </c>
      <c r="H189" s="37"/>
      <c r="I189" s="270">
        <v>2.0</v>
      </c>
      <c r="J189" s="270">
        <v>6.0</v>
      </c>
      <c r="K189" s="270">
        <f t="array" ref="K189">if(or(xlookup(I189,C172:C177,D172:D177)=J189,xlookup(I189,C172:C177,E172:E177)=J189),1,0)</f>
        <v>0</v>
      </c>
      <c r="L189" s="37"/>
      <c r="M189" s="270">
        <f t="shared" si="69"/>
        <v>10</v>
      </c>
      <c r="N189" s="270">
        <f>G195</f>
        <v>0</v>
      </c>
      <c r="O189" s="270">
        <f t="array" ref="O189:Q189">TRANSPOSE(F192:F194)</f>
        <v>5</v>
      </c>
      <c r="P189" s="270">
        <v>3.0</v>
      </c>
      <c r="Q189" s="270">
        <v>6.0</v>
      </c>
      <c r="AC189" s="261"/>
      <c r="AD189" s="261"/>
    </row>
    <row r="190" hidden="1" outlineLevel="1">
      <c r="A190" s="270">
        <v>3.0</v>
      </c>
      <c r="B190" s="270">
        <v>4.0</v>
      </c>
      <c r="C190" s="270">
        <f t="array" ref="C190">if(or(xlookup(A190,C172:C177,D172:D177)=B190,xlookup(A190,C172:C177,E172:E177)=B190),1,0)</f>
        <v>0</v>
      </c>
      <c r="D190" s="37"/>
      <c r="E190" s="270">
        <v>4.0</v>
      </c>
      <c r="F190" s="270">
        <v>3.0</v>
      </c>
      <c r="G190" s="270">
        <f t="array" ref="G190">if(or(xlookup(E190,C172:C177,D172:D177)=F190,xlookup(E190,C172:C177,E172:E177)=F190),1,0)</f>
        <v>0</v>
      </c>
      <c r="H190" s="37"/>
      <c r="I190" s="270">
        <v>5.0</v>
      </c>
      <c r="J190" s="270">
        <v>3.0</v>
      </c>
      <c r="K190" s="270">
        <f t="array" ref="K190">if(or(xlookup(I190,C172:C177,D172:D177)=J190,xlookup(I190,C172:C177,E172:E177)=J190),1,0)</f>
        <v>0</v>
      </c>
      <c r="L190" s="37"/>
      <c r="M190" s="270">
        <f t="shared" si="69"/>
        <v>11</v>
      </c>
      <c r="N190" s="270">
        <f>G199</f>
        <v>0</v>
      </c>
      <c r="O190" s="270">
        <f t="array" ref="O190:Q190">TRANSPOSE(F196:F198)</f>
        <v>3</v>
      </c>
      <c r="P190" s="270">
        <v>6.0</v>
      </c>
      <c r="Q190" s="270">
        <v>5.0</v>
      </c>
      <c r="AC190" s="261"/>
      <c r="AD190" s="261"/>
    </row>
    <row r="191" hidden="1" outlineLevel="1">
      <c r="A191" s="37"/>
      <c r="B191" s="37"/>
      <c r="C191" s="272">
        <f>SUM(C188:C190)</f>
        <v>0</v>
      </c>
      <c r="D191" s="37"/>
      <c r="E191" s="37"/>
      <c r="F191" s="37"/>
      <c r="G191" s="272">
        <f>SUM(G188:G190)</f>
        <v>0</v>
      </c>
      <c r="H191" s="37"/>
      <c r="I191" s="37"/>
      <c r="J191" s="37"/>
      <c r="K191" s="272">
        <f>SUM(K188:K190)</f>
        <v>0</v>
      </c>
      <c r="L191" s="37"/>
      <c r="M191" s="270">
        <f t="shared" si="69"/>
        <v>12</v>
      </c>
      <c r="N191" s="270">
        <f>G203</f>
        <v>0</v>
      </c>
      <c r="O191" s="270">
        <f t="array" ref="O191:Q191">TRANSPOSE(F200:F202)</f>
        <v>3</v>
      </c>
      <c r="P191" s="270">
        <v>5.0</v>
      </c>
      <c r="Q191" s="270">
        <v>6.0</v>
      </c>
      <c r="AC191" s="261"/>
      <c r="AD191" s="261"/>
    </row>
    <row r="192" hidden="1" outlineLevel="1">
      <c r="A192" s="270">
        <v>1.0</v>
      </c>
      <c r="B192" s="270">
        <v>5.0</v>
      </c>
      <c r="C192" s="270">
        <f t="array" ref="C192">if(or(xlookup(A192,C172:C177,D172:D177)=B192,xlookup(A192,C172:C177,E172:E177)=B192),1,0)</f>
        <v>0</v>
      </c>
      <c r="D192" s="37"/>
      <c r="E192" s="270">
        <v>1.0</v>
      </c>
      <c r="F192" s="270">
        <v>5.0</v>
      </c>
      <c r="G192" s="270">
        <f t="array" ref="G192">if(or(xlookup(E192,C172:C177,D172:D177)=F192,xlookup(E192,C172:C177,E172:E177)=F192),1,0)</f>
        <v>0</v>
      </c>
      <c r="H192" s="37"/>
      <c r="I192" s="270">
        <v>1.0</v>
      </c>
      <c r="J192" s="270">
        <v>4.0</v>
      </c>
      <c r="K192" s="270">
        <f t="array" ref="K192">if(or(xlookup(I192,C172:C177,D172:D177)=J192,xlookup(I192,C172:C177,E172:E177)=J192),1,0)</f>
        <v>0</v>
      </c>
      <c r="L192" s="37"/>
      <c r="M192" s="270">
        <f t="shared" si="69"/>
        <v>13</v>
      </c>
      <c r="N192" s="270">
        <f>K183</f>
        <v>0</v>
      </c>
      <c r="O192" s="270">
        <f t="array" ref="O192:Q192">TRANSPOSE(J180:J182)</f>
        <v>6</v>
      </c>
      <c r="P192" s="270">
        <v>4.0</v>
      </c>
      <c r="Q192" s="270">
        <v>3.0</v>
      </c>
      <c r="AC192" s="261"/>
      <c r="AD192" s="261"/>
    </row>
    <row r="193" hidden="1" outlineLevel="1">
      <c r="A193" s="270">
        <v>2.0</v>
      </c>
      <c r="B193" s="270">
        <v>4.0</v>
      </c>
      <c r="C193" s="270">
        <f t="array" ref="C193">if(or(xlookup(A193,C172:C177,D172:D177)=B193,xlookup(A193,C172:C177,E172:E177)=B193),1,0)</f>
        <v>0</v>
      </c>
      <c r="D193" s="37"/>
      <c r="E193" s="270">
        <v>2.0</v>
      </c>
      <c r="F193" s="270">
        <v>3.0</v>
      </c>
      <c r="G193" s="270">
        <f t="array" ref="G193">if(or(xlookup(E193,C172:C177,D172:D177)=F193,xlookup(E193,C172:C177,E172:E177)=F193),1,0)</f>
        <v>0</v>
      </c>
      <c r="H193" s="37"/>
      <c r="I193" s="270">
        <v>2.0</v>
      </c>
      <c r="J193" s="270">
        <v>3.0</v>
      </c>
      <c r="K193" s="270">
        <f t="array" ref="K193">if(or(xlookup(I193,C172:C177,D172:D177)=J193,xlookup(I193,C172:C177,E172:E177)=J193),1,0)</f>
        <v>0</v>
      </c>
      <c r="L193" s="37"/>
      <c r="M193" s="270">
        <f t="shared" si="69"/>
        <v>14</v>
      </c>
      <c r="N193" s="270">
        <f>K187</f>
        <v>0</v>
      </c>
      <c r="O193" s="270">
        <f t="array" ref="O193:Q193">TRANSPOSE(J184:J186)</f>
        <v>6</v>
      </c>
      <c r="P193" s="270">
        <v>3.0</v>
      </c>
      <c r="Q193" s="270">
        <v>4.0</v>
      </c>
      <c r="AC193" s="261"/>
      <c r="AD193" s="261"/>
    </row>
    <row r="194" hidden="1" outlineLevel="1">
      <c r="A194" s="270">
        <v>3.0</v>
      </c>
      <c r="B194" s="270">
        <v>6.0</v>
      </c>
      <c r="C194" s="270">
        <f t="array" ref="C194">if(or(xlookup(A194,C172:C177,D172:D177)=B194,xlookup(A194,C172:C177,E172:E177)=B194),1,0)</f>
        <v>0</v>
      </c>
      <c r="D194" s="37"/>
      <c r="E194" s="270">
        <v>4.0</v>
      </c>
      <c r="F194" s="270">
        <v>6.0</v>
      </c>
      <c r="G194" s="270">
        <f t="array" ref="G194">if(or(xlookup(E194,C172:C177,D172:D177)=F194,xlookup(E194,C172:C177,E172:E177)=F194),1,0)</f>
        <v>0</v>
      </c>
      <c r="H194" s="37"/>
      <c r="I194" s="270">
        <v>5.0</v>
      </c>
      <c r="J194" s="270">
        <v>6.0</v>
      </c>
      <c r="K194" s="270">
        <f t="array" ref="K194">if(or(xlookup(I194,C172:C177,D172:D177)=J194,xlookup(I194,C172:C177,E172:E177)=J194),1,0)</f>
        <v>0</v>
      </c>
      <c r="L194" s="37"/>
      <c r="M194" s="270">
        <f t="shared" si="69"/>
        <v>15</v>
      </c>
      <c r="N194" s="270">
        <f>K191</f>
        <v>0</v>
      </c>
      <c r="O194" s="270">
        <f t="array" ref="O194:Q194">TRANSPOSE(J188:J190)</f>
        <v>4</v>
      </c>
      <c r="P194" s="270">
        <v>6.0</v>
      </c>
      <c r="Q194" s="270">
        <v>3.0</v>
      </c>
      <c r="AC194" s="261"/>
      <c r="AD194" s="261"/>
    </row>
    <row r="195" hidden="1" outlineLevel="1">
      <c r="A195" s="37"/>
      <c r="B195" s="37"/>
      <c r="C195" s="272">
        <f>SUM(C192:C194)</f>
        <v>0</v>
      </c>
      <c r="D195" s="37"/>
      <c r="E195" s="37"/>
      <c r="F195" s="37"/>
      <c r="G195" s="272">
        <f>SUM(G192:G194)</f>
        <v>0</v>
      </c>
      <c r="H195" s="37"/>
      <c r="I195" s="37"/>
      <c r="J195" s="37"/>
      <c r="K195" s="272">
        <f>SUM(K192:K194)</f>
        <v>0</v>
      </c>
      <c r="L195" s="37"/>
      <c r="M195" s="270">
        <f t="shared" si="69"/>
        <v>16</v>
      </c>
      <c r="N195" s="270">
        <f>K195</f>
        <v>0</v>
      </c>
      <c r="O195" s="270">
        <f t="array" ref="O195:Q195">TRANSPOSE(J192:J194)</f>
        <v>4</v>
      </c>
      <c r="P195" s="270">
        <v>3.0</v>
      </c>
      <c r="Q195" s="270">
        <v>6.0</v>
      </c>
      <c r="AC195" s="261"/>
      <c r="AD195" s="261"/>
    </row>
    <row r="196" hidden="1" outlineLevel="1">
      <c r="A196" s="270">
        <v>1.0</v>
      </c>
      <c r="B196" s="270">
        <v>4.0</v>
      </c>
      <c r="C196" s="270">
        <f t="array" ref="C196">if(or(xlookup(A196,C172:C177,D172:D177)=B196,xlookup(A196,C172:C177,E172:E177)=B196),1,0)</f>
        <v>0</v>
      </c>
      <c r="D196" s="37"/>
      <c r="E196" s="270">
        <v>1.0</v>
      </c>
      <c r="F196" s="270">
        <v>3.0</v>
      </c>
      <c r="G196" s="270">
        <f t="array" ref="G196">if(or(xlookup(E196,C172:C177,D172:D177)=F196,xlookup(E196,C172:C177,E172:E177)=F196),1,0)</f>
        <v>0</v>
      </c>
      <c r="H196" s="37"/>
      <c r="I196" s="270">
        <v>1.0</v>
      </c>
      <c r="J196" s="270">
        <v>3.0</v>
      </c>
      <c r="K196" s="270">
        <f t="array" ref="K196">if(or(xlookup(I196,C172:C177,D172:D177)=J196,xlookup(I196,C172:C177,E172:E177)=J196),1,0)</f>
        <v>0</v>
      </c>
      <c r="L196" s="37"/>
      <c r="M196" s="270">
        <f t="shared" si="69"/>
        <v>17</v>
      </c>
      <c r="N196" s="270">
        <f>K199</f>
        <v>0</v>
      </c>
      <c r="O196" s="270">
        <f t="array" ref="O196:Q196">TRANSPOSE(J196:J198)</f>
        <v>3</v>
      </c>
      <c r="P196" s="270">
        <v>6.0</v>
      </c>
      <c r="Q196" s="270">
        <v>4.0</v>
      </c>
      <c r="AC196" s="261"/>
      <c r="AD196" s="261"/>
    </row>
    <row r="197" hidden="1" outlineLevel="1">
      <c r="A197" s="270">
        <v>2.0</v>
      </c>
      <c r="B197" s="270">
        <v>6.0</v>
      </c>
      <c r="C197" s="270">
        <f t="array" ref="C197">if(or(xlookup(A197,C172:C177,D172:D177)=B197,xlookup(A197,C172:C177,E172:E177)=B197),1,0)</f>
        <v>0</v>
      </c>
      <c r="D197" s="37"/>
      <c r="E197" s="270">
        <v>2.0</v>
      </c>
      <c r="F197" s="270">
        <v>6.0</v>
      </c>
      <c r="G197" s="270">
        <f t="array" ref="G197">if(or(xlookup(E197,C172:C177,D172:D177)=F197,xlookup(E197,C172:C177,E172:E177)=F197),1,0)</f>
        <v>0</v>
      </c>
      <c r="H197" s="37"/>
      <c r="I197" s="270">
        <v>2.0</v>
      </c>
      <c r="J197" s="270">
        <v>6.0</v>
      </c>
      <c r="K197" s="270">
        <f t="array" ref="K197">if(or(xlookup(I197,C172:C177,D172:D177)=J197,xlookup(I197,C172:C177,E172:E177)=J197),1,0)</f>
        <v>0</v>
      </c>
      <c r="L197" s="37"/>
      <c r="M197" s="270">
        <f t="shared" si="69"/>
        <v>18</v>
      </c>
      <c r="N197" s="270">
        <f>K203</f>
        <v>0</v>
      </c>
      <c r="O197" s="270">
        <f t="array" ref="O197:Q197">TRANSPOSE(J200:J202)</f>
        <v>3</v>
      </c>
      <c r="P197" s="270">
        <v>4.0</v>
      </c>
      <c r="Q197" s="270">
        <v>6.0</v>
      </c>
      <c r="AC197" s="261"/>
      <c r="AD197" s="261"/>
    </row>
    <row r="198" hidden="1" outlineLevel="1">
      <c r="A198" s="270">
        <v>3.0</v>
      </c>
      <c r="B198" s="270">
        <v>5.0</v>
      </c>
      <c r="C198" s="270">
        <f t="array" ref="C198">if(or(xlookup(A198,C172:C177,D172:D177)=B198,xlookup(A198,C172:C177,E172:E177)=B198),1,0)</f>
        <v>0</v>
      </c>
      <c r="D198" s="37"/>
      <c r="E198" s="270">
        <v>4.0</v>
      </c>
      <c r="F198" s="270">
        <v>5.0</v>
      </c>
      <c r="G198" s="270">
        <f t="array" ref="G198">if(or(xlookup(E198,C172:C177,D172:D177)=F198,xlookup(E198,C172:C177,E172:E177)=F198),1,0)</f>
        <v>0</v>
      </c>
      <c r="H198" s="37"/>
      <c r="I198" s="270">
        <v>5.0</v>
      </c>
      <c r="J198" s="270">
        <v>4.0</v>
      </c>
      <c r="K198" s="270">
        <f t="array" ref="K198">if(or(xlookup(I198,C172:C177,D172:D177)=J198,xlookup(I198,C172:C177,E172:E177)=J198),1,0)</f>
        <v>0</v>
      </c>
      <c r="L198" s="37"/>
      <c r="M198" s="37"/>
      <c r="N198" s="37"/>
      <c r="O198" s="37"/>
      <c r="P198" s="37"/>
      <c r="Q198" s="37"/>
      <c r="AC198" s="261"/>
      <c r="AD198" s="261"/>
    </row>
    <row r="199" hidden="1" outlineLevel="1">
      <c r="A199" s="37"/>
      <c r="B199" s="37"/>
      <c r="C199" s="272">
        <f>SUM(C196:C198)</f>
        <v>0</v>
      </c>
      <c r="D199" s="37"/>
      <c r="E199" s="37"/>
      <c r="F199" s="37"/>
      <c r="G199" s="272">
        <f>SUM(G196:G198)</f>
        <v>0</v>
      </c>
      <c r="H199" s="37"/>
      <c r="I199" s="37"/>
      <c r="J199" s="37"/>
      <c r="K199" s="272">
        <f>SUM(K196:K198)</f>
        <v>0</v>
      </c>
      <c r="L199" s="37"/>
      <c r="M199" s="37"/>
      <c r="N199" s="37"/>
      <c r="O199" s="37"/>
      <c r="P199" s="37"/>
      <c r="Q199" s="37"/>
      <c r="AC199" s="261"/>
      <c r="AD199" s="261"/>
    </row>
    <row r="200" hidden="1" outlineLevel="1">
      <c r="A200" s="270">
        <v>1.0</v>
      </c>
      <c r="B200" s="270">
        <v>4.0</v>
      </c>
      <c r="C200" s="270">
        <f t="array" ref="C200">if(or(xlookup(A200,C172:C177,D172:D177)=B200,xlookup(A200,C172:C177,E172:E177)=B200),1,0)</f>
        <v>0</v>
      </c>
      <c r="D200" s="37"/>
      <c r="E200" s="270">
        <v>1.0</v>
      </c>
      <c r="F200" s="270">
        <v>3.0</v>
      </c>
      <c r="G200" s="270">
        <f t="array" ref="G200">if(or(xlookup(E200,C172:C177,D172:D177)=F200,xlookup(E200,C172:C177,E172:E177)=F200),1,0)</f>
        <v>0</v>
      </c>
      <c r="H200" s="37"/>
      <c r="I200" s="270">
        <v>1.0</v>
      </c>
      <c r="J200" s="270">
        <v>3.0</v>
      </c>
      <c r="K200" s="270">
        <f t="array" ref="K200">if(or(xlookup(I200,C172:C177,D172:D177)=J200,xlookup(I200,C172:C177,E172:E177)=J200),1,0)</f>
        <v>0</v>
      </c>
      <c r="L200" s="37"/>
      <c r="M200" s="37"/>
      <c r="N200" s="37"/>
      <c r="O200" s="37"/>
      <c r="P200" s="37"/>
      <c r="Q200" s="37"/>
      <c r="AC200" s="261"/>
      <c r="AD200" s="261"/>
    </row>
    <row r="201" hidden="1" outlineLevel="1">
      <c r="A201" s="270">
        <v>2.0</v>
      </c>
      <c r="B201" s="270">
        <v>5.0</v>
      </c>
      <c r="C201" s="270">
        <f t="array" ref="C201">if(or(xlookup(A201,C172:C177,D172:D177)=B201,xlookup(A201,C172:C177,E172:E177)=B201),1,0)</f>
        <v>0</v>
      </c>
      <c r="D201" s="37"/>
      <c r="E201" s="270">
        <v>2.0</v>
      </c>
      <c r="F201" s="270">
        <v>5.0</v>
      </c>
      <c r="G201" s="270">
        <f t="array" ref="G201">if(or(xlookup(E201,C172:C177,D172:D177)=F201,xlookup(E201,C172:C177,E172:E177)=F201),1,0)</f>
        <v>0</v>
      </c>
      <c r="H201" s="37"/>
      <c r="I201" s="270">
        <v>2.0</v>
      </c>
      <c r="J201" s="270">
        <v>4.0</v>
      </c>
      <c r="K201" s="270">
        <f t="array" ref="K201">if(or(xlookup(I201,C172:C177,D172:D177)=J201,xlookup(I201,C172:C177,E172:E177)=J201),1,0)</f>
        <v>0</v>
      </c>
      <c r="L201" s="37"/>
      <c r="M201" s="37"/>
      <c r="N201" s="37"/>
      <c r="O201" s="37"/>
      <c r="P201" s="37"/>
      <c r="Q201" s="37"/>
      <c r="AC201" s="261"/>
      <c r="AD201" s="261"/>
    </row>
    <row r="202" hidden="1" outlineLevel="1">
      <c r="A202" s="270">
        <v>3.0</v>
      </c>
      <c r="B202" s="270">
        <v>6.0</v>
      </c>
      <c r="C202" s="270">
        <f t="array" ref="C202">if(or(xlookup(A202,C172:C177,D172:D177)=B202,xlookup(A202,C172:C177,E172:E177)=B202),1,0)</f>
        <v>0</v>
      </c>
      <c r="D202" s="37"/>
      <c r="E202" s="270">
        <v>4.0</v>
      </c>
      <c r="F202" s="270">
        <v>6.0</v>
      </c>
      <c r="G202" s="270">
        <f t="array" ref="G202">if(or(xlookup(E202,C172:C177,D172:D177)=F202,xlookup(E202,C172:C177,E172:E177)=F202),1,0)</f>
        <v>0</v>
      </c>
      <c r="H202" s="37"/>
      <c r="I202" s="270">
        <v>5.0</v>
      </c>
      <c r="J202" s="270">
        <v>6.0</v>
      </c>
      <c r="K202" s="270">
        <f t="array" ref="K202">if(or(xlookup(I202,C172:C177,D172:D177)=J202,xlookup(I202,C172:C177,E172:E177)=J202),1,0)</f>
        <v>0</v>
      </c>
      <c r="L202" s="37"/>
      <c r="M202" s="37"/>
      <c r="N202" s="37"/>
      <c r="O202" s="37"/>
      <c r="P202" s="37"/>
      <c r="Q202" s="37"/>
      <c r="AC202" s="261"/>
      <c r="AD202" s="261"/>
    </row>
    <row r="203" hidden="1" outlineLevel="1">
      <c r="A203" s="37"/>
      <c r="B203" s="37"/>
      <c r="C203" s="272">
        <f>SUM(C200:C202)</f>
        <v>0</v>
      </c>
      <c r="D203" s="37"/>
      <c r="E203" s="37"/>
      <c r="F203" s="37"/>
      <c r="G203" s="272">
        <f>SUM(G200:G202)</f>
        <v>0</v>
      </c>
      <c r="H203" s="37"/>
      <c r="I203" s="37"/>
      <c r="J203" s="37"/>
      <c r="K203" s="272">
        <f>SUM(K200:K202)</f>
        <v>0</v>
      </c>
      <c r="L203" s="37"/>
      <c r="M203" s="37"/>
      <c r="N203" s="37"/>
      <c r="O203" s="37"/>
      <c r="P203" s="37"/>
      <c r="Q203" s="37"/>
      <c r="AC203" s="261"/>
      <c r="AD203" s="261"/>
    </row>
    <row r="204" hidden="1" outlineLevel="1">
      <c r="A204" s="37"/>
      <c r="B204" s="37"/>
      <c r="C204" s="37"/>
      <c r="D204" s="37"/>
      <c r="E204" s="37"/>
      <c r="F204" s="37"/>
      <c r="G204" s="37"/>
      <c r="H204" s="37"/>
      <c r="I204" s="37"/>
      <c r="J204" s="37"/>
      <c r="K204" s="37"/>
      <c r="L204" s="37"/>
      <c r="M204" s="37"/>
      <c r="N204" s="37"/>
      <c r="O204" s="37"/>
      <c r="P204" s="37"/>
      <c r="Q204" s="37"/>
      <c r="AC204" s="261"/>
      <c r="AD204" s="261"/>
    </row>
    <row r="205" hidden="1" outlineLevel="1">
      <c r="A205" s="37"/>
      <c r="B205" s="37"/>
      <c r="C205" s="37"/>
      <c r="D205" s="37"/>
      <c r="E205" s="37"/>
      <c r="F205" s="37"/>
      <c r="G205" s="37"/>
      <c r="H205" s="37"/>
      <c r="I205" s="37"/>
      <c r="J205" s="37"/>
      <c r="K205" s="37"/>
      <c r="L205" s="37"/>
      <c r="M205" s="37"/>
      <c r="N205" s="37"/>
      <c r="O205" s="37"/>
      <c r="P205" s="37"/>
      <c r="Q205" s="37"/>
      <c r="AC205" s="261"/>
      <c r="AD205" s="261"/>
    </row>
    <row r="206" hidden="1" outlineLevel="1">
      <c r="A206" s="37"/>
      <c r="B206" s="37"/>
      <c r="C206" s="37"/>
      <c r="D206" s="37"/>
      <c r="E206" s="37"/>
      <c r="F206" s="37"/>
      <c r="G206" s="37"/>
      <c r="H206" s="37"/>
      <c r="I206" s="37"/>
      <c r="J206" s="37"/>
      <c r="K206" s="37"/>
      <c r="L206" s="37"/>
      <c r="M206" s="37"/>
      <c r="N206" s="37"/>
      <c r="O206" s="37"/>
      <c r="P206" s="37"/>
      <c r="Q206" s="37"/>
      <c r="AC206" s="261"/>
      <c r="AD206" s="261"/>
    </row>
    <row r="207" hidden="1" outlineLevel="1">
      <c r="A207" s="270">
        <f t="array" ref="A207:E224">sort(M180:Q197,2,true)</f>
        <v>1</v>
      </c>
      <c r="B207" s="270">
        <v>0.0</v>
      </c>
      <c r="C207" s="270">
        <v>6.0</v>
      </c>
      <c r="D207" s="270">
        <v>5.0</v>
      </c>
      <c r="E207" s="270">
        <v>4.0</v>
      </c>
      <c r="F207" s="37"/>
      <c r="G207" s="270">
        <v>1.0</v>
      </c>
      <c r="H207" s="270">
        <f>C207</f>
        <v>6</v>
      </c>
      <c r="I207" s="37"/>
      <c r="J207" s="271" t="str">
        <f t="array" ref="J207">xlookup(G207,K165:K170,A165:A170,"")</f>
        <v>#N/A</v>
      </c>
      <c r="K207" s="271" t="str">
        <f t="array" ref="K207">xlookup(H207,K165:K170,A165:A170,"")</f>
        <v/>
      </c>
      <c r="L207" s="37"/>
      <c r="M207" s="37"/>
      <c r="N207" s="37"/>
      <c r="O207" s="37"/>
      <c r="P207" s="37"/>
      <c r="Q207" s="37"/>
      <c r="AC207" s="261"/>
      <c r="AD207" s="261"/>
    </row>
    <row r="208" hidden="1" outlineLevel="1">
      <c r="A208" s="270">
        <v>2.0</v>
      </c>
      <c r="B208" s="270">
        <v>0.0</v>
      </c>
      <c r="C208" s="270">
        <v>6.0</v>
      </c>
      <c r="D208" s="270">
        <v>4.0</v>
      </c>
      <c r="E208" s="270">
        <v>5.0</v>
      </c>
      <c r="F208" s="37"/>
      <c r="G208" s="270">
        <v>2.0</v>
      </c>
      <c r="H208" s="270">
        <f>D207</f>
        <v>5</v>
      </c>
      <c r="I208" s="37"/>
      <c r="J208" s="271" t="str">
        <f t="array" ref="J208">xlookup(G208,K165:K170,A165:A170,"")</f>
        <v/>
      </c>
      <c r="K208" s="271" t="str">
        <f t="array" ref="K208">xlookup(H208,K165:K170,A165:A170,"")</f>
        <v/>
      </c>
      <c r="L208" s="37"/>
      <c r="M208" s="37"/>
      <c r="N208" s="37"/>
      <c r="O208" s="37"/>
      <c r="P208" s="37"/>
      <c r="Q208" s="37"/>
      <c r="AC208" s="261"/>
      <c r="AD208" s="261"/>
    </row>
    <row r="209" hidden="1" outlineLevel="1">
      <c r="A209" s="270">
        <v>3.0</v>
      </c>
      <c r="B209" s="270">
        <v>0.0</v>
      </c>
      <c r="C209" s="270">
        <v>5.0</v>
      </c>
      <c r="D209" s="270">
        <v>6.0</v>
      </c>
      <c r="E209" s="270">
        <v>4.0</v>
      </c>
      <c r="F209" s="37"/>
      <c r="G209" s="270">
        <f>ifs(A207&lt;=6,3,and(A207&gt;6,A207&lt;13),4,A207&gt;12,5)</f>
        <v>3</v>
      </c>
      <c r="H209" s="270">
        <f>E207</f>
        <v>4</v>
      </c>
      <c r="I209" s="37"/>
      <c r="J209" s="271" t="str">
        <f t="array" ref="J209">xlookup(G209,K165:K170,A165:A170,"")</f>
        <v/>
      </c>
      <c r="K209" s="271" t="str">
        <f t="array" ref="K209">xlookup(H209,K165:K170,A165:A170,"")</f>
        <v/>
      </c>
      <c r="L209" s="37"/>
      <c r="M209" s="37"/>
      <c r="N209" s="37"/>
      <c r="O209" s="37"/>
      <c r="P209" s="37"/>
      <c r="Q209" s="37"/>
      <c r="AC209" s="261"/>
      <c r="AD209" s="261"/>
    </row>
    <row r="210" hidden="1" outlineLevel="1">
      <c r="A210" s="270">
        <v>4.0</v>
      </c>
      <c r="B210" s="270">
        <v>0.0</v>
      </c>
      <c r="C210" s="270">
        <v>5.0</v>
      </c>
      <c r="D210" s="270">
        <v>4.0</v>
      </c>
      <c r="E210" s="270">
        <v>6.0</v>
      </c>
      <c r="F210" s="37"/>
      <c r="G210" s="37"/>
      <c r="H210" s="37"/>
      <c r="I210" s="37"/>
      <c r="J210" s="37"/>
      <c r="K210" s="37"/>
      <c r="L210" s="37"/>
      <c r="M210" s="37"/>
      <c r="N210" s="37"/>
      <c r="O210" s="37"/>
      <c r="P210" s="37"/>
      <c r="Q210" s="37"/>
      <c r="AC210" s="261"/>
      <c r="AD210" s="261"/>
    </row>
    <row r="211" hidden="1" outlineLevel="1">
      <c r="A211" s="270">
        <v>5.0</v>
      </c>
      <c r="B211" s="270">
        <v>0.0</v>
      </c>
      <c r="C211" s="270">
        <v>4.0</v>
      </c>
      <c r="D211" s="270">
        <v>6.0</v>
      </c>
      <c r="E211" s="270">
        <v>5.0</v>
      </c>
      <c r="F211" s="37"/>
      <c r="G211" s="37"/>
      <c r="H211" s="37"/>
      <c r="I211" s="37"/>
      <c r="J211" s="37"/>
      <c r="K211" s="37"/>
      <c r="L211" s="37"/>
      <c r="M211" s="37"/>
      <c r="N211" s="37"/>
      <c r="O211" s="37"/>
      <c r="P211" s="37"/>
      <c r="Q211" s="37"/>
      <c r="AC211" s="261"/>
      <c r="AD211" s="261"/>
    </row>
    <row r="212" hidden="1" outlineLevel="1">
      <c r="A212" s="270">
        <v>6.0</v>
      </c>
      <c r="B212" s="270">
        <v>0.0</v>
      </c>
      <c r="C212" s="270">
        <v>4.0</v>
      </c>
      <c r="D212" s="270">
        <v>5.0</v>
      </c>
      <c r="E212" s="270">
        <v>6.0</v>
      </c>
      <c r="F212" s="37"/>
      <c r="G212" s="37"/>
      <c r="H212" s="37"/>
      <c r="I212" s="37"/>
      <c r="J212" s="37"/>
      <c r="K212" s="37"/>
      <c r="L212" s="37"/>
      <c r="M212" s="37"/>
      <c r="N212" s="37"/>
      <c r="O212" s="37"/>
      <c r="P212" s="37"/>
      <c r="Q212" s="37"/>
      <c r="AC212" s="261"/>
      <c r="AD212" s="261"/>
    </row>
    <row r="213" hidden="1" outlineLevel="1">
      <c r="A213" s="270">
        <v>7.0</v>
      </c>
      <c r="B213" s="270">
        <v>0.0</v>
      </c>
      <c r="C213" s="270">
        <v>6.0</v>
      </c>
      <c r="D213" s="270">
        <v>5.0</v>
      </c>
      <c r="E213" s="270">
        <v>3.0</v>
      </c>
      <c r="F213" s="37"/>
      <c r="G213" s="37"/>
      <c r="H213" s="37"/>
      <c r="I213" s="37"/>
      <c r="J213" s="37"/>
      <c r="K213" s="37"/>
      <c r="L213" s="37"/>
      <c r="M213" s="37"/>
      <c r="N213" s="37"/>
      <c r="O213" s="37"/>
      <c r="P213" s="37"/>
      <c r="Q213" s="37"/>
      <c r="AC213" s="261"/>
      <c r="AD213" s="261"/>
    </row>
    <row r="214" hidden="1" outlineLevel="1">
      <c r="A214" s="270">
        <v>8.0</v>
      </c>
      <c r="B214" s="270">
        <v>0.0</v>
      </c>
      <c r="C214" s="270">
        <v>6.0</v>
      </c>
      <c r="D214" s="270">
        <v>3.0</v>
      </c>
      <c r="E214" s="270">
        <v>5.0</v>
      </c>
      <c r="F214" s="37"/>
      <c r="G214" s="37"/>
      <c r="H214" s="37"/>
      <c r="I214" s="37"/>
      <c r="J214" s="37"/>
      <c r="K214" s="37"/>
      <c r="L214" s="37"/>
      <c r="M214" s="37"/>
      <c r="N214" s="37"/>
      <c r="O214" s="37"/>
      <c r="P214" s="37"/>
      <c r="Q214" s="37"/>
      <c r="AC214" s="261"/>
      <c r="AD214" s="261"/>
    </row>
    <row r="215" hidden="1" outlineLevel="1">
      <c r="A215" s="270">
        <v>9.0</v>
      </c>
      <c r="B215" s="270">
        <v>0.0</v>
      </c>
      <c r="C215" s="270">
        <v>5.0</v>
      </c>
      <c r="D215" s="270">
        <v>6.0</v>
      </c>
      <c r="E215" s="270">
        <v>3.0</v>
      </c>
      <c r="F215" s="37"/>
      <c r="G215" s="37"/>
      <c r="H215" s="37"/>
      <c r="I215" s="37"/>
      <c r="J215" s="37"/>
      <c r="K215" s="37"/>
      <c r="L215" s="37"/>
      <c r="M215" s="37"/>
      <c r="N215" s="37"/>
      <c r="O215" s="37"/>
      <c r="P215" s="37"/>
      <c r="Q215" s="37"/>
      <c r="AC215" s="261"/>
      <c r="AD215" s="261"/>
    </row>
    <row r="216" hidden="1" outlineLevel="1">
      <c r="A216" s="270">
        <v>10.0</v>
      </c>
      <c r="B216" s="270">
        <v>0.0</v>
      </c>
      <c r="C216" s="270">
        <v>5.0</v>
      </c>
      <c r="D216" s="270">
        <v>3.0</v>
      </c>
      <c r="E216" s="270">
        <v>6.0</v>
      </c>
      <c r="F216" s="37"/>
      <c r="G216" s="37"/>
      <c r="H216" s="37"/>
      <c r="I216" s="37"/>
      <c r="J216" s="37"/>
      <c r="K216" s="37"/>
      <c r="L216" s="37"/>
      <c r="M216" s="37"/>
      <c r="N216" s="37"/>
      <c r="O216" s="37"/>
      <c r="P216" s="37"/>
      <c r="Q216" s="37"/>
      <c r="AC216" s="261"/>
      <c r="AD216" s="261"/>
    </row>
    <row r="217" hidden="1" outlineLevel="1">
      <c r="A217" s="270">
        <v>11.0</v>
      </c>
      <c r="B217" s="270">
        <v>0.0</v>
      </c>
      <c r="C217" s="270">
        <v>3.0</v>
      </c>
      <c r="D217" s="270">
        <v>6.0</v>
      </c>
      <c r="E217" s="270">
        <v>5.0</v>
      </c>
      <c r="F217" s="37"/>
      <c r="G217" s="37"/>
      <c r="H217" s="37"/>
      <c r="I217" s="37"/>
      <c r="J217" s="37"/>
      <c r="K217" s="37"/>
      <c r="L217" s="37"/>
      <c r="M217" s="37"/>
      <c r="N217" s="37"/>
      <c r="O217" s="37"/>
      <c r="P217" s="37"/>
      <c r="Q217" s="37"/>
      <c r="AC217" s="261"/>
      <c r="AD217" s="261"/>
    </row>
    <row r="218" hidden="1" outlineLevel="1">
      <c r="A218" s="270">
        <v>12.0</v>
      </c>
      <c r="B218" s="270">
        <v>0.0</v>
      </c>
      <c r="C218" s="270">
        <v>3.0</v>
      </c>
      <c r="D218" s="270">
        <v>5.0</v>
      </c>
      <c r="E218" s="270">
        <v>6.0</v>
      </c>
      <c r="F218" s="37"/>
      <c r="G218" s="37"/>
      <c r="H218" s="37"/>
      <c r="I218" s="37"/>
      <c r="J218" s="37"/>
      <c r="K218" s="37"/>
      <c r="L218" s="37"/>
      <c r="M218" s="37"/>
      <c r="N218" s="37"/>
      <c r="O218" s="37"/>
      <c r="P218" s="37"/>
      <c r="Q218" s="37"/>
      <c r="AC218" s="261"/>
      <c r="AD218" s="261"/>
    </row>
    <row r="219" hidden="1" outlineLevel="1">
      <c r="A219" s="270">
        <v>13.0</v>
      </c>
      <c r="B219" s="270">
        <v>0.0</v>
      </c>
      <c r="C219" s="270">
        <v>6.0</v>
      </c>
      <c r="D219" s="270">
        <v>4.0</v>
      </c>
      <c r="E219" s="270">
        <v>3.0</v>
      </c>
      <c r="F219" s="37"/>
      <c r="G219" s="37"/>
      <c r="H219" s="37"/>
      <c r="I219" s="37"/>
      <c r="J219" s="37"/>
      <c r="K219" s="37"/>
      <c r="L219" s="37"/>
      <c r="M219" s="37"/>
      <c r="N219" s="37"/>
      <c r="O219" s="37"/>
      <c r="P219" s="37"/>
      <c r="Q219" s="37"/>
      <c r="AC219" s="261"/>
      <c r="AD219" s="261"/>
    </row>
    <row r="220" hidden="1" outlineLevel="1">
      <c r="A220" s="270">
        <v>14.0</v>
      </c>
      <c r="B220" s="270">
        <v>0.0</v>
      </c>
      <c r="C220" s="270">
        <v>6.0</v>
      </c>
      <c r="D220" s="270">
        <v>3.0</v>
      </c>
      <c r="E220" s="270">
        <v>4.0</v>
      </c>
      <c r="F220" s="37"/>
      <c r="G220" s="37"/>
      <c r="H220" s="37"/>
      <c r="I220" s="37"/>
      <c r="J220" s="37"/>
      <c r="K220" s="37"/>
      <c r="L220" s="37"/>
      <c r="M220" s="37"/>
      <c r="N220" s="37"/>
      <c r="O220" s="37"/>
      <c r="P220" s="37"/>
      <c r="Q220" s="37"/>
      <c r="AC220" s="261"/>
      <c r="AD220" s="261"/>
    </row>
    <row r="221" hidden="1" outlineLevel="1">
      <c r="A221" s="270">
        <v>15.0</v>
      </c>
      <c r="B221" s="270">
        <v>0.0</v>
      </c>
      <c r="C221" s="270">
        <v>4.0</v>
      </c>
      <c r="D221" s="270">
        <v>6.0</v>
      </c>
      <c r="E221" s="270">
        <v>3.0</v>
      </c>
      <c r="F221" s="37"/>
      <c r="G221" s="37"/>
      <c r="H221" s="37"/>
      <c r="I221" s="37"/>
      <c r="J221" s="37"/>
      <c r="K221" s="37"/>
      <c r="L221" s="37"/>
      <c r="M221" s="37"/>
      <c r="N221" s="37"/>
      <c r="O221" s="37"/>
      <c r="P221" s="37"/>
      <c r="Q221" s="37"/>
      <c r="AC221" s="261"/>
      <c r="AD221" s="261"/>
    </row>
    <row r="222" hidden="1" outlineLevel="1">
      <c r="A222" s="270">
        <v>16.0</v>
      </c>
      <c r="B222" s="270">
        <v>0.0</v>
      </c>
      <c r="C222" s="270">
        <v>4.0</v>
      </c>
      <c r="D222" s="270">
        <v>3.0</v>
      </c>
      <c r="E222" s="270">
        <v>6.0</v>
      </c>
      <c r="F222" s="37"/>
      <c r="G222" s="37"/>
      <c r="H222" s="37"/>
      <c r="I222" s="37"/>
      <c r="J222" s="37"/>
      <c r="K222" s="37"/>
      <c r="L222" s="37"/>
      <c r="M222" s="37"/>
      <c r="N222" s="37"/>
      <c r="O222" s="37"/>
      <c r="P222" s="37"/>
      <c r="Q222" s="37"/>
      <c r="AC222" s="261"/>
      <c r="AD222" s="261"/>
    </row>
    <row r="223" hidden="1" outlineLevel="1">
      <c r="A223" s="270">
        <v>17.0</v>
      </c>
      <c r="B223" s="270">
        <v>0.0</v>
      </c>
      <c r="C223" s="270">
        <v>3.0</v>
      </c>
      <c r="D223" s="270">
        <v>6.0</v>
      </c>
      <c r="E223" s="270">
        <v>4.0</v>
      </c>
      <c r="F223" s="37"/>
      <c r="G223" s="37"/>
      <c r="H223" s="37"/>
      <c r="I223" s="37"/>
      <c r="J223" s="37"/>
      <c r="K223" s="37"/>
      <c r="L223" s="37"/>
      <c r="M223" s="37"/>
      <c r="N223" s="37"/>
      <c r="O223" s="37"/>
      <c r="P223" s="37"/>
      <c r="Q223" s="37"/>
      <c r="AC223" s="261"/>
      <c r="AD223" s="261"/>
    </row>
    <row r="224" hidden="1" outlineLevel="1">
      <c r="A224" s="270">
        <v>18.0</v>
      </c>
      <c r="B224" s="270">
        <v>0.0</v>
      </c>
      <c r="C224" s="270">
        <v>3.0</v>
      </c>
      <c r="D224" s="270">
        <v>4.0</v>
      </c>
      <c r="E224" s="270">
        <v>6.0</v>
      </c>
      <c r="F224" s="37"/>
      <c r="G224" s="37"/>
      <c r="H224" s="37"/>
      <c r="I224" s="37"/>
      <c r="J224" s="37"/>
      <c r="K224" s="37"/>
      <c r="L224" s="37"/>
      <c r="M224" s="37"/>
      <c r="N224" s="37"/>
      <c r="O224" s="37"/>
      <c r="P224" s="37"/>
      <c r="Q224" s="37"/>
      <c r="AC224" s="261"/>
      <c r="AD224" s="261"/>
    </row>
    <row r="225">
      <c r="AC225" s="261"/>
      <c r="AD225" s="261"/>
    </row>
    <row r="226">
      <c r="A226" s="269" t="s">
        <v>408</v>
      </c>
      <c r="AC226" s="261"/>
      <c r="AD226" s="261"/>
    </row>
    <row r="227">
      <c r="A227" s="37" t="s">
        <v>88</v>
      </c>
      <c r="B227" s="37" t="s">
        <v>327</v>
      </c>
      <c r="C227" s="37" t="s">
        <v>326</v>
      </c>
      <c r="D227" s="37" t="s">
        <v>371</v>
      </c>
      <c r="E227" s="37" t="s">
        <v>381</v>
      </c>
      <c r="F227" s="260" t="s">
        <v>398</v>
      </c>
      <c r="G227" s="261" t="s">
        <v>399</v>
      </c>
      <c r="H227" s="262" t="s">
        <v>400</v>
      </c>
      <c r="I227" s="267" t="s">
        <v>401</v>
      </c>
      <c r="J227" s="47" t="s">
        <v>402</v>
      </c>
      <c r="K227" s="263" t="s">
        <v>394</v>
      </c>
      <c r="AC227" s="261"/>
      <c r="AD227" s="261"/>
    </row>
    <row r="228">
      <c r="A228" s="48" t="str">
        <f>IFERROR(__xludf.DUMMYFUNCTION("sort(filter(A147:J162,I147:I162=1),6,true,8,false,10,false)"),"#N/A")</f>
        <v>#N/A</v>
      </c>
      <c r="K228" s="47">
        <v>1.0</v>
      </c>
      <c r="AC228" s="261"/>
      <c r="AD228" s="261"/>
    </row>
    <row r="229">
      <c r="K229" s="47">
        <v>2.0</v>
      </c>
      <c r="AC229" s="261"/>
      <c r="AD229" s="261"/>
    </row>
    <row r="230">
      <c r="K230" s="47">
        <v>3.0</v>
      </c>
      <c r="AC230" s="261"/>
      <c r="AD230" s="261"/>
    </row>
    <row r="231">
      <c r="K231" s="47">
        <v>4.0</v>
      </c>
      <c r="AC231" s="261"/>
      <c r="AD231" s="261"/>
    </row>
    <row r="232">
      <c r="K232" s="47">
        <v>5.0</v>
      </c>
      <c r="AC232" s="261"/>
      <c r="AD232" s="261"/>
    </row>
    <row r="233">
      <c r="K233" s="47">
        <v>6.0</v>
      </c>
      <c r="AC233" s="261"/>
      <c r="AD233" s="261"/>
    </row>
    <row r="234">
      <c r="A234" s="37"/>
      <c r="B234" s="37"/>
      <c r="C234" s="37" t="s">
        <v>394</v>
      </c>
      <c r="D234" s="37" t="s">
        <v>405</v>
      </c>
      <c r="E234" s="37" t="s">
        <v>406</v>
      </c>
      <c r="F234" s="37"/>
      <c r="G234" s="37"/>
      <c r="H234" s="37"/>
      <c r="I234" s="37"/>
      <c r="J234" s="37"/>
      <c r="K234" s="37"/>
      <c r="L234" s="37"/>
      <c r="M234" s="37"/>
      <c r="N234" s="37"/>
      <c r="O234" s="37"/>
      <c r="P234" s="37"/>
      <c r="Q234" s="37"/>
      <c r="AC234" s="261"/>
      <c r="AD234" s="261"/>
    </row>
    <row r="235">
      <c r="A235" s="270" t="str">
        <f t="shared" ref="A235:A240" si="70">A228</f>
        <v>#N/A</v>
      </c>
      <c r="B235" s="37" t="str">
        <f t="shared" ref="B235:B240" si="71">C228</f>
        <v/>
      </c>
      <c r="C235" s="270">
        <f t="shared" ref="C235:C240" si="72">K228</f>
        <v>1</v>
      </c>
      <c r="D235" s="37" t="str">
        <f t="array" ref="D235">xlookup(D228,A228:A233,K228:K233,"")</f>
        <v/>
      </c>
      <c r="E235" s="270" t="str">
        <f t="array" ref="E235">xlookup(E228,A228:A233,K228:K233,"")</f>
        <v/>
      </c>
      <c r="F235" s="37"/>
      <c r="G235" s="37"/>
      <c r="H235" s="37"/>
      <c r="I235" s="37"/>
      <c r="J235" s="37"/>
      <c r="K235" s="37"/>
      <c r="L235" s="37"/>
      <c r="M235" s="37"/>
      <c r="N235" s="37"/>
      <c r="O235" s="37"/>
      <c r="P235" s="37"/>
      <c r="Q235" s="37"/>
      <c r="AC235" s="261"/>
      <c r="AD235" s="261"/>
    </row>
    <row r="236">
      <c r="A236" s="270" t="str">
        <f t="shared" si="70"/>
        <v/>
      </c>
      <c r="B236" s="37" t="str">
        <f t="shared" si="71"/>
        <v/>
      </c>
      <c r="C236" s="270">
        <f t="shared" si="72"/>
        <v>2</v>
      </c>
      <c r="D236" s="37" t="str">
        <f t="array" ref="D236">xlookup(D229,A228:A233,K228:K233,"")</f>
        <v/>
      </c>
      <c r="E236" s="270" t="str">
        <f t="array" ref="E236">xlookup(E229,A228:A233,K228:K233,"")</f>
        <v/>
      </c>
      <c r="F236" s="37"/>
      <c r="G236" s="37"/>
      <c r="H236" s="37"/>
      <c r="I236" s="37"/>
      <c r="J236" s="37"/>
      <c r="K236" s="37"/>
      <c r="L236" s="37"/>
      <c r="M236" s="37"/>
      <c r="N236" s="37"/>
      <c r="O236" s="37"/>
      <c r="P236" s="37"/>
      <c r="Q236" s="37"/>
      <c r="AC236" s="261"/>
      <c r="AD236" s="261"/>
    </row>
    <row r="237">
      <c r="A237" s="270" t="str">
        <f t="shared" si="70"/>
        <v/>
      </c>
      <c r="B237" s="37" t="str">
        <f t="shared" si="71"/>
        <v/>
      </c>
      <c r="C237" s="270">
        <f t="shared" si="72"/>
        <v>3</v>
      </c>
      <c r="D237" s="37" t="str">
        <f t="array" ref="D237">xlookup(D230,A228:A233,K228:K233,"")</f>
        <v/>
      </c>
      <c r="E237" s="270" t="str">
        <f t="array" ref="E237">xlookup(E230,A228:A233,K228:K233,"")</f>
        <v/>
      </c>
      <c r="F237" s="37"/>
      <c r="G237" s="37"/>
      <c r="H237" s="37"/>
      <c r="I237" s="37"/>
      <c r="J237" s="37"/>
      <c r="K237" s="37"/>
      <c r="L237" s="37"/>
      <c r="M237" s="37"/>
      <c r="N237" s="37"/>
      <c r="O237" s="37"/>
      <c r="P237" s="37"/>
      <c r="Q237" s="37"/>
      <c r="AC237" s="261"/>
      <c r="AD237" s="261"/>
    </row>
    <row r="238">
      <c r="A238" s="270" t="str">
        <f t="shared" si="70"/>
        <v/>
      </c>
      <c r="B238" s="37" t="str">
        <f t="shared" si="71"/>
        <v/>
      </c>
      <c r="C238" s="270">
        <f t="shared" si="72"/>
        <v>4</v>
      </c>
      <c r="D238" s="37" t="str">
        <f t="array" ref="D238">xlookup(D231,A228:A233,K228:K233,"")</f>
        <v/>
      </c>
      <c r="E238" s="270" t="str">
        <f t="array" ref="E238">xlookup(E231,A228:A233,K228:K233,"")</f>
        <v/>
      </c>
      <c r="F238" s="37"/>
      <c r="G238" s="37"/>
      <c r="H238" s="37"/>
      <c r="I238" s="37"/>
      <c r="J238" s="37"/>
      <c r="K238" s="37"/>
      <c r="L238" s="37"/>
      <c r="M238" s="37"/>
      <c r="N238" s="37"/>
      <c r="O238" s="37"/>
      <c r="P238" s="37"/>
      <c r="Q238" s="37"/>
      <c r="AC238" s="261"/>
      <c r="AD238" s="261"/>
    </row>
    <row r="239">
      <c r="A239" s="270" t="str">
        <f t="shared" si="70"/>
        <v/>
      </c>
      <c r="B239" s="37" t="str">
        <f t="shared" si="71"/>
        <v/>
      </c>
      <c r="C239" s="270">
        <f t="shared" si="72"/>
        <v>5</v>
      </c>
      <c r="D239" s="37" t="str">
        <f t="array" ref="D239">xlookup(D232,A228:A233,K228:K233,"")</f>
        <v/>
      </c>
      <c r="E239" s="270" t="str">
        <f t="array" ref="E239">xlookup(E232,A228:A233,K228:K233,"")</f>
        <v/>
      </c>
      <c r="F239" s="37"/>
      <c r="G239" s="37"/>
      <c r="H239" s="37"/>
      <c r="I239" s="37"/>
      <c r="J239" s="37"/>
      <c r="K239" s="271" t="str">
        <f t="array" ref="K239:L241">'Choose matchups (Main)'!Q70:R72</f>
        <v>#N/A</v>
      </c>
      <c r="L239" s="271" t="e">
        <v>#N/A</v>
      </c>
      <c r="M239" s="37"/>
      <c r="N239" s="37"/>
      <c r="O239" s="37"/>
      <c r="P239" s="37"/>
      <c r="Q239" s="37"/>
      <c r="AC239" s="261"/>
      <c r="AD239" s="261"/>
    </row>
    <row r="240">
      <c r="A240" s="270" t="str">
        <f t="shared" si="70"/>
        <v/>
      </c>
      <c r="B240" s="37" t="str">
        <f t="shared" si="71"/>
        <v/>
      </c>
      <c r="C240" s="270">
        <f t="shared" si="72"/>
        <v>6</v>
      </c>
      <c r="D240" s="37" t="str">
        <f t="array" ref="D240">xlookup(D233,A228:A233,K228:K233,"")</f>
        <v/>
      </c>
      <c r="E240" s="270" t="str">
        <f t="array" ref="E240">xlookup(E233,A228:A233,K228:K233,"")</f>
        <v/>
      </c>
      <c r="F240" s="37"/>
      <c r="G240" s="37"/>
      <c r="H240" s="37"/>
      <c r="I240" s="37"/>
      <c r="J240" s="37"/>
      <c r="K240" s="271" t="e">
        <v>#N/A</v>
      </c>
      <c r="L240" s="271" t="e">
        <v>#N/A</v>
      </c>
      <c r="M240" s="37"/>
      <c r="N240" s="37"/>
      <c r="O240" s="37"/>
      <c r="P240" s="37"/>
      <c r="Q240" s="37"/>
      <c r="AC240" s="261"/>
      <c r="AD240" s="261"/>
    </row>
    <row r="241">
      <c r="A241" s="37"/>
      <c r="B241" s="37"/>
      <c r="C241" s="37"/>
      <c r="D241" s="37"/>
      <c r="E241" s="37"/>
      <c r="F241" s="37"/>
      <c r="G241" s="37"/>
      <c r="H241" s="37"/>
      <c r="I241" s="37"/>
      <c r="J241" s="37"/>
      <c r="K241" s="271" t="e">
        <v>#N/A</v>
      </c>
      <c r="L241" s="271" t="e">
        <v>#N/A</v>
      </c>
      <c r="M241" s="37"/>
      <c r="N241" s="37"/>
      <c r="O241" s="37"/>
      <c r="P241" s="37"/>
      <c r="Q241" s="37"/>
      <c r="AC241" s="261"/>
      <c r="AD241" s="261"/>
    </row>
    <row r="242">
      <c r="A242" s="263" t="s">
        <v>409</v>
      </c>
      <c r="B242" s="37"/>
      <c r="C242" s="37"/>
      <c r="D242" s="37"/>
      <c r="E242" s="37"/>
      <c r="F242" s="37"/>
      <c r="G242" s="37"/>
      <c r="H242" s="37"/>
      <c r="I242" s="37"/>
      <c r="J242" s="37"/>
      <c r="K242" s="37"/>
      <c r="L242" s="37"/>
      <c r="M242" s="37"/>
      <c r="N242" s="37"/>
      <c r="O242" s="37"/>
      <c r="P242" s="37"/>
      <c r="Q242" s="37"/>
      <c r="AC242" s="261"/>
      <c r="AD242" s="261"/>
    </row>
    <row r="243" outlineLevel="1">
      <c r="A243" s="270">
        <v>1.0</v>
      </c>
      <c r="B243" s="270">
        <v>6.0</v>
      </c>
      <c r="C243" s="270">
        <f t="array" ref="C243">if(or(xlookup(A243,C235:C240,D235:D240)=B243,xlookup(A243,C235:C240,E235:E240)=B243),1,0)</f>
        <v>0</v>
      </c>
      <c r="D243" s="37"/>
      <c r="E243" s="270">
        <v>1.0</v>
      </c>
      <c r="F243" s="270">
        <v>6.0</v>
      </c>
      <c r="G243" s="270">
        <f t="array" ref="G243">if(or(xlookup(E243,C235:C240,D235:D240)=F243,xlookup(E243,C235:C240,E235:E240)=F243),1,0)</f>
        <v>0</v>
      </c>
      <c r="H243" s="37"/>
      <c r="I243" s="270">
        <v>1.0</v>
      </c>
      <c r="J243" s="270">
        <v>6.0</v>
      </c>
      <c r="K243" s="270">
        <f t="array" ref="K243">if(or(xlookup(I243,C235:C240,D235:D240)=J243,xlookup(I243,C235:C240,E235:E240)=J243),1,0)</f>
        <v>0</v>
      </c>
      <c r="L243" s="37"/>
      <c r="M243" s="270">
        <v>1.0</v>
      </c>
      <c r="N243" s="270">
        <f>C246</f>
        <v>0</v>
      </c>
      <c r="O243" s="270">
        <f t="array" ref="O243:Q243">TRANSPOSE(B243:B245)</f>
        <v>6</v>
      </c>
      <c r="P243" s="270">
        <v>5.0</v>
      </c>
      <c r="Q243" s="270">
        <v>4.0</v>
      </c>
      <c r="AC243" s="261"/>
      <c r="AD243" s="261"/>
    </row>
    <row r="244" outlineLevel="1">
      <c r="A244" s="270">
        <v>2.0</v>
      </c>
      <c r="B244" s="270">
        <v>5.0</v>
      </c>
      <c r="C244" s="270">
        <f t="array" ref="C244">if(or(xlookup(A244,C235:C240,D235:D240)=B244,xlookup(A244,C235:C240,E235:E240)=B244),1,0)</f>
        <v>0</v>
      </c>
      <c r="D244" s="37"/>
      <c r="E244" s="270">
        <v>2.0</v>
      </c>
      <c r="F244" s="270">
        <v>5.0</v>
      </c>
      <c r="G244" s="270">
        <f t="array" ref="G244">if(or(xlookup(E244,C235:C240,D235:D240)=F244,xlookup(E244,C235:C240,E235:E240)=F244),1,0)</f>
        <v>0</v>
      </c>
      <c r="H244" s="37"/>
      <c r="I244" s="270">
        <v>2.0</v>
      </c>
      <c r="J244" s="270">
        <v>4.0</v>
      </c>
      <c r="K244" s="270">
        <f t="array" ref="K244">if(or(xlookup(I244,C235:C240,D235:D240)=J244,xlookup(I244,C235:C240,E235:E240)=J244),1,0)</f>
        <v>0</v>
      </c>
      <c r="L244" s="37"/>
      <c r="M244" s="270">
        <f t="shared" ref="M244:M260" si="73">M243+1</f>
        <v>2</v>
      </c>
      <c r="N244" s="270">
        <f>C250</f>
        <v>0</v>
      </c>
      <c r="O244" s="270">
        <f t="array" ref="O244:Q244">TRANSPOSE(B247:B249)</f>
        <v>6</v>
      </c>
      <c r="P244" s="270">
        <v>4.0</v>
      </c>
      <c r="Q244" s="270">
        <v>5.0</v>
      </c>
      <c r="AC244" s="261"/>
      <c r="AD244" s="261"/>
    </row>
    <row r="245" outlineLevel="1">
      <c r="A245" s="270">
        <v>3.0</v>
      </c>
      <c r="B245" s="270">
        <v>4.0</v>
      </c>
      <c r="C245" s="270">
        <f t="array" ref="C245">if(or(xlookup(A245,C235:C240,D235:D240)=B245,xlookup(A245,C235:C240,E235:E240)=B245),1,0)</f>
        <v>0</v>
      </c>
      <c r="D245" s="37"/>
      <c r="E245" s="270">
        <v>4.0</v>
      </c>
      <c r="F245" s="270">
        <v>3.0</v>
      </c>
      <c r="G245" s="270">
        <f t="array" ref="G245">if(or(xlookup(E245,C235:C240,D235:D240)=F245,xlookup(E245,C235:C240,E235:E240)=F245),1,0)</f>
        <v>0</v>
      </c>
      <c r="H245" s="37"/>
      <c r="I245" s="270">
        <v>5.0</v>
      </c>
      <c r="J245" s="270">
        <v>3.0</v>
      </c>
      <c r="K245" s="270">
        <f t="array" ref="K245">if(or(xlookup(I245,C235:C240,D235:D240)=J245,xlookup(I245,C235:C240,E235:E240)=J245),1,0)</f>
        <v>0</v>
      </c>
      <c r="L245" s="37"/>
      <c r="M245" s="270">
        <f t="shared" si="73"/>
        <v>3</v>
      </c>
      <c r="N245" s="270">
        <f>C254</f>
        <v>0</v>
      </c>
      <c r="O245" s="270">
        <f t="array" ref="O245:Q245">TRANSPOSE(B251:B253)</f>
        <v>5</v>
      </c>
      <c r="P245" s="270">
        <v>6.0</v>
      </c>
      <c r="Q245" s="270">
        <v>4.0</v>
      </c>
      <c r="AC245" s="261"/>
      <c r="AD245" s="261"/>
    </row>
    <row r="246" outlineLevel="1">
      <c r="A246" s="37"/>
      <c r="B246" s="37"/>
      <c r="C246" s="272">
        <f>SUM(C243:C245)</f>
        <v>0</v>
      </c>
      <c r="D246" s="37"/>
      <c r="E246" s="37"/>
      <c r="F246" s="37"/>
      <c r="G246" s="272">
        <f>SUM(G243:G245)</f>
        <v>0</v>
      </c>
      <c r="H246" s="37"/>
      <c r="I246" s="37"/>
      <c r="J246" s="37"/>
      <c r="K246" s="272">
        <f>SUM(K243:K245)</f>
        <v>0</v>
      </c>
      <c r="L246" s="37"/>
      <c r="M246" s="270">
        <f t="shared" si="73"/>
        <v>4</v>
      </c>
      <c r="N246" s="270">
        <f>C258</f>
        <v>0</v>
      </c>
      <c r="O246" s="270">
        <f t="array" ref="O246:Q246">TRANSPOSE(B255:B257)</f>
        <v>5</v>
      </c>
      <c r="P246" s="270">
        <v>4.0</v>
      </c>
      <c r="Q246" s="270">
        <v>6.0</v>
      </c>
      <c r="AC246" s="261"/>
      <c r="AD246" s="261"/>
    </row>
    <row r="247" outlineLevel="1">
      <c r="A247" s="270">
        <v>1.0</v>
      </c>
      <c r="B247" s="270">
        <v>6.0</v>
      </c>
      <c r="C247" s="270">
        <f t="array" ref="C247">if(or(xlookup(A247,C235:C240,D235:D240)=B247,xlookup(A247,C235:C240,E235:E240)=B247),1,0)</f>
        <v>0</v>
      </c>
      <c r="D247" s="37"/>
      <c r="E247" s="270">
        <v>1.0</v>
      </c>
      <c r="F247" s="270">
        <v>6.0</v>
      </c>
      <c r="G247" s="270">
        <f t="array" ref="G247">if(or(xlookup(E247,C235:C240,D235:D240)=F247,xlookup(E247,C235:C240,E235:E240)=F247),1,0)</f>
        <v>0</v>
      </c>
      <c r="H247" s="37"/>
      <c r="I247" s="270">
        <v>1.0</v>
      </c>
      <c r="J247" s="270">
        <v>6.0</v>
      </c>
      <c r="K247" s="270">
        <f t="array" ref="K247">if(or(xlookup(I247,C235:C240,D235:D240)=J247,xlookup(I247,C235:C240,E235:E240)=J247),1,0)</f>
        <v>0</v>
      </c>
      <c r="L247" s="37"/>
      <c r="M247" s="270">
        <f t="shared" si="73"/>
        <v>5</v>
      </c>
      <c r="N247" s="270">
        <f>C262</f>
        <v>0</v>
      </c>
      <c r="O247" s="270">
        <f t="array" ref="O247:Q247">TRANSPOSE(B259:B261)</f>
        <v>4</v>
      </c>
      <c r="P247" s="270">
        <v>6.0</v>
      </c>
      <c r="Q247" s="270">
        <v>5.0</v>
      </c>
      <c r="AC247" s="261"/>
      <c r="AD247" s="261"/>
    </row>
    <row r="248" outlineLevel="1">
      <c r="A248" s="270">
        <v>2.0</v>
      </c>
      <c r="B248" s="270">
        <v>4.0</v>
      </c>
      <c r="C248" s="270">
        <f t="array" ref="C248">if(or(xlookup(A248,C235:C240,D235:D240)=B248,xlookup(A248,C235:C240,E235:E240)=B248),1,0)</f>
        <v>0</v>
      </c>
      <c r="D248" s="37"/>
      <c r="E248" s="270">
        <v>2.0</v>
      </c>
      <c r="F248" s="270">
        <v>3.0</v>
      </c>
      <c r="G248" s="270">
        <f t="array" ref="G248">if(or(xlookup(E248,C235:C240,D235:D240)=F248,xlookup(E248,C235:C240,E235:E240)=F248),1,0)</f>
        <v>0</v>
      </c>
      <c r="H248" s="37"/>
      <c r="I248" s="270">
        <v>2.0</v>
      </c>
      <c r="J248" s="270">
        <v>3.0</v>
      </c>
      <c r="K248" s="270">
        <f t="array" ref="K248">if(or(xlookup(I248,C235:C240,D235:D240)=J248,xlookup(I248,C235:C240,E235:E240)=J248),1,0)</f>
        <v>0</v>
      </c>
      <c r="L248" s="37"/>
      <c r="M248" s="270">
        <f t="shared" si="73"/>
        <v>6</v>
      </c>
      <c r="N248" s="270">
        <f>C266</f>
        <v>0</v>
      </c>
      <c r="O248" s="270">
        <f t="array" ref="O248:Q248">TRANSPOSE(B263:B265)</f>
        <v>4</v>
      </c>
      <c r="P248" s="270">
        <v>5.0</v>
      </c>
      <c r="Q248" s="270">
        <v>6.0</v>
      </c>
      <c r="AC248" s="261"/>
      <c r="AD248" s="261"/>
    </row>
    <row r="249" outlineLevel="1">
      <c r="A249" s="270">
        <v>3.0</v>
      </c>
      <c r="B249" s="270">
        <v>5.0</v>
      </c>
      <c r="C249" s="270">
        <f t="array" ref="C249">if(or(xlookup(A249,C235:C240,D235:D240)=B249,xlookup(A249,C235:C240,E235:E240)=B249),1,0)</f>
        <v>0</v>
      </c>
      <c r="D249" s="37"/>
      <c r="E249" s="270">
        <v>4.0</v>
      </c>
      <c r="F249" s="270">
        <v>5.0</v>
      </c>
      <c r="G249" s="270">
        <f t="array" ref="G249">if(or(xlookup(E249,C235:C240,D235:D240)=F249,xlookup(E249,C235:C240,E235:E240)=F249),1,0)</f>
        <v>0</v>
      </c>
      <c r="H249" s="37"/>
      <c r="I249" s="270">
        <v>5.0</v>
      </c>
      <c r="J249" s="270">
        <v>4.0</v>
      </c>
      <c r="K249" s="270">
        <f t="array" ref="K249">if(or(xlookup(I249,C235:C240,D235:D240)=J249,xlookup(I249,C235:C240,E235:E240)=J249),1,0)</f>
        <v>0</v>
      </c>
      <c r="L249" s="37"/>
      <c r="M249" s="270">
        <f t="shared" si="73"/>
        <v>7</v>
      </c>
      <c r="N249" s="270">
        <f>G246</f>
        <v>0</v>
      </c>
      <c r="O249" s="270">
        <f t="array" ref="O249:Q249">TRANSPOSE(F243:F245)</f>
        <v>6</v>
      </c>
      <c r="P249" s="270">
        <v>5.0</v>
      </c>
      <c r="Q249" s="270">
        <v>3.0</v>
      </c>
      <c r="AC249" s="261"/>
      <c r="AD249" s="261"/>
    </row>
    <row r="250" outlineLevel="1">
      <c r="A250" s="37"/>
      <c r="B250" s="37"/>
      <c r="C250" s="272">
        <f>SUM(C247:C249)</f>
        <v>0</v>
      </c>
      <c r="D250" s="37"/>
      <c r="E250" s="37"/>
      <c r="F250" s="37"/>
      <c r="G250" s="272">
        <f>SUM(G247:G249)</f>
        <v>0</v>
      </c>
      <c r="H250" s="37"/>
      <c r="I250" s="37"/>
      <c r="J250" s="37"/>
      <c r="K250" s="272">
        <f>SUM(K247:K249)</f>
        <v>0</v>
      </c>
      <c r="L250" s="37"/>
      <c r="M250" s="270">
        <f t="shared" si="73"/>
        <v>8</v>
      </c>
      <c r="N250" s="270">
        <f>G250</f>
        <v>0</v>
      </c>
      <c r="O250" s="270">
        <f t="array" ref="O250:Q250">TRANSPOSE(F247:F249)</f>
        <v>6</v>
      </c>
      <c r="P250" s="270">
        <v>3.0</v>
      </c>
      <c r="Q250" s="270">
        <v>5.0</v>
      </c>
      <c r="AC250" s="261"/>
      <c r="AD250" s="261"/>
    </row>
    <row r="251" outlineLevel="1">
      <c r="A251" s="270">
        <v>1.0</v>
      </c>
      <c r="B251" s="270">
        <v>5.0</v>
      </c>
      <c r="C251" s="270">
        <f t="array" ref="C251">if(or(xlookup(A251,C235:C240,D235:D240)=B251,xlookup(A251,C235:C240,E235:E240)=B251),1,0)</f>
        <v>0</v>
      </c>
      <c r="D251" s="37"/>
      <c r="E251" s="270">
        <v>1.0</v>
      </c>
      <c r="F251" s="270">
        <v>5.0</v>
      </c>
      <c r="G251" s="270">
        <f t="array" ref="G251">if(or(xlookup(E251,C235:C240,D235:D240)=F251,xlookup(E251,C235:C240,E235:E240)=F251),1,0)</f>
        <v>0</v>
      </c>
      <c r="H251" s="37"/>
      <c r="I251" s="270">
        <v>1.0</v>
      </c>
      <c r="J251" s="270">
        <v>4.0</v>
      </c>
      <c r="K251" s="270">
        <f t="array" ref="K251">if(or(xlookup(I251,C235:C240,D235:D240)=J251,xlookup(I251,C235:C240,E235:E240)=J251),1,0)</f>
        <v>0</v>
      </c>
      <c r="L251" s="37"/>
      <c r="M251" s="270">
        <f t="shared" si="73"/>
        <v>9</v>
      </c>
      <c r="N251" s="270">
        <f>G254</f>
        <v>0</v>
      </c>
      <c r="O251" s="270">
        <f t="array" ref="O251:Q251">TRANSPOSE(F251:F253)</f>
        <v>5</v>
      </c>
      <c r="P251" s="270">
        <v>6.0</v>
      </c>
      <c r="Q251" s="270">
        <v>3.0</v>
      </c>
      <c r="AC251" s="261"/>
      <c r="AD251" s="261"/>
    </row>
    <row r="252" outlineLevel="1">
      <c r="A252" s="270">
        <v>2.0</v>
      </c>
      <c r="B252" s="270">
        <v>6.0</v>
      </c>
      <c r="C252" s="270">
        <f t="array" ref="C252">if(or(xlookup(A252,C235:C240,D235:D240)=B252,xlookup(A252,C235:C240,E235:E240)=B252),1,0)</f>
        <v>0</v>
      </c>
      <c r="D252" s="37"/>
      <c r="E252" s="270">
        <v>2.0</v>
      </c>
      <c r="F252" s="270">
        <v>6.0</v>
      </c>
      <c r="G252" s="270">
        <f t="array" ref="G252">if(or(xlookup(E252,C235:C240,D235:D240)=F252,xlookup(E252,C235:C240,E235:E240)=F252),1,0)</f>
        <v>0</v>
      </c>
      <c r="H252" s="37"/>
      <c r="I252" s="270">
        <v>2.0</v>
      </c>
      <c r="J252" s="270">
        <v>6.0</v>
      </c>
      <c r="K252" s="270">
        <f t="array" ref="K252">if(or(xlookup(I252,C235:C240,D235:D240)=J252,xlookup(I252,C235:C240,E235:E240)=J252),1,0)</f>
        <v>0</v>
      </c>
      <c r="L252" s="37"/>
      <c r="M252" s="270">
        <f t="shared" si="73"/>
        <v>10</v>
      </c>
      <c r="N252" s="270">
        <f>G258</f>
        <v>0</v>
      </c>
      <c r="O252" s="270">
        <f t="array" ref="O252:Q252">TRANSPOSE(F255:F257)</f>
        <v>5</v>
      </c>
      <c r="P252" s="270">
        <v>3.0</v>
      </c>
      <c r="Q252" s="270">
        <v>6.0</v>
      </c>
      <c r="AC252" s="261"/>
      <c r="AD252" s="261"/>
    </row>
    <row r="253" outlineLevel="1">
      <c r="A253" s="270">
        <v>3.0</v>
      </c>
      <c r="B253" s="270">
        <v>4.0</v>
      </c>
      <c r="C253" s="270">
        <f t="array" ref="C253">if(or(xlookup(A253,C235:C240,D235:D240)=B253,xlookup(A253,C235:C240,E235:E240)=B253),1,0)</f>
        <v>0</v>
      </c>
      <c r="D253" s="37"/>
      <c r="E253" s="270">
        <v>4.0</v>
      </c>
      <c r="F253" s="270">
        <v>3.0</v>
      </c>
      <c r="G253" s="270">
        <f t="array" ref="G253">if(or(xlookup(E253,C235:C240,D235:D240)=F253,xlookup(E253,C235:C240,E235:E240)=F253),1,0)</f>
        <v>0</v>
      </c>
      <c r="H253" s="37"/>
      <c r="I253" s="270">
        <v>5.0</v>
      </c>
      <c r="J253" s="270">
        <v>3.0</v>
      </c>
      <c r="K253" s="270">
        <f t="array" ref="K253">if(or(xlookup(I253,C235:C240,D235:D240)=J253,xlookup(I253,C235:C240,E235:E240)=J253),1,0)</f>
        <v>0</v>
      </c>
      <c r="L253" s="37"/>
      <c r="M253" s="270">
        <f t="shared" si="73"/>
        <v>11</v>
      </c>
      <c r="N253" s="270">
        <f>G262</f>
        <v>0</v>
      </c>
      <c r="O253" s="270">
        <f t="array" ref="O253:Q253">TRANSPOSE(F259:F261)</f>
        <v>3</v>
      </c>
      <c r="P253" s="270">
        <v>6.0</v>
      </c>
      <c r="Q253" s="270">
        <v>5.0</v>
      </c>
      <c r="AC253" s="261"/>
      <c r="AD253" s="261"/>
    </row>
    <row r="254" outlineLevel="1">
      <c r="A254" s="37"/>
      <c r="B254" s="37"/>
      <c r="C254" s="272">
        <f>SUM(C251:C253)</f>
        <v>0</v>
      </c>
      <c r="D254" s="37"/>
      <c r="E254" s="37"/>
      <c r="F254" s="37"/>
      <c r="G254" s="272">
        <f>SUM(G251:G253)</f>
        <v>0</v>
      </c>
      <c r="H254" s="37"/>
      <c r="I254" s="37"/>
      <c r="J254" s="37"/>
      <c r="K254" s="272">
        <f>SUM(K251:K253)</f>
        <v>0</v>
      </c>
      <c r="L254" s="37"/>
      <c r="M254" s="270">
        <f t="shared" si="73"/>
        <v>12</v>
      </c>
      <c r="N254" s="270">
        <f>G266</f>
        <v>0</v>
      </c>
      <c r="O254" s="270">
        <f t="array" ref="O254:Q254">TRANSPOSE(F263:F265)</f>
        <v>3</v>
      </c>
      <c r="P254" s="270">
        <v>5.0</v>
      </c>
      <c r="Q254" s="270">
        <v>6.0</v>
      </c>
      <c r="AC254" s="261"/>
      <c r="AD254" s="261"/>
    </row>
    <row r="255" outlineLevel="1">
      <c r="A255" s="270">
        <v>1.0</v>
      </c>
      <c r="B255" s="270">
        <v>5.0</v>
      </c>
      <c r="C255" s="270">
        <f t="array" ref="C255">if(or(xlookup(A255,C235:C240,D235:D240)=B255,xlookup(A255,C235:C240,E235:E240)=B255),1,0)</f>
        <v>0</v>
      </c>
      <c r="D255" s="37"/>
      <c r="E255" s="270">
        <v>1.0</v>
      </c>
      <c r="F255" s="270">
        <v>5.0</v>
      </c>
      <c r="G255" s="270">
        <f t="array" ref="G255">if(or(xlookup(E255,C235:C240,D235:D240)=F255,xlookup(E255,C235:C240,E235:E240)=F255),1,0)</f>
        <v>0</v>
      </c>
      <c r="H255" s="37"/>
      <c r="I255" s="270">
        <v>1.0</v>
      </c>
      <c r="J255" s="270">
        <v>4.0</v>
      </c>
      <c r="K255" s="270">
        <f t="array" ref="K255">if(or(xlookup(I255,C235:C240,D235:D240)=J255,xlookup(I255,C235:C240,E235:E240)=J255),1,0)</f>
        <v>0</v>
      </c>
      <c r="L255" s="37"/>
      <c r="M255" s="270">
        <f t="shared" si="73"/>
        <v>13</v>
      </c>
      <c r="N255" s="270">
        <f>K246</f>
        <v>0</v>
      </c>
      <c r="O255" s="270">
        <f t="array" ref="O255:Q255">TRANSPOSE(J243:J245)</f>
        <v>6</v>
      </c>
      <c r="P255" s="270">
        <v>4.0</v>
      </c>
      <c r="Q255" s="270">
        <v>3.0</v>
      </c>
      <c r="AC255" s="261"/>
      <c r="AD255" s="261"/>
    </row>
    <row r="256" outlineLevel="1">
      <c r="A256" s="270">
        <v>2.0</v>
      </c>
      <c r="B256" s="270">
        <v>4.0</v>
      </c>
      <c r="C256" s="270">
        <f t="array" ref="C256">if(or(xlookup(A256,C235:C240,D235:D240)=B256,xlookup(A256,C235:C240,E235:E240)=B256),1,0)</f>
        <v>0</v>
      </c>
      <c r="D256" s="37"/>
      <c r="E256" s="270">
        <v>2.0</v>
      </c>
      <c r="F256" s="270">
        <v>3.0</v>
      </c>
      <c r="G256" s="270">
        <f t="array" ref="G256">if(or(xlookup(E256,C235:C240,D235:D240)=F256,xlookup(E256,C235:C240,E235:E240)=F256),1,0)</f>
        <v>0</v>
      </c>
      <c r="H256" s="37"/>
      <c r="I256" s="270">
        <v>2.0</v>
      </c>
      <c r="J256" s="270">
        <v>3.0</v>
      </c>
      <c r="K256" s="270">
        <f t="array" ref="K256">if(or(xlookup(I256,C235:C240,D235:D240)=J256,xlookup(I256,C235:C240,E235:E240)=J256),1,0)</f>
        <v>0</v>
      </c>
      <c r="L256" s="37"/>
      <c r="M256" s="270">
        <f t="shared" si="73"/>
        <v>14</v>
      </c>
      <c r="N256" s="270">
        <f>K250</f>
        <v>0</v>
      </c>
      <c r="O256" s="270">
        <f t="array" ref="O256:Q256">TRANSPOSE(J247:J249)</f>
        <v>6</v>
      </c>
      <c r="P256" s="270">
        <v>3.0</v>
      </c>
      <c r="Q256" s="270">
        <v>4.0</v>
      </c>
      <c r="AC256" s="261"/>
      <c r="AD256" s="261"/>
    </row>
    <row r="257" outlineLevel="1">
      <c r="A257" s="270">
        <v>3.0</v>
      </c>
      <c r="B257" s="270">
        <v>6.0</v>
      </c>
      <c r="C257" s="270">
        <f t="array" ref="C257">if(or(xlookup(A257,C235:C240,D235:D240)=B257,xlookup(A257,C235:C240,E235:E240)=B257),1,0)</f>
        <v>0</v>
      </c>
      <c r="D257" s="37"/>
      <c r="E257" s="270">
        <v>4.0</v>
      </c>
      <c r="F257" s="270">
        <v>6.0</v>
      </c>
      <c r="G257" s="270">
        <f t="array" ref="G257">if(or(xlookup(E257,C235:C240,D235:D240)=F257,xlookup(E257,C235:C240,E235:E240)=F257),1,0)</f>
        <v>0</v>
      </c>
      <c r="H257" s="37"/>
      <c r="I257" s="270">
        <v>5.0</v>
      </c>
      <c r="J257" s="270">
        <v>6.0</v>
      </c>
      <c r="K257" s="270">
        <f t="array" ref="K257">if(or(xlookup(I257,C235:C240,D235:D240)=J257,xlookup(I257,C235:C240,E235:E240)=J257),1,0)</f>
        <v>0</v>
      </c>
      <c r="L257" s="37"/>
      <c r="M257" s="270">
        <f t="shared" si="73"/>
        <v>15</v>
      </c>
      <c r="N257" s="270">
        <f>K254</f>
        <v>0</v>
      </c>
      <c r="O257" s="270">
        <f t="array" ref="O257:Q257">TRANSPOSE(J251:J253)</f>
        <v>4</v>
      </c>
      <c r="P257" s="270">
        <v>6.0</v>
      </c>
      <c r="Q257" s="270">
        <v>3.0</v>
      </c>
      <c r="AC257" s="261"/>
      <c r="AD257" s="261"/>
    </row>
    <row r="258" outlineLevel="1">
      <c r="A258" s="37"/>
      <c r="B258" s="37"/>
      <c r="C258" s="272">
        <f>SUM(C255:C257)</f>
        <v>0</v>
      </c>
      <c r="D258" s="37"/>
      <c r="E258" s="37"/>
      <c r="F258" s="37"/>
      <c r="G258" s="272">
        <f>SUM(G255:G257)</f>
        <v>0</v>
      </c>
      <c r="H258" s="37"/>
      <c r="I258" s="37"/>
      <c r="J258" s="37"/>
      <c r="K258" s="272">
        <f>SUM(K255:K257)</f>
        <v>0</v>
      </c>
      <c r="L258" s="37"/>
      <c r="M258" s="270">
        <f t="shared" si="73"/>
        <v>16</v>
      </c>
      <c r="N258" s="270">
        <f>K258</f>
        <v>0</v>
      </c>
      <c r="O258" s="270">
        <f t="array" ref="O258:Q258">TRANSPOSE(J255:J257)</f>
        <v>4</v>
      </c>
      <c r="P258" s="270">
        <v>3.0</v>
      </c>
      <c r="Q258" s="270">
        <v>6.0</v>
      </c>
      <c r="AC258" s="261"/>
      <c r="AD258" s="261"/>
    </row>
    <row r="259" outlineLevel="1">
      <c r="A259" s="270">
        <v>1.0</v>
      </c>
      <c r="B259" s="270">
        <v>4.0</v>
      </c>
      <c r="C259" s="270">
        <f t="array" ref="C259">if(or(xlookup(A259,C235:C240,D235:D240)=B259,xlookup(A259,C235:C240,E235:E240)=B259),1,0)</f>
        <v>0</v>
      </c>
      <c r="D259" s="37"/>
      <c r="E259" s="270">
        <v>1.0</v>
      </c>
      <c r="F259" s="270">
        <v>3.0</v>
      </c>
      <c r="G259" s="270">
        <f t="array" ref="G259">if(or(xlookup(E259,C235:C240,D235:D240)=F259,xlookup(E259,C235:C240,E235:E240)=F259),1,0)</f>
        <v>0</v>
      </c>
      <c r="H259" s="37"/>
      <c r="I259" s="270">
        <v>1.0</v>
      </c>
      <c r="J259" s="270">
        <v>3.0</v>
      </c>
      <c r="K259" s="270">
        <f t="array" ref="K259">if(or(xlookup(I259,C235:C240,D235:D240)=J259,xlookup(I259,C235:C240,E235:E240)=J259),1,0)</f>
        <v>0</v>
      </c>
      <c r="L259" s="37"/>
      <c r="M259" s="270">
        <f t="shared" si="73"/>
        <v>17</v>
      </c>
      <c r="N259" s="270">
        <f>K262</f>
        <v>0</v>
      </c>
      <c r="O259" s="270">
        <f t="array" ref="O259:Q259">TRANSPOSE(J259:J261)</f>
        <v>3</v>
      </c>
      <c r="P259" s="270">
        <v>6.0</v>
      </c>
      <c r="Q259" s="270">
        <v>4.0</v>
      </c>
      <c r="AC259" s="261"/>
      <c r="AD259" s="261"/>
    </row>
    <row r="260" outlineLevel="1">
      <c r="A260" s="270">
        <v>2.0</v>
      </c>
      <c r="B260" s="270">
        <v>6.0</v>
      </c>
      <c r="C260" s="270">
        <f t="array" ref="C260">if(or(xlookup(A260,C235:C240,D235:D240)=B260,xlookup(A260,C235:C240,E235:E240)=B260),1,0)</f>
        <v>0</v>
      </c>
      <c r="D260" s="37"/>
      <c r="E260" s="270">
        <v>2.0</v>
      </c>
      <c r="F260" s="270">
        <v>6.0</v>
      </c>
      <c r="G260" s="270">
        <f t="array" ref="G260">if(or(xlookup(E260,C235:C240,D235:D240)=F260,xlookup(E260,C235:C240,E235:E240)=F260),1,0)</f>
        <v>0</v>
      </c>
      <c r="H260" s="37"/>
      <c r="I260" s="270">
        <v>2.0</v>
      </c>
      <c r="J260" s="270">
        <v>6.0</v>
      </c>
      <c r="K260" s="270">
        <f t="array" ref="K260">if(or(xlookup(I260,C235:C240,D235:D240)=J260,xlookup(I260,C235:C240,E235:E240)=J260),1,0)</f>
        <v>0</v>
      </c>
      <c r="L260" s="37"/>
      <c r="M260" s="270">
        <f t="shared" si="73"/>
        <v>18</v>
      </c>
      <c r="N260" s="270">
        <f>K266</f>
        <v>0</v>
      </c>
      <c r="O260" s="270">
        <f t="array" ref="O260:Q260">TRANSPOSE(J263:J265)</f>
        <v>3</v>
      </c>
      <c r="P260" s="270">
        <v>4.0</v>
      </c>
      <c r="Q260" s="270">
        <v>6.0</v>
      </c>
      <c r="AC260" s="261"/>
      <c r="AD260" s="261"/>
    </row>
    <row r="261" outlineLevel="1">
      <c r="A261" s="270">
        <v>3.0</v>
      </c>
      <c r="B261" s="270">
        <v>5.0</v>
      </c>
      <c r="C261" s="270">
        <f t="array" ref="C261">if(or(xlookup(A261,C235:C240,D235:D240)=B261,xlookup(A261,C235:C240,E235:E240)=B261),1,0)</f>
        <v>0</v>
      </c>
      <c r="D261" s="37"/>
      <c r="E261" s="270">
        <v>4.0</v>
      </c>
      <c r="F261" s="270">
        <v>5.0</v>
      </c>
      <c r="G261" s="270">
        <f t="array" ref="G261">if(or(xlookup(E261,C235:C240,D235:D240)=F261,xlookup(E261,C235:C240,E235:E240)=F261),1,0)</f>
        <v>0</v>
      </c>
      <c r="H261" s="37"/>
      <c r="I261" s="270">
        <v>5.0</v>
      </c>
      <c r="J261" s="270">
        <v>4.0</v>
      </c>
      <c r="K261" s="270">
        <f t="array" ref="K261">if(or(xlookup(I261,C235:C240,D235:D240)=J261,xlookup(I261,C235:C240,E235:E240)=J261),1,0)</f>
        <v>0</v>
      </c>
      <c r="L261" s="37"/>
      <c r="M261" s="37"/>
      <c r="N261" s="37"/>
      <c r="O261" s="37"/>
      <c r="P261" s="37"/>
      <c r="Q261" s="37"/>
      <c r="AC261" s="261"/>
      <c r="AD261" s="261"/>
    </row>
    <row r="262" outlineLevel="1">
      <c r="A262" s="37"/>
      <c r="B262" s="37"/>
      <c r="C262" s="272">
        <f>SUM(C259:C261)</f>
        <v>0</v>
      </c>
      <c r="D262" s="37"/>
      <c r="E262" s="37"/>
      <c r="F262" s="37"/>
      <c r="G262" s="272">
        <f>SUM(G259:G261)</f>
        <v>0</v>
      </c>
      <c r="H262" s="37"/>
      <c r="I262" s="37"/>
      <c r="J262" s="37"/>
      <c r="K262" s="272">
        <f>SUM(K259:K261)</f>
        <v>0</v>
      </c>
      <c r="L262" s="37"/>
      <c r="M262" s="37"/>
      <c r="N262" s="37"/>
      <c r="O262" s="37"/>
      <c r="P262" s="37"/>
      <c r="Q262" s="37"/>
      <c r="AC262" s="261"/>
      <c r="AD262" s="261"/>
    </row>
    <row r="263" outlineLevel="1">
      <c r="A263" s="270">
        <v>1.0</v>
      </c>
      <c r="B263" s="270">
        <v>4.0</v>
      </c>
      <c r="C263" s="270">
        <f t="array" ref="C263">if(or(xlookup(A263,C235:C240,D235:D240)=B263,xlookup(A263,C235:C240,E235:E240)=B263),1,0)</f>
        <v>0</v>
      </c>
      <c r="D263" s="37"/>
      <c r="E263" s="270">
        <v>1.0</v>
      </c>
      <c r="F263" s="270">
        <v>3.0</v>
      </c>
      <c r="G263" s="270">
        <f t="array" ref="G263">if(or(xlookup(E263,C235:C240,D235:D240)=F263,xlookup(E263,C235:C240,E235:E240)=F263),1,0)</f>
        <v>0</v>
      </c>
      <c r="H263" s="37"/>
      <c r="I263" s="270">
        <v>1.0</v>
      </c>
      <c r="J263" s="270">
        <v>3.0</v>
      </c>
      <c r="K263" s="270">
        <f t="array" ref="K263">if(or(xlookup(I263,C235:C240,D235:D240)=J263,xlookup(I263,C235:C240,E235:E240)=J263),1,0)</f>
        <v>0</v>
      </c>
      <c r="L263" s="37"/>
      <c r="M263" s="37"/>
      <c r="N263" s="37"/>
      <c r="O263" s="37"/>
      <c r="P263" s="37"/>
      <c r="Q263" s="37"/>
      <c r="AC263" s="261"/>
      <c r="AD263" s="261"/>
    </row>
    <row r="264" outlineLevel="1">
      <c r="A264" s="270">
        <v>2.0</v>
      </c>
      <c r="B264" s="270">
        <v>5.0</v>
      </c>
      <c r="C264" s="270">
        <f t="array" ref="C264">if(or(xlookup(A264,C235:C240,D235:D240)=B264,xlookup(A264,C235:C240,E235:E240)=B264),1,0)</f>
        <v>0</v>
      </c>
      <c r="D264" s="37"/>
      <c r="E264" s="270">
        <v>2.0</v>
      </c>
      <c r="F264" s="270">
        <v>5.0</v>
      </c>
      <c r="G264" s="270">
        <f t="array" ref="G264">if(or(xlookup(E264,C235:C240,D235:D240)=F264,xlookup(E264,C235:C240,E235:E240)=F264),1,0)</f>
        <v>0</v>
      </c>
      <c r="H264" s="37"/>
      <c r="I264" s="270">
        <v>2.0</v>
      </c>
      <c r="J264" s="270">
        <v>4.0</v>
      </c>
      <c r="K264" s="270">
        <f t="array" ref="K264">if(or(xlookup(I264,C235:C240,D235:D240)=J264,xlookup(I264,C235:C240,E235:E240)=J264),1,0)</f>
        <v>0</v>
      </c>
      <c r="L264" s="37"/>
      <c r="M264" s="37"/>
      <c r="N264" s="37"/>
      <c r="O264" s="37"/>
      <c r="P264" s="37"/>
      <c r="Q264" s="37"/>
      <c r="AC264" s="261"/>
      <c r="AD264" s="261"/>
    </row>
    <row r="265" outlineLevel="1">
      <c r="A265" s="270">
        <v>3.0</v>
      </c>
      <c r="B265" s="270">
        <v>6.0</v>
      </c>
      <c r="C265" s="270">
        <f t="array" ref="C265">if(or(xlookup(A265,C235:C240,D235:D240)=B265,xlookup(A265,C235:C240,E235:E240)=B265),1,0)</f>
        <v>0</v>
      </c>
      <c r="D265" s="37"/>
      <c r="E265" s="270">
        <v>4.0</v>
      </c>
      <c r="F265" s="270">
        <v>6.0</v>
      </c>
      <c r="G265" s="270">
        <f t="array" ref="G265">if(or(xlookup(E265,C235:C240,D235:D240)=F265,xlookup(E265,C235:C240,E235:E240)=F265),1,0)</f>
        <v>0</v>
      </c>
      <c r="H265" s="37"/>
      <c r="I265" s="270">
        <v>5.0</v>
      </c>
      <c r="J265" s="270">
        <v>6.0</v>
      </c>
      <c r="K265" s="270">
        <f t="array" ref="K265">if(or(xlookup(I265,C235:C240,D235:D240)=J265,xlookup(I265,C235:C240,E235:E240)=J265),1,0)</f>
        <v>0</v>
      </c>
      <c r="L265" s="37"/>
      <c r="M265" s="37"/>
      <c r="N265" s="37"/>
      <c r="O265" s="37"/>
      <c r="P265" s="37"/>
      <c r="Q265" s="37"/>
      <c r="AC265" s="261"/>
      <c r="AD265" s="261"/>
    </row>
    <row r="266" outlineLevel="1">
      <c r="A266" s="37"/>
      <c r="B266" s="37"/>
      <c r="C266" s="272">
        <f>SUM(C263:C265)</f>
        <v>0</v>
      </c>
      <c r="D266" s="37"/>
      <c r="E266" s="37"/>
      <c r="F266" s="37"/>
      <c r="G266" s="272">
        <f>SUM(G263:G265)</f>
        <v>0</v>
      </c>
      <c r="H266" s="37"/>
      <c r="I266" s="37"/>
      <c r="J266" s="37"/>
      <c r="K266" s="272">
        <f>SUM(K263:K265)</f>
        <v>0</v>
      </c>
      <c r="L266" s="37"/>
      <c r="M266" s="37"/>
      <c r="N266" s="37"/>
      <c r="O266" s="37"/>
      <c r="P266" s="37"/>
      <c r="Q266" s="37"/>
      <c r="AC266" s="261"/>
      <c r="AD266" s="261"/>
    </row>
    <row r="267" outlineLevel="1">
      <c r="A267" s="37"/>
      <c r="B267" s="37"/>
      <c r="C267" s="37"/>
      <c r="D267" s="37"/>
      <c r="E267" s="37"/>
      <c r="F267" s="37"/>
      <c r="G267" s="37"/>
      <c r="H267" s="37"/>
      <c r="I267" s="37"/>
      <c r="J267" s="37"/>
      <c r="K267" s="37"/>
      <c r="L267" s="37"/>
      <c r="M267" s="37"/>
      <c r="N267" s="37"/>
      <c r="O267" s="37"/>
      <c r="P267" s="37"/>
      <c r="Q267" s="37"/>
      <c r="AC267" s="261"/>
      <c r="AD267" s="261"/>
    </row>
    <row r="268" outlineLevel="1">
      <c r="A268" s="37"/>
      <c r="B268" s="37"/>
      <c r="C268" s="37"/>
      <c r="D268" s="37"/>
      <c r="E268" s="37"/>
      <c r="F268" s="37"/>
      <c r="G268" s="37"/>
      <c r="H268" s="37"/>
      <c r="I268" s="37"/>
      <c r="J268" s="37"/>
      <c r="K268" s="37"/>
      <c r="L268" s="37"/>
      <c r="M268" s="37"/>
      <c r="N268" s="37"/>
      <c r="O268" s="37"/>
      <c r="P268" s="37"/>
      <c r="Q268" s="37"/>
      <c r="AC268" s="261"/>
      <c r="AD268" s="261"/>
    </row>
    <row r="269" outlineLevel="1">
      <c r="A269" s="37"/>
      <c r="B269" s="37"/>
      <c r="C269" s="37"/>
      <c r="D269" s="37"/>
      <c r="E269" s="37"/>
      <c r="F269" s="37"/>
      <c r="G269" s="37"/>
      <c r="H269" s="37"/>
      <c r="I269" s="37"/>
      <c r="J269" s="37"/>
      <c r="K269" s="37"/>
      <c r="L269" s="37"/>
      <c r="M269" s="37"/>
      <c r="N269" s="37"/>
      <c r="O269" s="37"/>
      <c r="P269" s="37"/>
      <c r="Q269" s="37"/>
      <c r="AC269" s="261"/>
      <c r="AD269" s="261"/>
    </row>
    <row r="270" outlineLevel="1">
      <c r="A270" s="270">
        <f t="array" ref="A270:E287">sort(M243:Q260,2,true)</f>
        <v>1</v>
      </c>
      <c r="B270" s="270">
        <v>0.0</v>
      </c>
      <c r="C270" s="270">
        <v>6.0</v>
      </c>
      <c r="D270" s="270">
        <v>5.0</v>
      </c>
      <c r="E270" s="270">
        <v>4.0</v>
      </c>
      <c r="F270" s="37"/>
      <c r="G270" s="270">
        <v>1.0</v>
      </c>
      <c r="H270" s="270">
        <f>C270</f>
        <v>6</v>
      </c>
      <c r="I270" s="37"/>
      <c r="J270" s="271" t="str">
        <f t="array" ref="J270">xlookup(G270,K228:K233,A228:A233,"")</f>
        <v>#N/A</v>
      </c>
      <c r="K270" s="271" t="str">
        <f t="array" ref="K270">xlookup(H270,K228:K233,A228:A233,"")</f>
        <v/>
      </c>
      <c r="L270" s="37"/>
      <c r="M270" s="37"/>
      <c r="N270" s="37"/>
      <c r="O270" s="37"/>
      <c r="P270" s="37"/>
      <c r="Q270" s="37"/>
      <c r="AC270" s="261"/>
      <c r="AD270" s="261"/>
    </row>
    <row r="271" outlineLevel="1">
      <c r="A271" s="270">
        <v>2.0</v>
      </c>
      <c r="B271" s="270">
        <v>0.0</v>
      </c>
      <c r="C271" s="270">
        <v>6.0</v>
      </c>
      <c r="D271" s="270">
        <v>4.0</v>
      </c>
      <c r="E271" s="270">
        <v>5.0</v>
      </c>
      <c r="F271" s="37"/>
      <c r="G271" s="270">
        <v>2.0</v>
      </c>
      <c r="H271" s="270">
        <f>D270</f>
        <v>5</v>
      </c>
      <c r="I271" s="37"/>
      <c r="J271" s="271" t="str">
        <f t="array" ref="J271">xlookup(G271,K228:K233,A228:A233,"")</f>
        <v/>
      </c>
      <c r="K271" s="271" t="str">
        <f t="array" ref="K271">xlookup(H271,K228:K233,A228:A233,"")</f>
        <v/>
      </c>
      <c r="L271" s="37"/>
      <c r="M271" s="37"/>
      <c r="N271" s="37"/>
      <c r="O271" s="37"/>
      <c r="P271" s="37"/>
      <c r="Q271" s="37"/>
      <c r="AC271" s="261"/>
      <c r="AD271" s="261"/>
    </row>
    <row r="272" outlineLevel="1">
      <c r="A272" s="270">
        <v>3.0</v>
      </c>
      <c r="B272" s="270">
        <v>0.0</v>
      </c>
      <c r="C272" s="270">
        <v>5.0</v>
      </c>
      <c r="D272" s="270">
        <v>6.0</v>
      </c>
      <c r="E272" s="270">
        <v>4.0</v>
      </c>
      <c r="F272" s="37"/>
      <c r="G272" s="270">
        <f>ifs(A270&lt;=6,3,and(A270&gt;6,A270&lt;13),4,A270&gt;12,5)</f>
        <v>3</v>
      </c>
      <c r="H272" s="270">
        <f>E270</f>
        <v>4</v>
      </c>
      <c r="I272" s="37"/>
      <c r="J272" s="271" t="str">
        <f t="array" ref="J272">xlookup(G272,K228:K233,A228:A233,"")</f>
        <v/>
      </c>
      <c r="K272" s="271" t="str">
        <f t="array" ref="K272">xlookup(H272,K228:K233,A228:A233,"")</f>
        <v/>
      </c>
      <c r="L272" s="37"/>
      <c r="M272" s="37"/>
      <c r="N272" s="37"/>
      <c r="O272" s="37"/>
      <c r="P272" s="37"/>
      <c r="Q272" s="37"/>
      <c r="AC272" s="261"/>
      <c r="AD272" s="261"/>
    </row>
    <row r="273" outlineLevel="1">
      <c r="A273" s="270">
        <v>4.0</v>
      </c>
      <c r="B273" s="270">
        <v>0.0</v>
      </c>
      <c r="C273" s="270">
        <v>5.0</v>
      </c>
      <c r="D273" s="270">
        <v>4.0</v>
      </c>
      <c r="E273" s="270">
        <v>6.0</v>
      </c>
      <c r="F273" s="37"/>
      <c r="G273" s="37"/>
      <c r="H273" s="37"/>
      <c r="I273" s="37"/>
      <c r="J273" s="37"/>
      <c r="K273" s="37"/>
      <c r="L273" s="37"/>
      <c r="M273" s="37"/>
      <c r="N273" s="37"/>
      <c r="O273" s="37"/>
      <c r="P273" s="37"/>
      <c r="Q273" s="37"/>
      <c r="AC273" s="261"/>
      <c r="AD273" s="261"/>
    </row>
    <row r="274" outlineLevel="1">
      <c r="A274" s="270">
        <v>5.0</v>
      </c>
      <c r="B274" s="270">
        <v>0.0</v>
      </c>
      <c r="C274" s="270">
        <v>4.0</v>
      </c>
      <c r="D274" s="270">
        <v>6.0</v>
      </c>
      <c r="E274" s="270">
        <v>5.0</v>
      </c>
      <c r="F274" s="37"/>
      <c r="G274" s="37"/>
      <c r="H274" s="37"/>
      <c r="I274" s="37"/>
      <c r="J274" s="37"/>
      <c r="K274" s="37"/>
      <c r="L274" s="37"/>
      <c r="M274" s="37"/>
      <c r="N274" s="37"/>
      <c r="O274" s="37"/>
      <c r="P274" s="37"/>
      <c r="Q274" s="37"/>
      <c r="AC274" s="261"/>
      <c r="AD274" s="261"/>
    </row>
    <row r="275" outlineLevel="1">
      <c r="A275" s="270">
        <v>6.0</v>
      </c>
      <c r="B275" s="270">
        <v>0.0</v>
      </c>
      <c r="C275" s="270">
        <v>4.0</v>
      </c>
      <c r="D275" s="270">
        <v>5.0</v>
      </c>
      <c r="E275" s="270">
        <v>6.0</v>
      </c>
      <c r="F275" s="37"/>
      <c r="G275" s="37"/>
      <c r="H275" s="37"/>
      <c r="I275" s="37"/>
      <c r="J275" s="37"/>
      <c r="K275" s="37"/>
      <c r="L275" s="37"/>
      <c r="M275" s="37"/>
      <c r="N275" s="37"/>
      <c r="O275" s="37"/>
      <c r="P275" s="37"/>
      <c r="Q275" s="37"/>
      <c r="AC275" s="261"/>
      <c r="AD275" s="261"/>
    </row>
    <row r="276" outlineLevel="1">
      <c r="A276" s="270">
        <v>7.0</v>
      </c>
      <c r="B276" s="270">
        <v>0.0</v>
      </c>
      <c r="C276" s="270">
        <v>6.0</v>
      </c>
      <c r="D276" s="270">
        <v>5.0</v>
      </c>
      <c r="E276" s="270">
        <v>3.0</v>
      </c>
      <c r="F276" s="37"/>
      <c r="G276" s="37"/>
      <c r="H276" s="37"/>
      <c r="I276" s="37"/>
      <c r="J276" s="37"/>
      <c r="K276" s="37"/>
      <c r="L276" s="37"/>
      <c r="M276" s="37"/>
      <c r="N276" s="37"/>
      <c r="O276" s="37"/>
      <c r="P276" s="37"/>
      <c r="Q276" s="37"/>
      <c r="AC276" s="261"/>
      <c r="AD276" s="261"/>
    </row>
    <row r="277" outlineLevel="1">
      <c r="A277" s="270">
        <v>8.0</v>
      </c>
      <c r="B277" s="270">
        <v>0.0</v>
      </c>
      <c r="C277" s="270">
        <v>6.0</v>
      </c>
      <c r="D277" s="270">
        <v>3.0</v>
      </c>
      <c r="E277" s="270">
        <v>5.0</v>
      </c>
      <c r="F277" s="37"/>
      <c r="G277" s="37"/>
      <c r="H277" s="37"/>
      <c r="I277" s="37"/>
      <c r="J277" s="37"/>
      <c r="K277" s="37"/>
      <c r="L277" s="37"/>
      <c r="M277" s="37"/>
      <c r="N277" s="37"/>
      <c r="O277" s="37"/>
      <c r="P277" s="37"/>
      <c r="Q277" s="37"/>
      <c r="AC277" s="261"/>
      <c r="AD277" s="261"/>
    </row>
    <row r="278" outlineLevel="1">
      <c r="A278" s="270">
        <v>9.0</v>
      </c>
      <c r="B278" s="270">
        <v>0.0</v>
      </c>
      <c r="C278" s="270">
        <v>5.0</v>
      </c>
      <c r="D278" s="270">
        <v>6.0</v>
      </c>
      <c r="E278" s="270">
        <v>3.0</v>
      </c>
      <c r="F278" s="37"/>
      <c r="G278" s="37"/>
      <c r="H278" s="37"/>
      <c r="I278" s="37"/>
      <c r="J278" s="37"/>
      <c r="K278" s="37"/>
      <c r="L278" s="37"/>
      <c r="M278" s="37"/>
      <c r="N278" s="37"/>
      <c r="O278" s="37"/>
      <c r="P278" s="37"/>
      <c r="Q278" s="37"/>
      <c r="AC278" s="261"/>
      <c r="AD278" s="261"/>
    </row>
    <row r="279" outlineLevel="1">
      <c r="A279" s="270">
        <v>10.0</v>
      </c>
      <c r="B279" s="270">
        <v>0.0</v>
      </c>
      <c r="C279" s="270">
        <v>5.0</v>
      </c>
      <c r="D279" s="270">
        <v>3.0</v>
      </c>
      <c r="E279" s="270">
        <v>6.0</v>
      </c>
      <c r="F279" s="37"/>
      <c r="G279" s="37"/>
      <c r="H279" s="37"/>
      <c r="I279" s="37"/>
      <c r="J279" s="37"/>
      <c r="K279" s="37"/>
      <c r="L279" s="37"/>
      <c r="M279" s="37"/>
      <c r="N279" s="37"/>
      <c r="O279" s="37"/>
      <c r="P279" s="37"/>
      <c r="Q279" s="37"/>
      <c r="AC279" s="261"/>
      <c r="AD279" s="261"/>
    </row>
    <row r="280" outlineLevel="1">
      <c r="A280" s="270">
        <v>11.0</v>
      </c>
      <c r="B280" s="270">
        <v>0.0</v>
      </c>
      <c r="C280" s="270">
        <v>3.0</v>
      </c>
      <c r="D280" s="270">
        <v>6.0</v>
      </c>
      <c r="E280" s="270">
        <v>5.0</v>
      </c>
      <c r="F280" s="37"/>
      <c r="G280" s="37"/>
      <c r="H280" s="37"/>
      <c r="I280" s="37"/>
      <c r="J280" s="37"/>
      <c r="K280" s="37"/>
      <c r="L280" s="37"/>
      <c r="M280" s="37"/>
      <c r="N280" s="37"/>
      <c r="O280" s="37"/>
      <c r="P280" s="37"/>
      <c r="Q280" s="37"/>
      <c r="AC280" s="261"/>
      <c r="AD280" s="261"/>
    </row>
    <row r="281" outlineLevel="1">
      <c r="A281" s="270">
        <v>12.0</v>
      </c>
      <c r="B281" s="270">
        <v>0.0</v>
      </c>
      <c r="C281" s="270">
        <v>3.0</v>
      </c>
      <c r="D281" s="270">
        <v>5.0</v>
      </c>
      <c r="E281" s="270">
        <v>6.0</v>
      </c>
      <c r="F281" s="37"/>
      <c r="G281" s="37"/>
      <c r="H281" s="37"/>
      <c r="I281" s="37"/>
      <c r="J281" s="37"/>
      <c r="K281" s="37"/>
      <c r="L281" s="37"/>
      <c r="M281" s="37"/>
      <c r="N281" s="37"/>
      <c r="O281" s="37"/>
      <c r="P281" s="37"/>
      <c r="Q281" s="37"/>
      <c r="AC281" s="261"/>
      <c r="AD281" s="261"/>
    </row>
    <row r="282" outlineLevel="1">
      <c r="A282" s="270">
        <v>13.0</v>
      </c>
      <c r="B282" s="270">
        <v>0.0</v>
      </c>
      <c r="C282" s="270">
        <v>6.0</v>
      </c>
      <c r="D282" s="270">
        <v>4.0</v>
      </c>
      <c r="E282" s="270">
        <v>3.0</v>
      </c>
      <c r="F282" s="37"/>
      <c r="G282" s="37"/>
      <c r="H282" s="37"/>
      <c r="I282" s="37"/>
      <c r="J282" s="37"/>
      <c r="K282" s="37"/>
      <c r="L282" s="37"/>
      <c r="M282" s="37"/>
      <c r="N282" s="37"/>
      <c r="O282" s="37"/>
      <c r="P282" s="37"/>
      <c r="Q282" s="37"/>
      <c r="AC282" s="261"/>
      <c r="AD282" s="261"/>
    </row>
    <row r="283" outlineLevel="1">
      <c r="A283" s="270">
        <v>14.0</v>
      </c>
      <c r="B283" s="270">
        <v>0.0</v>
      </c>
      <c r="C283" s="270">
        <v>6.0</v>
      </c>
      <c r="D283" s="270">
        <v>3.0</v>
      </c>
      <c r="E283" s="270">
        <v>4.0</v>
      </c>
      <c r="F283" s="37"/>
      <c r="G283" s="37"/>
      <c r="H283" s="37"/>
      <c r="I283" s="37"/>
      <c r="J283" s="37"/>
      <c r="K283" s="37"/>
      <c r="L283" s="37"/>
      <c r="M283" s="37"/>
      <c r="N283" s="37"/>
      <c r="O283" s="37"/>
      <c r="P283" s="37"/>
      <c r="Q283" s="37"/>
      <c r="AC283" s="261"/>
      <c r="AD283" s="261"/>
    </row>
    <row r="284" outlineLevel="1">
      <c r="A284" s="270">
        <v>15.0</v>
      </c>
      <c r="B284" s="270">
        <v>0.0</v>
      </c>
      <c r="C284" s="270">
        <v>4.0</v>
      </c>
      <c r="D284" s="270">
        <v>6.0</v>
      </c>
      <c r="E284" s="270">
        <v>3.0</v>
      </c>
      <c r="F284" s="37"/>
      <c r="G284" s="37"/>
      <c r="H284" s="37"/>
      <c r="I284" s="37"/>
      <c r="J284" s="37"/>
      <c r="K284" s="37"/>
      <c r="L284" s="37"/>
      <c r="M284" s="37"/>
      <c r="N284" s="37"/>
      <c r="O284" s="37"/>
      <c r="P284" s="37"/>
      <c r="Q284" s="37"/>
      <c r="AC284" s="261"/>
      <c r="AD284" s="261"/>
    </row>
    <row r="285" outlineLevel="1">
      <c r="A285" s="270">
        <v>16.0</v>
      </c>
      <c r="B285" s="270">
        <v>0.0</v>
      </c>
      <c r="C285" s="270">
        <v>4.0</v>
      </c>
      <c r="D285" s="270">
        <v>3.0</v>
      </c>
      <c r="E285" s="270">
        <v>6.0</v>
      </c>
      <c r="F285" s="37"/>
      <c r="G285" s="37"/>
      <c r="H285" s="37"/>
      <c r="I285" s="37"/>
      <c r="J285" s="37"/>
      <c r="K285" s="37"/>
      <c r="L285" s="37"/>
      <c r="M285" s="37"/>
      <c r="N285" s="37"/>
      <c r="O285" s="37"/>
      <c r="P285" s="37"/>
      <c r="Q285" s="37"/>
      <c r="AC285" s="261"/>
      <c r="AD285" s="261"/>
    </row>
    <row r="286" outlineLevel="1">
      <c r="A286" s="270">
        <v>17.0</v>
      </c>
      <c r="B286" s="270">
        <v>0.0</v>
      </c>
      <c r="C286" s="270">
        <v>3.0</v>
      </c>
      <c r="D286" s="270">
        <v>6.0</v>
      </c>
      <c r="E286" s="270">
        <v>4.0</v>
      </c>
      <c r="F286" s="37"/>
      <c r="G286" s="37"/>
      <c r="H286" s="37"/>
      <c r="I286" s="37"/>
      <c r="J286" s="37"/>
      <c r="K286" s="37"/>
      <c r="L286" s="37"/>
      <c r="M286" s="37"/>
      <c r="N286" s="37"/>
      <c r="O286" s="37"/>
      <c r="P286" s="37"/>
      <c r="Q286" s="37"/>
      <c r="AC286" s="261"/>
      <c r="AD286" s="261"/>
    </row>
    <row r="287" outlineLevel="1">
      <c r="A287" s="270">
        <v>18.0</v>
      </c>
      <c r="B287" s="270">
        <v>0.0</v>
      </c>
      <c r="C287" s="270">
        <v>3.0</v>
      </c>
      <c r="D287" s="270">
        <v>4.0</v>
      </c>
      <c r="E287" s="270">
        <v>6.0</v>
      </c>
      <c r="F287" s="37"/>
      <c r="G287" s="37"/>
      <c r="H287" s="37"/>
      <c r="I287" s="37"/>
      <c r="J287" s="37"/>
      <c r="K287" s="37"/>
      <c r="L287" s="37"/>
      <c r="M287" s="37"/>
      <c r="N287" s="37"/>
      <c r="O287" s="37"/>
      <c r="P287" s="37"/>
      <c r="Q287" s="37"/>
      <c r="AC287" s="261"/>
      <c r="AD287" s="261"/>
    </row>
    <row r="288">
      <c r="AC288" s="261"/>
      <c r="AD288" s="261"/>
    </row>
    <row r="289">
      <c r="A289" s="37" t="s">
        <v>88</v>
      </c>
      <c r="B289" s="37" t="s">
        <v>327</v>
      </c>
      <c r="C289" s="37" t="s">
        <v>326</v>
      </c>
      <c r="D289" s="37" t="s">
        <v>371</v>
      </c>
      <c r="E289" s="37" t="s">
        <v>381</v>
      </c>
      <c r="F289" s="37" t="s">
        <v>410</v>
      </c>
      <c r="G289" s="260" t="s">
        <v>411</v>
      </c>
      <c r="H289" s="261" t="s">
        <v>412</v>
      </c>
      <c r="I289" s="262" t="s">
        <v>413</v>
      </c>
      <c r="J289" s="267" t="s">
        <v>414</v>
      </c>
      <c r="K289" s="47" t="s">
        <v>415</v>
      </c>
      <c r="AC289" s="261"/>
      <c r="AD289" s="261"/>
    </row>
    <row r="290">
      <c r="A290" s="48">
        <f t="shared" ref="A290:A305" si="74">A2</f>
        <v>1</v>
      </c>
      <c r="C290" s="48" t="str">
        <f t="array" ref="C290">xlookup($A290,data!$M$2:$M$17,(xlookup(C$289,data!$N$1:$BR$1,data!$N$2:$BR$17)))</f>
        <v>Team 1 (Group 2)</v>
      </c>
      <c r="D290" s="48">
        <f t="array" ref="D290">xlookup($A290,data!$M$2:$M$17,(xlookup(D$289,data!$N$1:$BR$1,data!$N$2:$BR$17)))</f>
        <v>9</v>
      </c>
      <c r="E290" s="48" t="str">
        <f t="array" ref="E290">xlookup($A290,data!$M$2:$M$17,(xlookup(E$289,data!$N$1:$BR$1,data!$N$2:$BR$17)))</f>
        <v/>
      </c>
      <c r="F290" s="48" t="str">
        <f t="array" ref="F290">xlookup($A290,data!$M$2:$M$17,(xlookup(F$289,data!$N$1:$BR$1,data!$N$2:$BR$17)))</f>
        <v/>
      </c>
      <c r="G290" s="48" t="str">
        <f t="array" ref="G290">xlookup($A290,data!$M$2:$M$17,(xlookup(G$289,data!$N$1:$BR$1,data!$N$2:$BR$17)))</f>
        <v/>
      </c>
      <c r="H290" s="48">
        <f t="array" ref="H290">xlookup($A290,data!$M$2:$M$17,(xlookup(H$289,data!$N$1:$BR$1,data!$N$2:$BR$17)))</f>
        <v>0</v>
      </c>
      <c r="I290" s="48">
        <f t="array" ref="I290">xlookup($A290,data!$M$2:$M$17,(xlookup(I$289,data!$N$1:$BR$1,data!$N$2:$BR$17)))</f>
        <v>0</v>
      </c>
      <c r="J290" s="48">
        <f t="array" ref="J290">xlookup($A290,data!$M$2:$M$17,(xlookup(J$289,data!$N$1:$BR$1,data!$N$2:$BR$17)))</f>
        <v>0</v>
      </c>
      <c r="K290" s="48">
        <f t="array" ref="K290">xlookup($A290,data!$M$2:$M$17,(xlookup(K$289,data!$N$1:$BR$1,data!$N$2:$BR$17)))</f>
        <v>0</v>
      </c>
      <c r="AC290" s="261"/>
      <c r="AD290" s="261"/>
    </row>
    <row r="291">
      <c r="A291" s="48">
        <f t="shared" si="74"/>
        <v>2</v>
      </c>
      <c r="C291" s="48" t="str">
        <f t="array" ref="C291">xlookup($A291,data!$M$2:$M$17,(xlookup(C$289,data!$N$1:$BR$1,data!$N$2:$BR$17)))</f>
        <v>Team 2 (Group 2)</v>
      </c>
      <c r="D291" s="48">
        <f t="array" ref="D291">xlookup($A291,data!$M$2:$M$17,(xlookup(D$289,data!$N$1:$BR$1,data!$N$2:$BR$17)))</f>
        <v>9</v>
      </c>
      <c r="E291" s="48" t="str">
        <f t="array" ref="E291">xlookup($A291,data!$M$2:$M$17,(xlookup(E$289,data!$N$1:$BR$1,data!$N$2:$BR$17)))</f>
        <v/>
      </c>
      <c r="F291" s="48" t="str">
        <f t="array" ref="F291">xlookup($A291,data!$M$2:$M$17,(xlookup(F$289,data!$N$1:$BR$1,data!$N$2:$BR$17)))</f>
        <v/>
      </c>
      <c r="G291" s="48" t="str">
        <f t="array" ref="G291">xlookup($A291,data!$M$2:$M$17,(xlookup(G$289,data!$N$1:$BR$1,data!$N$2:$BR$17)))</f>
        <v/>
      </c>
      <c r="H291" s="48">
        <f t="array" ref="H291">xlookup($A291,data!$M$2:$M$17,(xlookup(H$289,data!$N$1:$BR$1,data!$N$2:$BR$17)))</f>
        <v>0</v>
      </c>
      <c r="I291" s="48">
        <f t="array" ref="I291">xlookup($A291,data!$M$2:$M$17,(xlookup(I$289,data!$N$1:$BR$1,data!$N$2:$BR$17)))</f>
        <v>0</v>
      </c>
      <c r="J291" s="48">
        <f t="array" ref="J291">xlookup($A291,data!$M$2:$M$17,(xlookup(J$289,data!$N$1:$BR$1,data!$N$2:$BR$17)))</f>
        <v>0</v>
      </c>
      <c r="K291" s="48">
        <f t="array" ref="K291">xlookup($A291,data!$M$2:$M$17,(xlookup(K$289,data!$N$1:$BR$1,data!$N$2:$BR$17)))</f>
        <v>0</v>
      </c>
      <c r="AC291" s="261"/>
      <c r="AD291" s="261"/>
    </row>
    <row r="292">
      <c r="A292" s="48">
        <f t="shared" si="74"/>
        <v>3</v>
      </c>
      <c r="C292" s="48" t="str">
        <f t="array" ref="C292">xlookup($A292,data!$M$2:$M$17,(xlookup(C$289,data!$N$1:$BR$1,data!$N$2:$BR$17)))</f>
        <v>Team 3 (Group 2)</v>
      </c>
      <c r="D292" s="48">
        <f t="array" ref="D292">xlookup($A292,data!$M$2:$M$17,(xlookup(D$289,data!$N$1:$BR$1,data!$N$2:$BR$17)))</f>
        <v>9</v>
      </c>
      <c r="E292" s="48" t="str">
        <f t="array" ref="E292">xlookup($A292,data!$M$2:$M$17,(xlookup(E$289,data!$N$1:$BR$1,data!$N$2:$BR$17)))</f>
        <v/>
      </c>
      <c r="F292" s="48" t="str">
        <f t="array" ref="F292">xlookup($A292,data!$M$2:$M$17,(xlookup(F$289,data!$N$1:$BR$1,data!$N$2:$BR$17)))</f>
        <v/>
      </c>
      <c r="G292" s="48" t="str">
        <f t="array" ref="G292">xlookup($A292,data!$M$2:$M$17,(xlookup(G$289,data!$N$1:$BR$1,data!$N$2:$BR$17)))</f>
        <v/>
      </c>
      <c r="H292" s="48">
        <f t="array" ref="H292">xlookup($A292,data!$M$2:$M$17,(xlookup(H$289,data!$N$1:$BR$1,data!$N$2:$BR$17)))</f>
        <v>0</v>
      </c>
      <c r="I292" s="48">
        <f t="array" ref="I292">xlookup($A292,data!$M$2:$M$17,(xlookup(I$289,data!$N$1:$BR$1,data!$N$2:$BR$17)))</f>
        <v>0</v>
      </c>
      <c r="J292" s="48">
        <f t="array" ref="J292">xlookup($A292,data!$M$2:$M$17,(xlookup(J$289,data!$N$1:$BR$1,data!$N$2:$BR$17)))</f>
        <v>0</v>
      </c>
      <c r="K292" s="48">
        <f t="array" ref="K292">xlookup($A292,data!$M$2:$M$17,(xlookup(K$289,data!$N$1:$BR$1,data!$N$2:$BR$17)))</f>
        <v>0</v>
      </c>
      <c r="AC292" s="261"/>
      <c r="AD292" s="261"/>
    </row>
    <row r="293">
      <c r="A293" s="48">
        <f t="shared" si="74"/>
        <v>4</v>
      </c>
      <c r="C293" s="48" t="str">
        <f t="array" ref="C293">xlookup($A293,data!$M$2:$M$17,(xlookup(C$289,data!$N$1:$BR$1,data!$N$2:$BR$17)))</f>
        <v>Team 4 (Group 2)</v>
      </c>
      <c r="D293" s="48">
        <f t="array" ref="D293">xlookup($A293,data!$M$2:$M$17,(xlookup(D$289,data!$N$1:$BR$1,data!$N$2:$BR$17)))</f>
        <v>9</v>
      </c>
      <c r="E293" s="48" t="str">
        <f t="array" ref="E293">xlookup($A293,data!$M$2:$M$17,(xlookup(E$289,data!$N$1:$BR$1,data!$N$2:$BR$17)))</f>
        <v/>
      </c>
      <c r="F293" s="48" t="str">
        <f t="array" ref="F293">xlookup($A293,data!$M$2:$M$17,(xlookup(F$289,data!$N$1:$BR$1,data!$N$2:$BR$17)))</f>
        <v/>
      </c>
      <c r="G293" s="48" t="str">
        <f t="array" ref="G293">xlookup($A293,data!$M$2:$M$17,(xlookup(G$289,data!$N$1:$BR$1,data!$N$2:$BR$17)))</f>
        <v/>
      </c>
      <c r="H293" s="48">
        <f t="array" ref="H293">xlookup($A293,data!$M$2:$M$17,(xlookup(H$289,data!$N$1:$BR$1,data!$N$2:$BR$17)))</f>
        <v>0</v>
      </c>
      <c r="I293" s="48">
        <f t="array" ref="I293">xlookup($A293,data!$M$2:$M$17,(xlookup(I$289,data!$N$1:$BR$1,data!$N$2:$BR$17)))</f>
        <v>0</v>
      </c>
      <c r="J293" s="48">
        <f t="array" ref="J293">xlookup($A293,data!$M$2:$M$17,(xlookup(J$289,data!$N$1:$BR$1,data!$N$2:$BR$17)))</f>
        <v>0</v>
      </c>
      <c r="K293" s="48">
        <f t="array" ref="K293">xlookup($A293,data!$M$2:$M$17,(xlookup(K$289,data!$N$1:$BR$1,data!$N$2:$BR$17)))</f>
        <v>0</v>
      </c>
      <c r="AC293" s="261"/>
      <c r="AD293" s="261"/>
    </row>
    <row r="294">
      <c r="A294" s="48">
        <f t="shared" si="74"/>
        <v>5</v>
      </c>
      <c r="C294" s="48" t="str">
        <f t="array" ref="C294">xlookup($A294,data!$M$2:$M$17,(xlookup(C$289,data!$N$1:$BR$1,data!$N$2:$BR$17)))</f>
        <v>Team 5 (Group 2)</v>
      </c>
      <c r="D294" s="48">
        <f t="array" ref="D294">xlookup($A294,data!$M$2:$M$17,(xlookup(D$289,data!$N$1:$BR$1,data!$N$2:$BR$17)))</f>
        <v>9</v>
      </c>
      <c r="E294" s="48" t="str">
        <f t="array" ref="E294">xlookup($A294,data!$M$2:$M$17,(xlookup(E$289,data!$N$1:$BR$1,data!$N$2:$BR$17)))</f>
        <v/>
      </c>
      <c r="F294" s="48" t="str">
        <f t="array" ref="F294">xlookup($A294,data!$M$2:$M$17,(xlookup(F$289,data!$N$1:$BR$1,data!$N$2:$BR$17)))</f>
        <v/>
      </c>
      <c r="G294" s="48" t="str">
        <f t="array" ref="G294">xlookup($A294,data!$M$2:$M$17,(xlookup(G$289,data!$N$1:$BR$1,data!$N$2:$BR$17)))</f>
        <v/>
      </c>
      <c r="H294" s="48">
        <f t="array" ref="H294">xlookup($A294,data!$M$2:$M$17,(xlookup(H$289,data!$N$1:$BR$1,data!$N$2:$BR$17)))</f>
        <v>0</v>
      </c>
      <c r="I294" s="48">
        <f t="array" ref="I294">xlookup($A294,data!$M$2:$M$17,(xlookup(I$289,data!$N$1:$BR$1,data!$N$2:$BR$17)))</f>
        <v>0</v>
      </c>
      <c r="J294" s="48">
        <f t="array" ref="J294">xlookup($A294,data!$M$2:$M$17,(xlookup(J$289,data!$N$1:$BR$1,data!$N$2:$BR$17)))</f>
        <v>0</v>
      </c>
      <c r="K294" s="48">
        <f t="array" ref="K294">xlookup($A294,data!$M$2:$M$17,(xlookup(K$289,data!$N$1:$BR$1,data!$N$2:$BR$17)))</f>
        <v>0</v>
      </c>
      <c r="AC294" s="261"/>
      <c r="AD294" s="261"/>
    </row>
    <row r="295">
      <c r="A295" s="48">
        <f t="shared" si="74"/>
        <v>6</v>
      </c>
      <c r="C295" s="48" t="str">
        <f t="array" ref="C295">xlookup($A295,data!$M$2:$M$17,(xlookup(C$289,data!$N$1:$BR$1,data!$N$2:$BR$17)))</f>
        <v>Team 6 (Group 2)</v>
      </c>
      <c r="D295" s="48">
        <f t="array" ref="D295">xlookup($A295,data!$M$2:$M$17,(xlookup(D$289,data!$N$1:$BR$1,data!$N$2:$BR$17)))</f>
        <v>9</v>
      </c>
      <c r="E295" s="48" t="str">
        <f t="array" ref="E295">xlookup($A295,data!$M$2:$M$17,(xlookup(E$289,data!$N$1:$BR$1,data!$N$2:$BR$17)))</f>
        <v/>
      </c>
      <c r="F295" s="48" t="str">
        <f t="array" ref="F295">xlookup($A295,data!$M$2:$M$17,(xlookup(F$289,data!$N$1:$BR$1,data!$N$2:$BR$17)))</f>
        <v/>
      </c>
      <c r="G295" s="48" t="str">
        <f t="array" ref="G295">xlookup($A295,data!$M$2:$M$17,(xlookup(G$289,data!$N$1:$BR$1,data!$N$2:$BR$17)))</f>
        <v/>
      </c>
      <c r="H295" s="48">
        <f t="array" ref="H295">xlookup($A295,data!$M$2:$M$17,(xlookup(H$289,data!$N$1:$BR$1,data!$N$2:$BR$17)))</f>
        <v>0</v>
      </c>
      <c r="I295" s="48">
        <f t="array" ref="I295">xlookup($A295,data!$M$2:$M$17,(xlookup(I$289,data!$N$1:$BR$1,data!$N$2:$BR$17)))</f>
        <v>0</v>
      </c>
      <c r="J295" s="48">
        <f t="array" ref="J295">xlookup($A295,data!$M$2:$M$17,(xlookup(J$289,data!$N$1:$BR$1,data!$N$2:$BR$17)))</f>
        <v>0</v>
      </c>
      <c r="K295" s="48">
        <f t="array" ref="K295">xlookup($A295,data!$M$2:$M$17,(xlookup(K$289,data!$N$1:$BR$1,data!$N$2:$BR$17)))</f>
        <v>0</v>
      </c>
      <c r="AC295" s="261"/>
      <c r="AD295" s="261"/>
    </row>
    <row r="296">
      <c r="A296" s="48">
        <f t="shared" si="74"/>
        <v>7</v>
      </c>
      <c r="C296" s="48" t="str">
        <f t="array" ref="C296">xlookup($A296,data!$M$2:$M$17,(xlookup(C$289,data!$N$1:$BR$1,data!$N$2:$BR$17)))</f>
        <v>Team 7 (Group 2)</v>
      </c>
      <c r="D296" s="48">
        <f t="array" ref="D296">xlookup($A296,data!$M$2:$M$17,(xlookup(D$289,data!$N$1:$BR$1,data!$N$2:$BR$17)))</f>
        <v>9</v>
      </c>
      <c r="E296" s="48" t="str">
        <f t="array" ref="E296">xlookup($A296,data!$M$2:$M$17,(xlookup(E$289,data!$N$1:$BR$1,data!$N$2:$BR$17)))</f>
        <v/>
      </c>
      <c r="F296" s="48" t="str">
        <f t="array" ref="F296">xlookup($A296,data!$M$2:$M$17,(xlookup(F$289,data!$N$1:$BR$1,data!$N$2:$BR$17)))</f>
        <v/>
      </c>
      <c r="G296" s="48" t="str">
        <f t="array" ref="G296">xlookup($A296,data!$M$2:$M$17,(xlookup(G$289,data!$N$1:$BR$1,data!$N$2:$BR$17)))</f>
        <v/>
      </c>
      <c r="H296" s="48">
        <f t="array" ref="H296">xlookup($A296,data!$M$2:$M$17,(xlookup(H$289,data!$N$1:$BR$1,data!$N$2:$BR$17)))</f>
        <v>0</v>
      </c>
      <c r="I296" s="48">
        <f t="array" ref="I296">xlookup($A296,data!$M$2:$M$17,(xlookup(I$289,data!$N$1:$BR$1,data!$N$2:$BR$17)))</f>
        <v>0</v>
      </c>
      <c r="J296" s="48">
        <f t="array" ref="J296">xlookup($A296,data!$M$2:$M$17,(xlookup(J$289,data!$N$1:$BR$1,data!$N$2:$BR$17)))</f>
        <v>0</v>
      </c>
      <c r="K296" s="48">
        <f t="array" ref="K296">xlookup($A296,data!$M$2:$M$17,(xlookup(K$289,data!$N$1:$BR$1,data!$N$2:$BR$17)))</f>
        <v>0</v>
      </c>
      <c r="AC296" s="261"/>
      <c r="AD296" s="261"/>
    </row>
    <row r="297">
      <c r="A297" s="48">
        <f t="shared" si="74"/>
        <v>8</v>
      </c>
      <c r="C297" s="48" t="str">
        <f t="array" ref="C297">xlookup($A297,data!$M$2:$M$17,(xlookup(C$289,data!$N$1:$BR$1,data!$N$2:$BR$17)))</f>
        <v>Team 8 (Group 2)</v>
      </c>
      <c r="D297" s="48">
        <f t="array" ref="D297">xlookup($A297,data!$M$2:$M$17,(xlookup(D$289,data!$N$1:$BR$1,data!$N$2:$BR$17)))</f>
        <v>9</v>
      </c>
      <c r="E297" s="48" t="str">
        <f t="array" ref="E297">xlookup($A297,data!$M$2:$M$17,(xlookup(E$289,data!$N$1:$BR$1,data!$N$2:$BR$17)))</f>
        <v/>
      </c>
      <c r="F297" s="48" t="str">
        <f t="array" ref="F297">xlookup($A297,data!$M$2:$M$17,(xlookup(F$289,data!$N$1:$BR$1,data!$N$2:$BR$17)))</f>
        <v/>
      </c>
      <c r="G297" s="48" t="str">
        <f t="array" ref="G297">xlookup($A297,data!$M$2:$M$17,(xlookup(G$289,data!$N$1:$BR$1,data!$N$2:$BR$17)))</f>
        <v/>
      </c>
      <c r="H297" s="48">
        <f t="array" ref="H297">xlookup($A297,data!$M$2:$M$17,(xlookup(H$289,data!$N$1:$BR$1,data!$N$2:$BR$17)))</f>
        <v>0</v>
      </c>
      <c r="I297" s="48">
        <f t="array" ref="I297">xlookup($A297,data!$M$2:$M$17,(xlookup(I$289,data!$N$1:$BR$1,data!$N$2:$BR$17)))</f>
        <v>0</v>
      </c>
      <c r="J297" s="48">
        <f t="array" ref="J297">xlookup($A297,data!$M$2:$M$17,(xlookup(J$289,data!$N$1:$BR$1,data!$N$2:$BR$17)))</f>
        <v>0</v>
      </c>
      <c r="K297" s="48">
        <f t="array" ref="K297">xlookup($A297,data!$M$2:$M$17,(xlookup(K$289,data!$N$1:$BR$1,data!$N$2:$BR$17)))</f>
        <v>0</v>
      </c>
      <c r="AC297" s="261"/>
      <c r="AD297" s="261"/>
    </row>
    <row r="298">
      <c r="A298" s="48">
        <f t="shared" si="74"/>
        <v>9</v>
      </c>
      <c r="C298" s="48" t="str">
        <f t="array" ref="C298">xlookup($A298,data!$M$2:$M$17,(xlookup(C$289,data!$N$1:$BR$1,data!$N$2:$BR$17)))</f>
        <v>TBD</v>
      </c>
      <c r="D298" s="48">
        <f t="array" ref="D298">xlookup($A298,data!$M$2:$M$17,(xlookup(D$289,data!$N$1:$BR$1,data!$N$2:$BR$17)))</f>
        <v>1</v>
      </c>
      <c r="E298" s="48" t="str">
        <f t="array" ref="E298">xlookup($A298,data!$M$2:$M$17,(xlookup(E$289,data!$N$1:$BR$1,data!$N$2:$BR$17)))</f>
        <v/>
      </c>
      <c r="F298" s="48" t="str">
        <f t="array" ref="F298">xlookup($A298,data!$M$2:$M$17,(xlookup(F$289,data!$N$1:$BR$1,data!$N$2:$BR$17)))</f>
        <v/>
      </c>
      <c r="G298" s="48" t="str">
        <f t="array" ref="G298">xlookup($A298,data!$M$2:$M$17,(xlookup(G$289,data!$N$1:$BR$1,data!$N$2:$BR$17)))</f>
        <v/>
      </c>
      <c r="H298" s="48">
        <f t="array" ref="H298">xlookup($A298,data!$M$2:$M$17,(xlookup(H$289,data!$N$1:$BR$1,data!$N$2:$BR$17)))</f>
        <v>0</v>
      </c>
      <c r="I298" s="48">
        <f t="array" ref="I298">xlookup($A298,data!$M$2:$M$17,(xlookup(I$289,data!$N$1:$BR$1,data!$N$2:$BR$17)))</f>
        <v>0</v>
      </c>
      <c r="J298" s="48">
        <f t="array" ref="J298">xlookup($A298,data!$M$2:$M$17,(xlookup(J$289,data!$N$1:$BR$1,data!$N$2:$BR$17)))</f>
        <v>0</v>
      </c>
      <c r="K298" s="48">
        <f t="array" ref="K298">xlookup($A298,data!$M$2:$M$17,(xlookup(K$289,data!$N$1:$BR$1,data!$N$2:$BR$17)))</f>
        <v>0</v>
      </c>
      <c r="AC298" s="261"/>
      <c r="AD298" s="261"/>
    </row>
    <row r="299">
      <c r="A299" s="48">
        <f t="shared" si="74"/>
        <v>10</v>
      </c>
      <c r="C299" s="48" t="str">
        <f t="array" ref="C299">xlookup($A299,data!$M$2:$M$17,(xlookup(C$289,data!$N$1:$BR$1,data!$N$2:$BR$17)))</f>
        <v>TBD</v>
      </c>
      <c r="D299" s="48" t="str">
        <f t="array" ref="D299">xlookup($A299,data!$M$2:$M$17,(xlookup(D$289,data!$N$1:$BR$1,data!$N$2:$BR$17)))</f>
        <v/>
      </c>
      <c r="E299" s="48" t="str">
        <f t="array" ref="E299">xlookup($A299,data!$M$2:$M$17,(xlookup(E$289,data!$N$1:$BR$1,data!$N$2:$BR$17)))</f>
        <v/>
      </c>
      <c r="F299" s="48" t="str">
        <f t="array" ref="F299">xlookup($A299,data!$M$2:$M$17,(xlookup(F$289,data!$N$1:$BR$1,data!$N$2:$BR$17)))</f>
        <v/>
      </c>
      <c r="G299" s="48" t="str">
        <f t="array" ref="G299">xlookup($A299,data!$M$2:$M$17,(xlookup(G$289,data!$N$1:$BR$1,data!$N$2:$BR$17)))</f>
        <v/>
      </c>
      <c r="H299" s="48">
        <f t="array" ref="H299">xlookup($A299,data!$M$2:$M$17,(xlookup(H$289,data!$N$1:$BR$1,data!$N$2:$BR$17)))</f>
        <v>0</v>
      </c>
      <c r="I299" s="48">
        <f t="array" ref="I299">xlookup($A299,data!$M$2:$M$17,(xlookup(I$289,data!$N$1:$BR$1,data!$N$2:$BR$17)))</f>
        <v>0</v>
      </c>
      <c r="J299" s="48">
        <f t="array" ref="J299">xlookup($A299,data!$M$2:$M$17,(xlookup(J$289,data!$N$1:$BR$1,data!$N$2:$BR$17)))</f>
        <v>0</v>
      </c>
      <c r="K299" s="48">
        <f t="array" ref="K299">xlookup($A299,data!$M$2:$M$17,(xlookup(K$289,data!$N$1:$BR$1,data!$N$2:$BR$17)))</f>
        <v>0</v>
      </c>
      <c r="AC299" s="261"/>
      <c r="AD299" s="261"/>
    </row>
    <row r="300">
      <c r="A300" s="48">
        <f t="shared" si="74"/>
        <v>11</v>
      </c>
      <c r="C300" s="48" t="str">
        <f t="array" ref="C300">xlookup($A300,data!$M$2:$M$17,(xlookup(C$289,data!$N$1:$BR$1,data!$N$2:$BR$17)))</f>
        <v>TBD</v>
      </c>
      <c r="D300" s="48" t="str">
        <f t="array" ref="D300">xlookup($A300,data!$M$2:$M$17,(xlookup(D$289,data!$N$1:$BR$1,data!$N$2:$BR$17)))</f>
        <v/>
      </c>
      <c r="E300" s="48" t="str">
        <f t="array" ref="E300">xlookup($A300,data!$M$2:$M$17,(xlookup(E$289,data!$N$1:$BR$1,data!$N$2:$BR$17)))</f>
        <v/>
      </c>
      <c r="F300" s="48" t="str">
        <f t="array" ref="F300">xlookup($A300,data!$M$2:$M$17,(xlookup(F$289,data!$N$1:$BR$1,data!$N$2:$BR$17)))</f>
        <v/>
      </c>
      <c r="G300" s="48" t="str">
        <f t="array" ref="G300">xlookup($A300,data!$M$2:$M$17,(xlookup(G$289,data!$N$1:$BR$1,data!$N$2:$BR$17)))</f>
        <v/>
      </c>
      <c r="H300" s="48">
        <f t="array" ref="H300">xlookup($A300,data!$M$2:$M$17,(xlookup(H$289,data!$N$1:$BR$1,data!$N$2:$BR$17)))</f>
        <v>0</v>
      </c>
      <c r="I300" s="48">
        <f t="array" ref="I300">xlookup($A300,data!$M$2:$M$17,(xlookup(I$289,data!$N$1:$BR$1,data!$N$2:$BR$17)))</f>
        <v>0</v>
      </c>
      <c r="J300" s="48">
        <f t="array" ref="J300">xlookup($A300,data!$M$2:$M$17,(xlookup(J$289,data!$N$1:$BR$1,data!$N$2:$BR$17)))</f>
        <v>0</v>
      </c>
      <c r="K300" s="48">
        <f t="array" ref="K300">xlookup($A300,data!$M$2:$M$17,(xlookup(K$289,data!$N$1:$BR$1,data!$N$2:$BR$17)))</f>
        <v>0</v>
      </c>
      <c r="AC300" s="261"/>
      <c r="AD300" s="261"/>
    </row>
    <row r="301">
      <c r="A301" s="48">
        <f t="shared" si="74"/>
        <v>12</v>
      </c>
      <c r="C301" s="48" t="str">
        <f t="array" ref="C301">xlookup($A301,data!$M$2:$M$17,(xlookup(C$289,data!$N$1:$BR$1,data!$N$2:$BR$17)))</f>
        <v>TBD</v>
      </c>
      <c r="D301" s="48" t="str">
        <f t="array" ref="D301">xlookup($A301,data!$M$2:$M$17,(xlookup(D$289,data!$N$1:$BR$1,data!$N$2:$BR$17)))</f>
        <v/>
      </c>
      <c r="E301" s="48" t="str">
        <f t="array" ref="E301">xlookup($A301,data!$M$2:$M$17,(xlookup(E$289,data!$N$1:$BR$1,data!$N$2:$BR$17)))</f>
        <v/>
      </c>
      <c r="F301" s="48" t="str">
        <f t="array" ref="F301">xlookup($A301,data!$M$2:$M$17,(xlookup(F$289,data!$N$1:$BR$1,data!$N$2:$BR$17)))</f>
        <v/>
      </c>
      <c r="G301" s="48" t="str">
        <f t="array" ref="G301">xlookup($A301,data!$M$2:$M$17,(xlookup(G$289,data!$N$1:$BR$1,data!$N$2:$BR$17)))</f>
        <v/>
      </c>
      <c r="H301" s="48">
        <f t="array" ref="H301">xlookup($A301,data!$M$2:$M$17,(xlookup(H$289,data!$N$1:$BR$1,data!$N$2:$BR$17)))</f>
        <v>0</v>
      </c>
      <c r="I301" s="48">
        <f t="array" ref="I301">xlookup($A301,data!$M$2:$M$17,(xlookup(I$289,data!$N$1:$BR$1,data!$N$2:$BR$17)))</f>
        <v>0</v>
      </c>
      <c r="J301" s="48">
        <f t="array" ref="J301">xlookup($A301,data!$M$2:$M$17,(xlookup(J$289,data!$N$1:$BR$1,data!$N$2:$BR$17)))</f>
        <v>0</v>
      </c>
      <c r="K301" s="48">
        <f t="array" ref="K301">xlookup($A301,data!$M$2:$M$17,(xlookup(K$289,data!$N$1:$BR$1,data!$N$2:$BR$17)))</f>
        <v>0</v>
      </c>
      <c r="AC301" s="261"/>
      <c r="AD301" s="261"/>
    </row>
    <row r="302">
      <c r="A302" s="48">
        <f t="shared" si="74"/>
        <v>13</v>
      </c>
      <c r="C302" s="48" t="str">
        <f t="array" ref="C302">xlookup($A302,data!$M$2:$M$17,(xlookup(C$289,data!$N$1:$BR$1,data!$N$2:$BR$17)))</f>
        <v>TBD</v>
      </c>
      <c r="D302" s="48" t="str">
        <f t="array" ref="D302">xlookup($A302,data!$M$2:$M$17,(xlookup(D$289,data!$N$1:$BR$1,data!$N$2:$BR$17)))</f>
        <v/>
      </c>
      <c r="E302" s="48" t="str">
        <f t="array" ref="E302">xlookup($A302,data!$M$2:$M$17,(xlookup(E$289,data!$N$1:$BR$1,data!$N$2:$BR$17)))</f>
        <v/>
      </c>
      <c r="F302" s="48" t="str">
        <f t="array" ref="F302">xlookup($A302,data!$M$2:$M$17,(xlookup(F$289,data!$N$1:$BR$1,data!$N$2:$BR$17)))</f>
        <v/>
      </c>
      <c r="G302" s="48" t="str">
        <f t="array" ref="G302">xlookup($A302,data!$M$2:$M$17,(xlookup(G$289,data!$N$1:$BR$1,data!$N$2:$BR$17)))</f>
        <v/>
      </c>
      <c r="H302" s="48">
        <f t="array" ref="H302">xlookup($A302,data!$M$2:$M$17,(xlookup(H$289,data!$N$1:$BR$1,data!$N$2:$BR$17)))</f>
        <v>0</v>
      </c>
      <c r="I302" s="48">
        <f t="array" ref="I302">xlookup($A302,data!$M$2:$M$17,(xlookup(I$289,data!$N$1:$BR$1,data!$N$2:$BR$17)))</f>
        <v>0</v>
      </c>
      <c r="J302" s="48">
        <f t="array" ref="J302">xlookup($A302,data!$M$2:$M$17,(xlookup(J$289,data!$N$1:$BR$1,data!$N$2:$BR$17)))</f>
        <v>0</v>
      </c>
      <c r="K302" s="48">
        <f t="array" ref="K302">xlookup($A302,data!$M$2:$M$17,(xlookup(K$289,data!$N$1:$BR$1,data!$N$2:$BR$17)))</f>
        <v>0</v>
      </c>
      <c r="AC302" s="261"/>
      <c r="AD302" s="261"/>
    </row>
    <row r="303">
      <c r="A303" s="48">
        <f t="shared" si="74"/>
        <v>14</v>
      </c>
      <c r="C303" s="48" t="str">
        <f t="array" ref="C303">xlookup($A303,data!$M$2:$M$17,(xlookup(C$289,data!$N$1:$BR$1,data!$N$2:$BR$17)))</f>
        <v>TBD</v>
      </c>
      <c r="D303" s="48" t="str">
        <f t="array" ref="D303">xlookup($A303,data!$M$2:$M$17,(xlookup(D$289,data!$N$1:$BR$1,data!$N$2:$BR$17)))</f>
        <v/>
      </c>
      <c r="E303" s="48" t="str">
        <f t="array" ref="E303">xlookup($A303,data!$M$2:$M$17,(xlookup(E$289,data!$N$1:$BR$1,data!$N$2:$BR$17)))</f>
        <v/>
      </c>
      <c r="F303" s="48" t="str">
        <f t="array" ref="F303">xlookup($A303,data!$M$2:$M$17,(xlookup(F$289,data!$N$1:$BR$1,data!$N$2:$BR$17)))</f>
        <v/>
      </c>
      <c r="G303" s="48" t="str">
        <f t="array" ref="G303">xlookup($A303,data!$M$2:$M$17,(xlookup(G$289,data!$N$1:$BR$1,data!$N$2:$BR$17)))</f>
        <v/>
      </c>
      <c r="H303" s="48">
        <f t="array" ref="H303">xlookup($A303,data!$M$2:$M$17,(xlookup(H$289,data!$N$1:$BR$1,data!$N$2:$BR$17)))</f>
        <v>0</v>
      </c>
      <c r="I303" s="48">
        <f t="array" ref="I303">xlookup($A303,data!$M$2:$M$17,(xlookup(I$289,data!$N$1:$BR$1,data!$N$2:$BR$17)))</f>
        <v>0</v>
      </c>
      <c r="J303" s="48">
        <f t="array" ref="J303">xlookup($A303,data!$M$2:$M$17,(xlookup(J$289,data!$N$1:$BR$1,data!$N$2:$BR$17)))</f>
        <v>0</v>
      </c>
      <c r="K303" s="48">
        <f t="array" ref="K303">xlookup($A303,data!$M$2:$M$17,(xlookup(K$289,data!$N$1:$BR$1,data!$N$2:$BR$17)))</f>
        <v>0</v>
      </c>
      <c r="AC303" s="261"/>
      <c r="AD303" s="261"/>
    </row>
    <row r="304">
      <c r="A304" s="48">
        <f t="shared" si="74"/>
        <v>15</v>
      </c>
      <c r="C304" s="48" t="str">
        <f t="array" ref="C304">xlookup($A304,data!$M$2:$M$17,(xlookup(C$289,data!$N$1:$BR$1,data!$N$2:$BR$17)))</f>
        <v>TBD</v>
      </c>
      <c r="D304" s="48" t="str">
        <f t="array" ref="D304">xlookup($A304,data!$M$2:$M$17,(xlookup(D$289,data!$N$1:$BR$1,data!$N$2:$BR$17)))</f>
        <v/>
      </c>
      <c r="E304" s="48" t="str">
        <f t="array" ref="E304">xlookup($A304,data!$M$2:$M$17,(xlookup(E$289,data!$N$1:$BR$1,data!$N$2:$BR$17)))</f>
        <v/>
      </c>
      <c r="F304" s="48" t="str">
        <f t="array" ref="F304">xlookup($A304,data!$M$2:$M$17,(xlookup(F$289,data!$N$1:$BR$1,data!$N$2:$BR$17)))</f>
        <v/>
      </c>
      <c r="G304" s="48" t="str">
        <f t="array" ref="G304">xlookup($A304,data!$M$2:$M$17,(xlookup(G$289,data!$N$1:$BR$1,data!$N$2:$BR$17)))</f>
        <v/>
      </c>
      <c r="H304" s="48">
        <f t="array" ref="H304">xlookup($A304,data!$M$2:$M$17,(xlookup(H$289,data!$N$1:$BR$1,data!$N$2:$BR$17)))</f>
        <v>0</v>
      </c>
      <c r="I304" s="48">
        <f t="array" ref="I304">xlookup($A304,data!$M$2:$M$17,(xlookup(I$289,data!$N$1:$BR$1,data!$N$2:$BR$17)))</f>
        <v>0</v>
      </c>
      <c r="J304" s="48">
        <f t="array" ref="J304">xlookup($A304,data!$M$2:$M$17,(xlookup(J$289,data!$N$1:$BR$1,data!$N$2:$BR$17)))</f>
        <v>0</v>
      </c>
      <c r="K304" s="48">
        <f t="array" ref="K304">xlookup($A304,data!$M$2:$M$17,(xlookup(K$289,data!$N$1:$BR$1,data!$N$2:$BR$17)))</f>
        <v>0</v>
      </c>
      <c r="AC304" s="261"/>
      <c r="AD304" s="261"/>
    </row>
    <row r="305">
      <c r="A305" s="48">
        <f t="shared" si="74"/>
        <v>16</v>
      </c>
      <c r="C305" s="48" t="str">
        <f t="array" ref="C305">xlookup($A305,data!$M$2:$M$17,(xlookup(C$289,data!$N$1:$BR$1,data!$N$2:$BR$17)))</f>
        <v>TBD</v>
      </c>
      <c r="D305" s="48" t="str">
        <f t="array" ref="D305">xlookup($A305,data!$M$2:$M$17,(xlookup(D$289,data!$N$1:$BR$1,data!$N$2:$BR$17)))</f>
        <v/>
      </c>
      <c r="E305" s="48" t="str">
        <f t="array" ref="E305">xlookup($A305,data!$M$2:$M$17,(xlookup(E$289,data!$N$1:$BR$1,data!$N$2:$BR$17)))</f>
        <v/>
      </c>
      <c r="F305" s="48" t="str">
        <f t="array" ref="F305">xlookup($A305,data!$M$2:$M$17,(xlookup(F$289,data!$N$1:$BR$1,data!$N$2:$BR$17)))</f>
        <v/>
      </c>
      <c r="G305" s="48" t="str">
        <f t="array" ref="G305">xlookup($A305,data!$M$2:$M$17,(xlookup(G$289,data!$N$1:$BR$1,data!$N$2:$BR$17)))</f>
        <v/>
      </c>
      <c r="H305" s="48">
        <f t="array" ref="H305">xlookup($A305,data!$M$2:$M$17,(xlookup(H$289,data!$N$1:$BR$1,data!$N$2:$BR$17)))</f>
        <v>0</v>
      </c>
      <c r="I305" s="48">
        <f t="array" ref="I305">xlookup($A305,data!$M$2:$M$17,(xlookup(I$289,data!$N$1:$BR$1,data!$N$2:$BR$17)))</f>
        <v>0</v>
      </c>
      <c r="J305" s="48">
        <f t="array" ref="J305">xlookup($A305,data!$M$2:$M$17,(xlookup(J$289,data!$N$1:$BR$1,data!$N$2:$BR$17)))</f>
        <v>0</v>
      </c>
      <c r="K305" s="48">
        <f t="array" ref="K305">xlookup($A305,data!$M$2:$M$17,(xlookup(K$289,data!$N$1:$BR$1,data!$N$2:$BR$17)))</f>
        <v>0</v>
      </c>
      <c r="AC305" s="261"/>
      <c r="AD305" s="261"/>
    </row>
    <row r="306">
      <c r="AC306" s="261"/>
      <c r="AD306" s="261"/>
    </row>
    <row r="307">
      <c r="A307" s="37" t="s">
        <v>88</v>
      </c>
      <c r="B307" s="37" t="s">
        <v>327</v>
      </c>
      <c r="C307" s="37" t="s">
        <v>326</v>
      </c>
      <c r="D307" s="37" t="s">
        <v>371</v>
      </c>
      <c r="E307" s="37" t="s">
        <v>381</v>
      </c>
      <c r="F307" s="37" t="s">
        <v>410</v>
      </c>
      <c r="G307" s="260" t="s">
        <v>411</v>
      </c>
      <c r="H307" s="261" t="s">
        <v>412</v>
      </c>
      <c r="I307" s="262" t="s">
        <v>413</v>
      </c>
      <c r="J307" s="267" t="s">
        <v>414</v>
      </c>
      <c r="K307" s="47" t="s">
        <v>415</v>
      </c>
      <c r="L307" s="47" t="s">
        <v>394</v>
      </c>
      <c r="AC307" s="261"/>
      <c r="AD307" s="261"/>
    </row>
    <row r="308">
      <c r="A308" s="48" t="str">
        <f>IFERROR(__xludf.DUMMYFUNCTION("sort(filter(A290:K305,J290:J305=2),7,true,9,false,11,false)"),"#N/A")</f>
        <v>#N/A</v>
      </c>
      <c r="L308" s="47">
        <v>1.0</v>
      </c>
      <c r="AB308" s="47" t="s">
        <v>416</v>
      </c>
      <c r="AC308" s="265" t="str">
        <f>iferror(K319,"")</f>
        <v/>
      </c>
      <c r="AD308" s="268" t="str">
        <f>L319</f>
        <v>#N/A</v>
      </c>
      <c r="AE308" s="48" t="str">
        <f>'Main Event'!ED211</f>
        <v/>
      </c>
      <c r="AF308" s="48" t="str">
        <f>'Main Event'!EH211</f>
        <v/>
      </c>
      <c r="AG308" s="48">
        <f>'Main Event'!ED215</f>
        <v>0</v>
      </c>
      <c r="AH308" s="48">
        <f>'Main Event'!EH215</f>
        <v>0</v>
      </c>
    </row>
    <row r="309">
      <c r="L309" s="47">
        <v>2.0</v>
      </c>
      <c r="AC309" s="265" t="str">
        <f t="shared" ref="AC309:AD309" si="75">K320</f>
        <v>#N/A</v>
      </c>
      <c r="AD309" s="268" t="str">
        <f t="shared" si="75"/>
        <v>#N/A</v>
      </c>
      <c r="AE309" s="48" t="str">
        <f>'Main Event'!ED218</f>
        <v/>
      </c>
      <c r="AF309" s="48" t="str">
        <f>'Main Event'!EH218</f>
        <v/>
      </c>
      <c r="AG309" s="48">
        <f>'Main Event'!ED222</f>
        <v>0</v>
      </c>
      <c r="AH309" s="48">
        <f>'Main Event'!EH222</f>
        <v>0</v>
      </c>
    </row>
    <row r="310">
      <c r="L310" s="47">
        <v>3.0</v>
      </c>
      <c r="AC310" s="268" t="str">
        <f t="shared" ref="AC310:AD310" si="76">K321</f>
        <v>#N/A</v>
      </c>
      <c r="AD310" s="268" t="str">
        <f t="shared" si="76"/>
        <v>#N/A</v>
      </c>
      <c r="AE310" s="48" t="str">
        <f>'Main Event'!ED225</f>
        <v/>
      </c>
      <c r="AF310" s="48" t="str">
        <f>'Main Event'!EH225</f>
        <v/>
      </c>
      <c r="AG310" s="48">
        <f>'Main Event'!ED229</f>
        <v>0</v>
      </c>
      <c r="AH310" s="48">
        <f>'Main Event'!EH229</f>
        <v>0</v>
      </c>
    </row>
    <row r="311">
      <c r="L311" s="47">
        <v>4.0</v>
      </c>
      <c r="AC311" s="268" t="str">
        <f t="shared" ref="AC311:AC313" si="77">AD308</f>
        <v>#N/A</v>
      </c>
      <c r="AD311" s="265" t="str">
        <f t="shared" ref="AD311:AD313" si="78">AC308</f>
        <v/>
      </c>
      <c r="AE311" s="48" t="str">
        <f t="shared" ref="AE311:AE313" si="79">AF308</f>
        <v/>
      </c>
      <c r="AF311" s="48" t="str">
        <f t="shared" ref="AF311:AF313" si="80">AE308</f>
        <v/>
      </c>
      <c r="AG311" s="48">
        <f t="shared" ref="AG311:AG313" si="81">AH308</f>
        <v>0</v>
      </c>
      <c r="AH311" s="48">
        <f t="shared" ref="AH311:AH313" si="82">AG308</f>
        <v>0</v>
      </c>
    </row>
    <row r="312">
      <c r="L312" s="47">
        <v>5.0</v>
      </c>
      <c r="AC312" s="268" t="str">
        <f t="shared" si="77"/>
        <v>#N/A</v>
      </c>
      <c r="AD312" s="265" t="str">
        <f t="shared" si="78"/>
        <v>#N/A</v>
      </c>
      <c r="AE312" s="48" t="str">
        <f t="shared" si="79"/>
        <v/>
      </c>
      <c r="AF312" s="48" t="str">
        <f t="shared" si="80"/>
        <v/>
      </c>
      <c r="AG312" s="48">
        <f t="shared" si="81"/>
        <v>0</v>
      </c>
      <c r="AH312" s="48">
        <f t="shared" si="82"/>
        <v>0</v>
      </c>
    </row>
    <row r="313">
      <c r="L313" s="47">
        <v>6.0</v>
      </c>
      <c r="AC313" s="268" t="str">
        <f t="shared" si="77"/>
        <v>#N/A</v>
      </c>
      <c r="AD313" s="268" t="str">
        <f t="shared" si="78"/>
        <v>#N/A</v>
      </c>
      <c r="AE313" s="48" t="str">
        <f t="shared" si="79"/>
        <v/>
      </c>
      <c r="AF313" s="48" t="str">
        <f t="shared" si="80"/>
        <v/>
      </c>
      <c r="AG313" s="48">
        <f t="shared" si="81"/>
        <v>0</v>
      </c>
      <c r="AH313" s="48">
        <f t="shared" si="82"/>
        <v>0</v>
      </c>
    </row>
    <row r="314">
      <c r="A314" s="37"/>
      <c r="B314" s="37"/>
      <c r="C314" s="37" t="s">
        <v>394</v>
      </c>
      <c r="D314" s="37" t="s">
        <v>405</v>
      </c>
      <c r="E314" s="37" t="s">
        <v>406</v>
      </c>
      <c r="F314" s="37" t="s">
        <v>417</v>
      </c>
      <c r="G314" s="37"/>
      <c r="H314" s="37"/>
      <c r="I314" s="37"/>
      <c r="J314" s="37"/>
      <c r="K314" s="37"/>
      <c r="L314" s="37"/>
      <c r="M314" s="37"/>
      <c r="N314" s="37"/>
      <c r="O314" s="37"/>
      <c r="P314" s="37"/>
      <c r="Q314" s="37"/>
      <c r="AC314" s="261"/>
      <c r="AD314" s="261"/>
    </row>
    <row r="315">
      <c r="A315" s="270" t="str">
        <f t="shared" ref="A315:A320" si="84">A308</f>
        <v>#N/A</v>
      </c>
      <c r="B315" s="37" t="str">
        <f t="shared" ref="B315:B320" si="85">C308</f>
        <v/>
      </c>
      <c r="C315" s="270">
        <v>1.0</v>
      </c>
      <c r="D315" s="37" t="str">
        <f t="shared" ref="D315:F315" si="83">xlookup(D308,$A$308:$A$313,$L$308:$L$313,"")</f>
        <v/>
      </c>
      <c r="E315" s="37" t="str">
        <f t="shared" si="83"/>
        <v/>
      </c>
      <c r="F315" s="37" t="str">
        <f t="shared" si="83"/>
        <v/>
      </c>
      <c r="G315" s="37"/>
      <c r="H315" s="37"/>
      <c r="I315" s="37"/>
      <c r="J315" s="37"/>
      <c r="K315" s="37"/>
      <c r="L315" s="37"/>
      <c r="M315" s="37"/>
      <c r="N315" s="37"/>
      <c r="O315" s="37"/>
      <c r="P315" s="37"/>
      <c r="Q315" s="37"/>
      <c r="AC315" s="261"/>
      <c r="AD315" s="261"/>
    </row>
    <row r="316">
      <c r="A316" s="270" t="str">
        <f t="shared" si="84"/>
        <v/>
      </c>
      <c r="B316" s="37" t="str">
        <f t="shared" si="85"/>
        <v/>
      </c>
      <c r="C316" s="270">
        <v>2.0</v>
      </c>
      <c r="D316" s="37" t="str">
        <f t="shared" ref="D316:F316" si="86">xlookup(D309,$A$308:$A$313,$L$308:$L$313,"")</f>
        <v/>
      </c>
      <c r="E316" s="37" t="str">
        <f t="shared" si="86"/>
        <v/>
      </c>
      <c r="F316" s="37" t="str">
        <f t="shared" si="86"/>
        <v/>
      </c>
      <c r="G316" s="37"/>
      <c r="H316" s="37"/>
      <c r="I316" s="37"/>
      <c r="J316" s="37"/>
      <c r="K316" s="37"/>
      <c r="L316" s="37"/>
      <c r="M316" s="37"/>
      <c r="N316" s="37"/>
      <c r="O316" s="37"/>
      <c r="P316" s="37"/>
      <c r="Q316" s="37"/>
      <c r="AC316" s="261"/>
      <c r="AD316" s="261"/>
    </row>
    <row r="317">
      <c r="A317" s="270" t="str">
        <f t="shared" si="84"/>
        <v/>
      </c>
      <c r="B317" s="37" t="str">
        <f t="shared" si="85"/>
        <v/>
      </c>
      <c r="C317" s="270">
        <v>3.0</v>
      </c>
      <c r="D317" s="37" t="str">
        <f t="shared" ref="D317:F317" si="87">xlookup(D310,$A$308:$A$313,$L$308:$L$313,"")</f>
        <v/>
      </c>
      <c r="E317" s="37" t="str">
        <f t="shared" si="87"/>
        <v/>
      </c>
      <c r="F317" s="37" t="str">
        <f t="shared" si="87"/>
        <v/>
      </c>
      <c r="G317" s="37"/>
      <c r="H317" s="37"/>
      <c r="I317" s="37"/>
      <c r="J317" s="37"/>
      <c r="K317" s="37"/>
      <c r="L317" s="37"/>
      <c r="M317" s="37"/>
      <c r="N317" s="37"/>
      <c r="O317" s="37"/>
      <c r="P317" s="37"/>
      <c r="Q317" s="37"/>
      <c r="AC317" s="261"/>
      <c r="AD317" s="261"/>
    </row>
    <row r="318">
      <c r="A318" s="270" t="str">
        <f t="shared" si="84"/>
        <v/>
      </c>
      <c r="B318" s="37" t="str">
        <f t="shared" si="85"/>
        <v/>
      </c>
      <c r="C318" s="270">
        <v>4.0</v>
      </c>
      <c r="D318" s="37" t="str">
        <f t="shared" ref="D318:F318" si="88">xlookup(D311,$A$308:$A$313,$L$308:$L$313,"")</f>
        <v/>
      </c>
      <c r="E318" s="37" t="str">
        <f t="shared" si="88"/>
        <v/>
      </c>
      <c r="F318" s="37" t="str">
        <f t="shared" si="88"/>
        <v/>
      </c>
      <c r="G318" s="37"/>
      <c r="H318" s="37"/>
      <c r="I318" s="37"/>
      <c r="J318" s="37"/>
      <c r="K318" s="37"/>
      <c r="L318" s="37"/>
      <c r="M318" s="37"/>
      <c r="N318" s="37"/>
      <c r="O318" s="37"/>
      <c r="P318" s="37"/>
      <c r="Q318" s="37"/>
      <c r="AC318" s="261"/>
      <c r="AD318" s="261"/>
    </row>
    <row r="319">
      <c r="A319" s="270" t="str">
        <f t="shared" si="84"/>
        <v/>
      </c>
      <c r="B319" s="37" t="str">
        <f t="shared" si="85"/>
        <v/>
      </c>
      <c r="C319" s="270">
        <v>5.0</v>
      </c>
      <c r="D319" s="37" t="str">
        <f t="shared" ref="D319:F319" si="89">xlookup(D312,$A$308:$A$313,$L$308:$L$313,"")</f>
        <v/>
      </c>
      <c r="E319" s="37" t="str">
        <f t="shared" si="89"/>
        <v/>
      </c>
      <c r="F319" s="37" t="str">
        <f t="shared" si="89"/>
        <v/>
      </c>
      <c r="G319" s="37"/>
      <c r="H319" s="37"/>
      <c r="I319" s="37"/>
      <c r="J319" s="37"/>
      <c r="K319" s="271" t="str">
        <f t="array" ref="K319:L321">'Choose matchups (Main)'!Q76:R78</f>
        <v>#N/A</v>
      </c>
      <c r="L319" s="271" t="e">
        <v>#N/A</v>
      </c>
      <c r="M319" s="37"/>
      <c r="N319" s="37"/>
      <c r="O319" s="37"/>
      <c r="P319" s="37"/>
      <c r="Q319" s="37"/>
      <c r="AC319" s="261"/>
      <c r="AD319" s="261"/>
    </row>
    <row r="320">
      <c r="A320" s="270" t="str">
        <f t="shared" si="84"/>
        <v/>
      </c>
      <c r="B320" s="37" t="str">
        <f t="shared" si="85"/>
        <v/>
      </c>
      <c r="C320" s="270">
        <v>6.0</v>
      </c>
      <c r="D320" s="37" t="str">
        <f t="shared" ref="D320:F320" si="90">xlookup(D313,$A$308:$A$313,$L$308:$L$313,"")</f>
        <v/>
      </c>
      <c r="E320" s="37" t="str">
        <f t="shared" si="90"/>
        <v/>
      </c>
      <c r="F320" s="37" t="str">
        <f t="shared" si="90"/>
        <v/>
      </c>
      <c r="G320" s="37"/>
      <c r="H320" s="37"/>
      <c r="I320" s="37"/>
      <c r="J320" s="37"/>
      <c r="K320" s="271" t="e">
        <v>#N/A</v>
      </c>
      <c r="L320" s="271" t="e">
        <v>#N/A</v>
      </c>
      <c r="M320" s="37"/>
      <c r="N320" s="37"/>
      <c r="O320" s="37"/>
      <c r="P320" s="37"/>
      <c r="Q320" s="37"/>
      <c r="AC320" s="261"/>
      <c r="AD320" s="261"/>
    </row>
    <row r="321">
      <c r="A321" s="37"/>
      <c r="B321" s="37"/>
      <c r="C321" s="37"/>
      <c r="D321" s="37"/>
      <c r="E321" s="37"/>
      <c r="F321" s="37"/>
      <c r="G321" s="37"/>
      <c r="H321" s="37"/>
      <c r="I321" s="37"/>
      <c r="J321" s="37"/>
      <c r="K321" s="271" t="e">
        <v>#N/A</v>
      </c>
      <c r="L321" s="271" t="e">
        <v>#N/A</v>
      </c>
      <c r="M321" s="37"/>
      <c r="N321" s="37"/>
      <c r="O321" s="37"/>
      <c r="P321" s="37"/>
      <c r="Q321" s="37"/>
      <c r="AC321" s="261"/>
      <c r="AD321" s="261"/>
    </row>
    <row r="322">
      <c r="A322" s="37" t="s">
        <v>418</v>
      </c>
      <c r="B322" s="37"/>
      <c r="C322" s="37"/>
      <c r="D322" s="37"/>
      <c r="E322" s="37"/>
      <c r="F322" s="37"/>
      <c r="G322" s="37"/>
      <c r="H322" s="37"/>
      <c r="I322" s="37"/>
      <c r="J322" s="37"/>
      <c r="K322" s="37"/>
      <c r="L322" s="37"/>
      <c r="M322" s="273" t="s">
        <v>419</v>
      </c>
      <c r="N322" s="37" t="s">
        <v>420</v>
      </c>
      <c r="O322" s="37"/>
      <c r="P322" s="37"/>
      <c r="Q322" s="37"/>
      <c r="AC322" s="261"/>
      <c r="AD322" s="261"/>
    </row>
    <row r="323">
      <c r="A323" s="270">
        <v>1.0</v>
      </c>
      <c r="B323" s="270">
        <v>6.0</v>
      </c>
      <c r="C323" s="270">
        <f t="array" ref="C323">if(or(xlookup(A323,C315:C320,D315:D320)=B323,xlookup(A323,C315:C320,E315:E320)=B323,xlookup(A323,C315:C320,F315:F320)=B323),1,0)</f>
        <v>0</v>
      </c>
      <c r="D323" s="37"/>
      <c r="E323" s="270">
        <v>1.0</v>
      </c>
      <c r="F323" s="270">
        <v>6.0</v>
      </c>
      <c r="G323" s="270">
        <f t="array" ref="G323">if(or(xlookup(E323,C315:C320,D315:D320)=F323,xlookup(E323,C315:C320,E315:E320)=F323,xlookup(E323,C315:C320,F315:F320)=F323),1,0)</f>
        <v>0</v>
      </c>
      <c r="H323" s="37"/>
      <c r="I323" s="270">
        <v>1.0</v>
      </c>
      <c r="J323" s="270">
        <v>6.0</v>
      </c>
      <c r="K323" s="270">
        <f t="array" ref="K323">if(or(xlookup(I323,C315:C320,D315:D320)=J323,xlookup(I323,C315:C320,E315:E320)=J323,xlookup(I323,C315:C320,F315:F320)=J323),1,0)</f>
        <v>0</v>
      </c>
      <c r="L323" s="37"/>
      <c r="M323" s="270">
        <v>1.0</v>
      </c>
      <c r="N323" s="270">
        <f>C326</f>
        <v>0</v>
      </c>
      <c r="O323" s="270">
        <f t="array" ref="O323:Q323">TRANSPOSE(B323:B325)</f>
        <v>6</v>
      </c>
      <c r="P323" s="270">
        <v>5.0</v>
      </c>
      <c r="Q323" s="270">
        <v>4.0</v>
      </c>
      <c r="AC323" s="261"/>
      <c r="AD323" s="261"/>
    </row>
    <row r="324">
      <c r="A324" s="270">
        <v>2.0</v>
      </c>
      <c r="B324" s="270">
        <v>5.0</v>
      </c>
      <c r="C324" s="270">
        <f t="array" ref="C324">if(or(xlookup(A324,C315:C320,D315:D320)=B324,xlookup(A324,C315:C320,E315:E320)=B324,xlookup(A324,C315:C320,F315:F320)=B324),1,0)</f>
        <v>0</v>
      </c>
      <c r="D324" s="37"/>
      <c r="E324" s="270">
        <v>2.0</v>
      </c>
      <c r="F324" s="270">
        <v>5.0</v>
      </c>
      <c r="G324" s="270">
        <f t="array" ref="G324">if(or(xlookup(E324,C315:C320,D315:D320)=F324,xlookup(E324,C315:C320,E315:E320)=F324,xlookup(E324,C315:C320,F315:F320)=F324),1,0)</f>
        <v>0</v>
      </c>
      <c r="H324" s="37"/>
      <c r="I324" s="270">
        <v>2.0</v>
      </c>
      <c r="J324" s="270">
        <v>4.0</v>
      </c>
      <c r="K324" s="270">
        <f t="array" ref="K324">if(or(xlookup(I324,C315:C320,D315:D320)=J324,xlookup(I324,C315:C320,E315:E320)=J324,xlookup(I324,C315:C320,F315:F320)=J324),1,0)</f>
        <v>0</v>
      </c>
      <c r="L324" s="37"/>
      <c r="M324" s="270">
        <f t="shared" ref="M324:M340" si="91">M323+1</f>
        <v>2</v>
      </c>
      <c r="N324" s="270">
        <f>C330</f>
        <v>0</v>
      </c>
      <c r="O324" s="270">
        <f t="array" ref="O324:Q324">TRANSPOSE(B327:B329)</f>
        <v>6</v>
      </c>
      <c r="P324" s="270">
        <v>4.0</v>
      </c>
      <c r="Q324" s="270">
        <v>5.0</v>
      </c>
      <c r="AC324" s="261"/>
      <c r="AD324" s="261"/>
    </row>
    <row r="325">
      <c r="A325" s="270">
        <v>3.0</v>
      </c>
      <c r="B325" s="270">
        <v>4.0</v>
      </c>
      <c r="C325" s="270">
        <f t="array" ref="C325">if(or(xlookup(A325,C315:C320,D315:D320)=B325,xlookup(A325,C315:C320,E315:E320)=B325,xlookup(A325,C315:C320,F315:F320)=B325),1,0)</f>
        <v>0</v>
      </c>
      <c r="D325" s="37"/>
      <c r="E325" s="270">
        <v>4.0</v>
      </c>
      <c r="F325" s="270">
        <v>3.0</v>
      </c>
      <c r="G325" s="270">
        <f t="array" ref="G325">if(or(xlookup(E325,C315:C320,D315:D320)=F325,xlookup(E325,C315:C320,E315:E320)=F325,xlookup(E325,C315:C320,F315:F320)=F325),1,0)</f>
        <v>0</v>
      </c>
      <c r="H325" s="37"/>
      <c r="I325" s="270">
        <v>5.0</v>
      </c>
      <c r="J325" s="270">
        <v>3.0</v>
      </c>
      <c r="K325" s="270">
        <f t="array" ref="K325">if(or(xlookup(I325,C315:C320,D315:D320)=J325,xlookup(I325,C315:C320,E315:E320)=J325,xlookup(I325,C315:C320,F315:F320)=J325),1,0)</f>
        <v>0</v>
      </c>
      <c r="L325" s="37"/>
      <c r="M325" s="270">
        <f t="shared" si="91"/>
        <v>3</v>
      </c>
      <c r="N325" s="270">
        <f>C334</f>
        <v>0</v>
      </c>
      <c r="O325" s="270">
        <f t="array" ref="O325:Q325">TRANSPOSE(B331:B333)</f>
        <v>5</v>
      </c>
      <c r="P325" s="270">
        <v>6.0</v>
      </c>
      <c r="Q325" s="270">
        <v>4.0</v>
      </c>
      <c r="AC325" s="261"/>
      <c r="AD325" s="261"/>
    </row>
    <row r="326">
      <c r="A326" s="37"/>
      <c r="B326" s="37"/>
      <c r="C326" s="272">
        <f>SUM(C323:C325)</f>
        <v>0</v>
      </c>
      <c r="D326" s="37"/>
      <c r="E326" s="37"/>
      <c r="F326" s="37"/>
      <c r="G326" s="272">
        <f>SUM(G323:G325)</f>
        <v>0</v>
      </c>
      <c r="H326" s="37"/>
      <c r="I326" s="37"/>
      <c r="J326" s="37"/>
      <c r="K326" s="272">
        <f>SUM(K323:K325)</f>
        <v>0</v>
      </c>
      <c r="L326" s="37"/>
      <c r="M326" s="270">
        <f t="shared" si="91"/>
        <v>4</v>
      </c>
      <c r="N326" s="270">
        <f>C338</f>
        <v>0</v>
      </c>
      <c r="O326" s="270">
        <f t="array" ref="O326:Q326">TRANSPOSE(B335:B337)</f>
        <v>5</v>
      </c>
      <c r="P326" s="270">
        <v>4.0</v>
      </c>
      <c r="Q326" s="270">
        <v>6.0</v>
      </c>
      <c r="AC326" s="261"/>
      <c r="AD326" s="261"/>
    </row>
    <row r="327">
      <c r="A327" s="270">
        <v>1.0</v>
      </c>
      <c r="B327" s="270">
        <v>6.0</v>
      </c>
      <c r="C327" s="270">
        <f t="array" ref="C327">if(or(xlookup(A327,C315:C320,D315:D320)=B327,xlookup(A327,C315:C320,E315:E320)=B327,xlookup(A327,C315:C320,F315:F320)=B327),1,0)</f>
        <v>0</v>
      </c>
      <c r="D327" s="37"/>
      <c r="E327" s="270">
        <v>1.0</v>
      </c>
      <c r="F327" s="270">
        <v>6.0</v>
      </c>
      <c r="G327" s="270">
        <f t="array" ref="G327">if(or(xlookup(E327,C315:C320,D315:D320)=F327,xlookup(E327,C315:C320,E315:E320)=F327,xlookup(E327,C315:C320,F315:F320)=F327),1,0)</f>
        <v>0</v>
      </c>
      <c r="H327" s="37"/>
      <c r="I327" s="270">
        <v>1.0</v>
      </c>
      <c r="J327" s="270">
        <v>6.0</v>
      </c>
      <c r="K327" s="270">
        <f t="array" ref="K327">if(or(xlookup(I327,C315:C320,D315:D320)=J327,xlookup(I327,C315:C320,E315:E320)=J327,xlookup(I327,C315:C320,F315:F320)=J327),1,0)</f>
        <v>0</v>
      </c>
      <c r="L327" s="37"/>
      <c r="M327" s="270">
        <f t="shared" si="91"/>
        <v>5</v>
      </c>
      <c r="N327" s="270">
        <f>C342</f>
        <v>0</v>
      </c>
      <c r="O327" s="270">
        <f t="array" ref="O327:Q327">TRANSPOSE(B339:B341)</f>
        <v>4</v>
      </c>
      <c r="P327" s="270">
        <v>6.0</v>
      </c>
      <c r="Q327" s="270">
        <v>5.0</v>
      </c>
      <c r="AC327" s="261"/>
      <c r="AD327" s="261"/>
    </row>
    <row r="328">
      <c r="A328" s="270">
        <v>2.0</v>
      </c>
      <c r="B328" s="270">
        <v>4.0</v>
      </c>
      <c r="C328" s="270">
        <f t="array" ref="C328">if(or(xlookup(A328,C315:C320,D315:D320)=B328,xlookup(A328,C315:C320,E315:E320)=B328,xlookup(A328,C315:C320,F315:F320)=B328),1,0)</f>
        <v>0</v>
      </c>
      <c r="D328" s="37"/>
      <c r="E328" s="270">
        <v>2.0</v>
      </c>
      <c r="F328" s="270">
        <v>3.0</v>
      </c>
      <c r="G328" s="270">
        <f t="array" ref="G328">if(or(xlookup(E328,C315:C320,D315:D320)=F328,xlookup(E328,C315:C320,E315:E320)=F328,xlookup(E328,C315:C320,F315:F320)=F328),1,0)</f>
        <v>0</v>
      </c>
      <c r="H328" s="37"/>
      <c r="I328" s="270">
        <v>2.0</v>
      </c>
      <c r="J328" s="270">
        <v>3.0</v>
      </c>
      <c r="K328" s="270">
        <f t="array" ref="K328">if(or(xlookup(I328,C315:C320,D315:D320)=J328,xlookup(I328,C315:C320,E315:E320)=J328,xlookup(I328,C315:C320,F315:F320)=J328),1,0)</f>
        <v>0</v>
      </c>
      <c r="L328" s="37"/>
      <c r="M328" s="270">
        <f t="shared" si="91"/>
        <v>6</v>
      </c>
      <c r="N328" s="270">
        <f>C346</f>
        <v>0</v>
      </c>
      <c r="O328" s="270">
        <f t="array" ref="O328:Q328">TRANSPOSE(B343:B345)</f>
        <v>4</v>
      </c>
      <c r="P328" s="270">
        <v>5.0</v>
      </c>
      <c r="Q328" s="270">
        <v>6.0</v>
      </c>
      <c r="AC328" s="261"/>
      <c r="AD328" s="261"/>
    </row>
    <row r="329">
      <c r="A329" s="270">
        <v>3.0</v>
      </c>
      <c r="B329" s="270">
        <v>5.0</v>
      </c>
      <c r="C329" s="270">
        <f t="array" ref="C329">if(or(xlookup(A329,C315:C320,D315:D320)=B329,xlookup(A329,C315:C320,E315:E320)=B329,xlookup(A329,C315:C320,F315:F320)=B329),1,0)</f>
        <v>0</v>
      </c>
      <c r="D329" s="37"/>
      <c r="E329" s="270">
        <v>4.0</v>
      </c>
      <c r="F329" s="270">
        <v>5.0</v>
      </c>
      <c r="G329" s="270">
        <f t="array" ref="G329">if(or(xlookup(E329,C315:C320,D315:D320)=F329,xlookup(E329,C315:C320,E315:E320)=F329,xlookup(E329,C315:C320,F315:F320)=F329),1,0)</f>
        <v>0</v>
      </c>
      <c r="H329" s="37"/>
      <c r="I329" s="270">
        <v>5.0</v>
      </c>
      <c r="J329" s="270">
        <v>4.0</v>
      </c>
      <c r="K329" s="270">
        <f t="array" ref="K329">if(or(xlookup(I329,C315:C320,D315:D320)=J329,xlookup(I329,C315:C320,E315:E320)=J329,xlookup(I329,C315:C320,F315:F320)=J329),1,0)</f>
        <v>0</v>
      </c>
      <c r="L329" s="37"/>
      <c r="M329" s="270">
        <f t="shared" si="91"/>
        <v>7</v>
      </c>
      <c r="N329" s="270">
        <f>G326</f>
        <v>0</v>
      </c>
      <c r="O329" s="270">
        <f t="array" ref="O329:Q329">TRANSPOSE(F323:F325)</f>
        <v>6</v>
      </c>
      <c r="P329" s="270">
        <v>5.0</v>
      </c>
      <c r="Q329" s="270">
        <v>3.0</v>
      </c>
      <c r="AC329" s="261"/>
      <c r="AD329" s="261"/>
    </row>
    <row r="330">
      <c r="A330" s="37"/>
      <c r="B330" s="37"/>
      <c r="C330" s="272">
        <f>SUM(C327:C329)</f>
        <v>0</v>
      </c>
      <c r="D330" s="37"/>
      <c r="E330" s="37"/>
      <c r="F330" s="37"/>
      <c r="G330" s="272">
        <f>SUM(G327:G329)</f>
        <v>0</v>
      </c>
      <c r="H330" s="37"/>
      <c r="I330" s="37"/>
      <c r="J330" s="37"/>
      <c r="K330" s="272">
        <f>SUM(K327:K329)</f>
        <v>0</v>
      </c>
      <c r="L330" s="37"/>
      <c r="M330" s="270">
        <f t="shared" si="91"/>
        <v>8</v>
      </c>
      <c r="N330" s="270">
        <f>G330</f>
        <v>0</v>
      </c>
      <c r="O330" s="270">
        <f t="array" ref="O330:Q330">TRANSPOSE(F327:F329)</f>
        <v>6</v>
      </c>
      <c r="P330" s="270">
        <v>3.0</v>
      </c>
      <c r="Q330" s="270">
        <v>5.0</v>
      </c>
      <c r="AC330" s="261"/>
      <c r="AD330" s="261"/>
    </row>
    <row r="331">
      <c r="A331" s="270">
        <v>1.0</v>
      </c>
      <c r="B331" s="270">
        <v>5.0</v>
      </c>
      <c r="C331" s="270">
        <f t="array" ref="C331">if(or(xlookup(A331,C315:C320,D315:D320)=B331,xlookup(A331,C315:C320,E315:E320)=B331,xlookup(A331,C315:C320,F315:F320)=B331),1,0)</f>
        <v>0</v>
      </c>
      <c r="D331" s="37"/>
      <c r="E331" s="270">
        <v>1.0</v>
      </c>
      <c r="F331" s="270">
        <v>5.0</v>
      </c>
      <c r="G331" s="270">
        <f t="array" ref="G331">if(or(xlookup(E331,C315:C320,D315:D320)=F331,xlookup(E331,C315:C320,E315:E320)=F331,xlookup(E331,C315:C320,F315:F320)=F331),1,0)</f>
        <v>0</v>
      </c>
      <c r="H331" s="37"/>
      <c r="I331" s="270">
        <v>1.0</v>
      </c>
      <c r="J331" s="270">
        <v>4.0</v>
      </c>
      <c r="K331" s="270">
        <f t="array" ref="K331">if(or(xlookup(I331,C315:C320,D315:D320)=J331,xlookup(I331,C315:C320,E315:E320)=J331,xlookup(I331,C315:C320,F315:F320)=J331),1,0)</f>
        <v>0</v>
      </c>
      <c r="L331" s="37"/>
      <c r="M331" s="270">
        <f t="shared" si="91"/>
        <v>9</v>
      </c>
      <c r="N331" s="270">
        <f>G334</f>
        <v>0</v>
      </c>
      <c r="O331" s="270">
        <f t="array" ref="O331:Q331">TRANSPOSE(F331:F333)</f>
        <v>5</v>
      </c>
      <c r="P331" s="270">
        <v>6.0</v>
      </c>
      <c r="Q331" s="270">
        <v>3.0</v>
      </c>
      <c r="AC331" s="261"/>
      <c r="AD331" s="261"/>
    </row>
    <row r="332">
      <c r="A332" s="270">
        <v>2.0</v>
      </c>
      <c r="B332" s="270">
        <v>6.0</v>
      </c>
      <c r="C332" s="270">
        <f t="array" ref="C332">if(or(xlookup(A332,C315:C320,D315:D320)=B332,xlookup(A332,C315:C320,E315:E320)=B332,xlookup(A332,C315:C320,F315:F320)=B332),1,0)</f>
        <v>0</v>
      </c>
      <c r="D332" s="37"/>
      <c r="E332" s="270">
        <v>2.0</v>
      </c>
      <c r="F332" s="270">
        <v>6.0</v>
      </c>
      <c r="G332" s="270">
        <f t="array" ref="G332">if(or(xlookup(E332,C315:C320,D315:D320)=F332,xlookup(E332,C315:C320,E315:E320)=F332,xlookup(E332,C315:C320,F315:F320)=F332),1,0)</f>
        <v>0</v>
      </c>
      <c r="H332" s="37"/>
      <c r="I332" s="270">
        <v>2.0</v>
      </c>
      <c r="J332" s="270">
        <v>6.0</v>
      </c>
      <c r="K332" s="270">
        <f t="array" ref="K332">if(or(xlookup(I332,C315:C320,D315:D320)=J332,xlookup(I332,C315:C320,E315:E320)=J332,xlookup(I332,C315:C320,F315:F320)=J332),1,0)</f>
        <v>0</v>
      </c>
      <c r="L332" s="37"/>
      <c r="M332" s="270">
        <f t="shared" si="91"/>
        <v>10</v>
      </c>
      <c r="N332" s="270">
        <f>G338</f>
        <v>0</v>
      </c>
      <c r="O332" s="270">
        <f t="array" ref="O332:Q332">TRANSPOSE(F335:F337)</f>
        <v>5</v>
      </c>
      <c r="P332" s="270">
        <v>3.0</v>
      </c>
      <c r="Q332" s="270">
        <v>6.0</v>
      </c>
      <c r="AC332" s="261"/>
      <c r="AD332" s="261"/>
    </row>
    <row r="333">
      <c r="A333" s="270">
        <v>3.0</v>
      </c>
      <c r="B333" s="270">
        <v>4.0</v>
      </c>
      <c r="C333" s="270">
        <f t="array" ref="C333">if(or(xlookup(A333,C315:C320,D315:D320)=B333,xlookup(A333,C315:C320,E315:E320)=B333,xlookup(A333,C315:C320,F315:F320)=B333),1,0)</f>
        <v>0</v>
      </c>
      <c r="D333" s="37"/>
      <c r="E333" s="270">
        <v>4.0</v>
      </c>
      <c r="F333" s="270">
        <v>3.0</v>
      </c>
      <c r="G333" s="270">
        <f t="array" ref="G333">if(or(xlookup(E333,C315:C320,D315:D320)=F333,xlookup(E333,C315:C320,E315:E320)=F333,xlookup(E333,C315:C320,F315:F320)=F333),1,0)</f>
        <v>0</v>
      </c>
      <c r="H333" s="37"/>
      <c r="I333" s="270">
        <v>5.0</v>
      </c>
      <c r="J333" s="270">
        <v>3.0</v>
      </c>
      <c r="K333" s="270">
        <f t="array" ref="K333">if(or(xlookup(I333,C315:C320,D315:D320)=J333,xlookup(I333,C315:C320,E315:E320)=J333,xlookup(I333,C315:C320,F315:F320)=J333),1,0)</f>
        <v>0</v>
      </c>
      <c r="L333" s="37"/>
      <c r="M333" s="270">
        <f t="shared" si="91"/>
        <v>11</v>
      </c>
      <c r="N333" s="270">
        <f>G342</f>
        <v>0</v>
      </c>
      <c r="O333" s="270">
        <f t="array" ref="O333:Q333">TRANSPOSE(F339:F341)</f>
        <v>3</v>
      </c>
      <c r="P333" s="270">
        <v>6.0</v>
      </c>
      <c r="Q333" s="270">
        <v>5.0</v>
      </c>
      <c r="AC333" s="261"/>
      <c r="AD333" s="261"/>
    </row>
    <row r="334">
      <c r="A334" s="37"/>
      <c r="B334" s="37"/>
      <c r="C334" s="272">
        <f>SUM(C331:C333)</f>
        <v>0</v>
      </c>
      <c r="D334" s="37"/>
      <c r="E334" s="37"/>
      <c r="F334" s="37"/>
      <c r="G334" s="272">
        <f>SUM(G331:G333)</f>
        <v>0</v>
      </c>
      <c r="H334" s="37"/>
      <c r="I334" s="37"/>
      <c r="J334" s="37"/>
      <c r="K334" s="272">
        <f>SUM(K331:K333)</f>
        <v>0</v>
      </c>
      <c r="L334" s="37"/>
      <c r="M334" s="270">
        <f t="shared" si="91"/>
        <v>12</v>
      </c>
      <c r="N334" s="270">
        <f>G346</f>
        <v>0</v>
      </c>
      <c r="O334" s="270">
        <f t="array" ref="O334:Q334">TRANSPOSE(F343:F345)</f>
        <v>3</v>
      </c>
      <c r="P334" s="270">
        <v>5.0</v>
      </c>
      <c r="Q334" s="270">
        <v>6.0</v>
      </c>
      <c r="AC334" s="261"/>
      <c r="AD334" s="261"/>
    </row>
    <row r="335">
      <c r="A335" s="270">
        <v>1.0</v>
      </c>
      <c r="B335" s="270">
        <v>5.0</v>
      </c>
      <c r="C335" s="270">
        <f t="array" ref="C335">if(or(xlookup(A335,C315:C320,D315:D320)=B335,xlookup(A335,C315:C320,E315:E320)=B335,xlookup(A335,C315:C320,F315:F320)=B335),1,0)</f>
        <v>0</v>
      </c>
      <c r="D335" s="37"/>
      <c r="E335" s="270">
        <v>1.0</v>
      </c>
      <c r="F335" s="270">
        <v>5.0</v>
      </c>
      <c r="G335" s="270">
        <f t="array" ref="G335">if(or(xlookup(E335,C315:C320,D315:D320)=F335,xlookup(E335,C315:C320,E315:E320)=F335,xlookup(E335,C315:C320,F315:F320)=F335),1,0)</f>
        <v>0</v>
      </c>
      <c r="H335" s="37"/>
      <c r="I335" s="270">
        <v>1.0</v>
      </c>
      <c r="J335" s="270">
        <v>4.0</v>
      </c>
      <c r="K335" s="270">
        <f t="array" ref="K335">if(or(xlookup(I335,C315:C320,D315:D320)=J335,xlookup(I335,C315:C320,E315:E320)=J335,xlookup(I335,C315:C320,F315:F320)=J335),1,0)</f>
        <v>0</v>
      </c>
      <c r="L335" s="37"/>
      <c r="M335" s="270">
        <f t="shared" si="91"/>
        <v>13</v>
      </c>
      <c r="N335" s="270">
        <f>K326</f>
        <v>0</v>
      </c>
      <c r="O335" s="270">
        <f t="array" ref="O335:Q335">TRANSPOSE(J323:J325)</f>
        <v>6</v>
      </c>
      <c r="P335" s="270">
        <v>4.0</v>
      </c>
      <c r="Q335" s="270">
        <v>3.0</v>
      </c>
      <c r="AC335" s="261"/>
      <c r="AD335" s="261"/>
    </row>
    <row r="336">
      <c r="A336" s="270">
        <v>2.0</v>
      </c>
      <c r="B336" s="270">
        <v>4.0</v>
      </c>
      <c r="C336" s="270">
        <f t="array" ref="C336">if(or(xlookup(A336,C315:C320,D315:D320)=B336,xlookup(A336,C315:C320,E315:E320)=B336,xlookup(A336,C315:C320,F315:F320)=B336),1,0)</f>
        <v>0</v>
      </c>
      <c r="D336" s="37"/>
      <c r="E336" s="270">
        <v>2.0</v>
      </c>
      <c r="F336" s="270">
        <v>3.0</v>
      </c>
      <c r="G336" s="270">
        <f t="array" ref="G336">if(or(xlookup(E336,C315:C320,D315:D320)=F336,xlookup(E336,C315:C320,E315:E320)=F336,xlookup(E336,C315:C320,F315:F320)=F336),1,0)</f>
        <v>0</v>
      </c>
      <c r="H336" s="37"/>
      <c r="I336" s="270">
        <v>2.0</v>
      </c>
      <c r="J336" s="270">
        <v>3.0</v>
      </c>
      <c r="K336" s="270">
        <f t="array" ref="K336">if(or(xlookup(I336,C315:C320,D315:D320)=J336,xlookup(I336,C315:C320,E315:E320)=J336,xlookup(I336,C315:C320,F315:F320)=J336),1,0)</f>
        <v>0</v>
      </c>
      <c r="L336" s="37"/>
      <c r="M336" s="270">
        <f t="shared" si="91"/>
        <v>14</v>
      </c>
      <c r="N336" s="270">
        <f>K330</f>
        <v>0</v>
      </c>
      <c r="O336" s="270">
        <f t="array" ref="O336:Q336">TRANSPOSE(J327:J329)</f>
        <v>6</v>
      </c>
      <c r="P336" s="270">
        <v>3.0</v>
      </c>
      <c r="Q336" s="270">
        <v>4.0</v>
      </c>
      <c r="AC336" s="261"/>
      <c r="AD336" s="261"/>
    </row>
    <row r="337">
      <c r="A337" s="270">
        <v>3.0</v>
      </c>
      <c r="B337" s="270">
        <v>6.0</v>
      </c>
      <c r="C337" s="270">
        <f t="array" ref="C337">if(or(xlookup(A337,C315:C320,D315:D320)=B337,xlookup(A337,C315:C320,E315:E320)=B337,xlookup(A337,C315:C320,F315:F320)=B337),1,0)</f>
        <v>0</v>
      </c>
      <c r="D337" s="37"/>
      <c r="E337" s="270">
        <v>4.0</v>
      </c>
      <c r="F337" s="270">
        <v>6.0</v>
      </c>
      <c r="G337" s="270">
        <f t="array" ref="G337">if(or(xlookup(E337,C315:C320,D315:D320)=F337,xlookup(E337,C315:C320,E315:E320)=F337,xlookup(E337,C315:C320,F315:F320)=F337),1,0)</f>
        <v>0</v>
      </c>
      <c r="H337" s="37"/>
      <c r="I337" s="270">
        <v>5.0</v>
      </c>
      <c r="J337" s="270">
        <v>6.0</v>
      </c>
      <c r="K337" s="270">
        <f t="array" ref="K337">if(or(xlookup(I337,C315:C320,D315:D320)=J337,xlookup(I337,C315:C320,E315:E320)=J337,xlookup(I337,C315:C320,F315:F320)=J337),1,0)</f>
        <v>0</v>
      </c>
      <c r="L337" s="37"/>
      <c r="M337" s="270">
        <f t="shared" si="91"/>
        <v>15</v>
      </c>
      <c r="N337" s="270">
        <f>K334</f>
        <v>0</v>
      </c>
      <c r="O337" s="270">
        <f t="array" ref="O337:Q337">TRANSPOSE(J331:J333)</f>
        <v>4</v>
      </c>
      <c r="P337" s="270">
        <v>6.0</v>
      </c>
      <c r="Q337" s="270">
        <v>3.0</v>
      </c>
      <c r="AC337" s="261"/>
      <c r="AD337" s="261"/>
    </row>
    <row r="338">
      <c r="A338" s="37"/>
      <c r="B338" s="37"/>
      <c r="C338" s="272">
        <f>SUM(C335:C337)</f>
        <v>0</v>
      </c>
      <c r="D338" s="37"/>
      <c r="E338" s="37"/>
      <c r="F338" s="37"/>
      <c r="G338" s="272">
        <f>SUM(G335:G337)</f>
        <v>0</v>
      </c>
      <c r="H338" s="37"/>
      <c r="I338" s="37"/>
      <c r="J338" s="37"/>
      <c r="K338" s="272">
        <f>SUM(K335:K337)</f>
        <v>0</v>
      </c>
      <c r="L338" s="37"/>
      <c r="M338" s="270">
        <f t="shared" si="91"/>
        <v>16</v>
      </c>
      <c r="N338" s="270">
        <f>K338</f>
        <v>0</v>
      </c>
      <c r="O338" s="270">
        <f t="array" ref="O338:Q338">TRANSPOSE(J335:J337)</f>
        <v>4</v>
      </c>
      <c r="P338" s="270">
        <v>3.0</v>
      </c>
      <c r="Q338" s="270">
        <v>6.0</v>
      </c>
      <c r="AC338" s="261"/>
      <c r="AD338" s="261"/>
    </row>
    <row r="339">
      <c r="A339" s="270">
        <v>1.0</v>
      </c>
      <c r="B339" s="270">
        <v>4.0</v>
      </c>
      <c r="C339" s="270">
        <f t="array" ref="C339">if(or(xlookup(A339,C315:C320,D315:D320)=B339,xlookup(A339,C315:C320,E315:E320)=B339,xlookup(A339,C315:C320,F315:F320)=B339),1,0)</f>
        <v>0</v>
      </c>
      <c r="D339" s="37"/>
      <c r="E339" s="270">
        <v>1.0</v>
      </c>
      <c r="F339" s="270">
        <v>3.0</v>
      </c>
      <c r="G339" s="270">
        <f t="array" ref="G339">if(or(xlookup(E339,C315:C320,D315:D320)=F339,xlookup(E339,C315:C320,E315:E320)=F339,xlookup(E339,C315:C320,F315:F320)=F339),1,0)</f>
        <v>0</v>
      </c>
      <c r="H339" s="37"/>
      <c r="I339" s="270">
        <v>1.0</v>
      </c>
      <c r="J339" s="270">
        <v>3.0</v>
      </c>
      <c r="K339" s="270">
        <f t="array" ref="K339">if(or(xlookup(I339,C315:C320,D315:D320)=J339,xlookup(I339,C315:C320,E315:E320)=J339,xlookup(I339,C315:C320,F315:F320)=J339),1,0)</f>
        <v>0</v>
      </c>
      <c r="L339" s="37"/>
      <c r="M339" s="270">
        <f t="shared" si="91"/>
        <v>17</v>
      </c>
      <c r="N339" s="270">
        <f>K342</f>
        <v>0</v>
      </c>
      <c r="O339" s="270">
        <f t="array" ref="O339:Q339">TRANSPOSE(J339:J341)</f>
        <v>3</v>
      </c>
      <c r="P339" s="270">
        <v>6.0</v>
      </c>
      <c r="Q339" s="270">
        <v>4.0</v>
      </c>
      <c r="AC339" s="261"/>
      <c r="AD339" s="261"/>
    </row>
    <row r="340">
      <c r="A340" s="270">
        <v>2.0</v>
      </c>
      <c r="B340" s="270">
        <v>6.0</v>
      </c>
      <c r="C340" s="270">
        <f t="array" ref="C340">if(or(xlookup(A340,C315:C320,D315:D320)=B340,xlookup(A340,C315:C320,E315:E320)=B340,xlookup(A340,C315:C320,F315:F320)=B340),1,0)</f>
        <v>0</v>
      </c>
      <c r="D340" s="37"/>
      <c r="E340" s="270">
        <v>2.0</v>
      </c>
      <c r="F340" s="270">
        <v>6.0</v>
      </c>
      <c r="G340" s="270">
        <f t="array" ref="G340">if(or(xlookup(E340,C315:C320,D315:D320)=F340,xlookup(E340,C315:C320,E315:E320)=F340,xlookup(E340,C315:C320,F315:F320)=F340),1,0)</f>
        <v>0</v>
      </c>
      <c r="H340" s="37"/>
      <c r="I340" s="270">
        <v>2.0</v>
      </c>
      <c r="J340" s="270">
        <v>6.0</v>
      </c>
      <c r="K340" s="270">
        <f t="array" ref="K340">if(or(xlookup(I340,C315:C320,D315:D320)=J340,xlookup(I340,C315:C320,E315:E320)=J340,xlookup(I340,C315:C320,F315:F320)=J340),1,0)</f>
        <v>0</v>
      </c>
      <c r="L340" s="37"/>
      <c r="M340" s="270">
        <f t="shared" si="91"/>
        <v>18</v>
      </c>
      <c r="N340" s="270">
        <f>K346</f>
        <v>0</v>
      </c>
      <c r="O340" s="270">
        <f t="array" ref="O340:Q340">TRANSPOSE(J343:J345)</f>
        <v>3</v>
      </c>
      <c r="P340" s="270">
        <v>4.0</v>
      </c>
      <c r="Q340" s="270">
        <v>6.0</v>
      </c>
      <c r="AC340" s="261"/>
      <c r="AD340" s="261"/>
    </row>
    <row r="341">
      <c r="A341" s="270">
        <v>3.0</v>
      </c>
      <c r="B341" s="270">
        <v>5.0</v>
      </c>
      <c r="C341" s="270">
        <f t="array" ref="C341">if(or(xlookup(A341,C315:C320,D315:D320)=B341,xlookup(A341,C315:C320,E315:E320)=B341,xlookup(A341,C315:C320,F315:F320)=B341),1,0)</f>
        <v>0</v>
      </c>
      <c r="D341" s="37"/>
      <c r="E341" s="270">
        <v>4.0</v>
      </c>
      <c r="F341" s="270">
        <v>5.0</v>
      </c>
      <c r="G341" s="270">
        <f t="array" ref="G341">if(or(xlookup(E341,C315:C320,D315:D320)=F341,xlookup(E341,C315:C320,E315:E320)=F341,xlookup(E341,C315:C320,F315:F320)=F341),1,0)</f>
        <v>0</v>
      </c>
      <c r="H341" s="37"/>
      <c r="I341" s="270">
        <v>5.0</v>
      </c>
      <c r="J341" s="270">
        <v>4.0</v>
      </c>
      <c r="K341" s="270">
        <f t="array" ref="K341">if(or(xlookup(I341,C315:C320,D315:D320)=J341,xlookup(I341,C315:C320,E315:E320)=J341,xlookup(I341,C315:C320,F315:F320)=J341),1,0)</f>
        <v>0</v>
      </c>
      <c r="L341" s="37"/>
      <c r="M341" s="37"/>
      <c r="N341" s="37"/>
      <c r="O341" s="37"/>
      <c r="P341" s="37"/>
      <c r="Q341" s="37"/>
      <c r="AC341" s="261"/>
      <c r="AD341" s="261"/>
    </row>
    <row r="342">
      <c r="A342" s="37"/>
      <c r="B342" s="37"/>
      <c r="C342" s="272">
        <f>SUM(C339:C341)</f>
        <v>0</v>
      </c>
      <c r="D342" s="37"/>
      <c r="E342" s="37"/>
      <c r="F342" s="37"/>
      <c r="G342" s="272">
        <f>SUM(G339:G341)</f>
        <v>0</v>
      </c>
      <c r="H342" s="37"/>
      <c r="I342" s="37"/>
      <c r="J342" s="37"/>
      <c r="K342" s="272">
        <f>SUM(K339:K341)</f>
        <v>0</v>
      </c>
      <c r="L342" s="37"/>
      <c r="M342" s="37"/>
      <c r="N342" s="37"/>
      <c r="O342" s="37"/>
      <c r="P342" s="37"/>
      <c r="Q342" s="37"/>
      <c r="AC342" s="261"/>
      <c r="AD342" s="261"/>
    </row>
    <row r="343">
      <c r="A343" s="270">
        <v>1.0</v>
      </c>
      <c r="B343" s="270">
        <v>4.0</v>
      </c>
      <c r="C343" s="270">
        <f t="array" ref="C343">if(or(xlookup(A343,C315:C320,D315:D320)=B343,xlookup(A343,C315:C320,E315:E320)=B343,xlookup(A343,C315:C320,F315:F320)=B343),1,0)</f>
        <v>0</v>
      </c>
      <c r="D343" s="37"/>
      <c r="E343" s="270">
        <v>1.0</v>
      </c>
      <c r="F343" s="270">
        <v>3.0</v>
      </c>
      <c r="G343" s="270">
        <f t="array" ref="G343">if(or(xlookup(E343,C315:C320,D315:D320)=F343,xlookup(E343,C315:C320,E315:E320)=F343,xlookup(E343,C315:C320,F315:F320)=F343),1,0)</f>
        <v>0</v>
      </c>
      <c r="H343" s="37"/>
      <c r="I343" s="270">
        <v>1.0</v>
      </c>
      <c r="J343" s="270">
        <v>3.0</v>
      </c>
      <c r="K343" s="270">
        <f t="array" ref="K343">if(or(xlookup(I343,C315:C320,D315:D320)=J343,xlookup(I343,C315:C320,E315:E320)=J343,xlookup(I343,C315:C320,F315:F320)=J343),1,0)</f>
        <v>0</v>
      </c>
      <c r="L343" s="37"/>
      <c r="M343" s="37"/>
      <c r="N343" s="37"/>
      <c r="O343" s="37"/>
      <c r="P343" s="37"/>
      <c r="Q343" s="37"/>
      <c r="AC343" s="261"/>
      <c r="AD343" s="261"/>
    </row>
    <row r="344">
      <c r="A344" s="270">
        <v>2.0</v>
      </c>
      <c r="B344" s="270">
        <v>5.0</v>
      </c>
      <c r="C344" s="270">
        <f t="array" ref="C344">if(or(xlookup(A344,C315:C320,D315:D320)=B344,xlookup(A344,C315:C320,E315:E320)=B344,xlookup(A344,C315:C320,F315:F320)=B344),1,0)</f>
        <v>0</v>
      </c>
      <c r="D344" s="37"/>
      <c r="E344" s="270">
        <v>2.0</v>
      </c>
      <c r="F344" s="270">
        <v>5.0</v>
      </c>
      <c r="G344" s="270">
        <f t="array" ref="G344">if(or(xlookup(E344,C315:C320,D315:D320)=F344,xlookup(E344,C315:C320,E315:E320)=F344,xlookup(E344,C315:C320,F315:F320)=F344),1,0)</f>
        <v>0</v>
      </c>
      <c r="H344" s="37"/>
      <c r="I344" s="270">
        <v>2.0</v>
      </c>
      <c r="J344" s="270">
        <v>4.0</v>
      </c>
      <c r="K344" s="270">
        <f t="array" ref="K344">if(or(xlookup(I344,C315:C320,D315:D320)=J344,xlookup(I344,C315:C320,E315:E320)=J344,xlookup(I344,C315:C320,F315:F320)=J344),1,0)</f>
        <v>0</v>
      </c>
      <c r="L344" s="37"/>
      <c r="M344" s="37"/>
      <c r="N344" s="37"/>
      <c r="O344" s="37"/>
      <c r="P344" s="37"/>
      <c r="Q344" s="37"/>
      <c r="AC344" s="261"/>
      <c r="AD344" s="261"/>
    </row>
    <row r="345">
      <c r="A345" s="270">
        <v>3.0</v>
      </c>
      <c r="B345" s="270">
        <v>6.0</v>
      </c>
      <c r="C345" s="270">
        <f t="array" ref="C345">if(or(xlookup(A345,C315:C320,D315:D320)=B345,xlookup(A345,C315:C320,E315:E320)=B345,xlookup(A345,C315:C320,F315:F320)=B345),1,0)</f>
        <v>0</v>
      </c>
      <c r="D345" s="37"/>
      <c r="E345" s="270">
        <v>4.0</v>
      </c>
      <c r="F345" s="270">
        <v>6.0</v>
      </c>
      <c r="G345" s="270">
        <f t="array" ref="G345">if(or(xlookup(E345,C315:C320,D315:D320)=F345,xlookup(E345,C315:C320,E315:E320)=F345,xlookup(E345,C315:C320,F315:F320)=F345),1,0)</f>
        <v>0</v>
      </c>
      <c r="H345" s="37"/>
      <c r="I345" s="270">
        <v>5.0</v>
      </c>
      <c r="J345" s="270">
        <v>6.0</v>
      </c>
      <c r="K345" s="270">
        <f t="array" ref="K345">if(or(xlookup(I345,C315:C320,D315:D320)=J345,xlookup(I345,C315:C320,E315:E320)=J345,xlookup(I345,C315:C320,F315:F320)=J345),1,0)</f>
        <v>0</v>
      </c>
      <c r="L345" s="37"/>
      <c r="M345" s="37"/>
      <c r="N345" s="37"/>
      <c r="O345" s="37"/>
      <c r="P345" s="37"/>
      <c r="Q345" s="37"/>
      <c r="AC345" s="261"/>
      <c r="AD345" s="261"/>
    </row>
    <row r="346">
      <c r="A346" s="37"/>
      <c r="B346" s="37"/>
      <c r="C346" s="272">
        <f>SUM(C343:C345)</f>
        <v>0</v>
      </c>
      <c r="D346" s="37"/>
      <c r="E346" s="37"/>
      <c r="F346" s="37"/>
      <c r="G346" s="272">
        <f>SUM(G343:G345)</f>
        <v>0</v>
      </c>
      <c r="H346" s="37"/>
      <c r="I346" s="37"/>
      <c r="J346" s="37"/>
      <c r="K346" s="272">
        <f>SUM(K343:K345)</f>
        <v>0</v>
      </c>
      <c r="L346" s="37"/>
      <c r="M346" s="37"/>
      <c r="N346" s="37"/>
      <c r="O346" s="37"/>
      <c r="P346" s="37"/>
      <c r="Q346" s="37"/>
      <c r="AC346" s="261"/>
      <c r="AD346" s="261"/>
    </row>
    <row r="347">
      <c r="A347" s="37"/>
      <c r="B347" s="37"/>
      <c r="C347" s="37"/>
      <c r="D347" s="37"/>
      <c r="E347" s="37"/>
      <c r="F347" s="37"/>
      <c r="G347" s="37"/>
      <c r="H347" s="37"/>
      <c r="I347" s="37"/>
      <c r="J347" s="37"/>
      <c r="K347" s="37"/>
      <c r="L347" s="37"/>
      <c r="M347" s="37"/>
      <c r="N347" s="37"/>
      <c r="O347" s="37"/>
      <c r="P347" s="37"/>
      <c r="Q347" s="37"/>
      <c r="AC347" s="261"/>
      <c r="AD347" s="261"/>
    </row>
    <row r="348">
      <c r="A348" s="37"/>
      <c r="B348" s="37"/>
      <c r="C348" s="37"/>
      <c r="D348" s="37"/>
      <c r="E348" s="37"/>
      <c r="F348" s="37"/>
      <c r="G348" s="37"/>
      <c r="H348" s="37"/>
      <c r="I348" s="37"/>
      <c r="J348" s="37"/>
      <c r="K348" s="37"/>
      <c r="L348" s="37"/>
      <c r="M348" s="37"/>
      <c r="N348" s="37"/>
      <c r="O348" s="37"/>
      <c r="P348" s="37"/>
      <c r="Q348" s="37"/>
      <c r="AC348" s="261"/>
      <c r="AD348" s="261"/>
    </row>
    <row r="349">
      <c r="A349" s="37"/>
      <c r="B349" s="37"/>
      <c r="C349" s="37"/>
      <c r="D349" s="37"/>
      <c r="E349" s="37"/>
      <c r="F349" s="37"/>
      <c r="G349" s="37"/>
      <c r="H349" s="37"/>
      <c r="I349" s="37"/>
      <c r="J349" s="37"/>
      <c r="K349" s="37"/>
      <c r="L349" s="37"/>
      <c r="M349" s="37"/>
      <c r="N349" s="37"/>
      <c r="O349" s="37"/>
      <c r="P349" s="37"/>
      <c r="Q349" s="37"/>
      <c r="AC349" s="261"/>
      <c r="AD349" s="261"/>
    </row>
    <row r="350">
      <c r="A350" s="270">
        <f t="array" ref="A350:E367">sort(M323:Q340,2,true)</f>
        <v>1</v>
      </c>
      <c r="B350" s="270">
        <v>0.0</v>
      </c>
      <c r="C350" s="270">
        <v>6.0</v>
      </c>
      <c r="D350" s="270">
        <v>5.0</v>
      </c>
      <c r="E350" s="270">
        <v>4.0</v>
      </c>
      <c r="F350" s="37"/>
      <c r="G350" s="270">
        <v>1.0</v>
      </c>
      <c r="H350" s="270">
        <f>C350</f>
        <v>6</v>
      </c>
      <c r="I350" s="37"/>
      <c r="J350" s="271" t="str">
        <f t="shared" ref="J350:K350" si="92">xlookup(G350,$L$308:$L$313,$A$308:$A$313,"")</f>
        <v>#N/A</v>
      </c>
      <c r="K350" s="271" t="str">
        <f t="shared" si="92"/>
        <v/>
      </c>
      <c r="L350" s="37"/>
      <c r="M350" s="37"/>
      <c r="N350" s="37"/>
      <c r="O350" s="37"/>
      <c r="P350" s="37"/>
      <c r="Q350" s="37"/>
      <c r="AC350" s="261"/>
      <c r="AD350" s="261"/>
    </row>
    <row r="351">
      <c r="A351" s="270">
        <v>2.0</v>
      </c>
      <c r="B351" s="270">
        <v>0.0</v>
      </c>
      <c r="C351" s="270">
        <v>6.0</v>
      </c>
      <c r="D351" s="270">
        <v>4.0</v>
      </c>
      <c r="E351" s="270">
        <v>5.0</v>
      </c>
      <c r="F351" s="37"/>
      <c r="G351" s="270">
        <v>2.0</v>
      </c>
      <c r="H351" s="270">
        <f>D350</f>
        <v>5</v>
      </c>
      <c r="I351" s="37"/>
      <c r="J351" s="271" t="str">
        <f t="shared" ref="J351:K351" si="93">xlookup(G351,$L$308:$L$313,$A$308:$A$313,"")</f>
        <v/>
      </c>
      <c r="K351" s="271" t="str">
        <f t="shared" si="93"/>
        <v/>
      </c>
      <c r="L351" s="37"/>
      <c r="M351" s="37"/>
      <c r="N351" s="37"/>
      <c r="O351" s="37"/>
      <c r="P351" s="37"/>
      <c r="Q351" s="37"/>
      <c r="AC351" s="261"/>
      <c r="AD351" s="261"/>
    </row>
    <row r="352">
      <c r="A352" s="270">
        <v>3.0</v>
      </c>
      <c r="B352" s="270">
        <v>0.0</v>
      </c>
      <c r="C352" s="270">
        <v>5.0</v>
      </c>
      <c r="D352" s="270">
        <v>6.0</v>
      </c>
      <c r="E352" s="270">
        <v>4.0</v>
      </c>
      <c r="F352" s="37"/>
      <c r="G352" s="270">
        <f>ifs(A350&lt;=6,3,and(A350&gt;6,A350&lt;13),4,A350&gt;12,5)</f>
        <v>3</v>
      </c>
      <c r="H352" s="270">
        <f>E350</f>
        <v>4</v>
      </c>
      <c r="I352" s="37"/>
      <c r="J352" s="271" t="str">
        <f t="shared" ref="J352:K352" si="94">xlookup(G352,$L$308:$L$313,$A$308:$A$313,"")</f>
        <v/>
      </c>
      <c r="K352" s="271" t="str">
        <f t="shared" si="94"/>
        <v/>
      </c>
      <c r="L352" s="37"/>
      <c r="M352" s="37"/>
      <c r="N352" s="37"/>
      <c r="O352" s="37"/>
      <c r="P352" s="37"/>
      <c r="Q352" s="37"/>
      <c r="AC352" s="261"/>
      <c r="AD352" s="261"/>
    </row>
    <row r="353">
      <c r="A353" s="270">
        <v>4.0</v>
      </c>
      <c r="B353" s="270">
        <v>0.0</v>
      </c>
      <c r="C353" s="270">
        <v>5.0</v>
      </c>
      <c r="D353" s="270">
        <v>4.0</v>
      </c>
      <c r="E353" s="270">
        <v>6.0</v>
      </c>
      <c r="F353" s="37"/>
      <c r="G353" s="37"/>
      <c r="H353" s="37"/>
      <c r="I353" s="37"/>
      <c r="J353" s="37"/>
      <c r="K353" s="37"/>
      <c r="L353" s="37"/>
      <c r="M353" s="37"/>
      <c r="N353" s="37"/>
      <c r="O353" s="37"/>
      <c r="P353" s="37"/>
      <c r="Q353" s="37"/>
      <c r="AC353" s="261"/>
      <c r="AD353" s="261"/>
    </row>
    <row r="354">
      <c r="A354" s="270">
        <v>5.0</v>
      </c>
      <c r="B354" s="270">
        <v>0.0</v>
      </c>
      <c r="C354" s="270">
        <v>4.0</v>
      </c>
      <c r="D354" s="270">
        <v>6.0</v>
      </c>
      <c r="E354" s="270">
        <v>5.0</v>
      </c>
      <c r="F354" s="37"/>
      <c r="G354" s="37"/>
      <c r="H354" s="37"/>
      <c r="I354" s="37"/>
      <c r="J354" s="37"/>
      <c r="K354" s="37"/>
      <c r="L354" s="37"/>
      <c r="M354" s="37"/>
      <c r="N354" s="37"/>
      <c r="O354" s="37"/>
      <c r="P354" s="37"/>
      <c r="Q354" s="37"/>
      <c r="AC354" s="261"/>
      <c r="AD354" s="261"/>
    </row>
    <row r="355">
      <c r="A355" s="270">
        <v>6.0</v>
      </c>
      <c r="B355" s="270">
        <v>0.0</v>
      </c>
      <c r="C355" s="270">
        <v>4.0</v>
      </c>
      <c r="D355" s="270">
        <v>5.0</v>
      </c>
      <c r="E355" s="270">
        <v>6.0</v>
      </c>
      <c r="F355" s="37"/>
      <c r="G355" s="37"/>
      <c r="H355" s="37"/>
      <c r="I355" s="37"/>
      <c r="J355" s="37"/>
      <c r="K355" s="37"/>
      <c r="L355" s="37"/>
      <c r="M355" s="37"/>
      <c r="N355" s="37"/>
      <c r="O355" s="37"/>
      <c r="P355" s="37"/>
      <c r="Q355" s="37"/>
      <c r="AC355" s="261"/>
      <c r="AD355" s="261"/>
    </row>
    <row r="356">
      <c r="A356" s="270">
        <v>7.0</v>
      </c>
      <c r="B356" s="270">
        <v>0.0</v>
      </c>
      <c r="C356" s="270">
        <v>6.0</v>
      </c>
      <c r="D356" s="270">
        <v>5.0</v>
      </c>
      <c r="E356" s="270">
        <v>3.0</v>
      </c>
      <c r="F356" s="37"/>
      <c r="G356" s="37"/>
      <c r="H356" s="37"/>
      <c r="I356" s="37"/>
      <c r="J356" s="37"/>
      <c r="K356" s="37"/>
      <c r="L356" s="37"/>
      <c r="M356" s="37"/>
      <c r="N356" s="37"/>
      <c r="O356" s="37"/>
      <c r="P356" s="37"/>
      <c r="Q356" s="37"/>
      <c r="AC356" s="261"/>
      <c r="AD356" s="261"/>
    </row>
    <row r="357">
      <c r="A357" s="270">
        <v>8.0</v>
      </c>
      <c r="B357" s="270">
        <v>0.0</v>
      </c>
      <c r="C357" s="270">
        <v>6.0</v>
      </c>
      <c r="D357" s="270">
        <v>3.0</v>
      </c>
      <c r="E357" s="270">
        <v>5.0</v>
      </c>
      <c r="F357" s="37"/>
      <c r="G357" s="37"/>
      <c r="H357" s="37"/>
      <c r="I357" s="37"/>
      <c r="J357" s="37"/>
      <c r="K357" s="37"/>
      <c r="L357" s="37"/>
      <c r="M357" s="37"/>
      <c r="N357" s="37"/>
      <c r="O357" s="37"/>
      <c r="P357" s="37"/>
      <c r="Q357" s="37"/>
      <c r="AC357" s="261"/>
      <c r="AD357" s="261"/>
    </row>
    <row r="358">
      <c r="A358" s="270">
        <v>9.0</v>
      </c>
      <c r="B358" s="270">
        <v>0.0</v>
      </c>
      <c r="C358" s="270">
        <v>5.0</v>
      </c>
      <c r="D358" s="270">
        <v>6.0</v>
      </c>
      <c r="E358" s="270">
        <v>3.0</v>
      </c>
      <c r="F358" s="37"/>
      <c r="G358" s="37"/>
      <c r="H358" s="37"/>
      <c r="I358" s="37"/>
      <c r="J358" s="37"/>
      <c r="K358" s="37"/>
      <c r="L358" s="37"/>
      <c r="M358" s="37"/>
      <c r="N358" s="37"/>
      <c r="O358" s="37"/>
      <c r="P358" s="37"/>
      <c r="Q358" s="37"/>
      <c r="AC358" s="261"/>
      <c r="AD358" s="261"/>
    </row>
    <row r="359">
      <c r="A359" s="270">
        <v>10.0</v>
      </c>
      <c r="B359" s="270">
        <v>0.0</v>
      </c>
      <c r="C359" s="270">
        <v>5.0</v>
      </c>
      <c r="D359" s="270">
        <v>3.0</v>
      </c>
      <c r="E359" s="270">
        <v>6.0</v>
      </c>
      <c r="F359" s="37"/>
      <c r="G359" s="37"/>
      <c r="H359" s="37"/>
      <c r="I359" s="37"/>
      <c r="J359" s="37"/>
      <c r="K359" s="37"/>
      <c r="L359" s="37"/>
      <c r="M359" s="37"/>
      <c r="N359" s="37"/>
      <c r="O359" s="37"/>
      <c r="P359" s="37"/>
      <c r="Q359" s="37"/>
      <c r="AC359" s="261"/>
      <c r="AD359" s="261"/>
    </row>
    <row r="360">
      <c r="A360" s="270">
        <v>11.0</v>
      </c>
      <c r="B360" s="270">
        <v>0.0</v>
      </c>
      <c r="C360" s="270">
        <v>3.0</v>
      </c>
      <c r="D360" s="270">
        <v>6.0</v>
      </c>
      <c r="E360" s="270">
        <v>5.0</v>
      </c>
      <c r="F360" s="37"/>
      <c r="G360" s="37"/>
      <c r="H360" s="37"/>
      <c r="I360" s="37"/>
      <c r="J360" s="37"/>
      <c r="K360" s="37"/>
      <c r="L360" s="37"/>
      <c r="M360" s="37"/>
      <c r="N360" s="37"/>
      <c r="O360" s="37"/>
      <c r="P360" s="37"/>
      <c r="Q360" s="37"/>
      <c r="AC360" s="261"/>
      <c r="AD360" s="261"/>
    </row>
    <row r="361">
      <c r="A361" s="270">
        <v>12.0</v>
      </c>
      <c r="B361" s="270">
        <v>0.0</v>
      </c>
      <c r="C361" s="270">
        <v>3.0</v>
      </c>
      <c r="D361" s="270">
        <v>5.0</v>
      </c>
      <c r="E361" s="270">
        <v>6.0</v>
      </c>
      <c r="F361" s="37"/>
      <c r="G361" s="37"/>
      <c r="H361" s="37"/>
      <c r="I361" s="37"/>
      <c r="J361" s="37"/>
      <c r="K361" s="37"/>
      <c r="L361" s="37"/>
      <c r="M361" s="37"/>
      <c r="N361" s="37"/>
      <c r="O361" s="37"/>
      <c r="P361" s="37"/>
      <c r="Q361" s="37"/>
      <c r="AC361" s="261"/>
      <c r="AD361" s="261"/>
    </row>
    <row r="362">
      <c r="A362" s="270">
        <v>13.0</v>
      </c>
      <c r="B362" s="270">
        <v>0.0</v>
      </c>
      <c r="C362" s="270">
        <v>6.0</v>
      </c>
      <c r="D362" s="270">
        <v>4.0</v>
      </c>
      <c r="E362" s="270">
        <v>3.0</v>
      </c>
      <c r="F362" s="37"/>
      <c r="G362" s="37"/>
      <c r="H362" s="37"/>
      <c r="I362" s="37"/>
      <c r="J362" s="37"/>
      <c r="K362" s="37"/>
      <c r="L362" s="37"/>
      <c r="M362" s="37"/>
      <c r="N362" s="37"/>
      <c r="O362" s="37"/>
      <c r="P362" s="37"/>
      <c r="Q362" s="37"/>
      <c r="AC362" s="261"/>
      <c r="AD362" s="261"/>
    </row>
    <row r="363">
      <c r="A363" s="270">
        <v>14.0</v>
      </c>
      <c r="B363" s="270">
        <v>0.0</v>
      </c>
      <c r="C363" s="270">
        <v>6.0</v>
      </c>
      <c r="D363" s="270">
        <v>3.0</v>
      </c>
      <c r="E363" s="270">
        <v>4.0</v>
      </c>
      <c r="F363" s="37"/>
      <c r="G363" s="37"/>
      <c r="H363" s="37"/>
      <c r="I363" s="37"/>
      <c r="J363" s="37"/>
      <c r="K363" s="37"/>
      <c r="L363" s="37"/>
      <c r="M363" s="37"/>
      <c r="N363" s="37"/>
      <c r="O363" s="37"/>
      <c r="P363" s="37"/>
      <c r="Q363" s="37"/>
      <c r="AC363" s="261"/>
      <c r="AD363" s="261"/>
    </row>
    <row r="364">
      <c r="A364" s="270">
        <v>15.0</v>
      </c>
      <c r="B364" s="270">
        <v>0.0</v>
      </c>
      <c r="C364" s="270">
        <v>4.0</v>
      </c>
      <c r="D364" s="270">
        <v>6.0</v>
      </c>
      <c r="E364" s="270">
        <v>3.0</v>
      </c>
      <c r="F364" s="37"/>
      <c r="G364" s="37"/>
      <c r="H364" s="37"/>
      <c r="I364" s="37"/>
      <c r="J364" s="37"/>
      <c r="K364" s="37"/>
      <c r="L364" s="37"/>
      <c r="M364" s="37"/>
      <c r="N364" s="37"/>
      <c r="O364" s="37"/>
      <c r="P364" s="37"/>
      <c r="Q364" s="37"/>
      <c r="AC364" s="261"/>
      <c r="AD364" s="261"/>
    </row>
    <row r="365">
      <c r="A365" s="270">
        <v>16.0</v>
      </c>
      <c r="B365" s="270">
        <v>0.0</v>
      </c>
      <c r="C365" s="270">
        <v>4.0</v>
      </c>
      <c r="D365" s="270">
        <v>3.0</v>
      </c>
      <c r="E365" s="270">
        <v>6.0</v>
      </c>
      <c r="F365" s="37"/>
      <c r="G365" s="37"/>
      <c r="H365" s="37"/>
      <c r="I365" s="37"/>
      <c r="J365" s="37"/>
      <c r="K365" s="37"/>
      <c r="L365" s="37"/>
      <c r="M365" s="37"/>
      <c r="N365" s="37"/>
      <c r="O365" s="37"/>
      <c r="P365" s="37"/>
      <c r="Q365" s="37"/>
      <c r="AC365" s="261"/>
      <c r="AD365" s="261"/>
    </row>
    <row r="366">
      <c r="A366" s="270">
        <v>17.0</v>
      </c>
      <c r="B366" s="270">
        <v>0.0</v>
      </c>
      <c r="C366" s="270">
        <v>3.0</v>
      </c>
      <c r="D366" s="270">
        <v>6.0</v>
      </c>
      <c r="E366" s="270">
        <v>4.0</v>
      </c>
      <c r="F366" s="37"/>
      <c r="G366" s="37"/>
      <c r="H366" s="37"/>
      <c r="I366" s="37"/>
      <c r="J366" s="37"/>
      <c r="K366" s="37"/>
      <c r="L366" s="37"/>
      <c r="M366" s="37"/>
      <c r="N366" s="37"/>
      <c r="O366" s="37"/>
      <c r="P366" s="37"/>
      <c r="Q366" s="37"/>
      <c r="AC366" s="261"/>
      <c r="AD366" s="261"/>
    </row>
    <row r="367">
      <c r="A367" s="270">
        <v>18.0</v>
      </c>
      <c r="B367" s="270">
        <v>0.0</v>
      </c>
      <c r="C367" s="270">
        <v>3.0</v>
      </c>
      <c r="D367" s="270">
        <v>4.0</v>
      </c>
      <c r="E367" s="270">
        <v>6.0</v>
      </c>
      <c r="F367" s="37"/>
      <c r="G367" s="37"/>
      <c r="H367" s="37"/>
      <c r="I367" s="37"/>
      <c r="J367" s="37"/>
      <c r="K367" s="37"/>
      <c r="L367" s="37"/>
      <c r="M367" s="37"/>
      <c r="N367" s="37"/>
      <c r="O367" s="37"/>
      <c r="P367" s="37"/>
      <c r="Q367" s="37"/>
      <c r="AC367" s="261"/>
      <c r="AD367" s="261"/>
    </row>
    <row r="368">
      <c r="AC368" s="261"/>
      <c r="AD368" s="261"/>
    </row>
    <row r="369">
      <c r="AC369" s="261"/>
      <c r="AD369" s="261"/>
    </row>
    <row r="370">
      <c r="AC370" s="261"/>
      <c r="AD370" s="261"/>
    </row>
    <row r="371">
      <c r="AC371" s="261"/>
      <c r="AD371" s="261"/>
    </row>
    <row r="372">
      <c r="AC372" s="261"/>
      <c r="AD372" s="261"/>
    </row>
    <row r="373">
      <c r="AC373" s="261"/>
      <c r="AD373" s="261"/>
    </row>
    <row r="374">
      <c r="AC374" s="261"/>
      <c r="AD374" s="261"/>
    </row>
    <row r="375">
      <c r="AC375" s="261"/>
      <c r="AD375" s="261"/>
    </row>
    <row r="376">
      <c r="AC376" s="261"/>
      <c r="AD376" s="261"/>
    </row>
    <row r="377">
      <c r="AC377" s="261"/>
      <c r="AD377" s="261"/>
    </row>
    <row r="378">
      <c r="AC378" s="261"/>
      <c r="AD378" s="261"/>
    </row>
    <row r="379">
      <c r="AC379" s="261"/>
      <c r="AD379" s="261"/>
    </row>
    <row r="380">
      <c r="AC380" s="261"/>
      <c r="AD380" s="261"/>
    </row>
    <row r="381">
      <c r="AC381" s="261"/>
      <c r="AD381" s="261"/>
    </row>
    <row r="382">
      <c r="AC382" s="261"/>
      <c r="AD382" s="261"/>
    </row>
    <row r="383">
      <c r="AC383" s="261"/>
      <c r="AD383" s="261"/>
    </row>
    <row r="384">
      <c r="AC384" s="261"/>
      <c r="AD384" s="261"/>
    </row>
    <row r="385">
      <c r="AC385" s="261"/>
      <c r="AD385" s="261"/>
    </row>
    <row r="386">
      <c r="AC386" s="261"/>
      <c r="AD386" s="261"/>
    </row>
    <row r="387">
      <c r="AC387" s="261"/>
      <c r="AD387" s="261"/>
    </row>
    <row r="388">
      <c r="AC388" s="261"/>
      <c r="AD388" s="261"/>
    </row>
    <row r="389">
      <c r="AC389" s="261"/>
      <c r="AD389" s="261"/>
    </row>
    <row r="390">
      <c r="AC390" s="261"/>
      <c r="AD390" s="261"/>
    </row>
    <row r="391">
      <c r="AC391" s="261"/>
      <c r="AD391" s="261"/>
    </row>
    <row r="392">
      <c r="AC392" s="261"/>
      <c r="AD392" s="261"/>
    </row>
    <row r="393">
      <c r="AC393" s="261"/>
      <c r="AD393" s="261"/>
    </row>
    <row r="394">
      <c r="AC394" s="261"/>
      <c r="AD394" s="261"/>
    </row>
    <row r="395">
      <c r="AC395" s="261"/>
      <c r="AD395" s="261"/>
    </row>
    <row r="396">
      <c r="AC396" s="261"/>
      <c r="AD396" s="261"/>
    </row>
    <row r="397">
      <c r="AC397" s="261"/>
      <c r="AD397" s="261"/>
    </row>
    <row r="398">
      <c r="AC398" s="261"/>
      <c r="AD398" s="261"/>
    </row>
    <row r="399">
      <c r="AC399" s="261"/>
      <c r="AD399" s="261"/>
    </row>
    <row r="400">
      <c r="AC400" s="261"/>
      <c r="AD400" s="261"/>
    </row>
    <row r="401">
      <c r="AC401" s="261"/>
      <c r="AD401" s="261"/>
    </row>
    <row r="402">
      <c r="AC402" s="261"/>
      <c r="AD402" s="261"/>
    </row>
    <row r="403">
      <c r="AC403" s="261"/>
      <c r="AD403" s="261"/>
    </row>
    <row r="404">
      <c r="AC404" s="261"/>
      <c r="AD404" s="261"/>
    </row>
    <row r="405">
      <c r="AC405" s="261"/>
      <c r="AD405" s="261"/>
    </row>
    <row r="406">
      <c r="AC406" s="261"/>
      <c r="AD406" s="261"/>
    </row>
    <row r="407">
      <c r="AC407" s="261"/>
      <c r="AD407" s="261"/>
    </row>
    <row r="408">
      <c r="AC408" s="261"/>
      <c r="AD408" s="261"/>
    </row>
    <row r="409">
      <c r="AC409" s="261"/>
      <c r="AD409" s="261"/>
    </row>
    <row r="410">
      <c r="AC410" s="261"/>
      <c r="AD410" s="261"/>
    </row>
    <row r="411">
      <c r="AC411" s="261"/>
      <c r="AD411" s="261"/>
    </row>
    <row r="412">
      <c r="AC412" s="261"/>
      <c r="AD412" s="261"/>
    </row>
    <row r="413">
      <c r="AC413" s="261"/>
      <c r="AD413" s="261"/>
    </row>
    <row r="414">
      <c r="AC414" s="261"/>
      <c r="AD414" s="261"/>
    </row>
    <row r="415">
      <c r="AC415" s="261"/>
      <c r="AD415" s="261"/>
    </row>
    <row r="416">
      <c r="AC416" s="261"/>
      <c r="AD416" s="261"/>
    </row>
    <row r="417">
      <c r="AC417" s="261"/>
      <c r="AD417" s="261"/>
    </row>
    <row r="418">
      <c r="AC418" s="261"/>
      <c r="AD418" s="261"/>
    </row>
    <row r="419">
      <c r="AC419" s="261"/>
      <c r="AD419" s="261"/>
    </row>
    <row r="420">
      <c r="AC420" s="261"/>
      <c r="AD420" s="261"/>
    </row>
    <row r="421">
      <c r="AC421" s="261"/>
      <c r="AD421" s="261"/>
    </row>
    <row r="422">
      <c r="AC422" s="261"/>
      <c r="AD422" s="261"/>
    </row>
    <row r="423">
      <c r="AC423" s="261"/>
      <c r="AD423" s="261"/>
    </row>
    <row r="424">
      <c r="AC424" s="261"/>
      <c r="AD424" s="261"/>
    </row>
    <row r="425">
      <c r="AC425" s="261"/>
      <c r="AD425" s="261"/>
    </row>
    <row r="426">
      <c r="AC426" s="261"/>
      <c r="AD426" s="261"/>
    </row>
    <row r="427">
      <c r="AC427" s="261"/>
      <c r="AD427" s="261"/>
    </row>
    <row r="428">
      <c r="AC428" s="261"/>
      <c r="AD428" s="261"/>
    </row>
    <row r="429">
      <c r="AC429" s="261"/>
      <c r="AD429" s="261"/>
    </row>
    <row r="430">
      <c r="AC430" s="261"/>
      <c r="AD430" s="261"/>
    </row>
    <row r="431">
      <c r="AC431" s="261"/>
      <c r="AD431" s="261"/>
    </row>
    <row r="432">
      <c r="AC432" s="261"/>
      <c r="AD432" s="261"/>
    </row>
    <row r="433">
      <c r="AC433" s="261"/>
      <c r="AD433" s="261"/>
    </row>
    <row r="434">
      <c r="AC434" s="261"/>
      <c r="AD434" s="261"/>
    </row>
    <row r="435">
      <c r="AC435" s="261"/>
      <c r="AD435" s="261"/>
    </row>
    <row r="436">
      <c r="AC436" s="261"/>
      <c r="AD436" s="261"/>
    </row>
    <row r="437">
      <c r="AC437" s="261"/>
      <c r="AD437" s="261"/>
    </row>
    <row r="438">
      <c r="AC438" s="261"/>
      <c r="AD438" s="261"/>
    </row>
    <row r="439">
      <c r="AC439" s="261"/>
      <c r="AD439" s="261"/>
    </row>
    <row r="440">
      <c r="AC440" s="261"/>
      <c r="AD440" s="261"/>
    </row>
    <row r="441">
      <c r="AC441" s="261"/>
      <c r="AD441" s="261"/>
    </row>
    <row r="442">
      <c r="AC442" s="261"/>
      <c r="AD442" s="261"/>
    </row>
    <row r="443">
      <c r="AC443" s="261"/>
      <c r="AD443" s="261"/>
    </row>
    <row r="444">
      <c r="AC444" s="261"/>
      <c r="AD444" s="261"/>
    </row>
    <row r="445">
      <c r="AC445" s="261"/>
      <c r="AD445" s="261"/>
    </row>
    <row r="446">
      <c r="AC446" s="261"/>
      <c r="AD446" s="261"/>
    </row>
    <row r="447">
      <c r="AC447" s="261"/>
      <c r="AD447" s="261"/>
    </row>
    <row r="448">
      <c r="AC448" s="261"/>
      <c r="AD448" s="261"/>
    </row>
    <row r="449">
      <c r="AC449" s="261"/>
      <c r="AD449" s="261"/>
    </row>
    <row r="450">
      <c r="AC450" s="261"/>
      <c r="AD450" s="261"/>
    </row>
    <row r="451">
      <c r="AC451" s="261"/>
      <c r="AD451" s="261"/>
    </row>
    <row r="452">
      <c r="AC452" s="261"/>
      <c r="AD452" s="261"/>
    </row>
    <row r="453">
      <c r="AC453" s="261"/>
      <c r="AD453" s="261"/>
    </row>
    <row r="454">
      <c r="AC454" s="261"/>
      <c r="AD454" s="261"/>
    </row>
    <row r="455">
      <c r="AC455" s="261"/>
      <c r="AD455" s="261"/>
    </row>
    <row r="456">
      <c r="AC456" s="261"/>
      <c r="AD456" s="261"/>
    </row>
    <row r="457">
      <c r="AC457" s="261"/>
      <c r="AD457" s="261"/>
    </row>
    <row r="458">
      <c r="AC458" s="261"/>
      <c r="AD458" s="261"/>
    </row>
    <row r="459">
      <c r="AC459" s="261"/>
      <c r="AD459" s="261"/>
    </row>
    <row r="460">
      <c r="AC460" s="261"/>
      <c r="AD460" s="261"/>
    </row>
    <row r="461">
      <c r="AC461" s="261"/>
      <c r="AD461" s="261"/>
    </row>
    <row r="462">
      <c r="AC462" s="261"/>
      <c r="AD462" s="261"/>
    </row>
    <row r="463">
      <c r="AC463" s="261"/>
      <c r="AD463" s="261"/>
    </row>
    <row r="464">
      <c r="AC464" s="261"/>
      <c r="AD464" s="261"/>
    </row>
    <row r="465">
      <c r="AC465" s="261"/>
      <c r="AD465" s="261"/>
    </row>
    <row r="466">
      <c r="AC466" s="261"/>
      <c r="AD466" s="261"/>
    </row>
    <row r="467">
      <c r="AC467" s="261"/>
      <c r="AD467" s="261"/>
    </row>
    <row r="468">
      <c r="AC468" s="261"/>
      <c r="AD468" s="261"/>
    </row>
    <row r="469">
      <c r="AC469" s="261"/>
      <c r="AD469" s="261"/>
    </row>
    <row r="470">
      <c r="AC470" s="261"/>
      <c r="AD470" s="261"/>
    </row>
    <row r="471">
      <c r="AC471" s="261"/>
      <c r="AD471" s="261"/>
    </row>
    <row r="472">
      <c r="AC472" s="261"/>
      <c r="AD472" s="261"/>
    </row>
    <row r="473">
      <c r="AC473" s="261"/>
      <c r="AD473" s="261"/>
    </row>
    <row r="474">
      <c r="AC474" s="261"/>
      <c r="AD474" s="261"/>
    </row>
    <row r="475">
      <c r="AC475" s="261"/>
      <c r="AD475" s="261"/>
    </row>
    <row r="476">
      <c r="AC476" s="261"/>
      <c r="AD476" s="261"/>
    </row>
    <row r="477">
      <c r="AC477" s="261"/>
      <c r="AD477" s="261"/>
    </row>
    <row r="478">
      <c r="AC478" s="261"/>
      <c r="AD478" s="261"/>
    </row>
    <row r="479">
      <c r="AC479" s="261"/>
      <c r="AD479" s="261"/>
    </row>
    <row r="480">
      <c r="AC480" s="261"/>
      <c r="AD480" s="261"/>
    </row>
    <row r="481">
      <c r="AC481" s="261"/>
      <c r="AD481" s="261"/>
    </row>
    <row r="482">
      <c r="AC482" s="261"/>
      <c r="AD482" s="261"/>
    </row>
    <row r="483">
      <c r="AC483" s="261"/>
      <c r="AD483" s="261"/>
    </row>
    <row r="484">
      <c r="AC484" s="261"/>
      <c r="AD484" s="261"/>
    </row>
    <row r="485">
      <c r="AC485" s="261"/>
      <c r="AD485" s="261"/>
    </row>
    <row r="486">
      <c r="AC486" s="261"/>
      <c r="AD486" s="261"/>
    </row>
    <row r="487">
      <c r="AC487" s="261"/>
      <c r="AD487" s="261"/>
    </row>
    <row r="488">
      <c r="AC488" s="261"/>
      <c r="AD488" s="261"/>
    </row>
    <row r="489">
      <c r="AC489" s="261"/>
      <c r="AD489" s="261"/>
    </row>
    <row r="490">
      <c r="AC490" s="261"/>
      <c r="AD490" s="261"/>
    </row>
    <row r="491">
      <c r="AC491" s="261"/>
      <c r="AD491" s="261"/>
    </row>
    <row r="492">
      <c r="AC492" s="261"/>
      <c r="AD492" s="261"/>
    </row>
    <row r="493">
      <c r="AC493" s="261"/>
      <c r="AD493" s="261"/>
    </row>
    <row r="494">
      <c r="AC494" s="261"/>
      <c r="AD494" s="261"/>
    </row>
    <row r="495">
      <c r="AC495" s="261"/>
      <c r="AD495" s="261"/>
    </row>
    <row r="496">
      <c r="AC496" s="261"/>
      <c r="AD496" s="261"/>
    </row>
    <row r="497">
      <c r="AC497" s="261"/>
      <c r="AD497" s="261"/>
    </row>
    <row r="498">
      <c r="AC498" s="261"/>
      <c r="AD498" s="261"/>
    </row>
    <row r="499">
      <c r="AC499" s="261"/>
      <c r="AD499" s="261"/>
    </row>
    <row r="500">
      <c r="AC500" s="261"/>
      <c r="AD500" s="261"/>
    </row>
    <row r="501">
      <c r="AC501" s="261"/>
      <c r="AD501" s="261"/>
    </row>
    <row r="502">
      <c r="AC502" s="261"/>
      <c r="AD502" s="261"/>
    </row>
    <row r="503">
      <c r="AC503" s="261"/>
      <c r="AD503" s="261"/>
    </row>
    <row r="504">
      <c r="AC504" s="261"/>
      <c r="AD504" s="261"/>
    </row>
    <row r="505">
      <c r="AC505" s="261"/>
      <c r="AD505" s="261"/>
    </row>
    <row r="506">
      <c r="AC506" s="261"/>
      <c r="AD506" s="261"/>
    </row>
    <row r="507">
      <c r="AC507" s="261"/>
      <c r="AD507" s="261"/>
    </row>
    <row r="508">
      <c r="AC508" s="261"/>
      <c r="AD508" s="261"/>
    </row>
    <row r="509">
      <c r="AC509" s="261"/>
      <c r="AD509" s="261"/>
    </row>
    <row r="510">
      <c r="AC510" s="261"/>
      <c r="AD510" s="261"/>
    </row>
    <row r="511">
      <c r="AC511" s="261"/>
      <c r="AD511" s="261"/>
    </row>
    <row r="512">
      <c r="AC512" s="261"/>
      <c r="AD512" s="261"/>
    </row>
    <row r="513">
      <c r="AC513" s="261"/>
      <c r="AD513" s="261"/>
    </row>
    <row r="514">
      <c r="AC514" s="261"/>
      <c r="AD514" s="261"/>
    </row>
    <row r="515">
      <c r="AC515" s="261"/>
      <c r="AD515" s="261"/>
    </row>
    <row r="516">
      <c r="AC516" s="261"/>
      <c r="AD516" s="261"/>
    </row>
    <row r="517">
      <c r="AC517" s="261"/>
      <c r="AD517" s="261"/>
    </row>
    <row r="518">
      <c r="AC518" s="261"/>
      <c r="AD518" s="261"/>
    </row>
    <row r="519">
      <c r="AC519" s="261"/>
      <c r="AD519" s="261"/>
    </row>
    <row r="520">
      <c r="AC520" s="261"/>
      <c r="AD520" s="261"/>
    </row>
    <row r="521">
      <c r="AC521" s="261"/>
      <c r="AD521" s="261"/>
    </row>
    <row r="522">
      <c r="AC522" s="261"/>
      <c r="AD522" s="261"/>
    </row>
    <row r="523">
      <c r="AC523" s="261"/>
      <c r="AD523" s="261"/>
    </row>
    <row r="524">
      <c r="AC524" s="261"/>
      <c r="AD524" s="261"/>
    </row>
    <row r="525">
      <c r="AC525" s="261"/>
      <c r="AD525" s="261"/>
    </row>
    <row r="526">
      <c r="AC526" s="261"/>
      <c r="AD526" s="261"/>
    </row>
    <row r="527">
      <c r="AC527" s="261"/>
      <c r="AD527" s="261"/>
    </row>
    <row r="528">
      <c r="AC528" s="261"/>
      <c r="AD528" s="261"/>
    </row>
    <row r="529">
      <c r="AC529" s="261"/>
      <c r="AD529" s="261"/>
    </row>
    <row r="530">
      <c r="AC530" s="261"/>
      <c r="AD530" s="261"/>
    </row>
    <row r="531">
      <c r="AC531" s="261"/>
      <c r="AD531" s="261"/>
    </row>
    <row r="532">
      <c r="AC532" s="261"/>
      <c r="AD532" s="261"/>
    </row>
    <row r="533">
      <c r="AC533" s="261"/>
      <c r="AD533" s="261"/>
    </row>
    <row r="534">
      <c r="AC534" s="261"/>
      <c r="AD534" s="261"/>
    </row>
    <row r="535">
      <c r="AC535" s="261"/>
      <c r="AD535" s="261"/>
    </row>
    <row r="536">
      <c r="AC536" s="261"/>
      <c r="AD536" s="261"/>
    </row>
    <row r="537">
      <c r="AC537" s="261"/>
      <c r="AD537" s="261"/>
    </row>
    <row r="538">
      <c r="AC538" s="261"/>
      <c r="AD538" s="261"/>
    </row>
    <row r="539">
      <c r="AC539" s="261"/>
      <c r="AD539" s="261"/>
    </row>
    <row r="540">
      <c r="AC540" s="261"/>
      <c r="AD540" s="261"/>
    </row>
    <row r="541">
      <c r="AC541" s="261"/>
      <c r="AD541" s="261"/>
    </row>
    <row r="542">
      <c r="AC542" s="261"/>
      <c r="AD542" s="261"/>
    </row>
    <row r="543">
      <c r="AC543" s="261"/>
      <c r="AD543" s="261"/>
    </row>
    <row r="544">
      <c r="AC544" s="261"/>
      <c r="AD544" s="261"/>
    </row>
    <row r="545">
      <c r="AC545" s="261"/>
      <c r="AD545" s="261"/>
    </row>
    <row r="546">
      <c r="AC546" s="261"/>
      <c r="AD546" s="261"/>
    </row>
    <row r="547">
      <c r="AC547" s="261"/>
      <c r="AD547" s="261"/>
    </row>
    <row r="548">
      <c r="AC548" s="261"/>
      <c r="AD548" s="261"/>
    </row>
    <row r="549">
      <c r="AC549" s="261"/>
      <c r="AD549" s="261"/>
    </row>
    <row r="550">
      <c r="AC550" s="261"/>
      <c r="AD550" s="261"/>
    </row>
    <row r="551">
      <c r="AC551" s="261"/>
      <c r="AD551" s="261"/>
    </row>
    <row r="552">
      <c r="AC552" s="261"/>
      <c r="AD552" s="261"/>
    </row>
    <row r="553">
      <c r="AC553" s="261"/>
      <c r="AD553" s="261"/>
    </row>
    <row r="554">
      <c r="AC554" s="261"/>
      <c r="AD554" s="261"/>
    </row>
    <row r="555">
      <c r="AC555" s="261"/>
      <c r="AD555" s="261"/>
    </row>
    <row r="556">
      <c r="AC556" s="261"/>
      <c r="AD556" s="261"/>
    </row>
    <row r="557">
      <c r="AC557" s="261"/>
      <c r="AD557" s="261"/>
    </row>
    <row r="558">
      <c r="AC558" s="261"/>
      <c r="AD558" s="261"/>
    </row>
    <row r="559">
      <c r="AC559" s="261"/>
      <c r="AD559" s="261"/>
    </row>
    <row r="560">
      <c r="AC560" s="261"/>
      <c r="AD560" s="261"/>
    </row>
    <row r="561">
      <c r="AC561" s="261"/>
      <c r="AD561" s="261"/>
    </row>
    <row r="562">
      <c r="AC562" s="261"/>
      <c r="AD562" s="261"/>
    </row>
    <row r="563">
      <c r="AC563" s="261"/>
      <c r="AD563" s="261"/>
    </row>
    <row r="564">
      <c r="AC564" s="261"/>
      <c r="AD564" s="261"/>
    </row>
    <row r="565">
      <c r="AC565" s="261"/>
      <c r="AD565" s="261"/>
    </row>
    <row r="566">
      <c r="AC566" s="261"/>
      <c r="AD566" s="261"/>
    </row>
    <row r="567">
      <c r="AC567" s="261"/>
      <c r="AD567" s="261"/>
    </row>
    <row r="568">
      <c r="AC568" s="261"/>
      <c r="AD568" s="261"/>
    </row>
    <row r="569">
      <c r="AC569" s="261"/>
      <c r="AD569" s="261"/>
    </row>
    <row r="570">
      <c r="AC570" s="261"/>
      <c r="AD570" s="261"/>
    </row>
    <row r="571">
      <c r="AC571" s="261"/>
      <c r="AD571" s="261"/>
    </row>
    <row r="572">
      <c r="AC572" s="261"/>
      <c r="AD572" s="261"/>
    </row>
    <row r="573">
      <c r="AC573" s="261"/>
      <c r="AD573" s="261"/>
    </row>
    <row r="574">
      <c r="AC574" s="261"/>
      <c r="AD574" s="261"/>
    </row>
    <row r="575">
      <c r="AC575" s="261"/>
      <c r="AD575" s="261"/>
    </row>
    <row r="576">
      <c r="AC576" s="261"/>
      <c r="AD576" s="261"/>
    </row>
    <row r="577">
      <c r="AC577" s="261"/>
      <c r="AD577" s="261"/>
    </row>
    <row r="578">
      <c r="AC578" s="261"/>
      <c r="AD578" s="261"/>
    </row>
    <row r="579">
      <c r="AC579" s="261"/>
      <c r="AD579" s="261"/>
    </row>
    <row r="580">
      <c r="AC580" s="261"/>
      <c r="AD580" s="261"/>
    </row>
    <row r="581">
      <c r="AC581" s="261"/>
      <c r="AD581" s="261"/>
    </row>
    <row r="582">
      <c r="AC582" s="261"/>
      <c r="AD582" s="261"/>
    </row>
    <row r="583">
      <c r="AC583" s="261"/>
      <c r="AD583" s="261"/>
    </row>
    <row r="584">
      <c r="AC584" s="261"/>
      <c r="AD584" s="261"/>
    </row>
    <row r="585">
      <c r="AC585" s="261"/>
      <c r="AD585" s="261"/>
    </row>
    <row r="586">
      <c r="AC586" s="261"/>
      <c r="AD586" s="261"/>
    </row>
    <row r="587">
      <c r="AC587" s="261"/>
      <c r="AD587" s="261"/>
    </row>
    <row r="588">
      <c r="AC588" s="261"/>
      <c r="AD588" s="261"/>
    </row>
    <row r="589">
      <c r="AC589" s="261"/>
      <c r="AD589" s="261"/>
    </row>
    <row r="590">
      <c r="AC590" s="261"/>
      <c r="AD590" s="261"/>
    </row>
    <row r="591">
      <c r="AC591" s="261"/>
      <c r="AD591" s="261"/>
    </row>
    <row r="592">
      <c r="AC592" s="261"/>
      <c r="AD592" s="261"/>
    </row>
    <row r="593">
      <c r="AC593" s="261"/>
      <c r="AD593" s="261"/>
    </row>
    <row r="594">
      <c r="AC594" s="261"/>
      <c r="AD594" s="261"/>
    </row>
    <row r="595">
      <c r="AC595" s="261"/>
      <c r="AD595" s="261"/>
    </row>
    <row r="596">
      <c r="AC596" s="261"/>
      <c r="AD596" s="261"/>
    </row>
    <row r="597">
      <c r="AC597" s="261"/>
      <c r="AD597" s="261"/>
    </row>
    <row r="598">
      <c r="AC598" s="261"/>
      <c r="AD598" s="261"/>
    </row>
    <row r="599">
      <c r="AC599" s="261"/>
      <c r="AD599" s="261"/>
    </row>
    <row r="600">
      <c r="AC600" s="261"/>
      <c r="AD600" s="261"/>
    </row>
    <row r="601">
      <c r="AC601" s="261"/>
      <c r="AD601" s="261"/>
    </row>
    <row r="602">
      <c r="AC602" s="261"/>
      <c r="AD602" s="261"/>
    </row>
    <row r="603">
      <c r="AC603" s="261"/>
      <c r="AD603" s="261"/>
    </row>
    <row r="604">
      <c r="AC604" s="261"/>
      <c r="AD604" s="261"/>
    </row>
    <row r="605">
      <c r="AC605" s="261"/>
      <c r="AD605" s="261"/>
    </row>
    <row r="606">
      <c r="AC606" s="261"/>
      <c r="AD606" s="261"/>
    </row>
    <row r="607">
      <c r="AC607" s="261"/>
      <c r="AD607" s="261"/>
    </row>
    <row r="608">
      <c r="AC608" s="261"/>
      <c r="AD608" s="261"/>
    </row>
    <row r="609">
      <c r="AC609" s="261"/>
      <c r="AD609" s="261"/>
    </row>
    <row r="610">
      <c r="AC610" s="261"/>
      <c r="AD610" s="261"/>
    </row>
    <row r="611">
      <c r="AC611" s="261"/>
      <c r="AD611" s="261"/>
    </row>
    <row r="612">
      <c r="AC612" s="261"/>
      <c r="AD612" s="261"/>
    </row>
    <row r="613">
      <c r="AC613" s="261"/>
      <c r="AD613" s="261"/>
    </row>
    <row r="614">
      <c r="AC614" s="261"/>
      <c r="AD614" s="261"/>
    </row>
    <row r="615">
      <c r="AC615" s="261"/>
      <c r="AD615" s="261"/>
    </row>
    <row r="616">
      <c r="AC616" s="261"/>
      <c r="AD616" s="261"/>
    </row>
    <row r="617">
      <c r="AC617" s="261"/>
      <c r="AD617" s="261"/>
    </row>
    <row r="618">
      <c r="AC618" s="261"/>
      <c r="AD618" s="261"/>
    </row>
    <row r="619">
      <c r="AC619" s="261"/>
      <c r="AD619" s="261"/>
    </row>
    <row r="620">
      <c r="AC620" s="261"/>
      <c r="AD620" s="261"/>
    </row>
    <row r="621">
      <c r="AC621" s="261"/>
      <c r="AD621" s="261"/>
    </row>
    <row r="622">
      <c r="AC622" s="261"/>
      <c r="AD622" s="261"/>
    </row>
    <row r="623">
      <c r="AC623" s="261"/>
      <c r="AD623" s="261"/>
    </row>
    <row r="624">
      <c r="AC624" s="261"/>
      <c r="AD624" s="261"/>
    </row>
    <row r="625">
      <c r="AC625" s="261"/>
      <c r="AD625" s="261"/>
    </row>
    <row r="626">
      <c r="AC626" s="261"/>
      <c r="AD626" s="261"/>
    </row>
    <row r="627">
      <c r="AC627" s="261"/>
      <c r="AD627" s="261"/>
    </row>
    <row r="628">
      <c r="AC628" s="261"/>
      <c r="AD628" s="261"/>
    </row>
    <row r="629">
      <c r="AC629" s="261"/>
      <c r="AD629" s="261"/>
    </row>
    <row r="630">
      <c r="AC630" s="261"/>
      <c r="AD630" s="261"/>
    </row>
    <row r="631">
      <c r="AC631" s="261"/>
      <c r="AD631" s="261"/>
    </row>
    <row r="632">
      <c r="AC632" s="261"/>
      <c r="AD632" s="261"/>
    </row>
    <row r="633">
      <c r="AC633" s="261"/>
      <c r="AD633" s="261"/>
    </row>
    <row r="634">
      <c r="AC634" s="261"/>
      <c r="AD634" s="261"/>
    </row>
    <row r="635">
      <c r="AC635" s="261"/>
      <c r="AD635" s="261"/>
    </row>
    <row r="636">
      <c r="AC636" s="261"/>
      <c r="AD636" s="261"/>
    </row>
    <row r="637">
      <c r="AC637" s="261"/>
      <c r="AD637" s="261"/>
    </row>
    <row r="638">
      <c r="AC638" s="261"/>
      <c r="AD638" s="261"/>
    </row>
    <row r="639">
      <c r="AC639" s="261"/>
      <c r="AD639" s="261"/>
    </row>
    <row r="640">
      <c r="AC640" s="261"/>
      <c r="AD640" s="261"/>
    </row>
    <row r="641">
      <c r="AC641" s="261"/>
      <c r="AD641" s="261"/>
    </row>
    <row r="642">
      <c r="AC642" s="261"/>
      <c r="AD642" s="261"/>
    </row>
    <row r="643">
      <c r="AC643" s="261"/>
      <c r="AD643" s="261"/>
    </row>
    <row r="644">
      <c r="AC644" s="261"/>
      <c r="AD644" s="261"/>
    </row>
    <row r="645">
      <c r="AC645" s="261"/>
      <c r="AD645" s="261"/>
    </row>
    <row r="646">
      <c r="AC646" s="261"/>
      <c r="AD646" s="261"/>
    </row>
    <row r="647">
      <c r="AC647" s="261"/>
      <c r="AD647" s="261"/>
    </row>
    <row r="648">
      <c r="AC648" s="261"/>
      <c r="AD648" s="261"/>
    </row>
    <row r="649">
      <c r="AC649" s="261"/>
      <c r="AD649" s="261"/>
    </row>
    <row r="650">
      <c r="AC650" s="261"/>
      <c r="AD650" s="261"/>
    </row>
    <row r="651">
      <c r="AC651" s="261"/>
      <c r="AD651" s="261"/>
    </row>
    <row r="652">
      <c r="AC652" s="261"/>
      <c r="AD652" s="261"/>
    </row>
    <row r="653">
      <c r="AC653" s="261"/>
      <c r="AD653" s="261"/>
    </row>
    <row r="654">
      <c r="AC654" s="261"/>
      <c r="AD654" s="261"/>
    </row>
    <row r="655">
      <c r="AC655" s="261"/>
      <c r="AD655" s="261"/>
    </row>
    <row r="656">
      <c r="AC656" s="261"/>
      <c r="AD656" s="261"/>
    </row>
    <row r="657">
      <c r="AC657" s="261"/>
      <c r="AD657" s="261"/>
    </row>
    <row r="658">
      <c r="AC658" s="261"/>
      <c r="AD658" s="261"/>
    </row>
    <row r="659">
      <c r="AC659" s="261"/>
      <c r="AD659" s="261"/>
    </row>
    <row r="660">
      <c r="AC660" s="261"/>
      <c r="AD660" s="261"/>
    </row>
    <row r="661">
      <c r="AC661" s="261"/>
      <c r="AD661" s="261"/>
    </row>
    <row r="662">
      <c r="AC662" s="261"/>
      <c r="AD662" s="261"/>
    </row>
    <row r="663">
      <c r="AC663" s="261"/>
      <c r="AD663" s="261"/>
    </row>
    <row r="664">
      <c r="AC664" s="261"/>
      <c r="AD664" s="261"/>
    </row>
    <row r="665">
      <c r="AC665" s="261"/>
      <c r="AD665" s="261"/>
    </row>
    <row r="666">
      <c r="AC666" s="261"/>
      <c r="AD666" s="261"/>
    </row>
    <row r="667">
      <c r="AC667" s="261"/>
      <c r="AD667" s="261"/>
    </row>
    <row r="668">
      <c r="AC668" s="261"/>
      <c r="AD668" s="261"/>
    </row>
    <row r="669">
      <c r="AC669" s="261"/>
      <c r="AD669" s="261"/>
    </row>
    <row r="670">
      <c r="AC670" s="261"/>
      <c r="AD670" s="261"/>
    </row>
    <row r="671">
      <c r="AC671" s="261"/>
      <c r="AD671" s="261"/>
    </row>
    <row r="672">
      <c r="AC672" s="261"/>
      <c r="AD672" s="261"/>
    </row>
    <row r="673">
      <c r="AC673" s="261"/>
      <c r="AD673" s="261"/>
    </row>
    <row r="674">
      <c r="AC674" s="261"/>
      <c r="AD674" s="261"/>
    </row>
    <row r="675">
      <c r="AC675" s="261"/>
      <c r="AD675" s="261"/>
    </row>
    <row r="676">
      <c r="AC676" s="261"/>
      <c r="AD676" s="261"/>
    </row>
    <row r="677">
      <c r="AC677" s="261"/>
      <c r="AD677" s="261"/>
    </row>
    <row r="678">
      <c r="AC678" s="261"/>
      <c r="AD678" s="261"/>
    </row>
    <row r="679">
      <c r="AC679" s="261"/>
      <c r="AD679" s="261"/>
    </row>
    <row r="680">
      <c r="AC680" s="261"/>
      <c r="AD680" s="261"/>
    </row>
    <row r="681">
      <c r="AC681" s="261"/>
      <c r="AD681" s="261"/>
    </row>
    <row r="682">
      <c r="AC682" s="261"/>
      <c r="AD682" s="261"/>
    </row>
    <row r="683">
      <c r="AC683" s="261"/>
      <c r="AD683" s="261"/>
    </row>
    <row r="684">
      <c r="AC684" s="261"/>
      <c r="AD684" s="261"/>
    </row>
    <row r="685">
      <c r="AC685" s="261"/>
      <c r="AD685" s="261"/>
    </row>
    <row r="686">
      <c r="AC686" s="261"/>
      <c r="AD686" s="261"/>
    </row>
    <row r="687">
      <c r="AC687" s="261"/>
      <c r="AD687" s="261"/>
    </row>
    <row r="688">
      <c r="AC688" s="261"/>
      <c r="AD688" s="261"/>
    </row>
    <row r="689">
      <c r="AC689" s="261"/>
      <c r="AD689" s="261"/>
    </row>
    <row r="690">
      <c r="AC690" s="261"/>
      <c r="AD690" s="261"/>
    </row>
    <row r="691">
      <c r="AC691" s="261"/>
      <c r="AD691" s="261"/>
    </row>
    <row r="692">
      <c r="AC692" s="261"/>
      <c r="AD692" s="261"/>
    </row>
    <row r="693">
      <c r="AC693" s="261"/>
      <c r="AD693" s="261"/>
    </row>
    <row r="694">
      <c r="AC694" s="261"/>
      <c r="AD694" s="261"/>
    </row>
    <row r="695">
      <c r="AC695" s="261"/>
      <c r="AD695" s="261"/>
    </row>
    <row r="696">
      <c r="AC696" s="261"/>
      <c r="AD696" s="261"/>
    </row>
    <row r="697">
      <c r="AC697" s="261"/>
      <c r="AD697" s="261"/>
    </row>
    <row r="698">
      <c r="AC698" s="261"/>
      <c r="AD698" s="261"/>
    </row>
    <row r="699">
      <c r="AC699" s="261"/>
      <c r="AD699" s="261"/>
    </row>
    <row r="700">
      <c r="AC700" s="261"/>
      <c r="AD700" s="261"/>
    </row>
    <row r="701">
      <c r="AC701" s="261"/>
      <c r="AD701" s="261"/>
    </row>
    <row r="702">
      <c r="AC702" s="261"/>
      <c r="AD702" s="261"/>
    </row>
    <row r="703">
      <c r="AC703" s="261"/>
      <c r="AD703" s="261"/>
    </row>
    <row r="704">
      <c r="AC704" s="261"/>
      <c r="AD704" s="261"/>
    </row>
    <row r="705">
      <c r="AC705" s="261"/>
      <c r="AD705" s="261"/>
    </row>
    <row r="706">
      <c r="AC706" s="261"/>
      <c r="AD706" s="261"/>
    </row>
    <row r="707">
      <c r="AC707" s="261"/>
      <c r="AD707" s="261"/>
    </row>
    <row r="708">
      <c r="AC708" s="261"/>
      <c r="AD708" s="261"/>
    </row>
    <row r="709">
      <c r="AC709" s="261"/>
      <c r="AD709" s="261"/>
    </row>
    <row r="710">
      <c r="AC710" s="261"/>
      <c r="AD710" s="261"/>
    </row>
    <row r="711">
      <c r="AC711" s="261"/>
      <c r="AD711" s="261"/>
    </row>
    <row r="712">
      <c r="AC712" s="261"/>
      <c r="AD712" s="261"/>
    </row>
    <row r="713">
      <c r="AC713" s="261"/>
      <c r="AD713" s="261"/>
    </row>
    <row r="714">
      <c r="AC714" s="261"/>
      <c r="AD714" s="261"/>
    </row>
    <row r="715">
      <c r="AC715" s="261"/>
      <c r="AD715" s="261"/>
    </row>
    <row r="716">
      <c r="AC716" s="261"/>
      <c r="AD716" s="261"/>
    </row>
    <row r="717">
      <c r="AC717" s="261"/>
      <c r="AD717" s="261"/>
    </row>
    <row r="718">
      <c r="AC718" s="261"/>
      <c r="AD718" s="261"/>
    </row>
    <row r="719">
      <c r="AC719" s="261"/>
      <c r="AD719" s="261"/>
    </row>
    <row r="720">
      <c r="AC720" s="261"/>
      <c r="AD720" s="261"/>
    </row>
    <row r="721">
      <c r="AC721" s="261"/>
      <c r="AD721" s="261"/>
    </row>
    <row r="722">
      <c r="AC722" s="261"/>
      <c r="AD722" s="261"/>
    </row>
    <row r="723">
      <c r="AC723" s="261"/>
      <c r="AD723" s="261"/>
    </row>
    <row r="724">
      <c r="AC724" s="261"/>
      <c r="AD724" s="261"/>
    </row>
    <row r="725">
      <c r="AC725" s="261"/>
      <c r="AD725" s="261"/>
    </row>
    <row r="726">
      <c r="AC726" s="261"/>
      <c r="AD726" s="261"/>
    </row>
    <row r="727">
      <c r="AC727" s="261"/>
      <c r="AD727" s="261"/>
    </row>
    <row r="728">
      <c r="AC728" s="261"/>
      <c r="AD728" s="261"/>
    </row>
    <row r="729">
      <c r="AC729" s="261"/>
      <c r="AD729" s="261"/>
    </row>
    <row r="730">
      <c r="AC730" s="261"/>
      <c r="AD730" s="261"/>
    </row>
    <row r="731">
      <c r="AC731" s="261"/>
      <c r="AD731" s="261"/>
    </row>
    <row r="732">
      <c r="AC732" s="261"/>
      <c r="AD732" s="261"/>
    </row>
    <row r="733">
      <c r="AC733" s="261"/>
      <c r="AD733" s="261"/>
    </row>
    <row r="734">
      <c r="AC734" s="261"/>
      <c r="AD734" s="261"/>
    </row>
    <row r="735">
      <c r="AC735" s="261"/>
      <c r="AD735" s="261"/>
    </row>
    <row r="736">
      <c r="AC736" s="261"/>
      <c r="AD736" s="261"/>
    </row>
    <row r="737">
      <c r="AC737" s="261"/>
      <c r="AD737" s="261"/>
    </row>
    <row r="738">
      <c r="AC738" s="261"/>
      <c r="AD738" s="261"/>
    </row>
    <row r="739">
      <c r="AC739" s="261"/>
      <c r="AD739" s="261"/>
    </row>
    <row r="740">
      <c r="AC740" s="261"/>
      <c r="AD740" s="261"/>
    </row>
    <row r="741">
      <c r="AC741" s="261"/>
      <c r="AD741" s="261"/>
    </row>
    <row r="742">
      <c r="AC742" s="261"/>
      <c r="AD742" s="261"/>
    </row>
    <row r="743">
      <c r="AC743" s="261"/>
      <c r="AD743" s="261"/>
    </row>
    <row r="744">
      <c r="AC744" s="261"/>
      <c r="AD744" s="261"/>
    </row>
    <row r="745">
      <c r="AC745" s="261"/>
      <c r="AD745" s="261"/>
    </row>
    <row r="746">
      <c r="AC746" s="261"/>
      <c r="AD746" s="261"/>
    </row>
    <row r="747">
      <c r="AC747" s="261"/>
      <c r="AD747" s="261"/>
    </row>
    <row r="748">
      <c r="AC748" s="261"/>
      <c r="AD748" s="261"/>
    </row>
    <row r="749">
      <c r="AC749" s="261"/>
      <c r="AD749" s="261"/>
    </row>
    <row r="750">
      <c r="AC750" s="261"/>
      <c r="AD750" s="261"/>
    </row>
    <row r="751">
      <c r="AC751" s="261"/>
      <c r="AD751" s="261"/>
    </row>
    <row r="752">
      <c r="AC752" s="261"/>
      <c r="AD752" s="261"/>
    </row>
    <row r="753">
      <c r="AC753" s="261"/>
      <c r="AD753" s="261"/>
    </row>
    <row r="754">
      <c r="AC754" s="261"/>
      <c r="AD754" s="261"/>
    </row>
    <row r="755">
      <c r="AC755" s="261"/>
      <c r="AD755" s="261"/>
    </row>
    <row r="756">
      <c r="AC756" s="261"/>
      <c r="AD756" s="261"/>
    </row>
    <row r="757">
      <c r="AC757" s="261"/>
      <c r="AD757" s="261"/>
    </row>
    <row r="758">
      <c r="AC758" s="261"/>
      <c r="AD758" s="261"/>
    </row>
    <row r="759">
      <c r="AC759" s="261"/>
      <c r="AD759" s="261"/>
    </row>
    <row r="760">
      <c r="AC760" s="261"/>
      <c r="AD760" s="261"/>
    </row>
    <row r="761">
      <c r="AC761" s="261"/>
      <c r="AD761" s="261"/>
    </row>
    <row r="762">
      <c r="AC762" s="261"/>
      <c r="AD762" s="261"/>
    </row>
    <row r="763">
      <c r="AC763" s="261"/>
      <c r="AD763" s="261"/>
    </row>
    <row r="764">
      <c r="AC764" s="261"/>
      <c r="AD764" s="261"/>
    </row>
    <row r="765">
      <c r="AC765" s="261"/>
      <c r="AD765" s="261"/>
    </row>
    <row r="766">
      <c r="AC766" s="261"/>
      <c r="AD766" s="261"/>
    </row>
    <row r="767">
      <c r="AC767" s="261"/>
      <c r="AD767" s="261"/>
    </row>
    <row r="768">
      <c r="AC768" s="261"/>
      <c r="AD768" s="261"/>
    </row>
    <row r="769">
      <c r="AC769" s="261"/>
      <c r="AD769" s="261"/>
    </row>
    <row r="770">
      <c r="AC770" s="261"/>
      <c r="AD770" s="261"/>
    </row>
    <row r="771">
      <c r="AC771" s="261"/>
      <c r="AD771" s="261"/>
    </row>
    <row r="772">
      <c r="AC772" s="261"/>
      <c r="AD772" s="261"/>
    </row>
    <row r="773">
      <c r="AC773" s="261"/>
      <c r="AD773" s="261"/>
    </row>
    <row r="774">
      <c r="AC774" s="261"/>
      <c r="AD774" s="261"/>
    </row>
    <row r="775">
      <c r="AC775" s="261"/>
      <c r="AD775" s="261"/>
    </row>
    <row r="776">
      <c r="AC776" s="261"/>
      <c r="AD776" s="261"/>
    </row>
    <row r="777">
      <c r="AC777" s="261"/>
      <c r="AD777" s="261"/>
    </row>
    <row r="778">
      <c r="AC778" s="261"/>
      <c r="AD778" s="261"/>
    </row>
    <row r="779">
      <c r="AC779" s="261"/>
      <c r="AD779" s="261"/>
    </row>
    <row r="780">
      <c r="AC780" s="261"/>
      <c r="AD780" s="261"/>
    </row>
    <row r="781">
      <c r="AC781" s="261"/>
      <c r="AD781" s="261"/>
    </row>
    <row r="782">
      <c r="AC782" s="261"/>
      <c r="AD782" s="261"/>
    </row>
    <row r="783">
      <c r="AC783" s="261"/>
      <c r="AD783" s="261"/>
    </row>
    <row r="784">
      <c r="AC784" s="261"/>
      <c r="AD784" s="261"/>
    </row>
    <row r="785">
      <c r="AC785" s="261"/>
      <c r="AD785" s="261"/>
    </row>
    <row r="786">
      <c r="AC786" s="261"/>
      <c r="AD786" s="261"/>
    </row>
    <row r="787">
      <c r="AC787" s="261"/>
      <c r="AD787" s="261"/>
    </row>
    <row r="788">
      <c r="AC788" s="261"/>
      <c r="AD788" s="261"/>
    </row>
    <row r="789">
      <c r="AC789" s="261"/>
      <c r="AD789" s="261"/>
    </row>
    <row r="790">
      <c r="AC790" s="261"/>
      <c r="AD790" s="261"/>
    </row>
    <row r="791">
      <c r="AC791" s="261"/>
      <c r="AD791" s="261"/>
    </row>
    <row r="792">
      <c r="AC792" s="261"/>
      <c r="AD792" s="261"/>
    </row>
    <row r="793">
      <c r="AC793" s="261"/>
      <c r="AD793" s="261"/>
    </row>
    <row r="794">
      <c r="AC794" s="261"/>
      <c r="AD794" s="261"/>
    </row>
    <row r="795">
      <c r="AC795" s="261"/>
      <c r="AD795" s="261"/>
    </row>
    <row r="796">
      <c r="AC796" s="261"/>
      <c r="AD796" s="261"/>
    </row>
    <row r="797">
      <c r="AC797" s="261"/>
      <c r="AD797" s="261"/>
    </row>
    <row r="798">
      <c r="AC798" s="261"/>
      <c r="AD798" s="261"/>
    </row>
    <row r="799">
      <c r="AC799" s="261"/>
      <c r="AD799" s="261"/>
    </row>
    <row r="800">
      <c r="AC800" s="261"/>
      <c r="AD800" s="261"/>
    </row>
    <row r="801">
      <c r="AC801" s="261"/>
      <c r="AD801" s="261"/>
    </row>
    <row r="802">
      <c r="AC802" s="261"/>
      <c r="AD802" s="261"/>
    </row>
    <row r="803">
      <c r="AC803" s="261"/>
      <c r="AD803" s="261"/>
    </row>
    <row r="804">
      <c r="AC804" s="261"/>
      <c r="AD804" s="261"/>
    </row>
    <row r="805">
      <c r="AC805" s="261"/>
      <c r="AD805" s="261"/>
    </row>
    <row r="806">
      <c r="AC806" s="261"/>
      <c r="AD806" s="261"/>
    </row>
    <row r="807">
      <c r="AC807" s="261"/>
      <c r="AD807" s="261"/>
    </row>
    <row r="808">
      <c r="AC808" s="261"/>
      <c r="AD808" s="261"/>
    </row>
    <row r="809">
      <c r="AC809" s="261"/>
      <c r="AD809" s="261"/>
    </row>
    <row r="810">
      <c r="AC810" s="261"/>
      <c r="AD810" s="261"/>
    </row>
    <row r="811">
      <c r="AC811" s="261"/>
      <c r="AD811" s="261"/>
    </row>
    <row r="812">
      <c r="AC812" s="261"/>
      <c r="AD812" s="261"/>
    </row>
    <row r="813">
      <c r="AC813" s="261"/>
      <c r="AD813" s="261"/>
    </row>
    <row r="814">
      <c r="AC814" s="261"/>
      <c r="AD814" s="261"/>
    </row>
    <row r="815">
      <c r="AC815" s="261"/>
      <c r="AD815" s="261"/>
    </row>
    <row r="816">
      <c r="AC816" s="261"/>
      <c r="AD816" s="261"/>
    </row>
    <row r="817">
      <c r="AC817" s="261"/>
      <c r="AD817" s="261"/>
    </row>
    <row r="818">
      <c r="AC818" s="261"/>
      <c r="AD818" s="261"/>
    </row>
    <row r="819">
      <c r="AC819" s="261"/>
      <c r="AD819" s="261"/>
    </row>
    <row r="820">
      <c r="AC820" s="261"/>
      <c r="AD820" s="261"/>
    </row>
    <row r="821">
      <c r="AC821" s="261"/>
      <c r="AD821" s="261"/>
    </row>
    <row r="822">
      <c r="AC822" s="261"/>
      <c r="AD822" s="261"/>
    </row>
    <row r="823">
      <c r="AC823" s="261"/>
      <c r="AD823" s="261"/>
    </row>
    <row r="824">
      <c r="AC824" s="261"/>
      <c r="AD824" s="261"/>
    </row>
    <row r="825">
      <c r="AC825" s="261"/>
      <c r="AD825" s="261"/>
    </row>
    <row r="826">
      <c r="AC826" s="261"/>
      <c r="AD826" s="261"/>
    </row>
    <row r="827">
      <c r="AC827" s="261"/>
      <c r="AD827" s="261"/>
    </row>
    <row r="828">
      <c r="AC828" s="261"/>
      <c r="AD828" s="261"/>
    </row>
    <row r="829">
      <c r="AC829" s="261"/>
      <c r="AD829" s="261"/>
    </row>
    <row r="830">
      <c r="AC830" s="261"/>
      <c r="AD830" s="261"/>
    </row>
    <row r="831">
      <c r="AC831" s="261"/>
      <c r="AD831" s="261"/>
    </row>
    <row r="832">
      <c r="AC832" s="261"/>
      <c r="AD832" s="261"/>
    </row>
    <row r="833">
      <c r="AC833" s="261"/>
      <c r="AD833" s="261"/>
    </row>
    <row r="834">
      <c r="AC834" s="261"/>
      <c r="AD834" s="261"/>
    </row>
    <row r="835">
      <c r="AC835" s="261"/>
      <c r="AD835" s="261"/>
    </row>
    <row r="836">
      <c r="AC836" s="261"/>
      <c r="AD836" s="261"/>
    </row>
    <row r="837">
      <c r="AC837" s="261"/>
      <c r="AD837" s="261"/>
    </row>
    <row r="838">
      <c r="AC838" s="261"/>
      <c r="AD838" s="261"/>
    </row>
    <row r="839">
      <c r="AC839" s="261"/>
      <c r="AD839" s="261"/>
    </row>
    <row r="840">
      <c r="AC840" s="261"/>
      <c r="AD840" s="261"/>
    </row>
    <row r="841">
      <c r="AC841" s="261"/>
      <c r="AD841" s="261"/>
    </row>
    <row r="842">
      <c r="AC842" s="261"/>
      <c r="AD842" s="261"/>
    </row>
    <row r="843">
      <c r="AC843" s="261"/>
      <c r="AD843" s="261"/>
    </row>
    <row r="844">
      <c r="AC844" s="261"/>
      <c r="AD844" s="261"/>
    </row>
    <row r="845">
      <c r="AC845" s="261"/>
      <c r="AD845" s="261"/>
    </row>
    <row r="846">
      <c r="AC846" s="261"/>
      <c r="AD846" s="261"/>
    </row>
    <row r="847">
      <c r="AC847" s="261"/>
      <c r="AD847" s="261"/>
    </row>
    <row r="848">
      <c r="AC848" s="261"/>
      <c r="AD848" s="261"/>
    </row>
    <row r="849">
      <c r="AC849" s="261"/>
      <c r="AD849" s="261"/>
    </row>
    <row r="850">
      <c r="AC850" s="261"/>
      <c r="AD850" s="261"/>
    </row>
    <row r="851">
      <c r="AC851" s="261"/>
      <c r="AD851" s="261"/>
    </row>
    <row r="852">
      <c r="AC852" s="261"/>
      <c r="AD852" s="261"/>
    </row>
    <row r="853">
      <c r="AC853" s="261"/>
      <c r="AD853" s="261"/>
    </row>
    <row r="854">
      <c r="AC854" s="261"/>
      <c r="AD854" s="261"/>
    </row>
    <row r="855">
      <c r="AC855" s="261"/>
      <c r="AD855" s="261"/>
    </row>
    <row r="856">
      <c r="AC856" s="261"/>
      <c r="AD856" s="261"/>
    </row>
    <row r="857">
      <c r="AC857" s="261"/>
      <c r="AD857" s="261"/>
    </row>
    <row r="858">
      <c r="AC858" s="261"/>
      <c r="AD858" s="261"/>
    </row>
    <row r="859">
      <c r="AC859" s="261"/>
      <c r="AD859" s="261"/>
    </row>
    <row r="860">
      <c r="AC860" s="261"/>
      <c r="AD860" s="261"/>
    </row>
    <row r="861">
      <c r="AC861" s="261"/>
      <c r="AD861" s="261"/>
    </row>
    <row r="862">
      <c r="AC862" s="261"/>
      <c r="AD862" s="261"/>
    </row>
    <row r="863">
      <c r="AC863" s="261"/>
      <c r="AD863" s="261"/>
    </row>
    <row r="864">
      <c r="AC864" s="261"/>
      <c r="AD864" s="261"/>
    </row>
    <row r="865">
      <c r="AC865" s="261"/>
      <c r="AD865" s="261"/>
    </row>
    <row r="866">
      <c r="AC866" s="261"/>
      <c r="AD866" s="261"/>
    </row>
    <row r="867">
      <c r="AC867" s="261"/>
      <c r="AD867" s="261"/>
    </row>
    <row r="868">
      <c r="AC868" s="261"/>
      <c r="AD868" s="261"/>
    </row>
    <row r="869">
      <c r="AC869" s="261"/>
      <c r="AD869" s="261"/>
    </row>
    <row r="870">
      <c r="AC870" s="261"/>
      <c r="AD870" s="261"/>
    </row>
    <row r="871">
      <c r="AC871" s="261"/>
      <c r="AD871" s="261"/>
    </row>
    <row r="872">
      <c r="AC872" s="261"/>
      <c r="AD872" s="261"/>
    </row>
    <row r="873">
      <c r="AC873" s="261"/>
      <c r="AD873" s="261"/>
    </row>
    <row r="874">
      <c r="AC874" s="261"/>
      <c r="AD874" s="261"/>
    </row>
    <row r="875">
      <c r="AC875" s="261"/>
      <c r="AD875" s="261"/>
    </row>
    <row r="876">
      <c r="AC876" s="261"/>
      <c r="AD876" s="261"/>
    </row>
    <row r="877">
      <c r="AC877" s="261"/>
      <c r="AD877" s="261"/>
    </row>
    <row r="878">
      <c r="AC878" s="261"/>
      <c r="AD878" s="261"/>
    </row>
    <row r="879">
      <c r="AC879" s="261"/>
      <c r="AD879" s="261"/>
    </row>
    <row r="880">
      <c r="AC880" s="261"/>
      <c r="AD880" s="261"/>
    </row>
    <row r="881">
      <c r="AC881" s="261"/>
      <c r="AD881" s="261"/>
    </row>
    <row r="882">
      <c r="AC882" s="261"/>
      <c r="AD882" s="261"/>
    </row>
    <row r="883">
      <c r="AC883" s="261"/>
      <c r="AD883" s="261"/>
    </row>
    <row r="884">
      <c r="AC884" s="261"/>
      <c r="AD884" s="261"/>
    </row>
    <row r="885">
      <c r="AC885" s="261"/>
      <c r="AD885" s="261"/>
    </row>
    <row r="886">
      <c r="AC886" s="261"/>
      <c r="AD886" s="261"/>
    </row>
    <row r="887">
      <c r="AC887" s="261"/>
      <c r="AD887" s="261"/>
    </row>
    <row r="888">
      <c r="AC888" s="261"/>
      <c r="AD888" s="261"/>
    </row>
    <row r="889">
      <c r="AC889" s="261"/>
      <c r="AD889" s="261"/>
    </row>
    <row r="890">
      <c r="AC890" s="261"/>
      <c r="AD890" s="261"/>
    </row>
    <row r="891">
      <c r="AC891" s="261"/>
      <c r="AD891" s="261"/>
    </row>
    <row r="892">
      <c r="AC892" s="261"/>
      <c r="AD892" s="261"/>
    </row>
    <row r="893">
      <c r="AC893" s="261"/>
      <c r="AD893" s="261"/>
    </row>
    <row r="894">
      <c r="AC894" s="261"/>
      <c r="AD894" s="261"/>
    </row>
    <row r="895">
      <c r="AC895" s="261"/>
      <c r="AD895" s="261"/>
    </row>
    <row r="896">
      <c r="AC896" s="261"/>
      <c r="AD896" s="261"/>
    </row>
    <row r="897">
      <c r="AC897" s="261"/>
      <c r="AD897" s="261"/>
    </row>
    <row r="898">
      <c r="AC898" s="261"/>
      <c r="AD898" s="261"/>
    </row>
    <row r="899">
      <c r="AC899" s="261"/>
      <c r="AD899" s="261"/>
    </row>
    <row r="900">
      <c r="AC900" s="261"/>
      <c r="AD900" s="261"/>
    </row>
    <row r="901">
      <c r="AC901" s="261"/>
      <c r="AD901" s="261"/>
    </row>
    <row r="902">
      <c r="AC902" s="261"/>
      <c r="AD902" s="261"/>
    </row>
    <row r="903">
      <c r="AC903" s="261"/>
      <c r="AD903" s="261"/>
    </row>
    <row r="904">
      <c r="AC904" s="261"/>
      <c r="AD904" s="261"/>
    </row>
    <row r="905">
      <c r="AC905" s="261"/>
      <c r="AD905" s="261"/>
    </row>
    <row r="906">
      <c r="AC906" s="261"/>
      <c r="AD906" s="261"/>
    </row>
    <row r="907">
      <c r="AC907" s="261"/>
      <c r="AD907" s="261"/>
    </row>
    <row r="908">
      <c r="AC908" s="261"/>
      <c r="AD908" s="261"/>
    </row>
    <row r="909">
      <c r="AC909" s="261"/>
      <c r="AD909" s="261"/>
    </row>
    <row r="910">
      <c r="AC910" s="261"/>
      <c r="AD910" s="261"/>
    </row>
    <row r="911">
      <c r="AC911" s="261"/>
      <c r="AD911" s="261"/>
    </row>
    <row r="912">
      <c r="AC912" s="261"/>
      <c r="AD912" s="261"/>
    </row>
    <row r="913">
      <c r="AC913" s="261"/>
      <c r="AD913" s="261"/>
    </row>
    <row r="914">
      <c r="AC914" s="261"/>
      <c r="AD914" s="261"/>
    </row>
    <row r="915">
      <c r="AC915" s="261"/>
      <c r="AD915" s="261"/>
    </row>
    <row r="916">
      <c r="AC916" s="261"/>
      <c r="AD916" s="261"/>
    </row>
    <row r="917">
      <c r="AC917" s="261"/>
      <c r="AD917" s="261"/>
    </row>
    <row r="918">
      <c r="AC918" s="261"/>
      <c r="AD918" s="261"/>
    </row>
    <row r="919">
      <c r="AC919" s="261"/>
      <c r="AD919" s="261"/>
    </row>
    <row r="920">
      <c r="AC920" s="261"/>
      <c r="AD920" s="261"/>
    </row>
    <row r="921">
      <c r="AC921" s="261"/>
      <c r="AD921" s="261"/>
    </row>
    <row r="922">
      <c r="AC922" s="261"/>
      <c r="AD922" s="261"/>
    </row>
    <row r="923">
      <c r="AC923" s="261"/>
      <c r="AD923" s="261"/>
    </row>
    <row r="924">
      <c r="AC924" s="261"/>
      <c r="AD924" s="261"/>
    </row>
    <row r="925">
      <c r="AC925" s="261"/>
      <c r="AD925" s="261"/>
    </row>
    <row r="926">
      <c r="AC926" s="261"/>
      <c r="AD926" s="261"/>
    </row>
    <row r="927">
      <c r="AC927" s="261"/>
      <c r="AD927" s="261"/>
    </row>
    <row r="928">
      <c r="AC928" s="261"/>
      <c r="AD928" s="261"/>
    </row>
    <row r="929">
      <c r="AC929" s="261"/>
      <c r="AD929" s="261"/>
    </row>
    <row r="930">
      <c r="AC930" s="261"/>
      <c r="AD930" s="261"/>
    </row>
    <row r="931">
      <c r="AC931" s="261"/>
      <c r="AD931" s="261"/>
    </row>
    <row r="932">
      <c r="AC932" s="261"/>
      <c r="AD932" s="261"/>
    </row>
    <row r="933">
      <c r="AC933" s="261"/>
      <c r="AD933" s="261"/>
    </row>
    <row r="934">
      <c r="AC934" s="261"/>
      <c r="AD934" s="261"/>
    </row>
    <row r="935">
      <c r="AC935" s="261"/>
      <c r="AD935" s="261"/>
    </row>
    <row r="936">
      <c r="AC936" s="261"/>
      <c r="AD936" s="261"/>
    </row>
    <row r="937">
      <c r="AC937" s="261"/>
      <c r="AD937" s="261"/>
    </row>
    <row r="938">
      <c r="AC938" s="261"/>
      <c r="AD938" s="261"/>
    </row>
    <row r="939">
      <c r="AC939" s="261"/>
      <c r="AD939" s="261"/>
    </row>
    <row r="940">
      <c r="AC940" s="261"/>
      <c r="AD940" s="261"/>
    </row>
    <row r="941">
      <c r="AC941" s="261"/>
      <c r="AD941" s="261"/>
    </row>
    <row r="942">
      <c r="AC942" s="261"/>
      <c r="AD942" s="261"/>
    </row>
    <row r="943">
      <c r="AC943" s="261"/>
      <c r="AD943" s="261"/>
    </row>
    <row r="944">
      <c r="AC944" s="261"/>
      <c r="AD944" s="261"/>
    </row>
    <row r="945">
      <c r="AC945" s="261"/>
      <c r="AD945" s="261"/>
    </row>
    <row r="946">
      <c r="AC946" s="261"/>
      <c r="AD946" s="261"/>
    </row>
    <row r="947">
      <c r="AC947" s="261"/>
      <c r="AD947" s="261"/>
    </row>
    <row r="948">
      <c r="AC948" s="261"/>
      <c r="AD948" s="261"/>
    </row>
    <row r="949">
      <c r="AC949" s="261"/>
      <c r="AD949" s="261"/>
    </row>
    <row r="950">
      <c r="AC950" s="261"/>
      <c r="AD950" s="261"/>
    </row>
    <row r="951">
      <c r="AC951" s="261"/>
      <c r="AD951" s="261"/>
    </row>
    <row r="952">
      <c r="AC952" s="261"/>
      <c r="AD952" s="261"/>
    </row>
    <row r="953">
      <c r="AC953" s="261"/>
      <c r="AD953" s="261"/>
    </row>
    <row r="954">
      <c r="AC954" s="261"/>
      <c r="AD954" s="261"/>
    </row>
    <row r="955">
      <c r="AC955" s="261"/>
      <c r="AD955" s="261"/>
    </row>
    <row r="956">
      <c r="AC956" s="261"/>
      <c r="AD956" s="261"/>
    </row>
    <row r="957">
      <c r="AC957" s="261"/>
      <c r="AD957" s="261"/>
    </row>
    <row r="958">
      <c r="AC958" s="261"/>
      <c r="AD958" s="261"/>
    </row>
    <row r="959">
      <c r="AC959" s="261"/>
      <c r="AD959" s="261"/>
    </row>
    <row r="960">
      <c r="AC960" s="261"/>
      <c r="AD960" s="261"/>
    </row>
    <row r="961">
      <c r="AC961" s="261"/>
      <c r="AD961" s="261"/>
    </row>
    <row r="962">
      <c r="AC962" s="261"/>
      <c r="AD962" s="261"/>
    </row>
    <row r="963">
      <c r="AC963" s="261"/>
      <c r="AD963" s="261"/>
    </row>
    <row r="964">
      <c r="AC964" s="261"/>
      <c r="AD964" s="261"/>
    </row>
    <row r="965">
      <c r="AC965" s="261"/>
      <c r="AD965" s="261"/>
    </row>
    <row r="966">
      <c r="AC966" s="261"/>
      <c r="AD966" s="261"/>
    </row>
    <row r="967">
      <c r="AC967" s="261"/>
      <c r="AD967" s="261"/>
    </row>
    <row r="968">
      <c r="AC968" s="261"/>
      <c r="AD968" s="261"/>
    </row>
    <row r="969">
      <c r="AC969" s="261"/>
      <c r="AD969" s="261"/>
    </row>
    <row r="970">
      <c r="AC970" s="261"/>
      <c r="AD970" s="261"/>
    </row>
    <row r="971">
      <c r="AC971" s="261"/>
      <c r="AD971" s="261"/>
    </row>
    <row r="972">
      <c r="AC972" s="261"/>
      <c r="AD972" s="261"/>
    </row>
    <row r="973">
      <c r="AC973" s="261"/>
      <c r="AD973" s="261"/>
    </row>
    <row r="974">
      <c r="AC974" s="261"/>
      <c r="AD974" s="261"/>
    </row>
    <row r="975">
      <c r="AC975" s="261"/>
      <c r="AD975" s="261"/>
    </row>
    <row r="976">
      <c r="AC976" s="261"/>
      <c r="AD976" s="261"/>
    </row>
    <row r="977">
      <c r="AC977" s="261"/>
      <c r="AD977" s="261"/>
    </row>
    <row r="978">
      <c r="AC978" s="261"/>
      <c r="AD978" s="261"/>
    </row>
    <row r="979">
      <c r="AC979" s="261"/>
      <c r="AD979" s="261"/>
    </row>
    <row r="980">
      <c r="AC980" s="261"/>
      <c r="AD980" s="261"/>
    </row>
    <row r="981">
      <c r="AC981" s="261"/>
      <c r="AD981" s="261"/>
    </row>
    <row r="982">
      <c r="AC982" s="261"/>
      <c r="AD982" s="261"/>
    </row>
    <row r="983">
      <c r="AC983" s="261"/>
      <c r="AD983" s="261"/>
    </row>
    <row r="984">
      <c r="AC984" s="261"/>
      <c r="AD984" s="261"/>
    </row>
    <row r="985">
      <c r="AC985" s="261"/>
      <c r="AD985" s="261"/>
    </row>
    <row r="986">
      <c r="AC986" s="261"/>
      <c r="AD986" s="261"/>
    </row>
    <row r="987">
      <c r="AC987" s="261"/>
      <c r="AD987" s="261"/>
    </row>
    <row r="988">
      <c r="AC988" s="261"/>
      <c r="AD988" s="261"/>
    </row>
    <row r="989">
      <c r="AC989" s="261"/>
      <c r="AD989" s="261"/>
    </row>
    <row r="990">
      <c r="AC990" s="261"/>
      <c r="AD990" s="261"/>
    </row>
    <row r="991">
      <c r="AC991" s="261"/>
      <c r="AD991" s="261"/>
    </row>
    <row r="992">
      <c r="AC992" s="261"/>
      <c r="AD992" s="261"/>
    </row>
    <row r="993">
      <c r="AC993" s="261"/>
      <c r="AD993" s="261"/>
    </row>
    <row r="994">
      <c r="AC994" s="261"/>
      <c r="AD994" s="261"/>
    </row>
    <row r="995">
      <c r="AC995" s="261"/>
      <c r="AD995" s="261"/>
    </row>
    <row r="996">
      <c r="AC996" s="261"/>
      <c r="AD996" s="261"/>
    </row>
    <row r="997">
      <c r="AC997" s="261"/>
      <c r="AD997" s="261"/>
    </row>
    <row r="998">
      <c r="AC998" s="261"/>
      <c r="AD998" s="261"/>
    </row>
    <row r="999">
      <c r="AC999" s="261"/>
      <c r="AD999" s="261"/>
    </row>
    <row r="1000">
      <c r="AC1000" s="261"/>
      <c r="AD1000" s="261"/>
    </row>
  </sheetData>
  <mergeCells count="8">
    <mergeCell ref="A18:K18"/>
    <mergeCell ref="A28:K28"/>
    <mergeCell ref="A56:K56"/>
    <mergeCell ref="A62:K62"/>
    <mergeCell ref="A68:K68"/>
    <mergeCell ref="A145:K145"/>
    <mergeCell ref="A163:K163"/>
    <mergeCell ref="A226:K22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35" width="6.38"/>
  </cols>
  <sheetData>
    <row r="1">
      <c r="A1" s="37" t="s">
        <v>88</v>
      </c>
      <c r="B1" s="37" t="s">
        <v>327</v>
      </c>
      <c r="C1" s="37" t="s">
        <v>326</v>
      </c>
      <c r="D1" s="37" t="s">
        <v>371</v>
      </c>
      <c r="E1" s="258" t="s">
        <v>372</v>
      </c>
      <c r="F1" s="259" t="s">
        <v>373</v>
      </c>
      <c r="G1" s="260" t="s">
        <v>374</v>
      </c>
      <c r="H1" s="261" t="s">
        <v>375</v>
      </c>
      <c r="I1" s="262" t="s">
        <v>376</v>
      </c>
      <c r="J1" s="263" t="s">
        <v>377</v>
      </c>
      <c r="AC1" s="264" t="s">
        <v>378</v>
      </c>
      <c r="AD1" s="261"/>
    </row>
    <row r="2">
      <c r="A2" s="48">
        <f>qualdata!M2</f>
        <v>1</v>
      </c>
      <c r="C2" s="48" t="str">
        <f t="array" ref="C2">xlookup($A2,qualdata!$M$2:$M$17,(xlookup(C$1,qualdata!$N$1:$BR$1,qualdata!$N$2:$BR$17)))</f>
        <v>Team 1 (Group 1)</v>
      </c>
      <c r="D2" s="48">
        <f t="array" ref="D2">xlookup($A2,qualdata!$M$2:$M$17,(xlookup(D$1,qualdata!$N$1:$BR$1,qualdata!$N$2:$BR$17)))</f>
        <v>16</v>
      </c>
      <c r="E2" s="48" t="str">
        <f t="array" ref="E2">xlookup($A2,qualdata!$M$2:$M$17,(xlookup(E$1,qualdata!$N$1:$BR$1,qualdata!$N$2:$BR$17)))</f>
        <v/>
      </c>
      <c r="F2" s="48" t="str">
        <f t="array" ref="F2">xlookup($A2,qualdata!$M$2:$M$17,(xlookup(F$1,qualdata!$N$1:$BR$1,qualdata!$N$2:$BR$17)))</f>
        <v/>
      </c>
      <c r="G2" s="48" t="str">
        <f t="array" ref="G2">xlookup($A2,qualdata!$M$2:$M$17,(xlookup(G$1,qualdata!$N$1:$BR$1,qualdata!$N$2:$BR$17)))</f>
        <v/>
      </c>
      <c r="H2" s="48">
        <f t="array" ref="H2">xlookup($A2,qualdata!$M$2:$M$17,(xlookup(H$1,qualdata!$N$1:$BR$1,qualdata!$N$2:$BR$17)))</f>
        <v>0</v>
      </c>
      <c r="I2" s="48">
        <f t="array" ref="I2">xlookup($A2,qualdata!$M$2:$M$17,(xlookup(I$1,qualdata!$N$1:$BR$1,qualdata!$N$2:$BR$17)))</f>
        <v>0</v>
      </c>
      <c r="J2" s="48">
        <f t="array" ref="J2">xlookup($A2,qualdata!$M$2:$M$17,(xlookup(J$1,qualdata!$N$1:$BR$1,qualdata!$N$2:$BR$17)))</f>
        <v>0</v>
      </c>
      <c r="AC2" s="265" t="str">
        <f t="array" ref="AC2:AD9">'Choose matchups (Contender)'!Q25:R32</f>
        <v>#N/A</v>
      </c>
      <c r="AD2" s="265" t="e">
        <v>#N/A</v>
      </c>
    </row>
    <row r="3">
      <c r="A3" s="48">
        <f>qualdata!M3</f>
        <v>2</v>
      </c>
      <c r="C3" s="48" t="str">
        <f t="array" ref="C3">xlookup($A3,qualdata!$M$2:$M$17,(xlookup(C$1,qualdata!$N$1:$BR$1,qualdata!$N$2:$BR$17)))</f>
        <v>Team 2 (Group 1)</v>
      </c>
      <c r="D3" s="48">
        <f t="array" ref="D3">xlookup($A3,qualdata!$M$2:$M$17,(xlookup(D$1,qualdata!$N$1:$BR$1,qualdata!$N$2:$BR$17)))</f>
        <v>15</v>
      </c>
      <c r="E3" s="48" t="str">
        <f t="array" ref="E3">xlookup($A3,qualdata!$M$2:$M$17,(xlookup(E$1,qualdata!$N$1:$BR$1,qualdata!$N$2:$BR$17)))</f>
        <v/>
      </c>
      <c r="F3" s="48" t="str">
        <f t="array" ref="F3">xlookup($A3,qualdata!$M$2:$M$17,(xlookup(F$1,qualdata!$N$1:$BR$1,qualdata!$N$2:$BR$17)))</f>
        <v/>
      </c>
      <c r="G3" s="48" t="str">
        <f t="array" ref="G3">xlookup($A3,qualdata!$M$2:$M$17,(xlookup(G$1,qualdata!$N$1:$BR$1,qualdata!$N$2:$BR$17)))</f>
        <v/>
      </c>
      <c r="H3" s="48">
        <f t="array" ref="H3">xlookup($A3,qualdata!$M$2:$M$17,(xlookup(H$1,qualdata!$N$1:$BR$1,qualdata!$N$2:$BR$17)))</f>
        <v>0</v>
      </c>
      <c r="I3" s="48">
        <f t="array" ref="I3">xlookup($A3,qualdata!$M$2:$M$17,(xlookup(I$1,qualdata!$N$1:$BR$1,qualdata!$N$2:$BR$17)))</f>
        <v>0</v>
      </c>
      <c r="J3" s="48">
        <f t="array" ref="J3">xlookup($A3,qualdata!$M$2:$M$17,(xlookup(J$1,qualdata!$N$1:$BR$1,qualdata!$N$2:$BR$17)))</f>
        <v>0</v>
      </c>
      <c r="AC3" s="265" t="e">
        <v>#N/A</v>
      </c>
      <c r="AD3" s="265" t="e">
        <v>#N/A</v>
      </c>
    </row>
    <row r="4">
      <c r="A4" s="48">
        <f>qualdata!M4</f>
        <v>3</v>
      </c>
      <c r="C4" s="48" t="str">
        <f t="array" ref="C4">xlookup($A4,qualdata!$M$2:$M$17,(xlookup(C$1,qualdata!$N$1:$BR$1,qualdata!$N$2:$BR$17)))</f>
        <v>Team 3 (Group 1)</v>
      </c>
      <c r="D4" s="48">
        <f t="array" ref="D4">xlookup($A4,qualdata!$M$2:$M$17,(xlookup(D$1,qualdata!$N$1:$BR$1,qualdata!$N$2:$BR$17)))</f>
        <v>14</v>
      </c>
      <c r="E4" s="48" t="str">
        <f t="array" ref="E4">xlookup($A4,qualdata!$M$2:$M$17,(xlookup(E$1,qualdata!$N$1:$BR$1,qualdata!$N$2:$BR$17)))</f>
        <v/>
      </c>
      <c r="F4" s="48" t="str">
        <f t="array" ref="F4">xlookup($A4,qualdata!$M$2:$M$17,(xlookup(F$1,qualdata!$N$1:$BR$1,qualdata!$N$2:$BR$17)))</f>
        <v/>
      </c>
      <c r="G4" s="48" t="str">
        <f t="array" ref="G4">xlookup($A4,qualdata!$M$2:$M$17,(xlookup(G$1,qualdata!$N$1:$BR$1,qualdata!$N$2:$BR$17)))</f>
        <v/>
      </c>
      <c r="H4" s="48">
        <f t="array" ref="H4">xlookup($A4,qualdata!$M$2:$M$17,(xlookup(H$1,qualdata!$N$1:$BR$1,qualdata!$N$2:$BR$17)))</f>
        <v>0</v>
      </c>
      <c r="I4" s="48">
        <f t="array" ref="I4">xlookup($A4,qualdata!$M$2:$M$17,(xlookup(I$1,qualdata!$N$1:$BR$1,qualdata!$N$2:$BR$17)))</f>
        <v>0</v>
      </c>
      <c r="J4" s="48">
        <f t="array" ref="J4">xlookup($A4,qualdata!$M$2:$M$17,(xlookup(J$1,qualdata!$N$1:$BR$1,qualdata!$N$2:$BR$17)))</f>
        <v>0</v>
      </c>
      <c r="AC4" s="265" t="e">
        <v>#N/A</v>
      </c>
      <c r="AD4" s="265" t="e">
        <v>#N/A</v>
      </c>
    </row>
    <row r="5">
      <c r="A5" s="48">
        <f>qualdata!M5</f>
        <v>4</v>
      </c>
      <c r="C5" s="48" t="str">
        <f t="array" ref="C5">xlookup($A5,qualdata!$M$2:$M$17,(xlookup(C$1,qualdata!$N$1:$BR$1,qualdata!$N$2:$BR$17)))</f>
        <v>Team 4 (Group 1)</v>
      </c>
      <c r="D5" s="48">
        <f t="array" ref="D5">xlookup($A5,qualdata!$M$2:$M$17,(xlookup(D$1,qualdata!$N$1:$BR$1,qualdata!$N$2:$BR$17)))</f>
        <v>13</v>
      </c>
      <c r="E5" s="48" t="str">
        <f t="array" ref="E5">xlookup($A5,qualdata!$M$2:$M$17,(xlookup(E$1,qualdata!$N$1:$BR$1,qualdata!$N$2:$BR$17)))</f>
        <v/>
      </c>
      <c r="F5" s="48" t="str">
        <f t="array" ref="F5">xlookup($A5,qualdata!$M$2:$M$17,(xlookup(F$1,qualdata!$N$1:$BR$1,qualdata!$N$2:$BR$17)))</f>
        <v/>
      </c>
      <c r="G5" s="48" t="str">
        <f t="array" ref="G5">xlookup($A5,qualdata!$M$2:$M$17,(xlookup(G$1,qualdata!$N$1:$BR$1,qualdata!$N$2:$BR$17)))</f>
        <v/>
      </c>
      <c r="H5" s="48">
        <f t="array" ref="H5">xlookup($A5,qualdata!$M$2:$M$17,(xlookup(H$1,qualdata!$N$1:$BR$1,qualdata!$N$2:$BR$17)))</f>
        <v>0</v>
      </c>
      <c r="I5" s="48">
        <f t="array" ref="I5">xlookup($A5,qualdata!$M$2:$M$17,(xlookup(I$1,qualdata!$N$1:$BR$1,qualdata!$N$2:$BR$17)))</f>
        <v>0</v>
      </c>
      <c r="J5" s="48">
        <f t="array" ref="J5">xlookup($A5,qualdata!$M$2:$M$17,(xlookup(J$1,qualdata!$N$1:$BR$1,qualdata!$N$2:$BR$17)))</f>
        <v>0</v>
      </c>
      <c r="AC5" s="265" t="e">
        <v>#N/A</v>
      </c>
      <c r="AD5" s="265" t="e">
        <v>#N/A</v>
      </c>
    </row>
    <row r="6">
      <c r="A6" s="48">
        <f>qualdata!M6</f>
        <v>5</v>
      </c>
      <c r="C6" s="48" t="str">
        <f t="array" ref="C6">xlookup($A6,qualdata!$M$2:$M$17,(xlookup(C$1,qualdata!$N$1:$BR$1,qualdata!$N$2:$BR$17)))</f>
        <v>Team 5 (Group 1)</v>
      </c>
      <c r="D6" s="48">
        <f t="array" ref="D6">xlookup($A6,qualdata!$M$2:$M$17,(xlookup(D$1,qualdata!$N$1:$BR$1,qualdata!$N$2:$BR$17)))</f>
        <v>12</v>
      </c>
      <c r="E6" s="48" t="str">
        <f t="array" ref="E6">xlookup($A6,qualdata!$M$2:$M$17,(xlookup(E$1,qualdata!$N$1:$BR$1,qualdata!$N$2:$BR$17)))</f>
        <v/>
      </c>
      <c r="F6" s="48" t="str">
        <f t="array" ref="F6">xlookup($A6,qualdata!$M$2:$M$17,(xlookup(F$1,qualdata!$N$1:$BR$1,qualdata!$N$2:$BR$17)))</f>
        <v/>
      </c>
      <c r="G6" s="48" t="str">
        <f t="array" ref="G6">xlookup($A6,qualdata!$M$2:$M$17,(xlookup(G$1,qualdata!$N$1:$BR$1,qualdata!$N$2:$BR$17)))</f>
        <v/>
      </c>
      <c r="H6" s="48">
        <f t="array" ref="H6">xlookup($A6,qualdata!$M$2:$M$17,(xlookup(H$1,qualdata!$N$1:$BR$1,qualdata!$N$2:$BR$17)))</f>
        <v>0</v>
      </c>
      <c r="I6" s="48">
        <f t="array" ref="I6">xlookup($A6,qualdata!$M$2:$M$17,(xlookup(I$1,qualdata!$N$1:$BR$1,qualdata!$N$2:$BR$17)))</f>
        <v>0</v>
      </c>
      <c r="J6" s="48">
        <f t="array" ref="J6">xlookup($A6,qualdata!$M$2:$M$17,(xlookup(J$1,qualdata!$N$1:$BR$1,qualdata!$N$2:$BR$17)))</f>
        <v>0</v>
      </c>
      <c r="AC6" s="265" t="e">
        <v>#N/A</v>
      </c>
      <c r="AD6" s="265" t="e">
        <v>#N/A</v>
      </c>
    </row>
    <row r="7">
      <c r="A7" s="48">
        <f>qualdata!M7</f>
        <v>6</v>
      </c>
      <c r="C7" s="48" t="str">
        <f t="array" ref="C7">xlookup($A7,qualdata!$M$2:$M$17,(xlookup(C$1,qualdata!$N$1:$BR$1,qualdata!$N$2:$BR$17)))</f>
        <v>Team 6 (Group 1)</v>
      </c>
      <c r="D7" s="48">
        <f t="array" ref="D7">xlookup($A7,qualdata!$M$2:$M$17,(xlookup(D$1,qualdata!$N$1:$BR$1,qualdata!$N$2:$BR$17)))</f>
        <v>11</v>
      </c>
      <c r="E7" s="48" t="str">
        <f t="array" ref="E7">xlookup($A7,qualdata!$M$2:$M$17,(xlookup(E$1,qualdata!$N$1:$BR$1,qualdata!$N$2:$BR$17)))</f>
        <v/>
      </c>
      <c r="F7" s="48" t="str">
        <f t="array" ref="F7">xlookup($A7,qualdata!$M$2:$M$17,(xlookup(F$1,qualdata!$N$1:$BR$1,qualdata!$N$2:$BR$17)))</f>
        <v/>
      </c>
      <c r="G7" s="48" t="str">
        <f t="array" ref="G7">xlookup($A7,qualdata!$M$2:$M$17,(xlookup(G$1,qualdata!$N$1:$BR$1,qualdata!$N$2:$BR$17)))</f>
        <v/>
      </c>
      <c r="H7" s="48">
        <f t="array" ref="H7">xlookup($A7,qualdata!$M$2:$M$17,(xlookup(H$1,qualdata!$N$1:$BR$1,qualdata!$N$2:$BR$17)))</f>
        <v>0</v>
      </c>
      <c r="I7" s="48">
        <f t="array" ref="I7">xlookup($A7,qualdata!$M$2:$M$17,(xlookup(I$1,qualdata!$N$1:$BR$1,qualdata!$N$2:$BR$17)))</f>
        <v>0</v>
      </c>
      <c r="J7" s="48">
        <f t="array" ref="J7">xlookup($A7,qualdata!$M$2:$M$17,(xlookup(J$1,qualdata!$N$1:$BR$1,qualdata!$N$2:$BR$17)))</f>
        <v>0</v>
      </c>
      <c r="AC7" s="265" t="e">
        <v>#N/A</v>
      </c>
      <c r="AD7" s="265" t="e">
        <v>#N/A</v>
      </c>
    </row>
    <row r="8">
      <c r="A8" s="48">
        <f>qualdata!M8</f>
        <v>7</v>
      </c>
      <c r="C8" s="48" t="str">
        <f t="array" ref="C8">xlookup($A8,qualdata!$M$2:$M$17,(xlookup(C$1,qualdata!$N$1:$BR$1,qualdata!$N$2:$BR$17)))</f>
        <v>Team 7 (Group 1)</v>
      </c>
      <c r="D8" s="48">
        <f t="array" ref="D8">xlookup($A8,qualdata!$M$2:$M$17,(xlookup(D$1,qualdata!$N$1:$BR$1,qualdata!$N$2:$BR$17)))</f>
        <v>10</v>
      </c>
      <c r="E8" s="48" t="str">
        <f t="array" ref="E8">xlookup($A8,qualdata!$M$2:$M$17,(xlookup(E$1,qualdata!$N$1:$BR$1,qualdata!$N$2:$BR$17)))</f>
        <v/>
      </c>
      <c r="F8" s="48" t="str">
        <f t="array" ref="F8">xlookup($A8,qualdata!$M$2:$M$17,(xlookup(F$1,qualdata!$N$1:$BR$1,qualdata!$N$2:$BR$17)))</f>
        <v/>
      </c>
      <c r="G8" s="48" t="str">
        <f t="array" ref="G8">xlookup($A8,qualdata!$M$2:$M$17,(xlookup(G$1,qualdata!$N$1:$BR$1,qualdata!$N$2:$BR$17)))</f>
        <v/>
      </c>
      <c r="H8" s="48">
        <f t="array" ref="H8">xlookup($A8,qualdata!$M$2:$M$17,(xlookup(H$1,qualdata!$N$1:$BR$1,qualdata!$N$2:$BR$17)))</f>
        <v>0</v>
      </c>
      <c r="I8" s="48">
        <f t="array" ref="I8">xlookup($A8,qualdata!$M$2:$M$17,(xlookup(I$1,qualdata!$N$1:$BR$1,qualdata!$N$2:$BR$17)))</f>
        <v>0</v>
      </c>
      <c r="J8" s="48">
        <f t="array" ref="J8">xlookup($A8,qualdata!$M$2:$M$17,(xlookup(J$1,qualdata!$N$1:$BR$1,qualdata!$N$2:$BR$17)))</f>
        <v>0</v>
      </c>
      <c r="AC8" s="265" t="e">
        <v>#N/A</v>
      </c>
      <c r="AD8" s="265" t="e">
        <v>#N/A</v>
      </c>
    </row>
    <row r="9">
      <c r="A9" s="48">
        <f>qualdata!M9</f>
        <v>8</v>
      </c>
      <c r="C9" s="48" t="str">
        <f t="array" ref="C9">xlookup($A9,qualdata!$M$2:$M$17,(xlookup(C$1,qualdata!$N$1:$BR$1,qualdata!$N$2:$BR$17)))</f>
        <v>Team 8 (Group 1)</v>
      </c>
      <c r="D9" s="48">
        <f t="array" ref="D9">xlookup($A9,qualdata!$M$2:$M$17,(xlookup(D$1,qualdata!$N$1:$BR$1,qualdata!$N$2:$BR$17)))</f>
        <v>9</v>
      </c>
      <c r="E9" s="48" t="str">
        <f t="array" ref="E9">xlookup($A9,qualdata!$M$2:$M$17,(xlookup(E$1,qualdata!$N$1:$BR$1,qualdata!$N$2:$BR$17)))</f>
        <v/>
      </c>
      <c r="F9" s="48" t="str">
        <f t="array" ref="F9">xlookup($A9,qualdata!$M$2:$M$17,(xlookup(F$1,qualdata!$N$1:$BR$1,qualdata!$N$2:$BR$17)))</f>
        <v/>
      </c>
      <c r="G9" s="48" t="str">
        <f t="array" ref="G9">xlookup($A9,qualdata!$M$2:$M$17,(xlookup(G$1,qualdata!$N$1:$BR$1,qualdata!$N$2:$BR$17)))</f>
        <v/>
      </c>
      <c r="H9" s="48">
        <f t="array" ref="H9">xlookup($A9,qualdata!$M$2:$M$17,(xlookup(H$1,qualdata!$N$1:$BR$1,qualdata!$N$2:$BR$17)))</f>
        <v>0</v>
      </c>
      <c r="I9" s="48">
        <f t="array" ref="I9">xlookup($A9,qualdata!$M$2:$M$17,(xlookup(I$1,qualdata!$N$1:$BR$1,qualdata!$N$2:$BR$17)))</f>
        <v>0</v>
      </c>
      <c r="J9" s="48">
        <f t="array" ref="J9">xlookup($A9,qualdata!$M$2:$M$17,(xlookup(J$1,qualdata!$N$1:$BR$1,qualdata!$N$2:$BR$17)))</f>
        <v>0</v>
      </c>
      <c r="AC9" s="265" t="e">
        <v>#N/A</v>
      </c>
      <c r="AD9" s="265" t="e">
        <v>#N/A</v>
      </c>
    </row>
    <row r="10">
      <c r="A10" s="48">
        <f>qualdata!M10</f>
        <v>9</v>
      </c>
      <c r="C10" s="48" t="str">
        <f t="array" ref="C10">xlookup($A10,qualdata!$M$2:$M$17,(xlookup(C$1,qualdata!$N$1:$BR$1,qualdata!$N$2:$BR$17)))</f>
        <v>Team 9 (Group 1)</v>
      </c>
      <c r="D10" s="48">
        <f t="array" ref="D10">xlookup($A10,qualdata!$M$2:$M$17,(xlookup(D$1,qualdata!$N$1:$BR$1,qualdata!$N$2:$BR$17)))</f>
        <v>8</v>
      </c>
      <c r="E10" s="48" t="str">
        <f t="array" ref="E10">xlookup($A10,qualdata!$M$2:$M$17,(xlookup(E$1,qualdata!$N$1:$BR$1,qualdata!$N$2:$BR$17)))</f>
        <v/>
      </c>
      <c r="F10" s="48" t="str">
        <f t="array" ref="F10">xlookup($A10,qualdata!$M$2:$M$17,(xlookup(F$1,qualdata!$N$1:$BR$1,qualdata!$N$2:$BR$17)))</f>
        <v/>
      </c>
      <c r="G10" s="48" t="str">
        <f t="array" ref="G10">xlookup($A10,qualdata!$M$2:$M$17,(xlookup(G$1,qualdata!$N$1:$BR$1,qualdata!$N$2:$BR$17)))</f>
        <v/>
      </c>
      <c r="H10" s="48">
        <f t="array" ref="H10">xlookup($A10,qualdata!$M$2:$M$17,(xlookup(H$1,qualdata!$N$1:$BR$1,qualdata!$N$2:$BR$17)))</f>
        <v>0</v>
      </c>
      <c r="I10" s="48">
        <f t="array" ref="I10">xlookup($A10,qualdata!$M$2:$M$17,(xlookup(I$1,qualdata!$N$1:$BR$1,qualdata!$N$2:$BR$17)))</f>
        <v>0</v>
      </c>
      <c r="J10" s="48">
        <f t="array" ref="J10">xlookup($A10,qualdata!$M$2:$M$17,(xlookup(J$1,qualdata!$N$1:$BR$1,qualdata!$N$2:$BR$17)))</f>
        <v>0</v>
      </c>
      <c r="AC10" s="264" t="s">
        <v>379</v>
      </c>
      <c r="AD10" s="261"/>
    </row>
    <row r="11">
      <c r="A11" s="48">
        <f>qualdata!M11</f>
        <v>10</v>
      </c>
      <c r="C11" s="48" t="str">
        <f t="array" ref="C11">xlookup($A11,qualdata!$M$2:$M$17,(xlookup(C$1,qualdata!$N$1:$BR$1,qualdata!$N$2:$BR$17)))</f>
        <v>Team 10 (Group 1)</v>
      </c>
      <c r="D11" s="48">
        <f t="array" ref="D11">xlookup($A11,qualdata!$M$2:$M$17,(xlookup(D$1,qualdata!$N$1:$BR$1,qualdata!$N$2:$BR$17)))</f>
        <v>7</v>
      </c>
      <c r="E11" s="48" t="str">
        <f t="array" ref="E11">xlookup($A11,qualdata!$M$2:$M$17,(xlookup(E$1,qualdata!$N$1:$BR$1,qualdata!$N$2:$BR$17)))</f>
        <v/>
      </c>
      <c r="F11" s="48" t="str">
        <f t="array" ref="F11">xlookup($A11,qualdata!$M$2:$M$17,(xlookup(F$1,qualdata!$N$1:$BR$1,qualdata!$N$2:$BR$17)))</f>
        <v/>
      </c>
      <c r="G11" s="48" t="str">
        <f t="array" ref="G11">xlookup($A11,qualdata!$M$2:$M$17,(xlookup(G$1,qualdata!$N$1:$BR$1,qualdata!$N$2:$BR$17)))</f>
        <v/>
      </c>
      <c r="H11" s="48">
        <f t="array" ref="H11">xlookup($A11,qualdata!$M$2:$M$17,(xlookup(H$1,qualdata!$N$1:$BR$1,qualdata!$N$2:$BR$17)))</f>
        <v>0</v>
      </c>
      <c r="I11" s="48">
        <f t="array" ref="I11">xlookup($A11,qualdata!$M$2:$M$17,(xlookup(I$1,qualdata!$N$1:$BR$1,qualdata!$N$2:$BR$17)))</f>
        <v>0</v>
      </c>
      <c r="J11" s="48">
        <f t="array" ref="J11">xlookup($A11,qualdata!$M$2:$M$17,(xlookup(J$1,qualdata!$N$1:$BR$1,qualdata!$N$2:$BR$17)))</f>
        <v>0</v>
      </c>
      <c r="AC11" s="265" t="str">
        <f t="array" ref="AC11:AD18">'Choose matchups (Contender)'!Q35:R42</f>
        <v>#N/A</v>
      </c>
      <c r="AD11" s="265" t="e">
        <v>#N/A</v>
      </c>
    </row>
    <row r="12">
      <c r="A12" s="48">
        <f>qualdata!M12</f>
        <v>11</v>
      </c>
      <c r="C12" s="48" t="str">
        <f t="array" ref="C12">xlookup($A12,qualdata!$M$2:$M$17,(xlookup(C$1,qualdata!$N$1:$BR$1,qualdata!$N$2:$BR$17)))</f>
        <v>Team 11 (Group 1)</v>
      </c>
      <c r="D12" s="48">
        <f t="array" ref="D12">xlookup($A12,qualdata!$M$2:$M$17,(xlookup(D$1,qualdata!$N$1:$BR$1,qualdata!$N$2:$BR$17)))</f>
        <v>6</v>
      </c>
      <c r="E12" s="48" t="str">
        <f t="array" ref="E12">xlookup($A12,qualdata!$M$2:$M$17,(xlookup(E$1,qualdata!$N$1:$BR$1,qualdata!$N$2:$BR$17)))</f>
        <v/>
      </c>
      <c r="F12" s="48" t="str">
        <f t="array" ref="F12">xlookup($A12,qualdata!$M$2:$M$17,(xlookup(F$1,qualdata!$N$1:$BR$1,qualdata!$N$2:$BR$17)))</f>
        <v/>
      </c>
      <c r="G12" s="48" t="str">
        <f t="array" ref="G12">xlookup($A12,qualdata!$M$2:$M$17,(xlookup(G$1,qualdata!$N$1:$BR$1,qualdata!$N$2:$BR$17)))</f>
        <v/>
      </c>
      <c r="H12" s="48">
        <f t="array" ref="H12">xlookup($A12,qualdata!$M$2:$M$17,(xlookup(H$1,qualdata!$N$1:$BR$1,qualdata!$N$2:$BR$17)))</f>
        <v>0</v>
      </c>
      <c r="I12" s="48">
        <f t="array" ref="I12">xlookup($A12,qualdata!$M$2:$M$17,(xlookup(I$1,qualdata!$N$1:$BR$1,qualdata!$N$2:$BR$17)))</f>
        <v>0</v>
      </c>
      <c r="J12" s="48">
        <f t="array" ref="J12">xlookup($A12,qualdata!$M$2:$M$17,(xlookup(J$1,qualdata!$N$1:$BR$1,qualdata!$N$2:$BR$17)))</f>
        <v>0</v>
      </c>
      <c r="AC12" s="265" t="e">
        <v>#N/A</v>
      </c>
      <c r="AD12" s="265" t="e">
        <v>#N/A</v>
      </c>
    </row>
    <row r="13">
      <c r="A13" s="48">
        <f>qualdata!M13</f>
        <v>12</v>
      </c>
      <c r="C13" s="48" t="str">
        <f t="array" ref="C13">xlookup($A13,qualdata!$M$2:$M$17,(xlookup(C$1,qualdata!$N$1:$BR$1,qualdata!$N$2:$BR$17)))</f>
        <v>Team 12 (Group 1)</v>
      </c>
      <c r="D13" s="48">
        <f t="array" ref="D13">xlookup($A13,qualdata!$M$2:$M$17,(xlookup(D$1,qualdata!$N$1:$BR$1,qualdata!$N$2:$BR$17)))</f>
        <v>5</v>
      </c>
      <c r="E13" s="48" t="str">
        <f t="array" ref="E13">xlookup($A13,qualdata!$M$2:$M$17,(xlookup(E$1,qualdata!$N$1:$BR$1,qualdata!$N$2:$BR$17)))</f>
        <v/>
      </c>
      <c r="F13" s="48" t="str">
        <f t="array" ref="F13">xlookup($A13,qualdata!$M$2:$M$17,(xlookup(F$1,qualdata!$N$1:$BR$1,qualdata!$N$2:$BR$17)))</f>
        <v/>
      </c>
      <c r="G13" s="48" t="str">
        <f t="array" ref="G13">xlookup($A13,qualdata!$M$2:$M$17,(xlookup(G$1,qualdata!$N$1:$BR$1,qualdata!$N$2:$BR$17)))</f>
        <v/>
      </c>
      <c r="H13" s="48">
        <f t="array" ref="H13">xlookup($A13,qualdata!$M$2:$M$17,(xlookup(H$1,qualdata!$N$1:$BR$1,qualdata!$N$2:$BR$17)))</f>
        <v>0</v>
      </c>
      <c r="I13" s="48">
        <f t="array" ref="I13">xlookup($A13,qualdata!$M$2:$M$17,(xlookup(I$1,qualdata!$N$1:$BR$1,qualdata!$N$2:$BR$17)))</f>
        <v>0</v>
      </c>
      <c r="J13" s="48">
        <f t="array" ref="J13">xlookup($A13,qualdata!$M$2:$M$17,(xlookup(J$1,qualdata!$N$1:$BR$1,qualdata!$N$2:$BR$17)))</f>
        <v>0</v>
      </c>
      <c r="AC13" s="265" t="e">
        <v>#N/A</v>
      </c>
      <c r="AD13" s="265" t="e">
        <v>#N/A</v>
      </c>
    </row>
    <row r="14">
      <c r="A14" s="48">
        <f>qualdata!M14</f>
        <v>13</v>
      </c>
      <c r="C14" s="48" t="str">
        <f t="array" ref="C14">xlookup($A14,qualdata!$M$2:$M$17,(xlookup(C$1,qualdata!$N$1:$BR$1,qualdata!$N$2:$BR$17)))</f>
        <v>Team 13 (Group 1)</v>
      </c>
      <c r="D14" s="48">
        <f t="array" ref="D14">xlookup($A14,qualdata!$M$2:$M$17,(xlookup(D$1,qualdata!$N$1:$BR$1,qualdata!$N$2:$BR$17)))</f>
        <v>4</v>
      </c>
      <c r="E14" s="48" t="str">
        <f t="array" ref="E14">xlookup($A14,qualdata!$M$2:$M$17,(xlookup(E$1,qualdata!$N$1:$BR$1,qualdata!$N$2:$BR$17)))</f>
        <v/>
      </c>
      <c r="F14" s="48" t="str">
        <f t="array" ref="F14">xlookup($A14,qualdata!$M$2:$M$17,(xlookup(F$1,qualdata!$N$1:$BR$1,qualdata!$N$2:$BR$17)))</f>
        <v/>
      </c>
      <c r="G14" s="48" t="str">
        <f t="array" ref="G14">xlookup($A14,qualdata!$M$2:$M$17,(xlookup(G$1,qualdata!$N$1:$BR$1,qualdata!$N$2:$BR$17)))</f>
        <v/>
      </c>
      <c r="H14" s="48">
        <f t="array" ref="H14">xlookup($A14,qualdata!$M$2:$M$17,(xlookup(H$1,qualdata!$N$1:$BR$1,qualdata!$N$2:$BR$17)))</f>
        <v>0</v>
      </c>
      <c r="I14" s="48">
        <f t="array" ref="I14">xlookup($A14,qualdata!$M$2:$M$17,(xlookup(I$1,qualdata!$N$1:$BR$1,qualdata!$N$2:$BR$17)))</f>
        <v>0</v>
      </c>
      <c r="J14" s="48">
        <f t="array" ref="J14">xlookup($A14,qualdata!$M$2:$M$17,(xlookup(J$1,qualdata!$N$1:$BR$1,qualdata!$N$2:$BR$17)))</f>
        <v>0</v>
      </c>
      <c r="AC14" s="265" t="e">
        <v>#N/A</v>
      </c>
      <c r="AD14" s="265" t="e">
        <v>#N/A</v>
      </c>
    </row>
    <row r="15">
      <c r="A15" s="48">
        <f>qualdata!M15</f>
        <v>14</v>
      </c>
      <c r="C15" s="48" t="str">
        <f t="array" ref="C15">xlookup($A15,qualdata!$M$2:$M$17,(xlookup(C$1,qualdata!$N$1:$BR$1,qualdata!$N$2:$BR$17)))</f>
        <v>Team 14 (Group 1)</v>
      </c>
      <c r="D15" s="48">
        <f t="array" ref="D15">xlookup($A15,qualdata!$M$2:$M$17,(xlookup(D$1,qualdata!$N$1:$BR$1,qualdata!$N$2:$BR$17)))</f>
        <v>3</v>
      </c>
      <c r="E15" s="48" t="str">
        <f t="array" ref="E15">xlookup($A15,qualdata!$M$2:$M$17,(xlookup(E$1,qualdata!$N$1:$BR$1,qualdata!$N$2:$BR$17)))</f>
        <v/>
      </c>
      <c r="F15" s="48" t="str">
        <f t="array" ref="F15">xlookup($A15,qualdata!$M$2:$M$17,(xlookup(F$1,qualdata!$N$1:$BR$1,qualdata!$N$2:$BR$17)))</f>
        <v/>
      </c>
      <c r="G15" s="48" t="str">
        <f t="array" ref="G15">xlookup($A15,qualdata!$M$2:$M$17,(xlookup(G$1,qualdata!$N$1:$BR$1,qualdata!$N$2:$BR$17)))</f>
        <v/>
      </c>
      <c r="H15" s="48">
        <f t="array" ref="H15">xlookup($A15,qualdata!$M$2:$M$17,(xlookup(H$1,qualdata!$N$1:$BR$1,qualdata!$N$2:$BR$17)))</f>
        <v>0</v>
      </c>
      <c r="I15" s="48">
        <f t="array" ref="I15">xlookup($A15,qualdata!$M$2:$M$17,(xlookup(I$1,qualdata!$N$1:$BR$1,qualdata!$N$2:$BR$17)))</f>
        <v>0</v>
      </c>
      <c r="J15" s="48">
        <f t="array" ref="J15">xlookup($A15,qualdata!$M$2:$M$17,(xlookup(J$1,qualdata!$N$1:$BR$1,qualdata!$N$2:$BR$17)))</f>
        <v>0</v>
      </c>
      <c r="AC15" s="265" t="e">
        <v>#N/A</v>
      </c>
      <c r="AD15" s="265" t="e">
        <v>#N/A</v>
      </c>
    </row>
    <row r="16">
      <c r="A16" s="48">
        <f>qualdata!M16</f>
        <v>15</v>
      </c>
      <c r="C16" s="48" t="str">
        <f t="array" ref="C16">xlookup($A16,qualdata!$M$2:$M$17,(xlookup(C$1,qualdata!$N$1:$BR$1,qualdata!$N$2:$BR$17)))</f>
        <v>Team 15 (Group 1)</v>
      </c>
      <c r="D16" s="48">
        <f t="array" ref="D16">xlookup($A16,qualdata!$M$2:$M$17,(xlookup(D$1,qualdata!$N$1:$BR$1,qualdata!$N$2:$BR$17)))</f>
        <v>2</v>
      </c>
      <c r="E16" s="48" t="str">
        <f t="array" ref="E16">xlookup($A16,qualdata!$M$2:$M$17,(xlookup(E$1,qualdata!$N$1:$BR$1,qualdata!$N$2:$BR$17)))</f>
        <v/>
      </c>
      <c r="F16" s="48" t="str">
        <f t="array" ref="F16">xlookup($A16,qualdata!$M$2:$M$17,(xlookup(F$1,qualdata!$N$1:$BR$1,qualdata!$N$2:$BR$17)))</f>
        <v/>
      </c>
      <c r="G16" s="48" t="str">
        <f t="array" ref="G16">xlookup($A16,qualdata!$M$2:$M$17,(xlookup(G$1,qualdata!$N$1:$BR$1,qualdata!$N$2:$BR$17)))</f>
        <v/>
      </c>
      <c r="H16" s="48">
        <f t="array" ref="H16">xlookup($A16,qualdata!$M$2:$M$17,(xlookup(H$1,qualdata!$N$1:$BR$1,qualdata!$N$2:$BR$17)))</f>
        <v>0</v>
      </c>
      <c r="I16" s="48">
        <f t="array" ref="I16">xlookup($A16,qualdata!$M$2:$M$17,(xlookup(I$1,qualdata!$N$1:$BR$1,qualdata!$N$2:$BR$17)))</f>
        <v>0</v>
      </c>
      <c r="J16" s="48">
        <f t="array" ref="J16">xlookup($A16,qualdata!$M$2:$M$17,(xlookup(J$1,qualdata!$N$1:$BR$1,qualdata!$N$2:$BR$17)))</f>
        <v>0</v>
      </c>
      <c r="AC16" s="265" t="e">
        <v>#N/A</v>
      </c>
      <c r="AD16" s="265" t="e">
        <v>#N/A</v>
      </c>
    </row>
    <row r="17">
      <c r="A17" s="48">
        <f>qualdata!M17</f>
        <v>16</v>
      </c>
      <c r="C17" s="48" t="str">
        <f t="array" ref="C17">xlookup($A17,qualdata!$M$2:$M$17,(xlookup(C$1,qualdata!$N$1:$BR$1,qualdata!$N$2:$BR$17)))</f>
        <v>Team 16 (Group 1)</v>
      </c>
      <c r="D17" s="48">
        <f t="array" ref="D17">xlookup($A17,qualdata!$M$2:$M$17,(xlookup(D$1,qualdata!$N$1:$BR$1,qualdata!$N$2:$BR$17)))</f>
        <v>1</v>
      </c>
      <c r="E17" s="48" t="str">
        <f t="array" ref="E17">xlookup($A17,qualdata!$M$2:$M$17,(xlookup(E$1,qualdata!$N$1:$BR$1,qualdata!$N$2:$BR$17)))</f>
        <v/>
      </c>
      <c r="F17" s="48" t="str">
        <f t="array" ref="F17">xlookup($A17,qualdata!$M$2:$M$17,(xlookup(F$1,qualdata!$N$1:$BR$1,qualdata!$N$2:$BR$17)))</f>
        <v/>
      </c>
      <c r="G17" s="48" t="str">
        <f t="array" ref="G17">xlookup($A17,qualdata!$M$2:$M$17,(xlookup(G$1,qualdata!$N$1:$BR$1,qualdata!$N$2:$BR$17)))</f>
        <v/>
      </c>
      <c r="H17" s="48">
        <f t="array" ref="H17">xlookup($A17,qualdata!$M$2:$M$17,(xlookup(H$1,qualdata!$N$1:$BR$1,qualdata!$N$2:$BR$17)))</f>
        <v>0</v>
      </c>
      <c r="I17" s="48">
        <f t="array" ref="I17">xlookup($A17,qualdata!$M$2:$M$17,(xlookup(I$1,qualdata!$N$1:$BR$1,qualdata!$N$2:$BR$17)))</f>
        <v>0</v>
      </c>
      <c r="J17" s="48">
        <f t="array" ref="J17">xlookup($A17,qualdata!$M$2:$M$17,(xlookup(J$1,qualdata!$N$1:$BR$1,qualdata!$N$2:$BR$17)))</f>
        <v>0</v>
      </c>
      <c r="AC17" s="265" t="e">
        <v>#N/A</v>
      </c>
      <c r="AD17" s="265" t="e">
        <v>#N/A</v>
      </c>
    </row>
    <row r="18">
      <c r="A18" s="266" t="s">
        <v>380</v>
      </c>
      <c r="AC18" s="265" t="e">
        <v>#N/A</v>
      </c>
      <c r="AD18" s="265" t="e">
        <v>#N/A</v>
      </c>
    </row>
    <row r="19">
      <c r="A19" s="37" t="s">
        <v>88</v>
      </c>
      <c r="B19" s="37" t="s">
        <v>327</v>
      </c>
      <c r="C19" s="37" t="s">
        <v>326</v>
      </c>
      <c r="D19" s="37" t="s">
        <v>371</v>
      </c>
      <c r="E19" s="258" t="s">
        <v>372</v>
      </c>
      <c r="F19" s="259" t="s">
        <v>373</v>
      </c>
      <c r="G19" s="260" t="s">
        <v>374</v>
      </c>
      <c r="H19" s="261" t="s">
        <v>375</v>
      </c>
      <c r="I19" s="262" t="s">
        <v>376</v>
      </c>
      <c r="J19" s="263" t="s">
        <v>377</v>
      </c>
      <c r="K19" s="47" t="s">
        <v>381</v>
      </c>
      <c r="AC19" s="261"/>
      <c r="AD19" s="261"/>
    </row>
    <row r="20">
      <c r="A20" s="48" t="str">
        <f>IFERROR(__xludf.DUMMYFUNCTION("sort(filter($A$2:$J$17,$G$2:$G$17=""W""),8,false,10,false)"),"#N/A")</f>
        <v>#N/A</v>
      </c>
      <c r="K20" s="48" t="str">
        <f>A27</f>
        <v/>
      </c>
      <c r="AC20" s="261"/>
      <c r="AD20" s="261"/>
    </row>
    <row r="21">
      <c r="K21" s="48" t="str">
        <f>A26</f>
        <v/>
      </c>
      <c r="AC21" s="261"/>
      <c r="AD21" s="261"/>
    </row>
    <row r="22">
      <c r="K22" s="48" t="str">
        <f>A25</f>
        <v/>
      </c>
      <c r="AC22" s="261"/>
      <c r="AD22" s="261"/>
    </row>
    <row r="23">
      <c r="K23" s="48" t="str">
        <f>A24</f>
        <v/>
      </c>
      <c r="AC23" s="261"/>
      <c r="AD23" s="261"/>
    </row>
    <row r="24">
      <c r="K24" s="48" t="str">
        <f>A23</f>
        <v/>
      </c>
      <c r="AC24" s="261"/>
      <c r="AD24" s="261"/>
    </row>
    <row r="25">
      <c r="K25" s="48" t="str">
        <f>A22</f>
        <v/>
      </c>
      <c r="AC25" s="261"/>
      <c r="AD25" s="261"/>
    </row>
    <row r="26">
      <c r="K26" s="48" t="str">
        <f>A21</f>
        <v/>
      </c>
      <c r="AC26" s="261"/>
      <c r="AD26" s="261"/>
    </row>
    <row r="27">
      <c r="K27" s="48" t="str">
        <f>A20</f>
        <v>#N/A</v>
      </c>
      <c r="AC27" s="261"/>
      <c r="AD27" s="261"/>
    </row>
    <row r="28">
      <c r="A28" s="266" t="s">
        <v>382</v>
      </c>
      <c r="AC28" s="261"/>
      <c r="AD28" s="261"/>
    </row>
    <row r="29">
      <c r="A29" s="48" t="str">
        <f>IFERROR(__xludf.DUMMYFUNCTION("sort(filter($A$2:$J$17,$G$2:$G$17=""L""),8,false,10,false)"),"#N/A")</f>
        <v>#N/A</v>
      </c>
      <c r="K29" s="48" t="str">
        <f>A36</f>
        <v/>
      </c>
      <c r="AC29" s="261"/>
      <c r="AD29" s="261"/>
    </row>
    <row r="30">
      <c r="K30" s="48" t="str">
        <f>A35</f>
        <v/>
      </c>
      <c r="AC30" s="261"/>
      <c r="AD30" s="261"/>
    </row>
    <row r="31">
      <c r="K31" s="48" t="str">
        <f>A34</f>
        <v/>
      </c>
      <c r="AC31" s="261"/>
      <c r="AD31" s="261"/>
    </row>
    <row r="32">
      <c r="K32" s="48" t="str">
        <f>A33</f>
        <v/>
      </c>
      <c r="AC32" s="261"/>
      <c r="AD32" s="261"/>
    </row>
    <row r="33">
      <c r="K33" s="48" t="str">
        <f>A32</f>
        <v/>
      </c>
      <c r="AC33" s="261"/>
      <c r="AD33" s="261"/>
    </row>
    <row r="34">
      <c r="K34" s="48" t="str">
        <f>A31</f>
        <v/>
      </c>
      <c r="AC34" s="261"/>
      <c r="AD34" s="261"/>
    </row>
    <row r="35">
      <c r="K35" s="48" t="str">
        <f>A30</f>
        <v/>
      </c>
      <c r="AC35" s="261"/>
      <c r="AD35" s="261"/>
    </row>
    <row r="36">
      <c r="K36" s="48" t="str">
        <f>A29</f>
        <v>#N/A</v>
      </c>
      <c r="AC36" s="261"/>
      <c r="AD36" s="261"/>
    </row>
    <row r="37">
      <c r="AC37" s="261"/>
      <c r="AD37" s="261"/>
    </row>
    <row r="38">
      <c r="AC38" s="261"/>
      <c r="AD38" s="261"/>
    </row>
    <row r="39">
      <c r="A39" s="37" t="s">
        <v>88</v>
      </c>
      <c r="B39" s="37" t="s">
        <v>327</v>
      </c>
      <c r="C39" s="37" t="s">
        <v>326</v>
      </c>
      <c r="D39" s="37" t="s">
        <v>371</v>
      </c>
      <c r="E39" s="37" t="s">
        <v>381</v>
      </c>
      <c r="F39" s="260" t="s">
        <v>383</v>
      </c>
      <c r="G39" s="261" t="s">
        <v>384</v>
      </c>
      <c r="H39" s="262" t="s">
        <v>385</v>
      </c>
      <c r="I39" s="267" t="s">
        <v>386</v>
      </c>
      <c r="J39" s="263" t="s">
        <v>387</v>
      </c>
      <c r="AC39" s="261"/>
      <c r="AD39" s="261"/>
    </row>
    <row r="40">
      <c r="A40" s="48">
        <f>qualdata!M2</f>
        <v>1</v>
      </c>
      <c r="C40" s="48" t="str">
        <f t="array" ref="C40">xlookup($A40,qualdata!$M$2:$M$17,(xlookup(C$39,qualdata!$N$1:$BR$1,qualdata!$N$2:$BR$17)))</f>
        <v>Team 1 (Group 1)</v>
      </c>
      <c r="D40" s="48">
        <f t="array" ref="D40">xlookup($A40,qualdata!$M$2:$M$17,(xlookup(D$39,qualdata!$N$1:$BR$1,qualdata!$N$2:$BR$17)))</f>
        <v>16</v>
      </c>
      <c r="E40" s="48" t="str">
        <f t="array" ref="E40">xlookup($A40,qualdata!$M$2:$M$17,(xlookup(E$39,qualdata!$N$1:$BR$1,qualdata!$N$2:$BR$17)))</f>
        <v/>
      </c>
      <c r="F40" s="48" t="str">
        <f t="array" ref="F40">xlookup($A40,qualdata!$M$2:$M$17,(xlookup(F$39,qualdata!$N$1:$BR$1,qualdata!$N$2:$BR$17)))</f>
        <v/>
      </c>
      <c r="G40" s="48">
        <f t="array" ref="G40">xlookup($A40,qualdata!$M$2:$M$17,(xlookup(G$39,qualdata!$N$1:$BR$1,qualdata!$N$2:$BR$17)))</f>
        <v>0</v>
      </c>
      <c r="H40" s="48">
        <f t="array" ref="H40">xlookup($A40,qualdata!$M$2:$M$17,(xlookup(H$39,qualdata!$N$1:$BR$1,qualdata!$N$2:$BR$17)))</f>
        <v>0</v>
      </c>
      <c r="I40" s="48">
        <f t="array" ref="I40">xlookup($A40,qualdata!$M$2:$M$17,(xlookup(I$39,qualdata!$N$1:$BR$1,qualdata!$N$2:$BR$17)))</f>
        <v>0</v>
      </c>
      <c r="J40" s="48">
        <f t="array" ref="J40">xlookup($A40,qualdata!$M$2:$M$17,(xlookup(J$39,qualdata!$N$1:$BR$1,qualdata!$N$2:$BR$17)))</f>
        <v>0</v>
      </c>
      <c r="AC40" s="261"/>
      <c r="AD40" s="261"/>
    </row>
    <row r="41">
      <c r="A41" s="48">
        <f>qualdata!M3</f>
        <v>2</v>
      </c>
      <c r="C41" s="48" t="str">
        <f t="array" ref="C41">xlookup($A41,qualdata!$M$2:$M$17,(xlookup(C$39,qualdata!$N$1:$BR$1,qualdata!$N$2:$BR$17)))</f>
        <v>Team 2 (Group 1)</v>
      </c>
      <c r="D41" s="48">
        <f t="array" ref="D41">xlookup($A41,qualdata!$M$2:$M$17,(xlookup(D$39,qualdata!$N$1:$BR$1,qualdata!$N$2:$BR$17)))</f>
        <v>15</v>
      </c>
      <c r="E41" s="48" t="str">
        <f t="array" ref="E41">xlookup($A41,qualdata!$M$2:$M$17,(xlookup(E$39,qualdata!$N$1:$BR$1,qualdata!$N$2:$BR$17)))</f>
        <v/>
      </c>
      <c r="F41" s="48" t="str">
        <f t="array" ref="F41">xlookup($A41,qualdata!$M$2:$M$17,(xlookup(F$39,qualdata!$N$1:$BR$1,qualdata!$N$2:$BR$17)))</f>
        <v/>
      </c>
      <c r="G41" s="48">
        <f t="array" ref="G41">xlookup($A41,qualdata!$M$2:$M$17,(xlookup(G$39,qualdata!$N$1:$BR$1,qualdata!$N$2:$BR$17)))</f>
        <v>0</v>
      </c>
      <c r="H41" s="48">
        <f t="array" ref="H41">xlookup($A41,qualdata!$M$2:$M$17,(xlookup(H$39,qualdata!$N$1:$BR$1,qualdata!$N$2:$BR$17)))</f>
        <v>0</v>
      </c>
      <c r="I41" s="48">
        <f t="array" ref="I41">xlookup($A41,qualdata!$M$2:$M$17,(xlookup(I$39,qualdata!$N$1:$BR$1,qualdata!$N$2:$BR$17)))</f>
        <v>0</v>
      </c>
      <c r="J41" s="48">
        <f t="array" ref="J41">xlookup($A41,qualdata!$M$2:$M$17,(xlookup(J$39,qualdata!$N$1:$BR$1,qualdata!$N$2:$BR$17)))</f>
        <v>0</v>
      </c>
      <c r="AC41" s="261"/>
      <c r="AD41" s="261"/>
    </row>
    <row r="42">
      <c r="A42" s="48">
        <f>qualdata!M4</f>
        <v>3</v>
      </c>
      <c r="C42" s="48" t="str">
        <f t="array" ref="C42">xlookup($A42,qualdata!$M$2:$M$17,(xlookup(C$39,qualdata!$N$1:$BR$1,qualdata!$N$2:$BR$17)))</f>
        <v>Team 3 (Group 1)</v>
      </c>
      <c r="D42" s="48">
        <f t="array" ref="D42">xlookup($A42,qualdata!$M$2:$M$17,(xlookup(D$39,qualdata!$N$1:$BR$1,qualdata!$N$2:$BR$17)))</f>
        <v>14</v>
      </c>
      <c r="E42" s="48" t="str">
        <f t="array" ref="E42">xlookup($A42,qualdata!$M$2:$M$17,(xlookup(E$39,qualdata!$N$1:$BR$1,qualdata!$N$2:$BR$17)))</f>
        <v/>
      </c>
      <c r="F42" s="48" t="str">
        <f t="array" ref="F42">xlookup($A42,qualdata!$M$2:$M$17,(xlookup(F$39,qualdata!$N$1:$BR$1,qualdata!$N$2:$BR$17)))</f>
        <v/>
      </c>
      <c r="G42" s="48">
        <f t="array" ref="G42">xlookup($A42,qualdata!$M$2:$M$17,(xlookup(G$39,qualdata!$N$1:$BR$1,qualdata!$N$2:$BR$17)))</f>
        <v>0</v>
      </c>
      <c r="H42" s="48">
        <f t="array" ref="H42">xlookup($A42,qualdata!$M$2:$M$17,(xlookup(H$39,qualdata!$N$1:$BR$1,qualdata!$N$2:$BR$17)))</f>
        <v>0</v>
      </c>
      <c r="I42" s="48">
        <f t="array" ref="I42">xlookup($A42,qualdata!$M$2:$M$17,(xlookup(I$39,qualdata!$N$1:$BR$1,qualdata!$N$2:$BR$17)))</f>
        <v>0</v>
      </c>
      <c r="J42" s="48">
        <f t="array" ref="J42">xlookup($A42,qualdata!$M$2:$M$17,(xlookup(J$39,qualdata!$N$1:$BR$1,qualdata!$N$2:$BR$17)))</f>
        <v>0</v>
      </c>
      <c r="AC42" s="261"/>
      <c r="AD42" s="261"/>
    </row>
    <row r="43">
      <c r="A43" s="48">
        <f>qualdata!M5</f>
        <v>4</v>
      </c>
      <c r="C43" s="48" t="str">
        <f t="array" ref="C43">xlookup($A43,qualdata!$M$2:$M$17,(xlookup(C$39,qualdata!$N$1:$BR$1,qualdata!$N$2:$BR$17)))</f>
        <v>Team 4 (Group 1)</v>
      </c>
      <c r="D43" s="48">
        <f t="array" ref="D43">xlookup($A43,qualdata!$M$2:$M$17,(xlookup(D$39,qualdata!$N$1:$BR$1,qualdata!$N$2:$BR$17)))</f>
        <v>13</v>
      </c>
      <c r="E43" s="48" t="str">
        <f t="array" ref="E43">xlookup($A43,qualdata!$M$2:$M$17,(xlookup(E$39,qualdata!$N$1:$BR$1,qualdata!$N$2:$BR$17)))</f>
        <v/>
      </c>
      <c r="F43" s="48" t="str">
        <f t="array" ref="F43">xlookup($A43,qualdata!$M$2:$M$17,(xlookup(F$39,qualdata!$N$1:$BR$1,qualdata!$N$2:$BR$17)))</f>
        <v/>
      </c>
      <c r="G43" s="48">
        <f t="array" ref="G43">xlookup($A43,qualdata!$M$2:$M$17,(xlookup(G$39,qualdata!$N$1:$BR$1,qualdata!$N$2:$BR$17)))</f>
        <v>0</v>
      </c>
      <c r="H43" s="48">
        <f t="array" ref="H43">xlookup($A43,qualdata!$M$2:$M$17,(xlookup(H$39,qualdata!$N$1:$BR$1,qualdata!$N$2:$BR$17)))</f>
        <v>0</v>
      </c>
      <c r="I43" s="48">
        <f t="array" ref="I43">xlookup($A43,qualdata!$M$2:$M$17,(xlookup(I$39,qualdata!$N$1:$BR$1,qualdata!$N$2:$BR$17)))</f>
        <v>0</v>
      </c>
      <c r="J43" s="48">
        <f t="array" ref="J43">xlookup($A43,qualdata!$M$2:$M$17,(xlookup(J$39,qualdata!$N$1:$BR$1,qualdata!$N$2:$BR$17)))</f>
        <v>0</v>
      </c>
      <c r="AC43" s="261"/>
      <c r="AD43" s="261"/>
    </row>
    <row r="44">
      <c r="A44" s="48">
        <f>qualdata!M6</f>
        <v>5</v>
      </c>
      <c r="C44" s="48" t="str">
        <f t="array" ref="C44">xlookup($A44,qualdata!$M$2:$M$17,(xlookup(C$39,qualdata!$N$1:$BR$1,qualdata!$N$2:$BR$17)))</f>
        <v>Team 5 (Group 1)</v>
      </c>
      <c r="D44" s="48">
        <f t="array" ref="D44">xlookup($A44,qualdata!$M$2:$M$17,(xlookup(D$39,qualdata!$N$1:$BR$1,qualdata!$N$2:$BR$17)))</f>
        <v>12</v>
      </c>
      <c r="E44" s="48" t="str">
        <f t="array" ref="E44">xlookup($A44,qualdata!$M$2:$M$17,(xlookup(E$39,qualdata!$N$1:$BR$1,qualdata!$N$2:$BR$17)))</f>
        <v/>
      </c>
      <c r="F44" s="48" t="str">
        <f t="array" ref="F44">xlookup($A44,qualdata!$M$2:$M$17,(xlookup(F$39,qualdata!$N$1:$BR$1,qualdata!$N$2:$BR$17)))</f>
        <v/>
      </c>
      <c r="G44" s="48">
        <f t="array" ref="G44">xlookup($A44,qualdata!$M$2:$M$17,(xlookup(G$39,qualdata!$N$1:$BR$1,qualdata!$N$2:$BR$17)))</f>
        <v>0</v>
      </c>
      <c r="H44" s="48">
        <f t="array" ref="H44">xlookup($A44,qualdata!$M$2:$M$17,(xlookup(H$39,qualdata!$N$1:$BR$1,qualdata!$N$2:$BR$17)))</f>
        <v>0</v>
      </c>
      <c r="I44" s="48">
        <f t="array" ref="I44">xlookup($A44,qualdata!$M$2:$M$17,(xlookup(I$39,qualdata!$N$1:$BR$1,qualdata!$N$2:$BR$17)))</f>
        <v>0</v>
      </c>
      <c r="J44" s="48">
        <f t="array" ref="J44">xlookup($A44,qualdata!$M$2:$M$17,(xlookup(J$39,qualdata!$N$1:$BR$1,qualdata!$N$2:$BR$17)))</f>
        <v>0</v>
      </c>
      <c r="AC44" s="261"/>
      <c r="AD44" s="261"/>
    </row>
    <row r="45">
      <c r="A45" s="48">
        <f>qualdata!M7</f>
        <v>6</v>
      </c>
      <c r="C45" s="48" t="str">
        <f t="array" ref="C45">xlookup($A45,qualdata!$M$2:$M$17,(xlookup(C$39,qualdata!$N$1:$BR$1,qualdata!$N$2:$BR$17)))</f>
        <v>Team 6 (Group 1)</v>
      </c>
      <c r="D45" s="48">
        <f t="array" ref="D45">xlookup($A45,qualdata!$M$2:$M$17,(xlookup(D$39,qualdata!$N$1:$BR$1,qualdata!$N$2:$BR$17)))</f>
        <v>11</v>
      </c>
      <c r="E45" s="48" t="str">
        <f t="array" ref="E45">xlookup($A45,qualdata!$M$2:$M$17,(xlookup(E$39,qualdata!$N$1:$BR$1,qualdata!$N$2:$BR$17)))</f>
        <v/>
      </c>
      <c r="F45" s="48" t="str">
        <f t="array" ref="F45">xlookup($A45,qualdata!$M$2:$M$17,(xlookup(F$39,qualdata!$N$1:$BR$1,qualdata!$N$2:$BR$17)))</f>
        <v/>
      </c>
      <c r="G45" s="48">
        <f t="array" ref="G45">xlookup($A45,qualdata!$M$2:$M$17,(xlookup(G$39,qualdata!$N$1:$BR$1,qualdata!$N$2:$BR$17)))</f>
        <v>0</v>
      </c>
      <c r="H45" s="48">
        <f t="array" ref="H45">xlookup($A45,qualdata!$M$2:$M$17,(xlookup(H$39,qualdata!$N$1:$BR$1,qualdata!$N$2:$BR$17)))</f>
        <v>0</v>
      </c>
      <c r="I45" s="48">
        <f t="array" ref="I45">xlookup($A45,qualdata!$M$2:$M$17,(xlookup(I$39,qualdata!$N$1:$BR$1,qualdata!$N$2:$BR$17)))</f>
        <v>0</v>
      </c>
      <c r="J45" s="48">
        <f t="array" ref="J45">xlookup($A45,qualdata!$M$2:$M$17,(xlookup(J$39,qualdata!$N$1:$BR$1,qualdata!$N$2:$BR$17)))</f>
        <v>0</v>
      </c>
      <c r="AC45" s="261"/>
      <c r="AD45" s="261"/>
    </row>
    <row r="46">
      <c r="A46" s="48">
        <f>qualdata!M8</f>
        <v>7</v>
      </c>
      <c r="C46" s="48" t="str">
        <f t="array" ref="C46">xlookup($A46,qualdata!$M$2:$M$17,(xlookup(C$39,qualdata!$N$1:$BR$1,qualdata!$N$2:$BR$17)))</f>
        <v>Team 7 (Group 1)</v>
      </c>
      <c r="D46" s="48">
        <f t="array" ref="D46">xlookup($A46,qualdata!$M$2:$M$17,(xlookup(D$39,qualdata!$N$1:$BR$1,qualdata!$N$2:$BR$17)))</f>
        <v>10</v>
      </c>
      <c r="E46" s="48" t="str">
        <f t="array" ref="E46">xlookup($A46,qualdata!$M$2:$M$17,(xlookup(E$39,qualdata!$N$1:$BR$1,qualdata!$N$2:$BR$17)))</f>
        <v/>
      </c>
      <c r="F46" s="48" t="str">
        <f t="array" ref="F46">xlookup($A46,qualdata!$M$2:$M$17,(xlookup(F$39,qualdata!$N$1:$BR$1,qualdata!$N$2:$BR$17)))</f>
        <v/>
      </c>
      <c r="G46" s="48">
        <f t="array" ref="G46">xlookup($A46,qualdata!$M$2:$M$17,(xlookup(G$39,qualdata!$N$1:$BR$1,qualdata!$N$2:$BR$17)))</f>
        <v>0</v>
      </c>
      <c r="H46" s="48">
        <f t="array" ref="H46">xlookup($A46,qualdata!$M$2:$M$17,(xlookup(H$39,qualdata!$N$1:$BR$1,qualdata!$N$2:$BR$17)))</f>
        <v>0</v>
      </c>
      <c r="I46" s="48">
        <f t="array" ref="I46">xlookup($A46,qualdata!$M$2:$M$17,(xlookup(I$39,qualdata!$N$1:$BR$1,qualdata!$N$2:$BR$17)))</f>
        <v>0</v>
      </c>
      <c r="J46" s="48">
        <f t="array" ref="J46">xlookup($A46,qualdata!$M$2:$M$17,(xlookup(J$39,qualdata!$N$1:$BR$1,qualdata!$N$2:$BR$17)))</f>
        <v>0</v>
      </c>
      <c r="AC46" s="261"/>
      <c r="AD46" s="261"/>
    </row>
    <row r="47">
      <c r="A47" s="48">
        <f>qualdata!M9</f>
        <v>8</v>
      </c>
      <c r="C47" s="48" t="str">
        <f t="array" ref="C47">xlookup($A47,qualdata!$M$2:$M$17,(xlookup(C$39,qualdata!$N$1:$BR$1,qualdata!$N$2:$BR$17)))</f>
        <v>Team 8 (Group 1)</v>
      </c>
      <c r="D47" s="48">
        <f t="array" ref="D47">xlookup($A47,qualdata!$M$2:$M$17,(xlookup(D$39,qualdata!$N$1:$BR$1,qualdata!$N$2:$BR$17)))</f>
        <v>9</v>
      </c>
      <c r="E47" s="48" t="str">
        <f t="array" ref="E47">xlookup($A47,qualdata!$M$2:$M$17,(xlookup(E$39,qualdata!$N$1:$BR$1,qualdata!$N$2:$BR$17)))</f>
        <v/>
      </c>
      <c r="F47" s="48" t="str">
        <f t="array" ref="F47">xlookup($A47,qualdata!$M$2:$M$17,(xlookup(F$39,qualdata!$N$1:$BR$1,qualdata!$N$2:$BR$17)))</f>
        <v/>
      </c>
      <c r="G47" s="48">
        <f t="array" ref="G47">xlookup($A47,qualdata!$M$2:$M$17,(xlookup(G$39,qualdata!$N$1:$BR$1,qualdata!$N$2:$BR$17)))</f>
        <v>0</v>
      </c>
      <c r="H47" s="48">
        <f t="array" ref="H47">xlookup($A47,qualdata!$M$2:$M$17,(xlookup(H$39,qualdata!$N$1:$BR$1,qualdata!$N$2:$BR$17)))</f>
        <v>0</v>
      </c>
      <c r="I47" s="48">
        <f t="array" ref="I47">xlookup($A47,qualdata!$M$2:$M$17,(xlookup(I$39,qualdata!$N$1:$BR$1,qualdata!$N$2:$BR$17)))</f>
        <v>0</v>
      </c>
      <c r="J47" s="48">
        <f t="array" ref="J47">xlookup($A47,qualdata!$M$2:$M$17,(xlookup(J$39,qualdata!$N$1:$BR$1,qualdata!$N$2:$BR$17)))</f>
        <v>0</v>
      </c>
      <c r="AC47" s="261"/>
      <c r="AD47" s="261"/>
    </row>
    <row r="48">
      <c r="A48" s="48">
        <f>qualdata!M10</f>
        <v>9</v>
      </c>
      <c r="C48" s="48" t="str">
        <f t="array" ref="C48">xlookup($A48,qualdata!$M$2:$M$17,(xlookup(C$39,qualdata!$N$1:$BR$1,qualdata!$N$2:$BR$17)))</f>
        <v>Team 9 (Group 1)</v>
      </c>
      <c r="D48" s="48">
        <f t="array" ref="D48">xlookup($A48,qualdata!$M$2:$M$17,(xlookup(D$39,qualdata!$N$1:$BR$1,qualdata!$N$2:$BR$17)))</f>
        <v>8</v>
      </c>
      <c r="E48" s="48" t="str">
        <f t="array" ref="E48">xlookup($A48,qualdata!$M$2:$M$17,(xlookup(E$39,qualdata!$N$1:$BR$1,qualdata!$N$2:$BR$17)))</f>
        <v/>
      </c>
      <c r="F48" s="48" t="str">
        <f t="array" ref="F48">xlookup($A48,qualdata!$M$2:$M$17,(xlookup(F$39,qualdata!$N$1:$BR$1,qualdata!$N$2:$BR$17)))</f>
        <v/>
      </c>
      <c r="G48" s="48">
        <f t="array" ref="G48">xlookup($A48,qualdata!$M$2:$M$17,(xlookup(G$39,qualdata!$N$1:$BR$1,qualdata!$N$2:$BR$17)))</f>
        <v>0</v>
      </c>
      <c r="H48" s="48">
        <f t="array" ref="H48">xlookup($A48,qualdata!$M$2:$M$17,(xlookup(H$39,qualdata!$N$1:$BR$1,qualdata!$N$2:$BR$17)))</f>
        <v>0</v>
      </c>
      <c r="I48" s="48">
        <f t="array" ref="I48">xlookup($A48,qualdata!$M$2:$M$17,(xlookup(I$39,qualdata!$N$1:$BR$1,qualdata!$N$2:$BR$17)))</f>
        <v>0</v>
      </c>
      <c r="J48" s="48">
        <f t="array" ref="J48">xlookup($A48,qualdata!$M$2:$M$17,(xlookup(J$39,qualdata!$N$1:$BR$1,qualdata!$N$2:$BR$17)))</f>
        <v>0</v>
      </c>
      <c r="AC48" s="261"/>
      <c r="AD48" s="261"/>
    </row>
    <row r="49">
      <c r="A49" s="48">
        <f>qualdata!M11</f>
        <v>10</v>
      </c>
      <c r="C49" s="48" t="str">
        <f t="array" ref="C49">xlookup($A49,qualdata!$M$2:$M$17,(xlookup(C$39,qualdata!$N$1:$BR$1,qualdata!$N$2:$BR$17)))</f>
        <v>Team 10 (Group 1)</v>
      </c>
      <c r="D49" s="48">
        <f t="array" ref="D49">xlookup($A49,qualdata!$M$2:$M$17,(xlookup(D$39,qualdata!$N$1:$BR$1,qualdata!$N$2:$BR$17)))</f>
        <v>7</v>
      </c>
      <c r="E49" s="48" t="str">
        <f t="array" ref="E49">xlookup($A49,qualdata!$M$2:$M$17,(xlookup(E$39,qualdata!$N$1:$BR$1,qualdata!$N$2:$BR$17)))</f>
        <v/>
      </c>
      <c r="F49" s="48" t="str">
        <f t="array" ref="F49">xlookup($A49,qualdata!$M$2:$M$17,(xlookup(F$39,qualdata!$N$1:$BR$1,qualdata!$N$2:$BR$17)))</f>
        <v/>
      </c>
      <c r="G49" s="48">
        <f t="array" ref="G49">xlookup($A49,qualdata!$M$2:$M$17,(xlookup(G$39,qualdata!$N$1:$BR$1,qualdata!$N$2:$BR$17)))</f>
        <v>0</v>
      </c>
      <c r="H49" s="48">
        <f t="array" ref="H49">xlookup($A49,qualdata!$M$2:$M$17,(xlookup(H$39,qualdata!$N$1:$BR$1,qualdata!$N$2:$BR$17)))</f>
        <v>0</v>
      </c>
      <c r="I49" s="48">
        <f t="array" ref="I49">xlookup($A49,qualdata!$M$2:$M$17,(xlookup(I$39,qualdata!$N$1:$BR$1,qualdata!$N$2:$BR$17)))</f>
        <v>0</v>
      </c>
      <c r="J49" s="48">
        <f t="array" ref="J49">xlookup($A49,qualdata!$M$2:$M$17,(xlookup(J$39,qualdata!$N$1:$BR$1,qualdata!$N$2:$BR$17)))</f>
        <v>0</v>
      </c>
      <c r="AC49" s="261"/>
      <c r="AD49" s="261"/>
    </row>
    <row r="50">
      <c r="A50" s="48">
        <f>qualdata!M12</f>
        <v>11</v>
      </c>
      <c r="C50" s="48" t="str">
        <f t="array" ref="C50">xlookup($A50,qualdata!$M$2:$M$17,(xlookup(C$39,qualdata!$N$1:$BR$1,qualdata!$N$2:$BR$17)))</f>
        <v>Team 11 (Group 1)</v>
      </c>
      <c r="D50" s="48">
        <f t="array" ref="D50">xlookup($A50,qualdata!$M$2:$M$17,(xlookup(D$39,qualdata!$N$1:$BR$1,qualdata!$N$2:$BR$17)))</f>
        <v>6</v>
      </c>
      <c r="E50" s="48" t="str">
        <f t="array" ref="E50">xlookup($A50,qualdata!$M$2:$M$17,(xlookup(E$39,qualdata!$N$1:$BR$1,qualdata!$N$2:$BR$17)))</f>
        <v/>
      </c>
      <c r="F50" s="48" t="str">
        <f t="array" ref="F50">xlookup($A50,qualdata!$M$2:$M$17,(xlookup(F$39,qualdata!$N$1:$BR$1,qualdata!$N$2:$BR$17)))</f>
        <v/>
      </c>
      <c r="G50" s="48">
        <f t="array" ref="G50">xlookup($A50,qualdata!$M$2:$M$17,(xlookup(G$39,qualdata!$N$1:$BR$1,qualdata!$N$2:$BR$17)))</f>
        <v>0</v>
      </c>
      <c r="H50" s="48">
        <f t="array" ref="H50">xlookup($A50,qualdata!$M$2:$M$17,(xlookup(H$39,qualdata!$N$1:$BR$1,qualdata!$N$2:$BR$17)))</f>
        <v>0</v>
      </c>
      <c r="I50" s="48">
        <f t="array" ref="I50">xlookup($A50,qualdata!$M$2:$M$17,(xlookup(I$39,qualdata!$N$1:$BR$1,qualdata!$N$2:$BR$17)))</f>
        <v>0</v>
      </c>
      <c r="J50" s="48">
        <f t="array" ref="J50">xlookup($A50,qualdata!$M$2:$M$17,(xlookup(J$39,qualdata!$N$1:$BR$1,qualdata!$N$2:$BR$17)))</f>
        <v>0</v>
      </c>
      <c r="AC50" s="261"/>
      <c r="AD50" s="261"/>
    </row>
    <row r="51">
      <c r="A51" s="48">
        <f>qualdata!M13</f>
        <v>12</v>
      </c>
      <c r="C51" s="48" t="str">
        <f t="array" ref="C51">xlookup($A51,qualdata!$M$2:$M$17,(xlookup(C$39,qualdata!$N$1:$BR$1,qualdata!$N$2:$BR$17)))</f>
        <v>Team 12 (Group 1)</v>
      </c>
      <c r="D51" s="48">
        <f t="array" ref="D51">xlookup($A51,qualdata!$M$2:$M$17,(xlookup(D$39,qualdata!$N$1:$BR$1,qualdata!$N$2:$BR$17)))</f>
        <v>5</v>
      </c>
      <c r="E51" s="48" t="str">
        <f t="array" ref="E51">xlookup($A51,qualdata!$M$2:$M$17,(xlookup(E$39,qualdata!$N$1:$BR$1,qualdata!$N$2:$BR$17)))</f>
        <v/>
      </c>
      <c r="F51" s="48" t="str">
        <f t="array" ref="F51">xlookup($A51,qualdata!$M$2:$M$17,(xlookup(F$39,qualdata!$N$1:$BR$1,qualdata!$N$2:$BR$17)))</f>
        <v/>
      </c>
      <c r="G51" s="48">
        <f t="array" ref="G51">xlookup($A51,qualdata!$M$2:$M$17,(xlookup(G$39,qualdata!$N$1:$BR$1,qualdata!$N$2:$BR$17)))</f>
        <v>0</v>
      </c>
      <c r="H51" s="48">
        <f t="array" ref="H51">xlookup($A51,qualdata!$M$2:$M$17,(xlookup(H$39,qualdata!$N$1:$BR$1,qualdata!$N$2:$BR$17)))</f>
        <v>0</v>
      </c>
      <c r="I51" s="48">
        <f t="array" ref="I51">xlookup($A51,qualdata!$M$2:$M$17,(xlookup(I$39,qualdata!$N$1:$BR$1,qualdata!$N$2:$BR$17)))</f>
        <v>0</v>
      </c>
      <c r="J51" s="48">
        <f t="array" ref="J51">xlookup($A51,qualdata!$M$2:$M$17,(xlookup(J$39,qualdata!$N$1:$BR$1,qualdata!$N$2:$BR$17)))</f>
        <v>0</v>
      </c>
      <c r="AC51" s="261"/>
      <c r="AD51" s="261"/>
    </row>
    <row r="52">
      <c r="A52" s="48">
        <f>qualdata!M14</f>
        <v>13</v>
      </c>
      <c r="C52" s="48" t="str">
        <f t="array" ref="C52">xlookup($A52,qualdata!$M$2:$M$17,(xlookup(C$39,qualdata!$N$1:$BR$1,qualdata!$N$2:$BR$17)))</f>
        <v>Team 13 (Group 1)</v>
      </c>
      <c r="D52" s="48">
        <f t="array" ref="D52">xlookup($A52,qualdata!$M$2:$M$17,(xlookup(D$39,qualdata!$N$1:$BR$1,qualdata!$N$2:$BR$17)))</f>
        <v>4</v>
      </c>
      <c r="E52" s="48" t="str">
        <f t="array" ref="E52">xlookup($A52,qualdata!$M$2:$M$17,(xlookup(E$39,qualdata!$N$1:$BR$1,qualdata!$N$2:$BR$17)))</f>
        <v/>
      </c>
      <c r="F52" s="48" t="str">
        <f t="array" ref="F52">xlookup($A52,qualdata!$M$2:$M$17,(xlookup(F$39,qualdata!$N$1:$BR$1,qualdata!$N$2:$BR$17)))</f>
        <v/>
      </c>
      <c r="G52" s="48">
        <f t="array" ref="G52">xlookup($A52,qualdata!$M$2:$M$17,(xlookup(G$39,qualdata!$N$1:$BR$1,qualdata!$N$2:$BR$17)))</f>
        <v>0</v>
      </c>
      <c r="H52" s="48">
        <f t="array" ref="H52">xlookup($A52,qualdata!$M$2:$M$17,(xlookup(H$39,qualdata!$N$1:$BR$1,qualdata!$N$2:$BR$17)))</f>
        <v>0</v>
      </c>
      <c r="I52" s="48">
        <f t="array" ref="I52">xlookup($A52,qualdata!$M$2:$M$17,(xlookup(I$39,qualdata!$N$1:$BR$1,qualdata!$N$2:$BR$17)))</f>
        <v>0</v>
      </c>
      <c r="J52" s="48">
        <f t="array" ref="J52">xlookup($A52,qualdata!$M$2:$M$17,(xlookup(J$39,qualdata!$N$1:$BR$1,qualdata!$N$2:$BR$17)))</f>
        <v>0</v>
      </c>
      <c r="AC52" s="261"/>
      <c r="AD52" s="261"/>
    </row>
    <row r="53">
      <c r="A53" s="48">
        <f>qualdata!M15</f>
        <v>14</v>
      </c>
      <c r="C53" s="48" t="str">
        <f t="array" ref="C53">xlookup($A53,qualdata!$M$2:$M$17,(xlookup(C$39,qualdata!$N$1:$BR$1,qualdata!$N$2:$BR$17)))</f>
        <v>Team 14 (Group 1)</v>
      </c>
      <c r="D53" s="48">
        <f t="array" ref="D53">xlookup($A53,qualdata!$M$2:$M$17,(xlookup(D$39,qualdata!$N$1:$BR$1,qualdata!$N$2:$BR$17)))</f>
        <v>3</v>
      </c>
      <c r="E53" s="48" t="str">
        <f t="array" ref="E53">xlookup($A53,qualdata!$M$2:$M$17,(xlookup(E$39,qualdata!$N$1:$BR$1,qualdata!$N$2:$BR$17)))</f>
        <v/>
      </c>
      <c r="F53" s="48" t="str">
        <f t="array" ref="F53">xlookup($A53,qualdata!$M$2:$M$17,(xlookup(F$39,qualdata!$N$1:$BR$1,qualdata!$N$2:$BR$17)))</f>
        <v/>
      </c>
      <c r="G53" s="48">
        <f t="array" ref="G53">xlookup($A53,qualdata!$M$2:$M$17,(xlookup(G$39,qualdata!$N$1:$BR$1,qualdata!$N$2:$BR$17)))</f>
        <v>0</v>
      </c>
      <c r="H53" s="48">
        <f t="array" ref="H53">xlookup($A53,qualdata!$M$2:$M$17,(xlookup(H$39,qualdata!$N$1:$BR$1,qualdata!$N$2:$BR$17)))</f>
        <v>0</v>
      </c>
      <c r="I53" s="48">
        <f t="array" ref="I53">xlookup($A53,qualdata!$M$2:$M$17,(xlookup(I$39,qualdata!$N$1:$BR$1,qualdata!$N$2:$BR$17)))</f>
        <v>0</v>
      </c>
      <c r="J53" s="48">
        <f t="array" ref="J53">xlookup($A53,qualdata!$M$2:$M$17,(xlookup(J$39,qualdata!$N$1:$BR$1,qualdata!$N$2:$BR$17)))</f>
        <v>0</v>
      </c>
      <c r="AC53" s="261"/>
      <c r="AD53" s="261"/>
    </row>
    <row r="54">
      <c r="A54" s="48">
        <f>qualdata!M16</f>
        <v>15</v>
      </c>
      <c r="C54" s="48" t="str">
        <f t="array" ref="C54">xlookup($A54,qualdata!$M$2:$M$17,(xlookup(C$39,qualdata!$N$1:$BR$1,qualdata!$N$2:$BR$17)))</f>
        <v>Team 15 (Group 1)</v>
      </c>
      <c r="D54" s="48">
        <f t="array" ref="D54">xlookup($A54,qualdata!$M$2:$M$17,(xlookup(D$39,qualdata!$N$1:$BR$1,qualdata!$N$2:$BR$17)))</f>
        <v>2</v>
      </c>
      <c r="E54" s="48" t="str">
        <f t="array" ref="E54">xlookup($A54,qualdata!$M$2:$M$17,(xlookup(E$39,qualdata!$N$1:$BR$1,qualdata!$N$2:$BR$17)))</f>
        <v/>
      </c>
      <c r="F54" s="48" t="str">
        <f t="array" ref="F54">xlookup($A54,qualdata!$M$2:$M$17,(xlookup(F$39,qualdata!$N$1:$BR$1,qualdata!$N$2:$BR$17)))</f>
        <v/>
      </c>
      <c r="G54" s="48">
        <f t="array" ref="G54">xlookup($A54,qualdata!$M$2:$M$17,(xlookup(G$39,qualdata!$N$1:$BR$1,qualdata!$N$2:$BR$17)))</f>
        <v>0</v>
      </c>
      <c r="H54" s="48">
        <f t="array" ref="H54">xlookup($A54,qualdata!$M$2:$M$17,(xlookup(H$39,qualdata!$N$1:$BR$1,qualdata!$N$2:$BR$17)))</f>
        <v>0</v>
      </c>
      <c r="I54" s="48">
        <f t="array" ref="I54">xlookup($A54,qualdata!$M$2:$M$17,(xlookup(I$39,qualdata!$N$1:$BR$1,qualdata!$N$2:$BR$17)))</f>
        <v>0</v>
      </c>
      <c r="J54" s="48">
        <f t="array" ref="J54">xlookup($A54,qualdata!$M$2:$M$17,(xlookup(J$39,qualdata!$N$1:$BR$1,qualdata!$N$2:$BR$17)))</f>
        <v>0</v>
      </c>
      <c r="AC54" s="261"/>
      <c r="AD54" s="261"/>
    </row>
    <row r="55">
      <c r="A55" s="48">
        <f>qualdata!M17</f>
        <v>16</v>
      </c>
      <c r="C55" s="48" t="str">
        <f t="array" ref="C55">xlookup($A55,qualdata!$M$2:$M$17,(xlookup(C$39,qualdata!$N$1:$BR$1,qualdata!$N$2:$BR$17)))</f>
        <v>Team 16 (Group 1)</v>
      </c>
      <c r="D55" s="48">
        <f t="array" ref="D55">xlookup($A55,qualdata!$M$2:$M$17,(xlookup(D$39,qualdata!$N$1:$BR$1,qualdata!$N$2:$BR$17)))</f>
        <v>1</v>
      </c>
      <c r="E55" s="48" t="str">
        <f t="array" ref="E55">xlookup($A55,qualdata!$M$2:$M$17,(xlookup(E$39,qualdata!$N$1:$BR$1,qualdata!$N$2:$BR$17)))</f>
        <v/>
      </c>
      <c r="F55" s="48" t="str">
        <f t="array" ref="F55">xlookup($A55,qualdata!$M$2:$M$17,(xlookup(F$39,qualdata!$N$1:$BR$1,qualdata!$N$2:$BR$17)))</f>
        <v/>
      </c>
      <c r="G55" s="48">
        <f t="array" ref="G55">xlookup($A55,qualdata!$M$2:$M$17,(xlookup(G$39,qualdata!$N$1:$BR$1,qualdata!$N$2:$BR$17)))</f>
        <v>0</v>
      </c>
      <c r="H55" s="48">
        <f t="array" ref="H55">xlookup($A55,qualdata!$M$2:$M$17,(xlookup(H$39,qualdata!$N$1:$BR$1,qualdata!$N$2:$BR$17)))</f>
        <v>0</v>
      </c>
      <c r="I55" s="48">
        <f t="array" ref="I55">xlookup($A55,qualdata!$M$2:$M$17,(xlookup(I$39,qualdata!$N$1:$BR$1,qualdata!$N$2:$BR$17)))</f>
        <v>0</v>
      </c>
      <c r="J55" s="48">
        <f t="array" ref="J55">xlookup($A55,qualdata!$M$2:$M$17,(xlookup(J$39,qualdata!$N$1:$BR$1,qualdata!$N$2:$BR$17)))</f>
        <v>0</v>
      </c>
      <c r="AC55" s="37"/>
      <c r="AD55" s="261"/>
    </row>
    <row r="56">
      <c r="A56" s="268" t="s">
        <v>62</v>
      </c>
      <c r="AB56" s="266" t="s">
        <v>388</v>
      </c>
      <c r="AC56" s="265" t="str">
        <f t="array" ref="AC56:AD59">'Choose matchups (Contender)'!Q45:R48</f>
        <v>#N/A</v>
      </c>
      <c r="AD56" s="265" t="e">
        <v>#N/A</v>
      </c>
      <c r="AE56" s="48" t="str">
        <f>'Contender Stage'!BR132</f>
        <v/>
      </c>
      <c r="AF56" s="48" t="str">
        <f>'Contender Stage'!BV132</f>
        <v/>
      </c>
      <c r="AG56" s="48">
        <f>'Contender Stage'!BR136</f>
        <v>0</v>
      </c>
      <c r="AH56" s="48">
        <f>'Contender Stage'!BV136</f>
        <v>0</v>
      </c>
    </row>
    <row r="57">
      <c r="A57" s="37" t="s">
        <v>88</v>
      </c>
      <c r="B57" s="37" t="s">
        <v>327</v>
      </c>
      <c r="C57" s="37" t="s">
        <v>326</v>
      </c>
      <c r="D57" s="37" t="s">
        <v>371</v>
      </c>
      <c r="E57" s="37" t="s">
        <v>381</v>
      </c>
      <c r="F57" s="260" t="s">
        <v>383</v>
      </c>
      <c r="G57" s="261" t="s">
        <v>384</v>
      </c>
      <c r="H57" s="262" t="s">
        <v>385</v>
      </c>
      <c r="I57" s="267" t="s">
        <v>386</v>
      </c>
      <c r="J57" s="263" t="s">
        <v>387</v>
      </c>
      <c r="K57" s="37" t="s">
        <v>389</v>
      </c>
      <c r="AC57" s="265" t="e">
        <v>#N/A</v>
      </c>
      <c r="AD57" s="265" t="e">
        <v>#N/A</v>
      </c>
      <c r="AE57" s="48" t="str">
        <f>'Contender Stage'!BR139</f>
        <v/>
      </c>
      <c r="AF57" s="48" t="str">
        <f>'Contender Stage'!BV139</f>
        <v/>
      </c>
      <c r="AG57" s="48">
        <f>'Contender Stage'!BR143</f>
        <v>0</v>
      </c>
      <c r="AH57" s="48">
        <f>'Contender Stage'!BV143</f>
        <v>0</v>
      </c>
    </row>
    <row r="58">
      <c r="A58" s="48" t="str">
        <f>IFERROR(__xludf.DUMMYFUNCTION("sort(filter($A$40:$J$55,$I$40:$I$55=2),7,false,9,false)"),"#N/A")</f>
        <v>#N/A</v>
      </c>
      <c r="K58" s="48" t="str">
        <f>A61</f>
        <v/>
      </c>
      <c r="AC58" s="265" t="e">
        <v>#N/A</v>
      </c>
      <c r="AD58" s="265" t="e">
        <v>#N/A</v>
      </c>
      <c r="AE58" s="48" t="str">
        <f t="shared" ref="AE58:AE59" si="1">AF56</f>
        <v/>
      </c>
      <c r="AF58" s="48" t="str">
        <f t="shared" ref="AF58:AF59" si="2">AE56</f>
        <v/>
      </c>
      <c r="AG58" s="48">
        <f t="shared" ref="AG58:AG59" si="3">AH56</f>
        <v>0</v>
      </c>
      <c r="AH58" s="48">
        <f t="shared" ref="AH58:AH59" si="4">AG56</f>
        <v>0</v>
      </c>
    </row>
    <row r="59">
      <c r="K59" s="48" t="str">
        <f>A60</f>
        <v/>
      </c>
      <c r="AC59" s="265" t="e">
        <v>#N/A</v>
      </c>
      <c r="AD59" s="265" t="e">
        <v>#N/A</v>
      </c>
      <c r="AE59" s="48" t="str">
        <f t="shared" si="1"/>
        <v/>
      </c>
      <c r="AF59" s="48" t="str">
        <f t="shared" si="2"/>
        <v/>
      </c>
      <c r="AG59" s="48">
        <f t="shared" si="3"/>
        <v>0</v>
      </c>
      <c r="AH59" s="48">
        <f t="shared" si="4"/>
        <v>0</v>
      </c>
    </row>
    <row r="60">
      <c r="K60" s="48" t="str">
        <f>A59</f>
        <v/>
      </c>
      <c r="AB60" s="266" t="s">
        <v>390</v>
      </c>
      <c r="AC60" s="265" t="str">
        <f t="array" ref="AC60:AD63">'Choose matchups (Contender)'!Q58:R61</f>
        <v>#REF!</v>
      </c>
      <c r="AD60" s="265" t="e">
        <v>#N/A</v>
      </c>
      <c r="AE60" s="48" t="str">
        <f>'Contender Stage'!GP132</f>
        <v/>
      </c>
      <c r="AF60" s="48" t="str">
        <f>'Contender Stage'!GT132</f>
        <v/>
      </c>
      <c r="AG60" s="48">
        <f>'Contender Stage'!GP136</f>
        <v>0</v>
      </c>
      <c r="AH60" s="48">
        <f>'Contender Stage'!GT136</f>
        <v>0</v>
      </c>
    </row>
    <row r="61">
      <c r="K61" s="48" t="str">
        <f>A58</f>
        <v>#N/A</v>
      </c>
      <c r="AC61" s="265" t="e">
        <v>#N/A</v>
      </c>
      <c r="AD61" s="265" t="e">
        <v>#N/A</v>
      </c>
      <c r="AE61" s="48" t="str">
        <f>'Contender Stage'!GP139</f>
        <v/>
      </c>
      <c r="AF61" s="48" t="str">
        <f>'Contender Stage'!GT139</f>
        <v/>
      </c>
      <c r="AG61" s="48">
        <f>'Contender Stage'!GP143</f>
        <v>0</v>
      </c>
      <c r="AH61" s="48">
        <f>'Contender Stage'!GT143</f>
        <v>0</v>
      </c>
    </row>
    <row r="62">
      <c r="A62" s="269" t="s">
        <v>391</v>
      </c>
      <c r="AC62" s="265" t="e">
        <v>#N/A</v>
      </c>
      <c r="AD62" s="265" t="e">
        <v>#N/A</v>
      </c>
      <c r="AE62" s="48" t="str">
        <f t="shared" ref="AE62:AE63" si="5">AF60</f>
        <v/>
      </c>
      <c r="AF62" s="48" t="str">
        <f t="shared" ref="AF62:AF63" si="6">AE60</f>
        <v/>
      </c>
      <c r="AG62" s="48">
        <f t="shared" ref="AG62:AG63" si="7">AH60</f>
        <v>0</v>
      </c>
      <c r="AH62" s="48">
        <f t="shared" ref="AH62:AH63" si="8">AG60</f>
        <v>0</v>
      </c>
    </row>
    <row r="63">
      <c r="A63" s="37" t="s">
        <v>88</v>
      </c>
      <c r="B63" s="37" t="s">
        <v>327</v>
      </c>
      <c r="C63" s="37" t="s">
        <v>326</v>
      </c>
      <c r="D63" s="37" t="s">
        <v>371</v>
      </c>
      <c r="E63" s="37" t="s">
        <v>381</v>
      </c>
      <c r="F63" s="260" t="s">
        <v>383</v>
      </c>
      <c r="G63" s="261" t="s">
        <v>384</v>
      </c>
      <c r="H63" s="262" t="s">
        <v>385</v>
      </c>
      <c r="I63" s="267" t="s">
        <v>386</v>
      </c>
      <c r="J63" s="263" t="s">
        <v>387</v>
      </c>
      <c r="K63" s="37" t="s">
        <v>389</v>
      </c>
      <c r="AC63" s="265" t="e">
        <v>#N/A</v>
      </c>
      <c r="AD63" s="265" t="e">
        <v>#REF!</v>
      </c>
      <c r="AE63" s="48" t="str">
        <f t="shared" si="5"/>
        <v/>
      </c>
      <c r="AF63" s="48" t="str">
        <f t="shared" si="6"/>
        <v/>
      </c>
      <c r="AG63" s="48">
        <f t="shared" si="7"/>
        <v>0</v>
      </c>
      <c r="AH63" s="48">
        <f t="shared" si="8"/>
        <v>0</v>
      </c>
    </row>
    <row r="64">
      <c r="A64" s="48" t="str">
        <f>IFERROR(__xludf.DUMMYFUNCTION("sort(filter($A$40:$J$55,$I$40:$I$55=0),7,false,9,false)"),"#REF!")</f>
        <v>#REF!</v>
      </c>
      <c r="B64" s="48"/>
      <c r="C64" s="48"/>
      <c r="D64" s="48"/>
      <c r="E64" s="48"/>
      <c r="F64" s="48"/>
      <c r="G64" s="48"/>
      <c r="H64" s="48"/>
      <c r="I64" s="48"/>
      <c r="J64" s="48"/>
      <c r="K64" s="48" t="str">
        <f>A67</f>
        <v/>
      </c>
      <c r="AB64" s="266" t="s">
        <v>392</v>
      </c>
      <c r="AC64" s="265" t="str">
        <f>iferror(L89,"")</f>
        <v/>
      </c>
      <c r="AD64" s="265" t="str">
        <f>M89</f>
        <v>#N/A</v>
      </c>
      <c r="AE64" s="48" t="str">
        <f>'Contender Stage'!ED132</f>
        <v/>
      </c>
      <c r="AF64" s="48" t="str">
        <f>'Contender Stage'!EH132</f>
        <v/>
      </c>
      <c r="AG64" s="48">
        <f>'Contender Stage'!ED136</f>
        <v>0</v>
      </c>
      <c r="AH64" s="48">
        <f>'Contender Stage'!EH136</f>
        <v>0</v>
      </c>
    </row>
    <row r="65">
      <c r="A65" s="48"/>
      <c r="B65" s="48"/>
      <c r="C65" s="48"/>
      <c r="D65" s="48"/>
      <c r="E65" s="48"/>
      <c r="F65" s="48"/>
      <c r="G65" s="48"/>
      <c r="H65" s="48"/>
      <c r="I65" s="48"/>
      <c r="J65" s="48"/>
      <c r="K65" s="48" t="str">
        <f>A66</f>
        <v/>
      </c>
      <c r="AC65" s="265" t="str">
        <f t="shared" ref="AC65:AD65" si="9">L90</f>
        <v>#N/A</v>
      </c>
      <c r="AD65" s="265" t="str">
        <f t="shared" si="9"/>
        <v>#N/A</v>
      </c>
      <c r="AE65" s="48" t="str">
        <f>'Contender Stage'!ED139</f>
        <v/>
      </c>
      <c r="AF65" s="48" t="str">
        <f>'Contender Stage'!EH139</f>
        <v/>
      </c>
      <c r="AG65" s="48">
        <f>'Contender Stage'!ED143</f>
        <v>0</v>
      </c>
      <c r="AH65" s="48">
        <f>'Contender Stage'!EH143</f>
        <v>0</v>
      </c>
    </row>
    <row r="66">
      <c r="A66" s="48"/>
      <c r="B66" s="48"/>
      <c r="C66" s="48"/>
      <c r="D66" s="48"/>
      <c r="E66" s="48"/>
      <c r="F66" s="48"/>
      <c r="G66" s="48"/>
      <c r="H66" s="48"/>
      <c r="I66" s="48"/>
      <c r="J66" s="48"/>
      <c r="K66" s="48" t="str">
        <f>A65</f>
        <v/>
      </c>
      <c r="AC66" s="265" t="str">
        <f t="shared" ref="AC66:AD66" si="10">L91</f>
        <v>#N/A</v>
      </c>
      <c r="AD66" s="265" t="str">
        <f t="shared" si="10"/>
        <v>#N/A</v>
      </c>
      <c r="AE66" s="48" t="str">
        <f>'Contender Stage'!ED146</f>
        <v/>
      </c>
      <c r="AF66" s="48" t="str">
        <f>'Contender Stage'!EH146</f>
        <v/>
      </c>
      <c r="AG66" s="48">
        <f>'Contender Stage'!ED150</f>
        <v>0</v>
      </c>
      <c r="AH66" s="48">
        <f>'Contender Stage'!EH150</f>
        <v>0</v>
      </c>
    </row>
    <row r="67">
      <c r="A67" s="48"/>
      <c r="B67" s="48"/>
      <c r="C67" s="48"/>
      <c r="D67" s="48"/>
      <c r="E67" s="48"/>
      <c r="F67" s="48"/>
      <c r="G67" s="48"/>
      <c r="H67" s="48"/>
      <c r="I67" s="48"/>
      <c r="J67" s="48"/>
      <c r="K67" s="48" t="str">
        <f>A64</f>
        <v>#REF!</v>
      </c>
      <c r="AC67" s="265" t="str">
        <f t="shared" ref="AC67:AD67" si="11">L92</f>
        <v>#N/A</v>
      </c>
      <c r="AD67" s="265" t="str">
        <f t="shared" si="11"/>
        <v>#N/A</v>
      </c>
      <c r="AE67" s="48" t="str">
        <f>'Contender Stage'!ED153</f>
        <v/>
      </c>
      <c r="AF67" s="48" t="str">
        <f>'Contender Stage'!EH153</f>
        <v/>
      </c>
      <c r="AG67" s="48">
        <f>'Contender Stage'!ED157</f>
        <v>0</v>
      </c>
      <c r="AH67" s="48">
        <f>'Contender Stage'!EH157</f>
        <v>0</v>
      </c>
    </row>
    <row r="68">
      <c r="A68" s="269" t="s">
        <v>393</v>
      </c>
      <c r="AC68" s="270" t="str">
        <f t="shared" ref="AC68:AC71" si="12">AD64</f>
        <v>#N/A</v>
      </c>
      <c r="AD68" s="270" t="str">
        <f t="shared" ref="AD68:AD71" si="13">AC64</f>
        <v/>
      </c>
      <c r="AE68" s="48" t="str">
        <f t="shared" ref="AE68:AE71" si="14">AF64</f>
        <v/>
      </c>
      <c r="AF68" s="48" t="str">
        <f t="shared" ref="AF68:AF71" si="15">AE64</f>
        <v/>
      </c>
      <c r="AG68" s="48">
        <f t="shared" ref="AG68:AG71" si="16">AH64</f>
        <v>0</v>
      </c>
      <c r="AH68" s="48">
        <f t="shared" ref="AH68:AH71" si="17">AG64</f>
        <v>0</v>
      </c>
    </row>
    <row r="69">
      <c r="A69" s="37" t="s">
        <v>88</v>
      </c>
      <c r="B69" s="37" t="s">
        <v>327</v>
      </c>
      <c r="C69" s="37" t="s">
        <v>326</v>
      </c>
      <c r="D69" s="37" t="s">
        <v>371</v>
      </c>
      <c r="E69" s="37" t="s">
        <v>381</v>
      </c>
      <c r="F69" s="260" t="s">
        <v>383</v>
      </c>
      <c r="G69" s="261" t="s">
        <v>384</v>
      </c>
      <c r="H69" s="262" t="s">
        <v>385</v>
      </c>
      <c r="I69" s="267" t="s">
        <v>386</v>
      </c>
      <c r="J69" s="263" t="s">
        <v>387</v>
      </c>
      <c r="K69" s="263" t="s">
        <v>394</v>
      </c>
      <c r="AC69" s="270" t="str">
        <f t="shared" si="12"/>
        <v>#N/A</v>
      </c>
      <c r="AD69" s="270" t="str">
        <f t="shared" si="13"/>
        <v>#N/A</v>
      </c>
      <c r="AE69" s="48" t="str">
        <f t="shared" si="14"/>
        <v/>
      </c>
      <c r="AF69" s="48" t="str">
        <f t="shared" si="15"/>
        <v/>
      </c>
      <c r="AG69" s="48">
        <f t="shared" si="16"/>
        <v>0</v>
      </c>
      <c r="AH69" s="48">
        <f t="shared" si="17"/>
        <v>0</v>
      </c>
    </row>
    <row r="70">
      <c r="A70" s="48" t="str">
        <f>IFERROR(__xludf.DUMMYFUNCTION("sort(filter($A$40:$J$55,$I$40:$I$55=1),6,true,8,false,10,false)"),"#N/A")</f>
        <v>#N/A</v>
      </c>
      <c r="K70" s="47">
        <v>1.0</v>
      </c>
      <c r="AC70" s="270" t="str">
        <f t="shared" si="12"/>
        <v>#N/A</v>
      </c>
      <c r="AD70" s="270" t="str">
        <f t="shared" si="13"/>
        <v>#N/A</v>
      </c>
      <c r="AE70" s="48" t="str">
        <f t="shared" si="14"/>
        <v/>
      </c>
      <c r="AF70" s="48" t="str">
        <f t="shared" si="15"/>
        <v/>
      </c>
      <c r="AG70" s="48">
        <f t="shared" si="16"/>
        <v>0</v>
      </c>
      <c r="AH70" s="48">
        <f t="shared" si="17"/>
        <v>0</v>
      </c>
    </row>
    <row r="71">
      <c r="K71" s="47">
        <v>2.0</v>
      </c>
      <c r="AC71" s="270" t="str">
        <f t="shared" si="12"/>
        <v>#N/A</v>
      </c>
      <c r="AD71" s="270" t="str">
        <f t="shared" si="13"/>
        <v>#N/A</v>
      </c>
      <c r="AE71" s="48" t="str">
        <f t="shared" si="14"/>
        <v/>
      </c>
      <c r="AF71" s="48" t="str">
        <f t="shared" si="15"/>
        <v/>
      </c>
      <c r="AG71" s="48">
        <f t="shared" si="16"/>
        <v>0</v>
      </c>
      <c r="AH71" s="48">
        <f t="shared" si="17"/>
        <v>0</v>
      </c>
    </row>
    <row r="72">
      <c r="K72" s="47">
        <v>3.0</v>
      </c>
      <c r="AC72" s="37"/>
      <c r="AD72" s="261"/>
    </row>
    <row r="73">
      <c r="K73" s="47">
        <v>4.0</v>
      </c>
      <c r="AC73" s="261"/>
      <c r="AD73" s="261"/>
    </row>
    <row r="74">
      <c r="K74" s="47">
        <v>5.0</v>
      </c>
      <c r="AC74" s="261"/>
      <c r="AD74" s="261"/>
    </row>
    <row r="75">
      <c r="K75" s="47">
        <v>6.0</v>
      </c>
      <c r="AC75" s="261"/>
      <c r="AD75" s="261"/>
    </row>
    <row r="76">
      <c r="K76" s="47">
        <v>7.0</v>
      </c>
      <c r="AC76" s="261"/>
      <c r="AD76" s="261"/>
    </row>
    <row r="77">
      <c r="K77" s="47">
        <v>8.0</v>
      </c>
      <c r="AC77" s="261"/>
      <c r="AD77" s="261"/>
    </row>
    <row r="78">
      <c r="A78" s="47" t="s">
        <v>395</v>
      </c>
      <c r="AC78" s="261"/>
      <c r="AD78" s="261"/>
    </row>
    <row r="79" outlineLevel="1">
      <c r="A79" s="37"/>
      <c r="B79" s="37"/>
      <c r="C79" s="37" t="s">
        <v>396</v>
      </c>
      <c r="D79" s="37" t="s">
        <v>394</v>
      </c>
      <c r="E79" s="37" t="s">
        <v>397</v>
      </c>
      <c r="AC79" s="261"/>
      <c r="AD79" s="261"/>
    </row>
    <row r="80" outlineLevel="1">
      <c r="A80" s="270" t="str">
        <f t="shared" ref="A80:A87" si="19">A70</f>
        <v>#N/A</v>
      </c>
      <c r="B80" s="37" t="str">
        <f t="shared" ref="B80:C80" si="18">C70</f>
        <v/>
      </c>
      <c r="C80" s="270" t="str">
        <f t="shared" si="18"/>
        <v/>
      </c>
      <c r="D80" s="270">
        <f t="shared" ref="D80:D87" si="21">K70</f>
        <v>1</v>
      </c>
      <c r="E80" s="270" t="str">
        <f t="shared" ref="E80:E87" si="22">xlookup(C80,$A$80:$A$87,$D$80:$D$87,"")</f>
        <v/>
      </c>
      <c r="AC80" s="261"/>
      <c r="AD80" s="261"/>
    </row>
    <row r="81" outlineLevel="1">
      <c r="A81" s="270" t="str">
        <f t="shared" si="19"/>
        <v/>
      </c>
      <c r="B81" s="37" t="str">
        <f t="shared" ref="B81:C81" si="20">C71</f>
        <v/>
      </c>
      <c r="C81" s="270" t="str">
        <f t="shared" si="20"/>
        <v/>
      </c>
      <c r="D81" s="270">
        <f t="shared" si="21"/>
        <v>2</v>
      </c>
      <c r="E81" s="270" t="str">
        <f t="shared" si="22"/>
        <v/>
      </c>
      <c r="AC81" s="261"/>
      <c r="AD81" s="261"/>
    </row>
    <row r="82" outlineLevel="1">
      <c r="A82" s="270" t="str">
        <f t="shared" si="19"/>
        <v/>
      </c>
      <c r="B82" s="37" t="str">
        <f t="shared" ref="B82:C82" si="23">C72</f>
        <v/>
      </c>
      <c r="C82" s="270" t="str">
        <f t="shared" si="23"/>
        <v/>
      </c>
      <c r="D82" s="270">
        <f t="shared" si="21"/>
        <v>3</v>
      </c>
      <c r="E82" s="270" t="str">
        <f t="shared" si="22"/>
        <v/>
      </c>
      <c r="AC82" s="261"/>
      <c r="AD82" s="261"/>
    </row>
    <row r="83" outlineLevel="1">
      <c r="A83" s="270" t="str">
        <f t="shared" si="19"/>
        <v/>
      </c>
      <c r="B83" s="37" t="str">
        <f t="shared" ref="B83:C83" si="24">C73</f>
        <v/>
      </c>
      <c r="C83" s="270" t="str">
        <f t="shared" si="24"/>
        <v/>
      </c>
      <c r="D83" s="270">
        <f t="shared" si="21"/>
        <v>4</v>
      </c>
      <c r="E83" s="270" t="str">
        <f t="shared" si="22"/>
        <v/>
      </c>
      <c r="AC83" s="261"/>
      <c r="AD83" s="261"/>
    </row>
    <row r="84" outlineLevel="1">
      <c r="A84" s="270" t="str">
        <f t="shared" si="19"/>
        <v/>
      </c>
      <c r="B84" s="37" t="str">
        <f t="shared" ref="B84:C84" si="25">C74</f>
        <v/>
      </c>
      <c r="C84" s="270" t="str">
        <f t="shared" si="25"/>
        <v/>
      </c>
      <c r="D84" s="270">
        <f t="shared" si="21"/>
        <v>5</v>
      </c>
      <c r="E84" s="270" t="str">
        <f t="shared" si="22"/>
        <v/>
      </c>
      <c r="AC84" s="261"/>
      <c r="AD84" s="261"/>
    </row>
    <row r="85" outlineLevel="1">
      <c r="A85" s="270" t="str">
        <f t="shared" si="19"/>
        <v/>
      </c>
      <c r="B85" s="37" t="str">
        <f t="shared" ref="B85:C85" si="26">C75</f>
        <v/>
      </c>
      <c r="C85" s="270" t="str">
        <f t="shared" si="26"/>
        <v/>
      </c>
      <c r="D85" s="270">
        <f t="shared" si="21"/>
        <v>6</v>
      </c>
      <c r="E85" s="270" t="str">
        <f t="shared" si="22"/>
        <v/>
      </c>
      <c r="AC85" s="261"/>
      <c r="AD85" s="261"/>
    </row>
    <row r="86" outlineLevel="1">
      <c r="A86" s="270" t="str">
        <f t="shared" si="19"/>
        <v/>
      </c>
      <c r="B86" s="37" t="str">
        <f t="shared" ref="B86:C86" si="27">C76</f>
        <v/>
      </c>
      <c r="C86" s="270" t="str">
        <f t="shared" si="27"/>
        <v/>
      </c>
      <c r="D86" s="270">
        <f t="shared" si="21"/>
        <v>7</v>
      </c>
      <c r="E86" s="270" t="str">
        <f t="shared" si="22"/>
        <v/>
      </c>
      <c r="AC86" s="261"/>
      <c r="AD86" s="261"/>
    </row>
    <row r="87" outlineLevel="1">
      <c r="A87" s="270" t="str">
        <f t="shared" si="19"/>
        <v/>
      </c>
      <c r="B87" s="37" t="str">
        <f t="shared" ref="B87:C87" si="28">C77</f>
        <v/>
      </c>
      <c r="C87" s="270" t="str">
        <f t="shared" si="28"/>
        <v/>
      </c>
      <c r="D87" s="270">
        <f t="shared" si="21"/>
        <v>8</v>
      </c>
      <c r="E87" s="270" t="str">
        <f t="shared" si="22"/>
        <v/>
      </c>
      <c r="AC87" s="261"/>
      <c r="AD87" s="261"/>
    </row>
    <row r="88" outlineLevel="1">
      <c r="AC88" s="261"/>
      <c r="AD88" s="261"/>
    </row>
    <row r="89" outlineLevel="1">
      <c r="A89" s="37"/>
      <c r="B89" s="270">
        <v>1.0</v>
      </c>
      <c r="C89" s="270">
        <v>8.0</v>
      </c>
      <c r="D89" s="270">
        <f t="array" ref="D89">if(xlookup(B89,D80:D87,E80:E87)=C89,1,0)</f>
        <v>0</v>
      </c>
      <c r="E89" s="270">
        <v>7.0</v>
      </c>
      <c r="F89" s="270">
        <f t="array" ref="F89">if(xlookup(B89,D80:D87,E80:E87)=E89,1,0)</f>
        <v>0</v>
      </c>
      <c r="G89" s="270">
        <v>6.0</v>
      </c>
      <c r="H89" s="270">
        <f t="array" ref="H89">if(xlookup(B89,D80:D87,E80:E87)=G89,1,0)</f>
        <v>0</v>
      </c>
      <c r="I89" s="270">
        <v>5.0</v>
      </c>
      <c r="J89" s="270">
        <f t="array" ref="J89">if(xlookup(B89,D80:D87,E80:E87)=I89,1,0)</f>
        <v>0</v>
      </c>
      <c r="K89" s="37"/>
      <c r="L89" s="271" t="str">
        <f t="array" ref="L89:M92">'Choose matchups (Contender)'!Q51:R54</f>
        <v>#N/A</v>
      </c>
      <c r="M89" s="271" t="e">
        <v>#N/A</v>
      </c>
      <c r="N89" s="37"/>
      <c r="O89" s="37"/>
      <c r="P89" s="37"/>
      <c r="Q89" s="37"/>
      <c r="AC89" s="261"/>
      <c r="AD89" s="261"/>
    </row>
    <row r="90" outlineLevel="1">
      <c r="A90" s="37"/>
      <c r="B90" s="270">
        <v>2.0</v>
      </c>
      <c r="C90" s="270">
        <v>7.0</v>
      </c>
      <c r="D90" s="270">
        <f t="array" ref="D90">if(xlookup(B90,D80:D87,E80:E87)=C90,1,0)</f>
        <v>0</v>
      </c>
      <c r="E90" s="270">
        <v>8.0</v>
      </c>
      <c r="F90" s="270">
        <f t="array" ref="F90">if(xlookup(B90,D80:D87,E80:E87)=E90,1,0)</f>
        <v>0</v>
      </c>
      <c r="G90" s="270">
        <v>8.0</v>
      </c>
      <c r="H90" s="270">
        <f t="array" ref="H90">if(xlookup(B90,D80:D87,E80:E87)=G90,1,0)</f>
        <v>0</v>
      </c>
      <c r="I90" s="270">
        <v>8.0</v>
      </c>
      <c r="J90" s="270">
        <f t="array" ref="J90">if(xlookup(B90,D80:D87,E80:E87)=I90,1,0)</f>
        <v>0</v>
      </c>
      <c r="K90" s="37"/>
      <c r="L90" s="271" t="e">
        <v>#N/A</v>
      </c>
      <c r="M90" s="271" t="e">
        <v>#N/A</v>
      </c>
      <c r="N90" s="37"/>
      <c r="O90" s="37"/>
      <c r="P90" s="37"/>
      <c r="Q90" s="37"/>
      <c r="AC90" s="261"/>
      <c r="AD90" s="261"/>
    </row>
    <row r="91" outlineLevel="1">
      <c r="A91" s="37"/>
      <c r="B91" s="270">
        <v>3.0</v>
      </c>
      <c r="C91" s="270">
        <v>6.0</v>
      </c>
      <c r="D91" s="270">
        <f t="array" ref="D91">if(xlookup(B91,D80:D87,E80:E87)=C91,1,0)</f>
        <v>0</v>
      </c>
      <c r="E91" s="270">
        <v>6.0</v>
      </c>
      <c r="F91" s="270">
        <f t="array" ref="F91">if(xlookup(B91,D80:D87,E80:E87)=E91,1,0)</f>
        <v>0</v>
      </c>
      <c r="G91" s="270">
        <v>7.0</v>
      </c>
      <c r="H91" s="270">
        <f t="array" ref="H91">if(xlookup(B91,D80:D87,E80:E87)=G91,1,0)</f>
        <v>0</v>
      </c>
      <c r="I91" s="270">
        <v>7.0</v>
      </c>
      <c r="J91" s="270">
        <f t="array" ref="J91">if(xlookup(B91,D80:D87,E80:E87)=I91,1,0)</f>
        <v>0</v>
      </c>
      <c r="K91" s="37"/>
      <c r="L91" s="271" t="e">
        <v>#N/A</v>
      </c>
      <c r="M91" s="271" t="e">
        <v>#N/A</v>
      </c>
      <c r="N91" s="37"/>
      <c r="O91" s="37"/>
      <c r="P91" s="37"/>
      <c r="Q91" s="37"/>
      <c r="AC91" s="261"/>
      <c r="AD91" s="261"/>
    </row>
    <row r="92" outlineLevel="1">
      <c r="A92" s="37"/>
      <c r="B92" s="270">
        <v>4.0</v>
      </c>
      <c r="C92" s="270">
        <v>5.0</v>
      </c>
      <c r="D92" s="270">
        <f t="array" ref="D92">if(xlookup(B92,D80:D87,E80:E87)=C92,1,0)</f>
        <v>0</v>
      </c>
      <c r="E92" s="270">
        <v>5.0</v>
      </c>
      <c r="F92" s="270">
        <f t="array" ref="F92">if(xlookup(B92,D80:D87,E80:E87)=E92,1,0)</f>
        <v>0</v>
      </c>
      <c r="G92" s="270">
        <v>5.0</v>
      </c>
      <c r="H92" s="270">
        <f t="array" ref="H92">if(xlookup(B92,D80:D87,E80:E87)=G92,1,0)</f>
        <v>0</v>
      </c>
      <c r="I92" s="270">
        <v>6.0</v>
      </c>
      <c r="J92" s="270">
        <f t="array" ref="J92">if(xlookup(B92,D80:D87,E80:E87)=I92,1,0)</f>
        <v>0</v>
      </c>
      <c r="K92" s="37"/>
      <c r="L92" s="271" t="e">
        <v>#N/A</v>
      </c>
      <c r="M92" s="271" t="e">
        <v>#N/A</v>
      </c>
      <c r="N92" s="37"/>
      <c r="O92" s="37"/>
      <c r="P92" s="37"/>
      <c r="Q92" s="37"/>
      <c r="AC92" s="261"/>
      <c r="AD92" s="261"/>
    </row>
    <row r="93" outlineLevel="1">
      <c r="A93" s="270">
        <v>1.0</v>
      </c>
      <c r="B93" s="37"/>
      <c r="C93" s="37"/>
      <c r="D93" s="272">
        <f>sum(D89:D92)</f>
        <v>0</v>
      </c>
      <c r="E93" s="37"/>
      <c r="F93" s="272">
        <f>sum(F89:F92)</f>
        <v>0</v>
      </c>
      <c r="G93" s="37"/>
      <c r="H93" s="272">
        <f>sum(H89:H92)</f>
        <v>0</v>
      </c>
      <c r="I93" s="37"/>
      <c r="J93" s="272">
        <f>sum(J89:J92)</f>
        <v>0</v>
      </c>
      <c r="K93" s="37"/>
      <c r="L93" s="37"/>
      <c r="M93" s="37"/>
      <c r="N93" s="37"/>
      <c r="O93" s="37"/>
      <c r="P93" s="37"/>
      <c r="Q93" s="37"/>
      <c r="AC93" s="261"/>
      <c r="AD93" s="261"/>
    </row>
    <row r="94" outlineLevel="1">
      <c r="A94" s="37"/>
      <c r="B94" s="270">
        <v>1.0</v>
      </c>
      <c r="C94" s="270">
        <v>8.0</v>
      </c>
      <c r="D94" s="270">
        <f t="array" ref="D94">if(xlookup(B94,D80:D87,E80:E87)=C94,1,0)</f>
        <v>0</v>
      </c>
      <c r="E94" s="270">
        <v>7.0</v>
      </c>
      <c r="F94" s="270">
        <f t="array" ref="F94">if(xlookup(B94,D80:D87,E80:E87)=E94,1,0)</f>
        <v>0</v>
      </c>
      <c r="G94" s="270">
        <v>6.0</v>
      </c>
      <c r="H94" s="270">
        <f t="array" ref="H94">if(xlookup(B94,D80:D87,E80:E87)=G94,1,0)</f>
        <v>0</v>
      </c>
      <c r="I94" s="270">
        <v>5.0</v>
      </c>
      <c r="J94" s="270">
        <f t="array" ref="J94">if(xlookup(B94,D80:D87,E80:E87)=I94,1,0)</f>
        <v>0</v>
      </c>
      <c r="K94" s="37"/>
      <c r="L94" s="37"/>
      <c r="M94" s="37"/>
      <c r="N94" s="37"/>
      <c r="O94" s="37"/>
      <c r="P94" s="37"/>
      <c r="Q94" s="37"/>
      <c r="AC94" s="261"/>
      <c r="AD94" s="261"/>
    </row>
    <row r="95" outlineLevel="1">
      <c r="A95" s="37"/>
      <c r="B95" s="270">
        <v>2.0</v>
      </c>
      <c r="C95" s="270">
        <v>7.0</v>
      </c>
      <c r="D95" s="270">
        <f t="array" ref="D95">if(xlookup(B95,D80:D87,E80:E87)=C95,1,0)</f>
        <v>0</v>
      </c>
      <c r="E95" s="270">
        <v>8.0</v>
      </c>
      <c r="F95" s="270">
        <f t="array" ref="F95">if(xlookup(B95,D80:D87,E80:E87)=E95,1,0)</f>
        <v>0</v>
      </c>
      <c r="G95" s="270">
        <v>8.0</v>
      </c>
      <c r="H95" s="270">
        <f t="array" ref="H95">if(xlookup(B95,D80:D87,E80:E87)=G95,1,0)</f>
        <v>0</v>
      </c>
      <c r="I95" s="270">
        <v>8.0</v>
      </c>
      <c r="J95" s="270">
        <f t="array" ref="J95">if(xlookup(B95,D80:D87,E80:E87)=I95,1,0)</f>
        <v>0</v>
      </c>
      <c r="K95" s="37"/>
      <c r="L95" s="37"/>
      <c r="M95" s="37"/>
      <c r="N95" s="37"/>
      <c r="O95" s="37"/>
      <c r="P95" s="37"/>
      <c r="Q95" s="37"/>
      <c r="AC95" s="261"/>
      <c r="AD95" s="261"/>
    </row>
    <row r="96" outlineLevel="1">
      <c r="A96" s="37"/>
      <c r="B96" s="270">
        <v>3.0</v>
      </c>
      <c r="C96" s="270">
        <v>5.0</v>
      </c>
      <c r="D96" s="270">
        <f t="array" ref="D96">if(xlookup(B96,D80:D87,E80:E87)=C96,1,0)</f>
        <v>0</v>
      </c>
      <c r="E96" s="270">
        <v>5.0</v>
      </c>
      <c r="F96" s="270">
        <f t="array" ref="F96">if(xlookup(B96,D80:D87,E80:E87)=E96,1,0)</f>
        <v>0</v>
      </c>
      <c r="G96" s="270">
        <v>5.0</v>
      </c>
      <c r="H96" s="270">
        <f t="array" ref="H96">if(xlookup(B96,D80:D87,E80:E87)=G96,1,0)</f>
        <v>0</v>
      </c>
      <c r="I96" s="270">
        <v>6.0</v>
      </c>
      <c r="J96" s="270">
        <f t="array" ref="J96">if(xlookup(B96,D80:D87,E80:E87)=I96,1,0)</f>
        <v>0</v>
      </c>
      <c r="K96" s="37"/>
      <c r="L96" s="37"/>
      <c r="M96" s="37"/>
      <c r="N96" s="37"/>
      <c r="O96" s="37"/>
      <c r="P96" s="37"/>
      <c r="Q96" s="37"/>
      <c r="AC96" s="261"/>
      <c r="AD96" s="261"/>
    </row>
    <row r="97" outlineLevel="1">
      <c r="A97" s="37"/>
      <c r="B97" s="270">
        <v>4.0</v>
      </c>
      <c r="C97" s="270">
        <v>6.0</v>
      </c>
      <c r="D97" s="270">
        <f t="array" ref="D97">if(xlookup(B97,D80:D87,E80:E87)=C97,1,0)</f>
        <v>0</v>
      </c>
      <c r="E97" s="270">
        <v>6.0</v>
      </c>
      <c r="F97" s="270">
        <f t="array" ref="F97">if(xlookup(B97,D80:D87,E80:E87)=E97,1,0)</f>
        <v>0</v>
      </c>
      <c r="G97" s="270">
        <v>7.0</v>
      </c>
      <c r="H97" s="270">
        <f t="array" ref="H97">if(xlookup(B97,D80:D87,E80:E87)=G97,1,0)</f>
        <v>0</v>
      </c>
      <c r="I97" s="270">
        <v>7.0</v>
      </c>
      <c r="J97" s="270">
        <f t="array" ref="J97">if(xlookup(B97,D80:D87,E80:E87)=I97,1,0)</f>
        <v>0</v>
      </c>
      <c r="K97" s="37"/>
      <c r="L97" s="37"/>
      <c r="M97" s="37"/>
      <c r="N97" s="37"/>
      <c r="O97" s="37"/>
      <c r="P97" s="37"/>
      <c r="Q97" s="37"/>
      <c r="AC97" s="261"/>
      <c r="AD97" s="261"/>
    </row>
    <row r="98" outlineLevel="1">
      <c r="A98" s="270">
        <f>A93+1</f>
        <v>2</v>
      </c>
      <c r="B98" s="37"/>
      <c r="C98" s="37"/>
      <c r="D98" s="272">
        <f>sum(D94:D97)</f>
        <v>0</v>
      </c>
      <c r="E98" s="37"/>
      <c r="F98" s="272">
        <f>sum(F94:F97)</f>
        <v>0</v>
      </c>
      <c r="G98" s="37"/>
      <c r="H98" s="272">
        <f>sum(H94:H97)</f>
        <v>0</v>
      </c>
      <c r="I98" s="37"/>
      <c r="J98" s="272">
        <f>sum(J94:J97)</f>
        <v>0</v>
      </c>
      <c r="K98" s="37"/>
      <c r="L98" s="37"/>
      <c r="M98" s="37"/>
      <c r="N98" s="37"/>
      <c r="O98" s="37"/>
      <c r="P98" s="37"/>
      <c r="Q98" s="37"/>
      <c r="AC98" s="261"/>
      <c r="AD98" s="261"/>
    </row>
    <row r="99" outlineLevel="1">
      <c r="A99" s="37"/>
      <c r="B99" s="270">
        <v>1.0</v>
      </c>
      <c r="C99" s="270">
        <v>8.0</v>
      </c>
      <c r="D99" s="270">
        <f t="array" ref="D99">if(xlookup(B99,D80:D87,E80:E87)=C99,1,0)</f>
        <v>0</v>
      </c>
      <c r="E99" s="270">
        <v>7.0</v>
      </c>
      <c r="F99" s="270">
        <f t="array" ref="F99">if(xlookup(B99,D80:D87,E80:E87)=E99,1,0)</f>
        <v>0</v>
      </c>
      <c r="G99" s="270">
        <v>6.0</v>
      </c>
      <c r="H99" s="270">
        <f t="array" ref="H99">if(xlookup(B99,D80:D87,E80:E87)=G99,1,0)</f>
        <v>0</v>
      </c>
      <c r="I99" s="270">
        <v>5.0</v>
      </c>
      <c r="J99" s="270">
        <f t="array" ref="J99">if(xlookup(B99,D80:D87,E80:E87)=I99,1,0)</f>
        <v>0</v>
      </c>
      <c r="K99" s="37"/>
      <c r="L99" s="37"/>
      <c r="M99" s="37"/>
      <c r="N99" s="37"/>
      <c r="O99" s="37"/>
      <c r="P99" s="37"/>
      <c r="Q99" s="37"/>
      <c r="AC99" s="261"/>
      <c r="AD99" s="261"/>
    </row>
    <row r="100" outlineLevel="1">
      <c r="A100" s="37"/>
      <c r="B100" s="270">
        <v>2.0</v>
      </c>
      <c r="C100" s="270">
        <v>6.0</v>
      </c>
      <c r="D100" s="270">
        <f t="array" ref="D100">if(xlookup(B100,D80:D87,E80:E87)=C100,1,0)</f>
        <v>0</v>
      </c>
      <c r="E100" s="270">
        <v>6.0</v>
      </c>
      <c r="F100" s="270">
        <f t="array" ref="F100">if(xlookup(B100,D80:D87,E80:E87)=E100,1,0)</f>
        <v>0</v>
      </c>
      <c r="G100" s="270">
        <v>7.0</v>
      </c>
      <c r="H100" s="270">
        <f t="array" ref="H100">if(xlookup(B100,D80:D87,E80:E87)=G100,1,0)</f>
        <v>0</v>
      </c>
      <c r="I100" s="270">
        <v>7.0</v>
      </c>
      <c r="J100" s="270">
        <f t="array" ref="J100">if(xlookup(B100,D80:D87,E80:E87)=I100,1,0)</f>
        <v>0</v>
      </c>
      <c r="K100" s="37"/>
      <c r="L100" s="37"/>
      <c r="M100" s="37"/>
      <c r="N100" s="37"/>
      <c r="O100" s="37"/>
      <c r="P100" s="37"/>
      <c r="Q100" s="37"/>
      <c r="AC100" s="261"/>
      <c r="AD100" s="261"/>
    </row>
    <row r="101" outlineLevel="1">
      <c r="A101" s="37"/>
      <c r="B101" s="270">
        <v>3.0</v>
      </c>
      <c r="C101" s="270">
        <v>7.0</v>
      </c>
      <c r="D101" s="270">
        <f t="array" ref="D101">if(xlookup(B101,D80:D87,E80:E87)=C101,1,0)</f>
        <v>0</v>
      </c>
      <c r="E101" s="270">
        <v>8.0</v>
      </c>
      <c r="F101" s="270">
        <f t="array" ref="F101">if(xlookup(B101,D80:D87,E80:E87)=E101,1,0)</f>
        <v>0</v>
      </c>
      <c r="G101" s="270">
        <v>8.0</v>
      </c>
      <c r="H101" s="270">
        <f t="array" ref="H101">if(xlookup(B101,D80:D87,E80:E87)=G101,1,0)</f>
        <v>0</v>
      </c>
      <c r="I101" s="270">
        <v>8.0</v>
      </c>
      <c r="J101" s="270">
        <f t="array" ref="J101">if(xlookup(B101,D80:D87,E80:E87)=I101,1,0)</f>
        <v>0</v>
      </c>
      <c r="K101" s="37"/>
      <c r="L101" s="37"/>
      <c r="M101" s="37"/>
      <c r="N101" s="37"/>
      <c r="O101" s="37"/>
      <c r="P101" s="37"/>
      <c r="Q101" s="37"/>
      <c r="AC101" s="261"/>
      <c r="AD101" s="261"/>
    </row>
    <row r="102" outlineLevel="1">
      <c r="A102" s="37"/>
      <c r="B102" s="270">
        <v>4.0</v>
      </c>
      <c r="C102" s="270">
        <v>5.0</v>
      </c>
      <c r="D102" s="270">
        <f t="array" ref="D102">if(xlookup(B102,D80:D87,E80:E87)=C102,1,0)</f>
        <v>0</v>
      </c>
      <c r="E102" s="270">
        <v>5.0</v>
      </c>
      <c r="F102" s="270">
        <f t="array" ref="F102">if(xlookup(B102,D80:D87,E80:E87)=E102,1,0)</f>
        <v>0</v>
      </c>
      <c r="G102" s="270">
        <v>5.0</v>
      </c>
      <c r="H102" s="270">
        <f t="array" ref="H102">if(xlookup(B102,D80:D87,E80:E87)=G102,1,0)</f>
        <v>0</v>
      </c>
      <c r="I102" s="270">
        <v>6.0</v>
      </c>
      <c r="J102" s="270">
        <f t="array" ref="J102">if(xlookup(B102,D80:D87,E80:E87)=I102,1,0)</f>
        <v>0</v>
      </c>
      <c r="K102" s="37"/>
      <c r="L102" s="37"/>
      <c r="M102" s="37"/>
      <c r="N102" s="37"/>
      <c r="O102" s="37"/>
      <c r="P102" s="37"/>
      <c r="Q102" s="37"/>
      <c r="AC102" s="261"/>
      <c r="AD102" s="261"/>
    </row>
    <row r="103" outlineLevel="1">
      <c r="A103" s="270">
        <f>A98+1</f>
        <v>3</v>
      </c>
      <c r="B103" s="37"/>
      <c r="C103" s="37"/>
      <c r="D103" s="272">
        <f>sum(D99:D102)</f>
        <v>0</v>
      </c>
      <c r="E103" s="37"/>
      <c r="F103" s="272">
        <f>sum(F99:F102)</f>
        <v>0</v>
      </c>
      <c r="G103" s="37"/>
      <c r="H103" s="272">
        <f>sum(H99:H102)</f>
        <v>0</v>
      </c>
      <c r="I103" s="37"/>
      <c r="J103" s="272">
        <f>sum(J99:J102)</f>
        <v>0</v>
      </c>
      <c r="K103" s="37"/>
      <c r="L103" s="37"/>
      <c r="M103" s="37"/>
      <c r="N103" s="37"/>
      <c r="O103" s="37"/>
      <c r="P103" s="37"/>
      <c r="Q103" s="37"/>
      <c r="AC103" s="261"/>
      <c r="AD103" s="261"/>
    </row>
    <row r="104" outlineLevel="1">
      <c r="A104" s="37"/>
      <c r="B104" s="270">
        <v>1.0</v>
      </c>
      <c r="C104" s="270">
        <v>8.0</v>
      </c>
      <c r="D104" s="270">
        <f t="array" ref="D104">if(xlookup(B104,D80:D87,E80:E87)=C104,1,0)</f>
        <v>0</v>
      </c>
      <c r="E104" s="270">
        <v>7.0</v>
      </c>
      <c r="F104" s="270">
        <f t="array" ref="F104">if(xlookup(B104,D80:D87,E80:E87)=E104,1,0)</f>
        <v>0</v>
      </c>
      <c r="G104" s="270">
        <v>6.0</v>
      </c>
      <c r="H104" s="270">
        <f t="array" ref="H104">if(xlookup(B104,D80:D87,E80:E87)=G104,1,0)</f>
        <v>0</v>
      </c>
      <c r="I104" s="270">
        <v>5.0</v>
      </c>
      <c r="J104" s="270">
        <f t="array" ref="J104">if(xlookup(B104,D80:D87,E80:E87)=I104,1,0)</f>
        <v>0</v>
      </c>
      <c r="K104" s="37"/>
      <c r="L104" s="37"/>
      <c r="M104" s="37"/>
      <c r="N104" s="37"/>
      <c r="O104" s="37"/>
      <c r="P104" s="37"/>
      <c r="Q104" s="37"/>
      <c r="AC104" s="261"/>
      <c r="AD104" s="261"/>
    </row>
    <row r="105" outlineLevel="1">
      <c r="A105" s="37"/>
      <c r="B105" s="270">
        <v>2.0</v>
      </c>
      <c r="C105" s="270">
        <v>6.0</v>
      </c>
      <c r="D105" s="270">
        <f t="array" ref="D105">if(xlookup(B105,D80:D87,E80:E87)=C105,1,0)</f>
        <v>0</v>
      </c>
      <c r="E105" s="270">
        <v>6.0</v>
      </c>
      <c r="F105" s="270">
        <f t="array" ref="F105">if(xlookup(B105,D80:D87,E80:E87)=E105,1,0)</f>
        <v>0</v>
      </c>
      <c r="G105" s="270">
        <v>7.0</v>
      </c>
      <c r="H105" s="270">
        <f t="array" ref="H105">if(xlookup(B105,D80:D87,E80:E87)=G105,1,0)</f>
        <v>0</v>
      </c>
      <c r="I105" s="270">
        <v>7.0</v>
      </c>
      <c r="J105" s="270">
        <f t="array" ref="J105">if(xlookup(B105,D80:D87,E80:E87)=I105,1,0)</f>
        <v>0</v>
      </c>
      <c r="K105" s="37"/>
      <c r="L105" s="37"/>
      <c r="M105" s="37"/>
      <c r="N105" s="37"/>
      <c r="O105" s="37"/>
      <c r="P105" s="37"/>
      <c r="Q105" s="37"/>
      <c r="AC105" s="261"/>
      <c r="AD105" s="261"/>
    </row>
    <row r="106" outlineLevel="1">
      <c r="A106" s="37"/>
      <c r="B106" s="270">
        <v>3.0</v>
      </c>
      <c r="C106" s="270">
        <v>5.0</v>
      </c>
      <c r="D106" s="270">
        <f t="array" ref="D106">if(xlookup(B106,D80:D87,E80:E87)=C106,1,0)</f>
        <v>0</v>
      </c>
      <c r="E106" s="270">
        <v>5.0</v>
      </c>
      <c r="F106" s="270">
        <f t="array" ref="F106">if(xlookup(B106,D80:D87,E80:E87)=E106,1,0)</f>
        <v>0</v>
      </c>
      <c r="G106" s="270">
        <v>5.0</v>
      </c>
      <c r="H106" s="270">
        <f t="array" ref="H106">if(xlookup(B106,D80:D87,E80:E87)=G106,1,0)</f>
        <v>0</v>
      </c>
      <c r="I106" s="270">
        <v>6.0</v>
      </c>
      <c r="J106" s="270">
        <f t="array" ref="J106">if(xlookup(B106,D80:D87,E80:E87)=I106,1,0)</f>
        <v>0</v>
      </c>
      <c r="K106" s="37"/>
      <c r="L106" s="37"/>
      <c r="M106" s="37"/>
      <c r="N106" s="37"/>
      <c r="O106" s="37"/>
      <c r="P106" s="37"/>
      <c r="Q106" s="37"/>
      <c r="AC106" s="261"/>
      <c r="AD106" s="261"/>
    </row>
    <row r="107" outlineLevel="1">
      <c r="A107" s="37"/>
      <c r="B107" s="270">
        <v>4.0</v>
      </c>
      <c r="C107" s="270">
        <v>7.0</v>
      </c>
      <c r="D107" s="270">
        <f t="array" ref="D107">if(xlookup(B107,D80:D87,E80:E87)=C107,1,0)</f>
        <v>0</v>
      </c>
      <c r="E107" s="270">
        <v>8.0</v>
      </c>
      <c r="F107" s="270">
        <f t="array" ref="F107">if(xlookup(B107,D80:D87,E80:E87)=E107,1,0)</f>
        <v>0</v>
      </c>
      <c r="G107" s="270">
        <v>8.0</v>
      </c>
      <c r="H107" s="270">
        <f t="array" ref="H107">if(xlookup(B107,D80:D87,E80:E87)=G107,1,0)</f>
        <v>0</v>
      </c>
      <c r="I107" s="270">
        <v>8.0</v>
      </c>
      <c r="J107" s="270">
        <f t="array" ref="J107">if(xlookup(B107,D80:D87,E80:E87)=I107,1,0)</f>
        <v>0</v>
      </c>
      <c r="K107" s="37"/>
      <c r="L107" s="37"/>
      <c r="M107" s="37"/>
      <c r="N107" s="37"/>
      <c r="O107" s="37"/>
      <c r="P107" s="37"/>
      <c r="Q107" s="37"/>
      <c r="AC107" s="261"/>
      <c r="AD107" s="261"/>
    </row>
    <row r="108" outlineLevel="1">
      <c r="A108" s="270">
        <f>A103+1</f>
        <v>4</v>
      </c>
      <c r="B108" s="37"/>
      <c r="C108" s="37"/>
      <c r="D108" s="272">
        <f>sum(D104:D107)</f>
        <v>0</v>
      </c>
      <c r="E108" s="37"/>
      <c r="F108" s="272">
        <f>sum(F104:F107)</f>
        <v>0</v>
      </c>
      <c r="G108" s="37"/>
      <c r="H108" s="272">
        <f>sum(H104:H107)</f>
        <v>0</v>
      </c>
      <c r="I108" s="37"/>
      <c r="J108" s="272">
        <f>sum(J104:J107)</f>
        <v>0</v>
      </c>
      <c r="K108" s="37"/>
      <c r="L108" s="37"/>
      <c r="M108" s="37"/>
      <c r="N108" s="37"/>
      <c r="O108" s="37"/>
      <c r="P108" s="37"/>
      <c r="Q108" s="37"/>
      <c r="AC108" s="261"/>
      <c r="AD108" s="261"/>
    </row>
    <row r="109" outlineLevel="1">
      <c r="A109" s="37"/>
      <c r="B109" s="270">
        <v>1.0</v>
      </c>
      <c r="C109" s="270">
        <v>8.0</v>
      </c>
      <c r="D109" s="270">
        <f t="array" ref="D109">if(xlookup(B109,D80:D87,E80:E87)=C109,1,0)</f>
        <v>0</v>
      </c>
      <c r="E109" s="270">
        <v>7.0</v>
      </c>
      <c r="F109" s="270">
        <f t="array" ref="F109">if(xlookup(B109,D80:D87,E80:E87)=E109,1,0)</f>
        <v>0</v>
      </c>
      <c r="G109" s="270">
        <v>6.0</v>
      </c>
      <c r="H109" s="270">
        <f t="array" ref="H109">if(xlookup(B109,D80:D87,E80:E87)=G109,1,0)</f>
        <v>0</v>
      </c>
      <c r="I109" s="270">
        <v>5.0</v>
      </c>
      <c r="J109" s="270">
        <f t="array" ref="J109">if(xlookup(B109,D80:D87,E80:E87)=I109,1,0)</f>
        <v>0</v>
      </c>
      <c r="K109" s="37"/>
      <c r="L109" s="37"/>
      <c r="M109" s="37"/>
      <c r="N109" s="37"/>
      <c r="O109" s="37"/>
      <c r="P109" s="37"/>
      <c r="Q109" s="37"/>
      <c r="AC109" s="261"/>
      <c r="AD109" s="261"/>
    </row>
    <row r="110" outlineLevel="1">
      <c r="A110" s="37"/>
      <c r="B110" s="270">
        <v>2.0</v>
      </c>
      <c r="C110" s="270">
        <v>5.0</v>
      </c>
      <c r="D110" s="270">
        <f t="array" ref="D110">if(xlookup(B110,D80:D87,E80:E87)=C110,1,0)</f>
        <v>0</v>
      </c>
      <c r="E110" s="270">
        <v>5.0</v>
      </c>
      <c r="F110" s="270">
        <f t="array" ref="F110">if(xlookup(B110,D80:D87,E80:E87)=E110,1,0)</f>
        <v>0</v>
      </c>
      <c r="G110" s="270">
        <v>5.0</v>
      </c>
      <c r="H110" s="270">
        <f t="array" ref="H110">if(xlookup(B110,D80:D87,E80:E87)=G110,1,0)</f>
        <v>0</v>
      </c>
      <c r="I110" s="270">
        <v>6.0</v>
      </c>
      <c r="J110" s="270">
        <f t="array" ref="J110">if(xlookup(B110,D80:D87,E80:E87)=I110,1,0)</f>
        <v>0</v>
      </c>
      <c r="K110" s="37"/>
      <c r="L110" s="37"/>
      <c r="M110" s="37"/>
      <c r="N110" s="37"/>
      <c r="O110" s="37"/>
      <c r="P110" s="37"/>
      <c r="Q110" s="37"/>
      <c r="AC110" s="261"/>
      <c r="AD110" s="261"/>
    </row>
    <row r="111" outlineLevel="1">
      <c r="A111" s="37"/>
      <c r="B111" s="270">
        <v>3.0</v>
      </c>
      <c r="C111" s="270">
        <v>7.0</v>
      </c>
      <c r="D111" s="270">
        <f t="array" ref="D111">if(xlookup(B111,D80:D87,E80:E87)=C111,1,0)</f>
        <v>0</v>
      </c>
      <c r="E111" s="270">
        <v>8.0</v>
      </c>
      <c r="F111" s="270">
        <f t="array" ref="F111">if(xlookup(B111,D80:D87,E80:E87)=E111,1,0)</f>
        <v>0</v>
      </c>
      <c r="G111" s="270">
        <v>8.0</v>
      </c>
      <c r="H111" s="270">
        <f t="array" ref="H111">if(xlookup(B111,D80:D87,E80:E87)=G111,1,0)</f>
        <v>0</v>
      </c>
      <c r="I111" s="270">
        <v>8.0</v>
      </c>
      <c r="J111" s="270">
        <f t="array" ref="J111">if(xlookup(B111,D80:D87,E80:E87)=I111,1,0)</f>
        <v>0</v>
      </c>
      <c r="K111" s="37"/>
      <c r="L111" s="37"/>
      <c r="M111" s="37"/>
      <c r="N111" s="37"/>
      <c r="O111" s="37"/>
      <c r="P111" s="37"/>
      <c r="Q111" s="37"/>
      <c r="AC111" s="261"/>
      <c r="AD111" s="261"/>
    </row>
    <row r="112" outlineLevel="1">
      <c r="A112" s="37"/>
      <c r="B112" s="270">
        <v>4.0</v>
      </c>
      <c r="C112" s="270">
        <v>6.0</v>
      </c>
      <c r="D112" s="270">
        <f t="array" ref="D112">if(xlookup(B112,D80:D87,E80:E87)=C112,1,0)</f>
        <v>0</v>
      </c>
      <c r="E112" s="270">
        <v>6.0</v>
      </c>
      <c r="F112" s="270">
        <f t="array" ref="F112">if(xlookup(B112,D80:D87,E80:E87)=E112,1,0)</f>
        <v>0</v>
      </c>
      <c r="G112" s="270">
        <v>7.0</v>
      </c>
      <c r="H112" s="270">
        <f t="array" ref="H112">if(xlookup(B112,D80:D87,E80:E87)=G112,1,0)</f>
        <v>0</v>
      </c>
      <c r="I112" s="270">
        <v>7.0</v>
      </c>
      <c r="J112" s="270">
        <f t="array" ref="J112">if(xlookup(B112,D80:D87,E80:E87)=I112,1,0)</f>
        <v>0</v>
      </c>
      <c r="K112" s="37"/>
      <c r="L112" s="37"/>
      <c r="M112" s="37"/>
      <c r="N112" s="37"/>
      <c r="O112" s="37"/>
      <c r="P112" s="37"/>
      <c r="Q112" s="37"/>
      <c r="AC112" s="261"/>
      <c r="AD112" s="261"/>
    </row>
    <row r="113" outlineLevel="1">
      <c r="A113" s="270">
        <f>A108+1</f>
        <v>5</v>
      </c>
      <c r="B113" s="37"/>
      <c r="C113" s="37"/>
      <c r="D113" s="272">
        <f>sum(D109:D112)</f>
        <v>0</v>
      </c>
      <c r="E113" s="37"/>
      <c r="F113" s="272">
        <f>sum(F109:F112)</f>
        <v>0</v>
      </c>
      <c r="G113" s="37"/>
      <c r="H113" s="272">
        <f>sum(H109:H112)</f>
        <v>0</v>
      </c>
      <c r="I113" s="37"/>
      <c r="J113" s="272">
        <f>sum(J109:J112)</f>
        <v>0</v>
      </c>
      <c r="K113" s="37"/>
      <c r="L113" s="37"/>
      <c r="M113" s="37"/>
      <c r="N113" s="37"/>
      <c r="O113" s="37"/>
      <c r="P113" s="37"/>
      <c r="Q113" s="37"/>
      <c r="AC113" s="261"/>
      <c r="AD113" s="261"/>
    </row>
    <row r="114" outlineLevel="1">
      <c r="A114" s="37"/>
      <c r="B114" s="270">
        <v>1.0</v>
      </c>
      <c r="C114" s="270">
        <v>8.0</v>
      </c>
      <c r="D114" s="270">
        <f t="array" ref="D114">if(xlookup(B114,D80:D87,E80:E87)=C114,1,0)</f>
        <v>0</v>
      </c>
      <c r="E114" s="270">
        <v>7.0</v>
      </c>
      <c r="F114" s="270">
        <f t="array" ref="F114">if(xlookup(B114,D80:D87,E80:E87)=E114,1,0)</f>
        <v>0</v>
      </c>
      <c r="G114" s="270">
        <v>6.0</v>
      </c>
      <c r="H114" s="270">
        <f t="array" ref="H114">if(xlookup(B114,D80:D87,E80:E87)=G114,1,0)</f>
        <v>0</v>
      </c>
      <c r="I114" s="270">
        <v>5.0</v>
      </c>
      <c r="J114" s="270">
        <f t="array" ref="J114">if(xlookup(B114,D80:D87,E80:E87)=I114,1,0)</f>
        <v>0</v>
      </c>
      <c r="K114" s="37"/>
      <c r="L114" s="37"/>
      <c r="M114" s="37"/>
      <c r="N114" s="37"/>
      <c r="O114" s="37"/>
      <c r="P114" s="37"/>
      <c r="Q114" s="37"/>
      <c r="AC114" s="261"/>
      <c r="AD114" s="261"/>
    </row>
    <row r="115" outlineLevel="1">
      <c r="A115" s="37"/>
      <c r="B115" s="270">
        <v>2.0</v>
      </c>
      <c r="C115" s="270">
        <v>5.0</v>
      </c>
      <c r="D115" s="270">
        <f t="array" ref="D115">if(xlookup(B115,D80:D87,E80:E87)=C115,1,0)</f>
        <v>0</v>
      </c>
      <c r="E115" s="270">
        <v>5.0</v>
      </c>
      <c r="F115" s="270">
        <f t="array" ref="F115">if(xlookup(B115,D80:D87,E80:E87)=E115,1,0)</f>
        <v>0</v>
      </c>
      <c r="G115" s="270">
        <v>5.0</v>
      </c>
      <c r="H115" s="270">
        <f t="array" ref="H115">if(xlookup(B115,D80:D87,E80:E87)=G115,1,0)</f>
        <v>0</v>
      </c>
      <c r="I115" s="270">
        <v>6.0</v>
      </c>
      <c r="J115" s="270">
        <f t="array" ref="J115">if(xlookup(B115,D80:D87,E80:E87)=I115,1,0)</f>
        <v>0</v>
      </c>
      <c r="K115" s="37"/>
      <c r="L115" s="37"/>
      <c r="M115" s="37"/>
      <c r="N115" s="37"/>
      <c r="O115" s="37"/>
      <c r="P115" s="37"/>
      <c r="Q115" s="37"/>
      <c r="AC115" s="261"/>
      <c r="AD115" s="261"/>
    </row>
    <row r="116" outlineLevel="1">
      <c r="A116" s="37"/>
      <c r="B116" s="270">
        <v>3.0</v>
      </c>
      <c r="C116" s="270">
        <v>6.0</v>
      </c>
      <c r="D116" s="270">
        <f t="array" ref="D116">if(xlookup(B116,D80:D87,E80:E87)=C116,1,0)</f>
        <v>0</v>
      </c>
      <c r="E116" s="270">
        <v>6.0</v>
      </c>
      <c r="F116" s="270">
        <f t="array" ref="F116">if(xlookup(B116,D80:D87,E80:E87)=E116,1,0)</f>
        <v>0</v>
      </c>
      <c r="G116" s="270">
        <v>7.0</v>
      </c>
      <c r="H116" s="270">
        <f t="array" ref="H116">if(xlookup(B116,D80:D87,E80:E87)=G116,1,0)</f>
        <v>0</v>
      </c>
      <c r="I116" s="270">
        <v>7.0</v>
      </c>
      <c r="J116" s="270">
        <f t="array" ref="J116">if(xlookup(B116,D80:D87,E80:E87)=I116,1,0)</f>
        <v>0</v>
      </c>
      <c r="K116" s="37"/>
      <c r="L116" s="37"/>
      <c r="M116" s="37"/>
      <c r="N116" s="37"/>
      <c r="O116" s="37"/>
      <c r="P116" s="37"/>
      <c r="Q116" s="37"/>
      <c r="AC116" s="261"/>
      <c r="AD116" s="261"/>
    </row>
    <row r="117" outlineLevel="1">
      <c r="A117" s="37"/>
      <c r="B117" s="270">
        <v>4.0</v>
      </c>
      <c r="C117" s="270">
        <v>7.0</v>
      </c>
      <c r="D117" s="270">
        <f t="array" ref="D117">if(xlookup(B117,D80:D87,E80:E87)=C117,1,0)</f>
        <v>0</v>
      </c>
      <c r="E117" s="270">
        <v>8.0</v>
      </c>
      <c r="F117" s="270">
        <f t="array" ref="F117">if(xlookup(B117,D80:D87,E80:E87)=E117,1,0)</f>
        <v>0</v>
      </c>
      <c r="G117" s="270">
        <v>8.0</v>
      </c>
      <c r="H117" s="270">
        <f t="array" ref="H117">if(xlookup(B117,D80:D87,E80:E87)=G117,1,0)</f>
        <v>0</v>
      </c>
      <c r="I117" s="270">
        <v>8.0</v>
      </c>
      <c r="J117" s="270">
        <f t="array" ref="J117">if(xlookup(B117,D80:D87,E80:E87)=I117,1,0)</f>
        <v>0</v>
      </c>
      <c r="K117" s="37"/>
      <c r="L117" s="37"/>
      <c r="M117" s="37"/>
      <c r="N117" s="37"/>
      <c r="O117" s="37"/>
      <c r="P117" s="37"/>
      <c r="Q117" s="37"/>
      <c r="AC117" s="261"/>
      <c r="AD117" s="261"/>
    </row>
    <row r="118" outlineLevel="1">
      <c r="A118" s="270">
        <f>A113+1</f>
        <v>6</v>
      </c>
      <c r="B118" s="37"/>
      <c r="C118" s="37"/>
      <c r="D118" s="272">
        <f>sum(D114:D117)</f>
        <v>0</v>
      </c>
      <c r="E118" s="37"/>
      <c r="F118" s="272">
        <f>sum(F114:F117)</f>
        <v>0</v>
      </c>
      <c r="G118" s="37"/>
      <c r="H118" s="272">
        <f>sum(H114:H117)</f>
        <v>0</v>
      </c>
      <c r="I118" s="37"/>
      <c r="J118" s="272">
        <f>sum(J114:J117)</f>
        <v>0</v>
      </c>
      <c r="K118" s="37"/>
      <c r="L118" s="37"/>
      <c r="M118" s="37"/>
      <c r="N118" s="37"/>
      <c r="O118" s="37"/>
      <c r="P118" s="37"/>
      <c r="Q118" s="37"/>
      <c r="AC118" s="261"/>
      <c r="AD118" s="261"/>
    </row>
    <row r="119" outlineLevel="1">
      <c r="A119" s="37"/>
      <c r="B119" s="37"/>
      <c r="C119" s="37"/>
      <c r="D119" s="37"/>
      <c r="E119" s="37"/>
      <c r="F119" s="37"/>
      <c r="G119" s="37"/>
      <c r="H119" s="37"/>
      <c r="I119" s="37"/>
      <c r="J119" s="37"/>
      <c r="K119" s="37"/>
      <c r="L119" s="37"/>
      <c r="M119" s="37"/>
      <c r="N119" s="37"/>
      <c r="O119" s="37"/>
      <c r="P119" s="37"/>
      <c r="Q119" s="37"/>
      <c r="AC119" s="261"/>
      <c r="AD119" s="261"/>
    </row>
    <row r="120" outlineLevel="1">
      <c r="A120" s="37"/>
      <c r="B120" s="37"/>
      <c r="C120" s="37"/>
      <c r="D120" s="37"/>
      <c r="E120" s="37"/>
      <c r="F120" s="37"/>
      <c r="G120" s="37"/>
      <c r="H120" s="37"/>
      <c r="I120" s="37"/>
      <c r="J120" s="37"/>
      <c r="K120" s="37"/>
      <c r="L120" s="270">
        <f t="array" ref="L120:O120">xlookup(K121,D121:D144,F121:I144)</f>
        <v>8</v>
      </c>
      <c r="M120" s="270">
        <v>7.0</v>
      </c>
      <c r="N120" s="270">
        <v>6.0</v>
      </c>
      <c r="O120" s="270">
        <v>5.0</v>
      </c>
      <c r="P120" s="37"/>
      <c r="Q120" s="37"/>
      <c r="AC120" s="261"/>
      <c r="AD120" s="261"/>
    </row>
    <row r="121" outlineLevel="1">
      <c r="A121" s="37"/>
      <c r="B121" s="37"/>
      <c r="C121" s="270">
        <v>1.0</v>
      </c>
      <c r="D121" s="270">
        <v>1.0</v>
      </c>
      <c r="E121" s="272">
        <f t="array" ref="E121">xlookup(C121,A89:A118,D89:D118,"")</f>
        <v>0</v>
      </c>
      <c r="F121" s="270">
        <v>8.0</v>
      </c>
      <c r="G121" s="270">
        <v>7.0</v>
      </c>
      <c r="H121" s="270">
        <v>6.0</v>
      </c>
      <c r="I121" s="270">
        <v>5.0</v>
      </c>
      <c r="J121" s="37" t="str">
        <f t="array" ref="J121">xlookup(C121,A89:A117,G89:G117)</f>
        <v/>
      </c>
      <c r="K121" s="270">
        <f t="array" ref="K121:L144">sort(D121:E144,2,true)</f>
        <v>1</v>
      </c>
      <c r="L121" s="270">
        <v>0.0</v>
      </c>
      <c r="M121" s="37"/>
      <c r="N121" s="270">
        <v>1.0</v>
      </c>
      <c r="O121" s="270">
        <f t="array" ref="O121:O124">transpose(L120:O120)</f>
        <v>8</v>
      </c>
      <c r="P121" s="271" t="str">
        <f t="array" ref="P121">xlookup(N121,K70:K77,A70:A77,"")</f>
        <v>#N/A</v>
      </c>
      <c r="Q121" s="271" t="str">
        <f t="array" ref="Q121">xlookup(O121,K70:K77,A70:A77,"")</f>
        <v/>
      </c>
      <c r="AC121" s="261"/>
      <c r="AD121" s="261"/>
    </row>
    <row r="122" outlineLevel="1">
      <c r="A122" s="37"/>
      <c r="B122" s="37"/>
      <c r="C122" s="270">
        <f t="shared" ref="C122:D122" si="29">C121+1</f>
        <v>2</v>
      </c>
      <c r="D122" s="270">
        <f t="shared" si="29"/>
        <v>2</v>
      </c>
      <c r="E122" s="272">
        <f t="array" ref="E122">xlookup(C122,A89:A118,D89:D118,"")</f>
        <v>0</v>
      </c>
      <c r="F122" s="270">
        <v>8.0</v>
      </c>
      <c r="G122" s="270">
        <v>7.0</v>
      </c>
      <c r="H122" s="270">
        <v>5.0</v>
      </c>
      <c r="I122" s="270">
        <v>6.0</v>
      </c>
      <c r="J122" s="37"/>
      <c r="K122" s="270">
        <v>2.0</v>
      </c>
      <c r="L122" s="270">
        <v>0.0</v>
      </c>
      <c r="M122" s="37"/>
      <c r="N122" s="270">
        <v>2.0</v>
      </c>
      <c r="O122" s="270">
        <v>7.0</v>
      </c>
      <c r="P122" s="271" t="str">
        <f t="array" ref="P122">xlookup(N122,K70:K77,A70:A77,"")</f>
        <v/>
      </c>
      <c r="Q122" s="271" t="str">
        <f t="array" ref="Q122">xlookup(O122,K70:K77,A70:A77,"")</f>
        <v/>
      </c>
      <c r="AC122" s="261"/>
      <c r="AD122" s="261"/>
    </row>
    <row r="123" outlineLevel="1">
      <c r="A123" s="37"/>
      <c r="B123" s="37"/>
      <c r="C123" s="270">
        <f t="shared" ref="C123:D123" si="30">C122+1</f>
        <v>3</v>
      </c>
      <c r="D123" s="270">
        <f t="shared" si="30"/>
        <v>3</v>
      </c>
      <c r="E123" s="272">
        <f t="array" ref="E123">xlookup(C123,A89:A118,D89:D118,"")</f>
        <v>0</v>
      </c>
      <c r="F123" s="270">
        <v>8.0</v>
      </c>
      <c r="G123" s="270">
        <v>6.0</v>
      </c>
      <c r="H123" s="270">
        <v>7.0</v>
      </c>
      <c r="I123" s="270">
        <v>5.0</v>
      </c>
      <c r="J123" s="37"/>
      <c r="K123" s="270">
        <v>3.0</v>
      </c>
      <c r="L123" s="270">
        <v>0.0</v>
      </c>
      <c r="M123" s="37"/>
      <c r="N123" s="270">
        <v>3.0</v>
      </c>
      <c r="O123" s="270">
        <v>6.0</v>
      </c>
      <c r="P123" s="271" t="str">
        <f t="array" ref="P123">xlookup(N123,K70:K77,A70:A77,"")</f>
        <v/>
      </c>
      <c r="Q123" s="271" t="str">
        <f t="array" ref="Q123">xlookup(O123,K70:K77,A70:A77,"")</f>
        <v/>
      </c>
      <c r="AC123" s="261"/>
      <c r="AD123" s="261"/>
    </row>
    <row r="124" outlineLevel="1">
      <c r="A124" s="37"/>
      <c r="B124" s="37"/>
      <c r="C124" s="270">
        <f t="shared" ref="C124:D124" si="31">C123+1</f>
        <v>4</v>
      </c>
      <c r="D124" s="270">
        <f t="shared" si="31"/>
        <v>4</v>
      </c>
      <c r="E124" s="272">
        <f t="array" ref="E124">xlookup(C124,A89:A118,D89:D118,"")</f>
        <v>0</v>
      </c>
      <c r="F124" s="270">
        <v>8.0</v>
      </c>
      <c r="G124" s="270">
        <v>6.0</v>
      </c>
      <c r="H124" s="270">
        <v>5.0</v>
      </c>
      <c r="I124" s="270">
        <v>7.0</v>
      </c>
      <c r="J124" s="37"/>
      <c r="K124" s="270">
        <v>4.0</v>
      </c>
      <c r="L124" s="270">
        <v>0.0</v>
      </c>
      <c r="M124" s="37"/>
      <c r="N124" s="270">
        <v>4.0</v>
      </c>
      <c r="O124" s="270">
        <v>5.0</v>
      </c>
      <c r="P124" s="271" t="str">
        <f t="array" ref="P124">xlookup(N124,K70:K77,A70:A77,"")</f>
        <v/>
      </c>
      <c r="Q124" s="271" t="str">
        <f t="array" ref="Q124">xlookup(O124,K70:K77,A70:A77,"")</f>
        <v/>
      </c>
      <c r="AC124" s="261"/>
      <c r="AD124" s="261"/>
    </row>
    <row r="125" outlineLevel="1">
      <c r="A125" s="37"/>
      <c r="B125" s="37"/>
      <c r="C125" s="270">
        <f t="shared" ref="C125:D125" si="32">C124+1</f>
        <v>5</v>
      </c>
      <c r="D125" s="270">
        <f t="shared" si="32"/>
        <v>5</v>
      </c>
      <c r="E125" s="272">
        <f t="array" ref="E125">xlookup(C125,A89:A118,D89:D118,"")</f>
        <v>0</v>
      </c>
      <c r="F125" s="270">
        <v>8.0</v>
      </c>
      <c r="G125" s="270">
        <v>5.0</v>
      </c>
      <c r="H125" s="270">
        <v>7.0</v>
      </c>
      <c r="I125" s="270">
        <v>6.0</v>
      </c>
      <c r="J125" s="37"/>
      <c r="K125" s="270">
        <v>5.0</v>
      </c>
      <c r="L125" s="270">
        <v>0.0</v>
      </c>
      <c r="M125" s="37"/>
      <c r="N125" s="37"/>
      <c r="O125" s="37"/>
      <c r="P125" s="37"/>
      <c r="Q125" s="37"/>
      <c r="AC125" s="261"/>
      <c r="AD125" s="261"/>
    </row>
    <row r="126" outlineLevel="1">
      <c r="A126" s="37"/>
      <c r="B126" s="37"/>
      <c r="C126" s="270">
        <f t="shared" ref="C126:D126" si="33">C125+1</f>
        <v>6</v>
      </c>
      <c r="D126" s="270">
        <f t="shared" si="33"/>
        <v>6</v>
      </c>
      <c r="E126" s="272">
        <f t="array" ref="E126">xlookup(C126,A89:A118,D89:D118,"")</f>
        <v>0</v>
      </c>
      <c r="F126" s="270">
        <v>8.0</v>
      </c>
      <c r="G126" s="270">
        <v>5.0</v>
      </c>
      <c r="H126" s="270">
        <v>6.0</v>
      </c>
      <c r="I126" s="270">
        <v>7.0</v>
      </c>
      <c r="J126" s="37"/>
      <c r="K126" s="270">
        <v>6.0</v>
      </c>
      <c r="L126" s="270">
        <v>0.0</v>
      </c>
      <c r="M126" s="37"/>
      <c r="N126" s="37"/>
      <c r="O126" s="37"/>
      <c r="P126" s="37"/>
      <c r="Q126" s="37"/>
      <c r="AC126" s="261"/>
      <c r="AD126" s="261"/>
    </row>
    <row r="127" outlineLevel="1">
      <c r="A127" s="37"/>
      <c r="B127" s="37"/>
      <c r="C127" s="270">
        <v>1.0</v>
      </c>
      <c r="D127" s="270">
        <f>D126+1</f>
        <v>7</v>
      </c>
      <c r="E127" s="272">
        <f t="array" ref="E127">xlookup(C127,A89:A118,F89:F118,"")</f>
        <v>0</v>
      </c>
      <c r="F127" s="270">
        <v>7.0</v>
      </c>
      <c r="G127" s="270">
        <v>8.0</v>
      </c>
      <c r="H127" s="270">
        <v>6.0</v>
      </c>
      <c r="I127" s="270">
        <v>5.0</v>
      </c>
      <c r="J127" s="37"/>
      <c r="K127" s="270">
        <v>7.0</v>
      </c>
      <c r="L127" s="270">
        <v>0.0</v>
      </c>
      <c r="M127" s="37"/>
      <c r="N127" s="37"/>
      <c r="O127" s="37"/>
      <c r="P127" s="37"/>
      <c r="Q127" s="37"/>
      <c r="AC127" s="261"/>
      <c r="AD127" s="261"/>
    </row>
    <row r="128" outlineLevel="1">
      <c r="A128" s="37"/>
      <c r="B128" s="37"/>
      <c r="C128" s="270">
        <f t="shared" ref="C128:D128" si="34">C127+1</f>
        <v>2</v>
      </c>
      <c r="D128" s="270">
        <f t="shared" si="34"/>
        <v>8</v>
      </c>
      <c r="E128" s="272">
        <f t="array" ref="E128">xlookup(C128,A89:A118,F89:F118,"")</f>
        <v>0</v>
      </c>
      <c r="F128" s="270">
        <v>7.0</v>
      </c>
      <c r="G128" s="270">
        <v>8.0</v>
      </c>
      <c r="H128" s="270">
        <v>5.0</v>
      </c>
      <c r="I128" s="270">
        <v>6.0</v>
      </c>
      <c r="J128" s="37"/>
      <c r="K128" s="270">
        <v>8.0</v>
      </c>
      <c r="L128" s="270">
        <v>0.0</v>
      </c>
      <c r="M128" s="37"/>
      <c r="N128" s="37"/>
      <c r="O128" s="37"/>
      <c r="P128" s="37"/>
      <c r="Q128" s="37"/>
      <c r="AC128" s="261"/>
      <c r="AD128" s="261"/>
    </row>
    <row r="129" outlineLevel="1">
      <c r="A129" s="37"/>
      <c r="B129" s="37"/>
      <c r="C129" s="270">
        <f t="shared" ref="C129:D129" si="35">C128+1</f>
        <v>3</v>
      </c>
      <c r="D129" s="270">
        <f t="shared" si="35"/>
        <v>9</v>
      </c>
      <c r="E129" s="272">
        <f t="array" ref="E129">xlookup(C129,A89:A118,F89:F118,"")</f>
        <v>0</v>
      </c>
      <c r="F129" s="270">
        <v>7.0</v>
      </c>
      <c r="G129" s="270">
        <v>6.0</v>
      </c>
      <c r="H129" s="270">
        <v>8.0</v>
      </c>
      <c r="I129" s="270">
        <v>5.0</v>
      </c>
      <c r="J129" s="37"/>
      <c r="K129" s="270">
        <v>9.0</v>
      </c>
      <c r="L129" s="270">
        <v>0.0</v>
      </c>
      <c r="M129" s="37"/>
      <c r="N129" s="37"/>
      <c r="O129" s="37"/>
      <c r="P129" s="37"/>
      <c r="Q129" s="37"/>
      <c r="AC129" s="261"/>
      <c r="AD129" s="261"/>
    </row>
    <row r="130" outlineLevel="1">
      <c r="A130" s="37"/>
      <c r="B130" s="37"/>
      <c r="C130" s="270">
        <f t="shared" ref="C130:D130" si="36">C129+1</f>
        <v>4</v>
      </c>
      <c r="D130" s="270">
        <f t="shared" si="36"/>
        <v>10</v>
      </c>
      <c r="E130" s="272">
        <f t="array" ref="E130">xlookup(C130,A89:A118,F89:F118,"")</f>
        <v>0</v>
      </c>
      <c r="F130" s="270">
        <v>7.0</v>
      </c>
      <c r="G130" s="270">
        <v>6.0</v>
      </c>
      <c r="H130" s="270">
        <v>5.0</v>
      </c>
      <c r="I130" s="270">
        <v>8.0</v>
      </c>
      <c r="J130" s="37"/>
      <c r="K130" s="270">
        <v>10.0</v>
      </c>
      <c r="L130" s="270">
        <v>0.0</v>
      </c>
      <c r="M130" s="37"/>
      <c r="N130" s="37"/>
      <c r="O130" s="37"/>
      <c r="P130" s="37"/>
      <c r="Q130" s="37"/>
      <c r="AC130" s="261"/>
      <c r="AD130" s="261"/>
    </row>
    <row r="131" outlineLevel="1">
      <c r="A131" s="37"/>
      <c r="B131" s="37"/>
      <c r="C131" s="270">
        <f t="shared" ref="C131:D131" si="37">C130+1</f>
        <v>5</v>
      </c>
      <c r="D131" s="270">
        <f t="shared" si="37"/>
        <v>11</v>
      </c>
      <c r="E131" s="272">
        <f t="array" ref="E131">xlookup(C131,A89:A118,F89:F118,"")</f>
        <v>0</v>
      </c>
      <c r="F131" s="270">
        <v>7.0</v>
      </c>
      <c r="G131" s="270">
        <v>5.0</v>
      </c>
      <c r="H131" s="270">
        <v>8.0</v>
      </c>
      <c r="I131" s="270">
        <v>6.0</v>
      </c>
      <c r="J131" s="37"/>
      <c r="K131" s="270">
        <v>11.0</v>
      </c>
      <c r="L131" s="270">
        <v>0.0</v>
      </c>
      <c r="M131" s="37"/>
      <c r="N131" s="37"/>
      <c r="O131" s="37"/>
      <c r="P131" s="37"/>
      <c r="Q131" s="37"/>
      <c r="AC131" s="261"/>
      <c r="AD131" s="261"/>
    </row>
    <row r="132" outlineLevel="1">
      <c r="A132" s="37"/>
      <c r="B132" s="37"/>
      <c r="C132" s="270">
        <f t="shared" ref="C132:D132" si="38">C131+1</f>
        <v>6</v>
      </c>
      <c r="D132" s="270">
        <f t="shared" si="38"/>
        <v>12</v>
      </c>
      <c r="E132" s="272">
        <f t="array" ref="E132">xlookup(C132,A89:A118,F89:F118,"")</f>
        <v>0</v>
      </c>
      <c r="F132" s="270">
        <v>7.0</v>
      </c>
      <c r="G132" s="270">
        <v>5.0</v>
      </c>
      <c r="H132" s="270">
        <v>6.0</v>
      </c>
      <c r="I132" s="270">
        <v>8.0</v>
      </c>
      <c r="J132" s="37"/>
      <c r="K132" s="270">
        <v>12.0</v>
      </c>
      <c r="L132" s="270">
        <v>0.0</v>
      </c>
      <c r="M132" s="37"/>
      <c r="N132" s="37"/>
      <c r="O132" s="37"/>
      <c r="P132" s="37"/>
      <c r="Q132" s="37"/>
      <c r="AC132" s="261"/>
      <c r="AD132" s="261"/>
    </row>
    <row r="133" outlineLevel="1">
      <c r="A133" s="37"/>
      <c r="B133" s="37"/>
      <c r="C133" s="270">
        <v>1.0</v>
      </c>
      <c r="D133" s="270">
        <f>D132+1</f>
        <v>13</v>
      </c>
      <c r="E133" s="272">
        <f t="array" ref="E133">xlookup(C133,A89:A118,H89:H118,"")</f>
        <v>0</v>
      </c>
      <c r="F133" s="270">
        <v>6.0</v>
      </c>
      <c r="G133" s="270">
        <v>8.0</v>
      </c>
      <c r="H133" s="270">
        <v>7.0</v>
      </c>
      <c r="I133" s="270">
        <v>5.0</v>
      </c>
      <c r="J133" s="37"/>
      <c r="K133" s="270">
        <v>13.0</v>
      </c>
      <c r="L133" s="270">
        <v>0.0</v>
      </c>
      <c r="M133" s="37"/>
      <c r="N133" s="37"/>
      <c r="O133" s="37"/>
      <c r="P133" s="37"/>
      <c r="Q133" s="37"/>
      <c r="AC133" s="261"/>
      <c r="AD133" s="261"/>
    </row>
    <row r="134" outlineLevel="1">
      <c r="A134" s="37"/>
      <c r="B134" s="37"/>
      <c r="C134" s="270">
        <f t="shared" ref="C134:D134" si="39">C133+1</f>
        <v>2</v>
      </c>
      <c r="D134" s="270">
        <f t="shared" si="39"/>
        <v>14</v>
      </c>
      <c r="E134" s="272">
        <f t="array" ref="E134">xlookup(C134,A89:A118,H89:H118,"")</f>
        <v>0</v>
      </c>
      <c r="F134" s="270">
        <v>6.0</v>
      </c>
      <c r="G134" s="270">
        <v>8.0</v>
      </c>
      <c r="H134" s="270">
        <v>5.0</v>
      </c>
      <c r="I134" s="270">
        <v>7.0</v>
      </c>
      <c r="J134" s="37"/>
      <c r="K134" s="270">
        <v>14.0</v>
      </c>
      <c r="L134" s="270">
        <v>0.0</v>
      </c>
      <c r="M134" s="37"/>
      <c r="N134" s="37"/>
      <c r="O134" s="37"/>
      <c r="P134" s="37"/>
      <c r="Q134" s="37"/>
      <c r="AC134" s="261"/>
      <c r="AD134" s="261"/>
    </row>
    <row r="135" outlineLevel="1">
      <c r="A135" s="37"/>
      <c r="B135" s="37"/>
      <c r="C135" s="270">
        <f t="shared" ref="C135:D135" si="40">C134+1</f>
        <v>3</v>
      </c>
      <c r="D135" s="270">
        <f t="shared" si="40"/>
        <v>15</v>
      </c>
      <c r="E135" s="272">
        <f t="array" ref="E135">xlookup(C135,A89:A118,H89:H118,"")</f>
        <v>0</v>
      </c>
      <c r="F135" s="270">
        <v>6.0</v>
      </c>
      <c r="G135" s="270">
        <v>7.0</v>
      </c>
      <c r="H135" s="270">
        <v>8.0</v>
      </c>
      <c r="I135" s="270">
        <v>5.0</v>
      </c>
      <c r="J135" s="37"/>
      <c r="K135" s="270">
        <v>15.0</v>
      </c>
      <c r="L135" s="270">
        <v>0.0</v>
      </c>
      <c r="M135" s="37"/>
      <c r="N135" s="37"/>
      <c r="O135" s="37"/>
      <c r="P135" s="37"/>
      <c r="Q135" s="37"/>
      <c r="AC135" s="261"/>
      <c r="AD135" s="261"/>
    </row>
    <row r="136" outlineLevel="1">
      <c r="A136" s="37"/>
      <c r="B136" s="37"/>
      <c r="C136" s="270">
        <f t="shared" ref="C136:D136" si="41">C135+1</f>
        <v>4</v>
      </c>
      <c r="D136" s="270">
        <f t="shared" si="41"/>
        <v>16</v>
      </c>
      <c r="E136" s="272">
        <f t="array" ref="E136">xlookup(C136,A89:A118,H89:H118,"")</f>
        <v>0</v>
      </c>
      <c r="F136" s="270">
        <v>6.0</v>
      </c>
      <c r="G136" s="270">
        <v>7.0</v>
      </c>
      <c r="H136" s="270">
        <v>5.0</v>
      </c>
      <c r="I136" s="270">
        <v>8.0</v>
      </c>
      <c r="J136" s="37"/>
      <c r="K136" s="270">
        <v>16.0</v>
      </c>
      <c r="L136" s="270">
        <v>0.0</v>
      </c>
      <c r="M136" s="37"/>
      <c r="N136" s="37"/>
      <c r="O136" s="37"/>
      <c r="P136" s="37"/>
      <c r="Q136" s="37"/>
      <c r="AC136" s="261"/>
      <c r="AD136" s="261"/>
    </row>
    <row r="137" outlineLevel="1">
      <c r="A137" s="37"/>
      <c r="B137" s="37"/>
      <c r="C137" s="270">
        <f t="shared" ref="C137:D137" si="42">C136+1</f>
        <v>5</v>
      </c>
      <c r="D137" s="270">
        <f t="shared" si="42"/>
        <v>17</v>
      </c>
      <c r="E137" s="272">
        <f t="array" ref="E137">xlookup(C137,A89:A118,H89:H118,"")</f>
        <v>0</v>
      </c>
      <c r="F137" s="270">
        <v>6.0</v>
      </c>
      <c r="G137" s="270">
        <v>5.0</v>
      </c>
      <c r="H137" s="270">
        <v>8.0</v>
      </c>
      <c r="I137" s="270">
        <v>7.0</v>
      </c>
      <c r="J137" s="37"/>
      <c r="K137" s="270">
        <v>17.0</v>
      </c>
      <c r="L137" s="270">
        <v>0.0</v>
      </c>
      <c r="M137" s="37"/>
      <c r="N137" s="37"/>
      <c r="O137" s="37"/>
      <c r="P137" s="37"/>
      <c r="Q137" s="37"/>
      <c r="AC137" s="261"/>
      <c r="AD137" s="261"/>
    </row>
    <row r="138" outlineLevel="1">
      <c r="A138" s="37"/>
      <c r="B138" s="37"/>
      <c r="C138" s="270">
        <f t="shared" ref="C138:D138" si="43">C137+1</f>
        <v>6</v>
      </c>
      <c r="D138" s="270">
        <f t="shared" si="43"/>
        <v>18</v>
      </c>
      <c r="E138" s="272">
        <f t="array" ref="E138">xlookup(C138,A89:A118,H89:H118,"")</f>
        <v>0</v>
      </c>
      <c r="F138" s="270">
        <v>6.0</v>
      </c>
      <c r="G138" s="270">
        <v>5.0</v>
      </c>
      <c r="H138" s="270">
        <v>7.0</v>
      </c>
      <c r="I138" s="270">
        <v>8.0</v>
      </c>
      <c r="J138" s="37"/>
      <c r="K138" s="270">
        <v>18.0</v>
      </c>
      <c r="L138" s="270">
        <v>0.0</v>
      </c>
      <c r="M138" s="37"/>
      <c r="N138" s="37"/>
      <c r="O138" s="37"/>
      <c r="P138" s="37"/>
      <c r="Q138" s="37"/>
      <c r="AC138" s="261"/>
      <c r="AD138" s="261"/>
    </row>
    <row r="139" outlineLevel="1">
      <c r="A139" s="37"/>
      <c r="B139" s="37"/>
      <c r="C139" s="270">
        <v>1.0</v>
      </c>
      <c r="D139" s="270">
        <f>D138+1</f>
        <v>19</v>
      </c>
      <c r="E139" s="272">
        <f t="array" ref="E139">xlookup(C139,A89:A118,J89:J118,"")</f>
        <v>0</v>
      </c>
      <c r="F139" s="270">
        <v>5.0</v>
      </c>
      <c r="G139" s="270">
        <v>8.0</v>
      </c>
      <c r="H139" s="270">
        <v>7.0</v>
      </c>
      <c r="I139" s="270">
        <v>6.0</v>
      </c>
      <c r="J139" s="37"/>
      <c r="K139" s="270">
        <v>19.0</v>
      </c>
      <c r="L139" s="270">
        <v>0.0</v>
      </c>
      <c r="M139" s="37"/>
      <c r="N139" s="37"/>
      <c r="O139" s="37"/>
      <c r="P139" s="37"/>
      <c r="Q139" s="37"/>
      <c r="AC139" s="261"/>
      <c r="AD139" s="261"/>
    </row>
    <row r="140" outlineLevel="1">
      <c r="A140" s="37"/>
      <c r="B140" s="37"/>
      <c r="C140" s="270">
        <f t="shared" ref="C140:D140" si="44">C139+1</f>
        <v>2</v>
      </c>
      <c r="D140" s="270">
        <f t="shared" si="44"/>
        <v>20</v>
      </c>
      <c r="E140" s="272">
        <f t="array" ref="E140">xlookup(C140,A89:A118,J89:J118,"")</f>
        <v>0</v>
      </c>
      <c r="F140" s="270">
        <v>5.0</v>
      </c>
      <c r="G140" s="270">
        <v>8.0</v>
      </c>
      <c r="H140" s="270">
        <v>6.0</v>
      </c>
      <c r="I140" s="270">
        <v>7.0</v>
      </c>
      <c r="J140" s="37"/>
      <c r="K140" s="270">
        <v>20.0</v>
      </c>
      <c r="L140" s="270">
        <v>0.0</v>
      </c>
      <c r="M140" s="37"/>
      <c r="N140" s="37"/>
      <c r="O140" s="37"/>
      <c r="P140" s="37"/>
      <c r="Q140" s="37"/>
      <c r="AC140" s="261"/>
      <c r="AD140" s="261"/>
    </row>
    <row r="141" outlineLevel="1">
      <c r="A141" s="37"/>
      <c r="B141" s="37"/>
      <c r="C141" s="270">
        <f t="shared" ref="C141:D141" si="45">C140+1</f>
        <v>3</v>
      </c>
      <c r="D141" s="270">
        <f t="shared" si="45"/>
        <v>21</v>
      </c>
      <c r="E141" s="272">
        <f t="array" ref="E141">xlookup(C141,A89:A118,J89:J118,"")</f>
        <v>0</v>
      </c>
      <c r="F141" s="270">
        <v>5.0</v>
      </c>
      <c r="G141" s="270">
        <v>7.0</v>
      </c>
      <c r="H141" s="270">
        <v>8.0</v>
      </c>
      <c r="I141" s="270">
        <v>6.0</v>
      </c>
      <c r="J141" s="37"/>
      <c r="K141" s="270">
        <v>21.0</v>
      </c>
      <c r="L141" s="270">
        <v>0.0</v>
      </c>
      <c r="M141" s="37"/>
      <c r="N141" s="37"/>
      <c r="O141" s="37"/>
      <c r="P141" s="37"/>
      <c r="Q141" s="37"/>
      <c r="AC141" s="261"/>
      <c r="AD141" s="261"/>
    </row>
    <row r="142" outlineLevel="1">
      <c r="A142" s="37"/>
      <c r="B142" s="37"/>
      <c r="C142" s="270">
        <f t="shared" ref="C142:D142" si="46">C141+1</f>
        <v>4</v>
      </c>
      <c r="D142" s="270">
        <f t="shared" si="46"/>
        <v>22</v>
      </c>
      <c r="E142" s="272">
        <f t="array" ref="E142">xlookup(C142,A89:A118,J89:J118,"")</f>
        <v>0</v>
      </c>
      <c r="F142" s="270">
        <v>5.0</v>
      </c>
      <c r="G142" s="270">
        <v>7.0</v>
      </c>
      <c r="H142" s="270">
        <v>6.0</v>
      </c>
      <c r="I142" s="270">
        <v>8.0</v>
      </c>
      <c r="J142" s="37"/>
      <c r="K142" s="270">
        <v>22.0</v>
      </c>
      <c r="L142" s="270">
        <v>0.0</v>
      </c>
      <c r="M142" s="37"/>
      <c r="N142" s="37"/>
      <c r="O142" s="37"/>
      <c r="P142" s="37"/>
      <c r="Q142" s="37"/>
      <c r="AC142" s="261"/>
      <c r="AD142" s="261"/>
    </row>
    <row r="143" outlineLevel="1">
      <c r="A143" s="37"/>
      <c r="B143" s="37"/>
      <c r="C143" s="270">
        <f t="shared" ref="C143:D143" si="47">C142+1</f>
        <v>5</v>
      </c>
      <c r="D143" s="270">
        <f t="shared" si="47"/>
        <v>23</v>
      </c>
      <c r="E143" s="272">
        <f t="array" ref="E143">xlookup(C143,A89:A118,J89:J118,"")</f>
        <v>0</v>
      </c>
      <c r="F143" s="270">
        <v>5.0</v>
      </c>
      <c r="G143" s="270">
        <v>6.0</v>
      </c>
      <c r="H143" s="270">
        <v>8.0</v>
      </c>
      <c r="I143" s="270">
        <v>7.0</v>
      </c>
      <c r="J143" s="37"/>
      <c r="K143" s="270">
        <v>23.0</v>
      </c>
      <c r="L143" s="270">
        <v>0.0</v>
      </c>
      <c r="M143" s="37"/>
      <c r="N143" s="37"/>
      <c r="O143" s="37"/>
      <c r="P143" s="37"/>
      <c r="Q143" s="37"/>
      <c r="AC143" s="261"/>
      <c r="AD143" s="261"/>
    </row>
    <row r="144" outlineLevel="1">
      <c r="A144" s="37"/>
      <c r="B144" s="37"/>
      <c r="C144" s="270">
        <f t="shared" ref="C144:D144" si="48">C143+1</f>
        <v>6</v>
      </c>
      <c r="D144" s="270">
        <f t="shared" si="48"/>
        <v>24</v>
      </c>
      <c r="E144" s="272">
        <f t="array" ref="E144">xlookup(C144,A89:A118,J89:J118,"")</f>
        <v>0</v>
      </c>
      <c r="F144" s="270">
        <v>5.0</v>
      </c>
      <c r="G144" s="270">
        <v>6.0</v>
      </c>
      <c r="H144" s="270">
        <v>7.0</v>
      </c>
      <c r="I144" s="270">
        <v>8.0</v>
      </c>
      <c r="J144" s="37"/>
      <c r="K144" s="270">
        <v>24.0</v>
      </c>
      <c r="L144" s="270">
        <v>0.0</v>
      </c>
      <c r="M144" s="37"/>
      <c r="N144" s="37"/>
      <c r="O144" s="37"/>
      <c r="P144" s="37"/>
      <c r="Q144" s="37"/>
      <c r="AC144" s="261"/>
      <c r="AD144" s="261"/>
    </row>
    <row r="145">
      <c r="A145" s="268"/>
      <c r="AC145" s="261"/>
      <c r="AD145" s="261"/>
    </row>
    <row r="146">
      <c r="A146" s="37" t="s">
        <v>88</v>
      </c>
      <c r="B146" s="37" t="s">
        <v>327</v>
      </c>
      <c r="C146" s="37" t="s">
        <v>326</v>
      </c>
      <c r="D146" s="37" t="s">
        <v>371</v>
      </c>
      <c r="E146" s="37" t="s">
        <v>381</v>
      </c>
      <c r="F146" s="260" t="s">
        <v>398</v>
      </c>
      <c r="G146" s="261" t="s">
        <v>399</v>
      </c>
      <c r="H146" s="262" t="s">
        <v>400</v>
      </c>
      <c r="I146" s="267" t="s">
        <v>401</v>
      </c>
      <c r="J146" s="47" t="s">
        <v>402</v>
      </c>
      <c r="K146" s="37"/>
      <c r="AC146" s="261"/>
      <c r="AD146" s="261"/>
    </row>
    <row r="147">
      <c r="A147" s="48">
        <f t="shared" ref="A147:A162" si="49">A2</f>
        <v>1</v>
      </c>
      <c r="C147" s="48" t="str">
        <f t="array" ref="C147">xlookup($A147,qualdata!$M$2:$M$17,(xlookup(C$146,qualdata!$N$1:$BR$1,qualdata!$N$2:$BR$17)))</f>
        <v>Team 1 (Group 1)</v>
      </c>
      <c r="D147" s="48">
        <f t="array" ref="D147">xlookup($A147,qualdata!$M$2:$M$17,(xlookup(D$146,qualdata!$N$1:$BR$1,qualdata!$N$2:$BR$17)))</f>
        <v>16</v>
      </c>
      <c r="E147" s="48" t="str">
        <f t="array" ref="E147">xlookup($A147,qualdata!$M$2:$M$17,(xlookup(E$146,qualdata!$N$1:$BR$1,qualdata!$N$2:$BR$17)))</f>
        <v/>
      </c>
      <c r="F147" s="48" t="str">
        <f t="array" ref="F147">xlookup($A147,qualdata!$M$2:$M$17,(xlookup(F$146,qualdata!$N$1:$BR$1,qualdata!$N$2:$BR$17)))</f>
        <v/>
      </c>
      <c r="G147" s="48">
        <f t="array" ref="G147">xlookup($A147,qualdata!$M$2:$M$17,(xlookup(G$146,qualdata!$N$1:$BR$1,qualdata!$N$2:$BR$17)))</f>
        <v>0</v>
      </c>
      <c r="H147" s="48">
        <f t="array" ref="H147">xlookup($A147,qualdata!$M$2:$M$17,(xlookup(H$146,qualdata!$N$1:$BR$1,qualdata!$N$2:$BR$17)))</f>
        <v>0</v>
      </c>
      <c r="I147" s="48">
        <f t="array" ref="I147">xlookup($A147,qualdata!$M$2:$M$17,(xlookup(I$146,qualdata!$N$1:$BR$1,qualdata!$N$2:$BR$17)))</f>
        <v>0</v>
      </c>
      <c r="J147" s="48">
        <f t="array" ref="J147">xlookup($A147,qualdata!$M$2:$M$17,(xlookup(J$146,qualdata!$N$1:$BR$1,qualdata!$N$2:$BR$17)))</f>
        <v>0</v>
      </c>
      <c r="AC147" s="261"/>
      <c r="AD147" s="261"/>
    </row>
    <row r="148">
      <c r="A148" s="48">
        <f t="shared" si="49"/>
        <v>2</v>
      </c>
      <c r="C148" s="48" t="str">
        <f t="array" ref="C148">xlookup($A148,qualdata!$M$2:$M$17,(xlookup(C$146,qualdata!$N$1:$BR$1,qualdata!$N$2:$BR$17)))</f>
        <v>Team 2 (Group 1)</v>
      </c>
      <c r="D148" s="48">
        <f t="array" ref="D148">xlookup($A148,qualdata!$M$2:$M$17,(xlookup(D$146,qualdata!$N$1:$BR$1,qualdata!$N$2:$BR$17)))</f>
        <v>15</v>
      </c>
      <c r="E148" s="48" t="str">
        <f t="array" ref="E148">xlookup($A148,qualdata!$M$2:$M$17,(xlookup(E$146,qualdata!$N$1:$BR$1,qualdata!$N$2:$BR$17)))</f>
        <v/>
      </c>
      <c r="F148" s="48" t="str">
        <f t="array" ref="F148">xlookup($A148,qualdata!$M$2:$M$17,(xlookup(F$146,qualdata!$N$1:$BR$1,qualdata!$N$2:$BR$17)))</f>
        <v/>
      </c>
      <c r="G148" s="48">
        <f t="array" ref="G148">xlookup($A148,qualdata!$M$2:$M$17,(xlookup(G$146,qualdata!$N$1:$BR$1,qualdata!$N$2:$BR$17)))</f>
        <v>0</v>
      </c>
      <c r="H148" s="48">
        <f t="array" ref="H148">xlookup($A148,qualdata!$M$2:$M$17,(xlookup(H$146,qualdata!$N$1:$BR$1,qualdata!$N$2:$BR$17)))</f>
        <v>0</v>
      </c>
      <c r="I148" s="48">
        <f t="array" ref="I148">xlookup($A148,qualdata!$M$2:$M$17,(xlookup(I$146,qualdata!$N$1:$BR$1,qualdata!$N$2:$BR$17)))</f>
        <v>0</v>
      </c>
      <c r="J148" s="48">
        <f t="array" ref="J148">xlookup($A148,qualdata!$M$2:$M$17,(xlookup(J$146,qualdata!$N$1:$BR$1,qualdata!$N$2:$BR$17)))</f>
        <v>0</v>
      </c>
      <c r="AC148" s="261"/>
      <c r="AD148" s="261"/>
    </row>
    <row r="149">
      <c r="A149" s="48">
        <f t="shared" si="49"/>
        <v>3</v>
      </c>
      <c r="C149" s="48" t="str">
        <f t="array" ref="C149">xlookup($A149,qualdata!$M$2:$M$17,(xlookup(C$146,qualdata!$N$1:$BR$1,qualdata!$N$2:$BR$17)))</f>
        <v>Team 3 (Group 1)</v>
      </c>
      <c r="D149" s="48">
        <f t="array" ref="D149">xlookup($A149,qualdata!$M$2:$M$17,(xlookup(D$146,qualdata!$N$1:$BR$1,qualdata!$N$2:$BR$17)))</f>
        <v>14</v>
      </c>
      <c r="E149" s="48" t="str">
        <f t="array" ref="E149">xlookup($A149,qualdata!$M$2:$M$17,(xlookup(E$146,qualdata!$N$1:$BR$1,qualdata!$N$2:$BR$17)))</f>
        <v/>
      </c>
      <c r="F149" s="48" t="str">
        <f t="array" ref="F149">xlookup($A149,qualdata!$M$2:$M$17,(xlookup(F$146,qualdata!$N$1:$BR$1,qualdata!$N$2:$BR$17)))</f>
        <v/>
      </c>
      <c r="G149" s="48">
        <f t="array" ref="G149">xlookup($A149,qualdata!$M$2:$M$17,(xlookup(G$146,qualdata!$N$1:$BR$1,qualdata!$N$2:$BR$17)))</f>
        <v>0</v>
      </c>
      <c r="H149" s="48">
        <f t="array" ref="H149">xlookup($A149,qualdata!$M$2:$M$17,(xlookup(H$146,qualdata!$N$1:$BR$1,qualdata!$N$2:$BR$17)))</f>
        <v>0</v>
      </c>
      <c r="I149" s="48">
        <f t="array" ref="I149">xlookup($A149,qualdata!$M$2:$M$17,(xlookup(I$146,qualdata!$N$1:$BR$1,qualdata!$N$2:$BR$17)))</f>
        <v>0</v>
      </c>
      <c r="J149" s="48">
        <f t="array" ref="J149">xlookup($A149,qualdata!$M$2:$M$17,(xlookup(J$146,qualdata!$N$1:$BR$1,qualdata!$N$2:$BR$17)))</f>
        <v>0</v>
      </c>
      <c r="AC149" s="261"/>
      <c r="AD149" s="261"/>
    </row>
    <row r="150">
      <c r="A150" s="48">
        <f t="shared" si="49"/>
        <v>4</v>
      </c>
      <c r="C150" s="48" t="str">
        <f t="array" ref="C150">xlookup($A150,qualdata!$M$2:$M$17,(xlookup(C$146,qualdata!$N$1:$BR$1,qualdata!$N$2:$BR$17)))</f>
        <v>Team 4 (Group 1)</v>
      </c>
      <c r="D150" s="48">
        <f t="array" ref="D150">xlookup($A150,qualdata!$M$2:$M$17,(xlookup(D$146,qualdata!$N$1:$BR$1,qualdata!$N$2:$BR$17)))</f>
        <v>13</v>
      </c>
      <c r="E150" s="48" t="str">
        <f t="array" ref="E150">xlookup($A150,qualdata!$M$2:$M$17,(xlookup(E$146,qualdata!$N$1:$BR$1,qualdata!$N$2:$BR$17)))</f>
        <v/>
      </c>
      <c r="F150" s="48" t="str">
        <f t="array" ref="F150">xlookup($A150,qualdata!$M$2:$M$17,(xlookup(F$146,qualdata!$N$1:$BR$1,qualdata!$N$2:$BR$17)))</f>
        <v/>
      </c>
      <c r="G150" s="48">
        <f t="array" ref="G150">xlookup($A150,qualdata!$M$2:$M$17,(xlookup(G$146,qualdata!$N$1:$BR$1,qualdata!$N$2:$BR$17)))</f>
        <v>0</v>
      </c>
      <c r="H150" s="48">
        <f t="array" ref="H150">xlookup($A150,qualdata!$M$2:$M$17,(xlookup(H$146,qualdata!$N$1:$BR$1,qualdata!$N$2:$BR$17)))</f>
        <v>0</v>
      </c>
      <c r="I150" s="48">
        <f t="array" ref="I150">xlookup($A150,qualdata!$M$2:$M$17,(xlookup(I$146,qualdata!$N$1:$BR$1,qualdata!$N$2:$BR$17)))</f>
        <v>0</v>
      </c>
      <c r="J150" s="48">
        <f t="array" ref="J150">xlookup($A150,qualdata!$M$2:$M$17,(xlookup(J$146,qualdata!$N$1:$BR$1,qualdata!$N$2:$BR$17)))</f>
        <v>0</v>
      </c>
      <c r="AC150" s="261"/>
      <c r="AD150" s="261"/>
    </row>
    <row r="151">
      <c r="A151" s="48">
        <f t="shared" si="49"/>
        <v>5</v>
      </c>
      <c r="C151" s="48" t="str">
        <f t="array" ref="C151">xlookup($A151,qualdata!$M$2:$M$17,(xlookup(C$146,qualdata!$N$1:$BR$1,qualdata!$N$2:$BR$17)))</f>
        <v>Team 5 (Group 1)</v>
      </c>
      <c r="D151" s="48">
        <f t="array" ref="D151">xlookup($A151,qualdata!$M$2:$M$17,(xlookup(D$146,qualdata!$N$1:$BR$1,qualdata!$N$2:$BR$17)))</f>
        <v>12</v>
      </c>
      <c r="E151" s="48" t="str">
        <f t="array" ref="E151">xlookup($A151,qualdata!$M$2:$M$17,(xlookup(E$146,qualdata!$N$1:$BR$1,qualdata!$N$2:$BR$17)))</f>
        <v/>
      </c>
      <c r="F151" s="48" t="str">
        <f t="array" ref="F151">xlookup($A151,qualdata!$M$2:$M$17,(xlookup(F$146,qualdata!$N$1:$BR$1,qualdata!$N$2:$BR$17)))</f>
        <v/>
      </c>
      <c r="G151" s="48">
        <f t="array" ref="G151">xlookup($A151,qualdata!$M$2:$M$17,(xlookup(G$146,qualdata!$N$1:$BR$1,qualdata!$N$2:$BR$17)))</f>
        <v>0</v>
      </c>
      <c r="H151" s="48">
        <f t="array" ref="H151">xlookup($A151,qualdata!$M$2:$M$17,(xlookup(H$146,qualdata!$N$1:$BR$1,qualdata!$N$2:$BR$17)))</f>
        <v>0</v>
      </c>
      <c r="I151" s="48">
        <f t="array" ref="I151">xlookup($A151,qualdata!$M$2:$M$17,(xlookup(I$146,qualdata!$N$1:$BR$1,qualdata!$N$2:$BR$17)))</f>
        <v>0</v>
      </c>
      <c r="J151" s="48">
        <f t="array" ref="J151">xlookup($A151,qualdata!$M$2:$M$17,(xlookup(J$146,qualdata!$N$1:$BR$1,qualdata!$N$2:$BR$17)))</f>
        <v>0</v>
      </c>
      <c r="AC151" s="261"/>
      <c r="AD151" s="261"/>
    </row>
    <row r="152">
      <c r="A152" s="48">
        <f t="shared" si="49"/>
        <v>6</v>
      </c>
      <c r="C152" s="48" t="str">
        <f t="array" ref="C152">xlookup($A152,qualdata!$M$2:$M$17,(xlookup(C$146,qualdata!$N$1:$BR$1,qualdata!$N$2:$BR$17)))</f>
        <v>Team 6 (Group 1)</v>
      </c>
      <c r="D152" s="48">
        <f t="array" ref="D152">xlookup($A152,qualdata!$M$2:$M$17,(xlookup(D$146,qualdata!$N$1:$BR$1,qualdata!$N$2:$BR$17)))</f>
        <v>11</v>
      </c>
      <c r="E152" s="48" t="str">
        <f t="array" ref="E152">xlookup($A152,qualdata!$M$2:$M$17,(xlookup(E$146,qualdata!$N$1:$BR$1,qualdata!$N$2:$BR$17)))</f>
        <v/>
      </c>
      <c r="F152" s="48" t="str">
        <f t="array" ref="F152">xlookup($A152,qualdata!$M$2:$M$17,(xlookup(F$146,qualdata!$N$1:$BR$1,qualdata!$N$2:$BR$17)))</f>
        <v/>
      </c>
      <c r="G152" s="48">
        <f t="array" ref="G152">xlookup($A152,qualdata!$M$2:$M$17,(xlookup(G$146,qualdata!$N$1:$BR$1,qualdata!$N$2:$BR$17)))</f>
        <v>0</v>
      </c>
      <c r="H152" s="48">
        <f t="array" ref="H152">xlookup($A152,qualdata!$M$2:$M$17,(xlookup(H$146,qualdata!$N$1:$BR$1,qualdata!$N$2:$BR$17)))</f>
        <v>0</v>
      </c>
      <c r="I152" s="48">
        <f t="array" ref="I152">xlookup($A152,qualdata!$M$2:$M$17,(xlookup(I$146,qualdata!$N$1:$BR$1,qualdata!$N$2:$BR$17)))</f>
        <v>0</v>
      </c>
      <c r="J152" s="48">
        <f t="array" ref="J152">xlookup($A152,qualdata!$M$2:$M$17,(xlookup(J$146,qualdata!$N$1:$BR$1,qualdata!$N$2:$BR$17)))</f>
        <v>0</v>
      </c>
      <c r="AC152" s="261"/>
      <c r="AD152" s="261"/>
    </row>
    <row r="153">
      <c r="A153" s="48">
        <f t="shared" si="49"/>
        <v>7</v>
      </c>
      <c r="C153" s="48" t="str">
        <f t="array" ref="C153">xlookup($A153,qualdata!$M$2:$M$17,(xlookup(C$146,qualdata!$N$1:$BR$1,qualdata!$N$2:$BR$17)))</f>
        <v>Team 7 (Group 1)</v>
      </c>
      <c r="D153" s="48">
        <f t="array" ref="D153">xlookup($A153,qualdata!$M$2:$M$17,(xlookup(D$146,qualdata!$N$1:$BR$1,qualdata!$N$2:$BR$17)))</f>
        <v>10</v>
      </c>
      <c r="E153" s="48" t="str">
        <f t="array" ref="E153">xlookup($A153,qualdata!$M$2:$M$17,(xlookup(E$146,qualdata!$N$1:$BR$1,qualdata!$N$2:$BR$17)))</f>
        <v/>
      </c>
      <c r="F153" s="48" t="str">
        <f t="array" ref="F153">xlookup($A153,qualdata!$M$2:$M$17,(xlookup(F$146,qualdata!$N$1:$BR$1,qualdata!$N$2:$BR$17)))</f>
        <v/>
      </c>
      <c r="G153" s="48">
        <f t="array" ref="G153">xlookup($A153,qualdata!$M$2:$M$17,(xlookup(G$146,qualdata!$N$1:$BR$1,qualdata!$N$2:$BR$17)))</f>
        <v>0</v>
      </c>
      <c r="H153" s="48">
        <f t="array" ref="H153">xlookup($A153,qualdata!$M$2:$M$17,(xlookup(H$146,qualdata!$N$1:$BR$1,qualdata!$N$2:$BR$17)))</f>
        <v>0</v>
      </c>
      <c r="I153" s="48">
        <f t="array" ref="I153">xlookup($A153,qualdata!$M$2:$M$17,(xlookup(I$146,qualdata!$N$1:$BR$1,qualdata!$N$2:$BR$17)))</f>
        <v>0</v>
      </c>
      <c r="J153" s="48">
        <f t="array" ref="J153">xlookup($A153,qualdata!$M$2:$M$17,(xlookup(J$146,qualdata!$N$1:$BR$1,qualdata!$N$2:$BR$17)))</f>
        <v>0</v>
      </c>
      <c r="AC153" s="261"/>
      <c r="AD153" s="261"/>
    </row>
    <row r="154">
      <c r="A154" s="48">
        <f t="shared" si="49"/>
        <v>8</v>
      </c>
      <c r="C154" s="48" t="str">
        <f t="array" ref="C154">xlookup($A154,qualdata!$M$2:$M$17,(xlookup(C$146,qualdata!$N$1:$BR$1,qualdata!$N$2:$BR$17)))</f>
        <v>Team 8 (Group 1)</v>
      </c>
      <c r="D154" s="48">
        <f t="array" ref="D154">xlookup($A154,qualdata!$M$2:$M$17,(xlookup(D$146,qualdata!$N$1:$BR$1,qualdata!$N$2:$BR$17)))</f>
        <v>9</v>
      </c>
      <c r="E154" s="48" t="str">
        <f t="array" ref="E154">xlookup($A154,qualdata!$M$2:$M$17,(xlookup(E$146,qualdata!$N$1:$BR$1,qualdata!$N$2:$BR$17)))</f>
        <v/>
      </c>
      <c r="F154" s="48" t="str">
        <f t="array" ref="F154">xlookup($A154,qualdata!$M$2:$M$17,(xlookup(F$146,qualdata!$N$1:$BR$1,qualdata!$N$2:$BR$17)))</f>
        <v/>
      </c>
      <c r="G154" s="48">
        <f t="array" ref="G154">xlookup($A154,qualdata!$M$2:$M$17,(xlookup(G$146,qualdata!$N$1:$BR$1,qualdata!$N$2:$BR$17)))</f>
        <v>0</v>
      </c>
      <c r="H154" s="48">
        <f t="array" ref="H154">xlookup($A154,qualdata!$M$2:$M$17,(xlookup(H$146,qualdata!$N$1:$BR$1,qualdata!$N$2:$BR$17)))</f>
        <v>0</v>
      </c>
      <c r="I154" s="48">
        <f t="array" ref="I154">xlookup($A154,qualdata!$M$2:$M$17,(xlookup(I$146,qualdata!$N$1:$BR$1,qualdata!$N$2:$BR$17)))</f>
        <v>0</v>
      </c>
      <c r="J154" s="48">
        <f t="array" ref="J154">xlookup($A154,qualdata!$M$2:$M$17,(xlookup(J$146,qualdata!$N$1:$BR$1,qualdata!$N$2:$BR$17)))</f>
        <v>0</v>
      </c>
      <c r="AC154" s="261"/>
      <c r="AD154" s="261"/>
    </row>
    <row r="155">
      <c r="A155" s="48">
        <f t="shared" si="49"/>
        <v>9</v>
      </c>
      <c r="C155" s="48" t="str">
        <f t="array" ref="C155">xlookup($A155,qualdata!$M$2:$M$17,(xlookup(C$146,qualdata!$N$1:$BR$1,qualdata!$N$2:$BR$17)))</f>
        <v>Team 9 (Group 1)</v>
      </c>
      <c r="D155" s="48">
        <f t="array" ref="D155">xlookup($A155,qualdata!$M$2:$M$17,(xlookup(D$146,qualdata!$N$1:$BR$1,qualdata!$N$2:$BR$17)))</f>
        <v>8</v>
      </c>
      <c r="E155" s="48" t="str">
        <f t="array" ref="E155">xlookup($A155,qualdata!$M$2:$M$17,(xlookup(E$146,qualdata!$N$1:$BR$1,qualdata!$N$2:$BR$17)))</f>
        <v/>
      </c>
      <c r="F155" s="48" t="str">
        <f t="array" ref="F155">xlookup($A155,qualdata!$M$2:$M$17,(xlookup(F$146,qualdata!$N$1:$BR$1,qualdata!$N$2:$BR$17)))</f>
        <v/>
      </c>
      <c r="G155" s="48">
        <f t="array" ref="G155">xlookup($A155,qualdata!$M$2:$M$17,(xlookup(G$146,qualdata!$N$1:$BR$1,qualdata!$N$2:$BR$17)))</f>
        <v>0</v>
      </c>
      <c r="H155" s="48">
        <f t="array" ref="H155">xlookup($A155,qualdata!$M$2:$M$17,(xlookup(H$146,qualdata!$N$1:$BR$1,qualdata!$N$2:$BR$17)))</f>
        <v>0</v>
      </c>
      <c r="I155" s="48">
        <f t="array" ref="I155">xlookup($A155,qualdata!$M$2:$M$17,(xlookup(I$146,qualdata!$N$1:$BR$1,qualdata!$N$2:$BR$17)))</f>
        <v>0</v>
      </c>
      <c r="J155" s="48">
        <f t="array" ref="J155">xlookup($A155,qualdata!$M$2:$M$17,(xlookup(J$146,qualdata!$N$1:$BR$1,qualdata!$N$2:$BR$17)))</f>
        <v>0</v>
      </c>
      <c r="AC155" s="261"/>
      <c r="AD155" s="261"/>
    </row>
    <row r="156">
      <c r="A156" s="48">
        <f t="shared" si="49"/>
        <v>10</v>
      </c>
      <c r="C156" s="48" t="str">
        <f t="array" ref="C156">xlookup($A156,qualdata!$M$2:$M$17,(xlookup(C$146,qualdata!$N$1:$BR$1,qualdata!$N$2:$BR$17)))</f>
        <v>Team 10 (Group 1)</v>
      </c>
      <c r="D156" s="48">
        <f t="array" ref="D156">xlookup($A156,qualdata!$M$2:$M$17,(xlookup(D$146,qualdata!$N$1:$BR$1,qualdata!$N$2:$BR$17)))</f>
        <v>7</v>
      </c>
      <c r="E156" s="48" t="str">
        <f t="array" ref="E156">xlookup($A156,qualdata!$M$2:$M$17,(xlookup(E$146,qualdata!$N$1:$BR$1,qualdata!$N$2:$BR$17)))</f>
        <v/>
      </c>
      <c r="F156" s="48" t="str">
        <f t="array" ref="F156">xlookup($A156,qualdata!$M$2:$M$17,(xlookup(F$146,qualdata!$N$1:$BR$1,qualdata!$N$2:$BR$17)))</f>
        <v/>
      </c>
      <c r="G156" s="48">
        <f t="array" ref="G156">xlookup($A156,qualdata!$M$2:$M$17,(xlookup(G$146,qualdata!$N$1:$BR$1,qualdata!$N$2:$BR$17)))</f>
        <v>0</v>
      </c>
      <c r="H156" s="48">
        <f t="array" ref="H156">xlookup($A156,qualdata!$M$2:$M$17,(xlookup(H$146,qualdata!$N$1:$BR$1,qualdata!$N$2:$BR$17)))</f>
        <v>0</v>
      </c>
      <c r="I156" s="48">
        <f t="array" ref="I156">xlookup($A156,qualdata!$M$2:$M$17,(xlookup(I$146,qualdata!$N$1:$BR$1,qualdata!$N$2:$BR$17)))</f>
        <v>0</v>
      </c>
      <c r="J156" s="48">
        <f t="array" ref="J156">xlookup($A156,qualdata!$M$2:$M$17,(xlookup(J$146,qualdata!$N$1:$BR$1,qualdata!$N$2:$BR$17)))</f>
        <v>0</v>
      </c>
      <c r="AC156" s="261"/>
      <c r="AD156" s="261"/>
    </row>
    <row r="157">
      <c r="A157" s="48">
        <f t="shared" si="49"/>
        <v>11</v>
      </c>
      <c r="C157" s="48" t="str">
        <f t="array" ref="C157">xlookup($A157,qualdata!$M$2:$M$17,(xlookup(C$146,qualdata!$N$1:$BR$1,qualdata!$N$2:$BR$17)))</f>
        <v>Team 11 (Group 1)</v>
      </c>
      <c r="D157" s="48">
        <f t="array" ref="D157">xlookup($A157,qualdata!$M$2:$M$17,(xlookup(D$146,qualdata!$N$1:$BR$1,qualdata!$N$2:$BR$17)))</f>
        <v>6</v>
      </c>
      <c r="E157" s="48" t="str">
        <f t="array" ref="E157">xlookup($A157,qualdata!$M$2:$M$17,(xlookup(E$146,qualdata!$N$1:$BR$1,qualdata!$N$2:$BR$17)))</f>
        <v/>
      </c>
      <c r="F157" s="48" t="str">
        <f t="array" ref="F157">xlookup($A157,qualdata!$M$2:$M$17,(xlookup(F$146,qualdata!$N$1:$BR$1,qualdata!$N$2:$BR$17)))</f>
        <v/>
      </c>
      <c r="G157" s="48">
        <f t="array" ref="G157">xlookup($A157,qualdata!$M$2:$M$17,(xlookup(G$146,qualdata!$N$1:$BR$1,qualdata!$N$2:$BR$17)))</f>
        <v>0</v>
      </c>
      <c r="H157" s="48">
        <f t="array" ref="H157">xlookup($A157,qualdata!$M$2:$M$17,(xlookup(H$146,qualdata!$N$1:$BR$1,qualdata!$N$2:$BR$17)))</f>
        <v>0</v>
      </c>
      <c r="I157" s="48">
        <f t="array" ref="I157">xlookup($A157,qualdata!$M$2:$M$17,(xlookup(I$146,qualdata!$N$1:$BR$1,qualdata!$N$2:$BR$17)))</f>
        <v>0</v>
      </c>
      <c r="J157" s="48">
        <f t="array" ref="J157">xlookup($A157,qualdata!$M$2:$M$17,(xlookup(J$146,qualdata!$N$1:$BR$1,qualdata!$N$2:$BR$17)))</f>
        <v>0</v>
      </c>
      <c r="AC157" s="261"/>
      <c r="AD157" s="261"/>
    </row>
    <row r="158">
      <c r="A158" s="48">
        <f t="shared" si="49"/>
        <v>12</v>
      </c>
      <c r="C158" s="48" t="str">
        <f t="array" ref="C158">xlookup($A158,qualdata!$M$2:$M$17,(xlookup(C$146,qualdata!$N$1:$BR$1,qualdata!$N$2:$BR$17)))</f>
        <v>Team 12 (Group 1)</v>
      </c>
      <c r="D158" s="48">
        <f t="array" ref="D158">xlookup($A158,qualdata!$M$2:$M$17,(xlookup(D$146,qualdata!$N$1:$BR$1,qualdata!$N$2:$BR$17)))</f>
        <v>5</v>
      </c>
      <c r="E158" s="48" t="str">
        <f t="array" ref="E158">xlookup($A158,qualdata!$M$2:$M$17,(xlookup(E$146,qualdata!$N$1:$BR$1,qualdata!$N$2:$BR$17)))</f>
        <v/>
      </c>
      <c r="F158" s="48" t="str">
        <f t="array" ref="F158">xlookup($A158,qualdata!$M$2:$M$17,(xlookup(F$146,qualdata!$N$1:$BR$1,qualdata!$N$2:$BR$17)))</f>
        <v/>
      </c>
      <c r="G158" s="48">
        <f t="array" ref="G158">xlookup($A158,qualdata!$M$2:$M$17,(xlookup(G$146,qualdata!$N$1:$BR$1,qualdata!$N$2:$BR$17)))</f>
        <v>0</v>
      </c>
      <c r="H158" s="48">
        <f t="array" ref="H158">xlookup($A158,qualdata!$M$2:$M$17,(xlookup(H$146,qualdata!$N$1:$BR$1,qualdata!$N$2:$BR$17)))</f>
        <v>0</v>
      </c>
      <c r="I158" s="48">
        <f t="array" ref="I158">xlookup($A158,qualdata!$M$2:$M$17,(xlookup(I$146,qualdata!$N$1:$BR$1,qualdata!$N$2:$BR$17)))</f>
        <v>0</v>
      </c>
      <c r="J158" s="48">
        <f t="array" ref="J158">xlookup($A158,qualdata!$M$2:$M$17,(xlookup(J$146,qualdata!$N$1:$BR$1,qualdata!$N$2:$BR$17)))</f>
        <v>0</v>
      </c>
      <c r="AC158" s="261"/>
      <c r="AD158" s="261"/>
    </row>
    <row r="159">
      <c r="A159" s="48">
        <f t="shared" si="49"/>
        <v>13</v>
      </c>
      <c r="C159" s="48" t="str">
        <f t="array" ref="C159">xlookup($A159,qualdata!$M$2:$M$17,(xlookup(C$146,qualdata!$N$1:$BR$1,qualdata!$N$2:$BR$17)))</f>
        <v>Team 13 (Group 1)</v>
      </c>
      <c r="D159" s="48">
        <f t="array" ref="D159">xlookup($A159,qualdata!$M$2:$M$17,(xlookup(D$146,qualdata!$N$1:$BR$1,qualdata!$N$2:$BR$17)))</f>
        <v>4</v>
      </c>
      <c r="E159" s="48" t="str">
        <f t="array" ref="E159">xlookup($A159,qualdata!$M$2:$M$17,(xlookup(E$146,qualdata!$N$1:$BR$1,qualdata!$N$2:$BR$17)))</f>
        <v/>
      </c>
      <c r="F159" s="48" t="str">
        <f t="array" ref="F159">xlookup($A159,qualdata!$M$2:$M$17,(xlookup(F$146,qualdata!$N$1:$BR$1,qualdata!$N$2:$BR$17)))</f>
        <v/>
      </c>
      <c r="G159" s="48">
        <f t="array" ref="G159">xlookup($A159,qualdata!$M$2:$M$17,(xlookup(G$146,qualdata!$N$1:$BR$1,qualdata!$N$2:$BR$17)))</f>
        <v>0</v>
      </c>
      <c r="H159" s="48">
        <f t="array" ref="H159">xlookup($A159,qualdata!$M$2:$M$17,(xlookup(H$146,qualdata!$N$1:$BR$1,qualdata!$N$2:$BR$17)))</f>
        <v>0</v>
      </c>
      <c r="I159" s="48">
        <f t="array" ref="I159">xlookup($A159,qualdata!$M$2:$M$17,(xlookup(I$146,qualdata!$N$1:$BR$1,qualdata!$N$2:$BR$17)))</f>
        <v>0</v>
      </c>
      <c r="J159" s="48">
        <f t="array" ref="J159">xlookup($A159,qualdata!$M$2:$M$17,(xlookup(J$146,qualdata!$N$1:$BR$1,qualdata!$N$2:$BR$17)))</f>
        <v>0</v>
      </c>
      <c r="AC159" s="261"/>
      <c r="AD159" s="261"/>
    </row>
    <row r="160">
      <c r="A160" s="48">
        <f t="shared" si="49"/>
        <v>14</v>
      </c>
      <c r="C160" s="48" t="str">
        <f t="array" ref="C160">xlookup($A160,qualdata!$M$2:$M$17,(xlookup(C$146,qualdata!$N$1:$BR$1,qualdata!$N$2:$BR$17)))</f>
        <v>Team 14 (Group 1)</v>
      </c>
      <c r="D160" s="48">
        <f t="array" ref="D160">xlookup($A160,qualdata!$M$2:$M$17,(xlookup(D$146,qualdata!$N$1:$BR$1,qualdata!$N$2:$BR$17)))</f>
        <v>3</v>
      </c>
      <c r="E160" s="48" t="str">
        <f t="array" ref="E160">xlookup($A160,qualdata!$M$2:$M$17,(xlookup(E$146,qualdata!$N$1:$BR$1,qualdata!$N$2:$BR$17)))</f>
        <v/>
      </c>
      <c r="F160" s="48" t="str">
        <f t="array" ref="F160">xlookup($A160,qualdata!$M$2:$M$17,(xlookup(F$146,qualdata!$N$1:$BR$1,qualdata!$N$2:$BR$17)))</f>
        <v/>
      </c>
      <c r="G160" s="48">
        <f t="array" ref="G160">xlookup($A160,qualdata!$M$2:$M$17,(xlookup(G$146,qualdata!$N$1:$BR$1,qualdata!$N$2:$BR$17)))</f>
        <v>0</v>
      </c>
      <c r="H160" s="48">
        <f t="array" ref="H160">xlookup($A160,qualdata!$M$2:$M$17,(xlookup(H$146,qualdata!$N$1:$BR$1,qualdata!$N$2:$BR$17)))</f>
        <v>0</v>
      </c>
      <c r="I160" s="48">
        <f t="array" ref="I160">xlookup($A160,qualdata!$M$2:$M$17,(xlookup(I$146,qualdata!$N$1:$BR$1,qualdata!$N$2:$BR$17)))</f>
        <v>0</v>
      </c>
      <c r="J160" s="48">
        <f t="array" ref="J160">xlookup($A160,qualdata!$M$2:$M$17,(xlookup(J$146,qualdata!$N$1:$BR$1,qualdata!$N$2:$BR$17)))</f>
        <v>0</v>
      </c>
      <c r="AC160" s="261"/>
      <c r="AD160" s="261"/>
    </row>
    <row r="161">
      <c r="A161" s="48">
        <f t="shared" si="49"/>
        <v>15</v>
      </c>
      <c r="C161" s="48" t="str">
        <f t="array" ref="C161">xlookup($A161,qualdata!$M$2:$M$17,(xlookup(C$146,qualdata!$N$1:$BR$1,qualdata!$N$2:$BR$17)))</f>
        <v>Team 15 (Group 1)</v>
      </c>
      <c r="D161" s="48">
        <f t="array" ref="D161">xlookup($A161,qualdata!$M$2:$M$17,(xlookup(D$146,qualdata!$N$1:$BR$1,qualdata!$N$2:$BR$17)))</f>
        <v>2</v>
      </c>
      <c r="E161" s="48" t="str">
        <f t="array" ref="E161">xlookup($A161,qualdata!$M$2:$M$17,(xlookup(E$146,qualdata!$N$1:$BR$1,qualdata!$N$2:$BR$17)))</f>
        <v/>
      </c>
      <c r="F161" s="48" t="str">
        <f t="array" ref="F161">xlookup($A161,qualdata!$M$2:$M$17,(xlookup(F$146,qualdata!$N$1:$BR$1,qualdata!$N$2:$BR$17)))</f>
        <v/>
      </c>
      <c r="G161" s="48">
        <f t="array" ref="G161">xlookup($A161,qualdata!$M$2:$M$17,(xlookup(G$146,qualdata!$N$1:$BR$1,qualdata!$N$2:$BR$17)))</f>
        <v>0</v>
      </c>
      <c r="H161" s="48">
        <f t="array" ref="H161">xlookup($A161,qualdata!$M$2:$M$17,(xlookup(H$146,qualdata!$N$1:$BR$1,qualdata!$N$2:$BR$17)))</f>
        <v>0</v>
      </c>
      <c r="I161" s="48">
        <f t="array" ref="I161">xlookup($A161,qualdata!$M$2:$M$17,(xlookup(I$146,qualdata!$N$1:$BR$1,qualdata!$N$2:$BR$17)))</f>
        <v>0</v>
      </c>
      <c r="J161" s="48">
        <f t="array" ref="J161">xlookup($A161,qualdata!$M$2:$M$17,(xlookup(J$146,qualdata!$N$1:$BR$1,qualdata!$N$2:$BR$17)))</f>
        <v>0</v>
      </c>
      <c r="AC161" s="261"/>
      <c r="AD161" s="261"/>
    </row>
    <row r="162">
      <c r="A162" s="48">
        <f t="shared" si="49"/>
        <v>16</v>
      </c>
      <c r="C162" s="48" t="str">
        <f t="array" ref="C162">xlookup($A162,qualdata!$M$2:$M$17,(xlookup(C$146,qualdata!$N$1:$BR$1,qualdata!$N$2:$BR$17)))</f>
        <v>Team 16 (Group 1)</v>
      </c>
      <c r="D162" s="48">
        <f t="array" ref="D162">xlookup($A162,qualdata!$M$2:$M$17,(xlookup(D$146,qualdata!$N$1:$BR$1,qualdata!$N$2:$BR$17)))</f>
        <v>1</v>
      </c>
      <c r="E162" s="48" t="str">
        <f t="array" ref="E162">xlookup($A162,qualdata!$M$2:$M$17,(xlookup(E$146,qualdata!$N$1:$BR$1,qualdata!$N$2:$BR$17)))</f>
        <v/>
      </c>
      <c r="F162" s="48" t="str">
        <f t="array" ref="F162">xlookup($A162,qualdata!$M$2:$M$17,(xlookup(F$146,qualdata!$N$1:$BR$1,qualdata!$N$2:$BR$17)))</f>
        <v/>
      </c>
      <c r="G162" s="48">
        <f t="array" ref="G162">xlookup($A162,qualdata!$M$2:$M$17,(xlookup(G$146,qualdata!$N$1:$BR$1,qualdata!$N$2:$BR$17)))</f>
        <v>0</v>
      </c>
      <c r="H162" s="48">
        <f t="array" ref="H162">xlookup($A162,qualdata!$M$2:$M$17,(xlookup(H$146,qualdata!$N$1:$BR$1,qualdata!$N$2:$BR$17)))</f>
        <v>0</v>
      </c>
      <c r="I162" s="48">
        <f t="array" ref="I162">xlookup($A162,qualdata!$M$2:$M$17,(xlookup(I$146,qualdata!$N$1:$BR$1,qualdata!$N$2:$BR$17)))</f>
        <v>0</v>
      </c>
      <c r="J162" s="48">
        <f t="array" ref="J162">xlookup($A162,qualdata!$M$2:$M$17,(xlookup(J$146,qualdata!$N$1:$BR$1,qualdata!$N$2:$BR$17)))</f>
        <v>0</v>
      </c>
      <c r="AC162" s="261"/>
      <c r="AD162" s="261"/>
    </row>
    <row r="163">
      <c r="A163" s="269" t="s">
        <v>37</v>
      </c>
      <c r="AB163" s="47" t="s">
        <v>403</v>
      </c>
      <c r="AC163" s="265" t="str">
        <f>iferror(K176,"")</f>
        <v/>
      </c>
      <c r="AD163" s="268" t="str">
        <f>L176</f>
        <v>#N/A</v>
      </c>
      <c r="AE163" s="48" t="str">
        <f>'Contender Stage'!CX175</f>
        <v/>
      </c>
      <c r="AF163" s="48" t="str">
        <f>'Contender Stage'!DB175</f>
        <v/>
      </c>
      <c r="AG163" s="48">
        <f>'Contender Stage'!CX179</f>
        <v>0</v>
      </c>
      <c r="AH163" s="48">
        <f>'Contender Stage'!DB179</f>
        <v>0</v>
      </c>
    </row>
    <row r="164">
      <c r="A164" s="37" t="s">
        <v>88</v>
      </c>
      <c r="B164" s="37" t="s">
        <v>327</v>
      </c>
      <c r="C164" s="37" t="s">
        <v>326</v>
      </c>
      <c r="D164" s="37" t="s">
        <v>371</v>
      </c>
      <c r="E164" s="37" t="s">
        <v>381</v>
      </c>
      <c r="F164" s="260" t="s">
        <v>398</v>
      </c>
      <c r="G164" s="261" t="s">
        <v>399</v>
      </c>
      <c r="H164" s="262" t="s">
        <v>400</v>
      </c>
      <c r="I164" s="267" t="s">
        <v>401</v>
      </c>
      <c r="J164" s="47" t="s">
        <v>402</v>
      </c>
      <c r="K164" s="263" t="s">
        <v>394</v>
      </c>
      <c r="AC164" s="265" t="str">
        <f t="shared" ref="AC164:AD164" si="50">K177</f>
        <v>#N/A</v>
      </c>
      <c r="AD164" s="268" t="str">
        <f t="shared" si="50"/>
        <v>#N/A</v>
      </c>
      <c r="AE164" s="48" t="str">
        <f>'Contender Stage'!CX182</f>
        <v/>
      </c>
      <c r="AF164" s="48" t="str">
        <f>'Contender Stage'!DB182</f>
        <v/>
      </c>
      <c r="AG164" s="48">
        <f>'Contender Stage'!CX186</f>
        <v>0</v>
      </c>
      <c r="AH164" s="48">
        <f>'Contender Stage'!DB186</f>
        <v>0</v>
      </c>
    </row>
    <row r="165">
      <c r="A165" s="48" t="str">
        <f>IFERROR(__xludf.DUMMYFUNCTION("sort(filter(A147:J162,I147:I162=2),6,true,8,false,10,false)"),"#N/A")</f>
        <v>#N/A</v>
      </c>
      <c r="K165" s="47">
        <v>1.0</v>
      </c>
      <c r="AC165" s="268" t="str">
        <f t="shared" ref="AC165:AD165" si="51">K178</f>
        <v>#N/A</v>
      </c>
      <c r="AD165" s="268" t="str">
        <f t="shared" si="51"/>
        <v>#N/A</v>
      </c>
      <c r="AE165" s="48" t="str">
        <f>'Contender Stage'!CX189</f>
        <v/>
      </c>
      <c r="AF165" s="48" t="str">
        <f>'Contender Stage'!DB189</f>
        <v/>
      </c>
      <c r="AG165" s="48">
        <f>'Contender Stage'!CX193</f>
        <v>0</v>
      </c>
      <c r="AH165" s="48">
        <f>'Contender Stage'!DB193</f>
        <v>0</v>
      </c>
    </row>
    <row r="166">
      <c r="K166" s="47">
        <v>2.0</v>
      </c>
      <c r="AC166" s="268" t="str">
        <f t="shared" ref="AC166:AC168" si="52">AD163</f>
        <v>#N/A</v>
      </c>
      <c r="AD166" s="265" t="str">
        <f t="shared" ref="AD166:AD168" si="53">AC163</f>
        <v/>
      </c>
      <c r="AE166" s="48" t="str">
        <f t="shared" ref="AE166:AE168" si="54">AF163</f>
        <v/>
      </c>
      <c r="AF166" s="48" t="str">
        <f t="shared" ref="AF166:AF168" si="55">AE163</f>
        <v/>
      </c>
      <c r="AG166" s="48">
        <f t="shared" ref="AG166:AG168" si="56">AH163</f>
        <v>0</v>
      </c>
      <c r="AH166" s="48">
        <f t="shared" ref="AH166:AH168" si="57">AG163</f>
        <v>0</v>
      </c>
    </row>
    <row r="167">
      <c r="K167" s="47">
        <v>3.0</v>
      </c>
      <c r="AC167" s="268" t="str">
        <f t="shared" si="52"/>
        <v>#N/A</v>
      </c>
      <c r="AD167" s="265" t="str">
        <f t="shared" si="53"/>
        <v>#N/A</v>
      </c>
      <c r="AE167" s="48" t="str">
        <f t="shared" si="54"/>
        <v/>
      </c>
      <c r="AF167" s="48" t="str">
        <f t="shared" si="55"/>
        <v/>
      </c>
      <c r="AG167" s="48">
        <f t="shared" si="56"/>
        <v>0</v>
      </c>
      <c r="AH167" s="48">
        <f t="shared" si="57"/>
        <v>0</v>
      </c>
    </row>
    <row r="168">
      <c r="K168" s="47">
        <v>4.0</v>
      </c>
      <c r="AC168" s="268" t="str">
        <f t="shared" si="52"/>
        <v>#N/A</v>
      </c>
      <c r="AD168" s="268" t="str">
        <f t="shared" si="53"/>
        <v>#N/A</v>
      </c>
      <c r="AE168" s="48" t="str">
        <f t="shared" si="54"/>
        <v/>
      </c>
      <c r="AF168" s="48" t="str">
        <f t="shared" si="55"/>
        <v/>
      </c>
      <c r="AG168" s="48">
        <f t="shared" si="56"/>
        <v>0</v>
      </c>
      <c r="AH168" s="48">
        <f t="shared" si="57"/>
        <v>0</v>
      </c>
    </row>
    <row r="169">
      <c r="K169" s="47">
        <v>5.0</v>
      </c>
      <c r="AB169" s="47" t="s">
        <v>404</v>
      </c>
      <c r="AC169" s="261" t="str">
        <f>iferror(K239,"")</f>
        <v/>
      </c>
      <c r="AD169" s="268" t="str">
        <f>L239</f>
        <v>#N/A</v>
      </c>
      <c r="AE169" s="48" t="str">
        <f>'Contender Stage'!FJ175</f>
        <v/>
      </c>
      <c r="AF169" s="48" t="str">
        <f>'Contender Stage'!FN175</f>
        <v/>
      </c>
      <c r="AG169" s="48">
        <f>'Contender Stage'!FJ179</f>
        <v>0</v>
      </c>
      <c r="AH169" s="48">
        <f>'Contender Stage'!FN179</f>
        <v>0</v>
      </c>
    </row>
    <row r="170">
      <c r="K170" s="47">
        <v>6.0</v>
      </c>
      <c r="AC170" s="268" t="str">
        <f t="shared" ref="AC170:AD170" si="58">K240</f>
        <v>#N/A</v>
      </c>
      <c r="AD170" s="268" t="str">
        <f t="shared" si="58"/>
        <v>#N/A</v>
      </c>
      <c r="AE170" s="48" t="str">
        <f>'Contender Stage'!FJ182</f>
        <v/>
      </c>
      <c r="AF170" s="48" t="str">
        <f>'Contender Stage'!FN182</f>
        <v/>
      </c>
      <c r="AG170" s="48">
        <f>'Contender Stage'!FJ186</f>
        <v>0</v>
      </c>
      <c r="AH170" s="48">
        <f>'Contender Stage'!FN186</f>
        <v>0</v>
      </c>
    </row>
    <row r="171">
      <c r="A171" s="37"/>
      <c r="B171" s="37"/>
      <c r="C171" s="37" t="s">
        <v>394</v>
      </c>
      <c r="D171" s="37" t="s">
        <v>405</v>
      </c>
      <c r="E171" s="37" t="s">
        <v>406</v>
      </c>
      <c r="F171" s="37"/>
      <c r="G171" s="37"/>
      <c r="H171" s="37"/>
      <c r="I171" s="37"/>
      <c r="J171" s="37"/>
      <c r="K171" s="37"/>
      <c r="L171" s="37"/>
      <c r="M171" s="37"/>
      <c r="N171" s="37"/>
      <c r="O171" s="37"/>
      <c r="P171" s="37"/>
      <c r="Q171" s="37"/>
      <c r="AC171" s="268" t="str">
        <f t="shared" ref="AC171:AD171" si="59">K241</f>
        <v>#N/A</v>
      </c>
      <c r="AD171" s="268" t="str">
        <f t="shared" si="59"/>
        <v>#N/A</v>
      </c>
      <c r="AE171" s="48" t="str">
        <f>'Contender Stage'!FJ189</f>
        <v/>
      </c>
      <c r="AF171" s="48" t="str">
        <f>'Contender Stage'!FN189</f>
        <v/>
      </c>
      <c r="AG171" s="48">
        <f>'Contender Stage'!FJ193</f>
        <v>0</v>
      </c>
      <c r="AH171" s="48">
        <f>'Contender Stage'!FN193</f>
        <v>0</v>
      </c>
    </row>
    <row r="172">
      <c r="A172" s="270" t="str">
        <f t="shared" ref="A172:A177" si="60">A165</f>
        <v>#N/A</v>
      </c>
      <c r="B172" s="37" t="str">
        <f t="shared" ref="B172:B177" si="61">C165</f>
        <v/>
      </c>
      <c r="C172" s="270">
        <f t="shared" ref="C172:C177" si="62">K165</f>
        <v>1</v>
      </c>
      <c r="D172" s="37" t="str">
        <f t="array" ref="D172">xlookup(D165,A165:A170,K165:K170,"")</f>
        <v/>
      </c>
      <c r="E172" s="270" t="str">
        <f t="array" ref="E172">xlookup(E165,A165:A170,K165:K170,"")</f>
        <v/>
      </c>
      <c r="F172" s="37"/>
      <c r="G172" s="37"/>
      <c r="H172" s="37"/>
      <c r="I172" s="37"/>
      <c r="J172" s="37"/>
      <c r="K172" s="37"/>
      <c r="L172" s="37"/>
      <c r="M172" s="37"/>
      <c r="N172" s="37"/>
      <c r="O172" s="37"/>
      <c r="P172" s="37"/>
      <c r="Q172" s="37"/>
      <c r="AC172" s="268" t="str">
        <f t="shared" ref="AC172:AC174" si="63">AD169</f>
        <v>#N/A</v>
      </c>
      <c r="AD172" s="261" t="str">
        <f t="shared" ref="AD172:AD174" si="64">AC169</f>
        <v/>
      </c>
      <c r="AE172" s="48" t="str">
        <f t="shared" ref="AE172:AE174" si="65">AF169</f>
        <v/>
      </c>
      <c r="AF172" s="48" t="str">
        <f t="shared" ref="AF172:AF174" si="66">AE169</f>
        <v/>
      </c>
      <c r="AG172" s="48">
        <f t="shared" ref="AG172:AG174" si="67">AH169</f>
        <v>0</v>
      </c>
      <c r="AH172" s="48">
        <f t="shared" ref="AH172:AH174" si="68">AG169</f>
        <v>0</v>
      </c>
    </row>
    <row r="173">
      <c r="A173" s="270" t="str">
        <f t="shared" si="60"/>
        <v/>
      </c>
      <c r="B173" s="37" t="str">
        <f t="shared" si="61"/>
        <v/>
      </c>
      <c r="C173" s="270">
        <f t="shared" si="62"/>
        <v>2</v>
      </c>
      <c r="D173" s="37" t="str">
        <f t="array" ref="D173">xlookup(D166,A165:A170,K165:K170,"")</f>
        <v/>
      </c>
      <c r="E173" s="270" t="str">
        <f t="array" ref="E173">xlookup(E166,A165:A170,K165:K170,"")</f>
        <v/>
      </c>
      <c r="F173" s="37"/>
      <c r="G173" s="37"/>
      <c r="H173" s="37"/>
      <c r="I173" s="37"/>
      <c r="J173" s="37"/>
      <c r="K173" s="37"/>
      <c r="L173" s="37"/>
      <c r="M173" s="37"/>
      <c r="N173" s="37"/>
      <c r="O173" s="37"/>
      <c r="P173" s="37"/>
      <c r="Q173" s="37"/>
      <c r="AC173" s="268" t="str">
        <f t="shared" si="63"/>
        <v>#N/A</v>
      </c>
      <c r="AD173" s="268" t="str">
        <f t="shared" si="64"/>
        <v>#N/A</v>
      </c>
      <c r="AE173" s="48" t="str">
        <f t="shared" si="65"/>
        <v/>
      </c>
      <c r="AF173" s="48" t="str">
        <f t="shared" si="66"/>
        <v/>
      </c>
      <c r="AG173" s="48">
        <f t="shared" si="67"/>
        <v>0</v>
      </c>
      <c r="AH173" s="48">
        <f t="shared" si="68"/>
        <v>0</v>
      </c>
    </row>
    <row r="174">
      <c r="A174" s="270" t="str">
        <f t="shared" si="60"/>
        <v/>
      </c>
      <c r="B174" s="37" t="str">
        <f t="shared" si="61"/>
        <v/>
      </c>
      <c r="C174" s="270">
        <f t="shared" si="62"/>
        <v>3</v>
      </c>
      <c r="D174" s="37" t="str">
        <f t="array" ref="D174">xlookup(D167,A165:A170,K165:K170,"")</f>
        <v/>
      </c>
      <c r="E174" s="270" t="str">
        <f t="array" ref="E174">xlookup(E167,A165:A170,K165:K170,"")</f>
        <v/>
      </c>
      <c r="F174" s="37"/>
      <c r="G174" s="37"/>
      <c r="H174" s="37"/>
      <c r="I174" s="37"/>
      <c r="J174" s="37"/>
      <c r="K174" s="37"/>
      <c r="L174" s="37"/>
      <c r="M174" s="37"/>
      <c r="N174" s="37"/>
      <c r="O174" s="37"/>
      <c r="P174" s="37"/>
      <c r="Q174" s="37"/>
      <c r="AC174" s="268" t="str">
        <f t="shared" si="63"/>
        <v>#N/A</v>
      </c>
      <c r="AD174" s="268" t="str">
        <f t="shared" si="64"/>
        <v>#N/A</v>
      </c>
      <c r="AE174" s="48" t="str">
        <f t="shared" si="65"/>
        <v/>
      </c>
      <c r="AF174" s="48" t="str">
        <f t="shared" si="66"/>
        <v/>
      </c>
      <c r="AG174" s="48">
        <f t="shared" si="67"/>
        <v>0</v>
      </c>
      <c r="AH174" s="48">
        <f t="shared" si="68"/>
        <v>0</v>
      </c>
    </row>
    <row r="175">
      <c r="A175" s="270" t="str">
        <f t="shared" si="60"/>
        <v/>
      </c>
      <c r="B175" s="37" t="str">
        <f t="shared" si="61"/>
        <v/>
      </c>
      <c r="C175" s="270">
        <f t="shared" si="62"/>
        <v>4</v>
      </c>
      <c r="D175" s="37" t="str">
        <f t="array" ref="D175">xlookup(D168,A165:A170,K165:K170,"")</f>
        <v/>
      </c>
      <c r="E175" s="270" t="str">
        <f t="array" ref="E175">xlookup(E168,A165:A170,K165:K170,"")</f>
        <v/>
      </c>
      <c r="F175" s="37"/>
      <c r="G175" s="37"/>
      <c r="H175" s="37"/>
      <c r="I175" s="37"/>
      <c r="J175" s="37"/>
      <c r="K175" s="37"/>
      <c r="L175" s="37"/>
      <c r="M175" s="37"/>
      <c r="N175" s="37"/>
      <c r="O175" s="37"/>
      <c r="P175" s="37"/>
      <c r="Q175" s="37"/>
      <c r="AC175" s="261"/>
      <c r="AD175" s="261"/>
    </row>
    <row r="176">
      <c r="A176" s="270" t="str">
        <f t="shared" si="60"/>
        <v/>
      </c>
      <c r="B176" s="37" t="str">
        <f t="shared" si="61"/>
        <v/>
      </c>
      <c r="C176" s="270">
        <f t="shared" si="62"/>
        <v>5</v>
      </c>
      <c r="D176" s="37" t="str">
        <f t="array" ref="D176">xlookup(D169,A165:A170,K165:K170,"")</f>
        <v/>
      </c>
      <c r="E176" s="270" t="str">
        <f t="array" ref="E176">xlookup(E169,A165:A170,K165:K170,"")</f>
        <v/>
      </c>
      <c r="F176" s="37"/>
      <c r="G176" s="37"/>
      <c r="H176" s="37"/>
      <c r="I176" s="37"/>
      <c r="J176" s="37"/>
      <c r="K176" s="271" t="str">
        <f t="array" ref="K176:L178">'Choose matchups (Contender)'!Q64:R66</f>
        <v>#N/A</v>
      </c>
      <c r="L176" s="271" t="e">
        <v>#N/A</v>
      </c>
      <c r="M176" s="37"/>
      <c r="N176" s="37"/>
      <c r="O176" s="37"/>
      <c r="P176" s="37"/>
      <c r="Q176" s="37"/>
      <c r="AC176" s="261"/>
      <c r="AD176" s="261"/>
    </row>
    <row r="177">
      <c r="A177" s="270" t="str">
        <f t="shared" si="60"/>
        <v/>
      </c>
      <c r="B177" s="37" t="str">
        <f t="shared" si="61"/>
        <v/>
      </c>
      <c r="C177" s="270">
        <f t="shared" si="62"/>
        <v>6</v>
      </c>
      <c r="D177" s="37" t="str">
        <f t="array" ref="D177">xlookup(D170,A165:A170,K165:K170,"")</f>
        <v/>
      </c>
      <c r="E177" s="270" t="str">
        <f t="array" ref="E177">xlookup(E170,A165:A170,K165:K170,"")</f>
        <v/>
      </c>
      <c r="F177" s="37"/>
      <c r="G177" s="37"/>
      <c r="H177" s="37"/>
      <c r="I177" s="37"/>
      <c r="J177" s="37"/>
      <c r="K177" s="271" t="e">
        <v>#N/A</v>
      </c>
      <c r="L177" s="271" t="e">
        <v>#N/A</v>
      </c>
      <c r="M177" s="37"/>
      <c r="N177" s="37"/>
      <c r="O177" s="37"/>
      <c r="P177" s="37"/>
      <c r="Q177" s="37"/>
      <c r="AC177" s="261"/>
      <c r="AD177" s="261"/>
    </row>
    <row r="178">
      <c r="A178" s="37"/>
      <c r="B178" s="37"/>
      <c r="C178" s="37"/>
      <c r="D178" s="37"/>
      <c r="E178" s="37"/>
      <c r="F178" s="37"/>
      <c r="G178" s="37"/>
      <c r="H178" s="37"/>
      <c r="I178" s="37"/>
      <c r="J178" s="37"/>
      <c r="K178" s="271" t="e">
        <v>#N/A</v>
      </c>
      <c r="L178" s="271" t="e">
        <v>#N/A</v>
      </c>
      <c r="M178" s="37"/>
      <c r="N178" s="37"/>
      <c r="O178" s="37"/>
      <c r="P178" s="37"/>
      <c r="Q178" s="37"/>
      <c r="AC178" s="261"/>
      <c r="AD178" s="261"/>
    </row>
    <row r="179">
      <c r="A179" s="37" t="s">
        <v>407</v>
      </c>
      <c r="B179" s="37"/>
      <c r="C179" s="37"/>
      <c r="D179" s="37"/>
      <c r="E179" s="37"/>
      <c r="F179" s="37"/>
      <c r="G179" s="37"/>
      <c r="H179" s="37"/>
      <c r="I179" s="37"/>
      <c r="J179" s="37"/>
      <c r="K179" s="37"/>
      <c r="L179" s="37"/>
      <c r="M179" s="37"/>
      <c r="N179" s="37"/>
      <c r="O179" s="37"/>
      <c r="P179" s="37"/>
      <c r="Q179" s="37"/>
      <c r="AC179" s="261"/>
      <c r="AD179" s="261"/>
    </row>
    <row r="180" outlineLevel="1">
      <c r="A180" s="270">
        <v>1.0</v>
      </c>
      <c r="B180" s="270">
        <v>6.0</v>
      </c>
      <c r="C180" s="270">
        <f t="array" ref="C180">if(or(xlookup(A180,C172:C177,D172:D177)=B180,xlookup(A180,C172:C177,E172:E177)=B180),1,0)</f>
        <v>0</v>
      </c>
      <c r="D180" s="37"/>
      <c r="E180" s="270">
        <v>1.0</v>
      </c>
      <c r="F180" s="270">
        <v>6.0</v>
      </c>
      <c r="G180" s="270">
        <f t="array" ref="G180">if(or(xlookup(E180,C172:C177,D172:D177)=F180,xlookup(E180,C172:C177,E172:E177)=F180),1,0)</f>
        <v>0</v>
      </c>
      <c r="H180" s="37"/>
      <c r="I180" s="270">
        <v>1.0</v>
      </c>
      <c r="J180" s="270">
        <v>6.0</v>
      </c>
      <c r="K180" s="270">
        <f t="array" ref="K180">if(or(xlookup(I180,C172:C177,D172:D177)=J180,xlookup(I180,C172:C177,E172:E177)=J180),1,0)</f>
        <v>0</v>
      </c>
      <c r="L180" s="37"/>
      <c r="M180" s="270">
        <v>1.0</v>
      </c>
      <c r="N180" s="270">
        <f>C183</f>
        <v>0</v>
      </c>
      <c r="O180" s="270">
        <f t="array" ref="O180:Q180">TRANSPOSE(B180:B182)</f>
        <v>6</v>
      </c>
      <c r="P180" s="270">
        <v>5.0</v>
      </c>
      <c r="Q180" s="270">
        <v>4.0</v>
      </c>
      <c r="AC180" s="261"/>
      <c r="AD180" s="261"/>
    </row>
    <row r="181" outlineLevel="1">
      <c r="A181" s="270">
        <v>2.0</v>
      </c>
      <c r="B181" s="270">
        <v>5.0</v>
      </c>
      <c r="C181" s="270">
        <f t="array" ref="C181">if(or(xlookup(A181,C172:C177,D172:D177)=B181,xlookup(A181,C172:C177,E172:E177)=B181),1,0)</f>
        <v>0</v>
      </c>
      <c r="D181" s="37"/>
      <c r="E181" s="270">
        <v>2.0</v>
      </c>
      <c r="F181" s="270">
        <v>5.0</v>
      </c>
      <c r="G181" s="270">
        <f t="array" ref="G181">if(or(xlookup(E181,C172:C177,D172:D177)=F181,xlookup(E181,C172:C177,E172:E177)=F181),1,0)</f>
        <v>0</v>
      </c>
      <c r="H181" s="37"/>
      <c r="I181" s="270">
        <v>2.0</v>
      </c>
      <c r="J181" s="270">
        <v>4.0</v>
      </c>
      <c r="K181" s="270">
        <f t="array" ref="K181">if(or(xlookup(I181,C172:C177,D172:D177)=J181,xlookup(I181,C172:C177,E172:E177)=J181),1,0)</f>
        <v>0</v>
      </c>
      <c r="L181" s="37"/>
      <c r="M181" s="270">
        <f t="shared" ref="M181:M197" si="69">M180+1</f>
        <v>2</v>
      </c>
      <c r="N181" s="270">
        <f>C187</f>
        <v>0</v>
      </c>
      <c r="O181" s="270">
        <f t="array" ref="O181:Q181">TRANSPOSE(B184:B186)</f>
        <v>6</v>
      </c>
      <c r="P181" s="270">
        <v>4.0</v>
      </c>
      <c r="Q181" s="270">
        <v>5.0</v>
      </c>
      <c r="AC181" s="261"/>
      <c r="AD181" s="261"/>
    </row>
    <row r="182" outlineLevel="1">
      <c r="A182" s="270">
        <v>3.0</v>
      </c>
      <c r="B182" s="270">
        <v>4.0</v>
      </c>
      <c r="C182" s="270">
        <f t="array" ref="C182">if(or(xlookup(A182,C172:C177,D172:D177)=B182,xlookup(A182,C172:C177,E172:E177)=B182),1,0)</f>
        <v>0</v>
      </c>
      <c r="D182" s="37"/>
      <c r="E182" s="270">
        <v>4.0</v>
      </c>
      <c r="F182" s="270">
        <v>3.0</v>
      </c>
      <c r="G182" s="270">
        <f t="array" ref="G182">if(or(xlookup(E182,C172:C177,D172:D177)=F182,xlookup(E182,C172:C177,E172:E177)=F182),1,0)</f>
        <v>0</v>
      </c>
      <c r="H182" s="37"/>
      <c r="I182" s="270">
        <v>5.0</v>
      </c>
      <c r="J182" s="270">
        <v>3.0</v>
      </c>
      <c r="K182" s="270">
        <f t="array" ref="K182">if(or(xlookup(I182,C172:C177,D172:D177)=J182,xlookup(I182,C172:C177,E172:E177)=J182),1,0)</f>
        <v>0</v>
      </c>
      <c r="L182" s="37"/>
      <c r="M182" s="270">
        <f t="shared" si="69"/>
        <v>3</v>
      </c>
      <c r="N182" s="270">
        <f>C191</f>
        <v>0</v>
      </c>
      <c r="O182" s="270">
        <f t="array" ref="O182:Q182">TRANSPOSE(B188:B190)</f>
        <v>5</v>
      </c>
      <c r="P182" s="270">
        <v>6.0</v>
      </c>
      <c r="Q182" s="270">
        <v>4.0</v>
      </c>
      <c r="AC182" s="261"/>
      <c r="AD182" s="261"/>
    </row>
    <row r="183" outlineLevel="1">
      <c r="A183" s="37"/>
      <c r="B183" s="37"/>
      <c r="C183" s="272">
        <f>SUM(C180:C182)</f>
        <v>0</v>
      </c>
      <c r="D183" s="37"/>
      <c r="E183" s="37"/>
      <c r="F183" s="37"/>
      <c r="G183" s="272">
        <f>SUM(G180:G182)</f>
        <v>0</v>
      </c>
      <c r="H183" s="37"/>
      <c r="I183" s="37"/>
      <c r="J183" s="37"/>
      <c r="K183" s="272">
        <f>SUM(K180:K182)</f>
        <v>0</v>
      </c>
      <c r="L183" s="37"/>
      <c r="M183" s="270">
        <f t="shared" si="69"/>
        <v>4</v>
      </c>
      <c r="N183" s="270">
        <f>C195</f>
        <v>0</v>
      </c>
      <c r="O183" s="270">
        <f t="array" ref="O183:Q183">TRANSPOSE(B192:B194)</f>
        <v>5</v>
      </c>
      <c r="P183" s="270">
        <v>4.0</v>
      </c>
      <c r="Q183" s="270">
        <v>6.0</v>
      </c>
      <c r="AC183" s="261"/>
      <c r="AD183" s="261"/>
    </row>
    <row r="184" outlineLevel="1">
      <c r="A184" s="270">
        <v>1.0</v>
      </c>
      <c r="B184" s="270">
        <v>6.0</v>
      </c>
      <c r="C184" s="270">
        <f t="array" ref="C184">if(or(xlookup(A184,C172:C177,D172:D177)=B184,xlookup(A184,C172:C177,E172:E177)=B184),1,0)</f>
        <v>0</v>
      </c>
      <c r="D184" s="37"/>
      <c r="E184" s="270">
        <v>1.0</v>
      </c>
      <c r="F184" s="270">
        <v>6.0</v>
      </c>
      <c r="G184" s="270">
        <f t="array" ref="G184">if(or(xlookup(E184,C172:C177,D172:D177)=F184,xlookup(E184,C172:C177,E172:E177)=F184),1,0)</f>
        <v>0</v>
      </c>
      <c r="H184" s="37"/>
      <c r="I184" s="270">
        <v>1.0</v>
      </c>
      <c r="J184" s="270">
        <v>6.0</v>
      </c>
      <c r="K184" s="270">
        <f t="array" ref="K184">if(or(xlookup(I184,C172:C177,D172:D177)=J184,xlookup(I184,C172:C177,E172:E177)=J184),1,0)</f>
        <v>0</v>
      </c>
      <c r="L184" s="37"/>
      <c r="M184" s="270">
        <f t="shared" si="69"/>
        <v>5</v>
      </c>
      <c r="N184" s="270">
        <f>C199</f>
        <v>0</v>
      </c>
      <c r="O184" s="270">
        <f t="array" ref="O184:Q184">TRANSPOSE(B196:B198)</f>
        <v>4</v>
      </c>
      <c r="P184" s="270">
        <v>6.0</v>
      </c>
      <c r="Q184" s="270">
        <v>5.0</v>
      </c>
      <c r="AC184" s="261"/>
      <c r="AD184" s="261"/>
    </row>
    <row r="185" outlineLevel="1">
      <c r="A185" s="270">
        <v>2.0</v>
      </c>
      <c r="B185" s="270">
        <v>4.0</v>
      </c>
      <c r="C185" s="270">
        <f t="array" ref="C185">if(or(xlookup(A185,C172:C177,D172:D177)=B185,xlookup(A185,C172:C177,E172:E177)=B185),1,0)</f>
        <v>0</v>
      </c>
      <c r="D185" s="37"/>
      <c r="E185" s="270">
        <v>2.0</v>
      </c>
      <c r="F185" s="270">
        <v>3.0</v>
      </c>
      <c r="G185" s="270">
        <f t="array" ref="G185">if(or(xlookup(E185,C172:C177,D172:D177)=F185,xlookup(E185,C172:C177,E172:E177)=F185),1,0)</f>
        <v>0</v>
      </c>
      <c r="H185" s="37"/>
      <c r="I185" s="270">
        <v>2.0</v>
      </c>
      <c r="J185" s="270">
        <v>3.0</v>
      </c>
      <c r="K185" s="270">
        <f t="array" ref="K185">if(or(xlookup(I185,C172:C177,D172:D177)=J185,xlookup(I185,C172:C177,E172:E177)=J185),1,0)</f>
        <v>0</v>
      </c>
      <c r="L185" s="37"/>
      <c r="M185" s="270">
        <f t="shared" si="69"/>
        <v>6</v>
      </c>
      <c r="N185" s="270">
        <f>C203</f>
        <v>0</v>
      </c>
      <c r="O185" s="270">
        <f t="array" ref="O185:Q185">TRANSPOSE(B200:B202)</f>
        <v>4</v>
      </c>
      <c r="P185" s="270">
        <v>5.0</v>
      </c>
      <c r="Q185" s="270">
        <v>6.0</v>
      </c>
      <c r="AC185" s="261"/>
      <c r="AD185" s="261"/>
    </row>
    <row r="186" outlineLevel="1">
      <c r="A186" s="270">
        <v>3.0</v>
      </c>
      <c r="B186" s="270">
        <v>5.0</v>
      </c>
      <c r="C186" s="270">
        <f t="array" ref="C186">if(or(xlookup(A186,C172:C177,D172:D177)=B186,xlookup(A186,C172:C177,E172:E177)=B186),1,0)</f>
        <v>0</v>
      </c>
      <c r="D186" s="37"/>
      <c r="E186" s="270">
        <v>4.0</v>
      </c>
      <c r="F186" s="270">
        <v>5.0</v>
      </c>
      <c r="G186" s="270">
        <f t="array" ref="G186">if(or(xlookup(E186,C172:C177,D172:D177)=F186,xlookup(E186,C172:C177,E172:E177)=F186),1,0)</f>
        <v>0</v>
      </c>
      <c r="H186" s="37"/>
      <c r="I186" s="270">
        <v>5.0</v>
      </c>
      <c r="J186" s="270">
        <v>4.0</v>
      </c>
      <c r="K186" s="270">
        <f t="array" ref="K186">if(or(xlookup(I186,C172:C177,D172:D177)=J186,xlookup(I186,C172:C177,E172:E177)=J186),1,0)</f>
        <v>0</v>
      </c>
      <c r="L186" s="37"/>
      <c r="M186" s="270">
        <f t="shared" si="69"/>
        <v>7</v>
      </c>
      <c r="N186" s="270">
        <f>G183</f>
        <v>0</v>
      </c>
      <c r="O186" s="270">
        <f t="array" ref="O186:Q186">TRANSPOSE(F180:F182)</f>
        <v>6</v>
      </c>
      <c r="P186" s="270">
        <v>5.0</v>
      </c>
      <c r="Q186" s="270">
        <v>3.0</v>
      </c>
      <c r="AC186" s="261"/>
      <c r="AD186" s="261"/>
    </row>
    <row r="187" outlineLevel="1">
      <c r="A187" s="37"/>
      <c r="B187" s="37"/>
      <c r="C187" s="272">
        <f>SUM(C184:C186)</f>
        <v>0</v>
      </c>
      <c r="D187" s="37"/>
      <c r="E187" s="37"/>
      <c r="F187" s="37"/>
      <c r="G187" s="272">
        <f>SUM(G184:G186)</f>
        <v>0</v>
      </c>
      <c r="H187" s="37"/>
      <c r="I187" s="37"/>
      <c r="J187" s="37"/>
      <c r="K187" s="272">
        <f>SUM(K184:K186)</f>
        <v>0</v>
      </c>
      <c r="L187" s="37"/>
      <c r="M187" s="270">
        <f t="shared" si="69"/>
        <v>8</v>
      </c>
      <c r="N187" s="270">
        <f>G187</f>
        <v>0</v>
      </c>
      <c r="O187" s="270">
        <f t="array" ref="O187:Q187">TRANSPOSE(F184:F186)</f>
        <v>6</v>
      </c>
      <c r="P187" s="270">
        <v>3.0</v>
      </c>
      <c r="Q187" s="270">
        <v>5.0</v>
      </c>
      <c r="AC187" s="261"/>
      <c r="AD187" s="261"/>
    </row>
    <row r="188" outlineLevel="1">
      <c r="A188" s="270">
        <v>1.0</v>
      </c>
      <c r="B188" s="270">
        <v>5.0</v>
      </c>
      <c r="C188" s="270">
        <f t="array" ref="C188">if(or(xlookup(A188,C172:C177,D172:D177)=B188,xlookup(A188,C172:C177,E172:E177)=B188),1,0)</f>
        <v>0</v>
      </c>
      <c r="D188" s="37"/>
      <c r="E188" s="270">
        <v>1.0</v>
      </c>
      <c r="F188" s="270">
        <v>5.0</v>
      </c>
      <c r="G188" s="270">
        <f t="array" ref="G188">if(or(xlookup(E188,C172:C177,D172:D177)=F188,xlookup(E188,C172:C177,E172:E177)=F188),1,0)</f>
        <v>0</v>
      </c>
      <c r="H188" s="37"/>
      <c r="I188" s="270">
        <v>1.0</v>
      </c>
      <c r="J188" s="270">
        <v>4.0</v>
      </c>
      <c r="K188" s="270">
        <f t="array" ref="K188">if(or(xlookup(I188,C172:C177,D172:D177)=J188,xlookup(I188,C172:C177,E172:E177)=J188),1,0)</f>
        <v>0</v>
      </c>
      <c r="L188" s="37"/>
      <c r="M188" s="270">
        <f t="shared" si="69"/>
        <v>9</v>
      </c>
      <c r="N188" s="270">
        <f>G191</f>
        <v>0</v>
      </c>
      <c r="O188" s="270">
        <f t="array" ref="O188:Q188">TRANSPOSE(F188:F190)</f>
        <v>5</v>
      </c>
      <c r="P188" s="270">
        <v>6.0</v>
      </c>
      <c r="Q188" s="270">
        <v>3.0</v>
      </c>
      <c r="AC188" s="261"/>
      <c r="AD188" s="261"/>
    </row>
    <row r="189" outlineLevel="1">
      <c r="A189" s="270">
        <v>2.0</v>
      </c>
      <c r="B189" s="270">
        <v>6.0</v>
      </c>
      <c r="C189" s="270">
        <f t="array" ref="C189">if(or(xlookup(A189,C172:C177,D172:D177)=B189,xlookup(A189,C172:C177,E172:E177)=B189),1,0)</f>
        <v>0</v>
      </c>
      <c r="D189" s="37"/>
      <c r="E189" s="270">
        <v>2.0</v>
      </c>
      <c r="F189" s="270">
        <v>6.0</v>
      </c>
      <c r="G189" s="270">
        <f t="array" ref="G189">if(or(xlookup(E189,C172:C177,D172:D177)=F189,xlookup(E189,C172:C177,E172:E177)=F189),1,0)</f>
        <v>0</v>
      </c>
      <c r="H189" s="37"/>
      <c r="I189" s="270">
        <v>2.0</v>
      </c>
      <c r="J189" s="270">
        <v>6.0</v>
      </c>
      <c r="K189" s="270">
        <f t="array" ref="K189">if(or(xlookup(I189,C172:C177,D172:D177)=J189,xlookup(I189,C172:C177,E172:E177)=J189),1,0)</f>
        <v>0</v>
      </c>
      <c r="L189" s="37"/>
      <c r="M189" s="270">
        <f t="shared" si="69"/>
        <v>10</v>
      </c>
      <c r="N189" s="270">
        <f>G195</f>
        <v>0</v>
      </c>
      <c r="O189" s="270">
        <f t="array" ref="O189:Q189">TRANSPOSE(F192:F194)</f>
        <v>5</v>
      </c>
      <c r="P189" s="270">
        <v>3.0</v>
      </c>
      <c r="Q189" s="270">
        <v>6.0</v>
      </c>
      <c r="AC189" s="261"/>
      <c r="AD189" s="261"/>
    </row>
    <row r="190" outlineLevel="1">
      <c r="A190" s="270">
        <v>3.0</v>
      </c>
      <c r="B190" s="270">
        <v>4.0</v>
      </c>
      <c r="C190" s="270">
        <f t="array" ref="C190">if(or(xlookup(A190,C172:C177,D172:D177)=B190,xlookup(A190,C172:C177,E172:E177)=B190),1,0)</f>
        <v>0</v>
      </c>
      <c r="D190" s="37"/>
      <c r="E190" s="270">
        <v>4.0</v>
      </c>
      <c r="F190" s="270">
        <v>3.0</v>
      </c>
      <c r="G190" s="270">
        <f t="array" ref="G190">if(or(xlookup(E190,C172:C177,D172:D177)=F190,xlookup(E190,C172:C177,E172:E177)=F190),1,0)</f>
        <v>0</v>
      </c>
      <c r="H190" s="37"/>
      <c r="I190" s="270">
        <v>5.0</v>
      </c>
      <c r="J190" s="270">
        <v>3.0</v>
      </c>
      <c r="K190" s="270">
        <f t="array" ref="K190">if(or(xlookup(I190,C172:C177,D172:D177)=J190,xlookup(I190,C172:C177,E172:E177)=J190),1,0)</f>
        <v>0</v>
      </c>
      <c r="L190" s="37"/>
      <c r="M190" s="270">
        <f t="shared" si="69"/>
        <v>11</v>
      </c>
      <c r="N190" s="270">
        <f>G199</f>
        <v>0</v>
      </c>
      <c r="O190" s="270">
        <f t="array" ref="O190:Q190">TRANSPOSE(F196:F198)</f>
        <v>3</v>
      </c>
      <c r="P190" s="270">
        <v>6.0</v>
      </c>
      <c r="Q190" s="270">
        <v>5.0</v>
      </c>
      <c r="AC190" s="261"/>
      <c r="AD190" s="261"/>
    </row>
    <row r="191" outlineLevel="1">
      <c r="A191" s="37"/>
      <c r="B191" s="37"/>
      <c r="C191" s="272">
        <f>SUM(C188:C190)</f>
        <v>0</v>
      </c>
      <c r="D191" s="37"/>
      <c r="E191" s="37"/>
      <c r="F191" s="37"/>
      <c r="G191" s="272">
        <f>SUM(G188:G190)</f>
        <v>0</v>
      </c>
      <c r="H191" s="37"/>
      <c r="I191" s="37"/>
      <c r="J191" s="37"/>
      <c r="K191" s="272">
        <f>SUM(K188:K190)</f>
        <v>0</v>
      </c>
      <c r="L191" s="37"/>
      <c r="M191" s="270">
        <f t="shared" si="69"/>
        <v>12</v>
      </c>
      <c r="N191" s="270">
        <f>G203</f>
        <v>0</v>
      </c>
      <c r="O191" s="270">
        <f t="array" ref="O191:Q191">TRANSPOSE(F200:F202)</f>
        <v>3</v>
      </c>
      <c r="P191" s="270">
        <v>5.0</v>
      </c>
      <c r="Q191" s="270">
        <v>6.0</v>
      </c>
      <c r="AC191" s="261"/>
      <c r="AD191" s="261"/>
    </row>
    <row r="192" outlineLevel="1">
      <c r="A192" s="270">
        <v>1.0</v>
      </c>
      <c r="B192" s="270">
        <v>5.0</v>
      </c>
      <c r="C192" s="270">
        <f t="array" ref="C192">if(or(xlookup(A192,C172:C177,D172:D177)=B192,xlookup(A192,C172:C177,E172:E177)=B192),1,0)</f>
        <v>0</v>
      </c>
      <c r="D192" s="37"/>
      <c r="E192" s="270">
        <v>1.0</v>
      </c>
      <c r="F192" s="270">
        <v>5.0</v>
      </c>
      <c r="G192" s="270">
        <f t="array" ref="G192">if(or(xlookup(E192,C172:C177,D172:D177)=F192,xlookup(E192,C172:C177,E172:E177)=F192),1,0)</f>
        <v>0</v>
      </c>
      <c r="H192" s="37"/>
      <c r="I192" s="270">
        <v>1.0</v>
      </c>
      <c r="J192" s="270">
        <v>4.0</v>
      </c>
      <c r="K192" s="270">
        <f t="array" ref="K192">if(or(xlookup(I192,C172:C177,D172:D177)=J192,xlookup(I192,C172:C177,E172:E177)=J192),1,0)</f>
        <v>0</v>
      </c>
      <c r="L192" s="37"/>
      <c r="M192" s="270">
        <f t="shared" si="69"/>
        <v>13</v>
      </c>
      <c r="N192" s="270">
        <f>K183</f>
        <v>0</v>
      </c>
      <c r="O192" s="270">
        <f t="array" ref="O192:Q192">TRANSPOSE(J180:J182)</f>
        <v>6</v>
      </c>
      <c r="P192" s="270">
        <v>4.0</v>
      </c>
      <c r="Q192" s="270">
        <v>3.0</v>
      </c>
      <c r="AC192" s="261"/>
      <c r="AD192" s="261"/>
    </row>
    <row r="193" outlineLevel="1">
      <c r="A193" s="270">
        <v>2.0</v>
      </c>
      <c r="B193" s="270">
        <v>4.0</v>
      </c>
      <c r="C193" s="270">
        <f t="array" ref="C193">if(or(xlookup(A193,C172:C177,D172:D177)=B193,xlookup(A193,C172:C177,E172:E177)=B193),1,0)</f>
        <v>0</v>
      </c>
      <c r="D193" s="37"/>
      <c r="E193" s="270">
        <v>2.0</v>
      </c>
      <c r="F193" s="270">
        <v>3.0</v>
      </c>
      <c r="G193" s="270">
        <f t="array" ref="G193">if(or(xlookup(E193,C172:C177,D172:D177)=F193,xlookup(E193,C172:C177,E172:E177)=F193),1,0)</f>
        <v>0</v>
      </c>
      <c r="H193" s="37"/>
      <c r="I193" s="270">
        <v>2.0</v>
      </c>
      <c r="J193" s="270">
        <v>3.0</v>
      </c>
      <c r="K193" s="270">
        <f t="array" ref="K193">if(or(xlookup(I193,C172:C177,D172:D177)=J193,xlookup(I193,C172:C177,E172:E177)=J193),1,0)</f>
        <v>0</v>
      </c>
      <c r="L193" s="37"/>
      <c r="M193" s="270">
        <f t="shared" si="69"/>
        <v>14</v>
      </c>
      <c r="N193" s="270">
        <f>K187</f>
        <v>0</v>
      </c>
      <c r="O193" s="270">
        <f t="array" ref="O193:Q193">TRANSPOSE(J184:J186)</f>
        <v>6</v>
      </c>
      <c r="P193" s="270">
        <v>3.0</v>
      </c>
      <c r="Q193" s="270">
        <v>4.0</v>
      </c>
      <c r="AC193" s="261"/>
      <c r="AD193" s="261"/>
    </row>
    <row r="194" outlineLevel="1">
      <c r="A194" s="270">
        <v>3.0</v>
      </c>
      <c r="B194" s="270">
        <v>6.0</v>
      </c>
      <c r="C194" s="270">
        <f t="array" ref="C194">if(or(xlookup(A194,C172:C177,D172:D177)=B194,xlookup(A194,C172:C177,E172:E177)=B194),1,0)</f>
        <v>0</v>
      </c>
      <c r="D194" s="37"/>
      <c r="E194" s="270">
        <v>4.0</v>
      </c>
      <c r="F194" s="270">
        <v>6.0</v>
      </c>
      <c r="G194" s="270">
        <f t="array" ref="G194">if(or(xlookup(E194,C172:C177,D172:D177)=F194,xlookup(E194,C172:C177,E172:E177)=F194),1,0)</f>
        <v>0</v>
      </c>
      <c r="H194" s="37"/>
      <c r="I194" s="270">
        <v>5.0</v>
      </c>
      <c r="J194" s="270">
        <v>6.0</v>
      </c>
      <c r="K194" s="270">
        <f t="array" ref="K194">if(or(xlookup(I194,C172:C177,D172:D177)=J194,xlookup(I194,C172:C177,E172:E177)=J194),1,0)</f>
        <v>0</v>
      </c>
      <c r="L194" s="37"/>
      <c r="M194" s="270">
        <f t="shared" si="69"/>
        <v>15</v>
      </c>
      <c r="N194" s="270">
        <f>K191</f>
        <v>0</v>
      </c>
      <c r="O194" s="270">
        <f t="array" ref="O194:Q194">TRANSPOSE(J188:J190)</f>
        <v>4</v>
      </c>
      <c r="P194" s="270">
        <v>6.0</v>
      </c>
      <c r="Q194" s="270">
        <v>3.0</v>
      </c>
      <c r="AC194" s="261"/>
      <c r="AD194" s="261"/>
    </row>
    <row r="195" outlineLevel="1">
      <c r="A195" s="37"/>
      <c r="B195" s="37"/>
      <c r="C195" s="272">
        <f>SUM(C192:C194)</f>
        <v>0</v>
      </c>
      <c r="D195" s="37"/>
      <c r="E195" s="37"/>
      <c r="F195" s="37"/>
      <c r="G195" s="272">
        <f>SUM(G192:G194)</f>
        <v>0</v>
      </c>
      <c r="H195" s="37"/>
      <c r="I195" s="37"/>
      <c r="J195" s="37"/>
      <c r="K195" s="272">
        <f>SUM(K192:K194)</f>
        <v>0</v>
      </c>
      <c r="L195" s="37"/>
      <c r="M195" s="270">
        <f t="shared" si="69"/>
        <v>16</v>
      </c>
      <c r="N195" s="270">
        <f>K195</f>
        <v>0</v>
      </c>
      <c r="O195" s="270">
        <f t="array" ref="O195:Q195">TRANSPOSE(J192:J194)</f>
        <v>4</v>
      </c>
      <c r="P195" s="270">
        <v>3.0</v>
      </c>
      <c r="Q195" s="270">
        <v>6.0</v>
      </c>
      <c r="AC195" s="261"/>
      <c r="AD195" s="261"/>
    </row>
    <row r="196" outlineLevel="1">
      <c r="A196" s="270">
        <v>1.0</v>
      </c>
      <c r="B196" s="270">
        <v>4.0</v>
      </c>
      <c r="C196" s="270">
        <f t="array" ref="C196">if(or(xlookup(A196,C172:C177,D172:D177)=B196,xlookup(A196,C172:C177,E172:E177)=B196),1,0)</f>
        <v>0</v>
      </c>
      <c r="D196" s="37"/>
      <c r="E196" s="270">
        <v>1.0</v>
      </c>
      <c r="F196" s="270">
        <v>3.0</v>
      </c>
      <c r="G196" s="270">
        <f t="array" ref="G196">if(or(xlookup(E196,C172:C177,D172:D177)=F196,xlookup(E196,C172:C177,E172:E177)=F196),1,0)</f>
        <v>0</v>
      </c>
      <c r="H196" s="37"/>
      <c r="I196" s="270">
        <v>1.0</v>
      </c>
      <c r="J196" s="270">
        <v>3.0</v>
      </c>
      <c r="K196" s="270">
        <f t="array" ref="K196">if(or(xlookup(I196,C172:C177,D172:D177)=J196,xlookup(I196,C172:C177,E172:E177)=J196),1,0)</f>
        <v>0</v>
      </c>
      <c r="L196" s="37"/>
      <c r="M196" s="270">
        <f t="shared" si="69"/>
        <v>17</v>
      </c>
      <c r="N196" s="270">
        <f>K199</f>
        <v>0</v>
      </c>
      <c r="O196" s="270">
        <f t="array" ref="O196:Q196">TRANSPOSE(J196:J198)</f>
        <v>3</v>
      </c>
      <c r="P196" s="270">
        <v>6.0</v>
      </c>
      <c r="Q196" s="270">
        <v>4.0</v>
      </c>
      <c r="AC196" s="261"/>
      <c r="AD196" s="261"/>
    </row>
    <row r="197" outlineLevel="1">
      <c r="A197" s="270">
        <v>2.0</v>
      </c>
      <c r="B197" s="270">
        <v>6.0</v>
      </c>
      <c r="C197" s="270">
        <f t="array" ref="C197">if(or(xlookup(A197,C172:C177,D172:D177)=B197,xlookup(A197,C172:C177,E172:E177)=B197),1,0)</f>
        <v>0</v>
      </c>
      <c r="D197" s="37"/>
      <c r="E197" s="270">
        <v>2.0</v>
      </c>
      <c r="F197" s="270">
        <v>6.0</v>
      </c>
      <c r="G197" s="270">
        <f t="array" ref="G197">if(or(xlookup(E197,C172:C177,D172:D177)=F197,xlookup(E197,C172:C177,E172:E177)=F197),1,0)</f>
        <v>0</v>
      </c>
      <c r="H197" s="37"/>
      <c r="I197" s="270">
        <v>2.0</v>
      </c>
      <c r="J197" s="270">
        <v>6.0</v>
      </c>
      <c r="K197" s="270">
        <f t="array" ref="K197">if(or(xlookup(I197,C172:C177,D172:D177)=J197,xlookup(I197,C172:C177,E172:E177)=J197),1,0)</f>
        <v>0</v>
      </c>
      <c r="L197" s="37"/>
      <c r="M197" s="270">
        <f t="shared" si="69"/>
        <v>18</v>
      </c>
      <c r="N197" s="270">
        <f>K203</f>
        <v>0</v>
      </c>
      <c r="O197" s="270">
        <f t="array" ref="O197:Q197">TRANSPOSE(J200:J202)</f>
        <v>3</v>
      </c>
      <c r="P197" s="270">
        <v>4.0</v>
      </c>
      <c r="Q197" s="270">
        <v>6.0</v>
      </c>
      <c r="AC197" s="261"/>
      <c r="AD197" s="261"/>
    </row>
    <row r="198" outlineLevel="1">
      <c r="A198" s="270">
        <v>3.0</v>
      </c>
      <c r="B198" s="270">
        <v>5.0</v>
      </c>
      <c r="C198" s="270">
        <f t="array" ref="C198">if(or(xlookup(A198,C172:C177,D172:D177)=B198,xlookup(A198,C172:C177,E172:E177)=B198),1,0)</f>
        <v>0</v>
      </c>
      <c r="D198" s="37"/>
      <c r="E198" s="270">
        <v>4.0</v>
      </c>
      <c r="F198" s="270">
        <v>5.0</v>
      </c>
      <c r="G198" s="270">
        <f t="array" ref="G198">if(or(xlookup(E198,C172:C177,D172:D177)=F198,xlookup(E198,C172:C177,E172:E177)=F198),1,0)</f>
        <v>0</v>
      </c>
      <c r="H198" s="37"/>
      <c r="I198" s="270">
        <v>5.0</v>
      </c>
      <c r="J198" s="270">
        <v>4.0</v>
      </c>
      <c r="K198" s="270">
        <f t="array" ref="K198">if(or(xlookup(I198,C172:C177,D172:D177)=J198,xlookup(I198,C172:C177,E172:E177)=J198),1,0)</f>
        <v>0</v>
      </c>
      <c r="L198" s="37"/>
      <c r="M198" s="37"/>
      <c r="N198" s="37"/>
      <c r="O198" s="37"/>
      <c r="P198" s="37"/>
      <c r="Q198" s="37"/>
      <c r="AC198" s="261"/>
      <c r="AD198" s="261"/>
    </row>
    <row r="199" outlineLevel="1">
      <c r="A199" s="37"/>
      <c r="B199" s="37"/>
      <c r="C199" s="272">
        <f>SUM(C196:C198)</f>
        <v>0</v>
      </c>
      <c r="D199" s="37"/>
      <c r="E199" s="37"/>
      <c r="F199" s="37"/>
      <c r="G199" s="272">
        <f>SUM(G196:G198)</f>
        <v>0</v>
      </c>
      <c r="H199" s="37"/>
      <c r="I199" s="37"/>
      <c r="J199" s="37"/>
      <c r="K199" s="272">
        <f>SUM(K196:K198)</f>
        <v>0</v>
      </c>
      <c r="L199" s="37"/>
      <c r="M199" s="37"/>
      <c r="N199" s="37"/>
      <c r="O199" s="37"/>
      <c r="P199" s="37"/>
      <c r="Q199" s="37"/>
      <c r="AC199" s="261"/>
      <c r="AD199" s="261"/>
    </row>
    <row r="200" outlineLevel="1">
      <c r="A200" s="270">
        <v>1.0</v>
      </c>
      <c r="B200" s="270">
        <v>4.0</v>
      </c>
      <c r="C200" s="270">
        <f t="array" ref="C200">if(or(xlookup(A200,C172:C177,D172:D177)=B200,xlookup(A200,C172:C177,E172:E177)=B200),1,0)</f>
        <v>0</v>
      </c>
      <c r="D200" s="37"/>
      <c r="E200" s="270">
        <v>1.0</v>
      </c>
      <c r="F200" s="270">
        <v>3.0</v>
      </c>
      <c r="G200" s="270">
        <f t="array" ref="G200">if(or(xlookup(E200,C172:C177,D172:D177)=F200,xlookup(E200,C172:C177,E172:E177)=F200),1,0)</f>
        <v>0</v>
      </c>
      <c r="H200" s="37"/>
      <c r="I200" s="270">
        <v>1.0</v>
      </c>
      <c r="J200" s="270">
        <v>3.0</v>
      </c>
      <c r="K200" s="270">
        <f t="array" ref="K200">if(or(xlookup(I200,C172:C177,D172:D177)=J200,xlookup(I200,C172:C177,E172:E177)=J200),1,0)</f>
        <v>0</v>
      </c>
      <c r="L200" s="37"/>
      <c r="M200" s="37"/>
      <c r="N200" s="37"/>
      <c r="O200" s="37"/>
      <c r="P200" s="37"/>
      <c r="Q200" s="37"/>
      <c r="AC200" s="261"/>
      <c r="AD200" s="261"/>
    </row>
    <row r="201" outlineLevel="1">
      <c r="A201" s="270">
        <v>2.0</v>
      </c>
      <c r="B201" s="270">
        <v>5.0</v>
      </c>
      <c r="C201" s="270">
        <f t="array" ref="C201">if(or(xlookup(A201,C172:C177,D172:D177)=B201,xlookup(A201,C172:C177,E172:E177)=B201),1,0)</f>
        <v>0</v>
      </c>
      <c r="D201" s="37"/>
      <c r="E201" s="270">
        <v>2.0</v>
      </c>
      <c r="F201" s="270">
        <v>5.0</v>
      </c>
      <c r="G201" s="270">
        <f t="array" ref="G201">if(or(xlookup(E201,C172:C177,D172:D177)=F201,xlookup(E201,C172:C177,E172:E177)=F201),1,0)</f>
        <v>0</v>
      </c>
      <c r="H201" s="37"/>
      <c r="I201" s="270">
        <v>2.0</v>
      </c>
      <c r="J201" s="270">
        <v>4.0</v>
      </c>
      <c r="K201" s="270">
        <f t="array" ref="K201">if(or(xlookup(I201,C172:C177,D172:D177)=J201,xlookup(I201,C172:C177,E172:E177)=J201),1,0)</f>
        <v>0</v>
      </c>
      <c r="L201" s="37"/>
      <c r="M201" s="37"/>
      <c r="N201" s="37"/>
      <c r="O201" s="37"/>
      <c r="P201" s="37"/>
      <c r="Q201" s="37"/>
      <c r="AC201" s="261"/>
      <c r="AD201" s="261"/>
    </row>
    <row r="202" outlineLevel="1">
      <c r="A202" s="270">
        <v>3.0</v>
      </c>
      <c r="B202" s="270">
        <v>6.0</v>
      </c>
      <c r="C202" s="270">
        <f t="array" ref="C202">if(or(xlookup(A202,C172:C177,D172:D177)=B202,xlookup(A202,C172:C177,E172:E177)=B202),1,0)</f>
        <v>0</v>
      </c>
      <c r="D202" s="37"/>
      <c r="E202" s="270">
        <v>4.0</v>
      </c>
      <c r="F202" s="270">
        <v>6.0</v>
      </c>
      <c r="G202" s="270">
        <f t="array" ref="G202">if(or(xlookup(E202,C172:C177,D172:D177)=F202,xlookup(E202,C172:C177,E172:E177)=F202),1,0)</f>
        <v>0</v>
      </c>
      <c r="H202" s="37"/>
      <c r="I202" s="270">
        <v>5.0</v>
      </c>
      <c r="J202" s="270">
        <v>6.0</v>
      </c>
      <c r="K202" s="270">
        <f t="array" ref="K202">if(or(xlookup(I202,C172:C177,D172:D177)=J202,xlookup(I202,C172:C177,E172:E177)=J202),1,0)</f>
        <v>0</v>
      </c>
      <c r="L202" s="37"/>
      <c r="M202" s="37"/>
      <c r="N202" s="37"/>
      <c r="O202" s="37"/>
      <c r="P202" s="37"/>
      <c r="Q202" s="37"/>
      <c r="AC202" s="261"/>
      <c r="AD202" s="261"/>
    </row>
    <row r="203" outlineLevel="1">
      <c r="A203" s="37"/>
      <c r="B203" s="37"/>
      <c r="C203" s="272">
        <f>SUM(C200:C202)</f>
        <v>0</v>
      </c>
      <c r="D203" s="37"/>
      <c r="E203" s="37"/>
      <c r="F203" s="37"/>
      <c r="G203" s="272">
        <f>SUM(G200:G202)</f>
        <v>0</v>
      </c>
      <c r="H203" s="37"/>
      <c r="I203" s="37"/>
      <c r="J203" s="37"/>
      <c r="K203" s="272">
        <f>SUM(K200:K202)</f>
        <v>0</v>
      </c>
      <c r="L203" s="37"/>
      <c r="M203" s="37"/>
      <c r="N203" s="37"/>
      <c r="O203" s="37"/>
      <c r="P203" s="37"/>
      <c r="Q203" s="37"/>
      <c r="AC203" s="261"/>
      <c r="AD203" s="261"/>
    </row>
    <row r="204" outlineLevel="1">
      <c r="A204" s="37"/>
      <c r="B204" s="37"/>
      <c r="C204" s="37"/>
      <c r="D204" s="37"/>
      <c r="E204" s="37"/>
      <c r="F204" s="37"/>
      <c r="G204" s="37"/>
      <c r="H204" s="37"/>
      <c r="I204" s="37"/>
      <c r="J204" s="37"/>
      <c r="K204" s="37"/>
      <c r="L204" s="37"/>
      <c r="M204" s="37"/>
      <c r="N204" s="37"/>
      <c r="O204" s="37"/>
      <c r="P204" s="37"/>
      <c r="Q204" s="37"/>
      <c r="AC204" s="261"/>
      <c r="AD204" s="261"/>
    </row>
    <row r="205" outlineLevel="1">
      <c r="A205" s="37"/>
      <c r="B205" s="37"/>
      <c r="C205" s="37"/>
      <c r="D205" s="37"/>
      <c r="E205" s="37"/>
      <c r="F205" s="37"/>
      <c r="G205" s="37"/>
      <c r="H205" s="37"/>
      <c r="I205" s="37"/>
      <c r="J205" s="37"/>
      <c r="K205" s="37"/>
      <c r="L205" s="37"/>
      <c r="M205" s="37"/>
      <c r="N205" s="37"/>
      <c r="O205" s="37"/>
      <c r="P205" s="37"/>
      <c r="Q205" s="37"/>
      <c r="AC205" s="261"/>
      <c r="AD205" s="261"/>
    </row>
    <row r="206" outlineLevel="1">
      <c r="A206" s="37"/>
      <c r="B206" s="37"/>
      <c r="C206" s="37"/>
      <c r="D206" s="37"/>
      <c r="E206" s="37"/>
      <c r="F206" s="37"/>
      <c r="G206" s="37"/>
      <c r="H206" s="37"/>
      <c r="I206" s="37"/>
      <c r="J206" s="37"/>
      <c r="K206" s="37"/>
      <c r="L206" s="37"/>
      <c r="M206" s="37"/>
      <c r="N206" s="37"/>
      <c r="O206" s="37"/>
      <c r="P206" s="37"/>
      <c r="Q206" s="37"/>
      <c r="AC206" s="261"/>
      <c r="AD206" s="261"/>
    </row>
    <row r="207" outlineLevel="1">
      <c r="A207" s="270">
        <f t="array" ref="A207:E224">sort(M180:Q197,2,true)</f>
        <v>1</v>
      </c>
      <c r="B207" s="270">
        <v>0.0</v>
      </c>
      <c r="C207" s="270">
        <v>6.0</v>
      </c>
      <c r="D207" s="270">
        <v>5.0</v>
      </c>
      <c r="E207" s="270">
        <v>4.0</v>
      </c>
      <c r="F207" s="37"/>
      <c r="G207" s="270">
        <v>1.0</v>
      </c>
      <c r="H207" s="270">
        <f>C207</f>
        <v>6</v>
      </c>
      <c r="I207" s="37"/>
      <c r="J207" s="271" t="str">
        <f t="array" ref="J207">xlookup(G207,K165:K170,A165:A170,"")</f>
        <v>#N/A</v>
      </c>
      <c r="K207" s="271" t="str">
        <f t="array" ref="K207">xlookup(H207,K165:K170,A165:A170,"")</f>
        <v/>
      </c>
      <c r="L207" s="37"/>
      <c r="M207" s="37"/>
      <c r="N207" s="37"/>
      <c r="O207" s="37"/>
      <c r="P207" s="37"/>
      <c r="Q207" s="37"/>
      <c r="AC207" s="261"/>
      <c r="AD207" s="261"/>
    </row>
    <row r="208" outlineLevel="1">
      <c r="A208" s="270">
        <v>2.0</v>
      </c>
      <c r="B208" s="270">
        <v>0.0</v>
      </c>
      <c r="C208" s="270">
        <v>6.0</v>
      </c>
      <c r="D208" s="270">
        <v>4.0</v>
      </c>
      <c r="E208" s="270">
        <v>5.0</v>
      </c>
      <c r="F208" s="37"/>
      <c r="G208" s="270">
        <v>2.0</v>
      </c>
      <c r="H208" s="270">
        <f>D207</f>
        <v>5</v>
      </c>
      <c r="I208" s="37"/>
      <c r="J208" s="271" t="str">
        <f t="array" ref="J208">xlookup(G208,K165:K170,A165:A170,"")</f>
        <v/>
      </c>
      <c r="K208" s="271" t="str">
        <f t="array" ref="K208">xlookup(H208,K165:K170,A165:A170,"")</f>
        <v/>
      </c>
      <c r="L208" s="37"/>
      <c r="M208" s="37"/>
      <c r="N208" s="37"/>
      <c r="O208" s="37"/>
      <c r="P208" s="37"/>
      <c r="Q208" s="37"/>
      <c r="AC208" s="261"/>
      <c r="AD208" s="261"/>
    </row>
    <row r="209" outlineLevel="1">
      <c r="A209" s="270">
        <v>3.0</v>
      </c>
      <c r="B209" s="270">
        <v>0.0</v>
      </c>
      <c r="C209" s="270">
        <v>5.0</v>
      </c>
      <c r="D209" s="270">
        <v>6.0</v>
      </c>
      <c r="E209" s="270">
        <v>4.0</v>
      </c>
      <c r="F209" s="37"/>
      <c r="G209" s="270">
        <f>ifs(A207&lt;=6,3,and(A207&gt;6,A207&lt;13),4,A207&gt;12,5)</f>
        <v>3</v>
      </c>
      <c r="H209" s="270">
        <f>E207</f>
        <v>4</v>
      </c>
      <c r="I209" s="37"/>
      <c r="J209" s="271" t="str">
        <f t="array" ref="J209">xlookup(G209,K165:K170,A165:A170,"")</f>
        <v/>
      </c>
      <c r="K209" s="271" t="str">
        <f t="array" ref="K209">xlookup(H209,K165:K170,A165:A170,"")</f>
        <v/>
      </c>
      <c r="L209" s="37"/>
      <c r="M209" s="37"/>
      <c r="N209" s="37"/>
      <c r="O209" s="37"/>
      <c r="P209" s="37"/>
      <c r="Q209" s="37"/>
      <c r="AC209" s="261"/>
      <c r="AD209" s="261"/>
    </row>
    <row r="210" outlineLevel="1">
      <c r="A210" s="270">
        <v>4.0</v>
      </c>
      <c r="B210" s="270">
        <v>0.0</v>
      </c>
      <c r="C210" s="270">
        <v>5.0</v>
      </c>
      <c r="D210" s="270">
        <v>4.0</v>
      </c>
      <c r="E210" s="270">
        <v>6.0</v>
      </c>
      <c r="F210" s="37"/>
      <c r="G210" s="37"/>
      <c r="H210" s="37"/>
      <c r="I210" s="37"/>
      <c r="J210" s="37"/>
      <c r="K210" s="37"/>
      <c r="L210" s="37"/>
      <c r="M210" s="37"/>
      <c r="N210" s="37"/>
      <c r="O210" s="37"/>
      <c r="P210" s="37"/>
      <c r="Q210" s="37"/>
      <c r="AC210" s="261"/>
      <c r="AD210" s="261"/>
    </row>
    <row r="211" outlineLevel="1">
      <c r="A211" s="270">
        <v>5.0</v>
      </c>
      <c r="B211" s="270">
        <v>0.0</v>
      </c>
      <c r="C211" s="270">
        <v>4.0</v>
      </c>
      <c r="D211" s="270">
        <v>6.0</v>
      </c>
      <c r="E211" s="270">
        <v>5.0</v>
      </c>
      <c r="F211" s="37"/>
      <c r="G211" s="37"/>
      <c r="H211" s="37"/>
      <c r="I211" s="37"/>
      <c r="J211" s="37"/>
      <c r="K211" s="37"/>
      <c r="L211" s="37"/>
      <c r="M211" s="37"/>
      <c r="N211" s="37"/>
      <c r="O211" s="37"/>
      <c r="P211" s="37"/>
      <c r="Q211" s="37"/>
      <c r="AC211" s="261"/>
      <c r="AD211" s="261"/>
    </row>
    <row r="212" outlineLevel="1">
      <c r="A212" s="270">
        <v>6.0</v>
      </c>
      <c r="B212" s="270">
        <v>0.0</v>
      </c>
      <c r="C212" s="270">
        <v>4.0</v>
      </c>
      <c r="D212" s="270">
        <v>5.0</v>
      </c>
      <c r="E212" s="270">
        <v>6.0</v>
      </c>
      <c r="F212" s="37"/>
      <c r="G212" s="37"/>
      <c r="H212" s="37"/>
      <c r="I212" s="37"/>
      <c r="J212" s="37"/>
      <c r="K212" s="37"/>
      <c r="L212" s="37"/>
      <c r="M212" s="37"/>
      <c r="N212" s="37"/>
      <c r="O212" s="37"/>
      <c r="P212" s="37"/>
      <c r="Q212" s="37"/>
      <c r="AC212" s="261"/>
      <c r="AD212" s="261"/>
    </row>
    <row r="213" outlineLevel="1">
      <c r="A213" s="270">
        <v>7.0</v>
      </c>
      <c r="B213" s="270">
        <v>0.0</v>
      </c>
      <c r="C213" s="270">
        <v>6.0</v>
      </c>
      <c r="D213" s="270">
        <v>5.0</v>
      </c>
      <c r="E213" s="270">
        <v>3.0</v>
      </c>
      <c r="F213" s="37"/>
      <c r="G213" s="37"/>
      <c r="H213" s="37"/>
      <c r="I213" s="37"/>
      <c r="J213" s="37"/>
      <c r="K213" s="37"/>
      <c r="L213" s="37"/>
      <c r="M213" s="37"/>
      <c r="N213" s="37"/>
      <c r="O213" s="37"/>
      <c r="P213" s="37"/>
      <c r="Q213" s="37"/>
      <c r="AC213" s="261"/>
      <c r="AD213" s="261"/>
    </row>
    <row r="214" outlineLevel="1">
      <c r="A214" s="270">
        <v>8.0</v>
      </c>
      <c r="B214" s="270">
        <v>0.0</v>
      </c>
      <c r="C214" s="270">
        <v>6.0</v>
      </c>
      <c r="D214" s="270">
        <v>3.0</v>
      </c>
      <c r="E214" s="270">
        <v>5.0</v>
      </c>
      <c r="F214" s="37"/>
      <c r="G214" s="37"/>
      <c r="H214" s="37"/>
      <c r="I214" s="37"/>
      <c r="J214" s="37"/>
      <c r="K214" s="37"/>
      <c r="L214" s="37"/>
      <c r="M214" s="37"/>
      <c r="N214" s="37"/>
      <c r="O214" s="37"/>
      <c r="P214" s="37"/>
      <c r="Q214" s="37"/>
      <c r="AC214" s="261"/>
      <c r="AD214" s="261"/>
    </row>
    <row r="215" outlineLevel="1">
      <c r="A215" s="270">
        <v>9.0</v>
      </c>
      <c r="B215" s="270">
        <v>0.0</v>
      </c>
      <c r="C215" s="270">
        <v>5.0</v>
      </c>
      <c r="D215" s="270">
        <v>6.0</v>
      </c>
      <c r="E215" s="270">
        <v>3.0</v>
      </c>
      <c r="F215" s="37"/>
      <c r="G215" s="37"/>
      <c r="H215" s="37"/>
      <c r="I215" s="37"/>
      <c r="J215" s="37"/>
      <c r="K215" s="37"/>
      <c r="L215" s="37"/>
      <c r="M215" s="37"/>
      <c r="N215" s="37"/>
      <c r="O215" s="37"/>
      <c r="P215" s="37"/>
      <c r="Q215" s="37"/>
      <c r="AC215" s="261"/>
      <c r="AD215" s="261"/>
    </row>
    <row r="216" outlineLevel="1">
      <c r="A216" s="270">
        <v>10.0</v>
      </c>
      <c r="B216" s="270">
        <v>0.0</v>
      </c>
      <c r="C216" s="270">
        <v>5.0</v>
      </c>
      <c r="D216" s="270">
        <v>3.0</v>
      </c>
      <c r="E216" s="270">
        <v>6.0</v>
      </c>
      <c r="F216" s="37"/>
      <c r="G216" s="37"/>
      <c r="H216" s="37"/>
      <c r="I216" s="37"/>
      <c r="J216" s="37"/>
      <c r="K216" s="37"/>
      <c r="L216" s="37"/>
      <c r="M216" s="37"/>
      <c r="N216" s="37"/>
      <c r="O216" s="37"/>
      <c r="P216" s="37"/>
      <c r="Q216" s="37"/>
      <c r="AC216" s="261"/>
      <c r="AD216" s="261"/>
    </row>
    <row r="217" outlineLevel="1">
      <c r="A217" s="270">
        <v>11.0</v>
      </c>
      <c r="B217" s="270">
        <v>0.0</v>
      </c>
      <c r="C217" s="270">
        <v>3.0</v>
      </c>
      <c r="D217" s="270">
        <v>6.0</v>
      </c>
      <c r="E217" s="270">
        <v>5.0</v>
      </c>
      <c r="F217" s="37"/>
      <c r="G217" s="37"/>
      <c r="H217" s="37"/>
      <c r="I217" s="37"/>
      <c r="J217" s="37"/>
      <c r="K217" s="37"/>
      <c r="L217" s="37"/>
      <c r="M217" s="37"/>
      <c r="N217" s="37"/>
      <c r="O217" s="37"/>
      <c r="P217" s="37"/>
      <c r="Q217" s="37"/>
      <c r="AC217" s="261"/>
      <c r="AD217" s="261"/>
    </row>
    <row r="218" outlineLevel="1">
      <c r="A218" s="270">
        <v>12.0</v>
      </c>
      <c r="B218" s="270">
        <v>0.0</v>
      </c>
      <c r="C218" s="270">
        <v>3.0</v>
      </c>
      <c r="D218" s="270">
        <v>5.0</v>
      </c>
      <c r="E218" s="270">
        <v>6.0</v>
      </c>
      <c r="F218" s="37"/>
      <c r="G218" s="37"/>
      <c r="H218" s="37"/>
      <c r="I218" s="37"/>
      <c r="J218" s="37"/>
      <c r="K218" s="37"/>
      <c r="L218" s="37"/>
      <c r="M218" s="37"/>
      <c r="N218" s="37"/>
      <c r="O218" s="37"/>
      <c r="P218" s="37"/>
      <c r="Q218" s="37"/>
      <c r="AC218" s="261"/>
      <c r="AD218" s="261"/>
    </row>
    <row r="219" outlineLevel="1">
      <c r="A219" s="270">
        <v>13.0</v>
      </c>
      <c r="B219" s="270">
        <v>0.0</v>
      </c>
      <c r="C219" s="270">
        <v>6.0</v>
      </c>
      <c r="D219" s="270">
        <v>4.0</v>
      </c>
      <c r="E219" s="270">
        <v>3.0</v>
      </c>
      <c r="F219" s="37"/>
      <c r="G219" s="37"/>
      <c r="H219" s="37"/>
      <c r="I219" s="37"/>
      <c r="J219" s="37"/>
      <c r="K219" s="37"/>
      <c r="L219" s="37"/>
      <c r="M219" s="37"/>
      <c r="N219" s="37"/>
      <c r="O219" s="37"/>
      <c r="P219" s="37"/>
      <c r="Q219" s="37"/>
      <c r="AC219" s="261"/>
      <c r="AD219" s="261"/>
    </row>
    <row r="220" outlineLevel="1">
      <c r="A220" s="270">
        <v>14.0</v>
      </c>
      <c r="B220" s="270">
        <v>0.0</v>
      </c>
      <c r="C220" s="270">
        <v>6.0</v>
      </c>
      <c r="D220" s="270">
        <v>3.0</v>
      </c>
      <c r="E220" s="270">
        <v>4.0</v>
      </c>
      <c r="F220" s="37"/>
      <c r="G220" s="37"/>
      <c r="H220" s="37"/>
      <c r="I220" s="37"/>
      <c r="J220" s="37"/>
      <c r="K220" s="37"/>
      <c r="L220" s="37"/>
      <c r="M220" s="37"/>
      <c r="N220" s="37"/>
      <c r="O220" s="37"/>
      <c r="P220" s="37"/>
      <c r="Q220" s="37"/>
      <c r="AC220" s="261"/>
      <c r="AD220" s="261"/>
    </row>
    <row r="221" outlineLevel="1">
      <c r="A221" s="270">
        <v>15.0</v>
      </c>
      <c r="B221" s="270">
        <v>0.0</v>
      </c>
      <c r="C221" s="270">
        <v>4.0</v>
      </c>
      <c r="D221" s="270">
        <v>6.0</v>
      </c>
      <c r="E221" s="270">
        <v>3.0</v>
      </c>
      <c r="F221" s="37"/>
      <c r="G221" s="37"/>
      <c r="H221" s="37"/>
      <c r="I221" s="37"/>
      <c r="J221" s="37"/>
      <c r="K221" s="37"/>
      <c r="L221" s="37"/>
      <c r="M221" s="37"/>
      <c r="N221" s="37"/>
      <c r="O221" s="37"/>
      <c r="P221" s="37"/>
      <c r="Q221" s="37"/>
      <c r="AC221" s="261"/>
      <c r="AD221" s="261"/>
    </row>
    <row r="222" outlineLevel="1">
      <c r="A222" s="270">
        <v>16.0</v>
      </c>
      <c r="B222" s="270">
        <v>0.0</v>
      </c>
      <c r="C222" s="270">
        <v>4.0</v>
      </c>
      <c r="D222" s="270">
        <v>3.0</v>
      </c>
      <c r="E222" s="270">
        <v>6.0</v>
      </c>
      <c r="F222" s="37"/>
      <c r="G222" s="37"/>
      <c r="H222" s="37"/>
      <c r="I222" s="37"/>
      <c r="J222" s="37"/>
      <c r="K222" s="37"/>
      <c r="L222" s="37"/>
      <c r="M222" s="37"/>
      <c r="N222" s="37"/>
      <c r="O222" s="37"/>
      <c r="P222" s="37"/>
      <c r="Q222" s="37"/>
      <c r="AC222" s="261"/>
      <c r="AD222" s="261"/>
    </row>
    <row r="223" outlineLevel="1">
      <c r="A223" s="270">
        <v>17.0</v>
      </c>
      <c r="B223" s="270">
        <v>0.0</v>
      </c>
      <c r="C223" s="270">
        <v>3.0</v>
      </c>
      <c r="D223" s="270">
        <v>6.0</v>
      </c>
      <c r="E223" s="270">
        <v>4.0</v>
      </c>
      <c r="F223" s="37"/>
      <c r="G223" s="37"/>
      <c r="H223" s="37"/>
      <c r="I223" s="37"/>
      <c r="J223" s="37"/>
      <c r="K223" s="37"/>
      <c r="L223" s="37"/>
      <c r="M223" s="37"/>
      <c r="N223" s="37"/>
      <c r="O223" s="37"/>
      <c r="P223" s="37"/>
      <c r="Q223" s="37"/>
      <c r="AC223" s="261"/>
      <c r="AD223" s="261"/>
    </row>
    <row r="224" outlineLevel="1">
      <c r="A224" s="270">
        <v>18.0</v>
      </c>
      <c r="B224" s="270">
        <v>0.0</v>
      </c>
      <c r="C224" s="270">
        <v>3.0</v>
      </c>
      <c r="D224" s="270">
        <v>4.0</v>
      </c>
      <c r="E224" s="270">
        <v>6.0</v>
      </c>
      <c r="F224" s="37"/>
      <c r="G224" s="37"/>
      <c r="H224" s="37"/>
      <c r="I224" s="37"/>
      <c r="J224" s="37"/>
      <c r="K224" s="37"/>
      <c r="L224" s="37"/>
      <c r="M224" s="37"/>
      <c r="N224" s="37"/>
      <c r="O224" s="37"/>
      <c r="P224" s="37"/>
      <c r="Q224" s="37"/>
      <c r="AC224" s="261"/>
      <c r="AD224" s="261"/>
    </row>
    <row r="225">
      <c r="AC225" s="261"/>
      <c r="AD225" s="261"/>
    </row>
    <row r="226">
      <c r="A226" s="269" t="s">
        <v>408</v>
      </c>
      <c r="AC226" s="261"/>
      <c r="AD226" s="261"/>
    </row>
    <row r="227">
      <c r="A227" s="37" t="s">
        <v>88</v>
      </c>
      <c r="B227" s="37" t="s">
        <v>327</v>
      </c>
      <c r="C227" s="37" t="s">
        <v>326</v>
      </c>
      <c r="D227" s="37" t="s">
        <v>371</v>
      </c>
      <c r="E227" s="37" t="s">
        <v>381</v>
      </c>
      <c r="F227" s="260" t="s">
        <v>398</v>
      </c>
      <c r="G227" s="261" t="s">
        <v>399</v>
      </c>
      <c r="H227" s="262" t="s">
        <v>400</v>
      </c>
      <c r="I227" s="267" t="s">
        <v>401</v>
      </c>
      <c r="J227" s="47" t="s">
        <v>402</v>
      </c>
      <c r="K227" s="263" t="s">
        <v>394</v>
      </c>
      <c r="AC227" s="261"/>
      <c r="AD227" s="261"/>
    </row>
    <row r="228">
      <c r="A228" s="48" t="str">
        <f>IFERROR(__xludf.DUMMYFUNCTION("sort(filter(A147:J162,I147:I162=1),6,true,8,false,10,false)"),"#N/A")</f>
        <v>#N/A</v>
      </c>
      <c r="K228" s="47">
        <v>1.0</v>
      </c>
      <c r="AC228" s="261"/>
      <c r="AD228" s="261"/>
    </row>
    <row r="229">
      <c r="K229" s="47">
        <v>2.0</v>
      </c>
      <c r="AC229" s="261"/>
      <c r="AD229" s="261"/>
    </row>
    <row r="230">
      <c r="K230" s="47">
        <v>3.0</v>
      </c>
      <c r="AC230" s="261"/>
      <c r="AD230" s="261"/>
    </row>
    <row r="231">
      <c r="K231" s="47">
        <v>4.0</v>
      </c>
      <c r="AC231" s="261"/>
      <c r="AD231" s="261"/>
    </row>
    <row r="232">
      <c r="K232" s="47">
        <v>5.0</v>
      </c>
      <c r="AC232" s="261"/>
      <c r="AD232" s="261"/>
    </row>
    <row r="233">
      <c r="K233" s="47">
        <v>6.0</v>
      </c>
      <c r="AC233" s="261"/>
      <c r="AD233" s="261"/>
    </row>
    <row r="234">
      <c r="A234" s="37"/>
      <c r="B234" s="37"/>
      <c r="C234" s="37" t="s">
        <v>394</v>
      </c>
      <c r="D234" s="37" t="s">
        <v>405</v>
      </c>
      <c r="E234" s="37" t="s">
        <v>406</v>
      </c>
      <c r="F234" s="37"/>
      <c r="G234" s="37"/>
      <c r="H234" s="37"/>
      <c r="I234" s="37"/>
      <c r="J234" s="37"/>
      <c r="K234" s="37"/>
      <c r="L234" s="37"/>
      <c r="M234" s="37"/>
      <c r="N234" s="37"/>
      <c r="O234" s="37"/>
      <c r="P234" s="37"/>
      <c r="Q234" s="37"/>
      <c r="AC234" s="261"/>
      <c r="AD234" s="261"/>
    </row>
    <row r="235">
      <c r="A235" s="270" t="str">
        <f t="shared" ref="A235:A240" si="70">A228</f>
        <v>#N/A</v>
      </c>
      <c r="B235" s="37" t="str">
        <f t="shared" ref="B235:B240" si="71">C228</f>
        <v/>
      </c>
      <c r="C235" s="270">
        <f t="shared" ref="C235:C240" si="72">K228</f>
        <v>1</v>
      </c>
      <c r="D235" s="37" t="str">
        <f t="array" ref="D235">xlookup(D228,A228:A233,K228:K233,"")</f>
        <v/>
      </c>
      <c r="E235" s="270" t="str">
        <f t="array" ref="E235">xlookup(E228,A228:A233,K228:K233,"")</f>
        <v/>
      </c>
      <c r="F235" s="37"/>
      <c r="G235" s="37"/>
      <c r="H235" s="37"/>
      <c r="I235" s="37"/>
      <c r="J235" s="37"/>
      <c r="K235" s="37"/>
      <c r="L235" s="37"/>
      <c r="M235" s="37"/>
      <c r="N235" s="37"/>
      <c r="O235" s="37"/>
      <c r="P235" s="37"/>
      <c r="Q235" s="37"/>
      <c r="AC235" s="261"/>
      <c r="AD235" s="261"/>
    </row>
    <row r="236">
      <c r="A236" s="270" t="str">
        <f t="shared" si="70"/>
        <v/>
      </c>
      <c r="B236" s="37" t="str">
        <f t="shared" si="71"/>
        <v/>
      </c>
      <c r="C236" s="270">
        <f t="shared" si="72"/>
        <v>2</v>
      </c>
      <c r="D236" s="37" t="str">
        <f t="array" ref="D236">xlookup(D229,A228:A233,K228:K233,"")</f>
        <v/>
      </c>
      <c r="E236" s="270" t="str">
        <f t="array" ref="E236">xlookup(E229,A228:A233,K228:K233,"")</f>
        <v/>
      </c>
      <c r="F236" s="37"/>
      <c r="G236" s="37"/>
      <c r="H236" s="37"/>
      <c r="I236" s="37"/>
      <c r="J236" s="37"/>
      <c r="K236" s="37"/>
      <c r="L236" s="37"/>
      <c r="M236" s="37"/>
      <c r="N236" s="37"/>
      <c r="O236" s="37"/>
      <c r="P236" s="37"/>
      <c r="Q236" s="37"/>
      <c r="AC236" s="261"/>
      <c r="AD236" s="261"/>
    </row>
    <row r="237">
      <c r="A237" s="270" t="str">
        <f t="shared" si="70"/>
        <v/>
      </c>
      <c r="B237" s="37" t="str">
        <f t="shared" si="71"/>
        <v/>
      </c>
      <c r="C237" s="270">
        <f t="shared" si="72"/>
        <v>3</v>
      </c>
      <c r="D237" s="37" t="str">
        <f t="array" ref="D237">xlookup(D230,A228:A233,K228:K233,"")</f>
        <v/>
      </c>
      <c r="E237" s="270" t="str">
        <f t="array" ref="E237">xlookup(E230,A228:A233,K228:K233,"")</f>
        <v/>
      </c>
      <c r="F237" s="37"/>
      <c r="G237" s="37"/>
      <c r="H237" s="37"/>
      <c r="I237" s="37"/>
      <c r="J237" s="37"/>
      <c r="K237" s="37"/>
      <c r="L237" s="37"/>
      <c r="M237" s="37"/>
      <c r="N237" s="37"/>
      <c r="O237" s="37"/>
      <c r="P237" s="37"/>
      <c r="Q237" s="37"/>
      <c r="AC237" s="261"/>
      <c r="AD237" s="261"/>
    </row>
    <row r="238">
      <c r="A238" s="270" t="str">
        <f t="shared" si="70"/>
        <v/>
      </c>
      <c r="B238" s="37" t="str">
        <f t="shared" si="71"/>
        <v/>
      </c>
      <c r="C238" s="270">
        <f t="shared" si="72"/>
        <v>4</v>
      </c>
      <c r="D238" s="37" t="str">
        <f t="array" ref="D238">xlookup(D231,A228:A233,K228:K233,"")</f>
        <v/>
      </c>
      <c r="E238" s="270" t="str">
        <f t="array" ref="E238">xlookup(E231,A228:A233,K228:K233,"")</f>
        <v/>
      </c>
      <c r="F238" s="37"/>
      <c r="G238" s="37"/>
      <c r="H238" s="37"/>
      <c r="I238" s="37"/>
      <c r="J238" s="37"/>
      <c r="K238" s="37"/>
      <c r="L238" s="37"/>
      <c r="M238" s="37"/>
      <c r="N238" s="37"/>
      <c r="O238" s="37"/>
      <c r="P238" s="37"/>
      <c r="Q238" s="37"/>
      <c r="AC238" s="261"/>
      <c r="AD238" s="261"/>
    </row>
    <row r="239">
      <c r="A239" s="270" t="str">
        <f t="shared" si="70"/>
        <v/>
      </c>
      <c r="B239" s="37" t="str">
        <f t="shared" si="71"/>
        <v/>
      </c>
      <c r="C239" s="270">
        <f t="shared" si="72"/>
        <v>5</v>
      </c>
      <c r="D239" s="37" t="str">
        <f t="array" ref="D239">xlookup(D232,A228:A233,K228:K233,"")</f>
        <v/>
      </c>
      <c r="E239" s="270" t="str">
        <f t="array" ref="E239">xlookup(E232,A228:A233,K228:K233,"")</f>
        <v/>
      </c>
      <c r="F239" s="37"/>
      <c r="G239" s="37"/>
      <c r="H239" s="37"/>
      <c r="I239" s="37"/>
      <c r="J239" s="37"/>
      <c r="K239" s="271" t="str">
        <f t="array" ref="K239:L241">'Choose matchups (Contender)'!Q70:R72</f>
        <v>#N/A</v>
      </c>
      <c r="L239" s="271" t="e">
        <v>#N/A</v>
      </c>
      <c r="M239" s="37"/>
      <c r="N239" s="37"/>
      <c r="O239" s="37"/>
      <c r="P239" s="37"/>
      <c r="Q239" s="37"/>
      <c r="AC239" s="261"/>
      <c r="AD239" s="261"/>
    </row>
    <row r="240">
      <c r="A240" s="270" t="str">
        <f t="shared" si="70"/>
        <v/>
      </c>
      <c r="B240" s="37" t="str">
        <f t="shared" si="71"/>
        <v/>
      </c>
      <c r="C240" s="270">
        <f t="shared" si="72"/>
        <v>6</v>
      </c>
      <c r="D240" s="37" t="str">
        <f t="array" ref="D240">xlookup(D233,A228:A233,K228:K233,"")</f>
        <v/>
      </c>
      <c r="E240" s="270" t="str">
        <f t="array" ref="E240">xlookup(E233,A228:A233,K228:K233,"")</f>
        <v/>
      </c>
      <c r="F240" s="37"/>
      <c r="G240" s="37"/>
      <c r="H240" s="37"/>
      <c r="I240" s="37"/>
      <c r="J240" s="37"/>
      <c r="K240" s="271" t="e">
        <v>#N/A</v>
      </c>
      <c r="L240" s="271" t="e">
        <v>#N/A</v>
      </c>
      <c r="M240" s="37"/>
      <c r="N240" s="37"/>
      <c r="O240" s="37"/>
      <c r="P240" s="37"/>
      <c r="Q240" s="37"/>
      <c r="AC240" s="261"/>
      <c r="AD240" s="261"/>
    </row>
    <row r="241">
      <c r="A241" s="37"/>
      <c r="B241" s="37"/>
      <c r="C241" s="37"/>
      <c r="D241" s="37"/>
      <c r="E241" s="37"/>
      <c r="F241" s="37"/>
      <c r="G241" s="37"/>
      <c r="H241" s="37"/>
      <c r="I241" s="37"/>
      <c r="J241" s="37"/>
      <c r="K241" s="271" t="e">
        <v>#N/A</v>
      </c>
      <c r="L241" s="271" t="e">
        <v>#N/A</v>
      </c>
      <c r="M241" s="37"/>
      <c r="N241" s="37"/>
      <c r="O241" s="37"/>
      <c r="P241" s="37"/>
      <c r="Q241" s="37"/>
      <c r="AC241" s="261"/>
      <c r="AD241" s="261"/>
    </row>
    <row r="242" collapsed="1">
      <c r="A242" s="263" t="s">
        <v>409</v>
      </c>
      <c r="B242" s="37"/>
      <c r="C242" s="37"/>
      <c r="D242" s="37"/>
      <c r="E242" s="37"/>
      <c r="F242" s="37"/>
      <c r="G242" s="37"/>
      <c r="H242" s="37"/>
      <c r="I242" s="37"/>
      <c r="J242" s="37"/>
      <c r="K242" s="37"/>
      <c r="L242" s="37"/>
      <c r="M242" s="37"/>
      <c r="N242" s="37"/>
      <c r="O242" s="37"/>
      <c r="P242" s="37"/>
      <c r="Q242" s="37"/>
      <c r="AC242" s="261"/>
      <c r="AD242" s="261"/>
    </row>
    <row r="243" hidden="1" outlineLevel="1">
      <c r="A243" s="270">
        <v>1.0</v>
      </c>
      <c r="B243" s="270">
        <v>6.0</v>
      </c>
      <c r="C243" s="270">
        <f t="array" ref="C243">if(or(xlookup(A243,C235:C240,D235:D240)=B243,xlookup(A243,C235:C240,E235:E240)=B243),1,0)</f>
        <v>0</v>
      </c>
      <c r="D243" s="37"/>
      <c r="E243" s="270">
        <v>1.0</v>
      </c>
      <c r="F243" s="270">
        <v>6.0</v>
      </c>
      <c r="G243" s="270">
        <f t="array" ref="G243">if(or(xlookup(E243,C235:C240,D235:D240)=F243,xlookup(E243,C235:C240,E235:E240)=F243),1,0)</f>
        <v>0</v>
      </c>
      <c r="H243" s="37"/>
      <c r="I243" s="270">
        <v>1.0</v>
      </c>
      <c r="J243" s="270">
        <v>6.0</v>
      </c>
      <c r="K243" s="270">
        <f t="array" ref="K243">if(or(xlookup(I243,C235:C240,D235:D240)=J243,xlookup(I243,C235:C240,E235:E240)=J243),1,0)</f>
        <v>0</v>
      </c>
      <c r="L243" s="37"/>
      <c r="M243" s="270">
        <v>1.0</v>
      </c>
      <c r="N243" s="270">
        <f>C246</f>
        <v>0</v>
      </c>
      <c r="O243" s="270">
        <f t="array" ref="O243:Q243">TRANSPOSE(B243:B245)</f>
        <v>6</v>
      </c>
      <c r="P243" s="270">
        <v>5.0</v>
      </c>
      <c r="Q243" s="270">
        <v>4.0</v>
      </c>
      <c r="AC243" s="261"/>
      <c r="AD243" s="261"/>
    </row>
    <row r="244" hidden="1" outlineLevel="1">
      <c r="A244" s="270">
        <v>2.0</v>
      </c>
      <c r="B244" s="270">
        <v>5.0</v>
      </c>
      <c r="C244" s="270">
        <f t="array" ref="C244">if(or(xlookup(A244,C235:C240,D235:D240)=B244,xlookup(A244,C235:C240,E235:E240)=B244),1,0)</f>
        <v>0</v>
      </c>
      <c r="D244" s="37"/>
      <c r="E244" s="270">
        <v>2.0</v>
      </c>
      <c r="F244" s="270">
        <v>5.0</v>
      </c>
      <c r="G244" s="270">
        <f t="array" ref="G244">if(or(xlookup(E244,C235:C240,D235:D240)=F244,xlookup(E244,C235:C240,E235:E240)=F244),1,0)</f>
        <v>0</v>
      </c>
      <c r="H244" s="37"/>
      <c r="I244" s="270">
        <v>2.0</v>
      </c>
      <c r="J244" s="270">
        <v>4.0</v>
      </c>
      <c r="K244" s="270">
        <f t="array" ref="K244">if(or(xlookup(I244,C235:C240,D235:D240)=J244,xlookup(I244,C235:C240,E235:E240)=J244),1,0)</f>
        <v>0</v>
      </c>
      <c r="L244" s="37"/>
      <c r="M244" s="270">
        <f t="shared" ref="M244:M260" si="73">M243+1</f>
        <v>2</v>
      </c>
      <c r="N244" s="270">
        <f>C250</f>
        <v>0</v>
      </c>
      <c r="O244" s="270">
        <f t="array" ref="O244:Q244">TRANSPOSE(B247:B249)</f>
        <v>6</v>
      </c>
      <c r="P244" s="270">
        <v>4.0</v>
      </c>
      <c r="Q244" s="270">
        <v>5.0</v>
      </c>
      <c r="AC244" s="261"/>
      <c r="AD244" s="261"/>
    </row>
    <row r="245" hidden="1" outlineLevel="1">
      <c r="A245" s="270">
        <v>3.0</v>
      </c>
      <c r="B245" s="270">
        <v>4.0</v>
      </c>
      <c r="C245" s="270">
        <f t="array" ref="C245">if(or(xlookup(A245,C235:C240,D235:D240)=B245,xlookup(A245,C235:C240,E235:E240)=B245),1,0)</f>
        <v>0</v>
      </c>
      <c r="D245" s="37"/>
      <c r="E245" s="270">
        <v>4.0</v>
      </c>
      <c r="F245" s="270">
        <v>3.0</v>
      </c>
      <c r="G245" s="270">
        <f t="array" ref="G245">if(or(xlookup(E245,C235:C240,D235:D240)=F245,xlookup(E245,C235:C240,E235:E240)=F245),1,0)</f>
        <v>0</v>
      </c>
      <c r="H245" s="37"/>
      <c r="I245" s="270">
        <v>5.0</v>
      </c>
      <c r="J245" s="270">
        <v>3.0</v>
      </c>
      <c r="K245" s="270">
        <f t="array" ref="K245">if(or(xlookup(I245,C235:C240,D235:D240)=J245,xlookup(I245,C235:C240,E235:E240)=J245),1,0)</f>
        <v>0</v>
      </c>
      <c r="L245" s="37"/>
      <c r="M245" s="270">
        <f t="shared" si="73"/>
        <v>3</v>
      </c>
      <c r="N245" s="270">
        <f>C254</f>
        <v>0</v>
      </c>
      <c r="O245" s="270">
        <f t="array" ref="O245:Q245">TRANSPOSE(B251:B253)</f>
        <v>5</v>
      </c>
      <c r="P245" s="270">
        <v>6.0</v>
      </c>
      <c r="Q245" s="270">
        <v>4.0</v>
      </c>
      <c r="AC245" s="261"/>
      <c r="AD245" s="261"/>
    </row>
    <row r="246" hidden="1" outlineLevel="1">
      <c r="A246" s="37"/>
      <c r="B246" s="37"/>
      <c r="C246" s="272">
        <f>SUM(C243:C245)</f>
        <v>0</v>
      </c>
      <c r="D246" s="37"/>
      <c r="E246" s="37"/>
      <c r="F246" s="37"/>
      <c r="G246" s="272">
        <f>SUM(G243:G245)</f>
        <v>0</v>
      </c>
      <c r="H246" s="37"/>
      <c r="I246" s="37"/>
      <c r="J246" s="37"/>
      <c r="K246" s="272">
        <f>SUM(K243:K245)</f>
        <v>0</v>
      </c>
      <c r="L246" s="37"/>
      <c r="M246" s="270">
        <f t="shared" si="73"/>
        <v>4</v>
      </c>
      <c r="N246" s="270">
        <f>C258</f>
        <v>0</v>
      </c>
      <c r="O246" s="270">
        <f t="array" ref="O246:Q246">TRANSPOSE(B255:B257)</f>
        <v>5</v>
      </c>
      <c r="P246" s="270">
        <v>4.0</v>
      </c>
      <c r="Q246" s="270">
        <v>6.0</v>
      </c>
      <c r="AC246" s="261"/>
      <c r="AD246" s="261"/>
    </row>
    <row r="247" hidden="1" outlineLevel="1">
      <c r="A247" s="270">
        <v>1.0</v>
      </c>
      <c r="B247" s="270">
        <v>6.0</v>
      </c>
      <c r="C247" s="270">
        <f t="array" ref="C247">if(or(xlookup(A247,C235:C240,D235:D240)=B247,xlookup(A247,C235:C240,E235:E240)=B247),1,0)</f>
        <v>0</v>
      </c>
      <c r="D247" s="37"/>
      <c r="E247" s="270">
        <v>1.0</v>
      </c>
      <c r="F247" s="270">
        <v>6.0</v>
      </c>
      <c r="G247" s="270">
        <f t="array" ref="G247">if(or(xlookup(E247,C235:C240,D235:D240)=F247,xlookup(E247,C235:C240,E235:E240)=F247),1,0)</f>
        <v>0</v>
      </c>
      <c r="H247" s="37"/>
      <c r="I247" s="270">
        <v>1.0</v>
      </c>
      <c r="J247" s="270">
        <v>6.0</v>
      </c>
      <c r="K247" s="270">
        <f t="array" ref="K247">if(or(xlookup(I247,C235:C240,D235:D240)=J247,xlookup(I247,C235:C240,E235:E240)=J247),1,0)</f>
        <v>0</v>
      </c>
      <c r="L247" s="37"/>
      <c r="M247" s="270">
        <f t="shared" si="73"/>
        <v>5</v>
      </c>
      <c r="N247" s="270">
        <f>C262</f>
        <v>0</v>
      </c>
      <c r="O247" s="270">
        <f t="array" ref="O247:Q247">TRANSPOSE(B259:B261)</f>
        <v>4</v>
      </c>
      <c r="P247" s="270">
        <v>6.0</v>
      </c>
      <c r="Q247" s="270">
        <v>5.0</v>
      </c>
      <c r="AC247" s="261"/>
      <c r="AD247" s="261"/>
    </row>
    <row r="248" hidden="1" outlineLevel="1">
      <c r="A248" s="270">
        <v>2.0</v>
      </c>
      <c r="B248" s="270">
        <v>4.0</v>
      </c>
      <c r="C248" s="270">
        <f t="array" ref="C248">if(or(xlookup(A248,C235:C240,D235:D240)=B248,xlookup(A248,C235:C240,E235:E240)=B248),1,0)</f>
        <v>0</v>
      </c>
      <c r="D248" s="37"/>
      <c r="E248" s="270">
        <v>2.0</v>
      </c>
      <c r="F248" s="270">
        <v>3.0</v>
      </c>
      <c r="G248" s="270">
        <f t="array" ref="G248">if(or(xlookup(E248,C235:C240,D235:D240)=F248,xlookup(E248,C235:C240,E235:E240)=F248),1,0)</f>
        <v>0</v>
      </c>
      <c r="H248" s="37"/>
      <c r="I248" s="270">
        <v>2.0</v>
      </c>
      <c r="J248" s="270">
        <v>3.0</v>
      </c>
      <c r="K248" s="270">
        <f t="array" ref="K248">if(or(xlookup(I248,C235:C240,D235:D240)=J248,xlookup(I248,C235:C240,E235:E240)=J248),1,0)</f>
        <v>0</v>
      </c>
      <c r="L248" s="37"/>
      <c r="M248" s="270">
        <f t="shared" si="73"/>
        <v>6</v>
      </c>
      <c r="N248" s="270">
        <f>C266</f>
        <v>0</v>
      </c>
      <c r="O248" s="270">
        <f t="array" ref="O248:Q248">TRANSPOSE(B263:B265)</f>
        <v>4</v>
      </c>
      <c r="P248" s="270">
        <v>5.0</v>
      </c>
      <c r="Q248" s="270">
        <v>6.0</v>
      </c>
      <c r="AC248" s="261"/>
      <c r="AD248" s="261"/>
    </row>
    <row r="249" hidden="1" outlineLevel="1">
      <c r="A249" s="270">
        <v>3.0</v>
      </c>
      <c r="B249" s="270">
        <v>5.0</v>
      </c>
      <c r="C249" s="270">
        <f t="array" ref="C249">if(or(xlookup(A249,C235:C240,D235:D240)=B249,xlookup(A249,C235:C240,E235:E240)=B249),1,0)</f>
        <v>0</v>
      </c>
      <c r="D249" s="37"/>
      <c r="E249" s="270">
        <v>4.0</v>
      </c>
      <c r="F249" s="270">
        <v>5.0</v>
      </c>
      <c r="G249" s="270">
        <f t="array" ref="G249">if(or(xlookup(E249,C235:C240,D235:D240)=F249,xlookup(E249,C235:C240,E235:E240)=F249),1,0)</f>
        <v>0</v>
      </c>
      <c r="H249" s="37"/>
      <c r="I249" s="270">
        <v>5.0</v>
      </c>
      <c r="J249" s="270">
        <v>4.0</v>
      </c>
      <c r="K249" s="270">
        <f t="array" ref="K249">if(or(xlookup(I249,C235:C240,D235:D240)=J249,xlookup(I249,C235:C240,E235:E240)=J249),1,0)</f>
        <v>0</v>
      </c>
      <c r="L249" s="37"/>
      <c r="M249" s="270">
        <f t="shared" si="73"/>
        <v>7</v>
      </c>
      <c r="N249" s="270">
        <f>G246</f>
        <v>0</v>
      </c>
      <c r="O249" s="270">
        <f t="array" ref="O249:Q249">TRANSPOSE(F243:F245)</f>
        <v>6</v>
      </c>
      <c r="P249" s="270">
        <v>5.0</v>
      </c>
      <c r="Q249" s="270">
        <v>3.0</v>
      </c>
      <c r="AC249" s="261"/>
      <c r="AD249" s="261"/>
    </row>
    <row r="250" hidden="1" outlineLevel="1">
      <c r="A250" s="37"/>
      <c r="B250" s="37"/>
      <c r="C250" s="272">
        <f>SUM(C247:C249)</f>
        <v>0</v>
      </c>
      <c r="D250" s="37"/>
      <c r="E250" s="37"/>
      <c r="F250" s="37"/>
      <c r="G250" s="272">
        <f>SUM(G247:G249)</f>
        <v>0</v>
      </c>
      <c r="H250" s="37"/>
      <c r="I250" s="37"/>
      <c r="J250" s="37"/>
      <c r="K250" s="272">
        <f>SUM(K247:K249)</f>
        <v>0</v>
      </c>
      <c r="L250" s="37"/>
      <c r="M250" s="270">
        <f t="shared" si="73"/>
        <v>8</v>
      </c>
      <c r="N250" s="270">
        <f>G250</f>
        <v>0</v>
      </c>
      <c r="O250" s="270">
        <f t="array" ref="O250:Q250">TRANSPOSE(F247:F249)</f>
        <v>6</v>
      </c>
      <c r="P250" s="270">
        <v>3.0</v>
      </c>
      <c r="Q250" s="270">
        <v>5.0</v>
      </c>
      <c r="AC250" s="261"/>
      <c r="AD250" s="261"/>
    </row>
    <row r="251" hidden="1" outlineLevel="1">
      <c r="A251" s="270">
        <v>1.0</v>
      </c>
      <c r="B251" s="270">
        <v>5.0</v>
      </c>
      <c r="C251" s="270">
        <f t="array" ref="C251">if(or(xlookup(A251,C235:C240,D235:D240)=B251,xlookup(A251,C235:C240,E235:E240)=B251),1,0)</f>
        <v>0</v>
      </c>
      <c r="D251" s="37"/>
      <c r="E251" s="270">
        <v>1.0</v>
      </c>
      <c r="F251" s="270">
        <v>5.0</v>
      </c>
      <c r="G251" s="270">
        <f t="array" ref="G251">if(or(xlookup(E251,C235:C240,D235:D240)=F251,xlookup(E251,C235:C240,E235:E240)=F251),1,0)</f>
        <v>0</v>
      </c>
      <c r="H251" s="37"/>
      <c r="I251" s="270">
        <v>1.0</v>
      </c>
      <c r="J251" s="270">
        <v>4.0</v>
      </c>
      <c r="K251" s="270">
        <f t="array" ref="K251">if(or(xlookup(I251,C235:C240,D235:D240)=J251,xlookup(I251,C235:C240,E235:E240)=J251),1,0)</f>
        <v>0</v>
      </c>
      <c r="L251" s="37"/>
      <c r="M251" s="270">
        <f t="shared" si="73"/>
        <v>9</v>
      </c>
      <c r="N251" s="270">
        <f>G254</f>
        <v>0</v>
      </c>
      <c r="O251" s="270">
        <f t="array" ref="O251:Q251">TRANSPOSE(F251:F253)</f>
        <v>5</v>
      </c>
      <c r="P251" s="270">
        <v>6.0</v>
      </c>
      <c r="Q251" s="270">
        <v>3.0</v>
      </c>
      <c r="AC251" s="261"/>
      <c r="AD251" s="261"/>
    </row>
    <row r="252" hidden="1" outlineLevel="1">
      <c r="A252" s="270">
        <v>2.0</v>
      </c>
      <c r="B252" s="270">
        <v>6.0</v>
      </c>
      <c r="C252" s="270">
        <f t="array" ref="C252">if(or(xlookup(A252,C235:C240,D235:D240)=B252,xlookup(A252,C235:C240,E235:E240)=B252),1,0)</f>
        <v>0</v>
      </c>
      <c r="D252" s="37"/>
      <c r="E252" s="270">
        <v>2.0</v>
      </c>
      <c r="F252" s="270">
        <v>6.0</v>
      </c>
      <c r="G252" s="270">
        <f t="array" ref="G252">if(or(xlookup(E252,C235:C240,D235:D240)=F252,xlookup(E252,C235:C240,E235:E240)=F252),1,0)</f>
        <v>0</v>
      </c>
      <c r="H252" s="37"/>
      <c r="I252" s="270">
        <v>2.0</v>
      </c>
      <c r="J252" s="270">
        <v>6.0</v>
      </c>
      <c r="K252" s="270">
        <f t="array" ref="K252">if(or(xlookup(I252,C235:C240,D235:D240)=J252,xlookup(I252,C235:C240,E235:E240)=J252),1,0)</f>
        <v>0</v>
      </c>
      <c r="L252" s="37"/>
      <c r="M252" s="270">
        <f t="shared" si="73"/>
        <v>10</v>
      </c>
      <c r="N252" s="270">
        <f>G258</f>
        <v>0</v>
      </c>
      <c r="O252" s="270">
        <f t="array" ref="O252:Q252">TRANSPOSE(F255:F257)</f>
        <v>5</v>
      </c>
      <c r="P252" s="270">
        <v>3.0</v>
      </c>
      <c r="Q252" s="270">
        <v>6.0</v>
      </c>
      <c r="AC252" s="261"/>
      <c r="AD252" s="261"/>
    </row>
    <row r="253" hidden="1" outlineLevel="1">
      <c r="A253" s="270">
        <v>3.0</v>
      </c>
      <c r="B253" s="270">
        <v>4.0</v>
      </c>
      <c r="C253" s="270">
        <f t="array" ref="C253">if(or(xlookup(A253,C235:C240,D235:D240)=B253,xlookup(A253,C235:C240,E235:E240)=B253),1,0)</f>
        <v>0</v>
      </c>
      <c r="D253" s="37"/>
      <c r="E253" s="270">
        <v>4.0</v>
      </c>
      <c r="F253" s="270">
        <v>3.0</v>
      </c>
      <c r="G253" s="270">
        <f t="array" ref="G253">if(or(xlookup(E253,C235:C240,D235:D240)=F253,xlookup(E253,C235:C240,E235:E240)=F253),1,0)</f>
        <v>0</v>
      </c>
      <c r="H253" s="37"/>
      <c r="I253" s="270">
        <v>5.0</v>
      </c>
      <c r="J253" s="270">
        <v>3.0</v>
      </c>
      <c r="K253" s="270">
        <f t="array" ref="K253">if(or(xlookup(I253,C235:C240,D235:D240)=J253,xlookup(I253,C235:C240,E235:E240)=J253),1,0)</f>
        <v>0</v>
      </c>
      <c r="L253" s="37"/>
      <c r="M253" s="270">
        <f t="shared" si="73"/>
        <v>11</v>
      </c>
      <c r="N253" s="270">
        <f>G262</f>
        <v>0</v>
      </c>
      <c r="O253" s="270">
        <f t="array" ref="O253:Q253">TRANSPOSE(F259:F261)</f>
        <v>3</v>
      </c>
      <c r="P253" s="270">
        <v>6.0</v>
      </c>
      <c r="Q253" s="270">
        <v>5.0</v>
      </c>
      <c r="AC253" s="261"/>
      <c r="AD253" s="261"/>
    </row>
    <row r="254" hidden="1" outlineLevel="1">
      <c r="A254" s="37"/>
      <c r="B254" s="37"/>
      <c r="C254" s="272">
        <f>SUM(C251:C253)</f>
        <v>0</v>
      </c>
      <c r="D254" s="37"/>
      <c r="E254" s="37"/>
      <c r="F254" s="37"/>
      <c r="G254" s="272">
        <f>SUM(G251:G253)</f>
        <v>0</v>
      </c>
      <c r="H254" s="37"/>
      <c r="I254" s="37"/>
      <c r="J254" s="37"/>
      <c r="K254" s="272">
        <f>SUM(K251:K253)</f>
        <v>0</v>
      </c>
      <c r="L254" s="37"/>
      <c r="M254" s="270">
        <f t="shared" si="73"/>
        <v>12</v>
      </c>
      <c r="N254" s="270">
        <f>G266</f>
        <v>0</v>
      </c>
      <c r="O254" s="270">
        <f t="array" ref="O254:Q254">TRANSPOSE(F263:F265)</f>
        <v>3</v>
      </c>
      <c r="P254" s="270">
        <v>5.0</v>
      </c>
      <c r="Q254" s="270">
        <v>6.0</v>
      </c>
      <c r="AC254" s="261"/>
      <c r="AD254" s="261"/>
    </row>
    <row r="255" hidden="1" outlineLevel="1">
      <c r="A255" s="270">
        <v>1.0</v>
      </c>
      <c r="B255" s="270">
        <v>5.0</v>
      </c>
      <c r="C255" s="270">
        <f t="array" ref="C255">if(or(xlookup(A255,C235:C240,D235:D240)=B255,xlookup(A255,C235:C240,E235:E240)=B255),1,0)</f>
        <v>0</v>
      </c>
      <c r="D255" s="37"/>
      <c r="E255" s="270">
        <v>1.0</v>
      </c>
      <c r="F255" s="270">
        <v>5.0</v>
      </c>
      <c r="G255" s="270">
        <f t="array" ref="G255">if(or(xlookup(E255,C235:C240,D235:D240)=F255,xlookup(E255,C235:C240,E235:E240)=F255),1,0)</f>
        <v>0</v>
      </c>
      <c r="H255" s="37"/>
      <c r="I255" s="270">
        <v>1.0</v>
      </c>
      <c r="J255" s="270">
        <v>4.0</v>
      </c>
      <c r="K255" s="270">
        <f t="array" ref="K255">if(or(xlookup(I255,C235:C240,D235:D240)=J255,xlookup(I255,C235:C240,E235:E240)=J255),1,0)</f>
        <v>0</v>
      </c>
      <c r="L255" s="37"/>
      <c r="M255" s="270">
        <f t="shared" si="73"/>
        <v>13</v>
      </c>
      <c r="N255" s="270">
        <f>K246</f>
        <v>0</v>
      </c>
      <c r="O255" s="270">
        <f t="array" ref="O255:Q255">TRANSPOSE(J243:J245)</f>
        <v>6</v>
      </c>
      <c r="P255" s="270">
        <v>4.0</v>
      </c>
      <c r="Q255" s="270">
        <v>3.0</v>
      </c>
      <c r="AC255" s="261"/>
      <c r="AD255" s="261"/>
    </row>
    <row r="256" hidden="1" outlineLevel="1">
      <c r="A256" s="270">
        <v>2.0</v>
      </c>
      <c r="B256" s="270">
        <v>4.0</v>
      </c>
      <c r="C256" s="270">
        <f t="array" ref="C256">if(or(xlookup(A256,C235:C240,D235:D240)=B256,xlookup(A256,C235:C240,E235:E240)=B256),1,0)</f>
        <v>0</v>
      </c>
      <c r="D256" s="37"/>
      <c r="E256" s="270">
        <v>2.0</v>
      </c>
      <c r="F256" s="270">
        <v>3.0</v>
      </c>
      <c r="G256" s="270">
        <f t="array" ref="G256">if(or(xlookup(E256,C235:C240,D235:D240)=F256,xlookup(E256,C235:C240,E235:E240)=F256),1,0)</f>
        <v>0</v>
      </c>
      <c r="H256" s="37"/>
      <c r="I256" s="270">
        <v>2.0</v>
      </c>
      <c r="J256" s="270">
        <v>3.0</v>
      </c>
      <c r="K256" s="270">
        <f t="array" ref="K256">if(or(xlookup(I256,C235:C240,D235:D240)=J256,xlookup(I256,C235:C240,E235:E240)=J256),1,0)</f>
        <v>0</v>
      </c>
      <c r="L256" s="37"/>
      <c r="M256" s="270">
        <f t="shared" si="73"/>
        <v>14</v>
      </c>
      <c r="N256" s="270">
        <f>K250</f>
        <v>0</v>
      </c>
      <c r="O256" s="270">
        <f t="array" ref="O256:Q256">TRANSPOSE(J247:J249)</f>
        <v>6</v>
      </c>
      <c r="P256" s="270">
        <v>3.0</v>
      </c>
      <c r="Q256" s="270">
        <v>4.0</v>
      </c>
      <c r="AC256" s="261"/>
      <c r="AD256" s="261"/>
    </row>
    <row r="257" hidden="1" outlineLevel="1">
      <c r="A257" s="270">
        <v>3.0</v>
      </c>
      <c r="B257" s="270">
        <v>6.0</v>
      </c>
      <c r="C257" s="270">
        <f t="array" ref="C257">if(or(xlookup(A257,C235:C240,D235:D240)=B257,xlookup(A257,C235:C240,E235:E240)=B257),1,0)</f>
        <v>0</v>
      </c>
      <c r="D257" s="37"/>
      <c r="E257" s="270">
        <v>4.0</v>
      </c>
      <c r="F257" s="270">
        <v>6.0</v>
      </c>
      <c r="G257" s="270">
        <f t="array" ref="G257">if(or(xlookup(E257,C235:C240,D235:D240)=F257,xlookup(E257,C235:C240,E235:E240)=F257),1,0)</f>
        <v>0</v>
      </c>
      <c r="H257" s="37"/>
      <c r="I257" s="270">
        <v>5.0</v>
      </c>
      <c r="J257" s="270">
        <v>6.0</v>
      </c>
      <c r="K257" s="270">
        <f t="array" ref="K257">if(or(xlookup(I257,C235:C240,D235:D240)=J257,xlookup(I257,C235:C240,E235:E240)=J257),1,0)</f>
        <v>0</v>
      </c>
      <c r="L257" s="37"/>
      <c r="M257" s="270">
        <f t="shared" si="73"/>
        <v>15</v>
      </c>
      <c r="N257" s="270">
        <f>K254</f>
        <v>0</v>
      </c>
      <c r="O257" s="270">
        <f t="array" ref="O257:Q257">TRANSPOSE(J251:J253)</f>
        <v>4</v>
      </c>
      <c r="P257" s="270">
        <v>6.0</v>
      </c>
      <c r="Q257" s="270">
        <v>3.0</v>
      </c>
      <c r="AC257" s="261"/>
      <c r="AD257" s="261"/>
    </row>
    <row r="258" hidden="1" outlineLevel="1">
      <c r="A258" s="37"/>
      <c r="B258" s="37"/>
      <c r="C258" s="272">
        <f>SUM(C255:C257)</f>
        <v>0</v>
      </c>
      <c r="D258" s="37"/>
      <c r="E258" s="37"/>
      <c r="F258" s="37"/>
      <c r="G258" s="272">
        <f>SUM(G255:G257)</f>
        <v>0</v>
      </c>
      <c r="H258" s="37"/>
      <c r="I258" s="37"/>
      <c r="J258" s="37"/>
      <c r="K258" s="272">
        <f>SUM(K255:K257)</f>
        <v>0</v>
      </c>
      <c r="L258" s="37"/>
      <c r="M258" s="270">
        <f t="shared" si="73"/>
        <v>16</v>
      </c>
      <c r="N258" s="270">
        <f>K258</f>
        <v>0</v>
      </c>
      <c r="O258" s="270">
        <f t="array" ref="O258:Q258">TRANSPOSE(J255:J257)</f>
        <v>4</v>
      </c>
      <c r="P258" s="270">
        <v>3.0</v>
      </c>
      <c r="Q258" s="270">
        <v>6.0</v>
      </c>
      <c r="AC258" s="261"/>
      <c r="AD258" s="261"/>
    </row>
    <row r="259" hidden="1" outlineLevel="1">
      <c r="A259" s="270">
        <v>1.0</v>
      </c>
      <c r="B259" s="270">
        <v>4.0</v>
      </c>
      <c r="C259" s="270">
        <f t="array" ref="C259">if(or(xlookup(A259,C235:C240,D235:D240)=B259,xlookup(A259,C235:C240,E235:E240)=B259),1,0)</f>
        <v>0</v>
      </c>
      <c r="D259" s="37"/>
      <c r="E259" s="270">
        <v>1.0</v>
      </c>
      <c r="F259" s="270">
        <v>3.0</v>
      </c>
      <c r="G259" s="270">
        <f t="array" ref="G259">if(or(xlookup(E259,C235:C240,D235:D240)=F259,xlookup(E259,C235:C240,E235:E240)=F259),1,0)</f>
        <v>0</v>
      </c>
      <c r="H259" s="37"/>
      <c r="I259" s="270">
        <v>1.0</v>
      </c>
      <c r="J259" s="270">
        <v>3.0</v>
      </c>
      <c r="K259" s="270">
        <f t="array" ref="K259">if(or(xlookup(I259,C235:C240,D235:D240)=J259,xlookup(I259,C235:C240,E235:E240)=J259),1,0)</f>
        <v>0</v>
      </c>
      <c r="L259" s="37"/>
      <c r="M259" s="270">
        <f t="shared" si="73"/>
        <v>17</v>
      </c>
      <c r="N259" s="270">
        <f>K262</f>
        <v>0</v>
      </c>
      <c r="O259" s="270">
        <f t="array" ref="O259:Q259">TRANSPOSE(J259:J261)</f>
        <v>3</v>
      </c>
      <c r="P259" s="270">
        <v>6.0</v>
      </c>
      <c r="Q259" s="270">
        <v>4.0</v>
      </c>
      <c r="AC259" s="261"/>
      <c r="AD259" s="261"/>
    </row>
    <row r="260" hidden="1" outlineLevel="1">
      <c r="A260" s="270">
        <v>2.0</v>
      </c>
      <c r="B260" s="270">
        <v>6.0</v>
      </c>
      <c r="C260" s="270">
        <f t="array" ref="C260">if(or(xlookup(A260,C235:C240,D235:D240)=B260,xlookup(A260,C235:C240,E235:E240)=B260),1,0)</f>
        <v>0</v>
      </c>
      <c r="D260" s="37"/>
      <c r="E260" s="270">
        <v>2.0</v>
      </c>
      <c r="F260" s="270">
        <v>6.0</v>
      </c>
      <c r="G260" s="270">
        <f t="array" ref="G260">if(or(xlookup(E260,C235:C240,D235:D240)=F260,xlookup(E260,C235:C240,E235:E240)=F260),1,0)</f>
        <v>0</v>
      </c>
      <c r="H260" s="37"/>
      <c r="I260" s="270">
        <v>2.0</v>
      </c>
      <c r="J260" s="270">
        <v>6.0</v>
      </c>
      <c r="K260" s="270">
        <f t="array" ref="K260">if(or(xlookup(I260,C235:C240,D235:D240)=J260,xlookup(I260,C235:C240,E235:E240)=J260),1,0)</f>
        <v>0</v>
      </c>
      <c r="L260" s="37"/>
      <c r="M260" s="270">
        <f t="shared" si="73"/>
        <v>18</v>
      </c>
      <c r="N260" s="270">
        <f>K266</f>
        <v>0</v>
      </c>
      <c r="O260" s="270">
        <f t="array" ref="O260:Q260">TRANSPOSE(J263:J265)</f>
        <v>3</v>
      </c>
      <c r="P260" s="270">
        <v>4.0</v>
      </c>
      <c r="Q260" s="270">
        <v>6.0</v>
      </c>
      <c r="AC260" s="261"/>
      <c r="AD260" s="261"/>
    </row>
    <row r="261" hidden="1" outlineLevel="1">
      <c r="A261" s="270">
        <v>3.0</v>
      </c>
      <c r="B261" s="270">
        <v>5.0</v>
      </c>
      <c r="C261" s="270">
        <f t="array" ref="C261">if(or(xlookup(A261,C235:C240,D235:D240)=B261,xlookup(A261,C235:C240,E235:E240)=B261),1,0)</f>
        <v>0</v>
      </c>
      <c r="D261" s="37"/>
      <c r="E261" s="270">
        <v>4.0</v>
      </c>
      <c r="F261" s="270">
        <v>5.0</v>
      </c>
      <c r="G261" s="270">
        <f t="array" ref="G261">if(or(xlookup(E261,C235:C240,D235:D240)=F261,xlookup(E261,C235:C240,E235:E240)=F261),1,0)</f>
        <v>0</v>
      </c>
      <c r="H261" s="37"/>
      <c r="I261" s="270">
        <v>5.0</v>
      </c>
      <c r="J261" s="270">
        <v>4.0</v>
      </c>
      <c r="K261" s="270">
        <f t="array" ref="K261">if(or(xlookup(I261,C235:C240,D235:D240)=J261,xlookup(I261,C235:C240,E235:E240)=J261),1,0)</f>
        <v>0</v>
      </c>
      <c r="L261" s="37"/>
      <c r="M261" s="37"/>
      <c r="N261" s="37"/>
      <c r="O261" s="37"/>
      <c r="P261" s="37"/>
      <c r="Q261" s="37"/>
      <c r="AC261" s="261"/>
      <c r="AD261" s="261"/>
    </row>
    <row r="262" hidden="1" outlineLevel="1">
      <c r="A262" s="37"/>
      <c r="B262" s="37"/>
      <c r="C262" s="272">
        <f>SUM(C259:C261)</f>
        <v>0</v>
      </c>
      <c r="D262" s="37"/>
      <c r="E262" s="37"/>
      <c r="F262" s="37"/>
      <c r="G262" s="272">
        <f>SUM(G259:G261)</f>
        <v>0</v>
      </c>
      <c r="H262" s="37"/>
      <c r="I262" s="37"/>
      <c r="J262" s="37"/>
      <c r="K262" s="272">
        <f>SUM(K259:K261)</f>
        <v>0</v>
      </c>
      <c r="L262" s="37"/>
      <c r="M262" s="37"/>
      <c r="N262" s="37"/>
      <c r="O262" s="37"/>
      <c r="P262" s="37"/>
      <c r="Q262" s="37"/>
      <c r="AC262" s="261"/>
      <c r="AD262" s="261"/>
    </row>
    <row r="263" hidden="1" outlineLevel="1">
      <c r="A263" s="270">
        <v>1.0</v>
      </c>
      <c r="B263" s="270">
        <v>4.0</v>
      </c>
      <c r="C263" s="270">
        <f t="array" ref="C263">if(or(xlookup(A263,C235:C240,D235:D240)=B263,xlookup(A263,C235:C240,E235:E240)=B263),1,0)</f>
        <v>0</v>
      </c>
      <c r="D263" s="37"/>
      <c r="E263" s="270">
        <v>1.0</v>
      </c>
      <c r="F263" s="270">
        <v>3.0</v>
      </c>
      <c r="G263" s="270">
        <f t="array" ref="G263">if(or(xlookup(E263,C235:C240,D235:D240)=F263,xlookup(E263,C235:C240,E235:E240)=F263),1,0)</f>
        <v>0</v>
      </c>
      <c r="H263" s="37"/>
      <c r="I263" s="270">
        <v>1.0</v>
      </c>
      <c r="J263" s="270">
        <v>3.0</v>
      </c>
      <c r="K263" s="270">
        <f t="array" ref="K263">if(or(xlookup(I263,C235:C240,D235:D240)=J263,xlookup(I263,C235:C240,E235:E240)=J263),1,0)</f>
        <v>0</v>
      </c>
      <c r="L263" s="37"/>
      <c r="M263" s="37"/>
      <c r="N263" s="37"/>
      <c r="O263" s="37"/>
      <c r="P263" s="37"/>
      <c r="Q263" s="37"/>
      <c r="AC263" s="261"/>
      <c r="AD263" s="261"/>
    </row>
    <row r="264" hidden="1" outlineLevel="1">
      <c r="A264" s="270">
        <v>2.0</v>
      </c>
      <c r="B264" s="270">
        <v>5.0</v>
      </c>
      <c r="C264" s="270">
        <f t="array" ref="C264">if(or(xlookup(A264,C235:C240,D235:D240)=B264,xlookup(A264,C235:C240,E235:E240)=B264),1,0)</f>
        <v>0</v>
      </c>
      <c r="D264" s="37"/>
      <c r="E264" s="270">
        <v>2.0</v>
      </c>
      <c r="F264" s="270">
        <v>5.0</v>
      </c>
      <c r="G264" s="270">
        <f t="array" ref="G264">if(or(xlookup(E264,C235:C240,D235:D240)=F264,xlookup(E264,C235:C240,E235:E240)=F264),1,0)</f>
        <v>0</v>
      </c>
      <c r="H264" s="37"/>
      <c r="I264" s="270">
        <v>2.0</v>
      </c>
      <c r="J264" s="270">
        <v>4.0</v>
      </c>
      <c r="K264" s="270">
        <f t="array" ref="K264">if(or(xlookup(I264,C235:C240,D235:D240)=J264,xlookup(I264,C235:C240,E235:E240)=J264),1,0)</f>
        <v>0</v>
      </c>
      <c r="L264" s="37"/>
      <c r="M264" s="37"/>
      <c r="N264" s="37"/>
      <c r="O264" s="37"/>
      <c r="P264" s="37"/>
      <c r="Q264" s="37"/>
      <c r="AC264" s="261"/>
      <c r="AD264" s="261"/>
    </row>
    <row r="265" hidden="1" outlineLevel="1">
      <c r="A265" s="270">
        <v>3.0</v>
      </c>
      <c r="B265" s="270">
        <v>6.0</v>
      </c>
      <c r="C265" s="270">
        <f t="array" ref="C265">if(or(xlookup(A265,C235:C240,D235:D240)=B265,xlookup(A265,C235:C240,E235:E240)=B265),1,0)</f>
        <v>0</v>
      </c>
      <c r="D265" s="37"/>
      <c r="E265" s="270">
        <v>4.0</v>
      </c>
      <c r="F265" s="270">
        <v>6.0</v>
      </c>
      <c r="G265" s="270">
        <f t="array" ref="G265">if(or(xlookup(E265,C235:C240,D235:D240)=F265,xlookup(E265,C235:C240,E235:E240)=F265),1,0)</f>
        <v>0</v>
      </c>
      <c r="H265" s="37"/>
      <c r="I265" s="270">
        <v>5.0</v>
      </c>
      <c r="J265" s="270">
        <v>6.0</v>
      </c>
      <c r="K265" s="270">
        <f t="array" ref="K265">if(or(xlookup(I265,C235:C240,D235:D240)=J265,xlookup(I265,C235:C240,E235:E240)=J265),1,0)</f>
        <v>0</v>
      </c>
      <c r="L265" s="37"/>
      <c r="M265" s="37"/>
      <c r="N265" s="37"/>
      <c r="O265" s="37"/>
      <c r="P265" s="37"/>
      <c r="Q265" s="37"/>
      <c r="AC265" s="261"/>
      <c r="AD265" s="261"/>
    </row>
    <row r="266" hidden="1" outlineLevel="1">
      <c r="A266" s="37"/>
      <c r="B266" s="37"/>
      <c r="C266" s="272">
        <f>SUM(C263:C265)</f>
        <v>0</v>
      </c>
      <c r="D266" s="37"/>
      <c r="E266" s="37"/>
      <c r="F266" s="37"/>
      <c r="G266" s="272">
        <f>SUM(G263:G265)</f>
        <v>0</v>
      </c>
      <c r="H266" s="37"/>
      <c r="I266" s="37"/>
      <c r="J266" s="37"/>
      <c r="K266" s="272">
        <f>SUM(K263:K265)</f>
        <v>0</v>
      </c>
      <c r="L266" s="37"/>
      <c r="M266" s="37"/>
      <c r="N266" s="37"/>
      <c r="O266" s="37"/>
      <c r="P266" s="37"/>
      <c r="Q266" s="37"/>
      <c r="AC266" s="261"/>
      <c r="AD266" s="261"/>
    </row>
    <row r="267" hidden="1" outlineLevel="1">
      <c r="A267" s="37"/>
      <c r="B267" s="37"/>
      <c r="C267" s="37"/>
      <c r="D267" s="37"/>
      <c r="E267" s="37"/>
      <c r="F267" s="37"/>
      <c r="G267" s="37"/>
      <c r="H267" s="37"/>
      <c r="I267" s="37"/>
      <c r="J267" s="37"/>
      <c r="K267" s="37"/>
      <c r="L267" s="37"/>
      <c r="M267" s="37"/>
      <c r="N267" s="37"/>
      <c r="O267" s="37"/>
      <c r="P267" s="37"/>
      <c r="Q267" s="37"/>
      <c r="AC267" s="261"/>
      <c r="AD267" s="261"/>
    </row>
    <row r="268" hidden="1" outlineLevel="1">
      <c r="A268" s="37"/>
      <c r="B268" s="37"/>
      <c r="C268" s="37"/>
      <c r="D268" s="37"/>
      <c r="E268" s="37"/>
      <c r="F268" s="37"/>
      <c r="G268" s="37"/>
      <c r="H268" s="37"/>
      <c r="I268" s="37"/>
      <c r="J268" s="37"/>
      <c r="K268" s="37"/>
      <c r="L268" s="37"/>
      <c r="M268" s="37"/>
      <c r="N268" s="37"/>
      <c r="O268" s="37"/>
      <c r="P268" s="37"/>
      <c r="Q268" s="37"/>
      <c r="AC268" s="261"/>
      <c r="AD268" s="261"/>
    </row>
    <row r="269" hidden="1" outlineLevel="1">
      <c r="A269" s="37"/>
      <c r="B269" s="37"/>
      <c r="C269" s="37"/>
      <c r="D269" s="37"/>
      <c r="E269" s="37"/>
      <c r="F269" s="37"/>
      <c r="G269" s="37"/>
      <c r="H269" s="37"/>
      <c r="I269" s="37"/>
      <c r="J269" s="37"/>
      <c r="K269" s="37"/>
      <c r="L269" s="37"/>
      <c r="M269" s="37"/>
      <c r="N269" s="37"/>
      <c r="O269" s="37"/>
      <c r="P269" s="37"/>
      <c r="Q269" s="37"/>
      <c r="AC269" s="261"/>
      <c r="AD269" s="261"/>
    </row>
    <row r="270" hidden="1" outlineLevel="1">
      <c r="A270" s="270">
        <f t="array" ref="A270:E287">sort(M243:Q260,2,true)</f>
        <v>1</v>
      </c>
      <c r="B270" s="270">
        <v>0.0</v>
      </c>
      <c r="C270" s="270">
        <v>6.0</v>
      </c>
      <c r="D270" s="270">
        <v>5.0</v>
      </c>
      <c r="E270" s="270">
        <v>4.0</v>
      </c>
      <c r="F270" s="37"/>
      <c r="G270" s="270">
        <v>1.0</v>
      </c>
      <c r="H270" s="270">
        <f>C270</f>
        <v>6</v>
      </c>
      <c r="I270" s="37"/>
      <c r="J270" s="271" t="str">
        <f t="array" ref="J270">xlookup(G270,K228:K233,A228:A233,"")</f>
        <v>#N/A</v>
      </c>
      <c r="K270" s="271" t="str">
        <f t="array" ref="K270">xlookup(H270,K228:K233,A228:A233,"")</f>
        <v/>
      </c>
      <c r="L270" s="37"/>
      <c r="M270" s="37"/>
      <c r="N270" s="37"/>
      <c r="O270" s="37"/>
      <c r="P270" s="37"/>
      <c r="Q270" s="37"/>
      <c r="AC270" s="261"/>
      <c r="AD270" s="261"/>
    </row>
    <row r="271" hidden="1" outlineLevel="1">
      <c r="A271" s="270">
        <v>2.0</v>
      </c>
      <c r="B271" s="270">
        <v>0.0</v>
      </c>
      <c r="C271" s="270">
        <v>6.0</v>
      </c>
      <c r="D271" s="270">
        <v>4.0</v>
      </c>
      <c r="E271" s="270">
        <v>5.0</v>
      </c>
      <c r="F271" s="37"/>
      <c r="G271" s="270">
        <v>2.0</v>
      </c>
      <c r="H271" s="270">
        <f>D270</f>
        <v>5</v>
      </c>
      <c r="I271" s="37"/>
      <c r="J271" s="271" t="str">
        <f t="array" ref="J271">xlookup(G271,K228:K233,A228:A233,"")</f>
        <v/>
      </c>
      <c r="K271" s="271" t="str">
        <f t="array" ref="K271">xlookup(H271,K228:K233,A228:A233,"")</f>
        <v/>
      </c>
      <c r="L271" s="37"/>
      <c r="M271" s="37"/>
      <c r="N271" s="37"/>
      <c r="O271" s="37"/>
      <c r="P271" s="37"/>
      <c r="Q271" s="37"/>
      <c r="AC271" s="261"/>
      <c r="AD271" s="261"/>
    </row>
    <row r="272" hidden="1" outlineLevel="1">
      <c r="A272" s="270">
        <v>3.0</v>
      </c>
      <c r="B272" s="270">
        <v>0.0</v>
      </c>
      <c r="C272" s="270">
        <v>5.0</v>
      </c>
      <c r="D272" s="270">
        <v>6.0</v>
      </c>
      <c r="E272" s="270">
        <v>4.0</v>
      </c>
      <c r="F272" s="37"/>
      <c r="G272" s="270">
        <f>ifs(A270&lt;=6,3,and(A270&gt;6,A270&lt;13),4,A270&gt;12,5)</f>
        <v>3</v>
      </c>
      <c r="H272" s="270">
        <f>E270</f>
        <v>4</v>
      </c>
      <c r="I272" s="37"/>
      <c r="J272" s="271" t="str">
        <f t="array" ref="J272">xlookup(G272,K228:K233,A228:A233,"")</f>
        <v/>
      </c>
      <c r="K272" s="271" t="str">
        <f t="array" ref="K272">xlookup(H272,K228:K233,A228:A233,"")</f>
        <v/>
      </c>
      <c r="L272" s="37"/>
      <c r="M272" s="37"/>
      <c r="N272" s="37"/>
      <c r="O272" s="37"/>
      <c r="P272" s="37"/>
      <c r="Q272" s="37"/>
      <c r="AC272" s="261"/>
      <c r="AD272" s="261"/>
    </row>
    <row r="273" hidden="1" outlineLevel="1">
      <c r="A273" s="270">
        <v>4.0</v>
      </c>
      <c r="B273" s="270">
        <v>0.0</v>
      </c>
      <c r="C273" s="270">
        <v>5.0</v>
      </c>
      <c r="D273" s="270">
        <v>4.0</v>
      </c>
      <c r="E273" s="270">
        <v>6.0</v>
      </c>
      <c r="F273" s="37"/>
      <c r="G273" s="37"/>
      <c r="H273" s="37"/>
      <c r="I273" s="37"/>
      <c r="J273" s="37"/>
      <c r="K273" s="37"/>
      <c r="L273" s="37"/>
      <c r="M273" s="37"/>
      <c r="N273" s="37"/>
      <c r="O273" s="37"/>
      <c r="P273" s="37"/>
      <c r="Q273" s="37"/>
      <c r="AC273" s="261"/>
      <c r="AD273" s="261"/>
    </row>
    <row r="274" hidden="1" outlineLevel="1">
      <c r="A274" s="270">
        <v>5.0</v>
      </c>
      <c r="B274" s="270">
        <v>0.0</v>
      </c>
      <c r="C274" s="270">
        <v>4.0</v>
      </c>
      <c r="D274" s="270">
        <v>6.0</v>
      </c>
      <c r="E274" s="270">
        <v>5.0</v>
      </c>
      <c r="F274" s="37"/>
      <c r="G274" s="37"/>
      <c r="H274" s="37"/>
      <c r="I274" s="37"/>
      <c r="J274" s="37"/>
      <c r="K274" s="37"/>
      <c r="L274" s="37"/>
      <c r="M274" s="37"/>
      <c r="N274" s="37"/>
      <c r="O274" s="37"/>
      <c r="P274" s="37"/>
      <c r="Q274" s="37"/>
      <c r="AC274" s="261"/>
      <c r="AD274" s="261"/>
    </row>
    <row r="275" hidden="1" outlineLevel="1">
      <c r="A275" s="270">
        <v>6.0</v>
      </c>
      <c r="B275" s="270">
        <v>0.0</v>
      </c>
      <c r="C275" s="270">
        <v>4.0</v>
      </c>
      <c r="D275" s="270">
        <v>5.0</v>
      </c>
      <c r="E275" s="270">
        <v>6.0</v>
      </c>
      <c r="F275" s="37"/>
      <c r="G275" s="37"/>
      <c r="H275" s="37"/>
      <c r="I275" s="37"/>
      <c r="J275" s="37"/>
      <c r="K275" s="37"/>
      <c r="L275" s="37"/>
      <c r="M275" s="37"/>
      <c r="N275" s="37"/>
      <c r="O275" s="37"/>
      <c r="P275" s="37"/>
      <c r="Q275" s="37"/>
      <c r="AC275" s="261"/>
      <c r="AD275" s="261"/>
    </row>
    <row r="276" hidden="1" outlineLevel="1">
      <c r="A276" s="270">
        <v>7.0</v>
      </c>
      <c r="B276" s="270">
        <v>0.0</v>
      </c>
      <c r="C276" s="270">
        <v>6.0</v>
      </c>
      <c r="D276" s="270">
        <v>5.0</v>
      </c>
      <c r="E276" s="270">
        <v>3.0</v>
      </c>
      <c r="F276" s="37"/>
      <c r="G276" s="37"/>
      <c r="H276" s="37"/>
      <c r="I276" s="37"/>
      <c r="J276" s="37"/>
      <c r="K276" s="37"/>
      <c r="L276" s="37"/>
      <c r="M276" s="37"/>
      <c r="N276" s="37"/>
      <c r="O276" s="37"/>
      <c r="P276" s="37"/>
      <c r="Q276" s="37"/>
      <c r="AC276" s="261"/>
      <c r="AD276" s="261"/>
    </row>
    <row r="277" hidden="1" outlineLevel="1">
      <c r="A277" s="270">
        <v>8.0</v>
      </c>
      <c r="B277" s="270">
        <v>0.0</v>
      </c>
      <c r="C277" s="270">
        <v>6.0</v>
      </c>
      <c r="D277" s="270">
        <v>3.0</v>
      </c>
      <c r="E277" s="270">
        <v>5.0</v>
      </c>
      <c r="F277" s="37"/>
      <c r="G277" s="37"/>
      <c r="H277" s="37"/>
      <c r="I277" s="37"/>
      <c r="J277" s="37"/>
      <c r="K277" s="37"/>
      <c r="L277" s="37"/>
      <c r="M277" s="37"/>
      <c r="N277" s="37"/>
      <c r="O277" s="37"/>
      <c r="P277" s="37"/>
      <c r="Q277" s="37"/>
      <c r="AC277" s="261"/>
      <c r="AD277" s="261"/>
    </row>
    <row r="278" hidden="1" outlineLevel="1">
      <c r="A278" s="270">
        <v>9.0</v>
      </c>
      <c r="B278" s="270">
        <v>0.0</v>
      </c>
      <c r="C278" s="270">
        <v>5.0</v>
      </c>
      <c r="D278" s="270">
        <v>6.0</v>
      </c>
      <c r="E278" s="270">
        <v>3.0</v>
      </c>
      <c r="F278" s="37"/>
      <c r="G278" s="37"/>
      <c r="H278" s="37"/>
      <c r="I278" s="37"/>
      <c r="J278" s="37"/>
      <c r="K278" s="37"/>
      <c r="L278" s="37"/>
      <c r="M278" s="37"/>
      <c r="N278" s="37"/>
      <c r="O278" s="37"/>
      <c r="P278" s="37"/>
      <c r="Q278" s="37"/>
      <c r="AC278" s="261"/>
      <c r="AD278" s="261"/>
    </row>
    <row r="279" hidden="1" outlineLevel="1">
      <c r="A279" s="270">
        <v>10.0</v>
      </c>
      <c r="B279" s="270">
        <v>0.0</v>
      </c>
      <c r="C279" s="270">
        <v>5.0</v>
      </c>
      <c r="D279" s="270">
        <v>3.0</v>
      </c>
      <c r="E279" s="270">
        <v>6.0</v>
      </c>
      <c r="F279" s="37"/>
      <c r="G279" s="37"/>
      <c r="H279" s="37"/>
      <c r="I279" s="37"/>
      <c r="J279" s="37"/>
      <c r="K279" s="37"/>
      <c r="L279" s="37"/>
      <c r="M279" s="37"/>
      <c r="N279" s="37"/>
      <c r="O279" s="37"/>
      <c r="P279" s="37"/>
      <c r="Q279" s="37"/>
      <c r="AC279" s="261"/>
      <c r="AD279" s="261"/>
    </row>
    <row r="280" hidden="1" outlineLevel="1">
      <c r="A280" s="270">
        <v>11.0</v>
      </c>
      <c r="B280" s="270">
        <v>0.0</v>
      </c>
      <c r="C280" s="270">
        <v>3.0</v>
      </c>
      <c r="D280" s="270">
        <v>6.0</v>
      </c>
      <c r="E280" s="270">
        <v>5.0</v>
      </c>
      <c r="F280" s="37"/>
      <c r="G280" s="37"/>
      <c r="H280" s="37"/>
      <c r="I280" s="37"/>
      <c r="J280" s="37"/>
      <c r="K280" s="37"/>
      <c r="L280" s="37"/>
      <c r="M280" s="37"/>
      <c r="N280" s="37"/>
      <c r="O280" s="37"/>
      <c r="P280" s="37"/>
      <c r="Q280" s="37"/>
      <c r="AC280" s="261"/>
      <c r="AD280" s="261"/>
    </row>
    <row r="281" hidden="1" outlineLevel="1">
      <c r="A281" s="270">
        <v>12.0</v>
      </c>
      <c r="B281" s="270">
        <v>0.0</v>
      </c>
      <c r="C281" s="270">
        <v>3.0</v>
      </c>
      <c r="D281" s="270">
        <v>5.0</v>
      </c>
      <c r="E281" s="270">
        <v>6.0</v>
      </c>
      <c r="F281" s="37"/>
      <c r="G281" s="37"/>
      <c r="H281" s="37"/>
      <c r="I281" s="37"/>
      <c r="J281" s="37"/>
      <c r="K281" s="37"/>
      <c r="L281" s="37"/>
      <c r="M281" s="37"/>
      <c r="N281" s="37"/>
      <c r="O281" s="37"/>
      <c r="P281" s="37"/>
      <c r="Q281" s="37"/>
      <c r="AC281" s="261"/>
      <c r="AD281" s="261"/>
    </row>
    <row r="282" hidden="1" outlineLevel="1">
      <c r="A282" s="270">
        <v>13.0</v>
      </c>
      <c r="B282" s="270">
        <v>0.0</v>
      </c>
      <c r="C282" s="270">
        <v>6.0</v>
      </c>
      <c r="D282" s="270">
        <v>4.0</v>
      </c>
      <c r="E282" s="270">
        <v>3.0</v>
      </c>
      <c r="F282" s="37"/>
      <c r="G282" s="37"/>
      <c r="H282" s="37"/>
      <c r="I282" s="37"/>
      <c r="J282" s="37"/>
      <c r="K282" s="37"/>
      <c r="L282" s="37"/>
      <c r="M282" s="37"/>
      <c r="N282" s="37"/>
      <c r="O282" s="37"/>
      <c r="P282" s="37"/>
      <c r="Q282" s="37"/>
      <c r="AC282" s="261"/>
      <c r="AD282" s="261"/>
    </row>
    <row r="283" hidden="1" outlineLevel="1">
      <c r="A283" s="270">
        <v>14.0</v>
      </c>
      <c r="B283" s="270">
        <v>0.0</v>
      </c>
      <c r="C283" s="270">
        <v>6.0</v>
      </c>
      <c r="D283" s="270">
        <v>3.0</v>
      </c>
      <c r="E283" s="270">
        <v>4.0</v>
      </c>
      <c r="F283" s="37"/>
      <c r="G283" s="37"/>
      <c r="H283" s="37"/>
      <c r="I283" s="37"/>
      <c r="J283" s="37"/>
      <c r="K283" s="37"/>
      <c r="L283" s="37"/>
      <c r="M283" s="37"/>
      <c r="N283" s="37"/>
      <c r="O283" s="37"/>
      <c r="P283" s="37"/>
      <c r="Q283" s="37"/>
      <c r="AC283" s="261"/>
      <c r="AD283" s="261"/>
    </row>
    <row r="284" hidden="1" outlineLevel="1">
      <c r="A284" s="270">
        <v>15.0</v>
      </c>
      <c r="B284" s="270">
        <v>0.0</v>
      </c>
      <c r="C284" s="270">
        <v>4.0</v>
      </c>
      <c r="D284" s="270">
        <v>6.0</v>
      </c>
      <c r="E284" s="270">
        <v>3.0</v>
      </c>
      <c r="F284" s="37"/>
      <c r="G284" s="37"/>
      <c r="H284" s="37"/>
      <c r="I284" s="37"/>
      <c r="J284" s="37"/>
      <c r="K284" s="37"/>
      <c r="L284" s="37"/>
      <c r="M284" s="37"/>
      <c r="N284" s="37"/>
      <c r="O284" s="37"/>
      <c r="P284" s="37"/>
      <c r="Q284" s="37"/>
      <c r="AC284" s="261"/>
      <c r="AD284" s="261"/>
    </row>
    <row r="285" hidden="1" outlineLevel="1">
      <c r="A285" s="270">
        <v>16.0</v>
      </c>
      <c r="B285" s="270">
        <v>0.0</v>
      </c>
      <c r="C285" s="270">
        <v>4.0</v>
      </c>
      <c r="D285" s="270">
        <v>3.0</v>
      </c>
      <c r="E285" s="270">
        <v>6.0</v>
      </c>
      <c r="F285" s="37"/>
      <c r="G285" s="37"/>
      <c r="H285" s="37"/>
      <c r="I285" s="37"/>
      <c r="J285" s="37"/>
      <c r="K285" s="37"/>
      <c r="L285" s="37"/>
      <c r="M285" s="37"/>
      <c r="N285" s="37"/>
      <c r="O285" s="37"/>
      <c r="P285" s="37"/>
      <c r="Q285" s="37"/>
      <c r="AC285" s="261"/>
      <c r="AD285" s="261"/>
    </row>
    <row r="286" hidden="1" outlineLevel="1">
      <c r="A286" s="270">
        <v>17.0</v>
      </c>
      <c r="B286" s="270">
        <v>0.0</v>
      </c>
      <c r="C286" s="270">
        <v>3.0</v>
      </c>
      <c r="D286" s="270">
        <v>6.0</v>
      </c>
      <c r="E286" s="270">
        <v>4.0</v>
      </c>
      <c r="F286" s="37"/>
      <c r="G286" s="37"/>
      <c r="H286" s="37"/>
      <c r="I286" s="37"/>
      <c r="J286" s="37"/>
      <c r="K286" s="37"/>
      <c r="L286" s="37"/>
      <c r="M286" s="37"/>
      <c r="N286" s="37"/>
      <c r="O286" s="37"/>
      <c r="P286" s="37"/>
      <c r="Q286" s="37"/>
      <c r="AC286" s="261"/>
      <c r="AD286" s="261"/>
    </row>
    <row r="287" hidden="1" outlineLevel="1">
      <c r="A287" s="270">
        <v>18.0</v>
      </c>
      <c r="B287" s="270">
        <v>0.0</v>
      </c>
      <c r="C287" s="270">
        <v>3.0</v>
      </c>
      <c r="D287" s="270">
        <v>4.0</v>
      </c>
      <c r="E287" s="270">
        <v>6.0</v>
      </c>
      <c r="F287" s="37"/>
      <c r="G287" s="37"/>
      <c r="H287" s="37"/>
      <c r="I287" s="37"/>
      <c r="J287" s="37"/>
      <c r="K287" s="37"/>
      <c r="L287" s="37"/>
      <c r="M287" s="37"/>
      <c r="N287" s="37"/>
      <c r="O287" s="37"/>
      <c r="P287" s="37"/>
      <c r="Q287" s="37"/>
      <c r="AC287" s="261"/>
      <c r="AD287" s="261"/>
    </row>
    <row r="288">
      <c r="AC288" s="261"/>
      <c r="AD288" s="261"/>
    </row>
    <row r="289">
      <c r="A289" s="37" t="s">
        <v>88</v>
      </c>
      <c r="B289" s="37" t="s">
        <v>327</v>
      </c>
      <c r="C289" s="37" t="s">
        <v>326</v>
      </c>
      <c r="D289" s="37" t="s">
        <v>371</v>
      </c>
      <c r="E289" s="37" t="s">
        <v>381</v>
      </c>
      <c r="F289" s="37" t="s">
        <v>410</v>
      </c>
      <c r="G289" s="260" t="s">
        <v>411</v>
      </c>
      <c r="H289" s="261" t="s">
        <v>412</v>
      </c>
      <c r="I289" s="262" t="s">
        <v>413</v>
      </c>
      <c r="J289" s="267" t="s">
        <v>414</v>
      </c>
      <c r="K289" s="47" t="s">
        <v>415</v>
      </c>
      <c r="AC289" s="261"/>
      <c r="AD289" s="261"/>
    </row>
    <row r="290">
      <c r="A290" s="48">
        <f t="shared" ref="A290:A305" si="74">A2</f>
        <v>1</v>
      </c>
      <c r="C290" s="48" t="str">
        <f t="array" ref="C290">xlookup($A290,qualdata!$M$2:$M$17,(xlookup(C$289,qualdata!$N$1:$BR$1,qualdata!$N$2:$BR$17)))</f>
        <v>Team 1 (Group 1)</v>
      </c>
      <c r="D290" s="48">
        <f t="array" ref="D290">xlookup($A290,qualdata!$M$2:$M$17,(xlookup(D$289,qualdata!$N$1:$BR$1,qualdata!$N$2:$BR$17)))</f>
        <v>16</v>
      </c>
      <c r="E290" s="48" t="str">
        <f t="array" ref="E290">xlookup($A290,qualdata!$M$2:$M$17,(xlookup(E$289,qualdata!$N$1:$BR$1,qualdata!$N$2:$BR$17)))</f>
        <v/>
      </c>
      <c r="F290" s="48" t="str">
        <f t="array" ref="F290">xlookup($A290,qualdata!$M$2:$M$17,(xlookup(F$289,qualdata!$N$1:$BR$1,qualdata!$N$2:$BR$17)))</f>
        <v/>
      </c>
      <c r="G290" s="48" t="str">
        <f t="array" ref="G290">xlookup($A290,qualdata!$M$2:$M$17,(xlookup(G$289,qualdata!$N$1:$BR$1,qualdata!$N$2:$BR$17)))</f>
        <v/>
      </c>
      <c r="H290" s="48">
        <f t="array" ref="H290">xlookup($A290,qualdata!$M$2:$M$17,(xlookup(H$289,qualdata!$N$1:$BR$1,qualdata!$N$2:$BR$17)))</f>
        <v>0</v>
      </c>
      <c r="I290" s="48">
        <f t="array" ref="I290">xlookup($A290,qualdata!$M$2:$M$17,(xlookup(I$289,qualdata!$N$1:$BR$1,qualdata!$N$2:$BR$17)))</f>
        <v>0</v>
      </c>
      <c r="J290" s="48">
        <f t="array" ref="J290">xlookup($A290,qualdata!$M$2:$M$17,(xlookup(J$289,qualdata!$N$1:$BR$1,qualdata!$N$2:$BR$17)))</f>
        <v>0</v>
      </c>
      <c r="K290" s="48">
        <f t="array" ref="K290">xlookup($A290,qualdata!$M$2:$M$17,(xlookup(K$289,qualdata!$N$1:$BR$1,qualdata!$N$2:$BR$17)))</f>
        <v>0</v>
      </c>
      <c r="AC290" s="261"/>
      <c r="AD290" s="261"/>
    </row>
    <row r="291">
      <c r="A291" s="48">
        <f t="shared" si="74"/>
        <v>2</v>
      </c>
      <c r="C291" s="48" t="str">
        <f t="array" ref="C291">xlookup($A291,qualdata!$M$2:$M$17,(xlookup(C$289,qualdata!$N$1:$BR$1,qualdata!$N$2:$BR$17)))</f>
        <v>Team 2 (Group 1)</v>
      </c>
      <c r="D291" s="48">
        <f t="array" ref="D291">xlookup($A291,qualdata!$M$2:$M$17,(xlookup(D$289,qualdata!$N$1:$BR$1,qualdata!$N$2:$BR$17)))</f>
        <v>15</v>
      </c>
      <c r="E291" s="48" t="str">
        <f t="array" ref="E291">xlookup($A291,qualdata!$M$2:$M$17,(xlookup(E$289,qualdata!$N$1:$BR$1,qualdata!$N$2:$BR$17)))</f>
        <v/>
      </c>
      <c r="F291" s="48" t="str">
        <f t="array" ref="F291">xlookup($A291,qualdata!$M$2:$M$17,(xlookup(F$289,qualdata!$N$1:$BR$1,qualdata!$N$2:$BR$17)))</f>
        <v/>
      </c>
      <c r="G291" s="48" t="str">
        <f t="array" ref="G291">xlookup($A291,qualdata!$M$2:$M$17,(xlookup(G$289,qualdata!$N$1:$BR$1,qualdata!$N$2:$BR$17)))</f>
        <v/>
      </c>
      <c r="H291" s="48">
        <f t="array" ref="H291">xlookup($A291,qualdata!$M$2:$M$17,(xlookup(H$289,qualdata!$N$1:$BR$1,qualdata!$N$2:$BR$17)))</f>
        <v>0</v>
      </c>
      <c r="I291" s="48">
        <f t="array" ref="I291">xlookup($A291,qualdata!$M$2:$M$17,(xlookup(I$289,qualdata!$N$1:$BR$1,qualdata!$N$2:$BR$17)))</f>
        <v>0</v>
      </c>
      <c r="J291" s="48">
        <f t="array" ref="J291">xlookup($A291,qualdata!$M$2:$M$17,(xlookup(J$289,qualdata!$N$1:$BR$1,qualdata!$N$2:$BR$17)))</f>
        <v>0</v>
      </c>
      <c r="K291" s="48">
        <f t="array" ref="K291">xlookup($A291,qualdata!$M$2:$M$17,(xlookup(K$289,qualdata!$N$1:$BR$1,qualdata!$N$2:$BR$17)))</f>
        <v>0</v>
      </c>
      <c r="AC291" s="261"/>
      <c r="AD291" s="261"/>
    </row>
    <row r="292">
      <c r="A292" s="48">
        <f t="shared" si="74"/>
        <v>3</v>
      </c>
      <c r="C292" s="48" t="str">
        <f t="array" ref="C292">xlookup($A292,qualdata!$M$2:$M$17,(xlookup(C$289,qualdata!$N$1:$BR$1,qualdata!$N$2:$BR$17)))</f>
        <v>Team 3 (Group 1)</v>
      </c>
      <c r="D292" s="48">
        <f t="array" ref="D292">xlookup($A292,qualdata!$M$2:$M$17,(xlookup(D$289,qualdata!$N$1:$BR$1,qualdata!$N$2:$BR$17)))</f>
        <v>14</v>
      </c>
      <c r="E292" s="48" t="str">
        <f t="array" ref="E292">xlookup($A292,qualdata!$M$2:$M$17,(xlookup(E$289,qualdata!$N$1:$BR$1,qualdata!$N$2:$BR$17)))</f>
        <v/>
      </c>
      <c r="F292" s="48" t="str">
        <f t="array" ref="F292">xlookup($A292,qualdata!$M$2:$M$17,(xlookup(F$289,qualdata!$N$1:$BR$1,qualdata!$N$2:$BR$17)))</f>
        <v/>
      </c>
      <c r="G292" s="48" t="str">
        <f t="array" ref="G292">xlookup($A292,qualdata!$M$2:$M$17,(xlookup(G$289,qualdata!$N$1:$BR$1,qualdata!$N$2:$BR$17)))</f>
        <v/>
      </c>
      <c r="H292" s="48">
        <f t="array" ref="H292">xlookup($A292,qualdata!$M$2:$M$17,(xlookup(H$289,qualdata!$N$1:$BR$1,qualdata!$N$2:$BR$17)))</f>
        <v>0</v>
      </c>
      <c r="I292" s="48">
        <f t="array" ref="I292">xlookup($A292,qualdata!$M$2:$M$17,(xlookup(I$289,qualdata!$N$1:$BR$1,qualdata!$N$2:$BR$17)))</f>
        <v>0</v>
      </c>
      <c r="J292" s="48">
        <f t="array" ref="J292">xlookup($A292,qualdata!$M$2:$M$17,(xlookup(J$289,qualdata!$N$1:$BR$1,qualdata!$N$2:$BR$17)))</f>
        <v>0</v>
      </c>
      <c r="K292" s="48">
        <f t="array" ref="K292">xlookup($A292,qualdata!$M$2:$M$17,(xlookup(K$289,qualdata!$N$1:$BR$1,qualdata!$N$2:$BR$17)))</f>
        <v>0</v>
      </c>
      <c r="AC292" s="261"/>
      <c r="AD292" s="261"/>
    </row>
    <row r="293">
      <c r="A293" s="48">
        <f t="shared" si="74"/>
        <v>4</v>
      </c>
      <c r="C293" s="48" t="str">
        <f t="array" ref="C293">xlookup($A293,qualdata!$M$2:$M$17,(xlookup(C$289,qualdata!$N$1:$BR$1,qualdata!$N$2:$BR$17)))</f>
        <v>Team 4 (Group 1)</v>
      </c>
      <c r="D293" s="48">
        <f t="array" ref="D293">xlookup($A293,qualdata!$M$2:$M$17,(xlookup(D$289,qualdata!$N$1:$BR$1,qualdata!$N$2:$BR$17)))</f>
        <v>13</v>
      </c>
      <c r="E293" s="48" t="str">
        <f t="array" ref="E293">xlookup($A293,qualdata!$M$2:$M$17,(xlookup(E$289,qualdata!$N$1:$BR$1,qualdata!$N$2:$BR$17)))</f>
        <v/>
      </c>
      <c r="F293" s="48" t="str">
        <f t="array" ref="F293">xlookup($A293,qualdata!$M$2:$M$17,(xlookup(F$289,qualdata!$N$1:$BR$1,qualdata!$N$2:$BR$17)))</f>
        <v/>
      </c>
      <c r="G293" s="48" t="str">
        <f t="array" ref="G293">xlookup($A293,qualdata!$M$2:$M$17,(xlookup(G$289,qualdata!$N$1:$BR$1,qualdata!$N$2:$BR$17)))</f>
        <v/>
      </c>
      <c r="H293" s="48">
        <f t="array" ref="H293">xlookup($A293,qualdata!$M$2:$M$17,(xlookup(H$289,qualdata!$N$1:$BR$1,qualdata!$N$2:$BR$17)))</f>
        <v>0</v>
      </c>
      <c r="I293" s="48">
        <f t="array" ref="I293">xlookup($A293,qualdata!$M$2:$M$17,(xlookup(I$289,qualdata!$N$1:$BR$1,qualdata!$N$2:$BR$17)))</f>
        <v>0</v>
      </c>
      <c r="J293" s="48">
        <f t="array" ref="J293">xlookup($A293,qualdata!$M$2:$M$17,(xlookup(J$289,qualdata!$N$1:$BR$1,qualdata!$N$2:$BR$17)))</f>
        <v>0</v>
      </c>
      <c r="K293" s="48">
        <f t="array" ref="K293">xlookup($A293,qualdata!$M$2:$M$17,(xlookup(K$289,qualdata!$N$1:$BR$1,qualdata!$N$2:$BR$17)))</f>
        <v>0</v>
      </c>
      <c r="AC293" s="261"/>
      <c r="AD293" s="261"/>
    </row>
    <row r="294">
      <c r="A294" s="48">
        <f t="shared" si="74"/>
        <v>5</v>
      </c>
      <c r="C294" s="48" t="str">
        <f t="array" ref="C294">xlookup($A294,qualdata!$M$2:$M$17,(xlookup(C$289,qualdata!$N$1:$BR$1,qualdata!$N$2:$BR$17)))</f>
        <v>Team 5 (Group 1)</v>
      </c>
      <c r="D294" s="48">
        <f t="array" ref="D294">xlookup($A294,qualdata!$M$2:$M$17,(xlookup(D$289,qualdata!$N$1:$BR$1,qualdata!$N$2:$BR$17)))</f>
        <v>12</v>
      </c>
      <c r="E294" s="48" t="str">
        <f t="array" ref="E294">xlookup($A294,qualdata!$M$2:$M$17,(xlookup(E$289,qualdata!$N$1:$BR$1,qualdata!$N$2:$BR$17)))</f>
        <v/>
      </c>
      <c r="F294" s="48" t="str">
        <f t="array" ref="F294">xlookup($A294,qualdata!$M$2:$M$17,(xlookup(F$289,qualdata!$N$1:$BR$1,qualdata!$N$2:$BR$17)))</f>
        <v/>
      </c>
      <c r="G294" s="48" t="str">
        <f t="array" ref="G294">xlookup($A294,qualdata!$M$2:$M$17,(xlookup(G$289,qualdata!$N$1:$BR$1,qualdata!$N$2:$BR$17)))</f>
        <v/>
      </c>
      <c r="H294" s="48">
        <f t="array" ref="H294">xlookup($A294,qualdata!$M$2:$M$17,(xlookup(H$289,qualdata!$N$1:$BR$1,qualdata!$N$2:$BR$17)))</f>
        <v>0</v>
      </c>
      <c r="I294" s="48">
        <f t="array" ref="I294">xlookup($A294,qualdata!$M$2:$M$17,(xlookup(I$289,qualdata!$N$1:$BR$1,qualdata!$N$2:$BR$17)))</f>
        <v>0</v>
      </c>
      <c r="J294" s="48">
        <f t="array" ref="J294">xlookup($A294,qualdata!$M$2:$M$17,(xlookup(J$289,qualdata!$N$1:$BR$1,qualdata!$N$2:$BR$17)))</f>
        <v>0</v>
      </c>
      <c r="K294" s="48">
        <f t="array" ref="K294">xlookup($A294,qualdata!$M$2:$M$17,(xlookup(K$289,qualdata!$N$1:$BR$1,qualdata!$N$2:$BR$17)))</f>
        <v>0</v>
      </c>
      <c r="AC294" s="261"/>
      <c r="AD294" s="261"/>
    </row>
    <row r="295">
      <c r="A295" s="48">
        <f t="shared" si="74"/>
        <v>6</v>
      </c>
      <c r="C295" s="48" t="str">
        <f t="array" ref="C295">xlookup($A295,qualdata!$M$2:$M$17,(xlookup(C$289,qualdata!$N$1:$BR$1,qualdata!$N$2:$BR$17)))</f>
        <v>Team 6 (Group 1)</v>
      </c>
      <c r="D295" s="48">
        <f t="array" ref="D295">xlookup($A295,qualdata!$M$2:$M$17,(xlookup(D$289,qualdata!$N$1:$BR$1,qualdata!$N$2:$BR$17)))</f>
        <v>11</v>
      </c>
      <c r="E295" s="48" t="str">
        <f t="array" ref="E295">xlookup($A295,qualdata!$M$2:$M$17,(xlookup(E$289,qualdata!$N$1:$BR$1,qualdata!$N$2:$BR$17)))</f>
        <v/>
      </c>
      <c r="F295" s="48" t="str">
        <f t="array" ref="F295">xlookup($A295,qualdata!$M$2:$M$17,(xlookup(F$289,qualdata!$N$1:$BR$1,qualdata!$N$2:$BR$17)))</f>
        <v/>
      </c>
      <c r="G295" s="48" t="str">
        <f t="array" ref="G295">xlookup($A295,qualdata!$M$2:$M$17,(xlookup(G$289,qualdata!$N$1:$BR$1,qualdata!$N$2:$BR$17)))</f>
        <v/>
      </c>
      <c r="H295" s="48">
        <f t="array" ref="H295">xlookup($A295,qualdata!$M$2:$M$17,(xlookup(H$289,qualdata!$N$1:$BR$1,qualdata!$N$2:$BR$17)))</f>
        <v>0</v>
      </c>
      <c r="I295" s="48">
        <f t="array" ref="I295">xlookup($A295,qualdata!$M$2:$M$17,(xlookup(I$289,qualdata!$N$1:$BR$1,qualdata!$N$2:$BR$17)))</f>
        <v>0</v>
      </c>
      <c r="J295" s="48">
        <f t="array" ref="J295">xlookup($A295,qualdata!$M$2:$M$17,(xlookup(J$289,qualdata!$N$1:$BR$1,qualdata!$N$2:$BR$17)))</f>
        <v>0</v>
      </c>
      <c r="K295" s="48">
        <f t="array" ref="K295">xlookup($A295,qualdata!$M$2:$M$17,(xlookup(K$289,qualdata!$N$1:$BR$1,qualdata!$N$2:$BR$17)))</f>
        <v>0</v>
      </c>
      <c r="AC295" s="261"/>
      <c r="AD295" s="261"/>
    </row>
    <row r="296">
      <c r="A296" s="48">
        <f t="shared" si="74"/>
        <v>7</v>
      </c>
      <c r="C296" s="48" t="str">
        <f t="array" ref="C296">xlookup($A296,qualdata!$M$2:$M$17,(xlookup(C$289,qualdata!$N$1:$BR$1,qualdata!$N$2:$BR$17)))</f>
        <v>Team 7 (Group 1)</v>
      </c>
      <c r="D296" s="48">
        <f t="array" ref="D296">xlookup($A296,qualdata!$M$2:$M$17,(xlookup(D$289,qualdata!$N$1:$BR$1,qualdata!$N$2:$BR$17)))</f>
        <v>10</v>
      </c>
      <c r="E296" s="48" t="str">
        <f t="array" ref="E296">xlookup($A296,qualdata!$M$2:$M$17,(xlookup(E$289,qualdata!$N$1:$BR$1,qualdata!$N$2:$BR$17)))</f>
        <v/>
      </c>
      <c r="F296" s="48" t="str">
        <f t="array" ref="F296">xlookup($A296,qualdata!$M$2:$M$17,(xlookup(F$289,qualdata!$N$1:$BR$1,qualdata!$N$2:$BR$17)))</f>
        <v/>
      </c>
      <c r="G296" s="48" t="str">
        <f t="array" ref="G296">xlookup($A296,qualdata!$M$2:$M$17,(xlookup(G$289,qualdata!$N$1:$BR$1,qualdata!$N$2:$BR$17)))</f>
        <v/>
      </c>
      <c r="H296" s="48">
        <f t="array" ref="H296">xlookup($A296,qualdata!$M$2:$M$17,(xlookup(H$289,qualdata!$N$1:$BR$1,qualdata!$N$2:$BR$17)))</f>
        <v>0</v>
      </c>
      <c r="I296" s="48">
        <f t="array" ref="I296">xlookup($A296,qualdata!$M$2:$M$17,(xlookup(I$289,qualdata!$N$1:$BR$1,qualdata!$N$2:$BR$17)))</f>
        <v>0</v>
      </c>
      <c r="J296" s="48">
        <f t="array" ref="J296">xlookup($A296,qualdata!$M$2:$M$17,(xlookup(J$289,qualdata!$N$1:$BR$1,qualdata!$N$2:$BR$17)))</f>
        <v>0</v>
      </c>
      <c r="K296" s="48">
        <f t="array" ref="K296">xlookup($A296,qualdata!$M$2:$M$17,(xlookup(K$289,qualdata!$N$1:$BR$1,qualdata!$N$2:$BR$17)))</f>
        <v>0</v>
      </c>
      <c r="AC296" s="261"/>
      <c r="AD296" s="261"/>
    </row>
    <row r="297">
      <c r="A297" s="48">
        <f t="shared" si="74"/>
        <v>8</v>
      </c>
      <c r="C297" s="48" t="str">
        <f t="array" ref="C297">xlookup($A297,qualdata!$M$2:$M$17,(xlookup(C$289,qualdata!$N$1:$BR$1,qualdata!$N$2:$BR$17)))</f>
        <v>Team 8 (Group 1)</v>
      </c>
      <c r="D297" s="48">
        <f t="array" ref="D297">xlookup($A297,qualdata!$M$2:$M$17,(xlookup(D$289,qualdata!$N$1:$BR$1,qualdata!$N$2:$BR$17)))</f>
        <v>9</v>
      </c>
      <c r="E297" s="48" t="str">
        <f t="array" ref="E297">xlookup($A297,qualdata!$M$2:$M$17,(xlookup(E$289,qualdata!$N$1:$BR$1,qualdata!$N$2:$BR$17)))</f>
        <v/>
      </c>
      <c r="F297" s="48" t="str">
        <f t="array" ref="F297">xlookup($A297,qualdata!$M$2:$M$17,(xlookup(F$289,qualdata!$N$1:$BR$1,qualdata!$N$2:$BR$17)))</f>
        <v/>
      </c>
      <c r="G297" s="48" t="str">
        <f t="array" ref="G297">xlookup($A297,qualdata!$M$2:$M$17,(xlookup(G$289,qualdata!$N$1:$BR$1,qualdata!$N$2:$BR$17)))</f>
        <v/>
      </c>
      <c r="H297" s="48">
        <f t="array" ref="H297">xlookup($A297,qualdata!$M$2:$M$17,(xlookup(H$289,qualdata!$N$1:$BR$1,qualdata!$N$2:$BR$17)))</f>
        <v>0</v>
      </c>
      <c r="I297" s="48">
        <f t="array" ref="I297">xlookup($A297,qualdata!$M$2:$M$17,(xlookup(I$289,qualdata!$N$1:$BR$1,qualdata!$N$2:$BR$17)))</f>
        <v>0</v>
      </c>
      <c r="J297" s="48">
        <f t="array" ref="J297">xlookup($A297,qualdata!$M$2:$M$17,(xlookup(J$289,qualdata!$N$1:$BR$1,qualdata!$N$2:$BR$17)))</f>
        <v>0</v>
      </c>
      <c r="K297" s="48">
        <f t="array" ref="K297">xlookup($A297,qualdata!$M$2:$M$17,(xlookup(K$289,qualdata!$N$1:$BR$1,qualdata!$N$2:$BR$17)))</f>
        <v>0</v>
      </c>
      <c r="AC297" s="261"/>
      <c r="AD297" s="261"/>
    </row>
    <row r="298">
      <c r="A298" s="48">
        <f t="shared" si="74"/>
        <v>9</v>
      </c>
      <c r="C298" s="48" t="str">
        <f t="array" ref="C298">xlookup($A298,qualdata!$M$2:$M$17,(xlookup(C$289,qualdata!$N$1:$BR$1,qualdata!$N$2:$BR$17)))</f>
        <v>Team 9 (Group 1)</v>
      </c>
      <c r="D298" s="48">
        <f t="array" ref="D298">xlookup($A298,qualdata!$M$2:$M$17,(xlookup(D$289,qualdata!$N$1:$BR$1,qualdata!$N$2:$BR$17)))</f>
        <v>8</v>
      </c>
      <c r="E298" s="48" t="str">
        <f t="array" ref="E298">xlookup($A298,qualdata!$M$2:$M$17,(xlookup(E$289,qualdata!$N$1:$BR$1,qualdata!$N$2:$BR$17)))</f>
        <v/>
      </c>
      <c r="F298" s="48" t="str">
        <f t="array" ref="F298">xlookup($A298,qualdata!$M$2:$M$17,(xlookup(F$289,qualdata!$N$1:$BR$1,qualdata!$N$2:$BR$17)))</f>
        <v/>
      </c>
      <c r="G298" s="48" t="str">
        <f t="array" ref="G298">xlookup($A298,qualdata!$M$2:$M$17,(xlookup(G$289,qualdata!$N$1:$BR$1,qualdata!$N$2:$BR$17)))</f>
        <v/>
      </c>
      <c r="H298" s="48">
        <f t="array" ref="H298">xlookup($A298,qualdata!$M$2:$M$17,(xlookup(H$289,qualdata!$N$1:$BR$1,qualdata!$N$2:$BR$17)))</f>
        <v>0</v>
      </c>
      <c r="I298" s="48">
        <f t="array" ref="I298">xlookup($A298,qualdata!$M$2:$M$17,(xlookup(I$289,qualdata!$N$1:$BR$1,qualdata!$N$2:$BR$17)))</f>
        <v>0</v>
      </c>
      <c r="J298" s="48">
        <f t="array" ref="J298">xlookup($A298,qualdata!$M$2:$M$17,(xlookup(J$289,qualdata!$N$1:$BR$1,qualdata!$N$2:$BR$17)))</f>
        <v>0</v>
      </c>
      <c r="K298" s="48">
        <f t="array" ref="K298">xlookup($A298,qualdata!$M$2:$M$17,(xlookup(K$289,qualdata!$N$1:$BR$1,qualdata!$N$2:$BR$17)))</f>
        <v>0</v>
      </c>
      <c r="AC298" s="261"/>
      <c r="AD298" s="261"/>
    </row>
    <row r="299">
      <c r="A299" s="48">
        <f t="shared" si="74"/>
        <v>10</v>
      </c>
      <c r="C299" s="48" t="str">
        <f t="array" ref="C299">xlookup($A299,qualdata!$M$2:$M$17,(xlookup(C$289,qualdata!$N$1:$BR$1,qualdata!$N$2:$BR$17)))</f>
        <v>Team 10 (Group 1)</v>
      </c>
      <c r="D299" s="48">
        <f t="array" ref="D299">xlookup($A299,qualdata!$M$2:$M$17,(xlookup(D$289,qualdata!$N$1:$BR$1,qualdata!$N$2:$BR$17)))</f>
        <v>7</v>
      </c>
      <c r="E299" s="48" t="str">
        <f t="array" ref="E299">xlookup($A299,qualdata!$M$2:$M$17,(xlookup(E$289,qualdata!$N$1:$BR$1,qualdata!$N$2:$BR$17)))</f>
        <v/>
      </c>
      <c r="F299" s="48" t="str">
        <f t="array" ref="F299">xlookup($A299,qualdata!$M$2:$M$17,(xlookup(F$289,qualdata!$N$1:$BR$1,qualdata!$N$2:$BR$17)))</f>
        <v/>
      </c>
      <c r="G299" s="48" t="str">
        <f t="array" ref="G299">xlookup($A299,qualdata!$M$2:$M$17,(xlookup(G$289,qualdata!$N$1:$BR$1,qualdata!$N$2:$BR$17)))</f>
        <v/>
      </c>
      <c r="H299" s="48">
        <f t="array" ref="H299">xlookup($A299,qualdata!$M$2:$M$17,(xlookup(H$289,qualdata!$N$1:$BR$1,qualdata!$N$2:$BR$17)))</f>
        <v>0</v>
      </c>
      <c r="I299" s="48">
        <f t="array" ref="I299">xlookup($A299,qualdata!$M$2:$M$17,(xlookup(I$289,qualdata!$N$1:$BR$1,qualdata!$N$2:$BR$17)))</f>
        <v>0</v>
      </c>
      <c r="J299" s="48">
        <f t="array" ref="J299">xlookup($A299,qualdata!$M$2:$M$17,(xlookup(J$289,qualdata!$N$1:$BR$1,qualdata!$N$2:$BR$17)))</f>
        <v>0</v>
      </c>
      <c r="K299" s="48">
        <f t="array" ref="K299">xlookup($A299,qualdata!$M$2:$M$17,(xlookup(K$289,qualdata!$N$1:$BR$1,qualdata!$N$2:$BR$17)))</f>
        <v>0</v>
      </c>
      <c r="AC299" s="261"/>
      <c r="AD299" s="261"/>
    </row>
    <row r="300">
      <c r="A300" s="48">
        <f t="shared" si="74"/>
        <v>11</v>
      </c>
      <c r="C300" s="48" t="str">
        <f t="array" ref="C300">xlookup($A300,qualdata!$M$2:$M$17,(xlookup(C$289,qualdata!$N$1:$BR$1,qualdata!$N$2:$BR$17)))</f>
        <v>Team 11 (Group 1)</v>
      </c>
      <c r="D300" s="48">
        <f t="array" ref="D300">xlookup($A300,qualdata!$M$2:$M$17,(xlookup(D$289,qualdata!$N$1:$BR$1,qualdata!$N$2:$BR$17)))</f>
        <v>6</v>
      </c>
      <c r="E300" s="48" t="str">
        <f t="array" ref="E300">xlookup($A300,qualdata!$M$2:$M$17,(xlookup(E$289,qualdata!$N$1:$BR$1,qualdata!$N$2:$BR$17)))</f>
        <v/>
      </c>
      <c r="F300" s="48" t="str">
        <f t="array" ref="F300">xlookup($A300,qualdata!$M$2:$M$17,(xlookup(F$289,qualdata!$N$1:$BR$1,qualdata!$N$2:$BR$17)))</f>
        <v/>
      </c>
      <c r="G300" s="48" t="str">
        <f t="array" ref="G300">xlookup($A300,qualdata!$M$2:$M$17,(xlookup(G$289,qualdata!$N$1:$BR$1,qualdata!$N$2:$BR$17)))</f>
        <v/>
      </c>
      <c r="H300" s="48">
        <f t="array" ref="H300">xlookup($A300,qualdata!$M$2:$M$17,(xlookup(H$289,qualdata!$N$1:$BR$1,qualdata!$N$2:$BR$17)))</f>
        <v>0</v>
      </c>
      <c r="I300" s="48">
        <f t="array" ref="I300">xlookup($A300,qualdata!$M$2:$M$17,(xlookup(I$289,qualdata!$N$1:$BR$1,qualdata!$N$2:$BR$17)))</f>
        <v>0</v>
      </c>
      <c r="J300" s="48">
        <f t="array" ref="J300">xlookup($A300,qualdata!$M$2:$M$17,(xlookup(J$289,qualdata!$N$1:$BR$1,qualdata!$N$2:$BR$17)))</f>
        <v>0</v>
      </c>
      <c r="K300" s="48">
        <f t="array" ref="K300">xlookup($A300,qualdata!$M$2:$M$17,(xlookup(K$289,qualdata!$N$1:$BR$1,qualdata!$N$2:$BR$17)))</f>
        <v>0</v>
      </c>
      <c r="AC300" s="261"/>
      <c r="AD300" s="261"/>
    </row>
    <row r="301">
      <c r="A301" s="48">
        <f t="shared" si="74"/>
        <v>12</v>
      </c>
      <c r="C301" s="48" t="str">
        <f t="array" ref="C301">xlookup($A301,qualdata!$M$2:$M$17,(xlookup(C$289,qualdata!$N$1:$BR$1,qualdata!$N$2:$BR$17)))</f>
        <v>Team 12 (Group 1)</v>
      </c>
      <c r="D301" s="48">
        <f t="array" ref="D301">xlookup($A301,qualdata!$M$2:$M$17,(xlookup(D$289,qualdata!$N$1:$BR$1,qualdata!$N$2:$BR$17)))</f>
        <v>5</v>
      </c>
      <c r="E301" s="48" t="str">
        <f t="array" ref="E301">xlookup($A301,qualdata!$M$2:$M$17,(xlookup(E$289,qualdata!$N$1:$BR$1,qualdata!$N$2:$BR$17)))</f>
        <v/>
      </c>
      <c r="F301" s="48" t="str">
        <f t="array" ref="F301">xlookup($A301,qualdata!$M$2:$M$17,(xlookup(F$289,qualdata!$N$1:$BR$1,qualdata!$N$2:$BR$17)))</f>
        <v/>
      </c>
      <c r="G301" s="48" t="str">
        <f t="array" ref="G301">xlookup($A301,qualdata!$M$2:$M$17,(xlookup(G$289,qualdata!$N$1:$BR$1,qualdata!$N$2:$BR$17)))</f>
        <v/>
      </c>
      <c r="H301" s="48">
        <f t="array" ref="H301">xlookup($A301,qualdata!$M$2:$M$17,(xlookup(H$289,qualdata!$N$1:$BR$1,qualdata!$N$2:$BR$17)))</f>
        <v>0</v>
      </c>
      <c r="I301" s="48">
        <f t="array" ref="I301">xlookup($A301,qualdata!$M$2:$M$17,(xlookup(I$289,qualdata!$N$1:$BR$1,qualdata!$N$2:$BR$17)))</f>
        <v>0</v>
      </c>
      <c r="J301" s="48">
        <f t="array" ref="J301">xlookup($A301,qualdata!$M$2:$M$17,(xlookup(J$289,qualdata!$N$1:$BR$1,qualdata!$N$2:$BR$17)))</f>
        <v>0</v>
      </c>
      <c r="K301" s="48">
        <f t="array" ref="K301">xlookup($A301,qualdata!$M$2:$M$17,(xlookup(K$289,qualdata!$N$1:$BR$1,qualdata!$N$2:$BR$17)))</f>
        <v>0</v>
      </c>
      <c r="AC301" s="261"/>
      <c r="AD301" s="261"/>
    </row>
    <row r="302">
      <c r="A302" s="48">
        <f t="shared" si="74"/>
        <v>13</v>
      </c>
      <c r="C302" s="48" t="str">
        <f t="array" ref="C302">xlookup($A302,qualdata!$M$2:$M$17,(xlookup(C$289,qualdata!$N$1:$BR$1,qualdata!$N$2:$BR$17)))</f>
        <v>Team 13 (Group 1)</v>
      </c>
      <c r="D302" s="48">
        <f t="array" ref="D302">xlookup($A302,qualdata!$M$2:$M$17,(xlookup(D$289,qualdata!$N$1:$BR$1,qualdata!$N$2:$BR$17)))</f>
        <v>4</v>
      </c>
      <c r="E302" s="48" t="str">
        <f t="array" ref="E302">xlookup($A302,qualdata!$M$2:$M$17,(xlookup(E$289,qualdata!$N$1:$BR$1,qualdata!$N$2:$BR$17)))</f>
        <v/>
      </c>
      <c r="F302" s="48" t="str">
        <f t="array" ref="F302">xlookup($A302,qualdata!$M$2:$M$17,(xlookup(F$289,qualdata!$N$1:$BR$1,qualdata!$N$2:$BR$17)))</f>
        <v/>
      </c>
      <c r="G302" s="48" t="str">
        <f t="array" ref="G302">xlookup($A302,qualdata!$M$2:$M$17,(xlookup(G$289,qualdata!$N$1:$BR$1,qualdata!$N$2:$BR$17)))</f>
        <v/>
      </c>
      <c r="H302" s="48">
        <f t="array" ref="H302">xlookup($A302,qualdata!$M$2:$M$17,(xlookup(H$289,qualdata!$N$1:$BR$1,qualdata!$N$2:$BR$17)))</f>
        <v>0</v>
      </c>
      <c r="I302" s="48">
        <f t="array" ref="I302">xlookup($A302,qualdata!$M$2:$M$17,(xlookup(I$289,qualdata!$N$1:$BR$1,qualdata!$N$2:$BR$17)))</f>
        <v>0</v>
      </c>
      <c r="J302" s="48">
        <f t="array" ref="J302">xlookup($A302,qualdata!$M$2:$M$17,(xlookup(J$289,qualdata!$N$1:$BR$1,qualdata!$N$2:$BR$17)))</f>
        <v>0</v>
      </c>
      <c r="K302" s="48">
        <f t="array" ref="K302">xlookup($A302,qualdata!$M$2:$M$17,(xlookup(K$289,qualdata!$N$1:$BR$1,qualdata!$N$2:$BR$17)))</f>
        <v>0</v>
      </c>
      <c r="AC302" s="261"/>
      <c r="AD302" s="261"/>
    </row>
    <row r="303">
      <c r="A303" s="48">
        <f t="shared" si="74"/>
        <v>14</v>
      </c>
      <c r="C303" s="48" t="str">
        <f t="array" ref="C303">xlookup($A303,qualdata!$M$2:$M$17,(xlookup(C$289,qualdata!$N$1:$BR$1,qualdata!$N$2:$BR$17)))</f>
        <v>Team 14 (Group 1)</v>
      </c>
      <c r="D303" s="48">
        <f t="array" ref="D303">xlookup($A303,qualdata!$M$2:$M$17,(xlookup(D$289,qualdata!$N$1:$BR$1,qualdata!$N$2:$BR$17)))</f>
        <v>3</v>
      </c>
      <c r="E303" s="48" t="str">
        <f t="array" ref="E303">xlookup($A303,qualdata!$M$2:$M$17,(xlookup(E$289,qualdata!$N$1:$BR$1,qualdata!$N$2:$BR$17)))</f>
        <v/>
      </c>
      <c r="F303" s="48" t="str">
        <f t="array" ref="F303">xlookup($A303,qualdata!$M$2:$M$17,(xlookup(F$289,qualdata!$N$1:$BR$1,qualdata!$N$2:$BR$17)))</f>
        <v/>
      </c>
      <c r="G303" s="48" t="str">
        <f t="array" ref="G303">xlookup($A303,qualdata!$M$2:$M$17,(xlookup(G$289,qualdata!$N$1:$BR$1,qualdata!$N$2:$BR$17)))</f>
        <v/>
      </c>
      <c r="H303" s="48">
        <f t="array" ref="H303">xlookup($A303,qualdata!$M$2:$M$17,(xlookup(H$289,qualdata!$N$1:$BR$1,qualdata!$N$2:$BR$17)))</f>
        <v>0</v>
      </c>
      <c r="I303" s="48">
        <f t="array" ref="I303">xlookup($A303,qualdata!$M$2:$M$17,(xlookup(I$289,qualdata!$N$1:$BR$1,qualdata!$N$2:$BR$17)))</f>
        <v>0</v>
      </c>
      <c r="J303" s="48">
        <f t="array" ref="J303">xlookup($A303,qualdata!$M$2:$M$17,(xlookup(J$289,qualdata!$N$1:$BR$1,qualdata!$N$2:$BR$17)))</f>
        <v>0</v>
      </c>
      <c r="K303" s="48">
        <f t="array" ref="K303">xlookup($A303,qualdata!$M$2:$M$17,(xlookup(K$289,qualdata!$N$1:$BR$1,qualdata!$N$2:$BR$17)))</f>
        <v>0</v>
      </c>
      <c r="AC303" s="261"/>
      <c r="AD303" s="261"/>
    </row>
    <row r="304">
      <c r="A304" s="48">
        <f t="shared" si="74"/>
        <v>15</v>
      </c>
      <c r="C304" s="48" t="str">
        <f t="array" ref="C304">xlookup($A304,qualdata!$M$2:$M$17,(xlookup(C$289,qualdata!$N$1:$BR$1,qualdata!$N$2:$BR$17)))</f>
        <v>Team 15 (Group 1)</v>
      </c>
      <c r="D304" s="48">
        <f t="array" ref="D304">xlookup($A304,qualdata!$M$2:$M$17,(xlookup(D$289,qualdata!$N$1:$BR$1,qualdata!$N$2:$BR$17)))</f>
        <v>2</v>
      </c>
      <c r="E304" s="48" t="str">
        <f t="array" ref="E304">xlookup($A304,qualdata!$M$2:$M$17,(xlookup(E$289,qualdata!$N$1:$BR$1,qualdata!$N$2:$BR$17)))</f>
        <v/>
      </c>
      <c r="F304" s="48" t="str">
        <f t="array" ref="F304">xlookup($A304,qualdata!$M$2:$M$17,(xlookup(F$289,qualdata!$N$1:$BR$1,qualdata!$N$2:$BR$17)))</f>
        <v/>
      </c>
      <c r="G304" s="48" t="str">
        <f t="array" ref="G304">xlookup($A304,qualdata!$M$2:$M$17,(xlookup(G$289,qualdata!$N$1:$BR$1,qualdata!$N$2:$BR$17)))</f>
        <v/>
      </c>
      <c r="H304" s="48">
        <f t="array" ref="H304">xlookup($A304,qualdata!$M$2:$M$17,(xlookup(H$289,qualdata!$N$1:$BR$1,qualdata!$N$2:$BR$17)))</f>
        <v>0</v>
      </c>
      <c r="I304" s="48">
        <f t="array" ref="I304">xlookup($A304,qualdata!$M$2:$M$17,(xlookup(I$289,qualdata!$N$1:$BR$1,qualdata!$N$2:$BR$17)))</f>
        <v>0</v>
      </c>
      <c r="J304" s="48">
        <f t="array" ref="J304">xlookup($A304,qualdata!$M$2:$M$17,(xlookup(J$289,qualdata!$N$1:$BR$1,qualdata!$N$2:$BR$17)))</f>
        <v>0</v>
      </c>
      <c r="K304" s="48">
        <f t="array" ref="K304">xlookup($A304,qualdata!$M$2:$M$17,(xlookup(K$289,qualdata!$N$1:$BR$1,qualdata!$N$2:$BR$17)))</f>
        <v>0</v>
      </c>
      <c r="AC304" s="261"/>
      <c r="AD304" s="261"/>
    </row>
    <row r="305">
      <c r="A305" s="48">
        <f t="shared" si="74"/>
        <v>16</v>
      </c>
      <c r="C305" s="48" t="str">
        <f t="array" ref="C305">xlookup($A305,qualdata!$M$2:$M$17,(xlookup(C$289,qualdata!$N$1:$BR$1,qualdata!$N$2:$BR$17)))</f>
        <v>Team 16 (Group 1)</v>
      </c>
      <c r="D305" s="48">
        <f t="array" ref="D305">xlookup($A305,qualdata!$M$2:$M$17,(xlookup(D$289,qualdata!$N$1:$BR$1,qualdata!$N$2:$BR$17)))</f>
        <v>1</v>
      </c>
      <c r="E305" s="48" t="str">
        <f t="array" ref="E305">xlookup($A305,qualdata!$M$2:$M$17,(xlookup(E$289,qualdata!$N$1:$BR$1,qualdata!$N$2:$BR$17)))</f>
        <v/>
      </c>
      <c r="F305" s="48" t="str">
        <f t="array" ref="F305">xlookup($A305,qualdata!$M$2:$M$17,(xlookup(F$289,qualdata!$N$1:$BR$1,qualdata!$N$2:$BR$17)))</f>
        <v/>
      </c>
      <c r="G305" s="48" t="str">
        <f t="array" ref="G305">xlookup($A305,qualdata!$M$2:$M$17,(xlookup(G$289,qualdata!$N$1:$BR$1,qualdata!$N$2:$BR$17)))</f>
        <v/>
      </c>
      <c r="H305" s="48">
        <f t="array" ref="H305">xlookup($A305,qualdata!$M$2:$M$17,(xlookup(H$289,qualdata!$N$1:$BR$1,qualdata!$N$2:$BR$17)))</f>
        <v>0</v>
      </c>
      <c r="I305" s="48">
        <f t="array" ref="I305">xlookup($A305,qualdata!$M$2:$M$17,(xlookup(I$289,qualdata!$N$1:$BR$1,qualdata!$N$2:$BR$17)))</f>
        <v>0</v>
      </c>
      <c r="J305" s="48">
        <f t="array" ref="J305">xlookup($A305,qualdata!$M$2:$M$17,(xlookup(J$289,qualdata!$N$1:$BR$1,qualdata!$N$2:$BR$17)))</f>
        <v>0</v>
      </c>
      <c r="K305" s="48">
        <f t="array" ref="K305">xlookup($A305,qualdata!$M$2:$M$17,(xlookup(K$289,qualdata!$N$1:$BR$1,qualdata!$N$2:$BR$17)))</f>
        <v>0</v>
      </c>
      <c r="AC305" s="261"/>
      <c r="AD305" s="261"/>
    </row>
    <row r="306">
      <c r="AC306" s="261"/>
      <c r="AD306" s="261"/>
    </row>
    <row r="307">
      <c r="A307" s="37" t="s">
        <v>88</v>
      </c>
      <c r="B307" s="37" t="s">
        <v>327</v>
      </c>
      <c r="C307" s="37" t="s">
        <v>326</v>
      </c>
      <c r="D307" s="37" t="s">
        <v>371</v>
      </c>
      <c r="E307" s="37" t="s">
        <v>381</v>
      </c>
      <c r="F307" s="37" t="s">
        <v>410</v>
      </c>
      <c r="G307" s="260" t="s">
        <v>411</v>
      </c>
      <c r="H307" s="261" t="s">
        <v>412</v>
      </c>
      <c r="I307" s="262" t="s">
        <v>413</v>
      </c>
      <c r="J307" s="267" t="s">
        <v>414</v>
      </c>
      <c r="K307" s="47" t="s">
        <v>415</v>
      </c>
      <c r="L307" s="47" t="s">
        <v>394</v>
      </c>
      <c r="AC307" s="261"/>
      <c r="AD307" s="261"/>
    </row>
    <row r="308">
      <c r="A308" s="48" t="str">
        <f>IFERROR(__xludf.DUMMYFUNCTION("sort(filter(A290:K305,J290:J305=2),7,true,9,false,11,false)"),"#N/A")</f>
        <v>#N/A</v>
      </c>
      <c r="L308" s="47">
        <v>1.0</v>
      </c>
      <c r="AB308" s="47" t="s">
        <v>416</v>
      </c>
      <c r="AC308" s="265" t="str">
        <f>iferror(K319,"")</f>
        <v/>
      </c>
      <c r="AD308" s="268" t="str">
        <f>L319</f>
        <v>#N/A</v>
      </c>
      <c r="AE308" s="48" t="str">
        <f>'Contender Stage'!ED211</f>
        <v/>
      </c>
      <c r="AF308" s="48" t="str">
        <f>'Contender Stage'!EH211</f>
        <v/>
      </c>
      <c r="AG308" s="48">
        <f>'Contender Stage'!ED215</f>
        <v>0</v>
      </c>
      <c r="AH308" s="48">
        <f>'Contender Stage'!EH215</f>
        <v>0</v>
      </c>
    </row>
    <row r="309">
      <c r="L309" s="47">
        <v>2.0</v>
      </c>
      <c r="AC309" s="265" t="str">
        <f t="shared" ref="AC309:AD309" si="75">K320</f>
        <v>#N/A</v>
      </c>
      <c r="AD309" s="268" t="str">
        <f t="shared" si="75"/>
        <v>#N/A</v>
      </c>
      <c r="AE309" s="48" t="str">
        <f>'Contender Stage'!ED218</f>
        <v/>
      </c>
      <c r="AF309" s="48" t="str">
        <f>'Contender Stage'!EH218</f>
        <v/>
      </c>
      <c r="AG309" s="48">
        <f>'Contender Stage'!ED222</f>
        <v>0</v>
      </c>
      <c r="AH309" s="48">
        <f>'Contender Stage'!EH222</f>
        <v>0</v>
      </c>
    </row>
    <row r="310">
      <c r="L310" s="47">
        <v>3.0</v>
      </c>
      <c r="AC310" s="268" t="str">
        <f t="shared" ref="AC310:AD310" si="76">K321</f>
        <v>#N/A</v>
      </c>
      <c r="AD310" s="268" t="str">
        <f t="shared" si="76"/>
        <v>#N/A</v>
      </c>
      <c r="AE310" s="48" t="str">
        <f>'Contender Stage'!ED225</f>
        <v/>
      </c>
      <c r="AF310" s="48" t="str">
        <f>'Contender Stage'!EH225</f>
        <v/>
      </c>
      <c r="AG310" s="48">
        <f>'Contender Stage'!ED229</f>
        <v>0</v>
      </c>
      <c r="AH310" s="48">
        <f>'Contender Stage'!EH229</f>
        <v>0</v>
      </c>
    </row>
    <row r="311">
      <c r="L311" s="47">
        <v>4.0</v>
      </c>
      <c r="AC311" s="268" t="str">
        <f t="shared" ref="AC311:AC313" si="77">AD308</f>
        <v>#N/A</v>
      </c>
      <c r="AD311" s="265" t="str">
        <f t="shared" ref="AD311:AD313" si="78">AC308</f>
        <v/>
      </c>
      <c r="AE311" s="48" t="str">
        <f t="shared" ref="AE311:AE313" si="79">AF308</f>
        <v/>
      </c>
      <c r="AF311" s="48" t="str">
        <f t="shared" ref="AF311:AF313" si="80">AE308</f>
        <v/>
      </c>
      <c r="AG311" s="48">
        <f t="shared" ref="AG311:AG313" si="81">AH308</f>
        <v>0</v>
      </c>
      <c r="AH311" s="48">
        <f t="shared" ref="AH311:AH313" si="82">AG308</f>
        <v>0</v>
      </c>
    </row>
    <row r="312">
      <c r="L312" s="47">
        <v>5.0</v>
      </c>
      <c r="AC312" s="268" t="str">
        <f t="shared" si="77"/>
        <v>#N/A</v>
      </c>
      <c r="AD312" s="265" t="str">
        <f t="shared" si="78"/>
        <v>#N/A</v>
      </c>
      <c r="AE312" s="48" t="str">
        <f t="shared" si="79"/>
        <v/>
      </c>
      <c r="AF312" s="48" t="str">
        <f t="shared" si="80"/>
        <v/>
      </c>
      <c r="AG312" s="48">
        <f t="shared" si="81"/>
        <v>0</v>
      </c>
      <c r="AH312" s="48">
        <f t="shared" si="82"/>
        <v>0</v>
      </c>
    </row>
    <row r="313">
      <c r="L313" s="47">
        <v>6.0</v>
      </c>
      <c r="AC313" s="268" t="str">
        <f t="shared" si="77"/>
        <v>#N/A</v>
      </c>
      <c r="AD313" s="268" t="str">
        <f t="shared" si="78"/>
        <v>#N/A</v>
      </c>
      <c r="AE313" s="48" t="str">
        <f t="shared" si="79"/>
        <v/>
      </c>
      <c r="AF313" s="48" t="str">
        <f t="shared" si="80"/>
        <v/>
      </c>
      <c r="AG313" s="48">
        <f t="shared" si="81"/>
        <v>0</v>
      </c>
      <c r="AH313" s="48">
        <f t="shared" si="82"/>
        <v>0</v>
      </c>
    </row>
    <row r="314">
      <c r="A314" s="37"/>
      <c r="B314" s="37"/>
      <c r="C314" s="37" t="s">
        <v>394</v>
      </c>
      <c r="D314" s="37" t="s">
        <v>405</v>
      </c>
      <c r="E314" s="37" t="s">
        <v>406</v>
      </c>
      <c r="F314" s="37" t="s">
        <v>417</v>
      </c>
      <c r="G314" s="37"/>
      <c r="H314" s="37"/>
      <c r="I314" s="37"/>
      <c r="J314" s="37"/>
      <c r="K314" s="37"/>
      <c r="L314" s="37"/>
      <c r="M314" s="37"/>
      <c r="N314" s="37"/>
      <c r="O314" s="37"/>
      <c r="P314" s="37"/>
      <c r="Q314" s="37"/>
      <c r="AC314" s="261"/>
      <c r="AD314" s="261"/>
    </row>
    <row r="315">
      <c r="A315" s="270" t="str">
        <f t="shared" ref="A315:A320" si="84">A308</f>
        <v>#N/A</v>
      </c>
      <c r="B315" s="37" t="str">
        <f t="shared" ref="B315:B320" si="85">C308</f>
        <v/>
      </c>
      <c r="C315" s="270">
        <v>1.0</v>
      </c>
      <c r="D315" s="37" t="str">
        <f t="shared" ref="D315:F315" si="83">xlookup(D308,$A$308:$A$313,$L$308:$L$313,"")</f>
        <v/>
      </c>
      <c r="E315" s="37" t="str">
        <f t="shared" si="83"/>
        <v/>
      </c>
      <c r="F315" s="37" t="str">
        <f t="shared" si="83"/>
        <v/>
      </c>
      <c r="G315" s="37"/>
      <c r="H315" s="37"/>
      <c r="I315" s="37"/>
      <c r="J315" s="37"/>
      <c r="K315" s="37"/>
      <c r="L315" s="37"/>
      <c r="M315" s="37"/>
      <c r="N315" s="37"/>
      <c r="O315" s="37"/>
      <c r="P315" s="37"/>
      <c r="Q315" s="37"/>
      <c r="AC315" s="261"/>
      <c r="AD315" s="261"/>
    </row>
    <row r="316">
      <c r="A316" s="270" t="str">
        <f t="shared" si="84"/>
        <v/>
      </c>
      <c r="B316" s="37" t="str">
        <f t="shared" si="85"/>
        <v/>
      </c>
      <c r="C316" s="270">
        <v>2.0</v>
      </c>
      <c r="D316" s="37" t="str">
        <f t="shared" ref="D316:F316" si="86">xlookup(D309,$A$308:$A$313,$L$308:$L$313,"")</f>
        <v/>
      </c>
      <c r="E316" s="37" t="str">
        <f t="shared" si="86"/>
        <v/>
      </c>
      <c r="F316" s="37" t="str">
        <f t="shared" si="86"/>
        <v/>
      </c>
      <c r="G316" s="37"/>
      <c r="H316" s="37"/>
      <c r="I316" s="37"/>
      <c r="J316" s="37"/>
      <c r="K316" s="37"/>
      <c r="L316" s="37"/>
      <c r="M316" s="37"/>
      <c r="N316" s="37"/>
      <c r="O316" s="37"/>
      <c r="P316" s="37"/>
      <c r="Q316" s="37"/>
      <c r="AC316" s="261"/>
      <c r="AD316" s="261"/>
    </row>
    <row r="317">
      <c r="A317" s="270" t="str">
        <f t="shared" si="84"/>
        <v/>
      </c>
      <c r="B317" s="37" t="str">
        <f t="shared" si="85"/>
        <v/>
      </c>
      <c r="C317" s="270">
        <v>3.0</v>
      </c>
      <c r="D317" s="37" t="str">
        <f t="shared" ref="D317:F317" si="87">xlookup(D310,$A$308:$A$313,$L$308:$L$313,"")</f>
        <v/>
      </c>
      <c r="E317" s="37" t="str">
        <f t="shared" si="87"/>
        <v/>
      </c>
      <c r="F317" s="37" t="str">
        <f t="shared" si="87"/>
        <v/>
      </c>
      <c r="G317" s="37"/>
      <c r="H317" s="37"/>
      <c r="I317" s="37"/>
      <c r="J317" s="37"/>
      <c r="K317" s="37"/>
      <c r="L317" s="37"/>
      <c r="M317" s="37"/>
      <c r="N317" s="37"/>
      <c r="O317" s="37"/>
      <c r="P317" s="37"/>
      <c r="Q317" s="37"/>
      <c r="AC317" s="261"/>
      <c r="AD317" s="261"/>
    </row>
    <row r="318">
      <c r="A318" s="270" t="str">
        <f t="shared" si="84"/>
        <v/>
      </c>
      <c r="B318" s="37" t="str">
        <f t="shared" si="85"/>
        <v/>
      </c>
      <c r="C318" s="270">
        <v>4.0</v>
      </c>
      <c r="D318" s="37" t="str">
        <f t="shared" ref="D318:F318" si="88">xlookup(D311,$A$308:$A$313,$L$308:$L$313,"")</f>
        <v/>
      </c>
      <c r="E318" s="37" t="str">
        <f t="shared" si="88"/>
        <v/>
      </c>
      <c r="F318" s="37" t="str">
        <f t="shared" si="88"/>
        <v/>
      </c>
      <c r="G318" s="37"/>
      <c r="H318" s="37"/>
      <c r="I318" s="37"/>
      <c r="J318" s="37"/>
      <c r="K318" s="37"/>
      <c r="L318" s="37"/>
      <c r="M318" s="37"/>
      <c r="N318" s="37"/>
      <c r="O318" s="37"/>
      <c r="P318" s="37"/>
      <c r="Q318" s="37"/>
      <c r="AC318" s="261"/>
      <c r="AD318" s="261"/>
    </row>
    <row r="319">
      <c r="A319" s="270" t="str">
        <f t="shared" si="84"/>
        <v/>
      </c>
      <c r="B319" s="37" t="str">
        <f t="shared" si="85"/>
        <v/>
      </c>
      <c r="C319" s="270">
        <v>5.0</v>
      </c>
      <c r="D319" s="37" t="str">
        <f t="shared" ref="D319:F319" si="89">xlookup(D312,$A$308:$A$313,$L$308:$L$313,"")</f>
        <v/>
      </c>
      <c r="E319" s="37" t="str">
        <f t="shared" si="89"/>
        <v/>
      </c>
      <c r="F319" s="37" t="str">
        <f t="shared" si="89"/>
        <v/>
      </c>
      <c r="G319" s="37"/>
      <c r="H319" s="37"/>
      <c r="I319" s="37"/>
      <c r="J319" s="37"/>
      <c r="K319" s="271" t="str">
        <f t="array" ref="K319:L321">'Choose matchups (Contender)'!Q76:R78</f>
        <v>#N/A</v>
      </c>
      <c r="L319" s="271" t="e">
        <v>#N/A</v>
      </c>
      <c r="M319" s="37"/>
      <c r="N319" s="37"/>
      <c r="O319" s="37"/>
      <c r="P319" s="37"/>
      <c r="Q319" s="37"/>
      <c r="AC319" s="261"/>
      <c r="AD319" s="261"/>
    </row>
    <row r="320">
      <c r="A320" s="270" t="str">
        <f t="shared" si="84"/>
        <v/>
      </c>
      <c r="B320" s="37" t="str">
        <f t="shared" si="85"/>
        <v/>
      </c>
      <c r="C320" s="270">
        <v>6.0</v>
      </c>
      <c r="D320" s="37" t="str">
        <f t="shared" ref="D320:F320" si="90">xlookup(D313,$A$308:$A$313,$L$308:$L$313,"")</f>
        <v/>
      </c>
      <c r="E320" s="37" t="str">
        <f t="shared" si="90"/>
        <v/>
      </c>
      <c r="F320" s="37" t="str">
        <f t="shared" si="90"/>
        <v/>
      </c>
      <c r="G320" s="37"/>
      <c r="H320" s="37"/>
      <c r="I320" s="37"/>
      <c r="J320" s="37"/>
      <c r="K320" s="271" t="e">
        <v>#N/A</v>
      </c>
      <c r="L320" s="271" t="e">
        <v>#N/A</v>
      </c>
      <c r="M320" s="37"/>
      <c r="N320" s="37"/>
      <c r="O320" s="37"/>
      <c r="P320" s="37"/>
      <c r="Q320" s="37"/>
      <c r="AC320" s="261"/>
      <c r="AD320" s="261"/>
    </row>
    <row r="321">
      <c r="A321" s="37"/>
      <c r="B321" s="37"/>
      <c r="C321" s="37"/>
      <c r="D321" s="37"/>
      <c r="E321" s="37"/>
      <c r="F321" s="37"/>
      <c r="G321" s="37"/>
      <c r="H321" s="37"/>
      <c r="I321" s="37"/>
      <c r="J321" s="37"/>
      <c r="K321" s="271" t="e">
        <v>#N/A</v>
      </c>
      <c r="L321" s="271" t="e">
        <v>#N/A</v>
      </c>
      <c r="M321" s="37"/>
      <c r="N321" s="37"/>
      <c r="O321" s="37"/>
      <c r="P321" s="37"/>
      <c r="Q321" s="37"/>
      <c r="AC321" s="261"/>
      <c r="AD321" s="261"/>
    </row>
    <row r="322">
      <c r="A322" s="37" t="s">
        <v>418</v>
      </c>
      <c r="B322" s="37"/>
      <c r="C322" s="37"/>
      <c r="D322" s="37"/>
      <c r="E322" s="37"/>
      <c r="F322" s="37"/>
      <c r="G322" s="37"/>
      <c r="H322" s="37"/>
      <c r="I322" s="37"/>
      <c r="J322" s="37"/>
      <c r="K322" s="37"/>
      <c r="L322" s="37"/>
      <c r="M322" s="273" t="s">
        <v>419</v>
      </c>
      <c r="N322" s="37" t="s">
        <v>420</v>
      </c>
      <c r="O322" s="37"/>
      <c r="P322" s="37"/>
      <c r="Q322" s="37"/>
      <c r="AC322" s="261"/>
      <c r="AD322" s="261"/>
    </row>
    <row r="323">
      <c r="A323" s="270">
        <v>1.0</v>
      </c>
      <c r="B323" s="270">
        <v>6.0</v>
      </c>
      <c r="C323" s="270">
        <f t="array" ref="C323">if(or(xlookup(A323,C315:C320,D315:D320)=B323,xlookup(A323,C315:C320,E315:E320)=B323,xlookup(A323,C315:C320,F315:F320)=B323),1,0)</f>
        <v>0</v>
      </c>
      <c r="D323" s="37"/>
      <c r="E323" s="270">
        <v>1.0</v>
      </c>
      <c r="F323" s="270">
        <v>6.0</v>
      </c>
      <c r="G323" s="270">
        <f t="array" ref="G323">if(or(xlookup(E323,C315:C320,D315:D320)=F323,xlookup(E323,C315:C320,E315:E320)=F323,xlookup(E323,C315:C320,F315:F320)=F323),1,0)</f>
        <v>0</v>
      </c>
      <c r="H323" s="37"/>
      <c r="I323" s="270">
        <v>1.0</v>
      </c>
      <c r="J323" s="270">
        <v>6.0</v>
      </c>
      <c r="K323" s="270">
        <f t="array" ref="K323">if(or(xlookup(I323,C315:C320,D315:D320)=J323,xlookup(I323,C315:C320,E315:E320)=J323,xlookup(I323,C315:C320,F315:F320)=J323),1,0)</f>
        <v>0</v>
      </c>
      <c r="L323" s="37"/>
      <c r="M323" s="270">
        <v>1.0</v>
      </c>
      <c r="N323" s="270">
        <f>C326</f>
        <v>0</v>
      </c>
      <c r="O323" s="270">
        <f t="array" ref="O323:Q323">TRANSPOSE(B323:B325)</f>
        <v>6</v>
      </c>
      <c r="P323" s="270">
        <v>5.0</v>
      </c>
      <c r="Q323" s="270">
        <v>4.0</v>
      </c>
      <c r="AC323" s="261"/>
      <c r="AD323" s="261"/>
    </row>
    <row r="324">
      <c r="A324" s="270">
        <v>2.0</v>
      </c>
      <c r="B324" s="270">
        <v>5.0</v>
      </c>
      <c r="C324" s="270">
        <f t="array" ref="C324">if(or(xlookup(A324,C315:C320,D315:D320)=B324,xlookup(A324,C315:C320,E315:E320)=B324,xlookup(A324,C315:C320,F315:F320)=B324),1,0)</f>
        <v>0</v>
      </c>
      <c r="D324" s="37"/>
      <c r="E324" s="270">
        <v>2.0</v>
      </c>
      <c r="F324" s="270">
        <v>5.0</v>
      </c>
      <c r="G324" s="270">
        <f t="array" ref="G324">if(or(xlookup(E324,C315:C320,D315:D320)=F324,xlookup(E324,C315:C320,E315:E320)=F324,xlookup(E324,C315:C320,F315:F320)=F324),1,0)</f>
        <v>0</v>
      </c>
      <c r="H324" s="37"/>
      <c r="I324" s="270">
        <v>2.0</v>
      </c>
      <c r="J324" s="270">
        <v>4.0</v>
      </c>
      <c r="K324" s="270">
        <f t="array" ref="K324">if(or(xlookup(I324,C315:C320,D315:D320)=J324,xlookup(I324,C315:C320,E315:E320)=J324,xlookup(I324,C315:C320,F315:F320)=J324),1,0)</f>
        <v>0</v>
      </c>
      <c r="L324" s="37"/>
      <c r="M324" s="270">
        <f t="shared" ref="M324:M340" si="91">M323+1</f>
        <v>2</v>
      </c>
      <c r="N324" s="270">
        <f>C330</f>
        <v>0</v>
      </c>
      <c r="O324" s="270">
        <f t="array" ref="O324:Q324">TRANSPOSE(B327:B329)</f>
        <v>6</v>
      </c>
      <c r="P324" s="270">
        <v>4.0</v>
      </c>
      <c r="Q324" s="270">
        <v>5.0</v>
      </c>
      <c r="AC324" s="261"/>
      <c r="AD324" s="261"/>
    </row>
    <row r="325">
      <c r="A325" s="270">
        <v>3.0</v>
      </c>
      <c r="B325" s="270">
        <v>4.0</v>
      </c>
      <c r="C325" s="270">
        <f t="array" ref="C325">if(or(xlookup(A325,C315:C320,D315:D320)=B325,xlookup(A325,C315:C320,E315:E320)=B325,xlookup(A325,C315:C320,F315:F320)=B325),1,0)</f>
        <v>0</v>
      </c>
      <c r="D325" s="37"/>
      <c r="E325" s="270">
        <v>4.0</v>
      </c>
      <c r="F325" s="270">
        <v>3.0</v>
      </c>
      <c r="G325" s="270">
        <f t="array" ref="G325">if(or(xlookup(E325,C315:C320,D315:D320)=F325,xlookup(E325,C315:C320,E315:E320)=F325,xlookup(E325,C315:C320,F315:F320)=F325),1,0)</f>
        <v>0</v>
      </c>
      <c r="H325" s="37"/>
      <c r="I325" s="270">
        <v>5.0</v>
      </c>
      <c r="J325" s="270">
        <v>3.0</v>
      </c>
      <c r="K325" s="270">
        <f t="array" ref="K325">if(or(xlookup(I325,C315:C320,D315:D320)=J325,xlookup(I325,C315:C320,E315:E320)=J325,xlookup(I325,C315:C320,F315:F320)=J325),1,0)</f>
        <v>0</v>
      </c>
      <c r="L325" s="37"/>
      <c r="M325" s="270">
        <f t="shared" si="91"/>
        <v>3</v>
      </c>
      <c r="N325" s="270">
        <f>C334</f>
        <v>0</v>
      </c>
      <c r="O325" s="270">
        <f t="array" ref="O325:Q325">TRANSPOSE(B331:B333)</f>
        <v>5</v>
      </c>
      <c r="P325" s="270">
        <v>6.0</v>
      </c>
      <c r="Q325" s="270">
        <v>4.0</v>
      </c>
      <c r="AC325" s="261"/>
      <c r="AD325" s="261"/>
    </row>
    <row r="326">
      <c r="A326" s="37"/>
      <c r="B326" s="37"/>
      <c r="C326" s="272">
        <f>SUM(C323:C325)</f>
        <v>0</v>
      </c>
      <c r="D326" s="37"/>
      <c r="E326" s="37"/>
      <c r="F326" s="37"/>
      <c r="G326" s="272">
        <f>SUM(G323:G325)</f>
        <v>0</v>
      </c>
      <c r="H326" s="37"/>
      <c r="I326" s="37"/>
      <c r="J326" s="37"/>
      <c r="K326" s="272">
        <f>SUM(K323:K325)</f>
        <v>0</v>
      </c>
      <c r="L326" s="37"/>
      <c r="M326" s="270">
        <f t="shared" si="91"/>
        <v>4</v>
      </c>
      <c r="N326" s="270">
        <f>C338</f>
        <v>0</v>
      </c>
      <c r="O326" s="270">
        <f t="array" ref="O326:Q326">TRANSPOSE(B335:B337)</f>
        <v>5</v>
      </c>
      <c r="P326" s="270">
        <v>4.0</v>
      </c>
      <c r="Q326" s="270">
        <v>6.0</v>
      </c>
      <c r="AC326" s="261"/>
      <c r="AD326" s="261"/>
    </row>
    <row r="327">
      <c r="A327" s="270">
        <v>1.0</v>
      </c>
      <c r="B327" s="270">
        <v>6.0</v>
      </c>
      <c r="C327" s="270">
        <f t="array" ref="C327">if(or(xlookup(A327,C315:C320,D315:D320)=B327,xlookup(A327,C315:C320,E315:E320)=B327,xlookup(A327,C315:C320,F315:F320)=B327),1,0)</f>
        <v>0</v>
      </c>
      <c r="D327" s="37"/>
      <c r="E327" s="270">
        <v>1.0</v>
      </c>
      <c r="F327" s="270">
        <v>6.0</v>
      </c>
      <c r="G327" s="270">
        <f t="array" ref="G327">if(or(xlookup(E327,C315:C320,D315:D320)=F327,xlookup(E327,C315:C320,E315:E320)=F327,xlookup(E327,C315:C320,F315:F320)=F327),1,0)</f>
        <v>0</v>
      </c>
      <c r="H327" s="37"/>
      <c r="I327" s="270">
        <v>1.0</v>
      </c>
      <c r="J327" s="270">
        <v>6.0</v>
      </c>
      <c r="K327" s="270">
        <f t="array" ref="K327">if(or(xlookup(I327,C315:C320,D315:D320)=J327,xlookup(I327,C315:C320,E315:E320)=J327,xlookup(I327,C315:C320,F315:F320)=J327),1,0)</f>
        <v>0</v>
      </c>
      <c r="L327" s="37"/>
      <c r="M327" s="270">
        <f t="shared" si="91"/>
        <v>5</v>
      </c>
      <c r="N327" s="270">
        <f>C342</f>
        <v>0</v>
      </c>
      <c r="O327" s="270">
        <f t="array" ref="O327:Q327">TRANSPOSE(B339:B341)</f>
        <v>4</v>
      </c>
      <c r="P327" s="270">
        <v>6.0</v>
      </c>
      <c r="Q327" s="270">
        <v>5.0</v>
      </c>
      <c r="AC327" s="261"/>
      <c r="AD327" s="261"/>
    </row>
    <row r="328">
      <c r="A328" s="270">
        <v>2.0</v>
      </c>
      <c r="B328" s="270">
        <v>4.0</v>
      </c>
      <c r="C328" s="270">
        <f t="array" ref="C328">if(or(xlookup(A328,C315:C320,D315:D320)=B328,xlookup(A328,C315:C320,E315:E320)=B328,xlookup(A328,C315:C320,F315:F320)=B328),1,0)</f>
        <v>0</v>
      </c>
      <c r="D328" s="37"/>
      <c r="E328" s="270">
        <v>2.0</v>
      </c>
      <c r="F328" s="270">
        <v>3.0</v>
      </c>
      <c r="G328" s="270">
        <f t="array" ref="G328">if(or(xlookup(E328,C315:C320,D315:D320)=F328,xlookup(E328,C315:C320,E315:E320)=F328,xlookup(E328,C315:C320,F315:F320)=F328),1,0)</f>
        <v>0</v>
      </c>
      <c r="H328" s="37"/>
      <c r="I328" s="270">
        <v>2.0</v>
      </c>
      <c r="J328" s="270">
        <v>3.0</v>
      </c>
      <c r="K328" s="270">
        <f t="array" ref="K328">if(or(xlookup(I328,C315:C320,D315:D320)=J328,xlookup(I328,C315:C320,E315:E320)=J328,xlookup(I328,C315:C320,F315:F320)=J328),1,0)</f>
        <v>0</v>
      </c>
      <c r="L328" s="37"/>
      <c r="M328" s="270">
        <f t="shared" si="91"/>
        <v>6</v>
      </c>
      <c r="N328" s="270">
        <f>C346</f>
        <v>0</v>
      </c>
      <c r="O328" s="270">
        <f t="array" ref="O328:Q328">TRANSPOSE(B343:B345)</f>
        <v>4</v>
      </c>
      <c r="P328" s="270">
        <v>5.0</v>
      </c>
      <c r="Q328" s="270">
        <v>6.0</v>
      </c>
      <c r="AC328" s="261"/>
      <c r="AD328" s="261"/>
    </row>
    <row r="329">
      <c r="A329" s="270">
        <v>3.0</v>
      </c>
      <c r="B329" s="270">
        <v>5.0</v>
      </c>
      <c r="C329" s="270">
        <f t="array" ref="C329">if(or(xlookup(A329,C315:C320,D315:D320)=B329,xlookup(A329,C315:C320,E315:E320)=B329,xlookup(A329,C315:C320,F315:F320)=B329),1,0)</f>
        <v>0</v>
      </c>
      <c r="D329" s="37"/>
      <c r="E329" s="270">
        <v>4.0</v>
      </c>
      <c r="F329" s="270">
        <v>5.0</v>
      </c>
      <c r="G329" s="270">
        <f t="array" ref="G329">if(or(xlookup(E329,C315:C320,D315:D320)=F329,xlookup(E329,C315:C320,E315:E320)=F329,xlookup(E329,C315:C320,F315:F320)=F329),1,0)</f>
        <v>0</v>
      </c>
      <c r="H329" s="37"/>
      <c r="I329" s="270">
        <v>5.0</v>
      </c>
      <c r="J329" s="270">
        <v>4.0</v>
      </c>
      <c r="K329" s="270">
        <f t="array" ref="K329">if(or(xlookup(I329,C315:C320,D315:D320)=J329,xlookup(I329,C315:C320,E315:E320)=J329,xlookup(I329,C315:C320,F315:F320)=J329),1,0)</f>
        <v>0</v>
      </c>
      <c r="L329" s="37"/>
      <c r="M329" s="270">
        <f t="shared" si="91"/>
        <v>7</v>
      </c>
      <c r="N329" s="270">
        <f>G326</f>
        <v>0</v>
      </c>
      <c r="O329" s="270">
        <f t="array" ref="O329:Q329">TRANSPOSE(F323:F325)</f>
        <v>6</v>
      </c>
      <c r="P329" s="270">
        <v>5.0</v>
      </c>
      <c r="Q329" s="270">
        <v>3.0</v>
      </c>
      <c r="AC329" s="261"/>
      <c r="AD329" s="261"/>
    </row>
    <row r="330">
      <c r="A330" s="37"/>
      <c r="B330" s="37"/>
      <c r="C330" s="272">
        <f>SUM(C327:C329)</f>
        <v>0</v>
      </c>
      <c r="D330" s="37"/>
      <c r="E330" s="37"/>
      <c r="F330" s="37"/>
      <c r="G330" s="272">
        <f>SUM(G327:G329)</f>
        <v>0</v>
      </c>
      <c r="H330" s="37"/>
      <c r="I330" s="37"/>
      <c r="J330" s="37"/>
      <c r="K330" s="272">
        <f>SUM(K327:K329)</f>
        <v>0</v>
      </c>
      <c r="L330" s="37"/>
      <c r="M330" s="270">
        <f t="shared" si="91"/>
        <v>8</v>
      </c>
      <c r="N330" s="270">
        <f>G330</f>
        <v>0</v>
      </c>
      <c r="O330" s="270">
        <f t="array" ref="O330:Q330">TRANSPOSE(F327:F329)</f>
        <v>6</v>
      </c>
      <c r="P330" s="270">
        <v>3.0</v>
      </c>
      <c r="Q330" s="270">
        <v>5.0</v>
      </c>
      <c r="AC330" s="261"/>
      <c r="AD330" s="261"/>
    </row>
    <row r="331">
      <c r="A331" s="270">
        <v>1.0</v>
      </c>
      <c r="B331" s="270">
        <v>5.0</v>
      </c>
      <c r="C331" s="270">
        <f t="array" ref="C331">if(or(xlookup(A331,C315:C320,D315:D320)=B331,xlookup(A331,C315:C320,E315:E320)=B331,xlookup(A331,C315:C320,F315:F320)=B331),1,0)</f>
        <v>0</v>
      </c>
      <c r="D331" s="37"/>
      <c r="E331" s="270">
        <v>1.0</v>
      </c>
      <c r="F331" s="270">
        <v>5.0</v>
      </c>
      <c r="G331" s="270">
        <f t="array" ref="G331">if(or(xlookup(E331,C315:C320,D315:D320)=F331,xlookup(E331,C315:C320,E315:E320)=F331,xlookup(E331,C315:C320,F315:F320)=F331),1,0)</f>
        <v>0</v>
      </c>
      <c r="H331" s="37"/>
      <c r="I331" s="270">
        <v>1.0</v>
      </c>
      <c r="J331" s="270">
        <v>4.0</v>
      </c>
      <c r="K331" s="270">
        <f t="array" ref="K331">if(or(xlookup(I331,C315:C320,D315:D320)=J331,xlookup(I331,C315:C320,E315:E320)=J331,xlookup(I331,C315:C320,F315:F320)=J331),1,0)</f>
        <v>0</v>
      </c>
      <c r="L331" s="37"/>
      <c r="M331" s="270">
        <f t="shared" si="91"/>
        <v>9</v>
      </c>
      <c r="N331" s="270">
        <f>G334</f>
        <v>0</v>
      </c>
      <c r="O331" s="270">
        <f t="array" ref="O331:Q331">TRANSPOSE(F331:F333)</f>
        <v>5</v>
      </c>
      <c r="P331" s="270">
        <v>6.0</v>
      </c>
      <c r="Q331" s="270">
        <v>3.0</v>
      </c>
      <c r="AC331" s="261"/>
      <c r="AD331" s="261"/>
    </row>
    <row r="332">
      <c r="A332" s="270">
        <v>2.0</v>
      </c>
      <c r="B332" s="270">
        <v>6.0</v>
      </c>
      <c r="C332" s="270">
        <f t="array" ref="C332">if(or(xlookup(A332,C315:C320,D315:D320)=B332,xlookup(A332,C315:C320,E315:E320)=B332,xlookup(A332,C315:C320,F315:F320)=B332),1,0)</f>
        <v>0</v>
      </c>
      <c r="D332" s="37"/>
      <c r="E332" s="270">
        <v>2.0</v>
      </c>
      <c r="F332" s="270">
        <v>6.0</v>
      </c>
      <c r="G332" s="270">
        <f t="array" ref="G332">if(or(xlookup(E332,C315:C320,D315:D320)=F332,xlookup(E332,C315:C320,E315:E320)=F332,xlookup(E332,C315:C320,F315:F320)=F332),1,0)</f>
        <v>0</v>
      </c>
      <c r="H332" s="37"/>
      <c r="I332" s="270">
        <v>2.0</v>
      </c>
      <c r="J332" s="270">
        <v>6.0</v>
      </c>
      <c r="K332" s="270">
        <f t="array" ref="K332">if(or(xlookup(I332,C315:C320,D315:D320)=J332,xlookup(I332,C315:C320,E315:E320)=J332,xlookup(I332,C315:C320,F315:F320)=J332),1,0)</f>
        <v>0</v>
      </c>
      <c r="L332" s="37"/>
      <c r="M332" s="270">
        <f t="shared" si="91"/>
        <v>10</v>
      </c>
      <c r="N332" s="270">
        <f>G338</f>
        <v>0</v>
      </c>
      <c r="O332" s="270">
        <f t="array" ref="O332:Q332">TRANSPOSE(F335:F337)</f>
        <v>5</v>
      </c>
      <c r="P332" s="270">
        <v>3.0</v>
      </c>
      <c r="Q332" s="270">
        <v>6.0</v>
      </c>
      <c r="AC332" s="261"/>
      <c r="AD332" s="261"/>
    </row>
    <row r="333">
      <c r="A333" s="270">
        <v>3.0</v>
      </c>
      <c r="B333" s="270">
        <v>4.0</v>
      </c>
      <c r="C333" s="270">
        <f t="array" ref="C333">if(or(xlookup(A333,C315:C320,D315:D320)=B333,xlookup(A333,C315:C320,E315:E320)=B333,xlookup(A333,C315:C320,F315:F320)=B333),1,0)</f>
        <v>0</v>
      </c>
      <c r="D333" s="37"/>
      <c r="E333" s="270">
        <v>4.0</v>
      </c>
      <c r="F333" s="270">
        <v>3.0</v>
      </c>
      <c r="G333" s="270">
        <f t="array" ref="G333">if(or(xlookup(E333,C315:C320,D315:D320)=F333,xlookup(E333,C315:C320,E315:E320)=F333,xlookup(E333,C315:C320,F315:F320)=F333),1,0)</f>
        <v>0</v>
      </c>
      <c r="H333" s="37"/>
      <c r="I333" s="270">
        <v>5.0</v>
      </c>
      <c r="J333" s="270">
        <v>3.0</v>
      </c>
      <c r="K333" s="270">
        <f t="array" ref="K333">if(or(xlookup(I333,C315:C320,D315:D320)=J333,xlookup(I333,C315:C320,E315:E320)=J333,xlookup(I333,C315:C320,F315:F320)=J333),1,0)</f>
        <v>0</v>
      </c>
      <c r="L333" s="37"/>
      <c r="M333" s="270">
        <f t="shared" si="91"/>
        <v>11</v>
      </c>
      <c r="N333" s="270">
        <f>G342</f>
        <v>0</v>
      </c>
      <c r="O333" s="270">
        <f t="array" ref="O333:Q333">TRANSPOSE(F339:F341)</f>
        <v>3</v>
      </c>
      <c r="P333" s="270">
        <v>6.0</v>
      </c>
      <c r="Q333" s="270">
        <v>5.0</v>
      </c>
      <c r="AC333" s="261"/>
      <c r="AD333" s="261"/>
    </row>
    <row r="334">
      <c r="A334" s="37"/>
      <c r="B334" s="37"/>
      <c r="C334" s="272">
        <f>SUM(C331:C333)</f>
        <v>0</v>
      </c>
      <c r="D334" s="37"/>
      <c r="E334" s="37"/>
      <c r="F334" s="37"/>
      <c r="G334" s="272">
        <f>SUM(G331:G333)</f>
        <v>0</v>
      </c>
      <c r="H334" s="37"/>
      <c r="I334" s="37"/>
      <c r="J334" s="37"/>
      <c r="K334" s="272">
        <f>SUM(K331:K333)</f>
        <v>0</v>
      </c>
      <c r="L334" s="37"/>
      <c r="M334" s="270">
        <f t="shared" si="91"/>
        <v>12</v>
      </c>
      <c r="N334" s="270">
        <f>G346</f>
        <v>0</v>
      </c>
      <c r="O334" s="270">
        <f t="array" ref="O334:Q334">TRANSPOSE(F343:F345)</f>
        <v>3</v>
      </c>
      <c r="P334" s="270">
        <v>5.0</v>
      </c>
      <c r="Q334" s="270">
        <v>6.0</v>
      </c>
      <c r="AC334" s="261"/>
      <c r="AD334" s="261"/>
    </row>
    <row r="335">
      <c r="A335" s="270">
        <v>1.0</v>
      </c>
      <c r="B335" s="270">
        <v>5.0</v>
      </c>
      <c r="C335" s="270">
        <f t="array" ref="C335">if(or(xlookup(A335,C315:C320,D315:D320)=B335,xlookup(A335,C315:C320,E315:E320)=B335,xlookup(A335,C315:C320,F315:F320)=B335),1,0)</f>
        <v>0</v>
      </c>
      <c r="D335" s="37"/>
      <c r="E335" s="270">
        <v>1.0</v>
      </c>
      <c r="F335" s="270">
        <v>5.0</v>
      </c>
      <c r="G335" s="270">
        <f t="array" ref="G335">if(or(xlookup(E335,C315:C320,D315:D320)=F335,xlookup(E335,C315:C320,E315:E320)=F335,xlookup(E335,C315:C320,F315:F320)=F335),1,0)</f>
        <v>0</v>
      </c>
      <c r="H335" s="37"/>
      <c r="I335" s="270">
        <v>1.0</v>
      </c>
      <c r="J335" s="270">
        <v>4.0</v>
      </c>
      <c r="K335" s="270">
        <f t="array" ref="K335">if(or(xlookup(I335,C315:C320,D315:D320)=J335,xlookup(I335,C315:C320,E315:E320)=J335,xlookup(I335,C315:C320,F315:F320)=J335),1,0)</f>
        <v>0</v>
      </c>
      <c r="L335" s="37"/>
      <c r="M335" s="270">
        <f t="shared" si="91"/>
        <v>13</v>
      </c>
      <c r="N335" s="270">
        <f>K326</f>
        <v>0</v>
      </c>
      <c r="O335" s="270">
        <f t="array" ref="O335:Q335">TRANSPOSE(J323:J325)</f>
        <v>6</v>
      </c>
      <c r="P335" s="270">
        <v>4.0</v>
      </c>
      <c r="Q335" s="270">
        <v>3.0</v>
      </c>
      <c r="AC335" s="261"/>
      <c r="AD335" s="261"/>
    </row>
    <row r="336">
      <c r="A336" s="270">
        <v>2.0</v>
      </c>
      <c r="B336" s="270">
        <v>4.0</v>
      </c>
      <c r="C336" s="270">
        <f t="array" ref="C336">if(or(xlookup(A336,C315:C320,D315:D320)=B336,xlookup(A336,C315:C320,E315:E320)=B336,xlookup(A336,C315:C320,F315:F320)=B336),1,0)</f>
        <v>0</v>
      </c>
      <c r="D336" s="37"/>
      <c r="E336" s="270">
        <v>2.0</v>
      </c>
      <c r="F336" s="270">
        <v>3.0</v>
      </c>
      <c r="G336" s="270">
        <f t="array" ref="G336">if(or(xlookup(E336,C315:C320,D315:D320)=F336,xlookup(E336,C315:C320,E315:E320)=F336,xlookup(E336,C315:C320,F315:F320)=F336),1,0)</f>
        <v>0</v>
      </c>
      <c r="H336" s="37"/>
      <c r="I336" s="270">
        <v>2.0</v>
      </c>
      <c r="J336" s="270">
        <v>3.0</v>
      </c>
      <c r="K336" s="270">
        <f t="array" ref="K336">if(or(xlookup(I336,C315:C320,D315:D320)=J336,xlookup(I336,C315:C320,E315:E320)=J336,xlookup(I336,C315:C320,F315:F320)=J336),1,0)</f>
        <v>0</v>
      </c>
      <c r="L336" s="37"/>
      <c r="M336" s="270">
        <f t="shared" si="91"/>
        <v>14</v>
      </c>
      <c r="N336" s="270">
        <f>K330</f>
        <v>0</v>
      </c>
      <c r="O336" s="270">
        <f t="array" ref="O336:Q336">TRANSPOSE(J327:J329)</f>
        <v>6</v>
      </c>
      <c r="P336" s="270">
        <v>3.0</v>
      </c>
      <c r="Q336" s="270">
        <v>4.0</v>
      </c>
      <c r="AC336" s="261"/>
      <c r="AD336" s="261"/>
    </row>
    <row r="337">
      <c r="A337" s="270">
        <v>3.0</v>
      </c>
      <c r="B337" s="270">
        <v>6.0</v>
      </c>
      <c r="C337" s="270">
        <f t="array" ref="C337">if(or(xlookup(A337,C315:C320,D315:D320)=B337,xlookup(A337,C315:C320,E315:E320)=B337,xlookup(A337,C315:C320,F315:F320)=B337),1,0)</f>
        <v>0</v>
      </c>
      <c r="D337" s="37"/>
      <c r="E337" s="270">
        <v>4.0</v>
      </c>
      <c r="F337" s="270">
        <v>6.0</v>
      </c>
      <c r="G337" s="270">
        <f t="array" ref="G337">if(or(xlookup(E337,C315:C320,D315:D320)=F337,xlookup(E337,C315:C320,E315:E320)=F337,xlookup(E337,C315:C320,F315:F320)=F337),1,0)</f>
        <v>0</v>
      </c>
      <c r="H337" s="37"/>
      <c r="I337" s="270">
        <v>5.0</v>
      </c>
      <c r="J337" s="270">
        <v>6.0</v>
      </c>
      <c r="K337" s="270">
        <f t="array" ref="K337">if(or(xlookup(I337,C315:C320,D315:D320)=J337,xlookup(I337,C315:C320,E315:E320)=J337,xlookup(I337,C315:C320,F315:F320)=J337),1,0)</f>
        <v>0</v>
      </c>
      <c r="L337" s="37"/>
      <c r="M337" s="270">
        <f t="shared" si="91"/>
        <v>15</v>
      </c>
      <c r="N337" s="270">
        <f>K334</f>
        <v>0</v>
      </c>
      <c r="O337" s="270">
        <f t="array" ref="O337:Q337">TRANSPOSE(J331:J333)</f>
        <v>4</v>
      </c>
      <c r="P337" s="270">
        <v>6.0</v>
      </c>
      <c r="Q337" s="270">
        <v>3.0</v>
      </c>
      <c r="AC337" s="261"/>
      <c r="AD337" s="261"/>
    </row>
    <row r="338">
      <c r="A338" s="37"/>
      <c r="B338" s="37"/>
      <c r="C338" s="272">
        <f>SUM(C335:C337)</f>
        <v>0</v>
      </c>
      <c r="D338" s="37"/>
      <c r="E338" s="37"/>
      <c r="F338" s="37"/>
      <c r="G338" s="272">
        <f>SUM(G335:G337)</f>
        <v>0</v>
      </c>
      <c r="H338" s="37"/>
      <c r="I338" s="37"/>
      <c r="J338" s="37"/>
      <c r="K338" s="272">
        <f>SUM(K335:K337)</f>
        <v>0</v>
      </c>
      <c r="L338" s="37"/>
      <c r="M338" s="270">
        <f t="shared" si="91"/>
        <v>16</v>
      </c>
      <c r="N338" s="270">
        <f>K338</f>
        <v>0</v>
      </c>
      <c r="O338" s="270">
        <f t="array" ref="O338:Q338">TRANSPOSE(J335:J337)</f>
        <v>4</v>
      </c>
      <c r="P338" s="270">
        <v>3.0</v>
      </c>
      <c r="Q338" s="270">
        <v>6.0</v>
      </c>
      <c r="AC338" s="261"/>
      <c r="AD338" s="261"/>
    </row>
    <row r="339">
      <c r="A339" s="270">
        <v>1.0</v>
      </c>
      <c r="B339" s="270">
        <v>4.0</v>
      </c>
      <c r="C339" s="270">
        <f t="array" ref="C339">if(or(xlookup(A339,C315:C320,D315:D320)=B339,xlookup(A339,C315:C320,E315:E320)=B339,xlookup(A339,C315:C320,F315:F320)=B339),1,0)</f>
        <v>0</v>
      </c>
      <c r="D339" s="37"/>
      <c r="E339" s="270">
        <v>1.0</v>
      </c>
      <c r="F339" s="270">
        <v>3.0</v>
      </c>
      <c r="G339" s="270">
        <f t="array" ref="G339">if(or(xlookup(E339,C315:C320,D315:D320)=F339,xlookup(E339,C315:C320,E315:E320)=F339,xlookup(E339,C315:C320,F315:F320)=F339),1,0)</f>
        <v>0</v>
      </c>
      <c r="H339" s="37"/>
      <c r="I339" s="270">
        <v>1.0</v>
      </c>
      <c r="J339" s="270">
        <v>3.0</v>
      </c>
      <c r="K339" s="270">
        <f t="array" ref="K339">if(or(xlookup(I339,C315:C320,D315:D320)=J339,xlookup(I339,C315:C320,E315:E320)=J339,xlookup(I339,C315:C320,F315:F320)=J339),1,0)</f>
        <v>0</v>
      </c>
      <c r="L339" s="37"/>
      <c r="M339" s="270">
        <f t="shared" si="91"/>
        <v>17</v>
      </c>
      <c r="N339" s="270">
        <f>K342</f>
        <v>0</v>
      </c>
      <c r="O339" s="270">
        <f t="array" ref="O339:Q339">TRANSPOSE(J339:J341)</f>
        <v>3</v>
      </c>
      <c r="P339" s="270">
        <v>6.0</v>
      </c>
      <c r="Q339" s="270">
        <v>4.0</v>
      </c>
      <c r="AC339" s="261"/>
      <c r="AD339" s="261"/>
    </row>
    <row r="340">
      <c r="A340" s="270">
        <v>2.0</v>
      </c>
      <c r="B340" s="270">
        <v>6.0</v>
      </c>
      <c r="C340" s="270">
        <f t="array" ref="C340">if(or(xlookup(A340,C315:C320,D315:D320)=B340,xlookup(A340,C315:C320,E315:E320)=B340,xlookup(A340,C315:C320,F315:F320)=B340),1,0)</f>
        <v>0</v>
      </c>
      <c r="D340" s="37"/>
      <c r="E340" s="270">
        <v>2.0</v>
      </c>
      <c r="F340" s="270">
        <v>6.0</v>
      </c>
      <c r="G340" s="270">
        <f t="array" ref="G340">if(or(xlookup(E340,C315:C320,D315:D320)=F340,xlookup(E340,C315:C320,E315:E320)=F340,xlookup(E340,C315:C320,F315:F320)=F340),1,0)</f>
        <v>0</v>
      </c>
      <c r="H340" s="37"/>
      <c r="I340" s="270">
        <v>2.0</v>
      </c>
      <c r="J340" s="270">
        <v>6.0</v>
      </c>
      <c r="K340" s="270">
        <f t="array" ref="K340">if(or(xlookup(I340,C315:C320,D315:D320)=J340,xlookup(I340,C315:C320,E315:E320)=J340,xlookup(I340,C315:C320,F315:F320)=J340),1,0)</f>
        <v>0</v>
      </c>
      <c r="L340" s="37"/>
      <c r="M340" s="270">
        <f t="shared" si="91"/>
        <v>18</v>
      </c>
      <c r="N340" s="270">
        <f>K346</f>
        <v>0</v>
      </c>
      <c r="O340" s="270">
        <f t="array" ref="O340:Q340">TRANSPOSE(J343:J345)</f>
        <v>3</v>
      </c>
      <c r="P340" s="270">
        <v>4.0</v>
      </c>
      <c r="Q340" s="270">
        <v>6.0</v>
      </c>
      <c r="AC340" s="261"/>
      <c r="AD340" s="261"/>
    </row>
    <row r="341">
      <c r="A341" s="270">
        <v>3.0</v>
      </c>
      <c r="B341" s="270">
        <v>5.0</v>
      </c>
      <c r="C341" s="270">
        <f t="array" ref="C341">if(or(xlookup(A341,C315:C320,D315:D320)=B341,xlookup(A341,C315:C320,E315:E320)=B341,xlookup(A341,C315:C320,F315:F320)=B341),1,0)</f>
        <v>0</v>
      </c>
      <c r="D341" s="37"/>
      <c r="E341" s="270">
        <v>4.0</v>
      </c>
      <c r="F341" s="270">
        <v>5.0</v>
      </c>
      <c r="G341" s="270">
        <f t="array" ref="G341">if(or(xlookup(E341,C315:C320,D315:D320)=F341,xlookup(E341,C315:C320,E315:E320)=F341,xlookup(E341,C315:C320,F315:F320)=F341),1,0)</f>
        <v>0</v>
      </c>
      <c r="H341" s="37"/>
      <c r="I341" s="270">
        <v>5.0</v>
      </c>
      <c r="J341" s="270">
        <v>4.0</v>
      </c>
      <c r="K341" s="270">
        <f t="array" ref="K341">if(or(xlookup(I341,C315:C320,D315:D320)=J341,xlookup(I341,C315:C320,E315:E320)=J341,xlookup(I341,C315:C320,F315:F320)=J341),1,0)</f>
        <v>0</v>
      </c>
      <c r="L341" s="37"/>
      <c r="M341" s="37"/>
      <c r="N341" s="37"/>
      <c r="O341" s="37"/>
      <c r="P341" s="37"/>
      <c r="Q341" s="37"/>
      <c r="AC341" s="261"/>
      <c r="AD341" s="261"/>
    </row>
    <row r="342">
      <c r="A342" s="37"/>
      <c r="B342" s="37"/>
      <c r="C342" s="272">
        <f>SUM(C339:C341)</f>
        <v>0</v>
      </c>
      <c r="D342" s="37"/>
      <c r="E342" s="37"/>
      <c r="F342" s="37"/>
      <c r="G342" s="272">
        <f>SUM(G339:G341)</f>
        <v>0</v>
      </c>
      <c r="H342" s="37"/>
      <c r="I342" s="37"/>
      <c r="J342" s="37"/>
      <c r="K342" s="272">
        <f>SUM(K339:K341)</f>
        <v>0</v>
      </c>
      <c r="L342" s="37"/>
      <c r="M342" s="37"/>
      <c r="N342" s="37"/>
      <c r="O342" s="37"/>
      <c r="P342" s="37"/>
      <c r="Q342" s="37"/>
      <c r="AC342" s="261"/>
      <c r="AD342" s="261"/>
    </row>
    <row r="343">
      <c r="A343" s="270">
        <v>1.0</v>
      </c>
      <c r="B343" s="270">
        <v>4.0</v>
      </c>
      <c r="C343" s="270">
        <f t="array" ref="C343">if(or(xlookup(A343,C315:C320,D315:D320)=B343,xlookup(A343,C315:C320,E315:E320)=B343,xlookup(A343,C315:C320,F315:F320)=B343),1,0)</f>
        <v>0</v>
      </c>
      <c r="D343" s="37"/>
      <c r="E343" s="270">
        <v>1.0</v>
      </c>
      <c r="F343" s="270">
        <v>3.0</v>
      </c>
      <c r="G343" s="270">
        <f t="array" ref="G343">if(or(xlookup(E343,C315:C320,D315:D320)=F343,xlookup(E343,C315:C320,E315:E320)=F343,xlookup(E343,C315:C320,F315:F320)=F343),1,0)</f>
        <v>0</v>
      </c>
      <c r="H343" s="37"/>
      <c r="I343" s="270">
        <v>1.0</v>
      </c>
      <c r="J343" s="270">
        <v>3.0</v>
      </c>
      <c r="K343" s="270">
        <f t="array" ref="K343">if(or(xlookup(I343,C315:C320,D315:D320)=J343,xlookup(I343,C315:C320,E315:E320)=J343,xlookup(I343,C315:C320,F315:F320)=J343),1,0)</f>
        <v>0</v>
      </c>
      <c r="L343" s="37"/>
      <c r="M343" s="37"/>
      <c r="N343" s="37"/>
      <c r="O343" s="37"/>
      <c r="P343" s="37"/>
      <c r="Q343" s="37"/>
      <c r="AC343" s="261"/>
      <c r="AD343" s="261"/>
    </row>
    <row r="344">
      <c r="A344" s="270">
        <v>2.0</v>
      </c>
      <c r="B344" s="270">
        <v>5.0</v>
      </c>
      <c r="C344" s="270">
        <f t="array" ref="C344">if(or(xlookup(A344,C315:C320,D315:D320)=B344,xlookup(A344,C315:C320,E315:E320)=B344,xlookup(A344,C315:C320,F315:F320)=B344),1,0)</f>
        <v>0</v>
      </c>
      <c r="D344" s="37"/>
      <c r="E344" s="270">
        <v>2.0</v>
      </c>
      <c r="F344" s="270">
        <v>5.0</v>
      </c>
      <c r="G344" s="270">
        <f t="array" ref="G344">if(or(xlookup(E344,C315:C320,D315:D320)=F344,xlookup(E344,C315:C320,E315:E320)=F344,xlookup(E344,C315:C320,F315:F320)=F344),1,0)</f>
        <v>0</v>
      </c>
      <c r="H344" s="37"/>
      <c r="I344" s="270">
        <v>2.0</v>
      </c>
      <c r="J344" s="270">
        <v>4.0</v>
      </c>
      <c r="K344" s="270">
        <f t="array" ref="K344">if(or(xlookup(I344,C315:C320,D315:D320)=J344,xlookup(I344,C315:C320,E315:E320)=J344,xlookup(I344,C315:C320,F315:F320)=J344),1,0)</f>
        <v>0</v>
      </c>
      <c r="L344" s="37"/>
      <c r="M344" s="37"/>
      <c r="N344" s="37"/>
      <c r="O344" s="37"/>
      <c r="P344" s="37"/>
      <c r="Q344" s="37"/>
      <c r="AC344" s="261"/>
      <c r="AD344" s="261"/>
    </row>
    <row r="345">
      <c r="A345" s="270">
        <v>3.0</v>
      </c>
      <c r="B345" s="270">
        <v>6.0</v>
      </c>
      <c r="C345" s="270">
        <f t="array" ref="C345">if(or(xlookup(A345,C315:C320,D315:D320)=B345,xlookup(A345,C315:C320,E315:E320)=B345,xlookup(A345,C315:C320,F315:F320)=B345),1,0)</f>
        <v>0</v>
      </c>
      <c r="D345" s="37"/>
      <c r="E345" s="270">
        <v>4.0</v>
      </c>
      <c r="F345" s="270">
        <v>6.0</v>
      </c>
      <c r="G345" s="270">
        <f t="array" ref="G345">if(or(xlookup(E345,C315:C320,D315:D320)=F345,xlookup(E345,C315:C320,E315:E320)=F345,xlookup(E345,C315:C320,F315:F320)=F345),1,0)</f>
        <v>0</v>
      </c>
      <c r="H345" s="37"/>
      <c r="I345" s="270">
        <v>5.0</v>
      </c>
      <c r="J345" s="270">
        <v>6.0</v>
      </c>
      <c r="K345" s="270">
        <f t="array" ref="K345">if(or(xlookup(I345,C315:C320,D315:D320)=J345,xlookup(I345,C315:C320,E315:E320)=J345,xlookup(I345,C315:C320,F315:F320)=J345),1,0)</f>
        <v>0</v>
      </c>
      <c r="L345" s="37"/>
      <c r="M345" s="37"/>
      <c r="N345" s="37"/>
      <c r="O345" s="37"/>
      <c r="P345" s="37"/>
      <c r="Q345" s="37"/>
      <c r="AC345" s="261"/>
      <c r="AD345" s="261"/>
    </row>
    <row r="346">
      <c r="A346" s="37"/>
      <c r="B346" s="37"/>
      <c r="C346" s="272">
        <f>SUM(C343:C345)</f>
        <v>0</v>
      </c>
      <c r="D346" s="37"/>
      <c r="E346" s="37"/>
      <c r="F346" s="37"/>
      <c r="G346" s="272">
        <f>SUM(G343:G345)</f>
        <v>0</v>
      </c>
      <c r="H346" s="37"/>
      <c r="I346" s="37"/>
      <c r="J346" s="37"/>
      <c r="K346" s="272">
        <f>SUM(K343:K345)</f>
        <v>0</v>
      </c>
      <c r="L346" s="37"/>
      <c r="M346" s="37"/>
      <c r="N346" s="37"/>
      <c r="O346" s="37"/>
      <c r="P346" s="37"/>
      <c r="Q346" s="37"/>
      <c r="AC346" s="261"/>
      <c r="AD346" s="261"/>
    </row>
    <row r="347">
      <c r="A347" s="37"/>
      <c r="B347" s="37"/>
      <c r="C347" s="37"/>
      <c r="D347" s="37"/>
      <c r="E347" s="37"/>
      <c r="F347" s="37"/>
      <c r="G347" s="37"/>
      <c r="H347" s="37"/>
      <c r="I347" s="37"/>
      <c r="J347" s="37"/>
      <c r="K347" s="37"/>
      <c r="L347" s="37"/>
      <c r="M347" s="37"/>
      <c r="N347" s="37"/>
      <c r="O347" s="37"/>
      <c r="P347" s="37"/>
      <c r="Q347" s="37"/>
      <c r="AC347" s="261"/>
      <c r="AD347" s="261"/>
    </row>
    <row r="348">
      <c r="A348" s="37"/>
      <c r="B348" s="37"/>
      <c r="C348" s="37"/>
      <c r="D348" s="37"/>
      <c r="E348" s="37"/>
      <c r="F348" s="37"/>
      <c r="G348" s="37"/>
      <c r="H348" s="37"/>
      <c r="I348" s="37"/>
      <c r="J348" s="37"/>
      <c r="K348" s="37"/>
      <c r="L348" s="37"/>
      <c r="M348" s="37"/>
      <c r="N348" s="37"/>
      <c r="O348" s="37"/>
      <c r="P348" s="37"/>
      <c r="Q348" s="37"/>
      <c r="AC348" s="261"/>
      <c r="AD348" s="261"/>
    </row>
    <row r="349">
      <c r="A349" s="37"/>
      <c r="B349" s="37"/>
      <c r="C349" s="37"/>
      <c r="D349" s="37"/>
      <c r="E349" s="37"/>
      <c r="F349" s="37"/>
      <c r="G349" s="37"/>
      <c r="H349" s="37"/>
      <c r="I349" s="37"/>
      <c r="J349" s="37"/>
      <c r="K349" s="37"/>
      <c r="L349" s="37"/>
      <c r="M349" s="37"/>
      <c r="N349" s="37"/>
      <c r="O349" s="37"/>
      <c r="P349" s="37"/>
      <c r="Q349" s="37"/>
      <c r="AC349" s="261"/>
      <c r="AD349" s="261"/>
    </row>
    <row r="350">
      <c r="A350" s="270">
        <f t="array" ref="A350:E367">sort(M323:Q340,2,true)</f>
        <v>1</v>
      </c>
      <c r="B350" s="270">
        <v>0.0</v>
      </c>
      <c r="C350" s="270">
        <v>6.0</v>
      </c>
      <c r="D350" s="270">
        <v>5.0</v>
      </c>
      <c r="E350" s="270">
        <v>4.0</v>
      </c>
      <c r="F350" s="37"/>
      <c r="G350" s="270">
        <v>1.0</v>
      </c>
      <c r="H350" s="270">
        <f>C350</f>
        <v>6</v>
      </c>
      <c r="I350" s="37"/>
      <c r="J350" s="271" t="str">
        <f t="shared" ref="J350:K350" si="92">xlookup(G350,$L$308:$L$313,$A$308:$A$313,"")</f>
        <v>#N/A</v>
      </c>
      <c r="K350" s="271" t="str">
        <f t="shared" si="92"/>
        <v/>
      </c>
      <c r="L350" s="37"/>
      <c r="M350" s="37"/>
      <c r="N350" s="37"/>
      <c r="O350" s="37"/>
      <c r="P350" s="37"/>
      <c r="Q350" s="37"/>
      <c r="AC350" s="261"/>
      <c r="AD350" s="261"/>
    </row>
    <row r="351">
      <c r="A351" s="270">
        <v>2.0</v>
      </c>
      <c r="B351" s="270">
        <v>0.0</v>
      </c>
      <c r="C351" s="270">
        <v>6.0</v>
      </c>
      <c r="D351" s="270">
        <v>4.0</v>
      </c>
      <c r="E351" s="270">
        <v>5.0</v>
      </c>
      <c r="F351" s="37"/>
      <c r="G351" s="270">
        <v>2.0</v>
      </c>
      <c r="H351" s="270">
        <f>D350</f>
        <v>5</v>
      </c>
      <c r="I351" s="37"/>
      <c r="J351" s="271" t="str">
        <f t="shared" ref="J351:K351" si="93">xlookup(G351,$L$308:$L$313,$A$308:$A$313,"")</f>
        <v/>
      </c>
      <c r="K351" s="271" t="str">
        <f t="shared" si="93"/>
        <v/>
      </c>
      <c r="L351" s="37"/>
      <c r="M351" s="37"/>
      <c r="N351" s="37"/>
      <c r="O351" s="37"/>
      <c r="P351" s="37"/>
      <c r="Q351" s="37"/>
      <c r="AC351" s="261"/>
      <c r="AD351" s="261"/>
    </row>
    <row r="352">
      <c r="A352" s="270">
        <v>3.0</v>
      </c>
      <c r="B352" s="270">
        <v>0.0</v>
      </c>
      <c r="C352" s="270">
        <v>5.0</v>
      </c>
      <c r="D352" s="270">
        <v>6.0</v>
      </c>
      <c r="E352" s="270">
        <v>4.0</v>
      </c>
      <c r="F352" s="37"/>
      <c r="G352" s="270">
        <f>ifs(A350&lt;=6,3,and(A350&gt;6,A350&lt;13),4,A350&gt;12,5)</f>
        <v>3</v>
      </c>
      <c r="H352" s="270">
        <f>E350</f>
        <v>4</v>
      </c>
      <c r="I352" s="37"/>
      <c r="J352" s="271" t="str">
        <f t="shared" ref="J352:K352" si="94">xlookup(G352,$L$308:$L$313,$A$308:$A$313,"")</f>
        <v/>
      </c>
      <c r="K352" s="271" t="str">
        <f t="shared" si="94"/>
        <v/>
      </c>
      <c r="L352" s="37"/>
      <c r="M352" s="37"/>
      <c r="N352" s="37"/>
      <c r="O352" s="37"/>
      <c r="P352" s="37"/>
      <c r="Q352" s="37"/>
      <c r="AC352" s="261"/>
      <c r="AD352" s="261"/>
    </row>
    <row r="353">
      <c r="A353" s="270">
        <v>4.0</v>
      </c>
      <c r="B353" s="270">
        <v>0.0</v>
      </c>
      <c r="C353" s="270">
        <v>5.0</v>
      </c>
      <c r="D353" s="270">
        <v>4.0</v>
      </c>
      <c r="E353" s="270">
        <v>6.0</v>
      </c>
      <c r="F353" s="37"/>
      <c r="G353" s="37"/>
      <c r="H353" s="37"/>
      <c r="I353" s="37"/>
      <c r="J353" s="37"/>
      <c r="K353" s="37"/>
      <c r="L353" s="37"/>
      <c r="M353" s="37"/>
      <c r="N353" s="37"/>
      <c r="O353" s="37"/>
      <c r="P353" s="37"/>
      <c r="Q353" s="37"/>
      <c r="AC353" s="261"/>
      <c r="AD353" s="261"/>
    </row>
    <row r="354">
      <c r="A354" s="270">
        <v>5.0</v>
      </c>
      <c r="B354" s="270">
        <v>0.0</v>
      </c>
      <c r="C354" s="270">
        <v>4.0</v>
      </c>
      <c r="D354" s="270">
        <v>6.0</v>
      </c>
      <c r="E354" s="270">
        <v>5.0</v>
      </c>
      <c r="F354" s="37"/>
      <c r="G354" s="37"/>
      <c r="H354" s="37"/>
      <c r="I354" s="37"/>
      <c r="J354" s="37"/>
      <c r="K354" s="37"/>
      <c r="L354" s="37"/>
      <c r="M354" s="37"/>
      <c r="N354" s="37"/>
      <c r="O354" s="37"/>
      <c r="P354" s="37"/>
      <c r="Q354" s="37"/>
      <c r="AC354" s="261"/>
      <c r="AD354" s="261"/>
    </row>
    <row r="355">
      <c r="A355" s="270">
        <v>6.0</v>
      </c>
      <c r="B355" s="270">
        <v>0.0</v>
      </c>
      <c r="C355" s="270">
        <v>4.0</v>
      </c>
      <c r="D355" s="270">
        <v>5.0</v>
      </c>
      <c r="E355" s="270">
        <v>6.0</v>
      </c>
      <c r="F355" s="37"/>
      <c r="G355" s="37"/>
      <c r="H355" s="37"/>
      <c r="I355" s="37"/>
      <c r="J355" s="37"/>
      <c r="K355" s="37"/>
      <c r="L355" s="37"/>
      <c r="M355" s="37"/>
      <c r="N355" s="37"/>
      <c r="O355" s="37"/>
      <c r="P355" s="37"/>
      <c r="Q355" s="37"/>
      <c r="AC355" s="261"/>
      <c r="AD355" s="261"/>
    </row>
    <row r="356">
      <c r="A356" s="270">
        <v>7.0</v>
      </c>
      <c r="B356" s="270">
        <v>0.0</v>
      </c>
      <c r="C356" s="270">
        <v>6.0</v>
      </c>
      <c r="D356" s="270">
        <v>5.0</v>
      </c>
      <c r="E356" s="270">
        <v>3.0</v>
      </c>
      <c r="F356" s="37"/>
      <c r="G356" s="37"/>
      <c r="H356" s="37"/>
      <c r="I356" s="37"/>
      <c r="J356" s="37"/>
      <c r="K356" s="37"/>
      <c r="L356" s="37"/>
      <c r="M356" s="37"/>
      <c r="N356" s="37"/>
      <c r="O356" s="37"/>
      <c r="P356" s="37"/>
      <c r="Q356" s="37"/>
      <c r="AC356" s="261"/>
      <c r="AD356" s="261"/>
    </row>
    <row r="357">
      <c r="A357" s="270">
        <v>8.0</v>
      </c>
      <c r="B357" s="270">
        <v>0.0</v>
      </c>
      <c r="C357" s="270">
        <v>6.0</v>
      </c>
      <c r="D357" s="270">
        <v>3.0</v>
      </c>
      <c r="E357" s="270">
        <v>5.0</v>
      </c>
      <c r="F357" s="37"/>
      <c r="G357" s="37"/>
      <c r="H357" s="37"/>
      <c r="I357" s="37"/>
      <c r="J357" s="37"/>
      <c r="K357" s="37"/>
      <c r="L357" s="37"/>
      <c r="M357" s="37"/>
      <c r="N357" s="37"/>
      <c r="O357" s="37"/>
      <c r="P357" s="37"/>
      <c r="Q357" s="37"/>
      <c r="AC357" s="261"/>
      <c r="AD357" s="261"/>
    </row>
    <row r="358">
      <c r="A358" s="270">
        <v>9.0</v>
      </c>
      <c r="B358" s="270">
        <v>0.0</v>
      </c>
      <c r="C358" s="270">
        <v>5.0</v>
      </c>
      <c r="D358" s="270">
        <v>6.0</v>
      </c>
      <c r="E358" s="270">
        <v>3.0</v>
      </c>
      <c r="F358" s="37"/>
      <c r="G358" s="37"/>
      <c r="H358" s="37"/>
      <c r="I358" s="37"/>
      <c r="J358" s="37"/>
      <c r="K358" s="37"/>
      <c r="L358" s="37"/>
      <c r="M358" s="37"/>
      <c r="N358" s="37"/>
      <c r="O358" s="37"/>
      <c r="P358" s="37"/>
      <c r="Q358" s="37"/>
      <c r="AC358" s="261"/>
      <c r="AD358" s="261"/>
    </row>
    <row r="359">
      <c r="A359" s="270">
        <v>10.0</v>
      </c>
      <c r="B359" s="270">
        <v>0.0</v>
      </c>
      <c r="C359" s="270">
        <v>5.0</v>
      </c>
      <c r="D359" s="270">
        <v>3.0</v>
      </c>
      <c r="E359" s="270">
        <v>6.0</v>
      </c>
      <c r="F359" s="37"/>
      <c r="G359" s="37"/>
      <c r="H359" s="37"/>
      <c r="I359" s="37"/>
      <c r="J359" s="37"/>
      <c r="K359" s="37"/>
      <c r="L359" s="37"/>
      <c r="M359" s="37"/>
      <c r="N359" s="37"/>
      <c r="O359" s="37"/>
      <c r="P359" s="37"/>
      <c r="Q359" s="37"/>
      <c r="AC359" s="261"/>
      <c r="AD359" s="261"/>
    </row>
    <row r="360">
      <c r="A360" s="270">
        <v>11.0</v>
      </c>
      <c r="B360" s="270">
        <v>0.0</v>
      </c>
      <c r="C360" s="270">
        <v>3.0</v>
      </c>
      <c r="D360" s="270">
        <v>6.0</v>
      </c>
      <c r="E360" s="270">
        <v>5.0</v>
      </c>
      <c r="F360" s="37"/>
      <c r="G360" s="37"/>
      <c r="H360" s="37"/>
      <c r="I360" s="37"/>
      <c r="J360" s="37"/>
      <c r="K360" s="37"/>
      <c r="L360" s="37"/>
      <c r="M360" s="37"/>
      <c r="N360" s="37"/>
      <c r="O360" s="37"/>
      <c r="P360" s="37"/>
      <c r="Q360" s="37"/>
      <c r="AC360" s="261"/>
      <c r="AD360" s="261"/>
    </row>
    <row r="361">
      <c r="A361" s="270">
        <v>12.0</v>
      </c>
      <c r="B361" s="270">
        <v>0.0</v>
      </c>
      <c r="C361" s="270">
        <v>3.0</v>
      </c>
      <c r="D361" s="270">
        <v>5.0</v>
      </c>
      <c r="E361" s="270">
        <v>6.0</v>
      </c>
      <c r="F361" s="37"/>
      <c r="G361" s="37"/>
      <c r="H361" s="37"/>
      <c r="I361" s="37"/>
      <c r="J361" s="37"/>
      <c r="K361" s="37"/>
      <c r="L361" s="37"/>
      <c r="M361" s="37"/>
      <c r="N361" s="37"/>
      <c r="O361" s="37"/>
      <c r="P361" s="37"/>
      <c r="Q361" s="37"/>
      <c r="AC361" s="261"/>
      <c r="AD361" s="261"/>
    </row>
    <row r="362">
      <c r="A362" s="270">
        <v>13.0</v>
      </c>
      <c r="B362" s="270">
        <v>0.0</v>
      </c>
      <c r="C362" s="270">
        <v>6.0</v>
      </c>
      <c r="D362" s="270">
        <v>4.0</v>
      </c>
      <c r="E362" s="270">
        <v>3.0</v>
      </c>
      <c r="F362" s="37"/>
      <c r="G362" s="37"/>
      <c r="H362" s="37"/>
      <c r="I362" s="37"/>
      <c r="J362" s="37"/>
      <c r="K362" s="37"/>
      <c r="L362" s="37"/>
      <c r="M362" s="37"/>
      <c r="N362" s="37"/>
      <c r="O362" s="37"/>
      <c r="P362" s="37"/>
      <c r="Q362" s="37"/>
      <c r="AC362" s="261"/>
      <c r="AD362" s="261"/>
    </row>
    <row r="363">
      <c r="A363" s="270">
        <v>14.0</v>
      </c>
      <c r="B363" s="270">
        <v>0.0</v>
      </c>
      <c r="C363" s="270">
        <v>6.0</v>
      </c>
      <c r="D363" s="270">
        <v>3.0</v>
      </c>
      <c r="E363" s="270">
        <v>4.0</v>
      </c>
      <c r="F363" s="37"/>
      <c r="G363" s="37"/>
      <c r="H363" s="37"/>
      <c r="I363" s="37"/>
      <c r="J363" s="37"/>
      <c r="K363" s="37"/>
      <c r="L363" s="37"/>
      <c r="M363" s="37"/>
      <c r="N363" s="37"/>
      <c r="O363" s="37"/>
      <c r="P363" s="37"/>
      <c r="Q363" s="37"/>
      <c r="AC363" s="261"/>
      <c r="AD363" s="261"/>
    </row>
    <row r="364">
      <c r="A364" s="270">
        <v>15.0</v>
      </c>
      <c r="B364" s="270">
        <v>0.0</v>
      </c>
      <c r="C364" s="270">
        <v>4.0</v>
      </c>
      <c r="D364" s="270">
        <v>6.0</v>
      </c>
      <c r="E364" s="270">
        <v>3.0</v>
      </c>
      <c r="F364" s="37"/>
      <c r="G364" s="37"/>
      <c r="H364" s="37"/>
      <c r="I364" s="37"/>
      <c r="J364" s="37"/>
      <c r="K364" s="37"/>
      <c r="L364" s="37"/>
      <c r="M364" s="37"/>
      <c r="N364" s="37"/>
      <c r="O364" s="37"/>
      <c r="P364" s="37"/>
      <c r="Q364" s="37"/>
      <c r="AC364" s="261"/>
      <c r="AD364" s="261"/>
    </row>
    <row r="365">
      <c r="A365" s="270">
        <v>16.0</v>
      </c>
      <c r="B365" s="270">
        <v>0.0</v>
      </c>
      <c r="C365" s="270">
        <v>4.0</v>
      </c>
      <c r="D365" s="270">
        <v>3.0</v>
      </c>
      <c r="E365" s="270">
        <v>6.0</v>
      </c>
      <c r="F365" s="37"/>
      <c r="G365" s="37"/>
      <c r="H365" s="37"/>
      <c r="I365" s="37"/>
      <c r="J365" s="37"/>
      <c r="K365" s="37"/>
      <c r="L365" s="37"/>
      <c r="M365" s="37"/>
      <c r="N365" s="37"/>
      <c r="O365" s="37"/>
      <c r="P365" s="37"/>
      <c r="Q365" s="37"/>
      <c r="AC365" s="261"/>
      <c r="AD365" s="261"/>
    </row>
    <row r="366">
      <c r="A366" s="270">
        <v>17.0</v>
      </c>
      <c r="B366" s="270">
        <v>0.0</v>
      </c>
      <c r="C366" s="270">
        <v>3.0</v>
      </c>
      <c r="D366" s="270">
        <v>6.0</v>
      </c>
      <c r="E366" s="270">
        <v>4.0</v>
      </c>
      <c r="F366" s="37"/>
      <c r="G366" s="37"/>
      <c r="H366" s="37"/>
      <c r="I366" s="37"/>
      <c r="J366" s="37"/>
      <c r="K366" s="37"/>
      <c r="L366" s="37"/>
      <c r="M366" s="37"/>
      <c r="N366" s="37"/>
      <c r="O366" s="37"/>
      <c r="P366" s="37"/>
      <c r="Q366" s="37"/>
      <c r="AC366" s="261"/>
      <c r="AD366" s="261"/>
    </row>
    <row r="367">
      <c r="A367" s="270">
        <v>18.0</v>
      </c>
      <c r="B367" s="270">
        <v>0.0</v>
      </c>
      <c r="C367" s="270">
        <v>3.0</v>
      </c>
      <c r="D367" s="270">
        <v>4.0</v>
      </c>
      <c r="E367" s="270">
        <v>6.0</v>
      </c>
      <c r="F367" s="37"/>
      <c r="G367" s="37"/>
      <c r="H367" s="37"/>
      <c r="I367" s="37"/>
      <c r="J367" s="37"/>
      <c r="K367" s="37"/>
      <c r="L367" s="37"/>
      <c r="M367" s="37"/>
      <c r="N367" s="37"/>
      <c r="O367" s="37"/>
      <c r="P367" s="37"/>
      <c r="Q367" s="37"/>
      <c r="AC367" s="261"/>
      <c r="AD367" s="261"/>
    </row>
    <row r="368">
      <c r="AC368" s="261"/>
      <c r="AD368" s="261"/>
    </row>
    <row r="369">
      <c r="AC369" s="261"/>
      <c r="AD369" s="261"/>
    </row>
    <row r="370">
      <c r="AC370" s="261"/>
      <c r="AD370" s="261"/>
    </row>
    <row r="371">
      <c r="AC371" s="261"/>
      <c r="AD371" s="261"/>
    </row>
    <row r="372">
      <c r="AC372" s="261"/>
      <c r="AD372" s="261"/>
    </row>
    <row r="373">
      <c r="AC373" s="261"/>
      <c r="AD373" s="261"/>
    </row>
    <row r="374">
      <c r="AC374" s="261"/>
      <c r="AD374" s="261"/>
    </row>
    <row r="375">
      <c r="AC375" s="261"/>
      <c r="AD375" s="261"/>
    </row>
    <row r="376">
      <c r="AC376" s="261"/>
      <c r="AD376" s="261"/>
    </row>
    <row r="377">
      <c r="AC377" s="261"/>
      <c r="AD377" s="261"/>
    </row>
    <row r="378">
      <c r="AC378" s="261"/>
      <c r="AD378" s="261"/>
    </row>
    <row r="379">
      <c r="AC379" s="261"/>
      <c r="AD379" s="261"/>
    </row>
    <row r="380">
      <c r="AC380" s="261"/>
      <c r="AD380" s="261"/>
    </row>
    <row r="381">
      <c r="AC381" s="261"/>
      <c r="AD381" s="261"/>
    </row>
    <row r="382">
      <c r="AC382" s="261"/>
      <c r="AD382" s="261"/>
    </row>
    <row r="383">
      <c r="AC383" s="261"/>
      <c r="AD383" s="261"/>
    </row>
    <row r="384">
      <c r="AC384" s="261"/>
      <c r="AD384" s="261"/>
    </row>
    <row r="385">
      <c r="AC385" s="261"/>
      <c r="AD385" s="261"/>
    </row>
    <row r="386">
      <c r="AC386" s="261"/>
      <c r="AD386" s="261"/>
    </row>
    <row r="387">
      <c r="AC387" s="261"/>
      <c r="AD387" s="261"/>
    </row>
    <row r="388">
      <c r="AC388" s="261"/>
      <c r="AD388" s="261"/>
    </row>
    <row r="389">
      <c r="AC389" s="261"/>
      <c r="AD389" s="261"/>
    </row>
    <row r="390">
      <c r="AC390" s="261"/>
      <c r="AD390" s="261"/>
    </row>
    <row r="391">
      <c r="AC391" s="261"/>
      <c r="AD391" s="261"/>
    </row>
    <row r="392">
      <c r="AC392" s="261"/>
      <c r="AD392" s="261"/>
    </row>
    <row r="393">
      <c r="AC393" s="261"/>
      <c r="AD393" s="261"/>
    </row>
    <row r="394">
      <c r="AC394" s="261"/>
      <c r="AD394" s="261"/>
    </row>
    <row r="395">
      <c r="AC395" s="261"/>
      <c r="AD395" s="261"/>
    </row>
    <row r="396">
      <c r="AC396" s="261"/>
      <c r="AD396" s="261"/>
    </row>
    <row r="397">
      <c r="AC397" s="261"/>
      <c r="AD397" s="261"/>
    </row>
    <row r="398">
      <c r="AC398" s="261"/>
      <c r="AD398" s="261"/>
    </row>
    <row r="399">
      <c r="AC399" s="261"/>
      <c r="AD399" s="261"/>
    </row>
    <row r="400">
      <c r="AC400" s="261"/>
      <c r="AD400" s="261"/>
    </row>
    <row r="401">
      <c r="AC401" s="261"/>
      <c r="AD401" s="261"/>
    </row>
    <row r="402">
      <c r="AC402" s="261"/>
      <c r="AD402" s="261"/>
    </row>
    <row r="403">
      <c r="AC403" s="261"/>
      <c r="AD403" s="261"/>
    </row>
    <row r="404">
      <c r="AC404" s="261"/>
      <c r="AD404" s="261"/>
    </row>
    <row r="405">
      <c r="AC405" s="261"/>
      <c r="AD405" s="261"/>
    </row>
    <row r="406">
      <c r="AC406" s="261"/>
      <c r="AD406" s="261"/>
    </row>
    <row r="407">
      <c r="AC407" s="261"/>
      <c r="AD407" s="261"/>
    </row>
    <row r="408">
      <c r="AC408" s="261"/>
      <c r="AD408" s="261"/>
    </row>
    <row r="409">
      <c r="AC409" s="261"/>
      <c r="AD409" s="261"/>
    </row>
    <row r="410">
      <c r="AC410" s="261"/>
      <c r="AD410" s="261"/>
    </row>
    <row r="411">
      <c r="AC411" s="261"/>
      <c r="AD411" s="261"/>
    </row>
    <row r="412">
      <c r="AC412" s="261"/>
      <c r="AD412" s="261"/>
    </row>
    <row r="413">
      <c r="AC413" s="261"/>
      <c r="AD413" s="261"/>
    </row>
    <row r="414">
      <c r="AC414" s="261"/>
      <c r="AD414" s="261"/>
    </row>
    <row r="415">
      <c r="AC415" s="261"/>
      <c r="AD415" s="261"/>
    </row>
    <row r="416">
      <c r="AC416" s="261"/>
      <c r="AD416" s="261"/>
    </row>
    <row r="417">
      <c r="AC417" s="261"/>
      <c r="AD417" s="261"/>
    </row>
    <row r="418">
      <c r="AC418" s="261"/>
      <c r="AD418" s="261"/>
    </row>
    <row r="419">
      <c r="AC419" s="261"/>
      <c r="AD419" s="261"/>
    </row>
    <row r="420">
      <c r="AC420" s="261"/>
      <c r="AD420" s="261"/>
    </row>
    <row r="421">
      <c r="AC421" s="261"/>
      <c r="AD421" s="261"/>
    </row>
    <row r="422">
      <c r="AC422" s="261"/>
      <c r="AD422" s="261"/>
    </row>
    <row r="423">
      <c r="AC423" s="261"/>
      <c r="AD423" s="261"/>
    </row>
    <row r="424">
      <c r="AC424" s="261"/>
      <c r="AD424" s="261"/>
    </row>
    <row r="425">
      <c r="AC425" s="261"/>
      <c r="AD425" s="261"/>
    </row>
    <row r="426">
      <c r="AC426" s="261"/>
      <c r="AD426" s="261"/>
    </row>
    <row r="427">
      <c r="AC427" s="261"/>
      <c r="AD427" s="261"/>
    </row>
    <row r="428">
      <c r="AC428" s="261"/>
      <c r="AD428" s="261"/>
    </row>
    <row r="429">
      <c r="AC429" s="261"/>
      <c r="AD429" s="261"/>
    </row>
    <row r="430">
      <c r="AC430" s="261"/>
      <c r="AD430" s="261"/>
    </row>
    <row r="431">
      <c r="AC431" s="261"/>
      <c r="AD431" s="261"/>
    </row>
    <row r="432">
      <c r="AC432" s="261"/>
      <c r="AD432" s="261"/>
    </row>
    <row r="433">
      <c r="AC433" s="261"/>
      <c r="AD433" s="261"/>
    </row>
    <row r="434">
      <c r="AC434" s="261"/>
      <c r="AD434" s="261"/>
    </row>
    <row r="435">
      <c r="AC435" s="261"/>
      <c r="AD435" s="261"/>
    </row>
    <row r="436">
      <c r="AC436" s="261"/>
      <c r="AD436" s="261"/>
    </row>
    <row r="437">
      <c r="AC437" s="261"/>
      <c r="AD437" s="261"/>
    </row>
    <row r="438">
      <c r="AC438" s="261"/>
      <c r="AD438" s="261"/>
    </row>
    <row r="439">
      <c r="AC439" s="261"/>
      <c r="AD439" s="261"/>
    </row>
    <row r="440">
      <c r="AC440" s="261"/>
      <c r="AD440" s="261"/>
    </row>
    <row r="441">
      <c r="AC441" s="261"/>
      <c r="AD441" s="261"/>
    </row>
    <row r="442">
      <c r="AC442" s="261"/>
      <c r="AD442" s="261"/>
    </row>
    <row r="443">
      <c r="AC443" s="261"/>
      <c r="AD443" s="261"/>
    </row>
    <row r="444">
      <c r="AC444" s="261"/>
      <c r="AD444" s="261"/>
    </row>
    <row r="445">
      <c r="AC445" s="261"/>
      <c r="AD445" s="261"/>
    </row>
    <row r="446">
      <c r="AC446" s="261"/>
      <c r="AD446" s="261"/>
    </row>
    <row r="447">
      <c r="AC447" s="261"/>
      <c r="AD447" s="261"/>
    </row>
    <row r="448">
      <c r="AC448" s="261"/>
      <c r="AD448" s="261"/>
    </row>
    <row r="449">
      <c r="AC449" s="261"/>
      <c r="AD449" s="261"/>
    </row>
    <row r="450">
      <c r="AC450" s="261"/>
      <c r="AD450" s="261"/>
    </row>
    <row r="451">
      <c r="AC451" s="261"/>
      <c r="AD451" s="261"/>
    </row>
    <row r="452">
      <c r="AC452" s="261"/>
      <c r="AD452" s="261"/>
    </row>
    <row r="453">
      <c r="AC453" s="261"/>
      <c r="AD453" s="261"/>
    </row>
    <row r="454">
      <c r="AC454" s="261"/>
      <c r="AD454" s="261"/>
    </row>
    <row r="455">
      <c r="AC455" s="261"/>
      <c r="AD455" s="261"/>
    </row>
    <row r="456">
      <c r="AC456" s="261"/>
      <c r="AD456" s="261"/>
    </row>
    <row r="457">
      <c r="AC457" s="261"/>
      <c r="AD457" s="261"/>
    </row>
    <row r="458">
      <c r="AC458" s="261"/>
      <c r="AD458" s="261"/>
    </row>
    <row r="459">
      <c r="AC459" s="261"/>
      <c r="AD459" s="261"/>
    </row>
    <row r="460">
      <c r="AC460" s="261"/>
      <c r="AD460" s="261"/>
    </row>
    <row r="461">
      <c r="AC461" s="261"/>
      <c r="AD461" s="261"/>
    </row>
    <row r="462">
      <c r="AC462" s="261"/>
      <c r="AD462" s="261"/>
    </row>
    <row r="463">
      <c r="AC463" s="261"/>
      <c r="AD463" s="261"/>
    </row>
    <row r="464">
      <c r="AC464" s="261"/>
      <c r="AD464" s="261"/>
    </row>
    <row r="465">
      <c r="AC465" s="261"/>
      <c r="AD465" s="261"/>
    </row>
    <row r="466">
      <c r="AC466" s="261"/>
      <c r="AD466" s="261"/>
    </row>
    <row r="467">
      <c r="AC467" s="261"/>
      <c r="AD467" s="261"/>
    </row>
    <row r="468">
      <c r="AC468" s="261"/>
      <c r="AD468" s="261"/>
    </row>
    <row r="469">
      <c r="AC469" s="261"/>
      <c r="AD469" s="261"/>
    </row>
    <row r="470">
      <c r="AC470" s="261"/>
      <c r="AD470" s="261"/>
    </row>
    <row r="471">
      <c r="AC471" s="261"/>
      <c r="AD471" s="261"/>
    </row>
    <row r="472">
      <c r="AC472" s="261"/>
      <c r="AD472" s="261"/>
    </row>
    <row r="473">
      <c r="AC473" s="261"/>
      <c r="AD473" s="261"/>
    </row>
    <row r="474">
      <c r="AC474" s="261"/>
      <c r="AD474" s="261"/>
    </row>
    <row r="475">
      <c r="AC475" s="261"/>
      <c r="AD475" s="261"/>
    </row>
    <row r="476">
      <c r="AC476" s="261"/>
      <c r="AD476" s="261"/>
    </row>
    <row r="477">
      <c r="AC477" s="261"/>
      <c r="AD477" s="261"/>
    </row>
    <row r="478">
      <c r="AC478" s="261"/>
      <c r="AD478" s="261"/>
    </row>
    <row r="479">
      <c r="AC479" s="261"/>
      <c r="AD479" s="261"/>
    </row>
    <row r="480">
      <c r="AC480" s="261"/>
      <c r="AD480" s="261"/>
    </row>
    <row r="481">
      <c r="AC481" s="261"/>
      <c r="AD481" s="261"/>
    </row>
    <row r="482">
      <c r="AC482" s="261"/>
      <c r="AD482" s="261"/>
    </row>
    <row r="483">
      <c r="AC483" s="261"/>
      <c r="AD483" s="261"/>
    </row>
    <row r="484">
      <c r="AC484" s="261"/>
      <c r="AD484" s="261"/>
    </row>
    <row r="485">
      <c r="AC485" s="261"/>
      <c r="AD485" s="261"/>
    </row>
    <row r="486">
      <c r="AC486" s="261"/>
      <c r="AD486" s="261"/>
    </row>
    <row r="487">
      <c r="AC487" s="261"/>
      <c r="AD487" s="261"/>
    </row>
    <row r="488">
      <c r="AC488" s="261"/>
      <c r="AD488" s="261"/>
    </row>
    <row r="489">
      <c r="AC489" s="261"/>
      <c r="AD489" s="261"/>
    </row>
    <row r="490">
      <c r="AC490" s="261"/>
      <c r="AD490" s="261"/>
    </row>
    <row r="491">
      <c r="AC491" s="261"/>
      <c r="AD491" s="261"/>
    </row>
    <row r="492">
      <c r="AC492" s="261"/>
      <c r="AD492" s="261"/>
    </row>
    <row r="493">
      <c r="AC493" s="261"/>
      <c r="AD493" s="261"/>
    </row>
    <row r="494">
      <c r="AC494" s="261"/>
      <c r="AD494" s="261"/>
    </row>
    <row r="495">
      <c r="AC495" s="261"/>
      <c r="AD495" s="261"/>
    </row>
    <row r="496">
      <c r="AC496" s="261"/>
      <c r="AD496" s="261"/>
    </row>
    <row r="497">
      <c r="AC497" s="261"/>
      <c r="AD497" s="261"/>
    </row>
    <row r="498">
      <c r="AC498" s="261"/>
      <c r="AD498" s="261"/>
    </row>
    <row r="499">
      <c r="AC499" s="261"/>
      <c r="AD499" s="261"/>
    </row>
    <row r="500">
      <c r="AC500" s="261"/>
      <c r="AD500" s="261"/>
    </row>
    <row r="501">
      <c r="AC501" s="261"/>
      <c r="AD501" s="261"/>
    </row>
    <row r="502">
      <c r="AC502" s="261"/>
      <c r="AD502" s="261"/>
    </row>
    <row r="503">
      <c r="AC503" s="261"/>
      <c r="AD503" s="261"/>
    </row>
    <row r="504">
      <c r="AC504" s="261"/>
      <c r="AD504" s="261"/>
    </row>
    <row r="505">
      <c r="AC505" s="261"/>
      <c r="AD505" s="261"/>
    </row>
    <row r="506">
      <c r="AC506" s="261"/>
      <c r="AD506" s="261"/>
    </row>
    <row r="507">
      <c r="AC507" s="261"/>
      <c r="AD507" s="261"/>
    </row>
    <row r="508">
      <c r="AC508" s="261"/>
      <c r="AD508" s="261"/>
    </row>
    <row r="509">
      <c r="AC509" s="261"/>
      <c r="AD509" s="261"/>
    </row>
    <row r="510">
      <c r="AC510" s="261"/>
      <c r="AD510" s="261"/>
    </row>
    <row r="511">
      <c r="AC511" s="261"/>
      <c r="AD511" s="261"/>
    </row>
    <row r="512">
      <c r="AC512" s="261"/>
      <c r="AD512" s="261"/>
    </row>
    <row r="513">
      <c r="AC513" s="261"/>
      <c r="AD513" s="261"/>
    </row>
    <row r="514">
      <c r="AC514" s="261"/>
      <c r="AD514" s="261"/>
    </row>
    <row r="515">
      <c r="AC515" s="261"/>
      <c r="AD515" s="261"/>
    </row>
    <row r="516">
      <c r="AC516" s="261"/>
      <c r="AD516" s="261"/>
    </row>
    <row r="517">
      <c r="AC517" s="261"/>
      <c r="AD517" s="261"/>
    </row>
    <row r="518">
      <c r="AC518" s="261"/>
      <c r="AD518" s="261"/>
    </row>
    <row r="519">
      <c r="AC519" s="261"/>
      <c r="AD519" s="261"/>
    </row>
    <row r="520">
      <c r="AC520" s="261"/>
      <c r="AD520" s="261"/>
    </row>
    <row r="521">
      <c r="AC521" s="261"/>
      <c r="AD521" s="261"/>
    </row>
    <row r="522">
      <c r="AC522" s="261"/>
      <c r="AD522" s="261"/>
    </row>
    <row r="523">
      <c r="AC523" s="261"/>
      <c r="AD523" s="261"/>
    </row>
    <row r="524">
      <c r="AC524" s="261"/>
      <c r="AD524" s="261"/>
    </row>
    <row r="525">
      <c r="AC525" s="261"/>
      <c r="AD525" s="261"/>
    </row>
    <row r="526">
      <c r="AC526" s="261"/>
      <c r="AD526" s="261"/>
    </row>
    <row r="527">
      <c r="AC527" s="261"/>
      <c r="AD527" s="261"/>
    </row>
    <row r="528">
      <c r="AC528" s="261"/>
      <c r="AD528" s="261"/>
    </row>
    <row r="529">
      <c r="AC529" s="261"/>
      <c r="AD529" s="261"/>
    </row>
    <row r="530">
      <c r="AC530" s="261"/>
      <c r="AD530" s="261"/>
    </row>
    <row r="531">
      <c r="AC531" s="261"/>
      <c r="AD531" s="261"/>
    </row>
    <row r="532">
      <c r="AC532" s="261"/>
      <c r="AD532" s="261"/>
    </row>
    <row r="533">
      <c r="AC533" s="261"/>
      <c r="AD533" s="261"/>
    </row>
    <row r="534">
      <c r="AC534" s="261"/>
      <c r="AD534" s="261"/>
    </row>
    <row r="535">
      <c r="AC535" s="261"/>
      <c r="AD535" s="261"/>
    </row>
    <row r="536">
      <c r="AC536" s="261"/>
      <c r="AD536" s="261"/>
    </row>
    <row r="537">
      <c r="AC537" s="261"/>
      <c r="AD537" s="261"/>
    </row>
    <row r="538">
      <c r="AC538" s="261"/>
      <c r="AD538" s="261"/>
    </row>
    <row r="539">
      <c r="AC539" s="261"/>
      <c r="AD539" s="261"/>
    </row>
    <row r="540">
      <c r="AC540" s="261"/>
      <c r="AD540" s="261"/>
    </row>
    <row r="541">
      <c r="AC541" s="261"/>
      <c r="AD541" s="261"/>
    </row>
    <row r="542">
      <c r="AC542" s="261"/>
      <c r="AD542" s="261"/>
    </row>
    <row r="543">
      <c r="AC543" s="261"/>
      <c r="AD543" s="261"/>
    </row>
    <row r="544">
      <c r="AC544" s="261"/>
      <c r="AD544" s="261"/>
    </row>
    <row r="545">
      <c r="AC545" s="261"/>
      <c r="AD545" s="261"/>
    </row>
    <row r="546">
      <c r="AC546" s="261"/>
      <c r="AD546" s="261"/>
    </row>
    <row r="547">
      <c r="AC547" s="261"/>
      <c r="AD547" s="261"/>
    </row>
    <row r="548">
      <c r="AC548" s="261"/>
      <c r="AD548" s="261"/>
    </row>
    <row r="549">
      <c r="AC549" s="261"/>
      <c r="AD549" s="261"/>
    </row>
    <row r="550">
      <c r="AC550" s="261"/>
      <c r="AD550" s="261"/>
    </row>
    <row r="551">
      <c r="AC551" s="261"/>
      <c r="AD551" s="261"/>
    </row>
    <row r="552">
      <c r="AC552" s="261"/>
      <c r="AD552" s="261"/>
    </row>
    <row r="553">
      <c r="AC553" s="261"/>
      <c r="AD553" s="261"/>
    </row>
    <row r="554">
      <c r="AC554" s="261"/>
      <c r="AD554" s="261"/>
    </row>
    <row r="555">
      <c r="AC555" s="261"/>
      <c r="AD555" s="261"/>
    </row>
    <row r="556">
      <c r="AC556" s="261"/>
      <c r="AD556" s="261"/>
    </row>
    <row r="557">
      <c r="AC557" s="261"/>
      <c r="AD557" s="261"/>
    </row>
    <row r="558">
      <c r="AC558" s="261"/>
      <c r="AD558" s="261"/>
    </row>
    <row r="559">
      <c r="AC559" s="261"/>
      <c r="AD559" s="261"/>
    </row>
    <row r="560">
      <c r="AC560" s="261"/>
      <c r="AD560" s="261"/>
    </row>
    <row r="561">
      <c r="AC561" s="261"/>
      <c r="AD561" s="261"/>
    </row>
    <row r="562">
      <c r="AC562" s="261"/>
      <c r="AD562" s="261"/>
    </row>
    <row r="563">
      <c r="AC563" s="261"/>
      <c r="AD563" s="261"/>
    </row>
    <row r="564">
      <c r="AC564" s="261"/>
      <c r="AD564" s="261"/>
    </row>
    <row r="565">
      <c r="AC565" s="261"/>
      <c r="AD565" s="261"/>
    </row>
    <row r="566">
      <c r="AC566" s="261"/>
      <c r="AD566" s="261"/>
    </row>
    <row r="567">
      <c r="AC567" s="261"/>
      <c r="AD567" s="261"/>
    </row>
    <row r="568">
      <c r="AC568" s="261"/>
      <c r="AD568" s="261"/>
    </row>
    <row r="569">
      <c r="AC569" s="261"/>
      <c r="AD569" s="261"/>
    </row>
    <row r="570">
      <c r="AC570" s="261"/>
      <c r="AD570" s="261"/>
    </row>
    <row r="571">
      <c r="AC571" s="261"/>
      <c r="AD571" s="261"/>
    </row>
    <row r="572">
      <c r="AC572" s="261"/>
      <c r="AD572" s="261"/>
    </row>
    <row r="573">
      <c r="AC573" s="261"/>
      <c r="AD573" s="261"/>
    </row>
    <row r="574">
      <c r="AC574" s="261"/>
      <c r="AD574" s="261"/>
    </row>
    <row r="575">
      <c r="AC575" s="261"/>
      <c r="AD575" s="261"/>
    </row>
    <row r="576">
      <c r="AC576" s="261"/>
      <c r="AD576" s="261"/>
    </row>
    <row r="577">
      <c r="AC577" s="261"/>
      <c r="AD577" s="261"/>
    </row>
    <row r="578">
      <c r="AC578" s="261"/>
      <c r="AD578" s="261"/>
    </row>
    <row r="579">
      <c r="AC579" s="261"/>
      <c r="AD579" s="261"/>
    </row>
    <row r="580">
      <c r="AC580" s="261"/>
      <c r="AD580" s="261"/>
    </row>
    <row r="581">
      <c r="AC581" s="261"/>
      <c r="AD581" s="261"/>
    </row>
    <row r="582">
      <c r="AC582" s="261"/>
      <c r="AD582" s="261"/>
    </row>
    <row r="583">
      <c r="AC583" s="261"/>
      <c r="AD583" s="261"/>
    </row>
    <row r="584">
      <c r="AC584" s="261"/>
      <c r="AD584" s="261"/>
    </row>
    <row r="585">
      <c r="AC585" s="261"/>
      <c r="AD585" s="261"/>
    </row>
    <row r="586">
      <c r="AC586" s="261"/>
      <c r="AD586" s="261"/>
    </row>
    <row r="587">
      <c r="AC587" s="261"/>
      <c r="AD587" s="261"/>
    </row>
    <row r="588">
      <c r="AC588" s="261"/>
      <c r="AD588" s="261"/>
    </row>
    <row r="589">
      <c r="AC589" s="261"/>
      <c r="AD589" s="261"/>
    </row>
    <row r="590">
      <c r="AC590" s="261"/>
      <c r="AD590" s="261"/>
    </row>
    <row r="591">
      <c r="AC591" s="261"/>
      <c r="AD591" s="261"/>
    </row>
    <row r="592">
      <c r="AC592" s="261"/>
      <c r="AD592" s="261"/>
    </row>
    <row r="593">
      <c r="AC593" s="261"/>
      <c r="AD593" s="261"/>
    </row>
    <row r="594">
      <c r="AC594" s="261"/>
      <c r="AD594" s="261"/>
    </row>
    <row r="595">
      <c r="AC595" s="261"/>
      <c r="AD595" s="261"/>
    </row>
    <row r="596">
      <c r="AC596" s="261"/>
      <c r="AD596" s="261"/>
    </row>
    <row r="597">
      <c r="AC597" s="261"/>
      <c r="AD597" s="261"/>
    </row>
    <row r="598">
      <c r="AC598" s="261"/>
      <c r="AD598" s="261"/>
    </row>
    <row r="599">
      <c r="AC599" s="261"/>
      <c r="AD599" s="261"/>
    </row>
    <row r="600">
      <c r="AC600" s="261"/>
      <c r="AD600" s="261"/>
    </row>
    <row r="601">
      <c r="AC601" s="261"/>
      <c r="AD601" s="261"/>
    </row>
    <row r="602">
      <c r="AC602" s="261"/>
      <c r="AD602" s="261"/>
    </row>
    <row r="603">
      <c r="AC603" s="261"/>
      <c r="AD603" s="261"/>
    </row>
    <row r="604">
      <c r="AC604" s="261"/>
      <c r="AD604" s="261"/>
    </row>
    <row r="605">
      <c r="AC605" s="261"/>
      <c r="AD605" s="261"/>
    </row>
    <row r="606">
      <c r="AC606" s="261"/>
      <c r="AD606" s="261"/>
    </row>
    <row r="607">
      <c r="AC607" s="261"/>
      <c r="AD607" s="261"/>
    </row>
    <row r="608">
      <c r="AC608" s="261"/>
      <c r="AD608" s="261"/>
    </row>
    <row r="609">
      <c r="AC609" s="261"/>
      <c r="AD609" s="261"/>
    </row>
    <row r="610">
      <c r="AC610" s="261"/>
      <c r="AD610" s="261"/>
    </row>
    <row r="611">
      <c r="AC611" s="261"/>
      <c r="AD611" s="261"/>
    </row>
    <row r="612">
      <c r="AC612" s="261"/>
      <c r="AD612" s="261"/>
    </row>
    <row r="613">
      <c r="AC613" s="261"/>
      <c r="AD613" s="261"/>
    </row>
    <row r="614">
      <c r="AC614" s="261"/>
      <c r="AD614" s="261"/>
    </row>
    <row r="615">
      <c r="AC615" s="261"/>
      <c r="AD615" s="261"/>
    </row>
    <row r="616">
      <c r="AC616" s="261"/>
      <c r="AD616" s="261"/>
    </row>
    <row r="617">
      <c r="AC617" s="261"/>
      <c r="AD617" s="261"/>
    </row>
    <row r="618">
      <c r="AC618" s="261"/>
      <c r="AD618" s="261"/>
    </row>
    <row r="619">
      <c r="AC619" s="261"/>
      <c r="AD619" s="261"/>
    </row>
    <row r="620">
      <c r="AC620" s="261"/>
      <c r="AD620" s="261"/>
    </row>
    <row r="621">
      <c r="AC621" s="261"/>
      <c r="AD621" s="261"/>
    </row>
    <row r="622">
      <c r="AC622" s="261"/>
      <c r="AD622" s="261"/>
    </row>
    <row r="623">
      <c r="AC623" s="261"/>
      <c r="AD623" s="261"/>
    </row>
    <row r="624">
      <c r="AC624" s="261"/>
      <c r="AD624" s="261"/>
    </row>
    <row r="625">
      <c r="AC625" s="261"/>
      <c r="AD625" s="261"/>
    </row>
    <row r="626">
      <c r="AC626" s="261"/>
      <c r="AD626" s="261"/>
    </row>
    <row r="627">
      <c r="AC627" s="261"/>
      <c r="AD627" s="261"/>
    </row>
    <row r="628">
      <c r="AC628" s="261"/>
      <c r="AD628" s="261"/>
    </row>
    <row r="629">
      <c r="AC629" s="261"/>
      <c r="AD629" s="261"/>
    </row>
    <row r="630">
      <c r="AC630" s="261"/>
      <c r="AD630" s="261"/>
    </row>
    <row r="631">
      <c r="AC631" s="261"/>
      <c r="AD631" s="261"/>
    </row>
    <row r="632">
      <c r="AC632" s="261"/>
      <c r="AD632" s="261"/>
    </row>
    <row r="633">
      <c r="AC633" s="261"/>
      <c r="AD633" s="261"/>
    </row>
    <row r="634">
      <c r="AC634" s="261"/>
      <c r="AD634" s="261"/>
    </row>
    <row r="635">
      <c r="AC635" s="261"/>
      <c r="AD635" s="261"/>
    </row>
    <row r="636">
      <c r="AC636" s="261"/>
      <c r="AD636" s="261"/>
    </row>
    <row r="637">
      <c r="AC637" s="261"/>
      <c r="AD637" s="261"/>
    </row>
    <row r="638">
      <c r="AC638" s="261"/>
      <c r="AD638" s="261"/>
    </row>
    <row r="639">
      <c r="AC639" s="261"/>
      <c r="AD639" s="261"/>
    </row>
    <row r="640">
      <c r="AC640" s="261"/>
      <c r="AD640" s="261"/>
    </row>
    <row r="641">
      <c r="AC641" s="261"/>
      <c r="AD641" s="261"/>
    </row>
    <row r="642">
      <c r="AC642" s="261"/>
      <c r="AD642" s="261"/>
    </row>
    <row r="643">
      <c r="AC643" s="261"/>
      <c r="AD643" s="261"/>
    </row>
    <row r="644">
      <c r="AC644" s="261"/>
      <c r="AD644" s="261"/>
    </row>
    <row r="645">
      <c r="AC645" s="261"/>
      <c r="AD645" s="261"/>
    </row>
    <row r="646">
      <c r="AC646" s="261"/>
      <c r="AD646" s="261"/>
    </row>
    <row r="647">
      <c r="AC647" s="261"/>
      <c r="AD647" s="261"/>
    </row>
    <row r="648">
      <c r="AC648" s="261"/>
      <c r="AD648" s="261"/>
    </row>
    <row r="649">
      <c r="AC649" s="261"/>
      <c r="AD649" s="261"/>
    </row>
    <row r="650">
      <c r="AC650" s="261"/>
      <c r="AD650" s="261"/>
    </row>
    <row r="651">
      <c r="AC651" s="261"/>
      <c r="AD651" s="261"/>
    </row>
    <row r="652">
      <c r="AC652" s="261"/>
      <c r="AD652" s="261"/>
    </row>
    <row r="653">
      <c r="AC653" s="261"/>
      <c r="AD653" s="261"/>
    </row>
    <row r="654">
      <c r="AC654" s="261"/>
      <c r="AD654" s="261"/>
    </row>
    <row r="655">
      <c r="AC655" s="261"/>
      <c r="AD655" s="261"/>
    </row>
    <row r="656">
      <c r="AC656" s="261"/>
      <c r="AD656" s="261"/>
    </row>
    <row r="657">
      <c r="AC657" s="261"/>
      <c r="AD657" s="261"/>
    </row>
    <row r="658">
      <c r="AC658" s="261"/>
      <c r="AD658" s="261"/>
    </row>
    <row r="659">
      <c r="AC659" s="261"/>
      <c r="AD659" s="261"/>
    </row>
    <row r="660">
      <c r="AC660" s="261"/>
      <c r="AD660" s="261"/>
    </row>
    <row r="661">
      <c r="AC661" s="261"/>
      <c r="AD661" s="261"/>
    </row>
    <row r="662">
      <c r="AC662" s="261"/>
      <c r="AD662" s="261"/>
    </row>
    <row r="663">
      <c r="AC663" s="261"/>
      <c r="AD663" s="261"/>
    </row>
    <row r="664">
      <c r="AC664" s="261"/>
      <c r="AD664" s="261"/>
    </row>
    <row r="665">
      <c r="AC665" s="261"/>
      <c r="AD665" s="261"/>
    </row>
    <row r="666">
      <c r="AC666" s="261"/>
      <c r="AD666" s="261"/>
    </row>
    <row r="667">
      <c r="AC667" s="261"/>
      <c r="AD667" s="261"/>
    </row>
    <row r="668">
      <c r="AC668" s="261"/>
      <c r="AD668" s="261"/>
    </row>
    <row r="669">
      <c r="AC669" s="261"/>
      <c r="AD669" s="261"/>
    </row>
    <row r="670">
      <c r="AC670" s="261"/>
      <c r="AD670" s="261"/>
    </row>
    <row r="671">
      <c r="AC671" s="261"/>
      <c r="AD671" s="261"/>
    </row>
    <row r="672">
      <c r="AC672" s="261"/>
      <c r="AD672" s="261"/>
    </row>
    <row r="673">
      <c r="AC673" s="261"/>
      <c r="AD673" s="261"/>
    </row>
    <row r="674">
      <c r="AC674" s="261"/>
      <c r="AD674" s="261"/>
    </row>
    <row r="675">
      <c r="AC675" s="261"/>
      <c r="AD675" s="261"/>
    </row>
    <row r="676">
      <c r="AC676" s="261"/>
      <c r="AD676" s="261"/>
    </row>
    <row r="677">
      <c r="AC677" s="261"/>
      <c r="AD677" s="261"/>
    </row>
    <row r="678">
      <c r="AC678" s="261"/>
      <c r="AD678" s="261"/>
    </row>
    <row r="679">
      <c r="AC679" s="261"/>
      <c r="AD679" s="261"/>
    </row>
    <row r="680">
      <c r="AC680" s="261"/>
      <c r="AD680" s="261"/>
    </row>
    <row r="681">
      <c r="AC681" s="261"/>
      <c r="AD681" s="261"/>
    </row>
    <row r="682">
      <c r="AC682" s="261"/>
      <c r="AD682" s="261"/>
    </row>
    <row r="683">
      <c r="AC683" s="261"/>
      <c r="AD683" s="261"/>
    </row>
    <row r="684">
      <c r="AC684" s="261"/>
      <c r="AD684" s="261"/>
    </row>
    <row r="685">
      <c r="AC685" s="261"/>
      <c r="AD685" s="261"/>
    </row>
    <row r="686">
      <c r="AC686" s="261"/>
      <c r="AD686" s="261"/>
    </row>
    <row r="687">
      <c r="AC687" s="261"/>
      <c r="AD687" s="261"/>
    </row>
    <row r="688">
      <c r="AC688" s="261"/>
      <c r="AD688" s="261"/>
    </row>
    <row r="689">
      <c r="AC689" s="261"/>
      <c r="AD689" s="261"/>
    </row>
    <row r="690">
      <c r="AC690" s="261"/>
      <c r="AD690" s="261"/>
    </row>
    <row r="691">
      <c r="AC691" s="261"/>
      <c r="AD691" s="261"/>
    </row>
    <row r="692">
      <c r="AC692" s="261"/>
      <c r="AD692" s="261"/>
    </row>
    <row r="693">
      <c r="AC693" s="261"/>
      <c r="AD693" s="261"/>
    </row>
    <row r="694">
      <c r="AC694" s="261"/>
      <c r="AD694" s="261"/>
    </row>
    <row r="695">
      <c r="AC695" s="261"/>
      <c r="AD695" s="261"/>
    </row>
    <row r="696">
      <c r="AC696" s="261"/>
      <c r="AD696" s="261"/>
    </row>
    <row r="697">
      <c r="AC697" s="261"/>
      <c r="AD697" s="261"/>
    </row>
    <row r="698">
      <c r="AC698" s="261"/>
      <c r="AD698" s="261"/>
    </row>
    <row r="699">
      <c r="AC699" s="261"/>
      <c r="AD699" s="261"/>
    </row>
    <row r="700">
      <c r="AC700" s="261"/>
      <c r="AD700" s="261"/>
    </row>
    <row r="701">
      <c r="AC701" s="261"/>
      <c r="AD701" s="261"/>
    </row>
    <row r="702">
      <c r="AC702" s="261"/>
      <c r="AD702" s="261"/>
    </row>
    <row r="703">
      <c r="AC703" s="261"/>
      <c r="AD703" s="261"/>
    </row>
    <row r="704">
      <c r="AC704" s="261"/>
      <c r="AD704" s="261"/>
    </row>
    <row r="705">
      <c r="AC705" s="261"/>
      <c r="AD705" s="261"/>
    </row>
    <row r="706">
      <c r="AC706" s="261"/>
      <c r="AD706" s="261"/>
    </row>
    <row r="707">
      <c r="AC707" s="261"/>
      <c r="AD707" s="261"/>
    </row>
    <row r="708">
      <c r="AC708" s="261"/>
      <c r="AD708" s="261"/>
    </row>
    <row r="709">
      <c r="AC709" s="261"/>
      <c r="AD709" s="261"/>
    </row>
    <row r="710">
      <c r="AC710" s="261"/>
      <c r="AD710" s="261"/>
    </row>
    <row r="711">
      <c r="AC711" s="261"/>
      <c r="AD711" s="261"/>
    </row>
    <row r="712">
      <c r="AC712" s="261"/>
      <c r="AD712" s="261"/>
    </row>
    <row r="713">
      <c r="AC713" s="261"/>
      <c r="AD713" s="261"/>
    </row>
    <row r="714">
      <c r="AC714" s="261"/>
      <c r="AD714" s="261"/>
    </row>
    <row r="715">
      <c r="AC715" s="261"/>
      <c r="AD715" s="261"/>
    </row>
    <row r="716">
      <c r="AC716" s="261"/>
      <c r="AD716" s="261"/>
    </row>
    <row r="717">
      <c r="AC717" s="261"/>
      <c r="AD717" s="261"/>
    </row>
    <row r="718">
      <c r="AC718" s="261"/>
      <c r="AD718" s="261"/>
    </row>
    <row r="719">
      <c r="AC719" s="261"/>
      <c r="AD719" s="261"/>
    </row>
    <row r="720">
      <c r="AC720" s="261"/>
      <c r="AD720" s="261"/>
    </row>
    <row r="721">
      <c r="AC721" s="261"/>
      <c r="AD721" s="261"/>
    </row>
    <row r="722">
      <c r="AC722" s="261"/>
      <c r="AD722" s="261"/>
    </row>
    <row r="723">
      <c r="AC723" s="261"/>
      <c r="AD723" s="261"/>
    </row>
    <row r="724">
      <c r="AC724" s="261"/>
      <c r="AD724" s="261"/>
    </row>
    <row r="725">
      <c r="AC725" s="261"/>
      <c r="AD725" s="261"/>
    </row>
    <row r="726">
      <c r="AC726" s="261"/>
      <c r="AD726" s="261"/>
    </row>
    <row r="727">
      <c r="AC727" s="261"/>
      <c r="AD727" s="261"/>
    </row>
    <row r="728">
      <c r="AC728" s="261"/>
      <c r="AD728" s="261"/>
    </row>
    <row r="729">
      <c r="AC729" s="261"/>
      <c r="AD729" s="261"/>
    </row>
    <row r="730">
      <c r="AC730" s="261"/>
      <c r="AD730" s="261"/>
    </row>
    <row r="731">
      <c r="AC731" s="261"/>
      <c r="AD731" s="261"/>
    </row>
    <row r="732">
      <c r="AC732" s="261"/>
      <c r="AD732" s="261"/>
    </row>
    <row r="733">
      <c r="AC733" s="261"/>
      <c r="AD733" s="261"/>
    </row>
    <row r="734">
      <c r="AC734" s="261"/>
      <c r="AD734" s="261"/>
    </row>
    <row r="735">
      <c r="AC735" s="261"/>
      <c r="AD735" s="261"/>
    </row>
    <row r="736">
      <c r="AC736" s="261"/>
      <c r="AD736" s="261"/>
    </row>
    <row r="737">
      <c r="AC737" s="261"/>
      <c r="AD737" s="261"/>
    </row>
    <row r="738">
      <c r="AC738" s="261"/>
      <c r="AD738" s="261"/>
    </row>
    <row r="739">
      <c r="AC739" s="261"/>
      <c r="AD739" s="261"/>
    </row>
    <row r="740">
      <c r="AC740" s="261"/>
      <c r="AD740" s="261"/>
    </row>
    <row r="741">
      <c r="AC741" s="261"/>
      <c r="AD741" s="261"/>
    </row>
    <row r="742">
      <c r="AC742" s="261"/>
      <c r="AD742" s="261"/>
    </row>
    <row r="743">
      <c r="AC743" s="261"/>
      <c r="AD743" s="261"/>
    </row>
    <row r="744">
      <c r="AC744" s="261"/>
      <c r="AD744" s="261"/>
    </row>
    <row r="745">
      <c r="AC745" s="261"/>
      <c r="AD745" s="261"/>
    </row>
    <row r="746">
      <c r="AC746" s="261"/>
      <c r="AD746" s="261"/>
    </row>
    <row r="747">
      <c r="AC747" s="261"/>
      <c r="AD747" s="261"/>
    </row>
    <row r="748">
      <c r="AC748" s="261"/>
      <c r="AD748" s="261"/>
    </row>
    <row r="749">
      <c r="AC749" s="261"/>
      <c r="AD749" s="261"/>
    </row>
    <row r="750">
      <c r="AC750" s="261"/>
      <c r="AD750" s="261"/>
    </row>
    <row r="751">
      <c r="AC751" s="261"/>
      <c r="AD751" s="261"/>
    </row>
    <row r="752">
      <c r="AC752" s="261"/>
      <c r="AD752" s="261"/>
    </row>
    <row r="753">
      <c r="AC753" s="261"/>
      <c r="AD753" s="261"/>
    </row>
    <row r="754">
      <c r="AC754" s="261"/>
      <c r="AD754" s="261"/>
    </row>
    <row r="755">
      <c r="AC755" s="261"/>
      <c r="AD755" s="261"/>
    </row>
    <row r="756">
      <c r="AC756" s="261"/>
      <c r="AD756" s="261"/>
    </row>
    <row r="757">
      <c r="AC757" s="261"/>
      <c r="AD757" s="261"/>
    </row>
    <row r="758">
      <c r="AC758" s="261"/>
      <c r="AD758" s="261"/>
    </row>
    <row r="759">
      <c r="AC759" s="261"/>
      <c r="AD759" s="261"/>
    </row>
    <row r="760">
      <c r="AC760" s="261"/>
      <c r="AD760" s="261"/>
    </row>
    <row r="761">
      <c r="AC761" s="261"/>
      <c r="AD761" s="261"/>
    </row>
    <row r="762">
      <c r="AC762" s="261"/>
      <c r="AD762" s="261"/>
    </row>
    <row r="763">
      <c r="AC763" s="261"/>
      <c r="AD763" s="261"/>
    </row>
    <row r="764">
      <c r="AC764" s="261"/>
      <c r="AD764" s="261"/>
    </row>
    <row r="765">
      <c r="AC765" s="261"/>
      <c r="AD765" s="261"/>
    </row>
    <row r="766">
      <c r="AC766" s="261"/>
      <c r="AD766" s="261"/>
    </row>
    <row r="767">
      <c r="AC767" s="261"/>
      <c r="AD767" s="261"/>
    </row>
    <row r="768">
      <c r="AC768" s="261"/>
      <c r="AD768" s="261"/>
    </row>
    <row r="769">
      <c r="AC769" s="261"/>
      <c r="AD769" s="261"/>
    </row>
    <row r="770">
      <c r="AC770" s="261"/>
      <c r="AD770" s="261"/>
    </row>
    <row r="771">
      <c r="AC771" s="261"/>
      <c r="AD771" s="261"/>
    </row>
    <row r="772">
      <c r="AC772" s="261"/>
      <c r="AD772" s="261"/>
    </row>
    <row r="773">
      <c r="AC773" s="261"/>
      <c r="AD773" s="261"/>
    </row>
    <row r="774">
      <c r="AC774" s="261"/>
      <c r="AD774" s="261"/>
    </row>
    <row r="775">
      <c r="AC775" s="261"/>
      <c r="AD775" s="261"/>
    </row>
    <row r="776">
      <c r="AC776" s="261"/>
      <c r="AD776" s="261"/>
    </row>
    <row r="777">
      <c r="AC777" s="261"/>
      <c r="AD777" s="261"/>
    </row>
    <row r="778">
      <c r="AC778" s="261"/>
      <c r="AD778" s="261"/>
    </row>
    <row r="779">
      <c r="AC779" s="261"/>
      <c r="AD779" s="261"/>
    </row>
    <row r="780">
      <c r="AC780" s="261"/>
      <c r="AD780" s="261"/>
    </row>
    <row r="781">
      <c r="AC781" s="261"/>
      <c r="AD781" s="261"/>
    </row>
    <row r="782">
      <c r="AC782" s="261"/>
      <c r="AD782" s="261"/>
    </row>
    <row r="783">
      <c r="AC783" s="261"/>
      <c r="AD783" s="261"/>
    </row>
    <row r="784">
      <c r="AC784" s="261"/>
      <c r="AD784" s="261"/>
    </row>
    <row r="785">
      <c r="AC785" s="261"/>
      <c r="AD785" s="261"/>
    </row>
    <row r="786">
      <c r="AC786" s="261"/>
      <c r="AD786" s="261"/>
    </row>
    <row r="787">
      <c r="AC787" s="261"/>
      <c r="AD787" s="261"/>
    </row>
    <row r="788">
      <c r="AC788" s="261"/>
      <c r="AD788" s="261"/>
    </row>
    <row r="789">
      <c r="AC789" s="261"/>
      <c r="AD789" s="261"/>
    </row>
    <row r="790">
      <c r="AC790" s="261"/>
      <c r="AD790" s="261"/>
    </row>
    <row r="791">
      <c r="AC791" s="261"/>
      <c r="AD791" s="261"/>
    </row>
    <row r="792">
      <c r="AC792" s="261"/>
      <c r="AD792" s="261"/>
    </row>
    <row r="793">
      <c r="AC793" s="261"/>
      <c r="AD793" s="261"/>
    </row>
    <row r="794">
      <c r="AC794" s="261"/>
      <c r="AD794" s="261"/>
    </row>
    <row r="795">
      <c r="AC795" s="261"/>
      <c r="AD795" s="261"/>
    </row>
    <row r="796">
      <c r="AC796" s="261"/>
      <c r="AD796" s="261"/>
    </row>
    <row r="797">
      <c r="AC797" s="261"/>
      <c r="AD797" s="261"/>
    </row>
    <row r="798">
      <c r="AC798" s="261"/>
      <c r="AD798" s="261"/>
    </row>
    <row r="799">
      <c r="AC799" s="261"/>
      <c r="AD799" s="261"/>
    </row>
    <row r="800">
      <c r="AC800" s="261"/>
      <c r="AD800" s="261"/>
    </row>
    <row r="801">
      <c r="AC801" s="261"/>
      <c r="AD801" s="261"/>
    </row>
    <row r="802">
      <c r="AC802" s="261"/>
      <c r="AD802" s="261"/>
    </row>
    <row r="803">
      <c r="AC803" s="261"/>
      <c r="AD803" s="261"/>
    </row>
    <row r="804">
      <c r="AC804" s="261"/>
      <c r="AD804" s="261"/>
    </row>
    <row r="805">
      <c r="AC805" s="261"/>
      <c r="AD805" s="261"/>
    </row>
    <row r="806">
      <c r="AC806" s="261"/>
      <c r="AD806" s="261"/>
    </row>
    <row r="807">
      <c r="AC807" s="261"/>
      <c r="AD807" s="261"/>
    </row>
    <row r="808">
      <c r="AC808" s="261"/>
      <c r="AD808" s="261"/>
    </row>
    <row r="809">
      <c r="AC809" s="261"/>
      <c r="AD809" s="261"/>
    </row>
    <row r="810">
      <c r="AC810" s="261"/>
      <c r="AD810" s="261"/>
    </row>
    <row r="811">
      <c r="AC811" s="261"/>
      <c r="AD811" s="261"/>
    </row>
    <row r="812">
      <c r="AC812" s="261"/>
      <c r="AD812" s="261"/>
    </row>
    <row r="813">
      <c r="AC813" s="261"/>
      <c r="AD813" s="261"/>
    </row>
    <row r="814">
      <c r="AC814" s="261"/>
      <c r="AD814" s="261"/>
    </row>
    <row r="815">
      <c r="AC815" s="261"/>
      <c r="AD815" s="261"/>
    </row>
    <row r="816">
      <c r="AC816" s="261"/>
      <c r="AD816" s="261"/>
    </row>
    <row r="817">
      <c r="AC817" s="261"/>
      <c r="AD817" s="261"/>
    </row>
    <row r="818">
      <c r="AC818" s="261"/>
      <c r="AD818" s="261"/>
    </row>
    <row r="819">
      <c r="AC819" s="261"/>
      <c r="AD819" s="261"/>
    </row>
    <row r="820">
      <c r="AC820" s="261"/>
      <c r="AD820" s="261"/>
    </row>
    <row r="821">
      <c r="AC821" s="261"/>
      <c r="AD821" s="261"/>
    </row>
    <row r="822">
      <c r="AC822" s="261"/>
      <c r="AD822" s="261"/>
    </row>
    <row r="823">
      <c r="AC823" s="261"/>
      <c r="AD823" s="261"/>
    </row>
    <row r="824">
      <c r="AC824" s="261"/>
      <c r="AD824" s="261"/>
    </row>
    <row r="825">
      <c r="AC825" s="261"/>
      <c r="AD825" s="261"/>
    </row>
    <row r="826">
      <c r="AC826" s="261"/>
      <c r="AD826" s="261"/>
    </row>
    <row r="827">
      <c r="AC827" s="261"/>
      <c r="AD827" s="261"/>
    </row>
    <row r="828">
      <c r="AC828" s="261"/>
      <c r="AD828" s="261"/>
    </row>
    <row r="829">
      <c r="AC829" s="261"/>
      <c r="AD829" s="261"/>
    </row>
    <row r="830">
      <c r="AC830" s="261"/>
      <c r="AD830" s="261"/>
    </row>
    <row r="831">
      <c r="AC831" s="261"/>
      <c r="AD831" s="261"/>
    </row>
    <row r="832">
      <c r="AC832" s="261"/>
      <c r="AD832" s="261"/>
    </row>
    <row r="833">
      <c r="AC833" s="261"/>
      <c r="AD833" s="261"/>
    </row>
    <row r="834">
      <c r="AC834" s="261"/>
      <c r="AD834" s="261"/>
    </row>
    <row r="835">
      <c r="AC835" s="261"/>
      <c r="AD835" s="261"/>
    </row>
    <row r="836">
      <c r="AC836" s="261"/>
      <c r="AD836" s="261"/>
    </row>
    <row r="837">
      <c r="AC837" s="261"/>
      <c r="AD837" s="261"/>
    </row>
    <row r="838">
      <c r="AC838" s="261"/>
      <c r="AD838" s="261"/>
    </row>
    <row r="839">
      <c r="AC839" s="261"/>
      <c r="AD839" s="261"/>
    </row>
    <row r="840">
      <c r="AC840" s="261"/>
      <c r="AD840" s="261"/>
    </row>
    <row r="841">
      <c r="AC841" s="261"/>
      <c r="AD841" s="261"/>
    </row>
    <row r="842">
      <c r="AC842" s="261"/>
      <c r="AD842" s="261"/>
    </row>
    <row r="843">
      <c r="AC843" s="261"/>
      <c r="AD843" s="261"/>
    </row>
    <row r="844">
      <c r="AC844" s="261"/>
      <c r="AD844" s="261"/>
    </row>
    <row r="845">
      <c r="AC845" s="261"/>
      <c r="AD845" s="261"/>
    </row>
    <row r="846">
      <c r="AC846" s="261"/>
      <c r="AD846" s="261"/>
    </row>
    <row r="847">
      <c r="AC847" s="261"/>
      <c r="AD847" s="261"/>
    </row>
    <row r="848">
      <c r="AC848" s="261"/>
      <c r="AD848" s="261"/>
    </row>
    <row r="849">
      <c r="AC849" s="261"/>
      <c r="AD849" s="261"/>
    </row>
    <row r="850">
      <c r="AC850" s="261"/>
      <c r="AD850" s="261"/>
    </row>
    <row r="851">
      <c r="AC851" s="261"/>
      <c r="AD851" s="261"/>
    </row>
    <row r="852">
      <c r="AC852" s="261"/>
      <c r="AD852" s="261"/>
    </row>
    <row r="853">
      <c r="AC853" s="261"/>
      <c r="AD853" s="261"/>
    </row>
    <row r="854">
      <c r="AC854" s="261"/>
      <c r="AD854" s="261"/>
    </row>
    <row r="855">
      <c r="AC855" s="261"/>
      <c r="AD855" s="261"/>
    </row>
    <row r="856">
      <c r="AC856" s="261"/>
      <c r="AD856" s="261"/>
    </row>
    <row r="857">
      <c r="AC857" s="261"/>
      <c r="AD857" s="261"/>
    </row>
    <row r="858">
      <c r="AC858" s="261"/>
      <c r="AD858" s="261"/>
    </row>
    <row r="859">
      <c r="AC859" s="261"/>
      <c r="AD859" s="261"/>
    </row>
    <row r="860">
      <c r="AC860" s="261"/>
      <c r="AD860" s="261"/>
    </row>
    <row r="861">
      <c r="AC861" s="261"/>
      <c r="AD861" s="261"/>
    </row>
    <row r="862">
      <c r="AC862" s="261"/>
      <c r="AD862" s="261"/>
    </row>
    <row r="863">
      <c r="AC863" s="261"/>
      <c r="AD863" s="261"/>
    </row>
    <row r="864">
      <c r="AC864" s="261"/>
      <c r="AD864" s="261"/>
    </row>
    <row r="865">
      <c r="AC865" s="261"/>
      <c r="AD865" s="261"/>
    </row>
    <row r="866">
      <c r="AC866" s="261"/>
      <c r="AD866" s="261"/>
    </row>
    <row r="867">
      <c r="AC867" s="261"/>
      <c r="AD867" s="261"/>
    </row>
    <row r="868">
      <c r="AC868" s="261"/>
      <c r="AD868" s="261"/>
    </row>
    <row r="869">
      <c r="AC869" s="261"/>
      <c r="AD869" s="261"/>
    </row>
    <row r="870">
      <c r="AC870" s="261"/>
      <c r="AD870" s="261"/>
    </row>
    <row r="871">
      <c r="AC871" s="261"/>
      <c r="AD871" s="261"/>
    </row>
    <row r="872">
      <c r="AC872" s="261"/>
      <c r="AD872" s="261"/>
    </row>
    <row r="873">
      <c r="AC873" s="261"/>
      <c r="AD873" s="261"/>
    </row>
    <row r="874">
      <c r="AC874" s="261"/>
      <c r="AD874" s="261"/>
    </row>
    <row r="875">
      <c r="AC875" s="261"/>
      <c r="AD875" s="261"/>
    </row>
    <row r="876">
      <c r="AC876" s="261"/>
      <c r="AD876" s="261"/>
    </row>
    <row r="877">
      <c r="AC877" s="261"/>
      <c r="AD877" s="261"/>
    </row>
    <row r="878">
      <c r="AC878" s="261"/>
      <c r="AD878" s="261"/>
    </row>
    <row r="879">
      <c r="AC879" s="261"/>
      <c r="AD879" s="261"/>
    </row>
    <row r="880">
      <c r="AC880" s="261"/>
      <c r="AD880" s="261"/>
    </row>
    <row r="881">
      <c r="AC881" s="261"/>
      <c r="AD881" s="261"/>
    </row>
    <row r="882">
      <c r="AC882" s="261"/>
      <c r="AD882" s="261"/>
    </row>
    <row r="883">
      <c r="AC883" s="261"/>
      <c r="AD883" s="261"/>
    </row>
    <row r="884">
      <c r="AC884" s="261"/>
      <c r="AD884" s="261"/>
    </row>
    <row r="885">
      <c r="AC885" s="261"/>
      <c r="AD885" s="261"/>
    </row>
    <row r="886">
      <c r="AC886" s="261"/>
      <c r="AD886" s="261"/>
    </row>
    <row r="887">
      <c r="AC887" s="261"/>
      <c r="AD887" s="261"/>
    </row>
    <row r="888">
      <c r="AC888" s="261"/>
      <c r="AD888" s="261"/>
    </row>
    <row r="889">
      <c r="AC889" s="261"/>
      <c r="AD889" s="261"/>
    </row>
    <row r="890">
      <c r="AC890" s="261"/>
      <c r="AD890" s="261"/>
    </row>
    <row r="891">
      <c r="AC891" s="261"/>
      <c r="AD891" s="261"/>
    </row>
    <row r="892">
      <c r="AC892" s="261"/>
      <c r="AD892" s="261"/>
    </row>
    <row r="893">
      <c r="AC893" s="261"/>
      <c r="AD893" s="261"/>
    </row>
    <row r="894">
      <c r="AC894" s="261"/>
      <c r="AD894" s="261"/>
    </row>
    <row r="895">
      <c r="AC895" s="261"/>
      <c r="AD895" s="261"/>
    </row>
    <row r="896">
      <c r="AC896" s="261"/>
      <c r="AD896" s="261"/>
    </row>
    <row r="897">
      <c r="AC897" s="261"/>
      <c r="AD897" s="261"/>
    </row>
    <row r="898">
      <c r="AC898" s="261"/>
      <c r="AD898" s="261"/>
    </row>
    <row r="899">
      <c r="AC899" s="261"/>
      <c r="AD899" s="261"/>
    </row>
    <row r="900">
      <c r="AC900" s="261"/>
      <c r="AD900" s="261"/>
    </row>
    <row r="901">
      <c r="AC901" s="261"/>
      <c r="AD901" s="261"/>
    </row>
    <row r="902">
      <c r="AC902" s="261"/>
      <c r="AD902" s="261"/>
    </row>
    <row r="903">
      <c r="AC903" s="261"/>
      <c r="AD903" s="261"/>
    </row>
    <row r="904">
      <c r="AC904" s="261"/>
      <c r="AD904" s="261"/>
    </row>
    <row r="905">
      <c r="AC905" s="261"/>
      <c r="AD905" s="261"/>
    </row>
    <row r="906">
      <c r="AC906" s="261"/>
      <c r="AD906" s="261"/>
    </row>
    <row r="907">
      <c r="AC907" s="261"/>
      <c r="AD907" s="261"/>
    </row>
    <row r="908">
      <c r="AC908" s="261"/>
      <c r="AD908" s="261"/>
    </row>
    <row r="909">
      <c r="AC909" s="261"/>
      <c r="AD909" s="261"/>
    </row>
    <row r="910">
      <c r="AC910" s="261"/>
      <c r="AD910" s="261"/>
    </row>
    <row r="911">
      <c r="AC911" s="261"/>
      <c r="AD911" s="261"/>
    </row>
    <row r="912">
      <c r="AC912" s="261"/>
      <c r="AD912" s="261"/>
    </row>
    <row r="913">
      <c r="AC913" s="261"/>
      <c r="AD913" s="261"/>
    </row>
    <row r="914">
      <c r="AC914" s="261"/>
      <c r="AD914" s="261"/>
    </row>
    <row r="915">
      <c r="AC915" s="261"/>
      <c r="AD915" s="261"/>
    </row>
    <row r="916">
      <c r="AC916" s="261"/>
      <c r="AD916" s="261"/>
    </row>
    <row r="917">
      <c r="AC917" s="261"/>
      <c r="AD917" s="261"/>
    </row>
    <row r="918">
      <c r="AC918" s="261"/>
      <c r="AD918" s="261"/>
    </row>
    <row r="919">
      <c r="AC919" s="261"/>
      <c r="AD919" s="261"/>
    </row>
    <row r="920">
      <c r="AC920" s="261"/>
      <c r="AD920" s="261"/>
    </row>
    <row r="921">
      <c r="AC921" s="261"/>
      <c r="AD921" s="261"/>
    </row>
    <row r="922">
      <c r="AC922" s="261"/>
      <c r="AD922" s="261"/>
    </row>
    <row r="923">
      <c r="AC923" s="261"/>
      <c r="AD923" s="261"/>
    </row>
    <row r="924">
      <c r="AC924" s="261"/>
      <c r="AD924" s="261"/>
    </row>
    <row r="925">
      <c r="AC925" s="261"/>
      <c r="AD925" s="261"/>
    </row>
    <row r="926">
      <c r="AC926" s="261"/>
      <c r="AD926" s="261"/>
    </row>
    <row r="927">
      <c r="AC927" s="261"/>
      <c r="AD927" s="261"/>
    </row>
    <row r="928">
      <c r="AC928" s="261"/>
      <c r="AD928" s="261"/>
    </row>
    <row r="929">
      <c r="AC929" s="261"/>
      <c r="AD929" s="261"/>
    </row>
    <row r="930">
      <c r="AC930" s="261"/>
      <c r="AD930" s="261"/>
    </row>
    <row r="931">
      <c r="AC931" s="261"/>
      <c r="AD931" s="261"/>
    </row>
    <row r="932">
      <c r="AC932" s="261"/>
      <c r="AD932" s="261"/>
    </row>
    <row r="933">
      <c r="AC933" s="261"/>
      <c r="AD933" s="261"/>
    </row>
    <row r="934">
      <c r="AC934" s="261"/>
      <c r="AD934" s="261"/>
    </row>
    <row r="935">
      <c r="AC935" s="261"/>
      <c r="AD935" s="261"/>
    </row>
    <row r="936">
      <c r="AC936" s="261"/>
      <c r="AD936" s="261"/>
    </row>
    <row r="937">
      <c r="AC937" s="261"/>
      <c r="AD937" s="261"/>
    </row>
    <row r="938">
      <c r="AC938" s="261"/>
      <c r="AD938" s="261"/>
    </row>
    <row r="939">
      <c r="AC939" s="261"/>
      <c r="AD939" s="261"/>
    </row>
    <row r="940">
      <c r="AC940" s="261"/>
      <c r="AD940" s="261"/>
    </row>
    <row r="941">
      <c r="AC941" s="261"/>
      <c r="AD941" s="261"/>
    </row>
    <row r="942">
      <c r="AC942" s="261"/>
      <c r="AD942" s="261"/>
    </row>
    <row r="943">
      <c r="AC943" s="261"/>
      <c r="AD943" s="261"/>
    </row>
    <row r="944">
      <c r="AC944" s="261"/>
      <c r="AD944" s="261"/>
    </row>
    <row r="945">
      <c r="AC945" s="261"/>
      <c r="AD945" s="261"/>
    </row>
    <row r="946">
      <c r="AC946" s="261"/>
      <c r="AD946" s="261"/>
    </row>
    <row r="947">
      <c r="AC947" s="261"/>
      <c r="AD947" s="261"/>
    </row>
    <row r="948">
      <c r="AC948" s="261"/>
      <c r="AD948" s="261"/>
    </row>
    <row r="949">
      <c r="AC949" s="261"/>
      <c r="AD949" s="261"/>
    </row>
    <row r="950">
      <c r="AC950" s="261"/>
      <c r="AD950" s="261"/>
    </row>
    <row r="951">
      <c r="AC951" s="261"/>
      <c r="AD951" s="261"/>
    </row>
    <row r="952">
      <c r="AC952" s="261"/>
      <c r="AD952" s="261"/>
    </row>
    <row r="953">
      <c r="AC953" s="261"/>
      <c r="AD953" s="261"/>
    </row>
    <row r="954">
      <c r="AC954" s="261"/>
      <c r="AD954" s="261"/>
    </row>
    <row r="955">
      <c r="AC955" s="261"/>
      <c r="AD955" s="261"/>
    </row>
    <row r="956">
      <c r="AC956" s="261"/>
      <c r="AD956" s="261"/>
    </row>
    <row r="957">
      <c r="AC957" s="261"/>
      <c r="AD957" s="261"/>
    </row>
    <row r="958">
      <c r="AC958" s="261"/>
      <c r="AD958" s="261"/>
    </row>
    <row r="959">
      <c r="AC959" s="261"/>
      <c r="AD959" s="261"/>
    </row>
    <row r="960">
      <c r="AC960" s="261"/>
      <c r="AD960" s="261"/>
    </row>
    <row r="961">
      <c r="AC961" s="261"/>
      <c r="AD961" s="261"/>
    </row>
    <row r="962">
      <c r="AC962" s="261"/>
      <c r="AD962" s="261"/>
    </row>
    <row r="963">
      <c r="AC963" s="261"/>
      <c r="AD963" s="261"/>
    </row>
    <row r="964">
      <c r="AC964" s="261"/>
      <c r="AD964" s="261"/>
    </row>
    <row r="965">
      <c r="AC965" s="261"/>
      <c r="AD965" s="261"/>
    </row>
    <row r="966">
      <c r="AC966" s="261"/>
      <c r="AD966" s="261"/>
    </row>
    <row r="967">
      <c r="AC967" s="261"/>
      <c r="AD967" s="261"/>
    </row>
    <row r="968">
      <c r="AC968" s="261"/>
      <c r="AD968" s="261"/>
    </row>
    <row r="969">
      <c r="AC969" s="261"/>
      <c r="AD969" s="261"/>
    </row>
    <row r="970">
      <c r="AC970" s="261"/>
      <c r="AD970" s="261"/>
    </row>
    <row r="971">
      <c r="AC971" s="261"/>
      <c r="AD971" s="261"/>
    </row>
    <row r="972">
      <c r="AC972" s="261"/>
      <c r="AD972" s="261"/>
    </row>
    <row r="973">
      <c r="AC973" s="261"/>
      <c r="AD973" s="261"/>
    </row>
    <row r="974">
      <c r="AC974" s="261"/>
      <c r="AD974" s="261"/>
    </row>
    <row r="975">
      <c r="AC975" s="261"/>
      <c r="AD975" s="261"/>
    </row>
    <row r="976">
      <c r="AC976" s="261"/>
      <c r="AD976" s="261"/>
    </row>
    <row r="977">
      <c r="AC977" s="261"/>
      <c r="AD977" s="261"/>
    </row>
    <row r="978">
      <c r="AC978" s="261"/>
      <c r="AD978" s="261"/>
    </row>
    <row r="979">
      <c r="AC979" s="261"/>
      <c r="AD979" s="261"/>
    </row>
    <row r="980">
      <c r="AC980" s="261"/>
      <c r="AD980" s="261"/>
    </row>
    <row r="981">
      <c r="AC981" s="261"/>
      <c r="AD981" s="261"/>
    </row>
    <row r="982">
      <c r="AC982" s="261"/>
      <c r="AD982" s="261"/>
    </row>
    <row r="983">
      <c r="AC983" s="261"/>
      <c r="AD983" s="261"/>
    </row>
    <row r="984">
      <c r="AC984" s="261"/>
      <c r="AD984" s="261"/>
    </row>
    <row r="985">
      <c r="AC985" s="261"/>
      <c r="AD985" s="261"/>
    </row>
    <row r="986">
      <c r="AC986" s="261"/>
      <c r="AD986" s="261"/>
    </row>
    <row r="987">
      <c r="AC987" s="261"/>
      <c r="AD987" s="261"/>
    </row>
    <row r="988">
      <c r="AC988" s="261"/>
      <c r="AD988" s="261"/>
    </row>
    <row r="989">
      <c r="AC989" s="261"/>
      <c r="AD989" s="261"/>
    </row>
    <row r="990">
      <c r="AC990" s="261"/>
      <c r="AD990" s="261"/>
    </row>
    <row r="991">
      <c r="AC991" s="261"/>
      <c r="AD991" s="261"/>
    </row>
    <row r="992">
      <c r="AC992" s="261"/>
      <c r="AD992" s="261"/>
    </row>
    <row r="993">
      <c r="AC993" s="261"/>
      <c r="AD993" s="261"/>
    </row>
    <row r="994">
      <c r="AC994" s="261"/>
      <c r="AD994" s="261"/>
    </row>
    <row r="995">
      <c r="AC995" s="261"/>
      <c r="AD995" s="261"/>
    </row>
    <row r="996">
      <c r="AC996" s="261"/>
      <c r="AD996" s="261"/>
    </row>
    <row r="997">
      <c r="AC997" s="261"/>
      <c r="AD997" s="261"/>
    </row>
    <row r="998">
      <c r="AC998" s="261"/>
      <c r="AD998" s="261"/>
    </row>
    <row r="999">
      <c r="AC999" s="261"/>
      <c r="AD999" s="261"/>
    </row>
    <row r="1000">
      <c r="AC1000" s="261"/>
      <c r="AD1000" s="261"/>
    </row>
  </sheetData>
  <mergeCells count="8">
    <mergeCell ref="A18:K18"/>
    <mergeCell ref="A28:K28"/>
    <mergeCell ref="A56:K56"/>
    <mergeCell ref="A62:K62"/>
    <mergeCell ref="A68:K68"/>
    <mergeCell ref="A145:K145"/>
    <mergeCell ref="A163:K163"/>
    <mergeCell ref="A226:K22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3.75"/>
    <col customWidth="1" min="4" max="26" width="6.38"/>
  </cols>
  <sheetData>
    <row r="1">
      <c r="A1" s="47"/>
      <c r="D1" s="47" t="s">
        <v>421</v>
      </c>
      <c r="E1" s="47" t="s">
        <v>422</v>
      </c>
      <c r="F1" s="47" t="s">
        <v>423</v>
      </c>
      <c r="G1" s="47" t="s">
        <v>424</v>
      </c>
      <c r="H1" s="47" t="s">
        <v>425</v>
      </c>
    </row>
    <row r="2">
      <c r="A2" s="47" t="s">
        <v>426</v>
      </c>
      <c r="B2" s="48" t="str">
        <f>'Main Event'!DH18</f>
        <v>Team 1 (Group 2)</v>
      </c>
      <c r="C2" s="48" t="str">
        <f>'Main Event'!EL18</f>
        <v>TBD</v>
      </c>
      <c r="D2" s="48" t="str">
        <f>'Main Event'!ED18</f>
        <v/>
      </c>
      <c r="E2" s="48" t="str">
        <f>'Main Event'!EH18</f>
        <v/>
      </c>
      <c r="F2" s="48">
        <f>'Main Event'!ED22</f>
        <v>0</v>
      </c>
      <c r="G2" s="48">
        <f>'Main Event'!EH22</f>
        <v>0</v>
      </c>
      <c r="H2" s="48">
        <f t="shared" ref="H2:H17" si="1">F2-G2</f>
        <v>0</v>
      </c>
      <c r="I2" s="47">
        <v>1.0</v>
      </c>
    </row>
    <row r="3">
      <c r="A3" s="47" t="s">
        <v>426</v>
      </c>
      <c r="B3" s="48" t="str">
        <f>'Main Event'!DH25</f>
        <v>Team 2 (Group 2)</v>
      </c>
      <c r="C3" s="48" t="str">
        <f>'Main Event'!EL25</f>
        <v>TBD</v>
      </c>
      <c r="D3" s="48" t="str">
        <f t="array" ref="D3:D9">xlookup(B3:B9,'Main Event'!DH25:DH73,'Main Event'!ED25:ED73,"")</f>
        <v/>
      </c>
      <c r="E3" s="48" t="str">
        <f t="array" ref="E3:E9">xlookup(B3:B9,'Main Event'!DH25:DH73,'Main Event'!EH25:EH73,"")</f>
        <v/>
      </c>
      <c r="F3" s="48">
        <f t="array" ref="F3">(index('Main Event'!$ED$29:$ED$73,match(B3,'Main Event'!$DH$25:$DH$70,0)))</f>
        <v>0</v>
      </c>
      <c r="G3" s="48">
        <f t="array" ref="G3">(index('Main Event'!$EH$29:$EH$73,match(B3,'Main Event'!$DH$25:$DH$70,0)))</f>
        <v>0</v>
      </c>
      <c r="H3" s="48">
        <f t="shared" si="1"/>
        <v>0</v>
      </c>
      <c r="I3" s="47">
        <v>2.0</v>
      </c>
    </row>
    <row r="4">
      <c r="A4" s="47" t="s">
        <v>426</v>
      </c>
      <c r="B4" s="48" t="str">
        <f>'Main Event'!DH32</f>
        <v>Team 3 (Group 2)</v>
      </c>
      <c r="C4" s="48" t="str">
        <f>'Main Event'!EL32</f>
        <v>TBD</v>
      </c>
      <c r="D4" s="48"/>
      <c r="E4" s="48"/>
      <c r="F4" s="48">
        <f t="array" ref="F4">(index('Main Event'!$ED$29:$ED$73,match(B4,'Main Event'!$DH$25:$DH$70,0)))</f>
        <v>0</v>
      </c>
      <c r="G4" s="48">
        <f t="array" ref="G4">(index('Main Event'!$EH$29:$EH$73,match(B4,'Main Event'!$DH$25:$DH$70,0)))</f>
        <v>0</v>
      </c>
      <c r="H4" s="48">
        <f t="shared" si="1"/>
        <v>0</v>
      </c>
      <c r="I4" s="47">
        <v>3.0</v>
      </c>
    </row>
    <row r="5">
      <c r="A5" s="47" t="s">
        <v>426</v>
      </c>
      <c r="B5" s="48" t="str">
        <f>'Main Event'!DH39</f>
        <v>Team 4 (Group 2)</v>
      </c>
      <c r="C5" s="48" t="str">
        <f>'Main Event'!EL39</f>
        <v>TBD</v>
      </c>
      <c r="D5" s="48"/>
      <c r="E5" s="48"/>
      <c r="F5" s="48">
        <f t="array" ref="F5">(index('Main Event'!$ED$29:$ED$73,match(B5,'Main Event'!$DH$25:$DH$70,0)))</f>
        <v>0</v>
      </c>
      <c r="G5" s="48">
        <f t="array" ref="G5">(index('Main Event'!$EH$29:$EH$73,match(B5,'Main Event'!$DH$25:$DH$70,0)))</f>
        <v>0</v>
      </c>
      <c r="H5" s="48">
        <f t="shared" si="1"/>
        <v>0</v>
      </c>
      <c r="I5" s="47">
        <v>4.0</v>
      </c>
    </row>
    <row r="6">
      <c r="A6" s="47" t="s">
        <v>426</v>
      </c>
      <c r="B6" s="48" t="str">
        <f>'Main Event'!DH46</f>
        <v>Team 5 (Group 2)</v>
      </c>
      <c r="C6" s="48" t="str">
        <f>'Main Event'!EL46</f>
        <v>TBD</v>
      </c>
      <c r="D6" s="48"/>
      <c r="E6" s="48"/>
      <c r="F6" s="48">
        <f t="array" ref="F6">(index('Main Event'!$ED$29:$ED$73,match(B6,'Main Event'!$DH$25:$DH$70,0)))</f>
        <v>0</v>
      </c>
      <c r="G6" s="48">
        <f t="array" ref="G6">(index('Main Event'!$EH$29:$EH$73,match(B6,'Main Event'!$DH$25:$DH$70,0)))</f>
        <v>0</v>
      </c>
      <c r="H6" s="48">
        <f t="shared" si="1"/>
        <v>0</v>
      </c>
      <c r="I6" s="47">
        <v>5.0</v>
      </c>
    </row>
    <row r="7">
      <c r="A7" s="47" t="s">
        <v>426</v>
      </c>
      <c r="B7" s="48" t="str">
        <f>'Main Event'!DH53</f>
        <v>Team 6 (Group 2)</v>
      </c>
      <c r="C7" s="48" t="str">
        <f>'Main Event'!EL53</f>
        <v>TBD</v>
      </c>
      <c r="D7" s="48"/>
      <c r="E7" s="48"/>
      <c r="F7" s="48">
        <f t="array" ref="F7">(index('Main Event'!$ED$29:$ED$73,match(B7,'Main Event'!$DH$25:$DH$70,0)))</f>
        <v>0</v>
      </c>
      <c r="G7" s="48">
        <f t="array" ref="G7">(index('Main Event'!$EH$29:$EH$73,match(B7,'Main Event'!$DH$25:$DH$70,0)))</f>
        <v>0</v>
      </c>
      <c r="H7" s="48">
        <f t="shared" si="1"/>
        <v>0</v>
      </c>
      <c r="I7" s="47">
        <v>6.0</v>
      </c>
    </row>
    <row r="8">
      <c r="A8" s="47" t="s">
        <v>426</v>
      </c>
      <c r="B8" s="48" t="str">
        <f>'Main Event'!DH60</f>
        <v>Team 7 (Group 2)</v>
      </c>
      <c r="C8" s="48" t="str">
        <f>'Main Event'!EL60</f>
        <v>TBD</v>
      </c>
      <c r="D8" s="48"/>
      <c r="E8" s="48"/>
      <c r="F8" s="48">
        <f t="array" ref="F8">(index('Main Event'!$ED$29:$ED$73,match(B8,'Main Event'!$DH$25:$DH$70,0)))</f>
        <v>0</v>
      </c>
      <c r="G8" s="48">
        <f t="array" ref="G8">(index('Main Event'!$EH$29:$EH$73,match(B8,'Main Event'!$DH$25:$DH$70,0)))</f>
        <v>0</v>
      </c>
      <c r="H8" s="48">
        <f t="shared" si="1"/>
        <v>0</v>
      </c>
      <c r="I8" s="47">
        <v>7.0</v>
      </c>
    </row>
    <row r="9">
      <c r="A9" s="47" t="s">
        <v>426</v>
      </c>
      <c r="B9" s="48" t="str">
        <f>'Main Event'!DH67</f>
        <v>Team 8 (Group 2)</v>
      </c>
      <c r="C9" s="48" t="str">
        <f>'Main Event'!EL67</f>
        <v>TBD</v>
      </c>
      <c r="D9" s="48"/>
      <c r="E9" s="48"/>
      <c r="F9" s="48">
        <f t="array" ref="F9">(index('Main Event'!$ED$29:$ED$73,match(B9,'Main Event'!$DH$25:$DH$70,0)))</f>
        <v>0</v>
      </c>
      <c r="G9" s="48">
        <f t="array" ref="G9">(index('Main Event'!$EH$29:$EH$73,match(B9,'Main Event'!$DH$25:$DH$70,0)))</f>
        <v>0</v>
      </c>
      <c r="H9" s="48">
        <f t="shared" si="1"/>
        <v>0</v>
      </c>
      <c r="I9" s="47">
        <v>8.0</v>
      </c>
    </row>
    <row r="10">
      <c r="A10" s="47" t="s">
        <v>426</v>
      </c>
      <c r="B10" s="48" t="str">
        <f t="shared" ref="B10:B17" si="2">C2</f>
        <v>TBD</v>
      </c>
      <c r="C10" s="48" t="str">
        <f t="shared" ref="C10:C17" si="3">B2</f>
        <v>Team 1 (Group 2)</v>
      </c>
      <c r="D10" s="48" t="str">
        <f t="shared" ref="D10:D17" si="4">E2</f>
        <v/>
      </c>
      <c r="E10" s="48" t="str">
        <f t="shared" ref="E10:E17" si="5">D2</f>
        <v/>
      </c>
      <c r="F10" s="48">
        <f t="shared" ref="F10:F17" si="6">G2</f>
        <v>0</v>
      </c>
      <c r="G10" s="48">
        <f t="shared" ref="G10:G17" si="7">F2</f>
        <v>0</v>
      </c>
      <c r="H10" s="48">
        <f t="shared" si="1"/>
        <v>0</v>
      </c>
    </row>
    <row r="11">
      <c r="A11" s="47" t="s">
        <v>426</v>
      </c>
      <c r="B11" s="48" t="str">
        <f t="shared" si="2"/>
        <v>TBD</v>
      </c>
      <c r="C11" s="48" t="str">
        <f t="shared" si="3"/>
        <v>Team 2 (Group 2)</v>
      </c>
      <c r="D11" s="48" t="str">
        <f t="shared" si="4"/>
        <v/>
      </c>
      <c r="E11" s="48" t="str">
        <f t="shared" si="5"/>
        <v/>
      </c>
      <c r="F11" s="48">
        <f t="shared" si="6"/>
        <v>0</v>
      </c>
      <c r="G11" s="48">
        <f t="shared" si="7"/>
        <v>0</v>
      </c>
      <c r="H11" s="48">
        <f t="shared" si="1"/>
        <v>0</v>
      </c>
    </row>
    <row r="12">
      <c r="A12" s="47" t="s">
        <v>426</v>
      </c>
      <c r="B12" s="48" t="str">
        <f t="shared" si="2"/>
        <v>TBD</v>
      </c>
      <c r="C12" s="48" t="str">
        <f t="shared" si="3"/>
        <v>Team 3 (Group 2)</v>
      </c>
      <c r="D12" s="48" t="str">
        <f t="shared" si="4"/>
        <v/>
      </c>
      <c r="E12" s="48" t="str">
        <f t="shared" si="5"/>
        <v/>
      </c>
      <c r="F12" s="48">
        <f t="shared" si="6"/>
        <v>0</v>
      </c>
      <c r="G12" s="48">
        <f t="shared" si="7"/>
        <v>0</v>
      </c>
      <c r="H12" s="48">
        <f t="shared" si="1"/>
        <v>0</v>
      </c>
    </row>
    <row r="13">
      <c r="A13" s="47" t="s">
        <v>426</v>
      </c>
      <c r="B13" s="48" t="str">
        <f t="shared" si="2"/>
        <v>TBD</v>
      </c>
      <c r="C13" s="48" t="str">
        <f t="shared" si="3"/>
        <v>Team 4 (Group 2)</v>
      </c>
      <c r="D13" s="48" t="str">
        <f t="shared" si="4"/>
        <v/>
      </c>
      <c r="E13" s="48" t="str">
        <f t="shared" si="5"/>
        <v/>
      </c>
      <c r="F13" s="48">
        <f t="shared" si="6"/>
        <v>0</v>
      </c>
      <c r="G13" s="48">
        <f t="shared" si="7"/>
        <v>0</v>
      </c>
      <c r="H13" s="48">
        <f t="shared" si="1"/>
        <v>0</v>
      </c>
    </row>
    <row r="14">
      <c r="A14" s="47" t="s">
        <v>426</v>
      </c>
      <c r="B14" s="48" t="str">
        <f t="shared" si="2"/>
        <v>TBD</v>
      </c>
      <c r="C14" s="48" t="str">
        <f t="shared" si="3"/>
        <v>Team 5 (Group 2)</v>
      </c>
      <c r="D14" s="48" t="str">
        <f t="shared" si="4"/>
        <v/>
      </c>
      <c r="E14" s="48" t="str">
        <f t="shared" si="5"/>
        <v/>
      </c>
      <c r="F14" s="48">
        <f t="shared" si="6"/>
        <v>0</v>
      </c>
      <c r="G14" s="48">
        <f t="shared" si="7"/>
        <v>0</v>
      </c>
      <c r="H14" s="48">
        <f t="shared" si="1"/>
        <v>0</v>
      </c>
    </row>
    <row r="15">
      <c r="A15" s="47" t="s">
        <v>426</v>
      </c>
      <c r="B15" s="48" t="str">
        <f t="shared" si="2"/>
        <v>TBD</v>
      </c>
      <c r="C15" s="48" t="str">
        <f t="shared" si="3"/>
        <v>Team 6 (Group 2)</v>
      </c>
      <c r="D15" s="48" t="str">
        <f t="shared" si="4"/>
        <v/>
      </c>
      <c r="E15" s="48" t="str">
        <f t="shared" si="5"/>
        <v/>
      </c>
      <c r="F15" s="48">
        <f t="shared" si="6"/>
        <v>0</v>
      </c>
      <c r="G15" s="48">
        <f t="shared" si="7"/>
        <v>0</v>
      </c>
      <c r="H15" s="48">
        <f t="shared" si="1"/>
        <v>0</v>
      </c>
    </row>
    <row r="16">
      <c r="A16" s="47" t="s">
        <v>426</v>
      </c>
      <c r="B16" s="48" t="str">
        <f t="shared" si="2"/>
        <v>TBD</v>
      </c>
      <c r="C16" s="48" t="str">
        <f t="shared" si="3"/>
        <v>Team 7 (Group 2)</v>
      </c>
      <c r="D16" s="48" t="str">
        <f t="shared" si="4"/>
        <v/>
      </c>
      <c r="E16" s="48" t="str">
        <f t="shared" si="5"/>
        <v/>
      </c>
      <c r="F16" s="48">
        <f t="shared" si="6"/>
        <v>0</v>
      </c>
      <c r="G16" s="48">
        <f t="shared" si="7"/>
        <v>0</v>
      </c>
      <c r="H16" s="48">
        <f t="shared" si="1"/>
        <v>0</v>
      </c>
    </row>
    <row r="17">
      <c r="A17" s="47" t="s">
        <v>426</v>
      </c>
      <c r="B17" s="48" t="str">
        <f t="shared" si="2"/>
        <v>TBD</v>
      </c>
      <c r="C17" s="48" t="str">
        <f t="shared" si="3"/>
        <v>Team 8 (Group 2)</v>
      </c>
      <c r="D17" s="48" t="str">
        <f t="shared" si="4"/>
        <v/>
      </c>
      <c r="E17" s="48" t="str">
        <f t="shared" si="5"/>
        <v/>
      </c>
      <c r="F17" s="48">
        <f t="shared" si="6"/>
        <v>0</v>
      </c>
      <c r="G17" s="48">
        <f t="shared" si="7"/>
        <v>0</v>
      </c>
      <c r="H17" s="48">
        <f t="shared" si="1"/>
        <v>0</v>
      </c>
    </row>
    <row r="19">
      <c r="A19" s="47" t="s">
        <v>427</v>
      </c>
      <c r="B19" s="48" t="str">
        <f>'Main Event'!CB89</f>
        <v/>
      </c>
      <c r="C19" s="48" t="str">
        <f>'Main Event'!DF89</f>
        <v/>
      </c>
      <c r="D19" s="48" t="str">
        <f t="array" ref="D19:D26">xlookup(B19:B26,'Main Event'!CB89:CB113,'Main Event'!CX89:CX113,xlookup(B19:B26,'Main Event'!EN89:EN113,'Main Event'!FJ89:FJ113,""))</f>
        <v/>
      </c>
      <c r="E19" s="48" t="str">
        <f t="array" ref="E19:E26">xlookup(B19:B26,'Main Event'!CB89:CB113,'Main Event'!DB89:DB113,xlookup(B19:B26,'Main Event'!EN89:EN113,'Main Event'!FN89:FN113,""))</f>
        <v/>
      </c>
      <c r="F19" s="48">
        <f t="array" ref="F19">iferror(index('Main Event'!$CX$93:$CX$116,match(B19,'Main Event'!$CB$89:$CB$113,0)),index('Main Event'!$FJ$93:$FJ$116,match(B19,'Main Event'!$EN$89:$EN$113,0)))</f>
        <v>0</v>
      </c>
      <c r="G19" s="48">
        <f t="array" ref="G19">iferror(index('Main Event'!$DB$93:$DB$116,match(B19,'Main Event'!$CB$89:$CB$113,0)),index('Main Event'!$FN$93:$FN$116,match(B19,'Main Event'!$EN$89:$EN$113,0)))</f>
        <v>0</v>
      </c>
      <c r="H19" s="48">
        <f t="shared" ref="H19:H34" si="8">F19-G19</f>
        <v>0</v>
      </c>
      <c r="I19" s="47">
        <v>9.0</v>
      </c>
    </row>
    <row r="20">
      <c r="A20" s="47" t="s">
        <v>427</v>
      </c>
      <c r="B20" s="48" t="str">
        <f>'Main Event'!CB96</f>
        <v/>
      </c>
      <c r="C20" s="48" t="str">
        <f>'Main Event'!DF96</f>
        <v/>
      </c>
      <c r="D20" s="48"/>
      <c r="E20" s="48"/>
      <c r="F20" s="48">
        <f t="array" ref="F20">iferror(index('Main Event'!$CX$93:$CX$116,match(B20,'Main Event'!$CB$89:$CB$113,0)),index('Main Event'!$FJ$93:$FJ$116,match(B20,'Main Event'!$EN$89:$EN$113,0)))</f>
        <v>0</v>
      </c>
      <c r="G20" s="48">
        <f t="array" ref="G20">iferror(index('Main Event'!$DB$93:$DB$116,match(B20,'Main Event'!$CB$89:$CB$113,0)),index('Main Event'!$FN$93:$FN$116,match(B20,'Main Event'!$EN$89:$EN$113,0)))</f>
        <v>0</v>
      </c>
      <c r="H20" s="48">
        <f t="shared" si="8"/>
        <v>0</v>
      </c>
      <c r="I20" s="47">
        <v>10.0</v>
      </c>
    </row>
    <row r="21">
      <c r="A21" s="47" t="s">
        <v>427</v>
      </c>
      <c r="B21" s="48" t="str">
        <f>'Main Event'!CB103</f>
        <v/>
      </c>
      <c r="C21" s="48" t="str">
        <f>'Main Event'!DF103</f>
        <v/>
      </c>
      <c r="D21" s="48"/>
      <c r="E21" s="48"/>
      <c r="F21" s="48">
        <f t="array" ref="F21">iferror(index('Main Event'!$CX$93:$CX$116,match(B21,'Main Event'!$CB$89:$CB$113,0)),index('Main Event'!$FJ$93:$FJ$116,match(B21,'Main Event'!$EN$89:$EN$113,0)))</f>
        <v>0</v>
      </c>
      <c r="G21" s="48">
        <f t="array" ref="G21">iferror(index('Main Event'!$DB$93:$DB$116,match(B21,'Main Event'!$CB$89:$CB$113,0)),index('Main Event'!$FN$93:$FN$116,match(B21,'Main Event'!$EN$89:$EN$113,0)))</f>
        <v>0</v>
      </c>
      <c r="H21" s="48">
        <f t="shared" si="8"/>
        <v>0</v>
      </c>
      <c r="I21" s="47">
        <v>11.0</v>
      </c>
    </row>
    <row r="22">
      <c r="A22" s="47" t="s">
        <v>427</v>
      </c>
      <c r="B22" s="48" t="str">
        <f>'Main Event'!CB110</f>
        <v/>
      </c>
      <c r="C22" s="48" t="str">
        <f>'Main Event'!DF110</f>
        <v/>
      </c>
      <c r="D22" s="48"/>
      <c r="E22" s="48"/>
      <c r="F22" s="48">
        <f t="array" ref="F22">iferror(index('Main Event'!$CX$93:$CX$116,match(B22,'Main Event'!$CB$89:$CB$113,0)),index('Main Event'!$FJ$93:$FJ$116,match(B22,'Main Event'!$EN$89:$EN$113,0)))</f>
        <v>0</v>
      </c>
      <c r="G22" s="48">
        <f t="array" ref="G22">iferror(index('Main Event'!$DB$93:$DB$116,match(B22,'Main Event'!$CB$89:$CB$113,0)),index('Main Event'!$FN$93:$FN$116,match(B22,'Main Event'!$EN$89:$EN$113,0)))</f>
        <v>0</v>
      </c>
      <c r="H22" s="48">
        <f t="shared" si="8"/>
        <v>0</v>
      </c>
      <c r="I22" s="47">
        <v>12.0</v>
      </c>
    </row>
    <row r="23">
      <c r="A23" s="47" t="s">
        <v>427</v>
      </c>
      <c r="B23" s="48" t="str">
        <f>'Main Event'!EN89</f>
        <v/>
      </c>
      <c r="C23" s="48" t="str">
        <f>'Main Event'!FR89</f>
        <v/>
      </c>
      <c r="D23" s="48"/>
      <c r="E23" s="48"/>
      <c r="F23" s="48">
        <f t="array" ref="F23">iferror(index('Main Event'!$CX$93:$CX$116,match(B23,'Main Event'!$CB$89:$CB$113,0)),index('Main Event'!$FJ$93:$FJ$116,match(B23,'Main Event'!$EN$89:$EN$113,0)))</f>
        <v>0</v>
      </c>
      <c r="G23" s="48">
        <f t="array" ref="G23">iferror(index('Main Event'!$DB$93:$DB$116,match(B23,'Main Event'!$CB$89:$CB$113,0)),index('Main Event'!$FN$93:$FN$116,match(B23,'Main Event'!$EN$89:$EN$113,0)))</f>
        <v>0</v>
      </c>
      <c r="H23" s="48">
        <f t="shared" si="8"/>
        <v>0</v>
      </c>
      <c r="I23" s="47">
        <v>13.0</v>
      </c>
    </row>
    <row r="24">
      <c r="A24" s="47" t="s">
        <v>427</v>
      </c>
      <c r="B24" s="48" t="str">
        <f>'Main Event'!EN96</f>
        <v/>
      </c>
      <c r="C24" s="48" t="str">
        <f>'Main Event'!FR96</f>
        <v/>
      </c>
      <c r="D24" s="48"/>
      <c r="E24" s="48"/>
      <c r="F24" s="48">
        <f t="array" ref="F24">iferror(index('Main Event'!$CX$93:$CX$116,match(B24,'Main Event'!$CB$89:$CB$113,0)),index('Main Event'!$FJ$93:$FJ$116,match(B24,'Main Event'!$EN$89:$EN$113,0)))</f>
        <v>0</v>
      </c>
      <c r="G24" s="48">
        <f t="array" ref="G24">iferror(index('Main Event'!$DB$93:$DB$116,match(B24,'Main Event'!$CB$89:$CB$113,0)),index('Main Event'!$FN$93:$FN$116,match(B24,'Main Event'!$EN$89:$EN$113,0)))</f>
        <v>0</v>
      </c>
      <c r="H24" s="48">
        <f t="shared" si="8"/>
        <v>0</v>
      </c>
      <c r="I24" s="47">
        <v>14.0</v>
      </c>
    </row>
    <row r="25">
      <c r="A25" s="47" t="s">
        <v>427</v>
      </c>
      <c r="B25" s="48" t="str">
        <f>'Main Event'!EN103</f>
        <v/>
      </c>
      <c r="C25" s="48" t="str">
        <f>'Main Event'!FR103</f>
        <v/>
      </c>
      <c r="D25" s="48"/>
      <c r="E25" s="48"/>
      <c r="F25" s="48">
        <f t="array" ref="F25">iferror(index('Main Event'!$CX$93:$CX$116,match(B25,'Main Event'!$CB$89:$CB$113,0)),index('Main Event'!$FJ$93:$FJ$116,match(B25,'Main Event'!$EN$89:$EN$113,0)))</f>
        <v>0</v>
      </c>
      <c r="G25" s="48">
        <f t="array" ref="G25">iferror(index('Main Event'!$DB$93:$DB$116,match(B25,'Main Event'!$CB$89:$CB$113,0)),index('Main Event'!$FN$93:$FN$116,match(B25,'Main Event'!$EN$89:$EN$113,0)))</f>
        <v>0</v>
      </c>
      <c r="H25" s="48">
        <f t="shared" si="8"/>
        <v>0</v>
      </c>
      <c r="I25" s="47">
        <v>15.0</v>
      </c>
    </row>
    <row r="26">
      <c r="A26" s="47" t="s">
        <v>427</v>
      </c>
      <c r="B26" s="48" t="str">
        <f>'Main Event'!EN110</f>
        <v/>
      </c>
      <c r="C26" s="48" t="str">
        <f>'Main Event'!FR110</f>
        <v/>
      </c>
      <c r="D26" s="48"/>
      <c r="E26" s="48"/>
      <c r="F26" s="48">
        <f t="array" ref="F26">iferror(index('Main Event'!CX100:CX123,match(B26,'Main Event'!$CB$89:$CB$113,0)),index('Main Event'!FJ100:FJ123,match(B26,'Main Event'!EN96:EN120,0)))</f>
        <v>0</v>
      </c>
      <c r="G26" s="48">
        <f t="array" ref="G26">iferror(index('Main Event'!$DB$93:$DB$116,match(B26,'Main Event'!$CB$89:$CB$113,0)),index('Main Event'!$FN$93:$FN$116,match(B26,'Main Event'!$EN$89:$EN$113,0)))</f>
        <v>0</v>
      </c>
      <c r="H26" s="48">
        <f t="shared" si="8"/>
        <v>0</v>
      </c>
      <c r="I26" s="47">
        <v>16.0</v>
      </c>
    </row>
    <row r="27">
      <c r="A27" s="47" t="s">
        <v>427</v>
      </c>
      <c r="B27" s="48" t="str">
        <f t="shared" ref="B27:B34" si="9">C19</f>
        <v/>
      </c>
      <c r="C27" s="48" t="str">
        <f t="shared" ref="C27:C34" si="10">B19</f>
        <v/>
      </c>
      <c r="D27" s="48" t="str">
        <f t="shared" ref="D27:D34" si="11">E19</f>
        <v/>
      </c>
      <c r="E27" s="48" t="str">
        <f t="shared" ref="E27:E34" si="12">D19</f>
        <v/>
      </c>
      <c r="F27" s="48">
        <f t="shared" ref="F27:F34" si="13">G19</f>
        <v>0</v>
      </c>
      <c r="G27" s="48">
        <f t="shared" ref="G27:G34" si="14">F19</f>
        <v>0</v>
      </c>
      <c r="H27" s="48">
        <f t="shared" si="8"/>
        <v>0</v>
      </c>
    </row>
    <row r="28">
      <c r="A28" s="47" t="s">
        <v>427</v>
      </c>
      <c r="B28" s="48" t="str">
        <f t="shared" si="9"/>
        <v/>
      </c>
      <c r="C28" s="48" t="str">
        <f t="shared" si="10"/>
        <v/>
      </c>
      <c r="D28" s="48" t="str">
        <f t="shared" si="11"/>
        <v/>
      </c>
      <c r="E28" s="48" t="str">
        <f t="shared" si="12"/>
        <v/>
      </c>
      <c r="F28" s="48">
        <f t="shared" si="13"/>
        <v>0</v>
      </c>
      <c r="G28" s="48">
        <f t="shared" si="14"/>
        <v>0</v>
      </c>
      <c r="H28" s="48">
        <f t="shared" si="8"/>
        <v>0</v>
      </c>
    </row>
    <row r="29">
      <c r="A29" s="47" t="s">
        <v>427</v>
      </c>
      <c r="B29" s="48" t="str">
        <f t="shared" si="9"/>
        <v/>
      </c>
      <c r="C29" s="48" t="str">
        <f t="shared" si="10"/>
        <v/>
      </c>
      <c r="D29" s="48" t="str">
        <f t="shared" si="11"/>
        <v/>
      </c>
      <c r="E29" s="48" t="str">
        <f t="shared" si="12"/>
        <v/>
      </c>
      <c r="F29" s="48">
        <f t="shared" si="13"/>
        <v>0</v>
      </c>
      <c r="G29" s="48">
        <f t="shared" si="14"/>
        <v>0</v>
      </c>
      <c r="H29" s="48">
        <f t="shared" si="8"/>
        <v>0</v>
      </c>
    </row>
    <row r="30">
      <c r="A30" s="47" t="s">
        <v>427</v>
      </c>
      <c r="B30" s="48" t="str">
        <f t="shared" si="9"/>
        <v/>
      </c>
      <c r="C30" s="48" t="str">
        <f t="shared" si="10"/>
        <v/>
      </c>
      <c r="D30" s="48" t="str">
        <f t="shared" si="11"/>
        <v/>
      </c>
      <c r="E30" s="48" t="str">
        <f t="shared" si="12"/>
        <v/>
      </c>
      <c r="F30" s="48">
        <f t="shared" si="13"/>
        <v>0</v>
      </c>
      <c r="G30" s="48">
        <f t="shared" si="14"/>
        <v>0</v>
      </c>
      <c r="H30" s="48">
        <f t="shared" si="8"/>
        <v>0</v>
      </c>
    </row>
    <row r="31">
      <c r="A31" s="47" t="s">
        <v>427</v>
      </c>
      <c r="B31" s="48" t="str">
        <f t="shared" si="9"/>
        <v/>
      </c>
      <c r="C31" s="48" t="str">
        <f t="shared" si="10"/>
        <v/>
      </c>
      <c r="D31" s="48" t="str">
        <f t="shared" si="11"/>
        <v/>
      </c>
      <c r="E31" s="48" t="str">
        <f t="shared" si="12"/>
        <v/>
      </c>
      <c r="F31" s="48">
        <f t="shared" si="13"/>
        <v>0</v>
      </c>
      <c r="G31" s="48">
        <f t="shared" si="14"/>
        <v>0</v>
      </c>
      <c r="H31" s="48">
        <f t="shared" si="8"/>
        <v>0</v>
      </c>
    </row>
    <row r="32">
      <c r="A32" s="47" t="s">
        <v>427</v>
      </c>
      <c r="B32" s="48" t="str">
        <f t="shared" si="9"/>
        <v/>
      </c>
      <c r="C32" s="48" t="str">
        <f t="shared" si="10"/>
        <v/>
      </c>
      <c r="D32" s="48" t="str">
        <f t="shared" si="11"/>
        <v/>
      </c>
      <c r="E32" s="48" t="str">
        <f t="shared" si="12"/>
        <v/>
      </c>
      <c r="F32" s="48">
        <f t="shared" si="13"/>
        <v>0</v>
      </c>
      <c r="G32" s="48">
        <f t="shared" si="14"/>
        <v>0</v>
      </c>
      <c r="H32" s="48">
        <f t="shared" si="8"/>
        <v>0</v>
      </c>
    </row>
    <row r="33">
      <c r="A33" s="47" t="s">
        <v>427</v>
      </c>
      <c r="B33" s="48" t="str">
        <f t="shared" si="9"/>
        <v/>
      </c>
      <c r="C33" s="48" t="str">
        <f t="shared" si="10"/>
        <v/>
      </c>
      <c r="D33" s="48" t="str">
        <f t="shared" si="11"/>
        <v/>
      </c>
      <c r="E33" s="48" t="str">
        <f t="shared" si="12"/>
        <v/>
      </c>
      <c r="F33" s="48">
        <f t="shared" si="13"/>
        <v>0</v>
      </c>
      <c r="G33" s="48">
        <f t="shared" si="14"/>
        <v>0</v>
      </c>
      <c r="H33" s="48">
        <f t="shared" si="8"/>
        <v>0</v>
      </c>
    </row>
    <row r="34">
      <c r="A34" s="47" t="s">
        <v>427</v>
      </c>
      <c r="B34" s="48" t="str">
        <f t="shared" si="9"/>
        <v/>
      </c>
      <c r="C34" s="48" t="str">
        <f t="shared" si="10"/>
        <v/>
      </c>
      <c r="D34" s="48" t="str">
        <f t="shared" si="11"/>
        <v/>
      </c>
      <c r="E34" s="48" t="str">
        <f t="shared" si="12"/>
        <v/>
      </c>
      <c r="F34" s="48">
        <f t="shared" si="13"/>
        <v>0</v>
      </c>
      <c r="G34" s="48">
        <f t="shared" si="14"/>
        <v>0</v>
      </c>
      <c r="H34" s="48">
        <f t="shared" si="8"/>
        <v>0</v>
      </c>
    </row>
    <row r="36">
      <c r="A36" s="47" t="s">
        <v>428</v>
      </c>
      <c r="B36" s="48" t="str">
        <f t="array" ref="B36">if(or('Main Event'!BX77=0,'Main Event'!EJ77=0),"", iferror(xlookup(reseeding!AC56:AC71,data!M2:M17,data!N2:N17,""),""))</f>
        <v/>
      </c>
      <c r="C36" s="48" t="str">
        <f t="array" ref="C36">if(or('Main Event'!BX77=0,'Main Event'!EJ77=0),"",xlookup(reseeding!AD56:AD71,data!M2:M17,data!N2:N17,""))</f>
        <v/>
      </c>
      <c r="D36" s="48" t="str">
        <f>'Main Event'!BR132</f>
        <v/>
      </c>
      <c r="E36" s="48" t="str">
        <f>'Main Event'!BV132</f>
        <v/>
      </c>
      <c r="F36" s="48">
        <f>reseeding!AG56</f>
        <v>0</v>
      </c>
      <c r="G36" s="48">
        <f>reseeding!AH56</f>
        <v>0</v>
      </c>
      <c r="I36" s="47">
        <v>17.0</v>
      </c>
    </row>
    <row r="37">
      <c r="A37" s="47" t="s">
        <v>428</v>
      </c>
      <c r="D37" s="48" t="str">
        <f>'Main Event'!BR139</f>
        <v/>
      </c>
      <c r="E37" s="48" t="str">
        <f>'Main Event'!BV139</f>
        <v/>
      </c>
      <c r="F37" s="48">
        <f>reseeding!AG57</f>
        <v>0</v>
      </c>
      <c r="G37" s="48">
        <f>reseeding!AH57</f>
        <v>0</v>
      </c>
      <c r="I37" s="47">
        <v>18.0</v>
      </c>
    </row>
    <row r="38">
      <c r="A38" s="47" t="s">
        <v>428</v>
      </c>
      <c r="D38" s="48" t="str">
        <f>E37</f>
        <v/>
      </c>
      <c r="E38" s="48" t="str">
        <f>D37</f>
        <v/>
      </c>
      <c r="F38" s="48">
        <f>G37</f>
        <v>0</v>
      </c>
      <c r="G38" s="48">
        <f>F37</f>
        <v>0</v>
      </c>
    </row>
    <row r="39">
      <c r="A39" s="47" t="s">
        <v>428</v>
      </c>
      <c r="D39" s="48" t="str">
        <f>E36</f>
        <v/>
      </c>
      <c r="E39" s="48" t="str">
        <f>D36</f>
        <v/>
      </c>
      <c r="F39" s="48">
        <f>reseeding!AG59</f>
        <v>0</v>
      </c>
      <c r="G39" s="48">
        <f>reseeding!AH59</f>
        <v>0</v>
      </c>
    </row>
    <row r="40">
      <c r="A40" s="47" t="s">
        <v>428</v>
      </c>
      <c r="D40" s="48" t="str">
        <f>'Main Event'!GP132</f>
        <v/>
      </c>
      <c r="E40" s="48" t="str">
        <f>'Main Event'!GT132</f>
        <v/>
      </c>
      <c r="F40" s="48">
        <f>reseeding!AG60</f>
        <v>0</v>
      </c>
      <c r="G40" s="48">
        <f>reseeding!AH60</f>
        <v>0</v>
      </c>
      <c r="I40" s="47">
        <v>19.0</v>
      </c>
    </row>
    <row r="41">
      <c r="A41" s="47" t="s">
        <v>428</v>
      </c>
      <c r="D41" s="48" t="str">
        <f>'Main Event'!GP139</f>
        <v/>
      </c>
      <c r="E41" s="48" t="str">
        <f>'Main Event'!GT139</f>
        <v/>
      </c>
      <c r="F41" s="48">
        <f>reseeding!AG61</f>
        <v>0</v>
      </c>
      <c r="G41" s="48">
        <f>reseeding!AH61</f>
        <v>0</v>
      </c>
      <c r="I41" s="47">
        <v>20.0</v>
      </c>
    </row>
    <row r="42">
      <c r="A42" s="47" t="s">
        <v>428</v>
      </c>
      <c r="D42" s="48" t="str">
        <f>E41</f>
        <v/>
      </c>
      <c r="E42" s="48" t="str">
        <f>D41</f>
        <v/>
      </c>
      <c r="F42" s="48">
        <f>G41</f>
        <v>0</v>
      </c>
      <c r="G42" s="48">
        <f>F41</f>
        <v>0</v>
      </c>
    </row>
    <row r="43">
      <c r="A43" s="47" t="s">
        <v>428</v>
      </c>
      <c r="D43" s="48" t="str">
        <f>E40</f>
        <v/>
      </c>
      <c r="E43" s="48" t="str">
        <f>D40</f>
        <v/>
      </c>
      <c r="F43" s="48">
        <f>G40</f>
        <v>0</v>
      </c>
      <c r="G43" s="48">
        <f>F40</f>
        <v>0</v>
      </c>
    </row>
    <row r="44">
      <c r="A44" s="47" t="s">
        <v>428</v>
      </c>
      <c r="D44" s="48" t="str">
        <f>'Main Event'!ED132</f>
        <v/>
      </c>
      <c r="E44" s="48" t="str">
        <f>'Main Event'!EH132</f>
        <v/>
      </c>
      <c r="F44" s="48">
        <f>reseeding!AG64</f>
        <v>0</v>
      </c>
      <c r="G44" s="48">
        <f>reseeding!AH64</f>
        <v>0</v>
      </c>
      <c r="I44" s="47">
        <v>21.0</v>
      </c>
    </row>
    <row r="45">
      <c r="A45" s="47" t="s">
        <v>428</v>
      </c>
      <c r="D45" s="48" t="str">
        <f>'Main Event'!ED139</f>
        <v/>
      </c>
      <c r="E45" s="48" t="str">
        <f>'Main Event'!EH139</f>
        <v/>
      </c>
      <c r="F45" s="48">
        <f>reseeding!AG65</f>
        <v>0</v>
      </c>
      <c r="G45" s="48">
        <f>reseeding!AH65</f>
        <v>0</v>
      </c>
      <c r="I45" s="47">
        <v>22.0</v>
      </c>
    </row>
    <row r="46">
      <c r="A46" s="47" t="s">
        <v>428</v>
      </c>
      <c r="D46" s="48" t="str">
        <f>'Main Event'!ED146</f>
        <v/>
      </c>
      <c r="E46" s="48" t="str">
        <f>'Main Event'!EH146</f>
        <v/>
      </c>
      <c r="F46" s="48">
        <f>reseeding!AG66</f>
        <v>0</v>
      </c>
      <c r="G46" s="48">
        <f>reseeding!AH66</f>
        <v>0</v>
      </c>
      <c r="I46" s="47">
        <v>23.0</v>
      </c>
    </row>
    <row r="47">
      <c r="A47" s="47" t="s">
        <v>428</v>
      </c>
      <c r="D47" s="48" t="str">
        <f>'Main Event'!ED153</f>
        <v/>
      </c>
      <c r="E47" s="48" t="str">
        <f>'Main Event'!EH153</f>
        <v/>
      </c>
      <c r="F47" s="48">
        <f>reseeding!AG67</f>
        <v>0</v>
      </c>
      <c r="G47" s="48">
        <f>reseeding!AH67</f>
        <v>0</v>
      </c>
      <c r="I47" s="47">
        <v>24.0</v>
      </c>
    </row>
    <row r="48">
      <c r="A48" s="47" t="s">
        <v>428</v>
      </c>
      <c r="D48" s="48" t="str">
        <f t="shared" ref="D48:D51" si="15">E44</f>
        <v/>
      </c>
      <c r="E48" s="48" t="str">
        <f t="shared" ref="E48:E51" si="16">D44</f>
        <v/>
      </c>
      <c r="F48" s="48">
        <f>reseeding!AG68</f>
        <v>0</v>
      </c>
      <c r="G48" s="48">
        <f>reseeding!AH68</f>
        <v>0</v>
      </c>
    </row>
    <row r="49">
      <c r="A49" s="47" t="s">
        <v>428</v>
      </c>
      <c r="D49" s="48" t="str">
        <f t="shared" si="15"/>
        <v/>
      </c>
      <c r="E49" s="48" t="str">
        <f t="shared" si="16"/>
        <v/>
      </c>
      <c r="F49" s="48">
        <f>reseeding!AG69</f>
        <v>0</v>
      </c>
      <c r="G49" s="48">
        <f>reseeding!AH69</f>
        <v>0</v>
      </c>
    </row>
    <row r="50">
      <c r="A50" s="47" t="s">
        <v>428</v>
      </c>
      <c r="D50" s="48" t="str">
        <f t="shared" si="15"/>
        <v/>
      </c>
      <c r="E50" s="48" t="str">
        <f t="shared" si="16"/>
        <v/>
      </c>
      <c r="F50" s="48">
        <f>reseeding!AG70</f>
        <v>0</v>
      </c>
      <c r="G50" s="48">
        <f>reseeding!AH70</f>
        <v>0</v>
      </c>
    </row>
    <row r="51">
      <c r="A51" s="47" t="s">
        <v>428</v>
      </c>
      <c r="D51" s="48" t="str">
        <f t="shared" si="15"/>
        <v/>
      </c>
      <c r="E51" s="48" t="str">
        <f t="shared" si="16"/>
        <v/>
      </c>
      <c r="F51" s="48">
        <f>reseeding!AG71</f>
        <v>0</v>
      </c>
      <c r="G51" s="48">
        <f>reseeding!AH71</f>
        <v>0</v>
      </c>
    </row>
    <row r="53">
      <c r="A53" s="47" t="s">
        <v>429</v>
      </c>
      <c r="B53" s="48" t="str">
        <f t="array" ref="B53">if(or('Main Event'!AR120="",'Main Event'!DD120=0,'Main Event'!FP120=0),"", xlookup(reseeding!AC163:AC174,data!M2:M17,data!N2:N17,""))</f>
        <v/>
      </c>
      <c r="C53" s="48" t="str">
        <f t="array" ref="C53">if(or('Main Event'!AR120="",'Main Event'!DD120=0,'Main Event'!FP120=0),"",xlookup(reseeding!AD163:AD174,data!M2:M17,data!N2:N17,""))</f>
        <v/>
      </c>
      <c r="D53" s="48" t="str">
        <f>reseeding!AE163</f>
        <v/>
      </c>
      <c r="E53" s="48" t="str">
        <f>reseeding!AF163</f>
        <v/>
      </c>
      <c r="F53" s="48">
        <f>reseeding!AG163</f>
        <v>0</v>
      </c>
      <c r="G53" s="48">
        <f>reseeding!AH163</f>
        <v>0</v>
      </c>
      <c r="I53" s="47">
        <v>25.0</v>
      </c>
    </row>
    <row r="54">
      <c r="A54" s="47" t="s">
        <v>429</v>
      </c>
      <c r="D54" s="48" t="str">
        <f>reseeding!AE164</f>
        <v/>
      </c>
      <c r="E54" s="48" t="str">
        <f>reseeding!AF164</f>
        <v/>
      </c>
      <c r="F54" s="48">
        <f>reseeding!AG164</f>
        <v>0</v>
      </c>
      <c r="G54" s="48">
        <f>reseeding!AH164</f>
        <v>0</v>
      </c>
      <c r="I54" s="47">
        <v>26.0</v>
      </c>
    </row>
    <row r="55">
      <c r="A55" s="47" t="s">
        <v>429</v>
      </c>
      <c r="D55" s="48" t="str">
        <f>reseeding!AE165</f>
        <v/>
      </c>
      <c r="E55" s="48" t="str">
        <f>reseeding!AF165</f>
        <v/>
      </c>
      <c r="F55" s="48">
        <f>reseeding!AG165</f>
        <v>0</v>
      </c>
      <c r="G55" s="48">
        <f>reseeding!AH165</f>
        <v>0</v>
      </c>
      <c r="I55" s="47">
        <v>27.0</v>
      </c>
    </row>
    <row r="56">
      <c r="A56" s="47" t="s">
        <v>429</v>
      </c>
      <c r="D56" s="48" t="str">
        <f>reseeding!AE166</f>
        <v/>
      </c>
      <c r="E56" s="48" t="str">
        <f>reseeding!AF166</f>
        <v/>
      </c>
      <c r="F56" s="48">
        <f>reseeding!AG166</f>
        <v>0</v>
      </c>
      <c r="G56" s="48">
        <f>reseeding!AH166</f>
        <v>0</v>
      </c>
    </row>
    <row r="57">
      <c r="A57" s="47" t="s">
        <v>429</v>
      </c>
      <c r="D57" s="48" t="str">
        <f>reseeding!AE167</f>
        <v/>
      </c>
      <c r="E57" s="48" t="str">
        <f>reseeding!AF167</f>
        <v/>
      </c>
      <c r="F57" s="48">
        <f>reseeding!AG167</f>
        <v>0</v>
      </c>
      <c r="G57" s="48">
        <f>reseeding!AH167</f>
        <v>0</v>
      </c>
    </row>
    <row r="58">
      <c r="A58" s="47" t="s">
        <v>429</v>
      </c>
      <c r="D58" s="48" t="str">
        <f>reseeding!AE168</f>
        <v/>
      </c>
      <c r="E58" s="48" t="str">
        <f>reseeding!AF168</f>
        <v/>
      </c>
      <c r="F58" s="48">
        <f>reseeding!AG168</f>
        <v>0</v>
      </c>
      <c r="G58" s="48">
        <f>reseeding!AH168</f>
        <v>0</v>
      </c>
    </row>
    <row r="59">
      <c r="A59" s="47" t="s">
        <v>429</v>
      </c>
      <c r="D59" s="48" t="str">
        <f>reseeding!AE169</f>
        <v/>
      </c>
      <c r="E59" s="48" t="str">
        <f>reseeding!AF169</f>
        <v/>
      </c>
      <c r="F59" s="48">
        <f>reseeding!AG169</f>
        <v>0</v>
      </c>
      <c r="G59" s="48">
        <f>reseeding!AH169</f>
        <v>0</v>
      </c>
      <c r="I59" s="47">
        <v>28.0</v>
      </c>
    </row>
    <row r="60">
      <c r="A60" s="47" t="s">
        <v>429</v>
      </c>
      <c r="D60" s="48" t="str">
        <f>reseeding!AE170</f>
        <v/>
      </c>
      <c r="E60" s="48" t="str">
        <f>reseeding!AF170</f>
        <v/>
      </c>
      <c r="F60" s="48">
        <f>reseeding!AG170</f>
        <v>0</v>
      </c>
      <c r="G60" s="48">
        <f>reseeding!AH170</f>
        <v>0</v>
      </c>
      <c r="I60" s="47">
        <v>29.0</v>
      </c>
    </row>
    <row r="61">
      <c r="A61" s="47" t="s">
        <v>429</v>
      </c>
      <c r="D61" s="48" t="str">
        <f>reseeding!AE171</f>
        <v/>
      </c>
      <c r="E61" s="48" t="str">
        <f>reseeding!AF171</f>
        <v/>
      </c>
      <c r="F61" s="48">
        <f>reseeding!AG171</f>
        <v>0</v>
      </c>
      <c r="G61" s="48">
        <f>reseeding!AH171</f>
        <v>0</v>
      </c>
      <c r="I61" s="47">
        <v>30.0</v>
      </c>
    </row>
    <row r="62">
      <c r="A62" s="47" t="s">
        <v>429</v>
      </c>
      <c r="D62" s="48" t="str">
        <f>reseeding!AE172</f>
        <v/>
      </c>
      <c r="E62" s="48" t="str">
        <f>reseeding!AF172</f>
        <v/>
      </c>
      <c r="F62" s="48">
        <f>reseeding!AG172</f>
        <v>0</v>
      </c>
      <c r="G62" s="48">
        <f>reseeding!AH172</f>
        <v>0</v>
      </c>
    </row>
    <row r="63">
      <c r="A63" s="47" t="s">
        <v>429</v>
      </c>
      <c r="D63" s="48" t="str">
        <f>reseeding!AE173</f>
        <v/>
      </c>
      <c r="E63" s="48" t="str">
        <f>reseeding!AF173</f>
        <v/>
      </c>
      <c r="F63" s="48">
        <f>reseeding!AG173</f>
        <v>0</v>
      </c>
      <c r="G63" s="48">
        <f>reseeding!AH173</f>
        <v>0</v>
      </c>
    </row>
    <row r="64">
      <c r="A64" s="47" t="s">
        <v>429</v>
      </c>
      <c r="D64" s="48" t="str">
        <f>reseeding!AE174</f>
        <v/>
      </c>
      <c r="E64" s="48" t="str">
        <f>reseeding!AF174</f>
        <v/>
      </c>
      <c r="F64" s="48">
        <f>reseeding!AG174</f>
        <v>0</v>
      </c>
      <c r="G64" s="48">
        <f>reseeding!AH174</f>
        <v>0</v>
      </c>
    </row>
    <row r="66">
      <c r="A66" s="47" t="s">
        <v>416</v>
      </c>
      <c r="B66" s="48" t="str">
        <f t="array" ref="B66">if(or('Main Event'!BX163=0,'Main Event'!EJ163=0),"", xlookup(reseeding!AC308:AC313,data!M2:M17,data!N2:N17,""))</f>
        <v/>
      </c>
      <c r="C66" s="48" t="str">
        <f t="array" ref="C66">if(or('Main Event'!BX163=0,'Main Event'!EJ163=0),"",xlookup(reseeding!AD308:AD313,data!M2:M17,data!N2:N17,""))</f>
        <v/>
      </c>
      <c r="D66" s="48" t="str">
        <f>reseeding!AE308</f>
        <v/>
      </c>
      <c r="E66" s="48" t="str">
        <f>reseeding!AF308</f>
        <v/>
      </c>
      <c r="F66" s="48">
        <f>reseeding!AG308</f>
        <v>0</v>
      </c>
      <c r="G66" s="48">
        <f>reseeding!AH308</f>
        <v>0</v>
      </c>
      <c r="I66" s="47">
        <v>31.0</v>
      </c>
    </row>
    <row r="67">
      <c r="A67" s="47" t="s">
        <v>416</v>
      </c>
      <c r="D67" s="48" t="str">
        <f>reseeding!AE309</f>
        <v/>
      </c>
      <c r="E67" s="48" t="str">
        <f>reseeding!AF309</f>
        <v/>
      </c>
      <c r="F67" s="48">
        <f>reseeding!AG309</f>
        <v>0</v>
      </c>
      <c r="G67" s="48">
        <f>reseeding!AH309</f>
        <v>0</v>
      </c>
      <c r="I67" s="47">
        <v>32.0</v>
      </c>
    </row>
    <row r="68">
      <c r="A68" s="47" t="s">
        <v>416</v>
      </c>
      <c r="D68" s="48" t="str">
        <f>reseeding!AE310</f>
        <v/>
      </c>
      <c r="E68" s="48" t="str">
        <f>reseeding!AF310</f>
        <v/>
      </c>
      <c r="F68" s="48">
        <f>reseeding!AG310</f>
        <v>0</v>
      </c>
      <c r="G68" s="48">
        <f>reseeding!AH310</f>
        <v>0</v>
      </c>
      <c r="I68" s="47">
        <v>33.0</v>
      </c>
    </row>
    <row r="69">
      <c r="A69" s="47" t="s">
        <v>416</v>
      </c>
      <c r="D69" s="48" t="str">
        <f>reseeding!AE311</f>
        <v/>
      </c>
      <c r="E69" s="48" t="str">
        <f>reseeding!AF311</f>
        <v/>
      </c>
      <c r="F69" s="48">
        <f>reseeding!AG311</f>
        <v>0</v>
      </c>
      <c r="G69" s="48">
        <f>reseeding!AH311</f>
        <v>0</v>
      </c>
    </row>
    <row r="70">
      <c r="A70" s="47" t="s">
        <v>416</v>
      </c>
      <c r="D70" s="48" t="str">
        <f>reseeding!AE312</f>
        <v/>
      </c>
      <c r="E70" s="48" t="str">
        <f>reseeding!AF312</f>
        <v/>
      </c>
      <c r="F70" s="48">
        <f>reseeding!AG312</f>
        <v>0</v>
      </c>
      <c r="G70" s="48">
        <f>reseeding!AH312</f>
        <v>0</v>
      </c>
    </row>
    <row r="71">
      <c r="A71" s="47" t="s">
        <v>416</v>
      </c>
      <c r="D71" s="48" t="str">
        <f>reseeding!AE313</f>
        <v/>
      </c>
      <c r="E71" s="48" t="str">
        <f>reseeding!AF313</f>
        <v/>
      </c>
      <c r="F71" s="48">
        <f>reseeding!AG313</f>
        <v>0</v>
      </c>
      <c r="G71" s="48">
        <f>reseeding!AH313</f>
        <v>0</v>
      </c>
    </row>
    <row r="74">
      <c r="A74" s="47" t="s">
        <v>430</v>
      </c>
      <c r="B74" s="48" t="str">
        <f>'Main Event'!AW253</f>
        <v>Team 1 (Playoff)</v>
      </c>
      <c r="C74" s="48" t="str">
        <f>'Main Event'!AW257</f>
        <v/>
      </c>
      <c r="D74" s="48" t="str">
        <f>'Main Event'!BV253</f>
        <v/>
      </c>
      <c r="E74" s="48" t="str">
        <f>'Main Event'!BV257</f>
        <v/>
      </c>
      <c r="I74" s="47">
        <v>34.0</v>
      </c>
    </row>
    <row r="75">
      <c r="A75" s="47" t="s">
        <v>430</v>
      </c>
      <c r="B75" s="48" t="str">
        <f>'Main Event'!AW263</f>
        <v>Team 4 (Playoff)</v>
      </c>
      <c r="C75" s="48" t="str">
        <f>'Main Event'!AW267</f>
        <v/>
      </c>
      <c r="D75" s="48" t="str">
        <f>'Main Event'!BV263</f>
        <v/>
      </c>
      <c r="E75" s="48" t="str">
        <f>'Main Event'!BV267</f>
        <v/>
      </c>
      <c r="I75" s="47">
        <v>35.0</v>
      </c>
    </row>
    <row r="76">
      <c r="A76" s="47" t="s">
        <v>430</v>
      </c>
      <c r="B76" s="48" t="str">
        <f>'Main Event'!AW273</f>
        <v>Team 2 (Playoff)</v>
      </c>
      <c r="C76" s="48" t="str">
        <f>'Main Event'!AW277</f>
        <v/>
      </c>
      <c r="D76" s="48" t="str">
        <f>'Main Event'!BV273</f>
        <v/>
      </c>
      <c r="E76" s="48" t="str">
        <f>'Main Event'!BV277</f>
        <v/>
      </c>
      <c r="I76" s="47">
        <v>36.0</v>
      </c>
    </row>
    <row r="77">
      <c r="A77" s="47" t="s">
        <v>430</v>
      </c>
      <c r="B77" s="48" t="str">
        <f>'Main Event'!AW283</f>
        <v>Team 3 (Playoff)</v>
      </c>
      <c r="C77" s="48" t="str">
        <f>'Main Event'!AW287</f>
        <v/>
      </c>
      <c r="D77" s="48" t="str">
        <f>'Main Event'!BV283</f>
        <v/>
      </c>
      <c r="E77" s="48" t="str">
        <f>'Main Event'!BV287</f>
        <v/>
      </c>
      <c r="I77" s="47">
        <v>37.0</v>
      </c>
    </row>
    <row r="79">
      <c r="A79" s="47" t="s">
        <v>431</v>
      </c>
      <c r="B79" s="48" t="str">
        <f>'Main Event'!CH258</f>
        <v/>
      </c>
      <c r="C79" s="48" t="str">
        <f>'Main Event'!CH262</f>
        <v/>
      </c>
      <c r="D79" s="48" t="str">
        <f>'Main Event'!DG258</f>
        <v/>
      </c>
      <c r="E79" s="48" t="str">
        <f>'Main Event'!DG262</f>
        <v/>
      </c>
      <c r="I79" s="47">
        <v>38.0</v>
      </c>
    </row>
    <row r="80">
      <c r="A80" s="47" t="s">
        <v>431</v>
      </c>
      <c r="B80" s="48" t="str">
        <f>'Main Event'!CH278</f>
        <v/>
      </c>
      <c r="C80" s="48" t="str">
        <f>'Main Event'!CH282</f>
        <v/>
      </c>
      <c r="D80" s="48" t="str">
        <f>'Main Event'!DG278</f>
        <v/>
      </c>
      <c r="E80" s="48" t="str">
        <f>'Main Event'!DG282</f>
        <v/>
      </c>
      <c r="I80" s="47">
        <v>39.0</v>
      </c>
    </row>
    <row r="82">
      <c r="A82" s="47" t="s">
        <v>432</v>
      </c>
      <c r="B82" s="48" t="str">
        <f>'Main Event'!DS268</f>
        <v/>
      </c>
      <c r="C82" s="48" t="str">
        <f>'Main Event'!DS272</f>
        <v/>
      </c>
      <c r="D82" s="48" t="str">
        <f>'Main Event'!ER268</f>
        <v/>
      </c>
      <c r="E82" s="48" t="str">
        <f>'Main Event'!ER272</f>
        <v/>
      </c>
      <c r="I82" s="47">
        <v>40.0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3.75"/>
    <col customWidth="1" min="4" max="26" width="6.38"/>
  </cols>
  <sheetData>
    <row r="1">
      <c r="A1" s="47"/>
      <c r="D1" s="47" t="s">
        <v>421</v>
      </c>
      <c r="E1" s="47" t="s">
        <v>422</v>
      </c>
      <c r="F1" s="47" t="s">
        <v>423</v>
      </c>
      <c r="G1" s="47" t="s">
        <v>424</v>
      </c>
      <c r="H1" s="47" t="s">
        <v>425</v>
      </c>
    </row>
    <row r="2">
      <c r="A2" s="47" t="s">
        <v>426</v>
      </c>
      <c r="B2" s="48" t="str">
        <f>'Contender Stage'!DH18</f>
        <v>Team 1 (Group 1)</v>
      </c>
      <c r="C2" s="48" t="str">
        <f>'Contender Stage'!EL18</f>
        <v>Team 16 (Group 1)</v>
      </c>
      <c r="D2" s="48" t="str">
        <f>'Contender Stage'!ED18</f>
        <v/>
      </c>
      <c r="E2" s="48" t="str">
        <f>'Contender Stage'!EH18</f>
        <v/>
      </c>
      <c r="F2" s="48">
        <f>'Contender Stage'!ED22</f>
        <v>0</v>
      </c>
      <c r="G2" s="48">
        <f>'Contender Stage'!EH22</f>
        <v>0</v>
      </c>
      <c r="H2" s="48">
        <f t="shared" ref="H2:H17" si="1">F2-G2</f>
        <v>0</v>
      </c>
      <c r="I2" s="47">
        <v>1.0</v>
      </c>
    </row>
    <row r="3">
      <c r="A3" s="47" t="s">
        <v>426</v>
      </c>
      <c r="B3" s="48" t="str">
        <f>'Contender Stage'!DH25</f>
        <v>Team 2 (Group 1)</v>
      </c>
      <c r="C3" s="48" t="str">
        <f>'Contender Stage'!EL25</f>
        <v>Team 15 (Group 1)</v>
      </c>
      <c r="D3" s="48" t="str">
        <f t="array" ref="D3:D9">xlookup(B3:B9,'Contender Stage'!DH25:DH73,'Contender Stage'!ED25:ED73,"")</f>
        <v/>
      </c>
      <c r="E3" s="48" t="str">
        <f t="array" ref="E3:E9">xlookup(B3:B9,'Contender Stage'!DH25:DH73,'Contender Stage'!EH25:EH73,"")</f>
        <v/>
      </c>
      <c r="F3" s="48">
        <f t="array" ref="F3">(index('Contender Stage'!$ED$29:$ED$73,match(B3,'Contender Stage'!$DH$25:$DH$70,0)))</f>
        <v>0</v>
      </c>
      <c r="G3" s="48">
        <f t="array" ref="G3">(index('Contender Stage'!$EH$29:$EH$73,match(B3,'Contender Stage'!$DH$25:$DH$70,0)))</f>
        <v>0</v>
      </c>
      <c r="H3" s="48">
        <f t="shared" si="1"/>
        <v>0</v>
      </c>
      <c r="I3" s="47">
        <v>2.0</v>
      </c>
    </row>
    <row r="4">
      <c r="A4" s="47" t="s">
        <v>426</v>
      </c>
      <c r="B4" s="48" t="str">
        <f>'Contender Stage'!DH32</f>
        <v>Team 3 (Group 1)</v>
      </c>
      <c r="C4" s="48" t="str">
        <f>'Contender Stage'!EL32</f>
        <v>Team 14 (Group 1)</v>
      </c>
      <c r="D4" s="48"/>
      <c r="E4" s="48"/>
      <c r="F4" s="48">
        <f t="array" ref="F4">(index('Contender Stage'!$ED$29:$ED$73,match(B4,'Contender Stage'!$DH$25:$DH$70,0)))</f>
        <v>0</v>
      </c>
      <c r="G4" s="48">
        <f t="array" ref="G4">(index('Contender Stage'!$EH$29:$EH$73,match(B4,'Contender Stage'!$DH$25:$DH$70,0)))</f>
        <v>0</v>
      </c>
      <c r="H4" s="48">
        <f t="shared" si="1"/>
        <v>0</v>
      </c>
      <c r="I4" s="47">
        <v>3.0</v>
      </c>
    </row>
    <row r="5">
      <c r="A5" s="47" t="s">
        <v>426</v>
      </c>
      <c r="B5" s="48" t="str">
        <f>'Contender Stage'!DH39</f>
        <v>Team 4 (Group 1)</v>
      </c>
      <c r="C5" s="48" t="str">
        <f>'Contender Stage'!EL39</f>
        <v>Team 13 (Group 1)</v>
      </c>
      <c r="D5" s="48"/>
      <c r="E5" s="48"/>
      <c r="F5" s="48">
        <f t="array" ref="F5">(index('Contender Stage'!$ED$29:$ED$73,match(B5,'Contender Stage'!$DH$25:$DH$70,0)))</f>
        <v>0</v>
      </c>
      <c r="G5" s="48">
        <f t="array" ref="G5">(index('Contender Stage'!$EH$29:$EH$73,match(B5,'Contender Stage'!$DH$25:$DH$70,0)))</f>
        <v>0</v>
      </c>
      <c r="H5" s="48">
        <f t="shared" si="1"/>
        <v>0</v>
      </c>
      <c r="I5" s="47">
        <v>4.0</v>
      </c>
    </row>
    <row r="6">
      <c r="A6" s="47" t="s">
        <v>426</v>
      </c>
      <c r="B6" s="48" t="str">
        <f>'Contender Stage'!DH46</f>
        <v>Team 5 (Group 1)</v>
      </c>
      <c r="C6" s="48" t="str">
        <f>'Contender Stage'!EL46</f>
        <v>Team 12 (Group 1)</v>
      </c>
      <c r="D6" s="48"/>
      <c r="E6" s="48"/>
      <c r="F6" s="48">
        <f t="array" ref="F6">(index('Contender Stage'!$ED$29:$ED$73,match(B6,'Contender Stage'!$DH$25:$DH$70,0)))</f>
        <v>0</v>
      </c>
      <c r="G6" s="48">
        <f t="array" ref="G6">(index('Contender Stage'!$EH$29:$EH$73,match(B6,'Contender Stage'!$DH$25:$DH$70,0)))</f>
        <v>0</v>
      </c>
      <c r="H6" s="48">
        <f t="shared" si="1"/>
        <v>0</v>
      </c>
      <c r="I6" s="47">
        <v>5.0</v>
      </c>
    </row>
    <row r="7">
      <c r="A7" s="47" t="s">
        <v>426</v>
      </c>
      <c r="B7" s="48" t="str">
        <f>'Contender Stage'!DH53</f>
        <v>Team 6 (Group 1)</v>
      </c>
      <c r="C7" s="48" t="str">
        <f>'Contender Stage'!EL53</f>
        <v>Team 11 (Group 1)</v>
      </c>
      <c r="D7" s="48"/>
      <c r="E7" s="48"/>
      <c r="F7" s="48">
        <f t="array" ref="F7">(index('Contender Stage'!$ED$29:$ED$73,match(B7,'Contender Stage'!$DH$25:$DH$70,0)))</f>
        <v>0</v>
      </c>
      <c r="G7" s="48">
        <f t="array" ref="G7">(index('Contender Stage'!$EH$29:$EH$73,match(B7,'Contender Stage'!$DH$25:$DH$70,0)))</f>
        <v>0</v>
      </c>
      <c r="H7" s="48">
        <f t="shared" si="1"/>
        <v>0</v>
      </c>
      <c r="I7" s="47">
        <v>6.0</v>
      </c>
    </row>
    <row r="8">
      <c r="A8" s="47" t="s">
        <v>426</v>
      </c>
      <c r="B8" s="48" t="str">
        <f>'Contender Stage'!DH60</f>
        <v>Team 7 (Group 1)</v>
      </c>
      <c r="C8" s="48" t="str">
        <f>'Contender Stage'!EL60</f>
        <v>Team 10 (Group 1)</v>
      </c>
      <c r="D8" s="48"/>
      <c r="E8" s="48"/>
      <c r="F8" s="48">
        <f t="array" ref="F8">(index('Contender Stage'!$ED$29:$ED$73,match(B8,'Contender Stage'!$DH$25:$DH$70,0)))</f>
        <v>0</v>
      </c>
      <c r="G8" s="48">
        <f t="array" ref="G8">(index('Contender Stage'!$EH$29:$EH$73,match(B8,'Contender Stage'!$DH$25:$DH$70,0)))</f>
        <v>0</v>
      </c>
      <c r="H8" s="48">
        <f t="shared" si="1"/>
        <v>0</v>
      </c>
      <c r="I8" s="47">
        <v>7.0</v>
      </c>
    </row>
    <row r="9">
      <c r="A9" s="47" t="s">
        <v>426</v>
      </c>
      <c r="B9" s="48" t="str">
        <f>'Contender Stage'!DH67</f>
        <v>Team 8 (Group 1)</v>
      </c>
      <c r="C9" s="48" t="str">
        <f>'Contender Stage'!EL67</f>
        <v>Team 9 (Group 1)</v>
      </c>
      <c r="D9" s="48"/>
      <c r="E9" s="48"/>
      <c r="F9" s="48">
        <f t="array" ref="F9">(index('Contender Stage'!$ED$29:$ED$73,match(B9,'Contender Stage'!$DH$25:$DH$70,0)))</f>
        <v>0</v>
      </c>
      <c r="G9" s="48">
        <f t="array" ref="G9">(index('Contender Stage'!$EH$29:$EH$73,match(B9,'Contender Stage'!$DH$25:$DH$70,0)))</f>
        <v>0</v>
      </c>
      <c r="H9" s="48">
        <f t="shared" si="1"/>
        <v>0</v>
      </c>
      <c r="I9" s="47">
        <v>8.0</v>
      </c>
    </row>
    <row r="10">
      <c r="A10" s="47" t="s">
        <v>426</v>
      </c>
      <c r="B10" s="48" t="str">
        <f t="shared" ref="B10:B17" si="2">C2</f>
        <v>Team 16 (Group 1)</v>
      </c>
      <c r="C10" s="48" t="str">
        <f t="shared" ref="C10:C17" si="3">B2</f>
        <v>Team 1 (Group 1)</v>
      </c>
      <c r="D10" s="48" t="str">
        <f t="shared" ref="D10:D17" si="4">E2</f>
        <v/>
      </c>
      <c r="E10" s="48" t="str">
        <f t="shared" ref="E10:E17" si="5">D2</f>
        <v/>
      </c>
      <c r="F10" s="48">
        <f t="shared" ref="F10:F17" si="6">G2</f>
        <v>0</v>
      </c>
      <c r="G10" s="48">
        <f t="shared" ref="G10:G17" si="7">F2</f>
        <v>0</v>
      </c>
      <c r="H10" s="48">
        <f t="shared" si="1"/>
        <v>0</v>
      </c>
    </row>
    <row r="11">
      <c r="A11" s="47" t="s">
        <v>426</v>
      </c>
      <c r="B11" s="48" t="str">
        <f t="shared" si="2"/>
        <v>Team 15 (Group 1)</v>
      </c>
      <c r="C11" s="48" t="str">
        <f t="shared" si="3"/>
        <v>Team 2 (Group 1)</v>
      </c>
      <c r="D11" s="48" t="str">
        <f t="shared" si="4"/>
        <v/>
      </c>
      <c r="E11" s="48" t="str">
        <f t="shared" si="5"/>
        <v/>
      </c>
      <c r="F11" s="48">
        <f t="shared" si="6"/>
        <v>0</v>
      </c>
      <c r="G11" s="48">
        <f t="shared" si="7"/>
        <v>0</v>
      </c>
      <c r="H11" s="48">
        <f t="shared" si="1"/>
        <v>0</v>
      </c>
    </row>
    <row r="12">
      <c r="A12" s="47" t="s">
        <v>426</v>
      </c>
      <c r="B12" s="48" t="str">
        <f t="shared" si="2"/>
        <v>Team 14 (Group 1)</v>
      </c>
      <c r="C12" s="48" t="str">
        <f t="shared" si="3"/>
        <v>Team 3 (Group 1)</v>
      </c>
      <c r="D12" s="48" t="str">
        <f t="shared" si="4"/>
        <v/>
      </c>
      <c r="E12" s="48" t="str">
        <f t="shared" si="5"/>
        <v/>
      </c>
      <c r="F12" s="48">
        <f t="shared" si="6"/>
        <v>0</v>
      </c>
      <c r="G12" s="48">
        <f t="shared" si="7"/>
        <v>0</v>
      </c>
      <c r="H12" s="48">
        <f t="shared" si="1"/>
        <v>0</v>
      </c>
    </row>
    <row r="13">
      <c r="A13" s="47" t="s">
        <v>426</v>
      </c>
      <c r="B13" s="48" t="str">
        <f t="shared" si="2"/>
        <v>Team 13 (Group 1)</v>
      </c>
      <c r="C13" s="48" t="str">
        <f t="shared" si="3"/>
        <v>Team 4 (Group 1)</v>
      </c>
      <c r="D13" s="48" t="str">
        <f t="shared" si="4"/>
        <v/>
      </c>
      <c r="E13" s="48" t="str">
        <f t="shared" si="5"/>
        <v/>
      </c>
      <c r="F13" s="48">
        <f t="shared" si="6"/>
        <v>0</v>
      </c>
      <c r="G13" s="48">
        <f t="shared" si="7"/>
        <v>0</v>
      </c>
      <c r="H13" s="48">
        <f t="shared" si="1"/>
        <v>0</v>
      </c>
    </row>
    <row r="14">
      <c r="A14" s="47" t="s">
        <v>426</v>
      </c>
      <c r="B14" s="48" t="str">
        <f t="shared" si="2"/>
        <v>Team 12 (Group 1)</v>
      </c>
      <c r="C14" s="48" t="str">
        <f t="shared" si="3"/>
        <v>Team 5 (Group 1)</v>
      </c>
      <c r="D14" s="48" t="str">
        <f t="shared" si="4"/>
        <v/>
      </c>
      <c r="E14" s="48" t="str">
        <f t="shared" si="5"/>
        <v/>
      </c>
      <c r="F14" s="48">
        <f t="shared" si="6"/>
        <v>0</v>
      </c>
      <c r="G14" s="48">
        <f t="shared" si="7"/>
        <v>0</v>
      </c>
      <c r="H14" s="48">
        <f t="shared" si="1"/>
        <v>0</v>
      </c>
    </row>
    <row r="15">
      <c r="A15" s="47" t="s">
        <v>426</v>
      </c>
      <c r="B15" s="48" t="str">
        <f t="shared" si="2"/>
        <v>Team 11 (Group 1)</v>
      </c>
      <c r="C15" s="48" t="str">
        <f t="shared" si="3"/>
        <v>Team 6 (Group 1)</v>
      </c>
      <c r="D15" s="48" t="str">
        <f t="shared" si="4"/>
        <v/>
      </c>
      <c r="E15" s="48" t="str">
        <f t="shared" si="5"/>
        <v/>
      </c>
      <c r="F15" s="48">
        <f t="shared" si="6"/>
        <v>0</v>
      </c>
      <c r="G15" s="48">
        <f t="shared" si="7"/>
        <v>0</v>
      </c>
      <c r="H15" s="48">
        <f t="shared" si="1"/>
        <v>0</v>
      </c>
    </row>
    <row r="16">
      <c r="A16" s="47" t="s">
        <v>426</v>
      </c>
      <c r="B16" s="48" t="str">
        <f t="shared" si="2"/>
        <v>Team 10 (Group 1)</v>
      </c>
      <c r="C16" s="48" t="str">
        <f t="shared" si="3"/>
        <v>Team 7 (Group 1)</v>
      </c>
      <c r="D16" s="48" t="str">
        <f t="shared" si="4"/>
        <v/>
      </c>
      <c r="E16" s="48" t="str">
        <f t="shared" si="5"/>
        <v/>
      </c>
      <c r="F16" s="48">
        <f t="shared" si="6"/>
        <v>0</v>
      </c>
      <c r="G16" s="48">
        <f t="shared" si="7"/>
        <v>0</v>
      </c>
      <c r="H16" s="48">
        <f t="shared" si="1"/>
        <v>0</v>
      </c>
    </row>
    <row r="17">
      <c r="A17" s="47" t="s">
        <v>426</v>
      </c>
      <c r="B17" s="48" t="str">
        <f t="shared" si="2"/>
        <v>Team 9 (Group 1)</v>
      </c>
      <c r="C17" s="48" t="str">
        <f t="shared" si="3"/>
        <v>Team 8 (Group 1)</v>
      </c>
      <c r="D17" s="48" t="str">
        <f t="shared" si="4"/>
        <v/>
      </c>
      <c r="E17" s="48" t="str">
        <f t="shared" si="5"/>
        <v/>
      </c>
      <c r="F17" s="48">
        <f t="shared" si="6"/>
        <v>0</v>
      </c>
      <c r="G17" s="48">
        <f t="shared" si="7"/>
        <v>0</v>
      </c>
      <c r="H17" s="48">
        <f t="shared" si="1"/>
        <v>0</v>
      </c>
    </row>
    <row r="19">
      <c r="A19" s="47" t="s">
        <v>427</v>
      </c>
      <c r="B19" s="48" t="str">
        <f>'Contender Stage'!CB89</f>
        <v/>
      </c>
      <c r="C19" s="48" t="str">
        <f>'Contender Stage'!DF89</f>
        <v/>
      </c>
      <c r="D19" s="48" t="str">
        <f t="array" ref="D19:D26">xlookup(B19:B26,'Contender Stage'!CB89:CB113,'Contender Stage'!CX89:CX113,xlookup(B19:B26,'Contender Stage'!EN89:EN113,'Contender Stage'!FJ89:FJ113,""))</f>
        <v/>
      </c>
      <c r="E19" s="48" t="str">
        <f t="array" ref="E19:E26">xlookup(B19:B26,'Contender Stage'!CB89:CB113,'Contender Stage'!DB89:DB113,xlookup(B19:B26,'Contender Stage'!EN89:EN113,'Contender Stage'!FN89:FN113,""))</f>
        <v/>
      </c>
      <c r="F19" s="48">
        <f t="array" ref="F19">iferror(index('Contender Stage'!$CX$93:$CX$116,match(B19,'Contender Stage'!$CB$89:$CB$113,0)),index('Contender Stage'!$FJ$93:$FJ$116,match(B19,'Contender Stage'!$EN$89:$EN$113,0)))</f>
        <v>0</v>
      </c>
      <c r="G19" s="48">
        <f t="array" ref="G19">iferror(index('Contender Stage'!$DB$93:$DB$116,match(B19,'Contender Stage'!$CB$89:$CB$113,0)),index('Contender Stage'!$FN$93:$FN$116,match(B19,'Contender Stage'!$EN$89:$EN$113,0)))</f>
        <v>0</v>
      </c>
      <c r="H19" s="48">
        <f t="shared" ref="H19:H34" si="8">F19-G19</f>
        <v>0</v>
      </c>
      <c r="I19" s="47">
        <v>9.0</v>
      </c>
    </row>
    <row r="20">
      <c r="A20" s="47" t="s">
        <v>427</v>
      </c>
      <c r="B20" s="48" t="str">
        <f>'Contender Stage'!CB96</f>
        <v/>
      </c>
      <c r="C20" s="48" t="str">
        <f>'Contender Stage'!DF96</f>
        <v/>
      </c>
      <c r="D20" s="48"/>
      <c r="E20" s="48"/>
      <c r="F20" s="48">
        <f t="array" ref="F20">iferror(index('Contender Stage'!$CX$93:$CX$116,match(B20,'Contender Stage'!$CB$89:$CB$113,0)),index('Contender Stage'!$FJ$93:$FJ$116,match(B20,'Contender Stage'!$EN$89:$EN$113,0)))</f>
        <v>0</v>
      </c>
      <c r="G20" s="48">
        <f t="array" ref="G20">iferror(index('Contender Stage'!$DB$93:$DB$116,match(B20,'Contender Stage'!$CB$89:$CB$113,0)),index('Contender Stage'!$FN$93:$FN$116,match(B20,'Contender Stage'!$EN$89:$EN$113,0)))</f>
        <v>0</v>
      </c>
      <c r="H20" s="48">
        <f t="shared" si="8"/>
        <v>0</v>
      </c>
      <c r="I20" s="47">
        <v>10.0</v>
      </c>
    </row>
    <row r="21">
      <c r="A21" s="47" t="s">
        <v>427</v>
      </c>
      <c r="B21" s="48" t="str">
        <f>'Contender Stage'!CB103</f>
        <v/>
      </c>
      <c r="C21" s="48" t="str">
        <f>'Contender Stage'!DF103</f>
        <v/>
      </c>
      <c r="D21" s="48"/>
      <c r="E21" s="48"/>
      <c r="F21" s="48">
        <f t="array" ref="F21">iferror(index('Contender Stage'!$CX$93:$CX$116,match(B21,'Contender Stage'!$CB$89:$CB$113,0)),index('Contender Stage'!$FJ$93:$FJ$116,match(B21,'Contender Stage'!$EN$89:$EN$113,0)))</f>
        <v>0</v>
      </c>
      <c r="G21" s="48">
        <f t="array" ref="G21">iferror(index('Contender Stage'!$DB$93:$DB$116,match(B21,'Contender Stage'!$CB$89:$CB$113,0)),index('Contender Stage'!$FN$93:$FN$116,match(B21,'Contender Stage'!$EN$89:$EN$113,0)))</f>
        <v>0</v>
      </c>
      <c r="H21" s="48">
        <f t="shared" si="8"/>
        <v>0</v>
      </c>
      <c r="I21" s="47">
        <v>11.0</v>
      </c>
    </row>
    <row r="22">
      <c r="A22" s="47" t="s">
        <v>427</v>
      </c>
      <c r="B22" s="48" t="str">
        <f>'Contender Stage'!CB110</f>
        <v/>
      </c>
      <c r="C22" s="48" t="str">
        <f>'Contender Stage'!DF110</f>
        <v/>
      </c>
      <c r="D22" s="48"/>
      <c r="E22" s="48"/>
      <c r="F22" s="48">
        <f t="array" ref="F22">iferror(index('Contender Stage'!$CX$93:$CX$116,match(B22,'Contender Stage'!$CB$89:$CB$113,0)),index('Contender Stage'!$FJ$93:$FJ$116,match(B22,'Contender Stage'!$EN$89:$EN$113,0)))</f>
        <v>0</v>
      </c>
      <c r="G22" s="48">
        <f t="array" ref="G22">iferror(index('Contender Stage'!$DB$93:$DB$116,match(B22,'Contender Stage'!$CB$89:$CB$113,0)),index('Contender Stage'!$FN$93:$FN$116,match(B22,'Contender Stage'!$EN$89:$EN$113,0)))</f>
        <v>0</v>
      </c>
      <c r="H22" s="48">
        <f t="shared" si="8"/>
        <v>0</v>
      </c>
      <c r="I22" s="47">
        <v>12.0</v>
      </c>
    </row>
    <row r="23">
      <c r="A23" s="47" t="s">
        <v>427</v>
      </c>
      <c r="B23" s="48" t="str">
        <f>'Contender Stage'!EN89</f>
        <v/>
      </c>
      <c r="C23" s="48" t="str">
        <f>'Contender Stage'!FR89</f>
        <v/>
      </c>
      <c r="D23" s="48"/>
      <c r="E23" s="48"/>
      <c r="F23" s="48">
        <f t="array" ref="F23">iferror(index('Contender Stage'!$CX$93:$CX$116,match(B23,'Contender Stage'!$CB$89:$CB$113,0)),index('Contender Stage'!$FJ$93:$FJ$116,match(B23,'Contender Stage'!$EN$89:$EN$113,0)))</f>
        <v>0</v>
      </c>
      <c r="G23" s="48">
        <f t="array" ref="G23">iferror(index('Contender Stage'!$DB$93:$DB$116,match(B23,'Contender Stage'!$CB$89:$CB$113,0)),index('Contender Stage'!$FN$93:$FN$116,match(B23,'Contender Stage'!$EN$89:$EN$113,0)))</f>
        <v>0</v>
      </c>
      <c r="H23" s="48">
        <f t="shared" si="8"/>
        <v>0</v>
      </c>
      <c r="I23" s="47">
        <v>13.0</v>
      </c>
    </row>
    <row r="24">
      <c r="A24" s="47" t="s">
        <v>427</v>
      </c>
      <c r="B24" s="48" t="str">
        <f>'Contender Stage'!EN96</f>
        <v/>
      </c>
      <c r="C24" s="48" t="str">
        <f>'Contender Stage'!FR96</f>
        <v/>
      </c>
      <c r="D24" s="48"/>
      <c r="E24" s="48"/>
      <c r="F24" s="48">
        <f t="array" ref="F24">iferror(index('Contender Stage'!$CX$93:$CX$116,match(B24,'Contender Stage'!$CB$89:$CB$113,0)),index('Contender Stage'!$FJ$93:$FJ$116,match(B24,'Contender Stage'!$EN$89:$EN$113,0)))</f>
        <v>0</v>
      </c>
      <c r="G24" s="48">
        <f t="array" ref="G24">iferror(index('Contender Stage'!$DB$93:$DB$116,match(B24,'Contender Stage'!$CB$89:$CB$113,0)),index('Contender Stage'!$FN$93:$FN$116,match(B24,'Contender Stage'!$EN$89:$EN$113,0)))</f>
        <v>0</v>
      </c>
      <c r="H24" s="48">
        <f t="shared" si="8"/>
        <v>0</v>
      </c>
      <c r="I24" s="47">
        <v>14.0</v>
      </c>
    </row>
    <row r="25">
      <c r="A25" s="47" t="s">
        <v>427</v>
      </c>
      <c r="B25" s="48" t="str">
        <f>'Contender Stage'!EN103</f>
        <v/>
      </c>
      <c r="C25" s="48" t="str">
        <f>'Contender Stage'!FR103</f>
        <v/>
      </c>
      <c r="D25" s="48"/>
      <c r="E25" s="48"/>
      <c r="F25" s="48">
        <f t="array" ref="F25">iferror(index('Contender Stage'!$CX$93:$CX$116,match(B25,'Contender Stage'!$CB$89:$CB$113,0)),index('Contender Stage'!$FJ$93:$FJ$116,match(B25,'Contender Stage'!$EN$89:$EN$113,0)))</f>
        <v>0</v>
      </c>
      <c r="G25" s="48">
        <f t="array" ref="G25">iferror(index('Contender Stage'!$DB$93:$DB$116,match(B25,'Contender Stage'!$CB$89:$CB$113,0)),index('Contender Stage'!$FN$93:$FN$116,match(B25,'Contender Stage'!$EN$89:$EN$113,0)))</f>
        <v>0</v>
      </c>
      <c r="H25" s="48">
        <f t="shared" si="8"/>
        <v>0</v>
      </c>
      <c r="I25" s="47">
        <v>15.0</v>
      </c>
    </row>
    <row r="26">
      <c r="A26" s="47" t="s">
        <v>427</v>
      </c>
      <c r="B26" s="48" t="str">
        <f>'Contender Stage'!EN110</f>
        <v/>
      </c>
      <c r="C26" s="48" t="str">
        <f>'Contender Stage'!FR110</f>
        <v/>
      </c>
      <c r="D26" s="48"/>
      <c r="E26" s="48"/>
      <c r="F26" s="48">
        <f t="array" ref="F26">iferror(index('Contender Stage'!CX100:CX123,match(B26,'Contender Stage'!$CB$89:$CB$113,0)),index('Contender Stage'!FJ100:FJ123,match(B26,'Contender Stage'!EN96:EN120,0)))</f>
        <v>0</v>
      </c>
      <c r="G26" s="48">
        <f t="array" ref="G26">iferror(index('Contender Stage'!$DB$93:$DB$116,match(B26,'Contender Stage'!$CB$89:$CB$113,0)),index('Contender Stage'!$FN$93:$FN$116,match(B26,'Contender Stage'!$EN$89:$EN$113,0)))</f>
        <v>0</v>
      </c>
      <c r="H26" s="48">
        <f t="shared" si="8"/>
        <v>0</v>
      </c>
      <c r="I26" s="47">
        <v>16.0</v>
      </c>
    </row>
    <row r="27">
      <c r="A27" s="47" t="s">
        <v>427</v>
      </c>
      <c r="B27" s="48" t="str">
        <f t="shared" ref="B27:B34" si="9">C19</f>
        <v/>
      </c>
      <c r="C27" s="48" t="str">
        <f t="shared" ref="C27:C34" si="10">B19</f>
        <v/>
      </c>
      <c r="D27" s="48" t="str">
        <f t="shared" ref="D27:D34" si="11">E19</f>
        <v/>
      </c>
      <c r="E27" s="48" t="str">
        <f t="shared" ref="E27:E34" si="12">D19</f>
        <v/>
      </c>
      <c r="F27" s="48">
        <f t="shared" ref="F27:F34" si="13">G19</f>
        <v>0</v>
      </c>
      <c r="G27" s="48">
        <f t="shared" ref="G27:G34" si="14">F19</f>
        <v>0</v>
      </c>
      <c r="H27" s="48">
        <f t="shared" si="8"/>
        <v>0</v>
      </c>
    </row>
    <row r="28">
      <c r="A28" s="47" t="s">
        <v>427</v>
      </c>
      <c r="B28" s="48" t="str">
        <f t="shared" si="9"/>
        <v/>
      </c>
      <c r="C28" s="48" t="str">
        <f t="shared" si="10"/>
        <v/>
      </c>
      <c r="D28" s="48" t="str">
        <f t="shared" si="11"/>
        <v/>
      </c>
      <c r="E28" s="48" t="str">
        <f t="shared" si="12"/>
        <v/>
      </c>
      <c r="F28" s="48">
        <f t="shared" si="13"/>
        <v>0</v>
      </c>
      <c r="G28" s="48">
        <f t="shared" si="14"/>
        <v>0</v>
      </c>
      <c r="H28" s="48">
        <f t="shared" si="8"/>
        <v>0</v>
      </c>
    </row>
    <row r="29">
      <c r="A29" s="47" t="s">
        <v>427</v>
      </c>
      <c r="B29" s="48" t="str">
        <f t="shared" si="9"/>
        <v/>
      </c>
      <c r="C29" s="48" t="str">
        <f t="shared" si="10"/>
        <v/>
      </c>
      <c r="D29" s="48" t="str">
        <f t="shared" si="11"/>
        <v/>
      </c>
      <c r="E29" s="48" t="str">
        <f t="shared" si="12"/>
        <v/>
      </c>
      <c r="F29" s="48">
        <f t="shared" si="13"/>
        <v>0</v>
      </c>
      <c r="G29" s="48">
        <f t="shared" si="14"/>
        <v>0</v>
      </c>
      <c r="H29" s="48">
        <f t="shared" si="8"/>
        <v>0</v>
      </c>
    </row>
    <row r="30">
      <c r="A30" s="47" t="s">
        <v>427</v>
      </c>
      <c r="B30" s="48" t="str">
        <f t="shared" si="9"/>
        <v/>
      </c>
      <c r="C30" s="48" t="str">
        <f t="shared" si="10"/>
        <v/>
      </c>
      <c r="D30" s="48" t="str">
        <f t="shared" si="11"/>
        <v/>
      </c>
      <c r="E30" s="48" t="str">
        <f t="shared" si="12"/>
        <v/>
      </c>
      <c r="F30" s="48">
        <f t="shared" si="13"/>
        <v>0</v>
      </c>
      <c r="G30" s="48">
        <f t="shared" si="14"/>
        <v>0</v>
      </c>
      <c r="H30" s="48">
        <f t="shared" si="8"/>
        <v>0</v>
      </c>
    </row>
    <row r="31">
      <c r="A31" s="47" t="s">
        <v>427</v>
      </c>
      <c r="B31" s="48" t="str">
        <f t="shared" si="9"/>
        <v/>
      </c>
      <c r="C31" s="48" t="str">
        <f t="shared" si="10"/>
        <v/>
      </c>
      <c r="D31" s="48" t="str">
        <f t="shared" si="11"/>
        <v/>
      </c>
      <c r="E31" s="48" t="str">
        <f t="shared" si="12"/>
        <v/>
      </c>
      <c r="F31" s="48">
        <f t="shared" si="13"/>
        <v>0</v>
      </c>
      <c r="G31" s="48">
        <f t="shared" si="14"/>
        <v>0</v>
      </c>
      <c r="H31" s="48">
        <f t="shared" si="8"/>
        <v>0</v>
      </c>
    </row>
    <row r="32">
      <c r="A32" s="47" t="s">
        <v>427</v>
      </c>
      <c r="B32" s="48" t="str">
        <f t="shared" si="9"/>
        <v/>
      </c>
      <c r="C32" s="48" t="str">
        <f t="shared" si="10"/>
        <v/>
      </c>
      <c r="D32" s="48" t="str">
        <f t="shared" si="11"/>
        <v/>
      </c>
      <c r="E32" s="48" t="str">
        <f t="shared" si="12"/>
        <v/>
      </c>
      <c r="F32" s="48">
        <f t="shared" si="13"/>
        <v>0</v>
      </c>
      <c r="G32" s="48">
        <f t="shared" si="14"/>
        <v>0</v>
      </c>
      <c r="H32" s="48">
        <f t="shared" si="8"/>
        <v>0</v>
      </c>
    </row>
    <row r="33">
      <c r="A33" s="47" t="s">
        <v>427</v>
      </c>
      <c r="B33" s="48" t="str">
        <f t="shared" si="9"/>
        <v/>
      </c>
      <c r="C33" s="48" t="str">
        <f t="shared" si="10"/>
        <v/>
      </c>
      <c r="D33" s="48" t="str">
        <f t="shared" si="11"/>
        <v/>
      </c>
      <c r="E33" s="48" t="str">
        <f t="shared" si="12"/>
        <v/>
      </c>
      <c r="F33" s="48">
        <f t="shared" si="13"/>
        <v>0</v>
      </c>
      <c r="G33" s="48">
        <f t="shared" si="14"/>
        <v>0</v>
      </c>
      <c r="H33" s="48">
        <f t="shared" si="8"/>
        <v>0</v>
      </c>
    </row>
    <row r="34">
      <c r="A34" s="47" t="s">
        <v>427</v>
      </c>
      <c r="B34" s="48" t="str">
        <f t="shared" si="9"/>
        <v/>
      </c>
      <c r="C34" s="48" t="str">
        <f t="shared" si="10"/>
        <v/>
      </c>
      <c r="D34" s="48" t="str">
        <f t="shared" si="11"/>
        <v/>
      </c>
      <c r="E34" s="48" t="str">
        <f t="shared" si="12"/>
        <v/>
      </c>
      <c r="F34" s="48">
        <f t="shared" si="13"/>
        <v>0</v>
      </c>
      <c r="G34" s="48">
        <f t="shared" si="14"/>
        <v>0</v>
      </c>
      <c r="H34" s="48">
        <f t="shared" si="8"/>
        <v>0</v>
      </c>
    </row>
    <row r="36">
      <c r="A36" s="47" t="s">
        <v>428</v>
      </c>
      <c r="B36" s="48" t="str">
        <f t="array" ref="B36">if(or('Contender Stage'!BX77=0,'Contender Stage'!EJ77=0),"", iferror(xlookup(qualreseeding!AC56:AC71,qualdata!M2:M17,qualdata!N2:N17,""),""))</f>
        <v/>
      </c>
      <c r="C36" s="48" t="str">
        <f t="array" ref="C36">if(or('Contender Stage'!BX77=0,'Contender Stage'!EJ77=0),"",xlookup(qualreseeding!AD56:AD71,qualdata!M2:M17,qualdata!N2:N17,""))</f>
        <v/>
      </c>
      <c r="D36" s="48" t="str">
        <f>'Contender Stage'!BR132</f>
        <v/>
      </c>
      <c r="E36" s="48" t="str">
        <f>'Contender Stage'!BV132</f>
        <v/>
      </c>
      <c r="F36" s="48">
        <f>qualreseeding!AG56</f>
        <v>0</v>
      </c>
      <c r="G36" s="48">
        <f>qualreseeding!AH56</f>
        <v>0</v>
      </c>
      <c r="I36" s="47">
        <v>17.0</v>
      </c>
    </row>
    <row r="37">
      <c r="A37" s="47" t="s">
        <v>428</v>
      </c>
      <c r="D37" s="48" t="str">
        <f>'Contender Stage'!BR139</f>
        <v/>
      </c>
      <c r="E37" s="48" t="str">
        <f>'Contender Stage'!BV139</f>
        <v/>
      </c>
      <c r="F37" s="48">
        <f>qualreseeding!AG57</f>
        <v>0</v>
      </c>
      <c r="G37" s="48">
        <f>qualreseeding!AH57</f>
        <v>0</v>
      </c>
      <c r="I37" s="47">
        <v>18.0</v>
      </c>
    </row>
    <row r="38">
      <c r="A38" s="47" t="s">
        <v>428</v>
      </c>
      <c r="D38" s="48" t="str">
        <f>E37</f>
        <v/>
      </c>
      <c r="E38" s="48" t="str">
        <f>D37</f>
        <v/>
      </c>
      <c r="F38" s="48">
        <f>G37</f>
        <v>0</v>
      </c>
      <c r="G38" s="48">
        <f>F37</f>
        <v>0</v>
      </c>
    </row>
    <row r="39">
      <c r="A39" s="47" t="s">
        <v>428</v>
      </c>
      <c r="D39" s="48" t="str">
        <f>E36</f>
        <v/>
      </c>
      <c r="E39" s="48" t="str">
        <f>D36</f>
        <v/>
      </c>
      <c r="F39" s="48">
        <f>qualreseeding!AG59</f>
        <v>0</v>
      </c>
      <c r="G39" s="48">
        <f>qualreseeding!AH59</f>
        <v>0</v>
      </c>
    </row>
    <row r="40">
      <c r="A40" s="47" t="s">
        <v>428</v>
      </c>
      <c r="D40" s="48" t="str">
        <f>'Contender Stage'!GP132</f>
        <v/>
      </c>
      <c r="E40" s="48" t="str">
        <f>'Contender Stage'!GT132</f>
        <v/>
      </c>
      <c r="F40" s="48">
        <f>qualreseeding!AG60</f>
        <v>0</v>
      </c>
      <c r="G40" s="48">
        <f>qualreseeding!AH60</f>
        <v>0</v>
      </c>
      <c r="I40" s="47">
        <v>19.0</v>
      </c>
    </row>
    <row r="41">
      <c r="A41" s="47" t="s">
        <v>428</v>
      </c>
      <c r="D41" s="48" t="str">
        <f>'Contender Stage'!GP139</f>
        <v/>
      </c>
      <c r="E41" s="48" t="str">
        <f>'Contender Stage'!GT139</f>
        <v/>
      </c>
      <c r="F41" s="48">
        <f>qualreseeding!AG61</f>
        <v>0</v>
      </c>
      <c r="G41" s="48">
        <f>qualreseeding!AH61</f>
        <v>0</v>
      </c>
      <c r="I41" s="47">
        <v>20.0</v>
      </c>
    </row>
    <row r="42">
      <c r="A42" s="47" t="s">
        <v>428</v>
      </c>
      <c r="D42" s="48" t="str">
        <f>E41</f>
        <v/>
      </c>
      <c r="E42" s="48" t="str">
        <f>D41</f>
        <v/>
      </c>
      <c r="F42" s="48">
        <f>G41</f>
        <v>0</v>
      </c>
      <c r="G42" s="48">
        <f>F41</f>
        <v>0</v>
      </c>
    </row>
    <row r="43">
      <c r="A43" s="47" t="s">
        <v>428</v>
      </c>
      <c r="D43" s="48" t="str">
        <f>E40</f>
        <v/>
      </c>
      <c r="E43" s="48" t="str">
        <f>D40</f>
        <v/>
      </c>
      <c r="F43" s="48">
        <f>G40</f>
        <v>0</v>
      </c>
      <c r="G43" s="48">
        <f>F40</f>
        <v>0</v>
      </c>
    </row>
    <row r="44">
      <c r="A44" s="47" t="s">
        <v>428</v>
      </c>
      <c r="D44" s="48" t="str">
        <f>'Contender Stage'!ED132</f>
        <v/>
      </c>
      <c r="E44" s="48" t="str">
        <f>'Contender Stage'!EH132</f>
        <v/>
      </c>
      <c r="F44" s="48">
        <f>qualreseeding!AG64</f>
        <v>0</v>
      </c>
      <c r="G44" s="48">
        <f>qualreseeding!AH64</f>
        <v>0</v>
      </c>
      <c r="I44" s="47">
        <v>21.0</v>
      </c>
    </row>
    <row r="45">
      <c r="A45" s="47" t="s">
        <v>428</v>
      </c>
      <c r="D45" s="48" t="str">
        <f>'Contender Stage'!ED139</f>
        <v/>
      </c>
      <c r="E45" s="48" t="str">
        <f>'Contender Stage'!EH139</f>
        <v/>
      </c>
      <c r="F45" s="48">
        <f>qualreseeding!AG65</f>
        <v>0</v>
      </c>
      <c r="G45" s="48">
        <f>qualreseeding!AH65</f>
        <v>0</v>
      </c>
      <c r="I45" s="47">
        <v>22.0</v>
      </c>
    </row>
    <row r="46">
      <c r="A46" s="47" t="s">
        <v>428</v>
      </c>
      <c r="D46" s="48" t="str">
        <f>'Contender Stage'!ED146</f>
        <v/>
      </c>
      <c r="E46" s="48" t="str">
        <f>'Contender Stage'!EH146</f>
        <v/>
      </c>
      <c r="F46" s="48">
        <f>qualreseeding!AG66</f>
        <v>0</v>
      </c>
      <c r="G46" s="48">
        <f>qualreseeding!AH66</f>
        <v>0</v>
      </c>
      <c r="I46" s="47">
        <v>23.0</v>
      </c>
    </row>
    <row r="47">
      <c r="A47" s="47" t="s">
        <v>428</v>
      </c>
      <c r="D47" s="48" t="str">
        <f>'Contender Stage'!ED153</f>
        <v/>
      </c>
      <c r="E47" s="48" t="str">
        <f>'Contender Stage'!EH153</f>
        <v/>
      </c>
      <c r="F47" s="48">
        <f>qualreseeding!AG67</f>
        <v>0</v>
      </c>
      <c r="G47" s="48">
        <f>qualreseeding!AH67</f>
        <v>0</v>
      </c>
      <c r="I47" s="47">
        <v>24.0</v>
      </c>
    </row>
    <row r="48">
      <c r="A48" s="47" t="s">
        <v>428</v>
      </c>
      <c r="D48" s="48" t="str">
        <f t="shared" ref="D48:D51" si="15">E44</f>
        <v/>
      </c>
      <c r="E48" s="48" t="str">
        <f t="shared" ref="E48:E51" si="16">D44</f>
        <v/>
      </c>
      <c r="F48" s="48">
        <f>qualreseeding!AG68</f>
        <v>0</v>
      </c>
      <c r="G48" s="48">
        <f>qualreseeding!AH68</f>
        <v>0</v>
      </c>
    </row>
    <row r="49">
      <c r="A49" s="47" t="s">
        <v>428</v>
      </c>
      <c r="D49" s="48" t="str">
        <f t="shared" si="15"/>
        <v/>
      </c>
      <c r="E49" s="48" t="str">
        <f t="shared" si="16"/>
        <v/>
      </c>
      <c r="F49" s="48">
        <f>qualreseeding!AG69</f>
        <v>0</v>
      </c>
      <c r="G49" s="48">
        <f>qualreseeding!AH69</f>
        <v>0</v>
      </c>
    </row>
    <row r="50">
      <c r="A50" s="47" t="s">
        <v>428</v>
      </c>
      <c r="D50" s="48" t="str">
        <f t="shared" si="15"/>
        <v/>
      </c>
      <c r="E50" s="48" t="str">
        <f t="shared" si="16"/>
        <v/>
      </c>
      <c r="F50" s="48">
        <f>qualreseeding!AG70</f>
        <v>0</v>
      </c>
      <c r="G50" s="48">
        <f>qualreseeding!AH70</f>
        <v>0</v>
      </c>
    </row>
    <row r="51">
      <c r="A51" s="47" t="s">
        <v>428</v>
      </c>
      <c r="D51" s="48" t="str">
        <f t="shared" si="15"/>
        <v/>
      </c>
      <c r="E51" s="48" t="str">
        <f t="shared" si="16"/>
        <v/>
      </c>
      <c r="F51" s="48">
        <f>qualreseeding!AG71</f>
        <v>0</v>
      </c>
      <c r="G51" s="48">
        <f>qualreseeding!AH71</f>
        <v>0</v>
      </c>
    </row>
    <row r="53">
      <c r="A53" s="47" t="s">
        <v>429</v>
      </c>
      <c r="B53" s="48" t="str">
        <f t="array" ref="B53">if(or('Contender Stage'!AR120="",'Contender Stage'!DD120=0,'Contender Stage'!FP120=0),"", xlookup(qualreseeding!AC163:AC174,qualdata!M2:M17,qualdata!N2:N17,""))</f>
        <v/>
      </c>
      <c r="C53" s="48" t="str">
        <f t="array" ref="C53">if(or('Contender Stage'!AR120="",'Contender Stage'!DD120=0,'Contender Stage'!FP120=0),"",xlookup(qualreseeding!AD163:AD174,qualdata!M2:M17,qualdata!N2:N17,""))</f>
        <v/>
      </c>
      <c r="D53" s="48" t="str">
        <f>qualreseeding!AE163</f>
        <v/>
      </c>
      <c r="E53" s="48" t="str">
        <f>qualreseeding!AF163</f>
        <v/>
      </c>
      <c r="F53" s="48">
        <f>qualreseeding!AG163</f>
        <v>0</v>
      </c>
      <c r="G53" s="48">
        <f>qualreseeding!AH163</f>
        <v>0</v>
      </c>
      <c r="I53" s="47">
        <v>25.0</v>
      </c>
    </row>
    <row r="54">
      <c r="A54" s="47" t="s">
        <v>429</v>
      </c>
      <c r="D54" s="48" t="str">
        <f>qualreseeding!AE164</f>
        <v/>
      </c>
      <c r="E54" s="48" t="str">
        <f>qualreseeding!AF164</f>
        <v/>
      </c>
      <c r="F54" s="48">
        <f>qualreseeding!AG164</f>
        <v>0</v>
      </c>
      <c r="G54" s="48">
        <f>qualreseeding!AH164</f>
        <v>0</v>
      </c>
      <c r="I54" s="47">
        <v>26.0</v>
      </c>
    </row>
    <row r="55">
      <c r="A55" s="47" t="s">
        <v>429</v>
      </c>
      <c r="D55" s="48" t="str">
        <f>qualreseeding!AE165</f>
        <v/>
      </c>
      <c r="E55" s="48" t="str">
        <f>qualreseeding!AF165</f>
        <v/>
      </c>
      <c r="F55" s="48">
        <f>qualreseeding!AG165</f>
        <v>0</v>
      </c>
      <c r="G55" s="48">
        <f>qualreseeding!AH165</f>
        <v>0</v>
      </c>
      <c r="I55" s="47">
        <v>27.0</v>
      </c>
    </row>
    <row r="56">
      <c r="A56" s="47" t="s">
        <v>429</v>
      </c>
      <c r="D56" s="48" t="str">
        <f>qualreseeding!AE166</f>
        <v/>
      </c>
      <c r="E56" s="48" t="str">
        <f>qualreseeding!AF166</f>
        <v/>
      </c>
      <c r="F56" s="48">
        <f>qualreseeding!AG166</f>
        <v>0</v>
      </c>
      <c r="G56" s="48">
        <f>qualreseeding!AH166</f>
        <v>0</v>
      </c>
    </row>
    <row r="57">
      <c r="A57" s="47" t="s">
        <v>429</v>
      </c>
      <c r="D57" s="48" t="str">
        <f>qualreseeding!AE167</f>
        <v/>
      </c>
      <c r="E57" s="48" t="str">
        <f>qualreseeding!AF167</f>
        <v/>
      </c>
      <c r="F57" s="48">
        <f>qualreseeding!AG167</f>
        <v>0</v>
      </c>
      <c r="G57" s="48">
        <f>qualreseeding!AH167</f>
        <v>0</v>
      </c>
    </row>
    <row r="58">
      <c r="A58" s="47" t="s">
        <v>429</v>
      </c>
      <c r="D58" s="48" t="str">
        <f>qualreseeding!AE168</f>
        <v/>
      </c>
      <c r="E58" s="48" t="str">
        <f>qualreseeding!AF168</f>
        <v/>
      </c>
      <c r="F58" s="48">
        <f>qualreseeding!AG168</f>
        <v>0</v>
      </c>
      <c r="G58" s="48">
        <f>qualreseeding!AH168</f>
        <v>0</v>
      </c>
    </row>
    <row r="59">
      <c r="A59" s="47" t="s">
        <v>429</v>
      </c>
      <c r="D59" s="48" t="str">
        <f>qualreseeding!AE169</f>
        <v/>
      </c>
      <c r="E59" s="48" t="str">
        <f>qualreseeding!AF169</f>
        <v/>
      </c>
      <c r="F59" s="48">
        <f>qualreseeding!AG169</f>
        <v>0</v>
      </c>
      <c r="G59" s="48">
        <f>qualreseeding!AH169</f>
        <v>0</v>
      </c>
      <c r="I59" s="47">
        <v>28.0</v>
      </c>
    </row>
    <row r="60">
      <c r="A60" s="47" t="s">
        <v>429</v>
      </c>
      <c r="D60" s="48" t="str">
        <f>qualreseeding!AE170</f>
        <v/>
      </c>
      <c r="E60" s="48" t="str">
        <f>qualreseeding!AF170</f>
        <v/>
      </c>
      <c r="F60" s="48">
        <f>qualreseeding!AG170</f>
        <v>0</v>
      </c>
      <c r="G60" s="48">
        <f>qualreseeding!AH170</f>
        <v>0</v>
      </c>
      <c r="I60" s="47">
        <v>29.0</v>
      </c>
    </row>
    <row r="61">
      <c r="A61" s="47" t="s">
        <v>429</v>
      </c>
      <c r="D61" s="48" t="str">
        <f>qualreseeding!AE171</f>
        <v/>
      </c>
      <c r="E61" s="48" t="str">
        <f>qualreseeding!AF171</f>
        <v/>
      </c>
      <c r="F61" s="48">
        <f>qualreseeding!AG171</f>
        <v>0</v>
      </c>
      <c r="G61" s="48">
        <f>qualreseeding!AH171</f>
        <v>0</v>
      </c>
      <c r="I61" s="47">
        <v>30.0</v>
      </c>
    </row>
    <row r="62">
      <c r="A62" s="47" t="s">
        <v>429</v>
      </c>
      <c r="D62" s="48" t="str">
        <f>qualreseeding!AE172</f>
        <v/>
      </c>
      <c r="E62" s="48" t="str">
        <f>qualreseeding!AF172</f>
        <v/>
      </c>
      <c r="F62" s="48">
        <f>qualreseeding!AG172</f>
        <v>0</v>
      </c>
      <c r="G62" s="48">
        <f>qualreseeding!AH172</f>
        <v>0</v>
      </c>
    </row>
    <row r="63">
      <c r="A63" s="47" t="s">
        <v>429</v>
      </c>
      <c r="D63" s="48" t="str">
        <f>qualreseeding!AE173</f>
        <v/>
      </c>
      <c r="E63" s="48" t="str">
        <f>qualreseeding!AF173</f>
        <v/>
      </c>
      <c r="F63" s="48">
        <f>qualreseeding!AG173</f>
        <v>0</v>
      </c>
      <c r="G63" s="48">
        <f>qualreseeding!AH173</f>
        <v>0</v>
      </c>
    </row>
    <row r="64">
      <c r="A64" s="47" t="s">
        <v>429</v>
      </c>
      <c r="D64" s="48" t="str">
        <f>qualreseeding!AE174</f>
        <v/>
      </c>
      <c r="E64" s="48" t="str">
        <f>qualreseeding!AF174</f>
        <v/>
      </c>
      <c r="F64" s="48">
        <f>qualreseeding!AG174</f>
        <v>0</v>
      </c>
      <c r="G64" s="48">
        <f>qualreseeding!AH174</f>
        <v>0</v>
      </c>
    </row>
    <row r="66">
      <c r="A66" s="47" t="s">
        <v>416</v>
      </c>
      <c r="B66" s="48" t="str">
        <f t="array" ref="B66">if(or('Contender Stage'!BX163=0,'Contender Stage'!EJ163=0),"", xlookup(qualreseeding!AC308:AC313,qualdata!M2:M17,qualdata!N2:N17,""))</f>
        <v/>
      </c>
      <c r="C66" s="48" t="str">
        <f t="array" ref="C66">if(or('Contender Stage'!BX163=0,'Contender Stage'!EJ163=0),"",xlookup(qualreseeding!AD308:AD313,qualdata!M2:M17,qualdata!N2:N17,""))</f>
        <v/>
      </c>
      <c r="D66" s="48" t="str">
        <f>qualreseeding!AE308</f>
        <v/>
      </c>
      <c r="E66" s="48" t="str">
        <f>qualreseeding!AF308</f>
        <v/>
      </c>
      <c r="F66" s="48">
        <f>qualreseeding!AG308</f>
        <v>0</v>
      </c>
      <c r="G66" s="48">
        <f>qualreseeding!AH308</f>
        <v>0</v>
      </c>
      <c r="I66" s="47">
        <v>31.0</v>
      </c>
    </row>
    <row r="67">
      <c r="A67" s="47" t="s">
        <v>416</v>
      </c>
      <c r="D67" s="48" t="str">
        <f>qualreseeding!AE309</f>
        <v/>
      </c>
      <c r="E67" s="48" t="str">
        <f>qualreseeding!AF309</f>
        <v/>
      </c>
      <c r="F67" s="48">
        <f>qualreseeding!AG309</f>
        <v>0</v>
      </c>
      <c r="G67" s="48">
        <f>qualreseeding!AH309</f>
        <v>0</v>
      </c>
      <c r="I67" s="47">
        <v>32.0</v>
      </c>
    </row>
    <row r="68">
      <c r="A68" s="47" t="s">
        <v>416</v>
      </c>
      <c r="D68" s="48" t="str">
        <f>qualreseeding!AE310</f>
        <v/>
      </c>
      <c r="E68" s="48" t="str">
        <f>qualreseeding!AF310</f>
        <v/>
      </c>
      <c r="F68" s="48">
        <f>qualreseeding!AG310</f>
        <v>0</v>
      </c>
      <c r="G68" s="48">
        <f>qualreseeding!AH310</f>
        <v>0</v>
      </c>
      <c r="I68" s="47">
        <v>33.0</v>
      </c>
    </row>
    <row r="69">
      <c r="A69" s="47" t="s">
        <v>416</v>
      </c>
      <c r="D69" s="48" t="str">
        <f>qualreseeding!AE311</f>
        <v/>
      </c>
      <c r="E69" s="48" t="str">
        <f>qualreseeding!AF311</f>
        <v/>
      </c>
      <c r="F69" s="48">
        <f>qualreseeding!AG311</f>
        <v>0</v>
      </c>
      <c r="G69" s="48">
        <f>qualreseeding!AH311</f>
        <v>0</v>
      </c>
    </row>
    <row r="70">
      <c r="A70" s="47" t="s">
        <v>416</v>
      </c>
      <c r="D70" s="48" t="str">
        <f>qualreseeding!AE312</f>
        <v/>
      </c>
      <c r="E70" s="48" t="str">
        <f>qualreseeding!AF312</f>
        <v/>
      </c>
      <c r="F70" s="48">
        <f>qualreseeding!AG312</f>
        <v>0</v>
      </c>
      <c r="G70" s="48">
        <f>qualreseeding!AH312</f>
        <v>0</v>
      </c>
    </row>
    <row r="71">
      <c r="A71" s="47" t="s">
        <v>416</v>
      </c>
      <c r="D71" s="48" t="str">
        <f>qualreseeding!AE313</f>
        <v/>
      </c>
      <c r="E71" s="48" t="str">
        <f>qualreseeding!AF313</f>
        <v/>
      </c>
      <c r="F71" s="48">
        <f>qualreseeding!AG313</f>
        <v>0</v>
      </c>
      <c r="G71" s="48">
        <f>qualreseeding!AH313</f>
        <v>0</v>
      </c>
    </row>
    <row r="74">
      <c r="A74" s="47" t="s">
        <v>430</v>
      </c>
      <c r="B74" s="48" t="str">
        <f>'Contender Stage'!AW253</f>
        <v/>
      </c>
      <c r="C74" s="48" t="str">
        <f>'Contender Stage'!AW257</f>
        <v/>
      </c>
      <c r="D74" s="48" t="str">
        <f>'Contender Stage'!BV253</f>
        <v/>
      </c>
      <c r="E74" s="48" t="str">
        <f>'Contender Stage'!BV257</f>
        <v/>
      </c>
      <c r="I74" s="47">
        <v>34.0</v>
      </c>
    </row>
    <row r="75">
      <c r="A75" s="47" t="s">
        <v>430</v>
      </c>
      <c r="B75" s="48" t="str">
        <f>'Contender Stage'!AW263</f>
        <v/>
      </c>
      <c r="C75" s="48" t="str">
        <f>'Contender Stage'!AW267</f>
        <v/>
      </c>
      <c r="D75" s="48" t="str">
        <f>'Contender Stage'!BV263</f>
        <v/>
      </c>
      <c r="E75" s="48" t="str">
        <f>'Contender Stage'!BV267</f>
        <v/>
      </c>
      <c r="I75" s="47">
        <v>35.0</v>
      </c>
    </row>
    <row r="76">
      <c r="A76" s="47" t="s">
        <v>430</v>
      </c>
      <c r="B76" s="48" t="str">
        <f>'Contender Stage'!AW273</f>
        <v/>
      </c>
      <c r="C76" s="48" t="str">
        <f>'Contender Stage'!AW277</f>
        <v/>
      </c>
      <c r="D76" s="48" t="str">
        <f>'Contender Stage'!BV273</f>
        <v/>
      </c>
      <c r="E76" s="48" t="str">
        <f>'Contender Stage'!BV277</f>
        <v/>
      </c>
      <c r="I76" s="47">
        <v>36.0</v>
      </c>
    </row>
    <row r="77">
      <c r="A77" s="47" t="s">
        <v>430</v>
      </c>
      <c r="B77" s="48" t="str">
        <f>'Contender Stage'!AW283</f>
        <v/>
      </c>
      <c r="C77" s="48" t="str">
        <f>'Contender Stage'!AW287</f>
        <v/>
      </c>
      <c r="D77" s="48" t="str">
        <f>'Contender Stage'!BV283</f>
        <v/>
      </c>
      <c r="E77" s="48" t="str">
        <f>'Contender Stage'!BV287</f>
        <v/>
      </c>
      <c r="I77" s="47">
        <v>37.0</v>
      </c>
    </row>
    <row r="79">
      <c r="A79" s="47" t="s">
        <v>431</v>
      </c>
      <c r="B79" s="48" t="str">
        <f>'Contender Stage'!CH258</f>
        <v/>
      </c>
      <c r="C79" s="48" t="str">
        <f>'Contender Stage'!CH262</f>
        <v/>
      </c>
      <c r="D79" s="48" t="str">
        <f>'Contender Stage'!DG258</f>
        <v/>
      </c>
      <c r="E79" s="48" t="str">
        <f>'Contender Stage'!DG262</f>
        <v/>
      </c>
      <c r="I79" s="47">
        <v>38.0</v>
      </c>
    </row>
    <row r="80">
      <c r="A80" s="47" t="s">
        <v>431</v>
      </c>
      <c r="B80" s="48" t="str">
        <f>'Contender Stage'!CH278</f>
        <v/>
      </c>
      <c r="C80" s="48" t="str">
        <f>'Contender Stage'!CH282</f>
        <v/>
      </c>
      <c r="D80" s="48" t="str">
        <f>'Contender Stage'!DG278</f>
        <v/>
      </c>
      <c r="E80" s="48" t="str">
        <f>'Contender Stage'!DG282</f>
        <v/>
      </c>
      <c r="I80" s="47">
        <v>39.0</v>
      </c>
    </row>
    <row r="82">
      <c r="A82" s="47" t="s">
        <v>432</v>
      </c>
      <c r="B82" s="48" t="str">
        <f>'Contender Stage'!DS268</f>
        <v/>
      </c>
      <c r="C82" s="48" t="str">
        <f>'Contender Stage'!DS272</f>
        <v/>
      </c>
      <c r="D82" s="48" t="str">
        <f>'Contender Stage'!ER268</f>
        <v/>
      </c>
      <c r="E82" s="48" t="str">
        <f>'Contender Stage'!ER272</f>
        <v/>
      </c>
      <c r="I82" s="47">
        <v>40.0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1" width="6.38"/>
  </cols>
  <sheetData>
    <row r="1">
      <c r="A1" s="47" t="s">
        <v>433</v>
      </c>
      <c r="B1" s="47" t="s">
        <v>90</v>
      </c>
      <c r="C1" s="47" t="s">
        <v>91</v>
      </c>
      <c r="D1" s="47" t="s">
        <v>434</v>
      </c>
      <c r="E1" s="47" t="s">
        <v>435</v>
      </c>
      <c r="F1" s="47" t="s">
        <v>436</v>
      </c>
      <c r="G1" s="47" t="s">
        <v>437</v>
      </c>
      <c r="H1" s="47" t="s">
        <v>438</v>
      </c>
      <c r="I1" s="47" t="s">
        <v>439</v>
      </c>
      <c r="J1" s="47" t="s">
        <v>440</v>
      </c>
      <c r="K1" s="47" t="s">
        <v>441</v>
      </c>
      <c r="L1" s="47" t="s">
        <v>442</v>
      </c>
      <c r="M1" s="47" t="s">
        <v>88</v>
      </c>
      <c r="N1" s="47" t="s">
        <v>326</v>
      </c>
      <c r="O1" s="47" t="s">
        <v>327</v>
      </c>
      <c r="P1" s="37" t="s">
        <v>371</v>
      </c>
      <c r="Q1" s="37" t="s">
        <v>372</v>
      </c>
      <c r="R1" s="37" t="s">
        <v>373</v>
      </c>
      <c r="S1" s="37" t="s">
        <v>374</v>
      </c>
      <c r="T1" s="37" t="s">
        <v>375</v>
      </c>
      <c r="U1" s="37" t="s">
        <v>376</v>
      </c>
      <c r="V1" s="37" t="s">
        <v>443</v>
      </c>
      <c r="W1" s="263" t="s">
        <v>444</v>
      </c>
      <c r="X1" s="263" t="s">
        <v>445</v>
      </c>
      <c r="Y1" s="263" t="s">
        <v>446</v>
      </c>
      <c r="Z1" s="263" t="s">
        <v>377</v>
      </c>
      <c r="AA1" s="37" t="s">
        <v>381</v>
      </c>
      <c r="AB1" s="37" t="s">
        <v>447</v>
      </c>
      <c r="AC1" s="37" t="s">
        <v>448</v>
      </c>
      <c r="AD1" s="37" t="s">
        <v>383</v>
      </c>
      <c r="AE1" s="37" t="s">
        <v>384</v>
      </c>
      <c r="AF1" s="37" t="s">
        <v>385</v>
      </c>
      <c r="AG1" s="37" t="s">
        <v>386</v>
      </c>
      <c r="AH1" s="263" t="s">
        <v>449</v>
      </c>
      <c r="AI1" s="263" t="s">
        <v>450</v>
      </c>
      <c r="AJ1" s="263" t="s">
        <v>451</v>
      </c>
      <c r="AK1" s="263" t="s">
        <v>387</v>
      </c>
      <c r="AL1" s="37" t="s">
        <v>410</v>
      </c>
      <c r="AM1" s="37" t="s">
        <v>452</v>
      </c>
      <c r="AN1" s="37" t="s">
        <v>453</v>
      </c>
      <c r="AO1" s="37" t="s">
        <v>398</v>
      </c>
      <c r="AP1" s="37" t="s">
        <v>399</v>
      </c>
      <c r="AQ1" s="37" t="s">
        <v>400</v>
      </c>
      <c r="AR1" s="37" t="s">
        <v>401</v>
      </c>
      <c r="AS1" s="263" t="s">
        <v>454</v>
      </c>
      <c r="AT1" s="263" t="s">
        <v>455</v>
      </c>
      <c r="AU1" s="263" t="s">
        <v>456</v>
      </c>
      <c r="AV1" s="263" t="s">
        <v>457</v>
      </c>
      <c r="AW1" s="37" t="s">
        <v>458</v>
      </c>
      <c r="AX1" s="37" t="s">
        <v>459</v>
      </c>
      <c r="AY1" s="37" t="s">
        <v>460</v>
      </c>
      <c r="AZ1" s="37" t="s">
        <v>411</v>
      </c>
      <c r="BA1" s="37" t="s">
        <v>412</v>
      </c>
      <c r="BB1" s="37" t="s">
        <v>413</v>
      </c>
      <c r="BC1" s="37" t="s">
        <v>414</v>
      </c>
      <c r="BD1" s="263" t="s">
        <v>461</v>
      </c>
      <c r="BE1" s="263" t="s">
        <v>462</v>
      </c>
      <c r="BF1" s="263" t="s">
        <v>463</v>
      </c>
      <c r="BG1" s="263" t="s">
        <v>464</v>
      </c>
      <c r="BH1" s="37" t="s">
        <v>465</v>
      </c>
      <c r="BI1" s="37" t="s">
        <v>466</v>
      </c>
      <c r="BJ1" s="37" t="s">
        <v>467</v>
      </c>
      <c r="BK1" s="37" t="s">
        <v>468</v>
      </c>
      <c r="BL1" s="37" t="s">
        <v>469</v>
      </c>
      <c r="BM1" s="37" t="s">
        <v>470</v>
      </c>
      <c r="BN1" s="37" t="s">
        <v>471</v>
      </c>
      <c r="BO1" s="263" t="s">
        <v>472</v>
      </c>
      <c r="BP1" s="263" t="s">
        <v>473</v>
      </c>
      <c r="BQ1" s="263" t="s">
        <v>474</v>
      </c>
      <c r="BR1" s="263" t="s">
        <v>475</v>
      </c>
      <c r="BS1" s="263">
        <f>if(or('Contender Stage'!ED211="",'Contender Stage'!EH211="",'Contender Stage'!ED218="",'Contender Stage'!EH218="",'Contender Stage'!ED225="",'Contender Stage'!EH225=""),0,1)</f>
        <v>0</v>
      </c>
    </row>
    <row r="2">
      <c r="A2" s="48" t="str">
        <f t="shared" ref="A2:A17" si="3">D2&amp;"-"&amp;E2</f>
        <v>0-0</v>
      </c>
      <c r="B2" s="48" t="str">
        <f t="shared" ref="B2:B17" si="4">G2&amp;"-"&amp;H2</f>
        <v>0-0</v>
      </c>
      <c r="C2" s="48" t="str">
        <f t="shared" ref="C2:C17" si="5">J2&amp;"-"&amp;K2</f>
        <v>0-0</v>
      </c>
      <c r="D2" s="48">
        <f t="shared" ref="D2:D17" si="6">countif(S2:BR2,"W")</f>
        <v>0</v>
      </c>
      <c r="E2" s="48">
        <f t="shared" ref="E2:E17" si="7">countif(S2:BR2,"L")</f>
        <v>0</v>
      </c>
      <c r="F2" s="48">
        <f t="shared" ref="F2:F17" si="8">D2-E2</f>
        <v>0</v>
      </c>
      <c r="G2" s="48">
        <f t="shared" ref="G2:H2" si="1">Q2+AB2+AM2+AX2+BI2</f>
        <v>0</v>
      </c>
      <c r="H2" s="48">
        <f t="shared" si="1"/>
        <v>0</v>
      </c>
      <c r="I2" s="48">
        <f t="shared" ref="I2:I17" si="10">G2-H2</f>
        <v>0</v>
      </c>
      <c r="J2" s="48">
        <f t="shared" ref="J2:K2" si="2">W2+AH2+AS2+BD2+BO2</f>
        <v>0</v>
      </c>
      <c r="K2" s="48">
        <f t="shared" si="2"/>
        <v>0</v>
      </c>
      <c r="L2" s="48">
        <f t="shared" ref="L2:L17" si="12">J2-K2</f>
        <v>0</v>
      </c>
      <c r="M2" s="47">
        <v>1.0</v>
      </c>
      <c r="N2" s="48" t="str">
        <f t="array" ref="N2:O2">xlookup(M2+4,'Team Entry'!$C$38:$C$61,'Team Entry'!$A$38:$B$61,"")</f>
        <v>Team 1 (Group 2)</v>
      </c>
      <c r="O2" s="274"/>
      <c r="P2" s="48">
        <f t="array" ref="P2:P17">XLOOKUP(M2:M17,'Choose matchups (Main)'!Q5:Q20,'Choose matchups (Main)'!R5:R20,"")</f>
        <v>9</v>
      </c>
      <c r="Q2" s="48" t="str">
        <f t="array" ref="Q2:Q17">xlookup(M2:M17,'Main Event'!DC18:DC73,'Main Event'!ED18:ED73,xlookup(M2:M17,'Main Event'!FL18:FL73,'Main Event'!EH18:EH73,""))</f>
        <v/>
      </c>
      <c r="R2" s="48" t="str">
        <f t="array" ref="R2:R17">xlookup(P2:P17,M2:M17,Q2:Q17,"")</f>
        <v/>
      </c>
      <c r="S2" s="48" t="str">
        <f t="shared" ref="S2:S17" si="13">ifs(or(Q2="",R2=""),"",and(Q2=0,R2=0),"L",Q2&gt;R2,"W",R2&gt;Q2,"L")</f>
        <v/>
      </c>
      <c r="T2" s="48">
        <f t="shared" ref="T2:T17" si="14">Q2-R2</f>
        <v>0</v>
      </c>
      <c r="U2" s="48">
        <f t="shared" ref="U2:U17" si="15">T2</f>
        <v>0</v>
      </c>
      <c r="W2" s="48">
        <f t="array" ref="W2:W17">xlookup(M2:M17,'Main Event'!DC18:DC73,'Main Event'!ED18:ED73,xlookup(M2:M17,'Main Event'!FL18:FL73,'Main Event'!EH18:EH73,"",0,-1),0,-1)</f>
        <v>0</v>
      </c>
      <c r="X2" s="48">
        <f t="array" ref="X2:X17">xlookup(P2:P17,'Main Event'!DC18:DC73,'Main Event'!ED18:ED73,xlookup(P2:P17,'Main Event'!FL18:FL73,'Main Event'!EH18:EH73,"",0,-1),0,-1)</f>
        <v>0</v>
      </c>
      <c r="Y2" s="48">
        <f t="shared" ref="Y2:Y17" si="16">W2-X2</f>
        <v>0</v>
      </c>
      <c r="Z2" s="48">
        <f t="shared" ref="Z2:Z17" si="17">Y2</f>
        <v>0</v>
      </c>
      <c r="AA2" s="275" t="str">
        <f t="array" ref="AA2">if('Main Event'!DD6=0,"",xlookup(M2:M17,reseeding!AC2:AC18,reseeding!AD2:AD18,""))</f>
        <v/>
      </c>
      <c r="AB2" s="48" t="str">
        <f t="array" ref="AB2:AB17">xlookup(N2:N17,matchups!B19:B34,matchups!D19:D34,"")</f>
        <v/>
      </c>
      <c r="AC2" s="48" t="str">
        <f t="array" ref="AC2:AC17">xlookup(N2:N17,matchups!B19:B34,matchups!E19:E34,"")</f>
        <v/>
      </c>
      <c r="AD2" s="48" t="str">
        <f t="shared" ref="AD2:AD17" si="18">ifs(or(AB2="",AC2=""),"",and(AB2=0,AC2=0),"L",AB2&gt;AC2,"W",AC2&gt;AB2,"L")</f>
        <v/>
      </c>
      <c r="AE2" s="48">
        <f t="shared" ref="AE2:AE17" si="19">AB2-AC2</f>
        <v>0</v>
      </c>
      <c r="AF2" s="48">
        <f t="shared" ref="AF2:AF17" si="20">U2+AE2</f>
        <v>0</v>
      </c>
      <c r="AG2" s="48">
        <f t="shared" ref="AG2:AG17" si="21">countif($S2:AD2,"W")</f>
        <v>0</v>
      </c>
      <c r="AH2" s="48" t="str">
        <f t="array" ref="AH2:AH17">xlookup(N2:N17,matchups!B19:B34,matchups!F19:F34,"")</f>
        <v/>
      </c>
      <c r="AI2" s="48" t="str">
        <f t="array" ref="AI2:AI17">xlookup(N2:N17,matchups!B19:B34,matchups!G19:G34,"")</f>
        <v/>
      </c>
      <c r="AJ2" s="48">
        <f t="shared" ref="AJ2:AJ17" si="22">AH2-AI2</f>
        <v>0</v>
      </c>
      <c r="AK2" s="48">
        <f t="shared" ref="AK2:AK17" si="23">Z2+AJ2</f>
        <v>0</v>
      </c>
      <c r="AL2" s="48" t="str">
        <f t="array" ref="AL2">if(or('Main Event'!BX77=0,'Main Event'!EJ77=0),"", xlookup(M2:M17,reseeding!AC56:AC71,reseeding!AD56:AD71,""))</f>
        <v/>
      </c>
      <c r="AM2" s="48" t="str">
        <f t="array" ref="AM2:AM17">xlookup(N2:N17,matchups!B36:B51,matchups!D36:D51,"")</f>
        <v/>
      </c>
      <c r="AN2" s="48" t="str">
        <f t="array" ref="AN2:AN17">xlookup(N2:N17,matchups!B36:B51,matchups!E36:E51,"")</f>
        <v/>
      </c>
      <c r="AO2" s="48" t="str">
        <f t="shared" ref="AO2:AO17" si="24">ifs(or(AM2="",AN2=""),"",and(AM2=0,AN2=0),"L",AM2&gt;AN2,"W",AN2&gt;AM2,"L")</f>
        <v/>
      </c>
      <c r="AP2" s="48">
        <f t="shared" ref="AP2:AP17" si="25">AM2-AN2</f>
        <v>0</v>
      </c>
      <c r="AQ2" s="48">
        <f t="shared" ref="AQ2:AQ17" si="26">AF2+AP2</f>
        <v>0</v>
      </c>
      <c r="AR2" s="48">
        <f t="shared" ref="AR2:AR17" si="27">countif($S2:AO2,"W")</f>
        <v>0</v>
      </c>
      <c r="AS2" s="48" t="str">
        <f t="array" ref="AS2:AS17">xlookup(N2:N17,matchups!B36:B51,matchups!F36:F51,"")</f>
        <v/>
      </c>
      <c r="AT2" s="48" t="str">
        <f t="array" ref="AT2:AT17">xlookup(N2:N17,matchups!B36:B51,matchups!G36:G51,"")</f>
        <v/>
      </c>
      <c r="AU2" s="48">
        <f t="shared" ref="AU2:AU17" si="28">AS2-AT2</f>
        <v>0</v>
      </c>
      <c r="AV2" s="48">
        <f t="shared" ref="AV2:AV17" si="29">AK2+AU2</f>
        <v>0</v>
      </c>
      <c r="AW2" s="48" t="str">
        <f t="array" ref="AW2">if(or('Main Event'!AR120=0,'Main Event'!DD120=0,'Main Event'!FP120=0),"", xlookup(M2:M17,reseeding!AC163:AC174,reseeding!AD163:AD174,""))</f>
        <v/>
      </c>
      <c r="AX2" s="48" t="str">
        <f t="array" ref="AX2:AX17">xlookup(N2:N17,matchups!B53:B64,matchups!D53:D64,"")</f>
        <v/>
      </c>
      <c r="AY2" s="48" t="str">
        <f t="array" ref="AY2:AY17">xlookup(N2:N17,matchups!B53:B64,matchups!E53:E64,"")</f>
        <v/>
      </c>
      <c r="AZ2" s="48" t="str">
        <f t="shared" ref="AZ2:AZ17" si="30">ifs(or(AX2="",AY2=""),"",and(AX2=0,AY2=0),"L",AX2&gt;AY2,"W",AY2&gt;AX2,"L")</f>
        <v/>
      </c>
      <c r="BA2" s="48">
        <f t="shared" ref="BA2:BA17" si="31">AX2-AY2</f>
        <v>0</v>
      </c>
      <c r="BB2" s="48">
        <f t="shared" ref="BB2:BB17" si="32">AQ2+BA2</f>
        <v>0</v>
      </c>
      <c r="BC2" s="48">
        <f t="shared" ref="BC2:BC17" si="33">countif($S2:AZ2,"W")</f>
        <v>0</v>
      </c>
      <c r="BD2" s="48" t="str">
        <f t="array" ref="BD2:BD17">xlookup(N2:N17,matchups!B53:B64,matchups!F53:F64,"")</f>
        <v/>
      </c>
      <c r="BE2" s="48" t="str">
        <f t="array" ref="BE2:BE17">xlookup(N2:N17,matchups!B53:B64,matchups!G53:G64,"")</f>
        <v/>
      </c>
      <c r="BF2" s="48">
        <f t="shared" ref="BF2:BF17" si="34">BD2-BE2</f>
        <v>0</v>
      </c>
      <c r="BG2" s="48">
        <f t="shared" ref="BG2:BG17" si="35">AV2+BF2</f>
        <v>0</v>
      </c>
      <c r="BH2" s="48" t="str">
        <f t="array" ref="BH2">if(or('Main Event'!BX163=0,'Main Event'!EJ163=0),"", xlookup(M2:M17,reseeding!AC308:AC313,reseeding!AD308:AD313,""))</f>
        <v/>
      </c>
      <c r="BI2" s="48" t="str">
        <f t="array" ref="BI2:BI17">xlookup(N2:N17,matchups!B66:B71,matchups!D66:D71,"")</f>
        <v/>
      </c>
      <c r="BJ2" s="48" t="str">
        <f t="array" ref="BJ2:BJ17">xlookup(N2:N17,matchups!B66:B71,matchups!E66:E71,"")</f>
        <v/>
      </c>
      <c r="BK2" s="48" t="str">
        <f t="shared" ref="BK2:BK17" si="36">ifs(or(BI2="",BJ2=""),"",and(BI2=0,BJ2=0),"L",BI2&gt;BJ2,"W",BJ2&gt;BI2,"L")</f>
        <v/>
      </c>
      <c r="BL2" s="48">
        <f t="shared" ref="BL2:BL17" si="37">BI2-BJ2</f>
        <v>0</v>
      </c>
      <c r="BO2" s="48" t="str">
        <f t="array" ref="BO2:BO17">xlookup(N2:N17,matchups!B66:B71,matchups!F66:F71,"")</f>
        <v/>
      </c>
      <c r="BP2" s="48" t="str">
        <f t="array" ref="BP2:BP17">xlookup(N2:N17,matchups!B66:B71,matchups!G66:G71,"")</f>
        <v/>
      </c>
      <c r="BQ2" s="48">
        <f t="shared" ref="BQ2:BQ17" si="38">BO2-BP2</f>
        <v>0</v>
      </c>
    </row>
    <row r="3">
      <c r="A3" s="48" t="str">
        <f t="shared" si="3"/>
        <v>0-0</v>
      </c>
      <c r="B3" s="48" t="str">
        <f t="shared" si="4"/>
        <v>0-0</v>
      </c>
      <c r="C3" s="48" t="str">
        <f t="shared" si="5"/>
        <v>0-0</v>
      </c>
      <c r="D3" s="48">
        <f t="shared" si="6"/>
        <v>0</v>
      </c>
      <c r="E3" s="48">
        <f t="shared" si="7"/>
        <v>0</v>
      </c>
      <c r="F3" s="48">
        <f t="shared" si="8"/>
        <v>0</v>
      </c>
      <c r="G3" s="48">
        <f t="shared" ref="G3:H3" si="9">Q3+AB3+AM3+AX3+BI3</f>
        <v>0</v>
      </c>
      <c r="H3" s="48">
        <f t="shared" si="9"/>
        <v>0</v>
      </c>
      <c r="I3" s="48">
        <f t="shared" si="10"/>
        <v>0</v>
      </c>
      <c r="J3" s="48">
        <f t="shared" ref="J3:K3" si="11">W3+AH3+AS3+BD3+BO3</f>
        <v>0</v>
      </c>
      <c r="K3" s="48">
        <f t="shared" si="11"/>
        <v>0</v>
      </c>
      <c r="L3" s="48">
        <f t="shared" si="12"/>
        <v>0</v>
      </c>
      <c r="M3" s="48">
        <f t="shared" ref="M3:M17" si="41">M2+1</f>
        <v>2</v>
      </c>
      <c r="N3" s="48" t="str">
        <f t="array" ref="N3:O3">xlookup(M3+4,'Team Entry'!$C$38:$C$61,'Team Entry'!$A$38:$B$61,"")</f>
        <v>Team 2 (Group 2)</v>
      </c>
      <c r="O3" s="48"/>
      <c r="P3" s="48">
        <v>9.0</v>
      </c>
      <c r="Q3" s="48"/>
      <c r="R3" s="48"/>
      <c r="S3" s="48" t="str">
        <f t="shared" si="13"/>
        <v/>
      </c>
      <c r="T3" s="48">
        <f t="shared" si="14"/>
        <v>0</v>
      </c>
      <c r="U3" s="48">
        <f t="shared" si="15"/>
        <v>0</v>
      </c>
      <c r="W3" s="48">
        <v>0.0</v>
      </c>
      <c r="X3" s="48">
        <v>0.0</v>
      </c>
      <c r="Y3" s="48">
        <f t="shared" si="16"/>
        <v>0</v>
      </c>
      <c r="Z3" s="48">
        <f t="shared" si="17"/>
        <v>0</v>
      </c>
      <c r="AB3" s="48" t="s">
        <v>300</v>
      </c>
      <c r="AC3" s="48" t="s">
        <v>300</v>
      </c>
      <c r="AD3" s="48" t="str">
        <f t="shared" si="18"/>
        <v/>
      </c>
      <c r="AE3" s="48">
        <f t="shared" si="19"/>
        <v>0</v>
      </c>
      <c r="AF3" s="48">
        <f t="shared" si="20"/>
        <v>0</v>
      </c>
      <c r="AG3" s="48">
        <f t="shared" si="21"/>
        <v>0</v>
      </c>
      <c r="AH3" s="48" t="s">
        <v>300</v>
      </c>
      <c r="AI3" s="48" t="s">
        <v>300</v>
      </c>
      <c r="AJ3" s="48">
        <f t="shared" si="22"/>
        <v>0</v>
      </c>
      <c r="AK3" s="48">
        <f t="shared" si="23"/>
        <v>0</v>
      </c>
      <c r="AM3" s="48" t="s">
        <v>300</v>
      </c>
      <c r="AN3" s="48" t="s">
        <v>300</v>
      </c>
      <c r="AO3" s="48" t="str">
        <f t="shared" si="24"/>
        <v/>
      </c>
      <c r="AP3" s="48">
        <f t="shared" si="25"/>
        <v>0</v>
      </c>
      <c r="AQ3" s="48">
        <f t="shared" si="26"/>
        <v>0</v>
      </c>
      <c r="AR3" s="48">
        <f t="shared" si="27"/>
        <v>0</v>
      </c>
      <c r="AS3" s="48" t="s">
        <v>300</v>
      </c>
      <c r="AT3" s="48" t="s">
        <v>300</v>
      </c>
      <c r="AU3" s="48">
        <f t="shared" si="28"/>
        <v>0</v>
      </c>
      <c r="AV3" s="48">
        <f t="shared" si="29"/>
        <v>0</v>
      </c>
      <c r="AX3" s="48" t="s">
        <v>300</v>
      </c>
      <c r="AY3" s="48" t="s">
        <v>300</v>
      </c>
      <c r="AZ3" s="48" t="str">
        <f t="shared" si="30"/>
        <v/>
      </c>
      <c r="BA3" s="48">
        <f t="shared" si="31"/>
        <v>0</v>
      </c>
      <c r="BB3" s="48">
        <f t="shared" si="32"/>
        <v>0</v>
      </c>
      <c r="BC3" s="48">
        <f t="shared" si="33"/>
        <v>0</v>
      </c>
      <c r="BD3" s="48" t="s">
        <v>300</v>
      </c>
      <c r="BE3" s="48" t="s">
        <v>300</v>
      </c>
      <c r="BF3" s="48">
        <f t="shared" si="34"/>
        <v>0</v>
      </c>
      <c r="BG3" s="48">
        <f t="shared" si="35"/>
        <v>0</v>
      </c>
      <c r="BI3" s="48" t="s">
        <v>300</v>
      </c>
      <c r="BJ3" s="48" t="s">
        <v>300</v>
      </c>
      <c r="BK3" s="48" t="str">
        <f t="shared" si="36"/>
        <v/>
      </c>
      <c r="BL3" s="48">
        <f t="shared" si="37"/>
        <v>0</v>
      </c>
      <c r="BO3" s="48" t="s">
        <v>300</v>
      </c>
      <c r="BP3" s="48" t="s">
        <v>300</v>
      </c>
      <c r="BQ3" s="48">
        <f t="shared" si="38"/>
        <v>0</v>
      </c>
    </row>
    <row r="4">
      <c r="A4" s="48" t="str">
        <f t="shared" si="3"/>
        <v>0-0</v>
      </c>
      <c r="B4" s="48" t="str">
        <f t="shared" si="4"/>
        <v>0-0</v>
      </c>
      <c r="C4" s="48" t="str">
        <f t="shared" si="5"/>
        <v>0-0</v>
      </c>
      <c r="D4" s="48">
        <f t="shared" si="6"/>
        <v>0</v>
      </c>
      <c r="E4" s="48">
        <f t="shared" si="7"/>
        <v>0</v>
      </c>
      <c r="F4" s="48">
        <f t="shared" si="8"/>
        <v>0</v>
      </c>
      <c r="G4" s="48">
        <f t="shared" ref="G4:H4" si="39">Q4+AB4+AM4+AX4+BI4</f>
        <v>0</v>
      </c>
      <c r="H4" s="48">
        <f t="shared" si="39"/>
        <v>0</v>
      </c>
      <c r="I4" s="48">
        <f t="shared" si="10"/>
        <v>0</v>
      </c>
      <c r="J4" s="48">
        <f t="shared" ref="J4:K4" si="40">W4+AH4+AS4+BD4+BO4</f>
        <v>0</v>
      </c>
      <c r="K4" s="48">
        <f t="shared" si="40"/>
        <v>0</v>
      </c>
      <c r="L4" s="48">
        <f t="shared" si="12"/>
        <v>0</v>
      </c>
      <c r="M4" s="48">
        <f t="shared" si="41"/>
        <v>3</v>
      </c>
      <c r="N4" s="48" t="str">
        <f t="array" ref="N4:O4">xlookup(M4+4,'Team Entry'!$C$38:$C$61,'Team Entry'!$A$38:$B$61,"")</f>
        <v>Team 3 (Group 2)</v>
      </c>
      <c r="O4" s="276"/>
      <c r="P4" s="48">
        <v>9.0</v>
      </c>
      <c r="Q4" s="48"/>
      <c r="R4" s="48"/>
      <c r="S4" s="48" t="str">
        <f t="shared" si="13"/>
        <v/>
      </c>
      <c r="T4" s="48">
        <f t="shared" si="14"/>
        <v>0</v>
      </c>
      <c r="U4" s="48">
        <f t="shared" si="15"/>
        <v>0</v>
      </c>
      <c r="W4" s="48">
        <v>0.0</v>
      </c>
      <c r="X4" s="48">
        <v>0.0</v>
      </c>
      <c r="Y4" s="48">
        <f t="shared" si="16"/>
        <v>0</v>
      </c>
      <c r="Z4" s="48">
        <f t="shared" si="17"/>
        <v>0</v>
      </c>
      <c r="AB4" s="48" t="s">
        <v>300</v>
      </c>
      <c r="AC4" s="48" t="s">
        <v>300</v>
      </c>
      <c r="AD4" s="48" t="str">
        <f t="shared" si="18"/>
        <v/>
      </c>
      <c r="AE4" s="48">
        <f t="shared" si="19"/>
        <v>0</v>
      </c>
      <c r="AF4" s="48">
        <f t="shared" si="20"/>
        <v>0</v>
      </c>
      <c r="AG4" s="48">
        <f t="shared" si="21"/>
        <v>0</v>
      </c>
      <c r="AH4" s="48" t="s">
        <v>300</v>
      </c>
      <c r="AI4" s="48" t="s">
        <v>300</v>
      </c>
      <c r="AJ4" s="48">
        <f t="shared" si="22"/>
        <v>0</v>
      </c>
      <c r="AK4" s="48">
        <f t="shared" si="23"/>
        <v>0</v>
      </c>
      <c r="AM4" s="48" t="s">
        <v>300</v>
      </c>
      <c r="AN4" s="48" t="s">
        <v>300</v>
      </c>
      <c r="AO4" s="48" t="str">
        <f t="shared" si="24"/>
        <v/>
      </c>
      <c r="AP4" s="48">
        <f t="shared" si="25"/>
        <v>0</v>
      </c>
      <c r="AQ4" s="48">
        <f t="shared" si="26"/>
        <v>0</v>
      </c>
      <c r="AR4" s="48">
        <f t="shared" si="27"/>
        <v>0</v>
      </c>
      <c r="AS4" s="48" t="s">
        <v>300</v>
      </c>
      <c r="AT4" s="48" t="s">
        <v>300</v>
      </c>
      <c r="AU4" s="48">
        <f t="shared" si="28"/>
        <v>0</v>
      </c>
      <c r="AV4" s="48">
        <f t="shared" si="29"/>
        <v>0</v>
      </c>
      <c r="AX4" s="48" t="s">
        <v>300</v>
      </c>
      <c r="AY4" s="48" t="s">
        <v>300</v>
      </c>
      <c r="AZ4" s="48" t="str">
        <f t="shared" si="30"/>
        <v/>
      </c>
      <c r="BA4" s="48">
        <f t="shared" si="31"/>
        <v>0</v>
      </c>
      <c r="BB4" s="48">
        <f t="shared" si="32"/>
        <v>0</v>
      </c>
      <c r="BC4" s="48">
        <f t="shared" si="33"/>
        <v>0</v>
      </c>
      <c r="BD4" s="48" t="s">
        <v>300</v>
      </c>
      <c r="BE4" s="48" t="s">
        <v>300</v>
      </c>
      <c r="BF4" s="48">
        <f t="shared" si="34"/>
        <v>0</v>
      </c>
      <c r="BG4" s="48">
        <f t="shared" si="35"/>
        <v>0</v>
      </c>
      <c r="BI4" s="48" t="s">
        <v>300</v>
      </c>
      <c r="BJ4" s="48" t="s">
        <v>300</v>
      </c>
      <c r="BK4" s="48" t="str">
        <f t="shared" si="36"/>
        <v/>
      </c>
      <c r="BL4" s="48">
        <f t="shared" si="37"/>
        <v>0</v>
      </c>
      <c r="BO4" s="48" t="s">
        <v>300</v>
      </c>
      <c r="BP4" s="48" t="s">
        <v>300</v>
      </c>
      <c r="BQ4" s="48">
        <f t="shared" si="38"/>
        <v>0</v>
      </c>
    </row>
    <row r="5">
      <c r="A5" s="48" t="str">
        <f t="shared" si="3"/>
        <v>0-0</v>
      </c>
      <c r="B5" s="48" t="str">
        <f t="shared" si="4"/>
        <v>0-0</v>
      </c>
      <c r="C5" s="48" t="str">
        <f t="shared" si="5"/>
        <v>0-0</v>
      </c>
      <c r="D5" s="48">
        <f t="shared" si="6"/>
        <v>0</v>
      </c>
      <c r="E5" s="48">
        <f t="shared" si="7"/>
        <v>0</v>
      </c>
      <c r="F5" s="48">
        <f t="shared" si="8"/>
        <v>0</v>
      </c>
      <c r="G5" s="48">
        <f t="shared" ref="G5:H5" si="42">Q5+AB5+AM5+AX5+BI5</f>
        <v>0</v>
      </c>
      <c r="H5" s="48">
        <f t="shared" si="42"/>
        <v>0</v>
      </c>
      <c r="I5" s="48">
        <f t="shared" si="10"/>
        <v>0</v>
      </c>
      <c r="J5" s="48">
        <f t="shared" ref="J5:K5" si="43">W5+AH5+AS5+BD5+BO5</f>
        <v>0</v>
      </c>
      <c r="K5" s="48">
        <f t="shared" si="43"/>
        <v>0</v>
      </c>
      <c r="L5" s="48">
        <f t="shared" si="12"/>
        <v>0</v>
      </c>
      <c r="M5" s="48">
        <f t="shared" si="41"/>
        <v>4</v>
      </c>
      <c r="N5" s="48" t="str">
        <f t="array" ref="N5:O5">xlookup(M5+4,'Team Entry'!$C$38:$C$61,'Team Entry'!$A$38:$B$61,"")</f>
        <v>Team 4 (Group 2)</v>
      </c>
      <c r="O5" s="48"/>
      <c r="P5" s="48">
        <v>9.0</v>
      </c>
      <c r="Q5" s="48"/>
      <c r="R5" s="48"/>
      <c r="S5" s="48" t="str">
        <f t="shared" si="13"/>
        <v/>
      </c>
      <c r="T5" s="48">
        <f t="shared" si="14"/>
        <v>0</v>
      </c>
      <c r="U5" s="48">
        <f t="shared" si="15"/>
        <v>0</v>
      </c>
      <c r="W5" s="48">
        <v>0.0</v>
      </c>
      <c r="X5" s="48">
        <v>0.0</v>
      </c>
      <c r="Y5" s="48">
        <f t="shared" si="16"/>
        <v>0</v>
      </c>
      <c r="Z5" s="48">
        <f t="shared" si="17"/>
        <v>0</v>
      </c>
      <c r="AB5" s="48" t="s">
        <v>300</v>
      </c>
      <c r="AC5" s="48" t="s">
        <v>300</v>
      </c>
      <c r="AD5" s="48" t="str">
        <f t="shared" si="18"/>
        <v/>
      </c>
      <c r="AE5" s="48">
        <f t="shared" si="19"/>
        <v>0</v>
      </c>
      <c r="AF5" s="48">
        <f t="shared" si="20"/>
        <v>0</v>
      </c>
      <c r="AG5" s="48">
        <f t="shared" si="21"/>
        <v>0</v>
      </c>
      <c r="AH5" s="48" t="s">
        <v>300</v>
      </c>
      <c r="AI5" s="48" t="s">
        <v>300</v>
      </c>
      <c r="AJ5" s="48">
        <f t="shared" si="22"/>
        <v>0</v>
      </c>
      <c r="AK5" s="48">
        <f t="shared" si="23"/>
        <v>0</v>
      </c>
      <c r="AM5" s="48" t="s">
        <v>300</v>
      </c>
      <c r="AN5" s="48" t="s">
        <v>300</v>
      </c>
      <c r="AO5" s="48" t="str">
        <f t="shared" si="24"/>
        <v/>
      </c>
      <c r="AP5" s="48">
        <f t="shared" si="25"/>
        <v>0</v>
      </c>
      <c r="AQ5" s="48">
        <f t="shared" si="26"/>
        <v>0</v>
      </c>
      <c r="AR5" s="48">
        <f t="shared" si="27"/>
        <v>0</v>
      </c>
      <c r="AS5" s="48" t="s">
        <v>300</v>
      </c>
      <c r="AT5" s="48" t="s">
        <v>300</v>
      </c>
      <c r="AU5" s="48">
        <f t="shared" si="28"/>
        <v>0</v>
      </c>
      <c r="AV5" s="48">
        <f t="shared" si="29"/>
        <v>0</v>
      </c>
      <c r="AX5" s="48" t="s">
        <v>300</v>
      </c>
      <c r="AY5" s="48" t="s">
        <v>300</v>
      </c>
      <c r="AZ5" s="48" t="str">
        <f t="shared" si="30"/>
        <v/>
      </c>
      <c r="BA5" s="48">
        <f t="shared" si="31"/>
        <v>0</v>
      </c>
      <c r="BB5" s="48">
        <f t="shared" si="32"/>
        <v>0</v>
      </c>
      <c r="BC5" s="48">
        <f t="shared" si="33"/>
        <v>0</v>
      </c>
      <c r="BD5" s="48" t="s">
        <v>300</v>
      </c>
      <c r="BE5" s="48" t="s">
        <v>300</v>
      </c>
      <c r="BF5" s="48">
        <f t="shared" si="34"/>
        <v>0</v>
      </c>
      <c r="BG5" s="48">
        <f t="shared" si="35"/>
        <v>0</v>
      </c>
      <c r="BI5" s="48" t="s">
        <v>300</v>
      </c>
      <c r="BJ5" s="48" t="s">
        <v>300</v>
      </c>
      <c r="BK5" s="48" t="str">
        <f t="shared" si="36"/>
        <v/>
      </c>
      <c r="BL5" s="48">
        <f t="shared" si="37"/>
        <v>0</v>
      </c>
      <c r="BO5" s="48" t="s">
        <v>300</v>
      </c>
      <c r="BP5" s="48" t="s">
        <v>300</v>
      </c>
      <c r="BQ5" s="48">
        <f t="shared" si="38"/>
        <v>0</v>
      </c>
    </row>
    <row r="6">
      <c r="A6" s="48" t="str">
        <f t="shared" si="3"/>
        <v>0-0</v>
      </c>
      <c r="B6" s="48" t="str">
        <f t="shared" si="4"/>
        <v>0-0</v>
      </c>
      <c r="C6" s="48" t="str">
        <f t="shared" si="5"/>
        <v>0-0</v>
      </c>
      <c r="D6" s="48">
        <f t="shared" si="6"/>
        <v>0</v>
      </c>
      <c r="E6" s="48">
        <f t="shared" si="7"/>
        <v>0</v>
      </c>
      <c r="F6" s="48">
        <f t="shared" si="8"/>
        <v>0</v>
      </c>
      <c r="G6" s="48">
        <f t="shared" ref="G6:H6" si="44">Q6+AB6+AM6+AX6+BI6</f>
        <v>0</v>
      </c>
      <c r="H6" s="48">
        <f t="shared" si="44"/>
        <v>0</v>
      </c>
      <c r="I6" s="48">
        <f t="shared" si="10"/>
        <v>0</v>
      </c>
      <c r="J6" s="48">
        <f t="shared" ref="J6:K6" si="45">W6+AH6+AS6+BD6+BO6</f>
        <v>0</v>
      </c>
      <c r="K6" s="48">
        <f t="shared" si="45"/>
        <v>0</v>
      </c>
      <c r="L6" s="48">
        <f t="shared" si="12"/>
        <v>0</v>
      </c>
      <c r="M6" s="48">
        <f t="shared" si="41"/>
        <v>5</v>
      </c>
      <c r="N6" s="48" t="str">
        <f t="array" ref="N6:O6">xlookup(M6+4,'Team Entry'!$C$38:$C$61,'Team Entry'!$A$38:$B$61,"")</f>
        <v>Team 5 (Group 2)</v>
      </c>
      <c r="O6" s="48"/>
      <c r="P6" s="48">
        <v>9.0</v>
      </c>
      <c r="Q6" s="48"/>
      <c r="R6" s="48"/>
      <c r="S6" s="48" t="str">
        <f t="shared" si="13"/>
        <v/>
      </c>
      <c r="T6" s="48">
        <f t="shared" si="14"/>
        <v>0</v>
      </c>
      <c r="U6" s="48">
        <f t="shared" si="15"/>
        <v>0</v>
      </c>
      <c r="W6" s="48">
        <v>0.0</v>
      </c>
      <c r="X6" s="48">
        <v>0.0</v>
      </c>
      <c r="Y6" s="48">
        <f t="shared" si="16"/>
        <v>0</v>
      </c>
      <c r="Z6" s="48">
        <f t="shared" si="17"/>
        <v>0</v>
      </c>
      <c r="AB6" s="48" t="s">
        <v>300</v>
      </c>
      <c r="AC6" s="48" t="s">
        <v>300</v>
      </c>
      <c r="AD6" s="48" t="str">
        <f t="shared" si="18"/>
        <v/>
      </c>
      <c r="AE6" s="48">
        <f t="shared" si="19"/>
        <v>0</v>
      </c>
      <c r="AF6" s="48">
        <f t="shared" si="20"/>
        <v>0</v>
      </c>
      <c r="AG6" s="48">
        <f t="shared" si="21"/>
        <v>0</v>
      </c>
      <c r="AH6" s="48" t="s">
        <v>300</v>
      </c>
      <c r="AI6" s="48" t="s">
        <v>300</v>
      </c>
      <c r="AJ6" s="48">
        <f t="shared" si="22"/>
        <v>0</v>
      </c>
      <c r="AK6" s="48">
        <f t="shared" si="23"/>
        <v>0</v>
      </c>
      <c r="AM6" s="48" t="s">
        <v>300</v>
      </c>
      <c r="AN6" s="48" t="s">
        <v>300</v>
      </c>
      <c r="AO6" s="48" t="str">
        <f t="shared" si="24"/>
        <v/>
      </c>
      <c r="AP6" s="48">
        <f t="shared" si="25"/>
        <v>0</v>
      </c>
      <c r="AQ6" s="48">
        <f t="shared" si="26"/>
        <v>0</v>
      </c>
      <c r="AR6" s="48">
        <f t="shared" si="27"/>
        <v>0</v>
      </c>
      <c r="AS6" s="48" t="s">
        <v>300</v>
      </c>
      <c r="AT6" s="48" t="s">
        <v>300</v>
      </c>
      <c r="AU6" s="48">
        <f t="shared" si="28"/>
        <v>0</v>
      </c>
      <c r="AV6" s="48">
        <f t="shared" si="29"/>
        <v>0</v>
      </c>
      <c r="AX6" s="48" t="s">
        <v>300</v>
      </c>
      <c r="AY6" s="48" t="s">
        <v>300</v>
      </c>
      <c r="AZ6" s="48" t="str">
        <f t="shared" si="30"/>
        <v/>
      </c>
      <c r="BA6" s="48">
        <f t="shared" si="31"/>
        <v>0</v>
      </c>
      <c r="BB6" s="48">
        <f t="shared" si="32"/>
        <v>0</v>
      </c>
      <c r="BC6" s="48">
        <f t="shared" si="33"/>
        <v>0</v>
      </c>
      <c r="BD6" s="48" t="s">
        <v>300</v>
      </c>
      <c r="BE6" s="48" t="s">
        <v>300</v>
      </c>
      <c r="BF6" s="48">
        <f t="shared" si="34"/>
        <v>0</v>
      </c>
      <c r="BG6" s="48">
        <f t="shared" si="35"/>
        <v>0</v>
      </c>
      <c r="BI6" s="48" t="s">
        <v>300</v>
      </c>
      <c r="BJ6" s="48" t="s">
        <v>300</v>
      </c>
      <c r="BK6" s="48" t="str">
        <f t="shared" si="36"/>
        <v/>
      </c>
      <c r="BL6" s="48">
        <f t="shared" si="37"/>
        <v>0</v>
      </c>
      <c r="BO6" s="48" t="s">
        <v>300</v>
      </c>
      <c r="BP6" s="48" t="s">
        <v>300</v>
      </c>
      <c r="BQ6" s="48">
        <f t="shared" si="38"/>
        <v>0</v>
      </c>
    </row>
    <row r="7">
      <c r="A7" s="48" t="str">
        <f t="shared" si="3"/>
        <v>0-0</v>
      </c>
      <c r="B7" s="48" t="str">
        <f t="shared" si="4"/>
        <v>0-0</v>
      </c>
      <c r="C7" s="48" t="str">
        <f t="shared" si="5"/>
        <v>0-0</v>
      </c>
      <c r="D7" s="48">
        <f t="shared" si="6"/>
        <v>0</v>
      </c>
      <c r="E7" s="48">
        <f t="shared" si="7"/>
        <v>0</v>
      </c>
      <c r="F7" s="48">
        <f t="shared" si="8"/>
        <v>0</v>
      </c>
      <c r="G7" s="48">
        <f t="shared" ref="G7:H7" si="46">Q7+AB7+AM7+AX7+BI7</f>
        <v>0</v>
      </c>
      <c r="H7" s="48">
        <f t="shared" si="46"/>
        <v>0</v>
      </c>
      <c r="I7" s="48">
        <f t="shared" si="10"/>
        <v>0</v>
      </c>
      <c r="J7" s="48">
        <f t="shared" ref="J7:K7" si="47">W7+AH7+AS7+BD7+BO7</f>
        <v>0</v>
      </c>
      <c r="K7" s="48">
        <f t="shared" si="47"/>
        <v>0</v>
      </c>
      <c r="L7" s="48">
        <f t="shared" si="12"/>
        <v>0</v>
      </c>
      <c r="M7" s="48">
        <f t="shared" si="41"/>
        <v>6</v>
      </c>
      <c r="N7" s="48" t="str">
        <f t="array" ref="N7:O7">xlookup(M7+4,'Team Entry'!$C$38:$C$61,'Team Entry'!$A$38:$B$61,"")</f>
        <v>Team 6 (Group 2)</v>
      </c>
      <c r="O7" s="48"/>
      <c r="P7" s="48">
        <v>9.0</v>
      </c>
      <c r="Q7" s="48"/>
      <c r="R7" s="48"/>
      <c r="S7" s="48" t="str">
        <f t="shared" si="13"/>
        <v/>
      </c>
      <c r="T7" s="48">
        <f t="shared" si="14"/>
        <v>0</v>
      </c>
      <c r="U7" s="48">
        <f t="shared" si="15"/>
        <v>0</v>
      </c>
      <c r="W7" s="48">
        <v>0.0</v>
      </c>
      <c r="X7" s="48">
        <v>0.0</v>
      </c>
      <c r="Y7" s="48">
        <f t="shared" si="16"/>
        <v>0</v>
      </c>
      <c r="Z7" s="48">
        <f t="shared" si="17"/>
        <v>0</v>
      </c>
      <c r="AB7" s="48" t="s">
        <v>300</v>
      </c>
      <c r="AC7" s="48" t="s">
        <v>300</v>
      </c>
      <c r="AD7" s="48" t="str">
        <f t="shared" si="18"/>
        <v/>
      </c>
      <c r="AE7" s="48">
        <f t="shared" si="19"/>
        <v>0</v>
      </c>
      <c r="AF7" s="48">
        <f t="shared" si="20"/>
        <v>0</v>
      </c>
      <c r="AG7" s="48">
        <f t="shared" si="21"/>
        <v>0</v>
      </c>
      <c r="AH7" s="48" t="s">
        <v>300</v>
      </c>
      <c r="AI7" s="48" t="s">
        <v>300</v>
      </c>
      <c r="AJ7" s="48">
        <f t="shared" si="22"/>
        <v>0</v>
      </c>
      <c r="AK7" s="48">
        <f t="shared" si="23"/>
        <v>0</v>
      </c>
      <c r="AM7" s="48" t="s">
        <v>300</v>
      </c>
      <c r="AN7" s="48" t="s">
        <v>300</v>
      </c>
      <c r="AO7" s="48" t="str">
        <f t="shared" si="24"/>
        <v/>
      </c>
      <c r="AP7" s="48">
        <f t="shared" si="25"/>
        <v>0</v>
      </c>
      <c r="AQ7" s="48">
        <f t="shared" si="26"/>
        <v>0</v>
      </c>
      <c r="AR7" s="48">
        <f t="shared" si="27"/>
        <v>0</v>
      </c>
      <c r="AS7" s="48" t="s">
        <v>300</v>
      </c>
      <c r="AT7" s="48" t="s">
        <v>300</v>
      </c>
      <c r="AU7" s="48">
        <f t="shared" si="28"/>
        <v>0</v>
      </c>
      <c r="AV7" s="48">
        <f t="shared" si="29"/>
        <v>0</v>
      </c>
      <c r="AX7" s="48" t="s">
        <v>300</v>
      </c>
      <c r="AY7" s="48" t="s">
        <v>300</v>
      </c>
      <c r="AZ7" s="48" t="str">
        <f t="shared" si="30"/>
        <v/>
      </c>
      <c r="BA7" s="48">
        <f t="shared" si="31"/>
        <v>0</v>
      </c>
      <c r="BB7" s="48">
        <f t="shared" si="32"/>
        <v>0</v>
      </c>
      <c r="BC7" s="48">
        <f t="shared" si="33"/>
        <v>0</v>
      </c>
      <c r="BD7" s="48" t="s">
        <v>300</v>
      </c>
      <c r="BE7" s="48" t="s">
        <v>300</v>
      </c>
      <c r="BF7" s="48">
        <f t="shared" si="34"/>
        <v>0</v>
      </c>
      <c r="BG7" s="48">
        <f t="shared" si="35"/>
        <v>0</v>
      </c>
      <c r="BI7" s="48" t="s">
        <v>300</v>
      </c>
      <c r="BJ7" s="48" t="s">
        <v>300</v>
      </c>
      <c r="BK7" s="48" t="str">
        <f t="shared" si="36"/>
        <v/>
      </c>
      <c r="BL7" s="48">
        <f t="shared" si="37"/>
        <v>0</v>
      </c>
      <c r="BO7" s="48" t="s">
        <v>300</v>
      </c>
      <c r="BP7" s="48" t="s">
        <v>300</v>
      </c>
      <c r="BQ7" s="48">
        <f t="shared" si="38"/>
        <v>0</v>
      </c>
    </row>
    <row r="8">
      <c r="A8" s="48" t="str">
        <f t="shared" si="3"/>
        <v>0-0</v>
      </c>
      <c r="B8" s="48" t="str">
        <f t="shared" si="4"/>
        <v>0-0</v>
      </c>
      <c r="C8" s="48" t="str">
        <f t="shared" si="5"/>
        <v>0-0</v>
      </c>
      <c r="D8" s="48">
        <f t="shared" si="6"/>
        <v>0</v>
      </c>
      <c r="E8" s="48">
        <f t="shared" si="7"/>
        <v>0</v>
      </c>
      <c r="F8" s="48">
        <f t="shared" si="8"/>
        <v>0</v>
      </c>
      <c r="G8" s="48">
        <f t="shared" ref="G8:H8" si="48">Q8+AB8+AM8+AX8+BI8</f>
        <v>0</v>
      </c>
      <c r="H8" s="48">
        <f t="shared" si="48"/>
        <v>0</v>
      </c>
      <c r="I8" s="48">
        <f t="shared" si="10"/>
        <v>0</v>
      </c>
      <c r="J8" s="48">
        <f t="shared" ref="J8:K8" si="49">W8+AH8+AS8+BD8+BO8</f>
        <v>0</v>
      </c>
      <c r="K8" s="48">
        <f t="shared" si="49"/>
        <v>0</v>
      </c>
      <c r="L8" s="48">
        <f t="shared" si="12"/>
        <v>0</v>
      </c>
      <c r="M8" s="48">
        <f t="shared" si="41"/>
        <v>7</v>
      </c>
      <c r="N8" s="48" t="str">
        <f t="array" ref="N8:O8">xlookup(M8+4,'Team Entry'!$C$38:$C$61,'Team Entry'!$A$38:$B$61,"")</f>
        <v>Team 7 (Group 2)</v>
      </c>
      <c r="O8" s="48"/>
      <c r="P8" s="48">
        <v>9.0</v>
      </c>
      <c r="Q8" s="48"/>
      <c r="R8" s="48"/>
      <c r="S8" s="48" t="str">
        <f t="shared" si="13"/>
        <v/>
      </c>
      <c r="T8" s="48">
        <f t="shared" si="14"/>
        <v>0</v>
      </c>
      <c r="U8" s="48">
        <f t="shared" si="15"/>
        <v>0</v>
      </c>
      <c r="W8" s="48">
        <v>0.0</v>
      </c>
      <c r="X8" s="48">
        <v>0.0</v>
      </c>
      <c r="Y8" s="48">
        <f t="shared" si="16"/>
        <v>0</v>
      </c>
      <c r="Z8" s="48">
        <f t="shared" si="17"/>
        <v>0</v>
      </c>
      <c r="AB8" s="48" t="s">
        <v>300</v>
      </c>
      <c r="AC8" s="48" t="s">
        <v>300</v>
      </c>
      <c r="AD8" s="48" t="str">
        <f t="shared" si="18"/>
        <v/>
      </c>
      <c r="AE8" s="48">
        <f t="shared" si="19"/>
        <v>0</v>
      </c>
      <c r="AF8" s="48">
        <f t="shared" si="20"/>
        <v>0</v>
      </c>
      <c r="AG8" s="48">
        <f t="shared" si="21"/>
        <v>0</v>
      </c>
      <c r="AH8" s="48" t="s">
        <v>300</v>
      </c>
      <c r="AI8" s="48" t="s">
        <v>300</v>
      </c>
      <c r="AJ8" s="48">
        <f t="shared" si="22"/>
        <v>0</v>
      </c>
      <c r="AK8" s="48">
        <f t="shared" si="23"/>
        <v>0</v>
      </c>
      <c r="AM8" s="48" t="s">
        <v>300</v>
      </c>
      <c r="AN8" s="48" t="s">
        <v>300</v>
      </c>
      <c r="AO8" s="48" t="str">
        <f t="shared" si="24"/>
        <v/>
      </c>
      <c r="AP8" s="48">
        <f t="shared" si="25"/>
        <v>0</v>
      </c>
      <c r="AQ8" s="48">
        <f t="shared" si="26"/>
        <v>0</v>
      </c>
      <c r="AR8" s="48">
        <f t="shared" si="27"/>
        <v>0</v>
      </c>
      <c r="AS8" s="48" t="s">
        <v>300</v>
      </c>
      <c r="AT8" s="48" t="s">
        <v>300</v>
      </c>
      <c r="AU8" s="48">
        <f t="shared" si="28"/>
        <v>0</v>
      </c>
      <c r="AV8" s="48">
        <f t="shared" si="29"/>
        <v>0</v>
      </c>
      <c r="AX8" s="48" t="s">
        <v>300</v>
      </c>
      <c r="AY8" s="48" t="s">
        <v>300</v>
      </c>
      <c r="AZ8" s="48" t="str">
        <f t="shared" si="30"/>
        <v/>
      </c>
      <c r="BA8" s="48">
        <f t="shared" si="31"/>
        <v>0</v>
      </c>
      <c r="BB8" s="48">
        <f t="shared" si="32"/>
        <v>0</v>
      </c>
      <c r="BC8" s="48">
        <f t="shared" si="33"/>
        <v>0</v>
      </c>
      <c r="BD8" s="48" t="s">
        <v>300</v>
      </c>
      <c r="BE8" s="48" t="s">
        <v>300</v>
      </c>
      <c r="BF8" s="48">
        <f t="shared" si="34"/>
        <v>0</v>
      </c>
      <c r="BG8" s="48">
        <f t="shared" si="35"/>
        <v>0</v>
      </c>
      <c r="BI8" s="48" t="s">
        <v>300</v>
      </c>
      <c r="BJ8" s="48" t="s">
        <v>300</v>
      </c>
      <c r="BK8" s="48" t="str">
        <f t="shared" si="36"/>
        <v/>
      </c>
      <c r="BL8" s="48">
        <f t="shared" si="37"/>
        <v>0</v>
      </c>
      <c r="BO8" s="48" t="s">
        <v>300</v>
      </c>
      <c r="BP8" s="48" t="s">
        <v>300</v>
      </c>
      <c r="BQ8" s="48">
        <f t="shared" si="38"/>
        <v>0</v>
      </c>
    </row>
    <row r="9">
      <c r="A9" s="48" t="str">
        <f t="shared" si="3"/>
        <v>0-0</v>
      </c>
      <c r="B9" s="48" t="str">
        <f t="shared" si="4"/>
        <v>0-0</v>
      </c>
      <c r="C9" s="48" t="str">
        <f t="shared" si="5"/>
        <v>0-0</v>
      </c>
      <c r="D9" s="48">
        <f t="shared" si="6"/>
        <v>0</v>
      </c>
      <c r="E9" s="48">
        <f t="shared" si="7"/>
        <v>0</v>
      </c>
      <c r="F9" s="48">
        <f t="shared" si="8"/>
        <v>0</v>
      </c>
      <c r="G9" s="48">
        <f t="shared" ref="G9:H9" si="50">Q9+AB9+AM9+AX9+BI9</f>
        <v>0</v>
      </c>
      <c r="H9" s="48">
        <f t="shared" si="50"/>
        <v>0</v>
      </c>
      <c r="I9" s="48">
        <f t="shared" si="10"/>
        <v>0</v>
      </c>
      <c r="J9" s="48">
        <f t="shared" ref="J9:K9" si="51">W9+AH9+AS9+BD9+BO9</f>
        <v>0</v>
      </c>
      <c r="K9" s="48">
        <f t="shared" si="51"/>
        <v>0</v>
      </c>
      <c r="L9" s="48">
        <f t="shared" si="12"/>
        <v>0</v>
      </c>
      <c r="M9" s="48">
        <f t="shared" si="41"/>
        <v>8</v>
      </c>
      <c r="N9" s="48" t="str">
        <f t="array" ref="N9:O9">xlookup(M9+4,'Team Entry'!$C$38:$C$61,'Team Entry'!$A$38:$B$61,"")</f>
        <v>Team 8 (Group 2)</v>
      </c>
      <c r="O9" s="48"/>
      <c r="P9" s="48">
        <v>9.0</v>
      </c>
      <c r="Q9" s="48"/>
      <c r="R9" s="48"/>
      <c r="S9" s="48" t="str">
        <f t="shared" si="13"/>
        <v/>
      </c>
      <c r="T9" s="48">
        <f t="shared" si="14"/>
        <v>0</v>
      </c>
      <c r="U9" s="48">
        <f t="shared" si="15"/>
        <v>0</v>
      </c>
      <c r="W9" s="48">
        <v>0.0</v>
      </c>
      <c r="X9" s="48">
        <v>0.0</v>
      </c>
      <c r="Y9" s="48">
        <f t="shared" si="16"/>
        <v>0</v>
      </c>
      <c r="Z9" s="48">
        <f t="shared" si="17"/>
        <v>0</v>
      </c>
      <c r="AB9" s="48" t="s">
        <v>300</v>
      </c>
      <c r="AC9" s="48" t="s">
        <v>300</v>
      </c>
      <c r="AD9" s="48" t="str">
        <f t="shared" si="18"/>
        <v/>
      </c>
      <c r="AE9" s="48">
        <f t="shared" si="19"/>
        <v>0</v>
      </c>
      <c r="AF9" s="48">
        <f t="shared" si="20"/>
        <v>0</v>
      </c>
      <c r="AG9" s="48">
        <f t="shared" si="21"/>
        <v>0</v>
      </c>
      <c r="AH9" s="48" t="s">
        <v>300</v>
      </c>
      <c r="AI9" s="48" t="s">
        <v>300</v>
      </c>
      <c r="AJ9" s="48">
        <f t="shared" si="22"/>
        <v>0</v>
      </c>
      <c r="AK9" s="48">
        <f t="shared" si="23"/>
        <v>0</v>
      </c>
      <c r="AM9" s="48" t="s">
        <v>300</v>
      </c>
      <c r="AN9" s="48" t="s">
        <v>300</v>
      </c>
      <c r="AO9" s="48" t="str">
        <f t="shared" si="24"/>
        <v/>
      </c>
      <c r="AP9" s="48">
        <f t="shared" si="25"/>
        <v>0</v>
      </c>
      <c r="AQ9" s="48">
        <f t="shared" si="26"/>
        <v>0</v>
      </c>
      <c r="AR9" s="48">
        <f t="shared" si="27"/>
        <v>0</v>
      </c>
      <c r="AS9" s="48" t="s">
        <v>300</v>
      </c>
      <c r="AT9" s="48" t="s">
        <v>300</v>
      </c>
      <c r="AU9" s="48">
        <f t="shared" si="28"/>
        <v>0</v>
      </c>
      <c r="AV9" s="48">
        <f t="shared" si="29"/>
        <v>0</v>
      </c>
      <c r="AX9" s="48" t="s">
        <v>300</v>
      </c>
      <c r="AY9" s="48" t="s">
        <v>300</v>
      </c>
      <c r="AZ9" s="48" t="str">
        <f t="shared" si="30"/>
        <v/>
      </c>
      <c r="BA9" s="48">
        <f t="shared" si="31"/>
        <v>0</v>
      </c>
      <c r="BB9" s="48">
        <f t="shared" si="32"/>
        <v>0</v>
      </c>
      <c r="BC9" s="48">
        <f t="shared" si="33"/>
        <v>0</v>
      </c>
      <c r="BD9" s="48" t="s">
        <v>300</v>
      </c>
      <c r="BE9" s="48" t="s">
        <v>300</v>
      </c>
      <c r="BF9" s="48">
        <f t="shared" si="34"/>
        <v>0</v>
      </c>
      <c r="BG9" s="48">
        <f t="shared" si="35"/>
        <v>0</v>
      </c>
      <c r="BI9" s="48" t="s">
        <v>300</v>
      </c>
      <c r="BJ9" s="48" t="s">
        <v>300</v>
      </c>
      <c r="BK9" s="48" t="str">
        <f t="shared" si="36"/>
        <v/>
      </c>
      <c r="BL9" s="48">
        <f t="shared" si="37"/>
        <v>0</v>
      </c>
      <c r="BO9" s="48" t="s">
        <v>300</v>
      </c>
      <c r="BP9" s="48" t="s">
        <v>300</v>
      </c>
      <c r="BQ9" s="48">
        <f t="shared" si="38"/>
        <v>0</v>
      </c>
    </row>
    <row r="10">
      <c r="A10" s="48" t="str">
        <f t="shared" si="3"/>
        <v>0-0</v>
      </c>
      <c r="B10" s="48" t="str">
        <f t="shared" si="4"/>
        <v>0-0</v>
      </c>
      <c r="C10" s="48" t="str">
        <f t="shared" si="5"/>
        <v>0-0</v>
      </c>
      <c r="D10" s="48">
        <f t="shared" si="6"/>
        <v>0</v>
      </c>
      <c r="E10" s="48">
        <f t="shared" si="7"/>
        <v>0</v>
      </c>
      <c r="F10" s="48">
        <f t="shared" si="8"/>
        <v>0</v>
      </c>
      <c r="G10" s="48">
        <f t="shared" ref="G10:H10" si="52">Q10+AB10+AM10+AX10+BI10</f>
        <v>0</v>
      </c>
      <c r="H10" s="48">
        <f t="shared" si="52"/>
        <v>0</v>
      </c>
      <c r="I10" s="48">
        <f t="shared" si="10"/>
        <v>0</v>
      </c>
      <c r="J10" s="48">
        <f t="shared" ref="J10:K10" si="53">W10+AH10+AS10+BD10+BO10</f>
        <v>0</v>
      </c>
      <c r="K10" s="48">
        <f t="shared" si="53"/>
        <v>0</v>
      </c>
      <c r="L10" s="48">
        <f t="shared" si="12"/>
        <v>0</v>
      </c>
      <c r="M10" s="48">
        <f t="shared" si="41"/>
        <v>9</v>
      </c>
      <c r="N10" s="48" t="str">
        <f t="array" ref="N10">if($BS$1=0,"TBD",xlookup(M10-8,qualdata!$G$24:$G$39,qualdata!$A$24:$A$39,""))</f>
        <v>TBD</v>
      </c>
      <c r="O10" s="48" t="str">
        <f t="array" ref="O10">xlookup(N10,'Team Entry'!$A$2:$A$29,'Team Entry'!$B$2:$B$29,"")</f>
        <v/>
      </c>
      <c r="P10" s="48">
        <v>1.0</v>
      </c>
      <c r="Q10" s="48"/>
      <c r="R10" s="48"/>
      <c r="S10" s="48" t="str">
        <f t="shared" si="13"/>
        <v/>
      </c>
      <c r="T10" s="48">
        <f t="shared" si="14"/>
        <v>0</v>
      </c>
      <c r="U10" s="48">
        <f t="shared" si="15"/>
        <v>0</v>
      </c>
      <c r="W10" s="48">
        <v>0.0</v>
      </c>
      <c r="X10" s="48">
        <v>0.0</v>
      </c>
      <c r="Y10" s="48">
        <f t="shared" si="16"/>
        <v>0</v>
      </c>
      <c r="Z10" s="48">
        <f t="shared" si="17"/>
        <v>0</v>
      </c>
      <c r="AB10" s="48" t="s">
        <v>300</v>
      </c>
      <c r="AC10" s="48" t="s">
        <v>300</v>
      </c>
      <c r="AD10" s="48" t="str">
        <f t="shared" si="18"/>
        <v/>
      </c>
      <c r="AE10" s="48">
        <f t="shared" si="19"/>
        <v>0</v>
      </c>
      <c r="AF10" s="48">
        <f t="shared" si="20"/>
        <v>0</v>
      </c>
      <c r="AG10" s="48">
        <f t="shared" si="21"/>
        <v>0</v>
      </c>
      <c r="AH10" s="48" t="s">
        <v>300</v>
      </c>
      <c r="AI10" s="48" t="s">
        <v>300</v>
      </c>
      <c r="AJ10" s="48">
        <f t="shared" si="22"/>
        <v>0</v>
      </c>
      <c r="AK10" s="48">
        <f t="shared" si="23"/>
        <v>0</v>
      </c>
      <c r="AM10" s="48" t="s">
        <v>300</v>
      </c>
      <c r="AN10" s="48" t="s">
        <v>300</v>
      </c>
      <c r="AO10" s="48" t="str">
        <f t="shared" si="24"/>
        <v/>
      </c>
      <c r="AP10" s="48">
        <f t="shared" si="25"/>
        <v>0</v>
      </c>
      <c r="AQ10" s="48">
        <f t="shared" si="26"/>
        <v>0</v>
      </c>
      <c r="AR10" s="48">
        <f t="shared" si="27"/>
        <v>0</v>
      </c>
      <c r="AS10" s="48" t="s">
        <v>300</v>
      </c>
      <c r="AT10" s="48" t="s">
        <v>300</v>
      </c>
      <c r="AU10" s="48">
        <f t="shared" si="28"/>
        <v>0</v>
      </c>
      <c r="AV10" s="48">
        <f t="shared" si="29"/>
        <v>0</v>
      </c>
      <c r="AX10" s="48" t="s">
        <v>300</v>
      </c>
      <c r="AY10" s="48" t="s">
        <v>300</v>
      </c>
      <c r="AZ10" s="48" t="str">
        <f t="shared" si="30"/>
        <v/>
      </c>
      <c r="BA10" s="48">
        <f t="shared" si="31"/>
        <v>0</v>
      </c>
      <c r="BB10" s="48">
        <f t="shared" si="32"/>
        <v>0</v>
      </c>
      <c r="BC10" s="48">
        <f t="shared" si="33"/>
        <v>0</v>
      </c>
      <c r="BD10" s="48" t="s">
        <v>300</v>
      </c>
      <c r="BE10" s="48" t="s">
        <v>300</v>
      </c>
      <c r="BF10" s="48">
        <f t="shared" si="34"/>
        <v>0</v>
      </c>
      <c r="BG10" s="48">
        <f t="shared" si="35"/>
        <v>0</v>
      </c>
      <c r="BI10" s="48" t="s">
        <v>300</v>
      </c>
      <c r="BJ10" s="48" t="s">
        <v>300</v>
      </c>
      <c r="BK10" s="48" t="str">
        <f t="shared" si="36"/>
        <v/>
      </c>
      <c r="BL10" s="48">
        <f t="shared" si="37"/>
        <v>0</v>
      </c>
      <c r="BO10" s="48" t="s">
        <v>300</v>
      </c>
      <c r="BP10" s="48" t="s">
        <v>300</v>
      </c>
      <c r="BQ10" s="48">
        <f t="shared" si="38"/>
        <v>0</v>
      </c>
    </row>
    <row r="11">
      <c r="A11" s="48" t="str">
        <f t="shared" si="3"/>
        <v>0-0</v>
      </c>
      <c r="B11" s="48" t="str">
        <f t="shared" si="4"/>
        <v>0-0</v>
      </c>
      <c r="C11" s="48" t="str">
        <f t="shared" si="5"/>
        <v>0-0</v>
      </c>
      <c r="D11" s="48">
        <f t="shared" si="6"/>
        <v>0</v>
      </c>
      <c r="E11" s="48">
        <f t="shared" si="7"/>
        <v>0</v>
      </c>
      <c r="F11" s="48">
        <f t="shared" si="8"/>
        <v>0</v>
      </c>
      <c r="G11" s="48">
        <f t="shared" ref="G11:H11" si="54">Q11+AB11+AM11+AX11+BI11</f>
        <v>0</v>
      </c>
      <c r="H11" s="48">
        <f t="shared" si="54"/>
        <v>0</v>
      </c>
      <c r="I11" s="48">
        <f t="shared" si="10"/>
        <v>0</v>
      </c>
      <c r="J11" s="48">
        <f t="shared" ref="J11:K11" si="55">W11+AH11+AS11+BD11+BO11</f>
        <v>0</v>
      </c>
      <c r="K11" s="48">
        <f t="shared" si="55"/>
        <v>0</v>
      </c>
      <c r="L11" s="48">
        <f t="shared" si="12"/>
        <v>0</v>
      </c>
      <c r="M11" s="48">
        <f t="shared" si="41"/>
        <v>10</v>
      </c>
      <c r="N11" s="48" t="str">
        <f t="array" ref="N11">if($BS$1=0,"TBD",xlookup(M11-8,qualdata!$G$24:$G$39,qualdata!$A$24:$A$39,""))</f>
        <v>TBD</v>
      </c>
      <c r="O11" s="48" t="str">
        <f t="array" ref="O11">xlookup(N11,'Team Entry'!$A$2:$A$29,'Team Entry'!$B$2:$B$29,"")</f>
        <v/>
      </c>
      <c r="P11" s="48" t="s">
        <v>300</v>
      </c>
      <c r="Q11" s="48" t="s">
        <v>300</v>
      </c>
      <c r="R11" s="48" t="s">
        <v>300</v>
      </c>
      <c r="S11" s="48" t="str">
        <f t="shared" si="13"/>
        <v/>
      </c>
      <c r="T11" s="48">
        <f t="shared" si="14"/>
        <v>0</v>
      </c>
      <c r="U11" s="48">
        <f t="shared" si="15"/>
        <v>0</v>
      </c>
      <c r="W11" s="48" t="s">
        <v>300</v>
      </c>
      <c r="X11" s="48" t="s">
        <v>300</v>
      </c>
      <c r="Y11" s="48">
        <f t="shared" si="16"/>
        <v>0</v>
      </c>
      <c r="Z11" s="48">
        <f t="shared" si="17"/>
        <v>0</v>
      </c>
      <c r="AB11" s="48" t="s">
        <v>300</v>
      </c>
      <c r="AC11" s="48" t="s">
        <v>300</v>
      </c>
      <c r="AD11" s="48" t="str">
        <f t="shared" si="18"/>
        <v/>
      </c>
      <c r="AE11" s="48">
        <f t="shared" si="19"/>
        <v>0</v>
      </c>
      <c r="AF11" s="48">
        <f t="shared" si="20"/>
        <v>0</v>
      </c>
      <c r="AG11" s="48">
        <f t="shared" si="21"/>
        <v>0</v>
      </c>
      <c r="AH11" s="48" t="s">
        <v>300</v>
      </c>
      <c r="AI11" s="48" t="s">
        <v>300</v>
      </c>
      <c r="AJ11" s="48">
        <f t="shared" si="22"/>
        <v>0</v>
      </c>
      <c r="AK11" s="48">
        <f t="shared" si="23"/>
        <v>0</v>
      </c>
      <c r="AM11" s="48" t="s">
        <v>300</v>
      </c>
      <c r="AN11" s="48" t="s">
        <v>300</v>
      </c>
      <c r="AO11" s="48" t="str">
        <f t="shared" si="24"/>
        <v/>
      </c>
      <c r="AP11" s="48">
        <f t="shared" si="25"/>
        <v>0</v>
      </c>
      <c r="AQ11" s="48">
        <f t="shared" si="26"/>
        <v>0</v>
      </c>
      <c r="AR11" s="48">
        <f t="shared" si="27"/>
        <v>0</v>
      </c>
      <c r="AS11" s="48" t="s">
        <v>300</v>
      </c>
      <c r="AT11" s="48" t="s">
        <v>300</v>
      </c>
      <c r="AU11" s="48">
        <f t="shared" si="28"/>
        <v>0</v>
      </c>
      <c r="AV11" s="48">
        <f t="shared" si="29"/>
        <v>0</v>
      </c>
      <c r="AX11" s="48" t="s">
        <v>300</v>
      </c>
      <c r="AY11" s="48" t="s">
        <v>300</v>
      </c>
      <c r="AZ11" s="48" t="str">
        <f t="shared" si="30"/>
        <v/>
      </c>
      <c r="BA11" s="48">
        <f t="shared" si="31"/>
        <v>0</v>
      </c>
      <c r="BB11" s="48">
        <f t="shared" si="32"/>
        <v>0</v>
      </c>
      <c r="BC11" s="48">
        <f t="shared" si="33"/>
        <v>0</v>
      </c>
      <c r="BD11" s="48" t="s">
        <v>300</v>
      </c>
      <c r="BE11" s="48" t="s">
        <v>300</v>
      </c>
      <c r="BF11" s="48">
        <f t="shared" si="34"/>
        <v>0</v>
      </c>
      <c r="BG11" s="48">
        <f t="shared" si="35"/>
        <v>0</v>
      </c>
      <c r="BI11" s="48" t="s">
        <v>300</v>
      </c>
      <c r="BJ11" s="48" t="s">
        <v>300</v>
      </c>
      <c r="BK11" s="48" t="str">
        <f t="shared" si="36"/>
        <v/>
      </c>
      <c r="BL11" s="48">
        <f t="shared" si="37"/>
        <v>0</v>
      </c>
      <c r="BO11" s="48" t="s">
        <v>300</v>
      </c>
      <c r="BP11" s="48" t="s">
        <v>300</v>
      </c>
      <c r="BQ11" s="48">
        <f t="shared" si="38"/>
        <v>0</v>
      </c>
    </row>
    <row r="12">
      <c r="A12" s="48" t="str">
        <f t="shared" si="3"/>
        <v>0-0</v>
      </c>
      <c r="B12" s="48" t="str">
        <f t="shared" si="4"/>
        <v>0-0</v>
      </c>
      <c r="C12" s="48" t="str">
        <f t="shared" si="5"/>
        <v>0-0</v>
      </c>
      <c r="D12" s="48">
        <f t="shared" si="6"/>
        <v>0</v>
      </c>
      <c r="E12" s="48">
        <f t="shared" si="7"/>
        <v>0</v>
      </c>
      <c r="F12" s="48">
        <f t="shared" si="8"/>
        <v>0</v>
      </c>
      <c r="G12" s="48">
        <f t="shared" ref="G12:H12" si="56">Q12+AB12+AM12+AX12+BI12</f>
        <v>0</v>
      </c>
      <c r="H12" s="48">
        <f t="shared" si="56"/>
        <v>0</v>
      </c>
      <c r="I12" s="48">
        <f t="shared" si="10"/>
        <v>0</v>
      </c>
      <c r="J12" s="48">
        <f t="shared" ref="J12:K12" si="57">W12+AH12+AS12+BD12+BO12</f>
        <v>0</v>
      </c>
      <c r="K12" s="48">
        <f t="shared" si="57"/>
        <v>0</v>
      </c>
      <c r="L12" s="48">
        <f t="shared" si="12"/>
        <v>0</v>
      </c>
      <c r="M12" s="48">
        <f t="shared" si="41"/>
        <v>11</v>
      </c>
      <c r="N12" s="48" t="str">
        <f t="array" ref="N12">if($BS$1=0,"TBD",xlookup(M12-8,qualdata!$G$24:$G$39,qualdata!$A$24:$A$39,""))</f>
        <v>TBD</v>
      </c>
      <c r="O12" s="48" t="str">
        <f t="array" ref="O12">xlookup(N12,'Team Entry'!$A$2:$A$29,'Team Entry'!$B$2:$B$29,"")</f>
        <v/>
      </c>
      <c r="P12" s="48" t="s">
        <v>300</v>
      </c>
      <c r="Q12" s="48" t="s">
        <v>300</v>
      </c>
      <c r="R12" s="48" t="s">
        <v>300</v>
      </c>
      <c r="S12" s="48" t="str">
        <f t="shared" si="13"/>
        <v/>
      </c>
      <c r="T12" s="48">
        <f t="shared" si="14"/>
        <v>0</v>
      </c>
      <c r="U12" s="48">
        <f t="shared" si="15"/>
        <v>0</v>
      </c>
      <c r="W12" s="48" t="s">
        <v>300</v>
      </c>
      <c r="X12" s="48" t="s">
        <v>300</v>
      </c>
      <c r="Y12" s="48">
        <f t="shared" si="16"/>
        <v>0</v>
      </c>
      <c r="Z12" s="48">
        <f t="shared" si="17"/>
        <v>0</v>
      </c>
      <c r="AB12" s="48" t="s">
        <v>300</v>
      </c>
      <c r="AC12" s="48" t="s">
        <v>300</v>
      </c>
      <c r="AD12" s="48" t="str">
        <f t="shared" si="18"/>
        <v/>
      </c>
      <c r="AE12" s="48">
        <f t="shared" si="19"/>
        <v>0</v>
      </c>
      <c r="AF12" s="48">
        <f t="shared" si="20"/>
        <v>0</v>
      </c>
      <c r="AG12" s="48">
        <f t="shared" si="21"/>
        <v>0</v>
      </c>
      <c r="AH12" s="48" t="s">
        <v>300</v>
      </c>
      <c r="AI12" s="48" t="s">
        <v>300</v>
      </c>
      <c r="AJ12" s="48">
        <f t="shared" si="22"/>
        <v>0</v>
      </c>
      <c r="AK12" s="48">
        <f t="shared" si="23"/>
        <v>0</v>
      </c>
      <c r="AM12" s="48" t="s">
        <v>300</v>
      </c>
      <c r="AN12" s="48" t="s">
        <v>300</v>
      </c>
      <c r="AO12" s="48" t="str">
        <f t="shared" si="24"/>
        <v/>
      </c>
      <c r="AP12" s="48">
        <f t="shared" si="25"/>
        <v>0</v>
      </c>
      <c r="AQ12" s="48">
        <f t="shared" si="26"/>
        <v>0</v>
      </c>
      <c r="AR12" s="48">
        <f t="shared" si="27"/>
        <v>0</v>
      </c>
      <c r="AS12" s="48" t="s">
        <v>300</v>
      </c>
      <c r="AT12" s="48" t="s">
        <v>300</v>
      </c>
      <c r="AU12" s="48">
        <f t="shared" si="28"/>
        <v>0</v>
      </c>
      <c r="AV12" s="48">
        <f t="shared" si="29"/>
        <v>0</v>
      </c>
      <c r="AX12" s="48" t="s">
        <v>300</v>
      </c>
      <c r="AY12" s="48" t="s">
        <v>300</v>
      </c>
      <c r="AZ12" s="48" t="str">
        <f t="shared" si="30"/>
        <v/>
      </c>
      <c r="BA12" s="48">
        <f t="shared" si="31"/>
        <v>0</v>
      </c>
      <c r="BB12" s="48">
        <f t="shared" si="32"/>
        <v>0</v>
      </c>
      <c r="BC12" s="48">
        <f t="shared" si="33"/>
        <v>0</v>
      </c>
      <c r="BD12" s="48" t="s">
        <v>300</v>
      </c>
      <c r="BE12" s="48" t="s">
        <v>300</v>
      </c>
      <c r="BF12" s="48">
        <f t="shared" si="34"/>
        <v>0</v>
      </c>
      <c r="BG12" s="48">
        <f t="shared" si="35"/>
        <v>0</v>
      </c>
      <c r="BI12" s="48" t="s">
        <v>300</v>
      </c>
      <c r="BJ12" s="48" t="s">
        <v>300</v>
      </c>
      <c r="BK12" s="48" t="str">
        <f t="shared" si="36"/>
        <v/>
      </c>
      <c r="BL12" s="48">
        <f t="shared" si="37"/>
        <v>0</v>
      </c>
      <c r="BO12" s="48" t="s">
        <v>300</v>
      </c>
      <c r="BP12" s="48" t="s">
        <v>300</v>
      </c>
      <c r="BQ12" s="48">
        <f t="shared" si="38"/>
        <v>0</v>
      </c>
    </row>
    <row r="13">
      <c r="A13" s="48" t="str">
        <f t="shared" si="3"/>
        <v>0-0</v>
      </c>
      <c r="B13" s="48" t="str">
        <f t="shared" si="4"/>
        <v>0-0</v>
      </c>
      <c r="C13" s="48" t="str">
        <f t="shared" si="5"/>
        <v>0-0</v>
      </c>
      <c r="D13" s="48">
        <f t="shared" si="6"/>
        <v>0</v>
      </c>
      <c r="E13" s="48">
        <f t="shared" si="7"/>
        <v>0</v>
      </c>
      <c r="F13" s="48">
        <f t="shared" si="8"/>
        <v>0</v>
      </c>
      <c r="G13" s="48">
        <f t="shared" ref="G13:H13" si="58">Q13+AB13+AM13+AX13+BI13</f>
        <v>0</v>
      </c>
      <c r="H13" s="48">
        <f t="shared" si="58"/>
        <v>0</v>
      </c>
      <c r="I13" s="48">
        <f t="shared" si="10"/>
        <v>0</v>
      </c>
      <c r="J13" s="48">
        <f t="shared" ref="J13:K13" si="59">W13+AH13+AS13+BD13+BO13</f>
        <v>0</v>
      </c>
      <c r="K13" s="48">
        <f t="shared" si="59"/>
        <v>0</v>
      </c>
      <c r="L13" s="48">
        <f t="shared" si="12"/>
        <v>0</v>
      </c>
      <c r="M13" s="48">
        <f t="shared" si="41"/>
        <v>12</v>
      </c>
      <c r="N13" s="48" t="str">
        <f t="array" ref="N13">if($BS$1=0,"TBD",xlookup(M13-8,qualdata!$G$24:$G$39,qualdata!$A$24:$A$39,""))</f>
        <v>TBD</v>
      </c>
      <c r="O13" s="48" t="str">
        <f t="array" ref="O13">xlookup(N13,'Team Entry'!$A$2:$A$29,'Team Entry'!$B$2:$B$29,"")</f>
        <v/>
      </c>
      <c r="P13" s="48" t="s">
        <v>300</v>
      </c>
      <c r="Q13" s="48" t="s">
        <v>300</v>
      </c>
      <c r="R13" s="48" t="s">
        <v>300</v>
      </c>
      <c r="S13" s="48" t="str">
        <f t="shared" si="13"/>
        <v/>
      </c>
      <c r="T13" s="48">
        <f t="shared" si="14"/>
        <v>0</v>
      </c>
      <c r="U13" s="48">
        <f t="shared" si="15"/>
        <v>0</v>
      </c>
      <c r="W13" s="48" t="s">
        <v>300</v>
      </c>
      <c r="X13" s="48" t="s">
        <v>300</v>
      </c>
      <c r="Y13" s="48">
        <f t="shared" si="16"/>
        <v>0</v>
      </c>
      <c r="Z13" s="48">
        <f t="shared" si="17"/>
        <v>0</v>
      </c>
      <c r="AB13" s="48" t="s">
        <v>300</v>
      </c>
      <c r="AC13" s="48" t="s">
        <v>300</v>
      </c>
      <c r="AD13" s="48" t="str">
        <f t="shared" si="18"/>
        <v/>
      </c>
      <c r="AE13" s="48">
        <f t="shared" si="19"/>
        <v>0</v>
      </c>
      <c r="AF13" s="48">
        <f t="shared" si="20"/>
        <v>0</v>
      </c>
      <c r="AG13" s="48">
        <f t="shared" si="21"/>
        <v>0</v>
      </c>
      <c r="AH13" s="48" t="s">
        <v>300</v>
      </c>
      <c r="AI13" s="48" t="s">
        <v>300</v>
      </c>
      <c r="AJ13" s="48">
        <f t="shared" si="22"/>
        <v>0</v>
      </c>
      <c r="AK13" s="48">
        <f t="shared" si="23"/>
        <v>0</v>
      </c>
      <c r="AM13" s="48" t="s">
        <v>300</v>
      </c>
      <c r="AN13" s="48" t="s">
        <v>300</v>
      </c>
      <c r="AO13" s="48" t="str">
        <f t="shared" si="24"/>
        <v/>
      </c>
      <c r="AP13" s="48">
        <f t="shared" si="25"/>
        <v>0</v>
      </c>
      <c r="AQ13" s="48">
        <f t="shared" si="26"/>
        <v>0</v>
      </c>
      <c r="AR13" s="48">
        <f t="shared" si="27"/>
        <v>0</v>
      </c>
      <c r="AS13" s="48" t="s">
        <v>300</v>
      </c>
      <c r="AT13" s="48" t="s">
        <v>300</v>
      </c>
      <c r="AU13" s="48">
        <f t="shared" si="28"/>
        <v>0</v>
      </c>
      <c r="AV13" s="48">
        <f t="shared" si="29"/>
        <v>0</v>
      </c>
      <c r="AX13" s="48" t="s">
        <v>300</v>
      </c>
      <c r="AY13" s="48" t="s">
        <v>300</v>
      </c>
      <c r="AZ13" s="48" t="str">
        <f t="shared" si="30"/>
        <v/>
      </c>
      <c r="BA13" s="48">
        <f t="shared" si="31"/>
        <v>0</v>
      </c>
      <c r="BB13" s="48">
        <f t="shared" si="32"/>
        <v>0</v>
      </c>
      <c r="BC13" s="48">
        <f t="shared" si="33"/>
        <v>0</v>
      </c>
      <c r="BD13" s="48" t="s">
        <v>300</v>
      </c>
      <c r="BE13" s="48" t="s">
        <v>300</v>
      </c>
      <c r="BF13" s="48">
        <f t="shared" si="34"/>
        <v>0</v>
      </c>
      <c r="BG13" s="48">
        <f t="shared" si="35"/>
        <v>0</v>
      </c>
      <c r="BI13" s="48" t="s">
        <v>300</v>
      </c>
      <c r="BJ13" s="48" t="s">
        <v>300</v>
      </c>
      <c r="BK13" s="48" t="str">
        <f t="shared" si="36"/>
        <v/>
      </c>
      <c r="BL13" s="48">
        <f t="shared" si="37"/>
        <v>0</v>
      </c>
      <c r="BO13" s="48" t="s">
        <v>300</v>
      </c>
      <c r="BP13" s="48" t="s">
        <v>300</v>
      </c>
      <c r="BQ13" s="48">
        <f t="shared" si="38"/>
        <v>0</v>
      </c>
    </row>
    <row r="14">
      <c r="A14" s="48" t="str">
        <f t="shared" si="3"/>
        <v>0-0</v>
      </c>
      <c r="B14" s="48" t="str">
        <f t="shared" si="4"/>
        <v>0-0</v>
      </c>
      <c r="C14" s="48" t="str">
        <f t="shared" si="5"/>
        <v>0-0</v>
      </c>
      <c r="D14" s="48">
        <f t="shared" si="6"/>
        <v>0</v>
      </c>
      <c r="E14" s="48">
        <f t="shared" si="7"/>
        <v>0</v>
      </c>
      <c r="F14" s="48">
        <f t="shared" si="8"/>
        <v>0</v>
      </c>
      <c r="G14" s="48">
        <f t="shared" ref="G14:H14" si="60">Q14+AB14+AM14+AX14+BI14</f>
        <v>0</v>
      </c>
      <c r="H14" s="48">
        <f t="shared" si="60"/>
        <v>0</v>
      </c>
      <c r="I14" s="48">
        <f t="shared" si="10"/>
        <v>0</v>
      </c>
      <c r="J14" s="48">
        <f t="shared" ref="J14:K14" si="61">W14+AH14+AS14+BD14+BO14</f>
        <v>0</v>
      </c>
      <c r="K14" s="48">
        <f t="shared" si="61"/>
        <v>0</v>
      </c>
      <c r="L14" s="48">
        <f t="shared" si="12"/>
        <v>0</v>
      </c>
      <c r="M14" s="48">
        <f t="shared" si="41"/>
        <v>13</v>
      </c>
      <c r="N14" s="48" t="str">
        <f t="array" ref="N14">if($BS$1=0,"TBD",xlookup(M14-8,qualdata!$G$24:$G$39,qualdata!$A$24:$A$39,""))</f>
        <v>TBD</v>
      </c>
      <c r="O14" s="48" t="str">
        <f t="array" ref="O14">xlookup(N14,'Team Entry'!$A$2:$A$29,'Team Entry'!$B$2:$B$29,"")</f>
        <v/>
      </c>
      <c r="P14" s="48" t="s">
        <v>300</v>
      </c>
      <c r="Q14" s="48" t="s">
        <v>300</v>
      </c>
      <c r="R14" s="48" t="s">
        <v>300</v>
      </c>
      <c r="S14" s="48" t="str">
        <f t="shared" si="13"/>
        <v/>
      </c>
      <c r="T14" s="48">
        <f t="shared" si="14"/>
        <v>0</v>
      </c>
      <c r="U14" s="48">
        <f t="shared" si="15"/>
        <v>0</v>
      </c>
      <c r="W14" s="48" t="s">
        <v>300</v>
      </c>
      <c r="X14" s="48" t="s">
        <v>300</v>
      </c>
      <c r="Y14" s="48">
        <f t="shared" si="16"/>
        <v>0</v>
      </c>
      <c r="Z14" s="48">
        <f t="shared" si="17"/>
        <v>0</v>
      </c>
      <c r="AB14" s="48" t="s">
        <v>300</v>
      </c>
      <c r="AC14" s="48" t="s">
        <v>300</v>
      </c>
      <c r="AD14" s="48" t="str">
        <f t="shared" si="18"/>
        <v/>
      </c>
      <c r="AE14" s="48">
        <f t="shared" si="19"/>
        <v>0</v>
      </c>
      <c r="AF14" s="48">
        <f t="shared" si="20"/>
        <v>0</v>
      </c>
      <c r="AG14" s="48">
        <f t="shared" si="21"/>
        <v>0</v>
      </c>
      <c r="AH14" s="48" t="s">
        <v>300</v>
      </c>
      <c r="AI14" s="48" t="s">
        <v>300</v>
      </c>
      <c r="AJ14" s="48">
        <f t="shared" si="22"/>
        <v>0</v>
      </c>
      <c r="AK14" s="48">
        <f t="shared" si="23"/>
        <v>0</v>
      </c>
      <c r="AM14" s="48" t="s">
        <v>300</v>
      </c>
      <c r="AN14" s="48" t="s">
        <v>300</v>
      </c>
      <c r="AO14" s="48" t="str">
        <f t="shared" si="24"/>
        <v/>
      </c>
      <c r="AP14" s="48">
        <f t="shared" si="25"/>
        <v>0</v>
      </c>
      <c r="AQ14" s="48">
        <f t="shared" si="26"/>
        <v>0</v>
      </c>
      <c r="AR14" s="48">
        <f t="shared" si="27"/>
        <v>0</v>
      </c>
      <c r="AS14" s="48" t="s">
        <v>300</v>
      </c>
      <c r="AT14" s="48" t="s">
        <v>300</v>
      </c>
      <c r="AU14" s="48">
        <f t="shared" si="28"/>
        <v>0</v>
      </c>
      <c r="AV14" s="48">
        <f t="shared" si="29"/>
        <v>0</v>
      </c>
      <c r="AX14" s="48" t="s">
        <v>300</v>
      </c>
      <c r="AY14" s="48" t="s">
        <v>300</v>
      </c>
      <c r="AZ14" s="48" t="str">
        <f t="shared" si="30"/>
        <v/>
      </c>
      <c r="BA14" s="48">
        <f t="shared" si="31"/>
        <v>0</v>
      </c>
      <c r="BB14" s="48">
        <f t="shared" si="32"/>
        <v>0</v>
      </c>
      <c r="BC14" s="48">
        <f t="shared" si="33"/>
        <v>0</v>
      </c>
      <c r="BD14" s="48" t="s">
        <v>300</v>
      </c>
      <c r="BE14" s="48" t="s">
        <v>300</v>
      </c>
      <c r="BF14" s="48">
        <f t="shared" si="34"/>
        <v>0</v>
      </c>
      <c r="BG14" s="48">
        <f t="shared" si="35"/>
        <v>0</v>
      </c>
      <c r="BI14" s="48" t="s">
        <v>300</v>
      </c>
      <c r="BJ14" s="48" t="s">
        <v>300</v>
      </c>
      <c r="BK14" s="48" t="str">
        <f t="shared" si="36"/>
        <v/>
      </c>
      <c r="BL14" s="48">
        <f t="shared" si="37"/>
        <v>0</v>
      </c>
      <c r="BO14" s="48" t="s">
        <v>300</v>
      </c>
      <c r="BP14" s="48" t="s">
        <v>300</v>
      </c>
      <c r="BQ14" s="48">
        <f t="shared" si="38"/>
        <v>0</v>
      </c>
    </row>
    <row r="15">
      <c r="A15" s="48" t="str">
        <f t="shared" si="3"/>
        <v>0-0</v>
      </c>
      <c r="B15" s="48" t="str">
        <f t="shared" si="4"/>
        <v>0-0</v>
      </c>
      <c r="C15" s="48" t="str">
        <f t="shared" si="5"/>
        <v>0-0</v>
      </c>
      <c r="D15" s="48">
        <f t="shared" si="6"/>
        <v>0</v>
      </c>
      <c r="E15" s="48">
        <f t="shared" si="7"/>
        <v>0</v>
      </c>
      <c r="F15" s="48">
        <f t="shared" si="8"/>
        <v>0</v>
      </c>
      <c r="G15" s="48">
        <f t="shared" ref="G15:H15" si="62">Q15+AB15+AM15+AX15+BI15</f>
        <v>0</v>
      </c>
      <c r="H15" s="48">
        <f t="shared" si="62"/>
        <v>0</v>
      </c>
      <c r="I15" s="48">
        <f t="shared" si="10"/>
        <v>0</v>
      </c>
      <c r="J15" s="48">
        <f t="shared" ref="J15:K15" si="63">W15+AH15+AS15+BD15+BO15</f>
        <v>0</v>
      </c>
      <c r="K15" s="48">
        <f t="shared" si="63"/>
        <v>0</v>
      </c>
      <c r="L15" s="48">
        <f t="shared" si="12"/>
        <v>0</v>
      </c>
      <c r="M15" s="48">
        <f t="shared" si="41"/>
        <v>14</v>
      </c>
      <c r="N15" s="48" t="str">
        <f t="array" ref="N15">if($BS$1=0,"TBD",xlookup(M15-8,qualdata!$G$24:$G$39,qualdata!$A$24:$A$39,""))</f>
        <v>TBD</v>
      </c>
      <c r="O15" s="48" t="str">
        <f t="array" ref="O15">xlookup(N15,'Team Entry'!$A$2:$A$29,'Team Entry'!$B$2:$B$29,"")</f>
        <v/>
      </c>
      <c r="P15" s="48" t="s">
        <v>300</v>
      </c>
      <c r="Q15" s="48" t="s">
        <v>300</v>
      </c>
      <c r="R15" s="48" t="s">
        <v>300</v>
      </c>
      <c r="S15" s="48" t="str">
        <f t="shared" si="13"/>
        <v/>
      </c>
      <c r="T15" s="48">
        <f t="shared" si="14"/>
        <v>0</v>
      </c>
      <c r="U15" s="48">
        <f t="shared" si="15"/>
        <v>0</v>
      </c>
      <c r="W15" s="48" t="s">
        <v>300</v>
      </c>
      <c r="X15" s="48" t="s">
        <v>300</v>
      </c>
      <c r="Y15" s="48">
        <f t="shared" si="16"/>
        <v>0</v>
      </c>
      <c r="Z15" s="48">
        <f t="shared" si="17"/>
        <v>0</v>
      </c>
      <c r="AB15" s="48" t="s">
        <v>300</v>
      </c>
      <c r="AC15" s="48" t="s">
        <v>300</v>
      </c>
      <c r="AD15" s="48" t="str">
        <f t="shared" si="18"/>
        <v/>
      </c>
      <c r="AE15" s="48">
        <f t="shared" si="19"/>
        <v>0</v>
      </c>
      <c r="AF15" s="48">
        <f t="shared" si="20"/>
        <v>0</v>
      </c>
      <c r="AG15" s="48">
        <f t="shared" si="21"/>
        <v>0</v>
      </c>
      <c r="AH15" s="48" t="s">
        <v>300</v>
      </c>
      <c r="AI15" s="48" t="s">
        <v>300</v>
      </c>
      <c r="AJ15" s="48">
        <f t="shared" si="22"/>
        <v>0</v>
      </c>
      <c r="AK15" s="48">
        <f t="shared" si="23"/>
        <v>0</v>
      </c>
      <c r="AM15" s="48" t="s">
        <v>300</v>
      </c>
      <c r="AN15" s="48" t="s">
        <v>300</v>
      </c>
      <c r="AO15" s="48" t="str">
        <f t="shared" si="24"/>
        <v/>
      </c>
      <c r="AP15" s="48">
        <f t="shared" si="25"/>
        <v>0</v>
      </c>
      <c r="AQ15" s="48">
        <f t="shared" si="26"/>
        <v>0</v>
      </c>
      <c r="AR15" s="48">
        <f t="shared" si="27"/>
        <v>0</v>
      </c>
      <c r="AS15" s="48" t="s">
        <v>300</v>
      </c>
      <c r="AT15" s="48" t="s">
        <v>300</v>
      </c>
      <c r="AU15" s="48">
        <f t="shared" si="28"/>
        <v>0</v>
      </c>
      <c r="AV15" s="48">
        <f t="shared" si="29"/>
        <v>0</v>
      </c>
      <c r="AX15" s="48" t="s">
        <v>300</v>
      </c>
      <c r="AY15" s="48" t="s">
        <v>300</v>
      </c>
      <c r="AZ15" s="48" t="str">
        <f t="shared" si="30"/>
        <v/>
      </c>
      <c r="BA15" s="48">
        <f t="shared" si="31"/>
        <v>0</v>
      </c>
      <c r="BB15" s="48">
        <f t="shared" si="32"/>
        <v>0</v>
      </c>
      <c r="BC15" s="48">
        <f t="shared" si="33"/>
        <v>0</v>
      </c>
      <c r="BD15" s="48" t="s">
        <v>300</v>
      </c>
      <c r="BE15" s="48" t="s">
        <v>300</v>
      </c>
      <c r="BF15" s="48">
        <f t="shared" si="34"/>
        <v>0</v>
      </c>
      <c r="BG15" s="48">
        <f t="shared" si="35"/>
        <v>0</v>
      </c>
      <c r="BI15" s="48" t="s">
        <v>300</v>
      </c>
      <c r="BJ15" s="48" t="s">
        <v>300</v>
      </c>
      <c r="BK15" s="48" t="str">
        <f t="shared" si="36"/>
        <v/>
      </c>
      <c r="BL15" s="48">
        <f t="shared" si="37"/>
        <v>0</v>
      </c>
      <c r="BO15" s="48" t="s">
        <v>300</v>
      </c>
      <c r="BP15" s="48" t="s">
        <v>300</v>
      </c>
      <c r="BQ15" s="48">
        <f t="shared" si="38"/>
        <v>0</v>
      </c>
    </row>
    <row r="16">
      <c r="A16" s="48" t="str">
        <f t="shared" si="3"/>
        <v>0-0</v>
      </c>
      <c r="B16" s="48" t="str">
        <f t="shared" si="4"/>
        <v>0-0</v>
      </c>
      <c r="C16" s="48" t="str">
        <f t="shared" si="5"/>
        <v>0-0</v>
      </c>
      <c r="D16" s="48">
        <f t="shared" si="6"/>
        <v>0</v>
      </c>
      <c r="E16" s="48">
        <f t="shared" si="7"/>
        <v>0</v>
      </c>
      <c r="F16" s="48">
        <f t="shared" si="8"/>
        <v>0</v>
      </c>
      <c r="G16" s="48">
        <f t="shared" ref="G16:H16" si="64">Q16+AB16+AM16+AX16+BI16</f>
        <v>0</v>
      </c>
      <c r="H16" s="48">
        <f t="shared" si="64"/>
        <v>0</v>
      </c>
      <c r="I16" s="48">
        <f t="shared" si="10"/>
        <v>0</v>
      </c>
      <c r="J16" s="48">
        <f t="shared" ref="J16:K16" si="65">W16+AH16+AS16+BD16+BO16</f>
        <v>0</v>
      </c>
      <c r="K16" s="48">
        <f t="shared" si="65"/>
        <v>0</v>
      </c>
      <c r="L16" s="48">
        <f t="shared" si="12"/>
        <v>0</v>
      </c>
      <c r="M16" s="48">
        <f t="shared" si="41"/>
        <v>15</v>
      </c>
      <c r="N16" s="48" t="str">
        <f t="array" ref="N16">if($BS$1=0,"TBD",xlookup(M16-8,qualdata!$G$24:$G$39,qualdata!$A$24:$A$39,""))</f>
        <v>TBD</v>
      </c>
      <c r="O16" s="48" t="str">
        <f t="array" ref="O16">xlookup(N16,'Team Entry'!$A$2:$A$29,'Team Entry'!$B$2:$B$29,"")</f>
        <v/>
      </c>
      <c r="P16" s="48" t="s">
        <v>300</v>
      </c>
      <c r="Q16" s="48" t="s">
        <v>300</v>
      </c>
      <c r="R16" s="48" t="s">
        <v>300</v>
      </c>
      <c r="S16" s="48" t="str">
        <f t="shared" si="13"/>
        <v/>
      </c>
      <c r="T16" s="48">
        <f t="shared" si="14"/>
        <v>0</v>
      </c>
      <c r="U16" s="48">
        <f t="shared" si="15"/>
        <v>0</v>
      </c>
      <c r="W16" s="48" t="s">
        <v>300</v>
      </c>
      <c r="X16" s="48" t="s">
        <v>300</v>
      </c>
      <c r="Y16" s="48">
        <f t="shared" si="16"/>
        <v>0</v>
      </c>
      <c r="Z16" s="48">
        <f t="shared" si="17"/>
        <v>0</v>
      </c>
      <c r="AB16" s="48" t="s">
        <v>300</v>
      </c>
      <c r="AC16" s="48" t="s">
        <v>300</v>
      </c>
      <c r="AD16" s="48" t="str">
        <f t="shared" si="18"/>
        <v/>
      </c>
      <c r="AE16" s="48">
        <f t="shared" si="19"/>
        <v>0</v>
      </c>
      <c r="AF16" s="48">
        <f t="shared" si="20"/>
        <v>0</v>
      </c>
      <c r="AG16" s="48">
        <f t="shared" si="21"/>
        <v>0</v>
      </c>
      <c r="AH16" s="48" t="s">
        <v>300</v>
      </c>
      <c r="AI16" s="48" t="s">
        <v>300</v>
      </c>
      <c r="AJ16" s="48">
        <f t="shared" si="22"/>
        <v>0</v>
      </c>
      <c r="AK16" s="48">
        <f t="shared" si="23"/>
        <v>0</v>
      </c>
      <c r="AM16" s="48" t="s">
        <v>300</v>
      </c>
      <c r="AN16" s="48" t="s">
        <v>300</v>
      </c>
      <c r="AO16" s="48" t="str">
        <f t="shared" si="24"/>
        <v/>
      </c>
      <c r="AP16" s="48">
        <f t="shared" si="25"/>
        <v>0</v>
      </c>
      <c r="AQ16" s="48">
        <f t="shared" si="26"/>
        <v>0</v>
      </c>
      <c r="AR16" s="48">
        <f t="shared" si="27"/>
        <v>0</v>
      </c>
      <c r="AS16" s="48" t="s">
        <v>300</v>
      </c>
      <c r="AT16" s="48" t="s">
        <v>300</v>
      </c>
      <c r="AU16" s="48">
        <f t="shared" si="28"/>
        <v>0</v>
      </c>
      <c r="AV16" s="48">
        <f t="shared" si="29"/>
        <v>0</v>
      </c>
      <c r="AX16" s="48" t="s">
        <v>300</v>
      </c>
      <c r="AY16" s="48" t="s">
        <v>300</v>
      </c>
      <c r="AZ16" s="48" t="str">
        <f t="shared" si="30"/>
        <v/>
      </c>
      <c r="BA16" s="48">
        <f t="shared" si="31"/>
        <v>0</v>
      </c>
      <c r="BB16" s="48">
        <f t="shared" si="32"/>
        <v>0</v>
      </c>
      <c r="BC16" s="48">
        <f t="shared" si="33"/>
        <v>0</v>
      </c>
      <c r="BD16" s="48" t="s">
        <v>300</v>
      </c>
      <c r="BE16" s="48" t="s">
        <v>300</v>
      </c>
      <c r="BF16" s="48">
        <f t="shared" si="34"/>
        <v>0</v>
      </c>
      <c r="BG16" s="48">
        <f t="shared" si="35"/>
        <v>0</v>
      </c>
      <c r="BI16" s="48" t="s">
        <v>300</v>
      </c>
      <c r="BJ16" s="48" t="s">
        <v>300</v>
      </c>
      <c r="BK16" s="48" t="str">
        <f t="shared" si="36"/>
        <v/>
      </c>
      <c r="BL16" s="48">
        <f t="shared" si="37"/>
        <v>0</v>
      </c>
      <c r="BO16" s="48" t="s">
        <v>300</v>
      </c>
      <c r="BP16" s="48" t="s">
        <v>300</v>
      </c>
      <c r="BQ16" s="48">
        <f t="shared" si="38"/>
        <v>0</v>
      </c>
    </row>
    <row r="17">
      <c r="A17" s="48" t="str">
        <f t="shared" si="3"/>
        <v>0-0</v>
      </c>
      <c r="B17" s="48" t="str">
        <f t="shared" si="4"/>
        <v>0-0</v>
      </c>
      <c r="C17" s="48" t="str">
        <f t="shared" si="5"/>
        <v>0-0</v>
      </c>
      <c r="D17" s="48">
        <f t="shared" si="6"/>
        <v>0</v>
      </c>
      <c r="E17" s="48">
        <f t="shared" si="7"/>
        <v>0</v>
      </c>
      <c r="F17" s="48">
        <f t="shared" si="8"/>
        <v>0</v>
      </c>
      <c r="G17" s="48">
        <f t="shared" ref="G17:H17" si="66">Q17+AB17+AM17+AX17+BI17</f>
        <v>0</v>
      </c>
      <c r="H17" s="48">
        <f t="shared" si="66"/>
        <v>0</v>
      </c>
      <c r="I17" s="48">
        <f t="shared" si="10"/>
        <v>0</v>
      </c>
      <c r="J17" s="48">
        <f t="shared" ref="J17:K17" si="67">W17+AH17+AS17+BD17+BO17</f>
        <v>0</v>
      </c>
      <c r="K17" s="48">
        <f t="shared" si="67"/>
        <v>0</v>
      </c>
      <c r="L17" s="48">
        <f t="shared" si="12"/>
        <v>0</v>
      </c>
      <c r="M17" s="48">
        <f t="shared" si="41"/>
        <v>16</v>
      </c>
      <c r="N17" s="48" t="str">
        <f t="array" ref="N17">if($BS$1=0,"TBD",xlookup(M17-8,qualdata!$G$24:$G$39,qualdata!$A$24:$A$39,""))</f>
        <v>TBD</v>
      </c>
      <c r="O17" s="48" t="str">
        <f t="array" ref="O17">xlookup(N17,'Team Entry'!$A$2:$A$29,'Team Entry'!$B$2:$B$29,"")</f>
        <v/>
      </c>
      <c r="P17" s="48" t="s">
        <v>300</v>
      </c>
      <c r="Q17" s="48" t="s">
        <v>300</v>
      </c>
      <c r="R17" s="48" t="s">
        <v>300</v>
      </c>
      <c r="S17" s="48" t="str">
        <f t="shared" si="13"/>
        <v/>
      </c>
      <c r="T17" s="48">
        <f t="shared" si="14"/>
        <v>0</v>
      </c>
      <c r="U17" s="48">
        <f t="shared" si="15"/>
        <v>0</v>
      </c>
      <c r="W17" s="48" t="s">
        <v>300</v>
      </c>
      <c r="X17" s="48" t="s">
        <v>300</v>
      </c>
      <c r="Y17" s="48">
        <f t="shared" si="16"/>
        <v>0</v>
      </c>
      <c r="Z17" s="48">
        <f t="shared" si="17"/>
        <v>0</v>
      </c>
      <c r="AB17" s="48" t="s">
        <v>300</v>
      </c>
      <c r="AC17" s="48" t="s">
        <v>300</v>
      </c>
      <c r="AD17" s="48" t="str">
        <f t="shared" si="18"/>
        <v/>
      </c>
      <c r="AE17" s="48">
        <f t="shared" si="19"/>
        <v>0</v>
      </c>
      <c r="AF17" s="48">
        <f t="shared" si="20"/>
        <v>0</v>
      </c>
      <c r="AG17" s="48">
        <f t="shared" si="21"/>
        <v>0</v>
      </c>
      <c r="AH17" s="48" t="s">
        <v>300</v>
      </c>
      <c r="AI17" s="48" t="s">
        <v>300</v>
      </c>
      <c r="AJ17" s="48">
        <f t="shared" si="22"/>
        <v>0</v>
      </c>
      <c r="AK17" s="48">
        <f t="shared" si="23"/>
        <v>0</v>
      </c>
      <c r="AM17" s="48" t="s">
        <v>300</v>
      </c>
      <c r="AN17" s="48" t="s">
        <v>300</v>
      </c>
      <c r="AO17" s="48" t="str">
        <f t="shared" si="24"/>
        <v/>
      </c>
      <c r="AP17" s="48">
        <f t="shared" si="25"/>
        <v>0</v>
      </c>
      <c r="AQ17" s="48">
        <f t="shared" si="26"/>
        <v>0</v>
      </c>
      <c r="AR17" s="48">
        <f t="shared" si="27"/>
        <v>0</v>
      </c>
      <c r="AS17" s="48" t="s">
        <v>300</v>
      </c>
      <c r="AT17" s="48" t="s">
        <v>300</v>
      </c>
      <c r="AU17" s="48">
        <f t="shared" si="28"/>
        <v>0</v>
      </c>
      <c r="AV17" s="48">
        <f t="shared" si="29"/>
        <v>0</v>
      </c>
      <c r="AX17" s="48" t="s">
        <v>300</v>
      </c>
      <c r="AY17" s="48" t="s">
        <v>300</v>
      </c>
      <c r="AZ17" s="48" t="str">
        <f t="shared" si="30"/>
        <v/>
      </c>
      <c r="BA17" s="48">
        <f t="shared" si="31"/>
        <v>0</v>
      </c>
      <c r="BB17" s="48">
        <f t="shared" si="32"/>
        <v>0</v>
      </c>
      <c r="BC17" s="48">
        <f t="shared" si="33"/>
        <v>0</v>
      </c>
      <c r="BD17" s="48" t="s">
        <v>300</v>
      </c>
      <c r="BE17" s="48" t="s">
        <v>300</v>
      </c>
      <c r="BF17" s="48">
        <f t="shared" si="34"/>
        <v>0</v>
      </c>
      <c r="BG17" s="48">
        <f t="shared" si="35"/>
        <v>0</v>
      </c>
      <c r="BI17" s="48" t="s">
        <v>300</v>
      </c>
      <c r="BJ17" s="48" t="s">
        <v>300</v>
      </c>
      <c r="BK17" s="48" t="str">
        <f t="shared" si="36"/>
        <v/>
      </c>
      <c r="BL17" s="48">
        <f t="shared" si="37"/>
        <v>0</v>
      </c>
      <c r="BO17" s="48" t="s">
        <v>300</v>
      </c>
      <c r="BP17" s="48" t="s">
        <v>300</v>
      </c>
      <c r="BQ17" s="48">
        <f t="shared" si="38"/>
        <v>0</v>
      </c>
    </row>
    <row r="23">
      <c r="A23" s="47" t="s">
        <v>326</v>
      </c>
      <c r="B23" s="47" t="s">
        <v>433</v>
      </c>
      <c r="C23" s="47" t="s">
        <v>90</v>
      </c>
      <c r="D23" s="47" t="s">
        <v>91</v>
      </c>
      <c r="E23" s="47" t="s">
        <v>439</v>
      </c>
      <c r="F23" s="47" t="s">
        <v>92</v>
      </c>
    </row>
    <row r="24">
      <c r="A24" s="48" t="str">
        <f t="array" ref="A24:A39">sort(N2:N17,D2:D17,false,F2:F17,false,I2:I17,false,L2:L17,false)</f>
        <v>Team 1 (Group 2)</v>
      </c>
      <c r="B24" s="48" t="str">
        <f t="shared" ref="B24:F24" si="68">xlookup($A24,$N$2:$N$17,xlookup(B$23,$A$1:$L$1,$A$2:$L$17,""))</f>
        <v>0-0</v>
      </c>
      <c r="C24" s="48" t="str">
        <f t="shared" si="68"/>
        <v>0-0</v>
      </c>
      <c r="D24" s="48" t="str">
        <f t="shared" si="68"/>
        <v>0-0</v>
      </c>
      <c r="E24" s="48">
        <f t="shared" si="68"/>
        <v>0</v>
      </c>
      <c r="F24" s="48">
        <f t="shared" si="68"/>
        <v>0</v>
      </c>
      <c r="G24" s="47">
        <v>1.0</v>
      </c>
    </row>
    <row r="25">
      <c r="A25" s="48" t="s">
        <v>348</v>
      </c>
      <c r="B25" s="48" t="str">
        <f t="shared" ref="B25:F25" si="69">xlookup($A25,$N$2:$N$17,xlookup(B$23,$A$1:$L$1,$A$2:$L$17,""))</f>
        <v>0-0</v>
      </c>
      <c r="C25" s="48" t="str">
        <f t="shared" si="69"/>
        <v>0-0</v>
      </c>
      <c r="D25" s="48" t="str">
        <f t="shared" si="69"/>
        <v>0-0</v>
      </c>
      <c r="E25" s="48">
        <f t="shared" si="69"/>
        <v>0</v>
      </c>
      <c r="F25" s="48">
        <f t="shared" si="69"/>
        <v>0</v>
      </c>
      <c r="G25" s="48">
        <f t="shared" ref="G25:G39" si="71">G24+1</f>
        <v>2</v>
      </c>
    </row>
    <row r="26">
      <c r="A26" s="48" t="s">
        <v>349</v>
      </c>
      <c r="B26" s="48" t="str">
        <f t="shared" ref="B26:F26" si="70">xlookup($A26,$N$2:$N$17,xlookup(B$23,$A$1:$L$1,$A$2:$L$17,""))</f>
        <v>0-0</v>
      </c>
      <c r="C26" s="48" t="str">
        <f t="shared" si="70"/>
        <v>0-0</v>
      </c>
      <c r="D26" s="48" t="str">
        <f t="shared" si="70"/>
        <v>0-0</v>
      </c>
      <c r="E26" s="48">
        <f t="shared" si="70"/>
        <v>0</v>
      </c>
      <c r="F26" s="48">
        <f t="shared" si="70"/>
        <v>0</v>
      </c>
      <c r="G26" s="48">
        <f t="shared" si="71"/>
        <v>3</v>
      </c>
    </row>
    <row r="27">
      <c r="A27" s="48" t="s">
        <v>350</v>
      </c>
      <c r="B27" s="48" t="str">
        <f t="shared" ref="B27:F27" si="72">xlookup($A27,$N$2:$N$17,xlookup(B$23,$A$1:$L$1,$A$2:$L$17,""))</f>
        <v>0-0</v>
      </c>
      <c r="C27" s="48" t="str">
        <f t="shared" si="72"/>
        <v>0-0</v>
      </c>
      <c r="D27" s="48" t="str">
        <f t="shared" si="72"/>
        <v>0-0</v>
      </c>
      <c r="E27" s="48">
        <f t="shared" si="72"/>
        <v>0</v>
      </c>
      <c r="F27" s="48">
        <f t="shared" si="72"/>
        <v>0</v>
      </c>
      <c r="G27" s="48">
        <f t="shared" si="71"/>
        <v>4</v>
      </c>
    </row>
    <row r="28">
      <c r="A28" s="48" t="s">
        <v>351</v>
      </c>
      <c r="B28" s="48" t="str">
        <f t="shared" ref="B28:F28" si="73">xlookup($A28,$N$2:$N$17,xlookup(B$23,$A$1:$L$1,$A$2:$L$17,""))</f>
        <v>0-0</v>
      </c>
      <c r="C28" s="48" t="str">
        <f t="shared" si="73"/>
        <v>0-0</v>
      </c>
      <c r="D28" s="48" t="str">
        <f t="shared" si="73"/>
        <v>0-0</v>
      </c>
      <c r="E28" s="48">
        <f t="shared" si="73"/>
        <v>0</v>
      </c>
      <c r="F28" s="48">
        <f t="shared" si="73"/>
        <v>0</v>
      </c>
      <c r="G28" s="48">
        <f t="shared" si="71"/>
        <v>5</v>
      </c>
    </row>
    <row r="29">
      <c r="A29" s="48" t="s">
        <v>352</v>
      </c>
      <c r="B29" s="48" t="str">
        <f t="shared" ref="B29:F29" si="74">xlookup($A29,$N$2:$N$17,xlookup(B$23,$A$1:$L$1,$A$2:$L$17,""))</f>
        <v>0-0</v>
      </c>
      <c r="C29" s="48" t="str">
        <f t="shared" si="74"/>
        <v>0-0</v>
      </c>
      <c r="D29" s="48" t="str">
        <f t="shared" si="74"/>
        <v>0-0</v>
      </c>
      <c r="E29" s="48">
        <f t="shared" si="74"/>
        <v>0</v>
      </c>
      <c r="F29" s="48">
        <f t="shared" si="74"/>
        <v>0</v>
      </c>
      <c r="G29" s="48">
        <f t="shared" si="71"/>
        <v>6</v>
      </c>
    </row>
    <row r="30">
      <c r="A30" s="48" t="s">
        <v>353</v>
      </c>
      <c r="B30" s="48" t="str">
        <f t="shared" ref="B30:F30" si="75">xlookup($A30,$N$2:$N$17,xlookup(B$23,$A$1:$L$1,$A$2:$L$17,""))</f>
        <v>0-0</v>
      </c>
      <c r="C30" s="48" t="str">
        <f t="shared" si="75"/>
        <v>0-0</v>
      </c>
      <c r="D30" s="48" t="str">
        <f t="shared" si="75"/>
        <v>0-0</v>
      </c>
      <c r="E30" s="48">
        <f t="shared" si="75"/>
        <v>0</v>
      </c>
      <c r="F30" s="48">
        <f t="shared" si="75"/>
        <v>0</v>
      </c>
      <c r="G30" s="48">
        <f t="shared" si="71"/>
        <v>7</v>
      </c>
    </row>
    <row r="31">
      <c r="A31" s="48" t="s">
        <v>354</v>
      </c>
      <c r="B31" s="48" t="str">
        <f t="shared" ref="B31:F31" si="76">xlookup($A31,$N$2:$N$17,xlookup(B$23,$A$1:$L$1,$A$2:$L$17,""))</f>
        <v>0-0</v>
      </c>
      <c r="C31" s="48" t="str">
        <f t="shared" si="76"/>
        <v>0-0</v>
      </c>
      <c r="D31" s="48" t="str">
        <f t="shared" si="76"/>
        <v>0-0</v>
      </c>
      <c r="E31" s="48">
        <f t="shared" si="76"/>
        <v>0</v>
      </c>
      <c r="F31" s="48">
        <f t="shared" si="76"/>
        <v>0</v>
      </c>
      <c r="G31" s="48">
        <f t="shared" si="71"/>
        <v>8</v>
      </c>
    </row>
    <row r="32">
      <c r="A32" s="48" t="s">
        <v>100</v>
      </c>
      <c r="B32" s="48" t="str">
        <f t="shared" ref="B32:F32" si="77">xlookup($A32,$N$2:$N$17,xlookup(B$23,$A$1:$L$1,$A$2:$L$17,""))</f>
        <v>0-0</v>
      </c>
      <c r="C32" s="48" t="str">
        <f t="shared" si="77"/>
        <v>0-0</v>
      </c>
      <c r="D32" s="48" t="str">
        <f t="shared" si="77"/>
        <v>0-0</v>
      </c>
      <c r="E32" s="48">
        <f t="shared" si="77"/>
        <v>0</v>
      </c>
      <c r="F32" s="48">
        <f t="shared" si="77"/>
        <v>0</v>
      </c>
      <c r="G32" s="48">
        <f t="shared" si="71"/>
        <v>9</v>
      </c>
    </row>
    <row r="33">
      <c r="A33" s="48" t="s">
        <v>100</v>
      </c>
      <c r="B33" s="48" t="str">
        <f t="shared" ref="B33:F33" si="78">xlookup($A33,$N$2:$N$17,xlookup(B$23,$A$1:$L$1,$A$2:$L$17,""))</f>
        <v>0-0</v>
      </c>
      <c r="C33" s="48" t="str">
        <f t="shared" si="78"/>
        <v>0-0</v>
      </c>
      <c r="D33" s="48" t="str">
        <f t="shared" si="78"/>
        <v>0-0</v>
      </c>
      <c r="E33" s="48">
        <f t="shared" si="78"/>
        <v>0</v>
      </c>
      <c r="F33" s="48">
        <f t="shared" si="78"/>
        <v>0</v>
      </c>
      <c r="G33" s="48">
        <f t="shared" si="71"/>
        <v>10</v>
      </c>
    </row>
    <row r="34">
      <c r="A34" s="48" t="s">
        <v>100</v>
      </c>
      <c r="B34" s="48" t="str">
        <f t="shared" ref="B34:F34" si="79">xlookup($A34,$N$2:$N$17,xlookup(B$23,$A$1:$L$1,$A$2:$L$17,""))</f>
        <v>0-0</v>
      </c>
      <c r="C34" s="48" t="str">
        <f t="shared" si="79"/>
        <v>0-0</v>
      </c>
      <c r="D34" s="48" t="str">
        <f t="shared" si="79"/>
        <v>0-0</v>
      </c>
      <c r="E34" s="48">
        <f t="shared" si="79"/>
        <v>0</v>
      </c>
      <c r="F34" s="48">
        <f t="shared" si="79"/>
        <v>0</v>
      </c>
      <c r="G34" s="48">
        <f t="shared" si="71"/>
        <v>11</v>
      </c>
    </row>
    <row r="35">
      <c r="A35" s="48" t="s">
        <v>100</v>
      </c>
      <c r="B35" s="48" t="str">
        <f t="shared" ref="B35:F35" si="80">xlookup($A35,$N$2:$N$17,xlookup(B$23,$A$1:$L$1,$A$2:$L$17,""))</f>
        <v>0-0</v>
      </c>
      <c r="C35" s="48" t="str">
        <f t="shared" si="80"/>
        <v>0-0</v>
      </c>
      <c r="D35" s="48" t="str">
        <f t="shared" si="80"/>
        <v>0-0</v>
      </c>
      <c r="E35" s="48">
        <f t="shared" si="80"/>
        <v>0</v>
      </c>
      <c r="F35" s="48">
        <f t="shared" si="80"/>
        <v>0</v>
      </c>
      <c r="G35" s="48">
        <f t="shared" si="71"/>
        <v>12</v>
      </c>
    </row>
    <row r="36">
      <c r="A36" s="48" t="s">
        <v>100</v>
      </c>
      <c r="B36" s="48" t="str">
        <f t="shared" ref="B36:F36" si="81">xlookup($A36,$N$2:$N$17,xlookup(B$23,$A$1:$L$1,$A$2:$L$17,""))</f>
        <v>0-0</v>
      </c>
      <c r="C36" s="48" t="str">
        <f t="shared" si="81"/>
        <v>0-0</v>
      </c>
      <c r="D36" s="48" t="str">
        <f t="shared" si="81"/>
        <v>0-0</v>
      </c>
      <c r="E36" s="48">
        <f t="shared" si="81"/>
        <v>0</v>
      </c>
      <c r="F36" s="48">
        <f t="shared" si="81"/>
        <v>0</v>
      </c>
      <c r="G36" s="48">
        <f t="shared" si="71"/>
        <v>13</v>
      </c>
    </row>
    <row r="37">
      <c r="A37" s="48" t="s">
        <v>100</v>
      </c>
      <c r="B37" s="48" t="str">
        <f t="shared" ref="B37:F37" si="82">xlookup($A37,$N$2:$N$17,xlookup(B$23,$A$1:$L$1,$A$2:$L$17,""))</f>
        <v>0-0</v>
      </c>
      <c r="C37" s="48" t="str">
        <f t="shared" si="82"/>
        <v>0-0</v>
      </c>
      <c r="D37" s="48" t="str">
        <f t="shared" si="82"/>
        <v>0-0</v>
      </c>
      <c r="E37" s="48">
        <f t="shared" si="82"/>
        <v>0</v>
      </c>
      <c r="F37" s="48">
        <f t="shared" si="82"/>
        <v>0</v>
      </c>
      <c r="G37" s="48">
        <f t="shared" si="71"/>
        <v>14</v>
      </c>
    </row>
    <row r="38">
      <c r="A38" s="48" t="s">
        <v>100</v>
      </c>
      <c r="B38" s="48" t="str">
        <f t="shared" ref="B38:F38" si="83">xlookup($A38,$N$2:$N$17,xlookup(B$23,$A$1:$L$1,$A$2:$L$17,""))</f>
        <v>0-0</v>
      </c>
      <c r="C38" s="48" t="str">
        <f t="shared" si="83"/>
        <v>0-0</v>
      </c>
      <c r="D38" s="48" t="str">
        <f t="shared" si="83"/>
        <v>0-0</v>
      </c>
      <c r="E38" s="48">
        <f t="shared" si="83"/>
        <v>0</v>
      </c>
      <c r="F38" s="48">
        <f t="shared" si="83"/>
        <v>0</v>
      </c>
      <c r="G38" s="48">
        <f t="shared" si="71"/>
        <v>15</v>
      </c>
    </row>
    <row r="39">
      <c r="A39" s="48" t="s">
        <v>100</v>
      </c>
      <c r="B39" s="48" t="str">
        <f t="shared" ref="B39:F39" si="84">xlookup($A39,$N$2:$N$17,xlookup(B$23,$A$1:$L$1,$A$2:$L$17,""))</f>
        <v>0-0</v>
      </c>
      <c r="C39" s="48" t="str">
        <f t="shared" si="84"/>
        <v>0-0</v>
      </c>
      <c r="D39" s="48" t="str">
        <f t="shared" si="84"/>
        <v>0-0</v>
      </c>
      <c r="E39" s="48">
        <f t="shared" si="84"/>
        <v>0</v>
      </c>
      <c r="F39" s="48">
        <f t="shared" si="84"/>
        <v>0</v>
      </c>
      <c r="G39" s="48">
        <f t="shared" si="71"/>
        <v>16</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0" width="6.38"/>
  </cols>
  <sheetData>
    <row r="1">
      <c r="A1" s="47" t="s">
        <v>433</v>
      </c>
      <c r="B1" s="47" t="s">
        <v>90</v>
      </c>
      <c r="C1" s="47" t="s">
        <v>91</v>
      </c>
      <c r="D1" s="47" t="s">
        <v>434</v>
      </c>
      <c r="E1" s="47" t="s">
        <v>435</v>
      </c>
      <c r="F1" s="47" t="s">
        <v>436</v>
      </c>
      <c r="G1" s="47" t="s">
        <v>437</v>
      </c>
      <c r="H1" s="47" t="s">
        <v>438</v>
      </c>
      <c r="I1" s="47" t="s">
        <v>439</v>
      </c>
      <c r="J1" s="47" t="s">
        <v>440</v>
      </c>
      <c r="K1" s="47" t="s">
        <v>441</v>
      </c>
      <c r="L1" s="47" t="s">
        <v>442</v>
      </c>
      <c r="M1" s="47" t="s">
        <v>88</v>
      </c>
      <c r="N1" s="47" t="s">
        <v>326</v>
      </c>
      <c r="O1" s="47" t="s">
        <v>327</v>
      </c>
      <c r="P1" s="37" t="s">
        <v>371</v>
      </c>
      <c r="Q1" s="37" t="s">
        <v>372</v>
      </c>
      <c r="R1" s="37" t="s">
        <v>373</v>
      </c>
      <c r="S1" s="37" t="s">
        <v>374</v>
      </c>
      <c r="T1" s="37" t="s">
        <v>375</v>
      </c>
      <c r="U1" s="37" t="s">
        <v>376</v>
      </c>
      <c r="V1" s="37" t="s">
        <v>443</v>
      </c>
      <c r="W1" s="263" t="s">
        <v>444</v>
      </c>
      <c r="X1" s="263" t="s">
        <v>445</v>
      </c>
      <c r="Y1" s="263" t="s">
        <v>446</v>
      </c>
      <c r="Z1" s="263" t="s">
        <v>377</v>
      </c>
      <c r="AA1" s="37" t="s">
        <v>381</v>
      </c>
      <c r="AB1" s="37" t="s">
        <v>447</v>
      </c>
      <c r="AC1" s="37" t="s">
        <v>448</v>
      </c>
      <c r="AD1" s="37" t="s">
        <v>383</v>
      </c>
      <c r="AE1" s="37" t="s">
        <v>384</v>
      </c>
      <c r="AF1" s="37" t="s">
        <v>385</v>
      </c>
      <c r="AG1" s="37" t="s">
        <v>386</v>
      </c>
      <c r="AH1" s="263" t="s">
        <v>449</v>
      </c>
      <c r="AI1" s="263" t="s">
        <v>450</v>
      </c>
      <c r="AJ1" s="263" t="s">
        <v>451</v>
      </c>
      <c r="AK1" s="263" t="s">
        <v>387</v>
      </c>
      <c r="AL1" s="37" t="s">
        <v>410</v>
      </c>
      <c r="AM1" s="37" t="s">
        <v>452</v>
      </c>
      <c r="AN1" s="37" t="s">
        <v>453</v>
      </c>
      <c r="AO1" s="37" t="s">
        <v>398</v>
      </c>
      <c r="AP1" s="37" t="s">
        <v>399</v>
      </c>
      <c r="AQ1" s="37" t="s">
        <v>400</v>
      </c>
      <c r="AR1" s="37" t="s">
        <v>401</v>
      </c>
      <c r="AS1" s="263" t="s">
        <v>454</v>
      </c>
      <c r="AT1" s="263" t="s">
        <v>455</v>
      </c>
      <c r="AU1" s="263" t="s">
        <v>456</v>
      </c>
      <c r="AV1" s="263" t="s">
        <v>457</v>
      </c>
      <c r="AW1" s="37" t="s">
        <v>458</v>
      </c>
      <c r="AX1" s="37" t="s">
        <v>459</v>
      </c>
      <c r="AY1" s="37" t="s">
        <v>460</v>
      </c>
      <c r="AZ1" s="37" t="s">
        <v>411</v>
      </c>
      <c r="BA1" s="37" t="s">
        <v>412</v>
      </c>
      <c r="BB1" s="37" t="s">
        <v>413</v>
      </c>
      <c r="BC1" s="37" t="s">
        <v>414</v>
      </c>
      <c r="BD1" s="263" t="s">
        <v>461</v>
      </c>
      <c r="BE1" s="263" t="s">
        <v>462</v>
      </c>
      <c r="BF1" s="263" t="s">
        <v>463</v>
      </c>
      <c r="BG1" s="263" t="s">
        <v>464</v>
      </c>
      <c r="BH1" s="37" t="s">
        <v>465</v>
      </c>
      <c r="BI1" s="37" t="s">
        <v>466</v>
      </c>
      <c r="BJ1" s="37" t="s">
        <v>467</v>
      </c>
      <c r="BK1" s="37" t="s">
        <v>468</v>
      </c>
      <c r="BL1" s="37" t="s">
        <v>469</v>
      </c>
      <c r="BM1" s="37" t="s">
        <v>470</v>
      </c>
      <c r="BN1" s="37" t="s">
        <v>471</v>
      </c>
      <c r="BO1" s="263" t="s">
        <v>472</v>
      </c>
      <c r="BP1" s="263" t="s">
        <v>473</v>
      </c>
      <c r="BQ1" s="263" t="s">
        <v>474</v>
      </c>
      <c r="BR1" s="263" t="s">
        <v>475</v>
      </c>
    </row>
    <row r="2">
      <c r="A2" s="48" t="str">
        <f t="shared" ref="A2:A17" si="3">D2&amp;"-"&amp;E2</f>
        <v>0-0</v>
      </c>
      <c r="B2" s="48" t="str">
        <f t="shared" ref="B2:B17" si="4">G2&amp;"-"&amp;H2</f>
        <v>0-0</v>
      </c>
      <c r="C2" s="48" t="str">
        <f t="shared" ref="C2:C17" si="5">J2&amp;"-"&amp;K2</f>
        <v>0-0</v>
      </c>
      <c r="D2" s="48">
        <f t="shared" ref="D2:D17" si="6">countif(S2:BR2,"W")</f>
        <v>0</v>
      </c>
      <c r="E2" s="48">
        <f t="shared" ref="E2:E17" si="7">countif(S2:BR2,"L")</f>
        <v>0</v>
      </c>
      <c r="F2" s="48">
        <f t="shared" ref="F2:F17" si="8">D2-E2</f>
        <v>0</v>
      </c>
      <c r="G2" s="48">
        <f t="shared" ref="G2:H2" si="1">Q2+AB2+AM2+AX2+BI2</f>
        <v>0</v>
      </c>
      <c r="H2" s="48">
        <f t="shared" si="1"/>
        <v>0</v>
      </c>
      <c r="I2" s="48">
        <f t="shared" ref="I2:I17" si="10">G2-H2</f>
        <v>0</v>
      </c>
      <c r="J2" s="48">
        <f t="shared" ref="J2:K2" si="2">W2+AH2+AS2+BD2+BO2</f>
        <v>0</v>
      </c>
      <c r="K2" s="48">
        <f t="shared" si="2"/>
        <v>0</v>
      </c>
      <c r="L2" s="48">
        <f t="shared" ref="L2:L17" si="12">J2-K2</f>
        <v>0</v>
      </c>
      <c r="M2" s="47">
        <v>1.0</v>
      </c>
      <c r="N2" s="48" t="str">
        <f t="array" ref="N2:O2">xlookup(M2+12,'Team Entry'!$C$38:$C$65,'Team Entry'!$A$38:$B$65,"")</f>
        <v>Team 1 (Group 1)</v>
      </c>
      <c r="O2" s="274"/>
      <c r="P2" s="48">
        <f t="array" ref="P2:P17">xlookup(M2:M17,'Choose matchups (Contender)'!Q5:Q20,'Choose matchups (Contender)'!R5:R20,"")</f>
        <v>16</v>
      </c>
      <c r="Q2" s="48" t="str">
        <f t="array" ref="Q2:Q17">xlookup(M2:M17,'Contender Stage'!DC18:DC73,'Contender Stage'!ED18:ED73,xlookup(M2:M17,'Contender Stage'!FL18:FL73,'Contender Stage'!EH18:EH73,""))</f>
        <v/>
      </c>
      <c r="R2" s="48" t="str">
        <f t="array" ref="R2:R17">xlookup(P2:P17,M2:M17,Q2:Q17,"")</f>
        <v/>
      </c>
      <c r="S2" s="48" t="str">
        <f t="shared" ref="S2:S17" si="13">ifs(or(Q2="",R2=""),"",and(Q2=0,R2=0),"L",Q2&gt;R2,"W",R2&gt;Q2,"L")</f>
        <v/>
      </c>
      <c r="T2" s="48">
        <f t="shared" ref="T2:T17" si="14">Q2-R2</f>
        <v>0</v>
      </c>
      <c r="U2" s="48">
        <f t="shared" ref="U2:U17" si="15">T2</f>
        <v>0</v>
      </c>
      <c r="W2" s="48">
        <f t="array" ref="W2:W17">xlookup(M2:M17,'Contender Stage'!DC18:DC73,'Contender Stage'!ED18:ED73,xlookup(M2:M17,'Contender Stage'!FL18:FL73,'Contender Stage'!EH18:EH73,"",0,-1),0,-1)</f>
        <v>0</v>
      </c>
      <c r="X2" s="48">
        <f t="array" ref="X2:X17">xlookup(P2:P17,'Contender Stage'!DC18:DC73,'Contender Stage'!ED18:ED73,xlookup(P2:P17,'Contender Stage'!FL18:FL73,'Contender Stage'!EH18:EH73,"",0,-1),0,-1)</f>
        <v>0</v>
      </c>
      <c r="Y2" s="48">
        <f t="shared" ref="Y2:Y17" si="16">W2-X2</f>
        <v>0</v>
      </c>
      <c r="Z2" s="48">
        <f t="shared" ref="Z2:Z17" si="17">Y2</f>
        <v>0</v>
      </c>
      <c r="AA2" s="48" t="str">
        <f t="array" ref="AA2">if('Contender Stage'!DD6=0,"",xlookup(M2:M17,qualreseeding!AC2:AC18,qualreseeding!AD2:AD18,""))</f>
        <v/>
      </c>
      <c r="AB2" s="48" t="str">
        <f t="array" ref="AB2:AB17">xlookup(N2:N17,qualmatchups!B19:B34,qualmatchups!D19:D34,"")</f>
        <v/>
      </c>
      <c r="AC2" s="48" t="str">
        <f t="array" ref="AC2:AC17">xlookup(N2:N17,qualmatchups!B19:B34,qualmatchups!E19:E34,"")</f>
        <v/>
      </c>
      <c r="AD2" s="48" t="str">
        <f t="shared" ref="AD2:AD17" si="18">ifs(or(AB2="",AC2=""),"",and(AB2=0,AC2=0),"L",AB2&gt;AC2,"W",AC2&gt;AB2,"L")</f>
        <v/>
      </c>
      <c r="AE2" s="48">
        <f t="shared" ref="AE2:AE17" si="19">AB2-AC2</f>
        <v>0</v>
      </c>
      <c r="AF2" s="48">
        <f t="shared" ref="AF2:AF17" si="20">U2+AE2</f>
        <v>0</v>
      </c>
      <c r="AG2" s="48">
        <f t="shared" ref="AG2:AG17" si="21">countif($S2:AD2,"W")</f>
        <v>0</v>
      </c>
      <c r="AH2" s="48" t="str">
        <f t="array" ref="AH2:AH17">xlookup(N2:N17,qualmatchups!B19:B34,qualmatchups!F19:F34,"")</f>
        <v/>
      </c>
      <c r="AI2" s="48" t="str">
        <f t="array" ref="AI2:AI17">xlookup(N2:N17,qualmatchups!B19:B34,qualmatchups!G19:G34,"")</f>
        <v/>
      </c>
      <c r="AJ2" s="48">
        <f t="shared" ref="AJ2:AJ17" si="22">AH2-AI2</f>
        <v>0</v>
      </c>
      <c r="AK2" s="48">
        <f t="shared" ref="AK2:AK17" si="23">Z2+AJ2</f>
        <v>0</v>
      </c>
      <c r="AL2" s="48" t="str">
        <f t="array" ref="AL2">if(or('Contender Stage'!BX77=0,'Contender Stage'!EJ77=0),"", xlookup(M2:M17,qualreseeding!AC56:AC71,qualreseeding!AD56:AD71,""))</f>
        <v/>
      </c>
      <c r="AM2" s="48" t="str">
        <f t="array" ref="AM2:AM17">xlookup(N2:N17,qualmatchups!B36:B51,qualmatchups!D36:D51,"")</f>
        <v/>
      </c>
      <c r="AN2" s="48" t="str">
        <f t="array" ref="AN2:AN17">xlookup(N2:N17,qualmatchups!B36:B51,qualmatchups!E36:E51,"")</f>
        <v/>
      </c>
      <c r="AO2" s="48" t="str">
        <f t="shared" ref="AO2:AO17" si="24">ifs(or(AM2="",AN2=""),"",and(AM2=0,AN2=0),"L",AM2&gt;AN2,"W",AN2&gt;AM2,"L")</f>
        <v/>
      </c>
      <c r="AP2" s="48">
        <f t="shared" ref="AP2:AP17" si="25">AM2-AN2</f>
        <v>0</v>
      </c>
      <c r="AQ2" s="48">
        <f t="shared" ref="AQ2:AQ17" si="26">AF2+AP2</f>
        <v>0</v>
      </c>
      <c r="AR2" s="48">
        <f t="shared" ref="AR2:AR17" si="27">countif($S2:AO2,"W")</f>
        <v>0</v>
      </c>
      <c r="AS2" s="48" t="str">
        <f t="array" ref="AS2:AS17">xlookup(N2:N17,qualmatchups!B36:B51,qualmatchups!F36:F51,"")</f>
        <v/>
      </c>
      <c r="AT2" s="48" t="str">
        <f t="array" ref="AT2:AT17">xlookup(N2:N17,qualmatchups!B36:B51,qualmatchups!G36:G51,"")</f>
        <v/>
      </c>
      <c r="AU2" s="48">
        <f t="shared" ref="AU2:AU17" si="28">AS2-AT2</f>
        <v>0</v>
      </c>
      <c r="AV2" s="48">
        <f t="shared" ref="AV2:AV17" si="29">AK2+AU2</f>
        <v>0</v>
      </c>
      <c r="AW2" s="48" t="str">
        <f t="array" ref="AW2">if(or('Contender Stage'!AR120=0,'Contender Stage'!DD120=0,'Contender Stage'!FP120=0),"", xlookup(M2:M17,qualreseeding!AC163:AC174,qualreseeding!AD163:AD174,""))</f>
        <v/>
      </c>
      <c r="AX2" s="48" t="str">
        <f t="array" ref="AX2:AX17">xlookup(N2:N17,qualmatchups!B53:B64,qualmatchups!D53:D64,"")</f>
        <v/>
      </c>
      <c r="AY2" s="48" t="str">
        <f t="array" ref="AY2:AY17">xlookup(N2:N17,qualmatchups!B53:B64,qualmatchups!E53:E64,"")</f>
        <v/>
      </c>
      <c r="AZ2" s="48" t="str">
        <f t="shared" ref="AZ2:AZ17" si="30">ifs(or(AX2="",AY2=""),"",and(AX2=0,AY2=0),"L",AX2&gt;AY2,"W",AY2&gt;AX2,"L")</f>
        <v/>
      </c>
      <c r="BA2" s="48">
        <f t="shared" ref="BA2:BA17" si="31">AX2-AY2</f>
        <v>0</v>
      </c>
      <c r="BB2" s="48">
        <f t="shared" ref="BB2:BB17" si="32">AQ2+BA2</f>
        <v>0</v>
      </c>
      <c r="BC2" s="48">
        <f t="shared" ref="BC2:BC17" si="33">countif($S2:AZ2,"W")</f>
        <v>0</v>
      </c>
      <c r="BD2" s="48" t="str">
        <f t="array" ref="BD2:BD17">xlookup(N2:N17,qualmatchups!B53:B64,qualmatchups!F53:F64,"")</f>
        <v/>
      </c>
      <c r="BE2" s="48" t="str">
        <f t="array" ref="BE2:BE17">xlookup(N2:N17,qualmatchups!B53:B64,qualmatchups!G53:G64,"")</f>
        <v/>
      </c>
      <c r="BF2" s="48">
        <f t="shared" ref="BF2:BF17" si="34">BD2-BE2</f>
        <v>0</v>
      </c>
      <c r="BG2" s="48">
        <f t="shared" ref="BG2:BG17" si="35">AV2+BF2</f>
        <v>0</v>
      </c>
      <c r="BH2" s="48" t="str">
        <f t="array" ref="BH2">if(or('Contender Stage'!BX163=0,'Contender Stage'!EJ163=0),"", xlookup(M2:M17,qualreseeding!AC308:AC313,qualreseeding!AD308:AD313,""))</f>
        <v/>
      </c>
      <c r="BI2" s="48" t="str">
        <f t="array" ref="BI2:BI17">xlookup(N2:N17,qualmatchups!B66:B71,qualmatchups!D66:D71,"")</f>
        <v/>
      </c>
      <c r="BJ2" s="48" t="str">
        <f t="array" ref="BJ2:BJ17">xlookup(N2:N17,qualmatchups!B66:B71,qualmatchups!E66:E71,"")</f>
        <v/>
      </c>
      <c r="BK2" s="48" t="str">
        <f t="shared" ref="BK2:BK17" si="36">ifs(or(BI2="",BJ2=""),"",and(BI2=0,BJ2=0),"L",BI2&gt;BJ2,"W",BJ2&gt;BI2,"L")</f>
        <v/>
      </c>
      <c r="BL2" s="48">
        <f t="shared" ref="BL2:BL17" si="37">BI2-BJ2</f>
        <v>0</v>
      </c>
      <c r="BO2" s="48" t="str">
        <f t="array" ref="BO2:BO17">xlookup(N2:N17,qualmatchups!B66:B71,qualmatchups!F66:F71,"")</f>
        <v/>
      </c>
      <c r="BP2" s="48" t="str">
        <f t="array" ref="BP2:BP17">xlookup(N2:N17,qualmatchups!B66:B71,qualmatchups!G66:G71,"")</f>
        <v/>
      </c>
      <c r="BQ2" s="48">
        <f t="shared" ref="BQ2:BQ17" si="38">BO2-BP2</f>
        <v>0</v>
      </c>
    </row>
    <row r="3">
      <c r="A3" s="48" t="str">
        <f t="shared" si="3"/>
        <v>0-0</v>
      </c>
      <c r="B3" s="48" t="str">
        <f t="shared" si="4"/>
        <v>0-0</v>
      </c>
      <c r="C3" s="48" t="str">
        <f t="shared" si="5"/>
        <v>0-0</v>
      </c>
      <c r="D3" s="48">
        <f t="shared" si="6"/>
        <v>0</v>
      </c>
      <c r="E3" s="48">
        <f t="shared" si="7"/>
        <v>0</v>
      </c>
      <c r="F3" s="48">
        <f t="shared" si="8"/>
        <v>0</v>
      </c>
      <c r="G3" s="48">
        <f t="shared" ref="G3:H3" si="9">Q3+AB3+AM3+AX3+BI3</f>
        <v>0</v>
      </c>
      <c r="H3" s="48">
        <f t="shared" si="9"/>
        <v>0</v>
      </c>
      <c r="I3" s="48">
        <f t="shared" si="10"/>
        <v>0</v>
      </c>
      <c r="J3" s="48">
        <f t="shared" ref="J3:K3" si="11">W3+AH3+AS3+BD3+BO3</f>
        <v>0</v>
      </c>
      <c r="K3" s="48">
        <f t="shared" si="11"/>
        <v>0</v>
      </c>
      <c r="L3" s="48">
        <f t="shared" si="12"/>
        <v>0</v>
      </c>
      <c r="M3" s="48">
        <f t="shared" ref="M3:M17" si="41">M2+1</f>
        <v>2</v>
      </c>
      <c r="N3" s="48" t="str">
        <f t="array" ref="N3:O3">xlookup(M3+12,'Team Entry'!$C$38:$C$65,'Team Entry'!$A$38:$B$65,"")</f>
        <v>Team 2 (Group 1)</v>
      </c>
      <c r="O3" s="48"/>
      <c r="P3" s="48">
        <v>15.0</v>
      </c>
      <c r="Q3" s="48"/>
      <c r="R3" s="48"/>
      <c r="S3" s="48" t="str">
        <f t="shared" si="13"/>
        <v/>
      </c>
      <c r="T3" s="48">
        <f t="shared" si="14"/>
        <v>0</v>
      </c>
      <c r="U3" s="48">
        <f t="shared" si="15"/>
        <v>0</v>
      </c>
      <c r="W3" s="48">
        <v>0.0</v>
      </c>
      <c r="X3" s="48">
        <v>0.0</v>
      </c>
      <c r="Y3" s="48">
        <f t="shared" si="16"/>
        <v>0</v>
      </c>
      <c r="Z3" s="48">
        <f t="shared" si="17"/>
        <v>0</v>
      </c>
      <c r="AB3" s="48" t="s">
        <v>300</v>
      </c>
      <c r="AC3" s="48" t="s">
        <v>300</v>
      </c>
      <c r="AD3" s="48" t="str">
        <f t="shared" si="18"/>
        <v/>
      </c>
      <c r="AE3" s="48">
        <f t="shared" si="19"/>
        <v>0</v>
      </c>
      <c r="AF3" s="48">
        <f t="shared" si="20"/>
        <v>0</v>
      </c>
      <c r="AG3" s="48">
        <f t="shared" si="21"/>
        <v>0</v>
      </c>
      <c r="AH3" s="48" t="s">
        <v>300</v>
      </c>
      <c r="AI3" s="48" t="s">
        <v>300</v>
      </c>
      <c r="AJ3" s="48">
        <f t="shared" si="22"/>
        <v>0</v>
      </c>
      <c r="AK3" s="48">
        <f t="shared" si="23"/>
        <v>0</v>
      </c>
      <c r="AM3" s="48" t="s">
        <v>300</v>
      </c>
      <c r="AN3" s="48" t="s">
        <v>300</v>
      </c>
      <c r="AO3" s="48" t="str">
        <f t="shared" si="24"/>
        <v/>
      </c>
      <c r="AP3" s="48">
        <f t="shared" si="25"/>
        <v>0</v>
      </c>
      <c r="AQ3" s="48">
        <f t="shared" si="26"/>
        <v>0</v>
      </c>
      <c r="AR3" s="48">
        <f t="shared" si="27"/>
        <v>0</v>
      </c>
      <c r="AS3" s="48" t="s">
        <v>300</v>
      </c>
      <c r="AT3" s="48" t="s">
        <v>300</v>
      </c>
      <c r="AU3" s="48">
        <f t="shared" si="28"/>
        <v>0</v>
      </c>
      <c r="AV3" s="48">
        <f t="shared" si="29"/>
        <v>0</v>
      </c>
      <c r="AX3" s="48" t="s">
        <v>300</v>
      </c>
      <c r="AY3" s="48" t="s">
        <v>300</v>
      </c>
      <c r="AZ3" s="48" t="str">
        <f t="shared" si="30"/>
        <v/>
      </c>
      <c r="BA3" s="48">
        <f t="shared" si="31"/>
        <v>0</v>
      </c>
      <c r="BB3" s="48">
        <f t="shared" si="32"/>
        <v>0</v>
      </c>
      <c r="BC3" s="48">
        <f t="shared" si="33"/>
        <v>0</v>
      </c>
      <c r="BD3" s="48" t="s">
        <v>300</v>
      </c>
      <c r="BE3" s="48" t="s">
        <v>300</v>
      </c>
      <c r="BF3" s="48">
        <f t="shared" si="34"/>
        <v>0</v>
      </c>
      <c r="BG3" s="48">
        <f t="shared" si="35"/>
        <v>0</v>
      </c>
      <c r="BI3" s="48" t="s">
        <v>300</v>
      </c>
      <c r="BJ3" s="48" t="s">
        <v>300</v>
      </c>
      <c r="BK3" s="48" t="str">
        <f t="shared" si="36"/>
        <v/>
      </c>
      <c r="BL3" s="48">
        <f t="shared" si="37"/>
        <v>0</v>
      </c>
      <c r="BO3" s="48" t="s">
        <v>300</v>
      </c>
      <c r="BP3" s="48" t="s">
        <v>300</v>
      </c>
      <c r="BQ3" s="48">
        <f t="shared" si="38"/>
        <v>0</v>
      </c>
    </row>
    <row r="4">
      <c r="A4" s="48" t="str">
        <f t="shared" si="3"/>
        <v>0-0</v>
      </c>
      <c r="B4" s="48" t="str">
        <f t="shared" si="4"/>
        <v>0-0</v>
      </c>
      <c r="C4" s="48" t="str">
        <f t="shared" si="5"/>
        <v>0-0</v>
      </c>
      <c r="D4" s="48">
        <f t="shared" si="6"/>
        <v>0</v>
      </c>
      <c r="E4" s="48">
        <f t="shared" si="7"/>
        <v>0</v>
      </c>
      <c r="F4" s="48">
        <f t="shared" si="8"/>
        <v>0</v>
      </c>
      <c r="G4" s="48">
        <f t="shared" ref="G4:H4" si="39">Q4+AB4+AM4+AX4+BI4</f>
        <v>0</v>
      </c>
      <c r="H4" s="48">
        <f t="shared" si="39"/>
        <v>0</v>
      </c>
      <c r="I4" s="48">
        <f t="shared" si="10"/>
        <v>0</v>
      </c>
      <c r="J4" s="48">
        <f t="shared" ref="J4:K4" si="40">W4+AH4+AS4+BD4+BO4</f>
        <v>0</v>
      </c>
      <c r="K4" s="48">
        <f t="shared" si="40"/>
        <v>0</v>
      </c>
      <c r="L4" s="48">
        <f t="shared" si="12"/>
        <v>0</v>
      </c>
      <c r="M4" s="48">
        <f t="shared" si="41"/>
        <v>3</v>
      </c>
      <c r="N4" s="48" t="str">
        <f t="array" ref="N4:O4">xlookup(M4+12,'Team Entry'!$C$38:$C$65,'Team Entry'!$A$38:$B$65,"")</f>
        <v>Team 3 (Group 1)</v>
      </c>
      <c r="O4" s="276"/>
      <c r="P4" s="48">
        <v>14.0</v>
      </c>
      <c r="Q4" s="48"/>
      <c r="R4" s="48"/>
      <c r="S4" s="48" t="str">
        <f t="shared" si="13"/>
        <v/>
      </c>
      <c r="T4" s="48">
        <f t="shared" si="14"/>
        <v>0</v>
      </c>
      <c r="U4" s="48">
        <f t="shared" si="15"/>
        <v>0</v>
      </c>
      <c r="W4" s="48">
        <v>0.0</v>
      </c>
      <c r="X4" s="48">
        <v>0.0</v>
      </c>
      <c r="Y4" s="48">
        <f t="shared" si="16"/>
        <v>0</v>
      </c>
      <c r="Z4" s="48">
        <f t="shared" si="17"/>
        <v>0</v>
      </c>
      <c r="AB4" s="48" t="s">
        <v>300</v>
      </c>
      <c r="AC4" s="48" t="s">
        <v>300</v>
      </c>
      <c r="AD4" s="48" t="str">
        <f t="shared" si="18"/>
        <v/>
      </c>
      <c r="AE4" s="48">
        <f t="shared" si="19"/>
        <v>0</v>
      </c>
      <c r="AF4" s="48">
        <f t="shared" si="20"/>
        <v>0</v>
      </c>
      <c r="AG4" s="48">
        <f t="shared" si="21"/>
        <v>0</v>
      </c>
      <c r="AH4" s="48" t="s">
        <v>300</v>
      </c>
      <c r="AI4" s="48" t="s">
        <v>300</v>
      </c>
      <c r="AJ4" s="48">
        <f t="shared" si="22"/>
        <v>0</v>
      </c>
      <c r="AK4" s="48">
        <f t="shared" si="23"/>
        <v>0</v>
      </c>
      <c r="AM4" s="48" t="s">
        <v>300</v>
      </c>
      <c r="AN4" s="48" t="s">
        <v>300</v>
      </c>
      <c r="AO4" s="48" t="str">
        <f t="shared" si="24"/>
        <v/>
      </c>
      <c r="AP4" s="48">
        <f t="shared" si="25"/>
        <v>0</v>
      </c>
      <c r="AQ4" s="48">
        <f t="shared" si="26"/>
        <v>0</v>
      </c>
      <c r="AR4" s="48">
        <f t="shared" si="27"/>
        <v>0</v>
      </c>
      <c r="AS4" s="48" t="s">
        <v>300</v>
      </c>
      <c r="AT4" s="48" t="s">
        <v>300</v>
      </c>
      <c r="AU4" s="48">
        <f t="shared" si="28"/>
        <v>0</v>
      </c>
      <c r="AV4" s="48">
        <f t="shared" si="29"/>
        <v>0</v>
      </c>
      <c r="AX4" s="48" t="s">
        <v>300</v>
      </c>
      <c r="AY4" s="48" t="s">
        <v>300</v>
      </c>
      <c r="AZ4" s="48" t="str">
        <f t="shared" si="30"/>
        <v/>
      </c>
      <c r="BA4" s="48">
        <f t="shared" si="31"/>
        <v>0</v>
      </c>
      <c r="BB4" s="48">
        <f t="shared" si="32"/>
        <v>0</v>
      </c>
      <c r="BC4" s="48">
        <f t="shared" si="33"/>
        <v>0</v>
      </c>
      <c r="BD4" s="48" t="s">
        <v>300</v>
      </c>
      <c r="BE4" s="48" t="s">
        <v>300</v>
      </c>
      <c r="BF4" s="48">
        <f t="shared" si="34"/>
        <v>0</v>
      </c>
      <c r="BG4" s="48">
        <f t="shared" si="35"/>
        <v>0</v>
      </c>
      <c r="BI4" s="48" t="s">
        <v>300</v>
      </c>
      <c r="BJ4" s="48" t="s">
        <v>300</v>
      </c>
      <c r="BK4" s="48" t="str">
        <f t="shared" si="36"/>
        <v/>
      </c>
      <c r="BL4" s="48">
        <f t="shared" si="37"/>
        <v>0</v>
      </c>
      <c r="BO4" s="48" t="s">
        <v>300</v>
      </c>
      <c r="BP4" s="48" t="s">
        <v>300</v>
      </c>
      <c r="BQ4" s="48">
        <f t="shared" si="38"/>
        <v>0</v>
      </c>
    </row>
    <row r="5">
      <c r="A5" s="48" t="str">
        <f t="shared" si="3"/>
        <v>0-0</v>
      </c>
      <c r="B5" s="48" t="str">
        <f t="shared" si="4"/>
        <v>0-0</v>
      </c>
      <c r="C5" s="48" t="str">
        <f t="shared" si="5"/>
        <v>0-0</v>
      </c>
      <c r="D5" s="48">
        <f t="shared" si="6"/>
        <v>0</v>
      </c>
      <c r="E5" s="48">
        <f t="shared" si="7"/>
        <v>0</v>
      </c>
      <c r="F5" s="48">
        <f t="shared" si="8"/>
        <v>0</v>
      </c>
      <c r="G5" s="48">
        <f t="shared" ref="G5:H5" si="42">Q5+AB5+AM5+AX5+BI5</f>
        <v>0</v>
      </c>
      <c r="H5" s="48">
        <f t="shared" si="42"/>
        <v>0</v>
      </c>
      <c r="I5" s="48">
        <f t="shared" si="10"/>
        <v>0</v>
      </c>
      <c r="J5" s="48">
        <f t="shared" ref="J5:K5" si="43">W5+AH5+AS5+BD5+BO5</f>
        <v>0</v>
      </c>
      <c r="K5" s="48">
        <f t="shared" si="43"/>
        <v>0</v>
      </c>
      <c r="L5" s="48">
        <f t="shared" si="12"/>
        <v>0</v>
      </c>
      <c r="M5" s="48">
        <f t="shared" si="41"/>
        <v>4</v>
      </c>
      <c r="N5" s="48" t="str">
        <f t="array" ref="N5:O5">xlookup(M5+12,'Team Entry'!$C$38:$C$65,'Team Entry'!$A$38:$B$65,"")</f>
        <v>Team 4 (Group 1)</v>
      </c>
      <c r="O5" s="48"/>
      <c r="P5" s="48">
        <v>13.0</v>
      </c>
      <c r="Q5" s="48"/>
      <c r="R5" s="48"/>
      <c r="S5" s="48" t="str">
        <f t="shared" si="13"/>
        <v/>
      </c>
      <c r="T5" s="48">
        <f t="shared" si="14"/>
        <v>0</v>
      </c>
      <c r="U5" s="48">
        <f t="shared" si="15"/>
        <v>0</v>
      </c>
      <c r="W5" s="48">
        <v>0.0</v>
      </c>
      <c r="X5" s="48">
        <v>0.0</v>
      </c>
      <c r="Y5" s="48">
        <f t="shared" si="16"/>
        <v>0</v>
      </c>
      <c r="Z5" s="48">
        <f t="shared" si="17"/>
        <v>0</v>
      </c>
      <c r="AB5" s="48" t="s">
        <v>300</v>
      </c>
      <c r="AC5" s="48" t="s">
        <v>300</v>
      </c>
      <c r="AD5" s="48" t="str">
        <f t="shared" si="18"/>
        <v/>
      </c>
      <c r="AE5" s="48">
        <f t="shared" si="19"/>
        <v>0</v>
      </c>
      <c r="AF5" s="48">
        <f t="shared" si="20"/>
        <v>0</v>
      </c>
      <c r="AG5" s="48">
        <f t="shared" si="21"/>
        <v>0</v>
      </c>
      <c r="AH5" s="48" t="s">
        <v>300</v>
      </c>
      <c r="AI5" s="48" t="s">
        <v>300</v>
      </c>
      <c r="AJ5" s="48">
        <f t="shared" si="22"/>
        <v>0</v>
      </c>
      <c r="AK5" s="48">
        <f t="shared" si="23"/>
        <v>0</v>
      </c>
      <c r="AM5" s="48" t="s">
        <v>300</v>
      </c>
      <c r="AN5" s="48" t="s">
        <v>300</v>
      </c>
      <c r="AO5" s="48" t="str">
        <f t="shared" si="24"/>
        <v/>
      </c>
      <c r="AP5" s="48">
        <f t="shared" si="25"/>
        <v>0</v>
      </c>
      <c r="AQ5" s="48">
        <f t="shared" si="26"/>
        <v>0</v>
      </c>
      <c r="AR5" s="48">
        <f t="shared" si="27"/>
        <v>0</v>
      </c>
      <c r="AS5" s="48" t="s">
        <v>300</v>
      </c>
      <c r="AT5" s="48" t="s">
        <v>300</v>
      </c>
      <c r="AU5" s="48">
        <f t="shared" si="28"/>
        <v>0</v>
      </c>
      <c r="AV5" s="48">
        <f t="shared" si="29"/>
        <v>0</v>
      </c>
      <c r="AX5" s="48" t="s">
        <v>300</v>
      </c>
      <c r="AY5" s="48" t="s">
        <v>300</v>
      </c>
      <c r="AZ5" s="48" t="str">
        <f t="shared" si="30"/>
        <v/>
      </c>
      <c r="BA5" s="48">
        <f t="shared" si="31"/>
        <v>0</v>
      </c>
      <c r="BB5" s="48">
        <f t="shared" si="32"/>
        <v>0</v>
      </c>
      <c r="BC5" s="48">
        <f t="shared" si="33"/>
        <v>0</v>
      </c>
      <c r="BD5" s="48" t="s">
        <v>300</v>
      </c>
      <c r="BE5" s="48" t="s">
        <v>300</v>
      </c>
      <c r="BF5" s="48">
        <f t="shared" si="34"/>
        <v>0</v>
      </c>
      <c r="BG5" s="48">
        <f t="shared" si="35"/>
        <v>0</v>
      </c>
      <c r="BI5" s="48" t="s">
        <v>300</v>
      </c>
      <c r="BJ5" s="48" t="s">
        <v>300</v>
      </c>
      <c r="BK5" s="48" t="str">
        <f t="shared" si="36"/>
        <v/>
      </c>
      <c r="BL5" s="48">
        <f t="shared" si="37"/>
        <v>0</v>
      </c>
      <c r="BO5" s="48" t="s">
        <v>300</v>
      </c>
      <c r="BP5" s="48" t="s">
        <v>300</v>
      </c>
      <c r="BQ5" s="48">
        <f t="shared" si="38"/>
        <v>0</v>
      </c>
    </row>
    <row r="6">
      <c r="A6" s="48" t="str">
        <f t="shared" si="3"/>
        <v>0-0</v>
      </c>
      <c r="B6" s="48" t="str">
        <f t="shared" si="4"/>
        <v>0-0</v>
      </c>
      <c r="C6" s="48" t="str">
        <f t="shared" si="5"/>
        <v>0-0</v>
      </c>
      <c r="D6" s="48">
        <f t="shared" si="6"/>
        <v>0</v>
      </c>
      <c r="E6" s="48">
        <f t="shared" si="7"/>
        <v>0</v>
      </c>
      <c r="F6" s="48">
        <f t="shared" si="8"/>
        <v>0</v>
      </c>
      <c r="G6" s="48">
        <f t="shared" ref="G6:H6" si="44">Q6+AB6+AM6+AX6+BI6</f>
        <v>0</v>
      </c>
      <c r="H6" s="48">
        <f t="shared" si="44"/>
        <v>0</v>
      </c>
      <c r="I6" s="48">
        <f t="shared" si="10"/>
        <v>0</v>
      </c>
      <c r="J6" s="48">
        <f t="shared" ref="J6:K6" si="45">W6+AH6+AS6+BD6+BO6</f>
        <v>0</v>
      </c>
      <c r="K6" s="48">
        <f t="shared" si="45"/>
        <v>0</v>
      </c>
      <c r="L6" s="48">
        <f t="shared" si="12"/>
        <v>0</v>
      </c>
      <c r="M6" s="48">
        <f t="shared" si="41"/>
        <v>5</v>
      </c>
      <c r="N6" s="48" t="str">
        <f t="array" ref="N6:O6">xlookup(M6+12,'Team Entry'!$C$38:$C$65,'Team Entry'!$A$38:$B$65,"")</f>
        <v>Team 5 (Group 1)</v>
      </c>
      <c r="O6" s="48"/>
      <c r="P6" s="48">
        <v>12.0</v>
      </c>
      <c r="Q6" s="48"/>
      <c r="R6" s="48"/>
      <c r="S6" s="48" t="str">
        <f t="shared" si="13"/>
        <v/>
      </c>
      <c r="T6" s="48">
        <f t="shared" si="14"/>
        <v>0</v>
      </c>
      <c r="U6" s="48">
        <f t="shared" si="15"/>
        <v>0</v>
      </c>
      <c r="W6" s="48">
        <v>0.0</v>
      </c>
      <c r="X6" s="48">
        <v>0.0</v>
      </c>
      <c r="Y6" s="48">
        <f t="shared" si="16"/>
        <v>0</v>
      </c>
      <c r="Z6" s="48">
        <f t="shared" si="17"/>
        <v>0</v>
      </c>
      <c r="AB6" s="48" t="s">
        <v>300</v>
      </c>
      <c r="AC6" s="48" t="s">
        <v>300</v>
      </c>
      <c r="AD6" s="48" t="str">
        <f t="shared" si="18"/>
        <v/>
      </c>
      <c r="AE6" s="48">
        <f t="shared" si="19"/>
        <v>0</v>
      </c>
      <c r="AF6" s="48">
        <f t="shared" si="20"/>
        <v>0</v>
      </c>
      <c r="AG6" s="48">
        <f t="shared" si="21"/>
        <v>0</v>
      </c>
      <c r="AH6" s="48" t="s">
        <v>300</v>
      </c>
      <c r="AI6" s="48" t="s">
        <v>300</v>
      </c>
      <c r="AJ6" s="48">
        <f t="shared" si="22"/>
        <v>0</v>
      </c>
      <c r="AK6" s="48">
        <f t="shared" si="23"/>
        <v>0</v>
      </c>
      <c r="AM6" s="48" t="s">
        <v>300</v>
      </c>
      <c r="AN6" s="48" t="s">
        <v>300</v>
      </c>
      <c r="AO6" s="48" t="str">
        <f t="shared" si="24"/>
        <v/>
      </c>
      <c r="AP6" s="48">
        <f t="shared" si="25"/>
        <v>0</v>
      </c>
      <c r="AQ6" s="48">
        <f t="shared" si="26"/>
        <v>0</v>
      </c>
      <c r="AR6" s="48">
        <f t="shared" si="27"/>
        <v>0</v>
      </c>
      <c r="AS6" s="48" t="s">
        <v>300</v>
      </c>
      <c r="AT6" s="48" t="s">
        <v>300</v>
      </c>
      <c r="AU6" s="48">
        <f t="shared" si="28"/>
        <v>0</v>
      </c>
      <c r="AV6" s="48">
        <f t="shared" si="29"/>
        <v>0</v>
      </c>
      <c r="AX6" s="48" t="s">
        <v>300</v>
      </c>
      <c r="AY6" s="48" t="s">
        <v>300</v>
      </c>
      <c r="AZ6" s="48" t="str">
        <f t="shared" si="30"/>
        <v/>
      </c>
      <c r="BA6" s="48">
        <f t="shared" si="31"/>
        <v>0</v>
      </c>
      <c r="BB6" s="48">
        <f t="shared" si="32"/>
        <v>0</v>
      </c>
      <c r="BC6" s="48">
        <f t="shared" si="33"/>
        <v>0</v>
      </c>
      <c r="BD6" s="48" t="s">
        <v>300</v>
      </c>
      <c r="BE6" s="48" t="s">
        <v>300</v>
      </c>
      <c r="BF6" s="48">
        <f t="shared" si="34"/>
        <v>0</v>
      </c>
      <c r="BG6" s="48">
        <f t="shared" si="35"/>
        <v>0</v>
      </c>
      <c r="BI6" s="48" t="s">
        <v>300</v>
      </c>
      <c r="BJ6" s="48" t="s">
        <v>300</v>
      </c>
      <c r="BK6" s="48" t="str">
        <f t="shared" si="36"/>
        <v/>
      </c>
      <c r="BL6" s="48">
        <f t="shared" si="37"/>
        <v>0</v>
      </c>
      <c r="BO6" s="48" t="s">
        <v>300</v>
      </c>
      <c r="BP6" s="48" t="s">
        <v>300</v>
      </c>
      <c r="BQ6" s="48">
        <f t="shared" si="38"/>
        <v>0</v>
      </c>
    </row>
    <row r="7">
      <c r="A7" s="48" t="str">
        <f t="shared" si="3"/>
        <v>0-0</v>
      </c>
      <c r="B7" s="48" t="str">
        <f t="shared" si="4"/>
        <v>0-0</v>
      </c>
      <c r="C7" s="48" t="str">
        <f t="shared" si="5"/>
        <v>0-0</v>
      </c>
      <c r="D7" s="48">
        <f t="shared" si="6"/>
        <v>0</v>
      </c>
      <c r="E7" s="48">
        <f t="shared" si="7"/>
        <v>0</v>
      </c>
      <c r="F7" s="48">
        <f t="shared" si="8"/>
        <v>0</v>
      </c>
      <c r="G7" s="48">
        <f t="shared" ref="G7:H7" si="46">Q7+AB7+AM7+AX7+BI7</f>
        <v>0</v>
      </c>
      <c r="H7" s="48">
        <f t="shared" si="46"/>
        <v>0</v>
      </c>
      <c r="I7" s="48">
        <f t="shared" si="10"/>
        <v>0</v>
      </c>
      <c r="J7" s="48">
        <f t="shared" ref="J7:K7" si="47">W7+AH7+AS7+BD7+BO7</f>
        <v>0</v>
      </c>
      <c r="K7" s="48">
        <f t="shared" si="47"/>
        <v>0</v>
      </c>
      <c r="L7" s="48">
        <f t="shared" si="12"/>
        <v>0</v>
      </c>
      <c r="M7" s="48">
        <f t="shared" si="41"/>
        <v>6</v>
      </c>
      <c r="N7" s="48" t="str">
        <f t="array" ref="N7:O7">xlookup(M7+12,'Team Entry'!$C$38:$C$65,'Team Entry'!$A$38:$B$65,"")</f>
        <v>Team 6 (Group 1)</v>
      </c>
      <c r="O7" s="48"/>
      <c r="P7" s="48">
        <v>11.0</v>
      </c>
      <c r="Q7" s="48"/>
      <c r="R7" s="48"/>
      <c r="S7" s="48" t="str">
        <f t="shared" si="13"/>
        <v/>
      </c>
      <c r="T7" s="48">
        <f t="shared" si="14"/>
        <v>0</v>
      </c>
      <c r="U7" s="48">
        <f t="shared" si="15"/>
        <v>0</v>
      </c>
      <c r="W7" s="48">
        <v>0.0</v>
      </c>
      <c r="X7" s="48">
        <v>0.0</v>
      </c>
      <c r="Y7" s="48">
        <f t="shared" si="16"/>
        <v>0</v>
      </c>
      <c r="Z7" s="48">
        <f t="shared" si="17"/>
        <v>0</v>
      </c>
      <c r="AB7" s="48" t="s">
        <v>300</v>
      </c>
      <c r="AC7" s="48" t="s">
        <v>300</v>
      </c>
      <c r="AD7" s="48" t="str">
        <f t="shared" si="18"/>
        <v/>
      </c>
      <c r="AE7" s="48">
        <f t="shared" si="19"/>
        <v>0</v>
      </c>
      <c r="AF7" s="48">
        <f t="shared" si="20"/>
        <v>0</v>
      </c>
      <c r="AG7" s="48">
        <f t="shared" si="21"/>
        <v>0</v>
      </c>
      <c r="AH7" s="48" t="s">
        <v>300</v>
      </c>
      <c r="AI7" s="48" t="s">
        <v>300</v>
      </c>
      <c r="AJ7" s="48">
        <f t="shared" si="22"/>
        <v>0</v>
      </c>
      <c r="AK7" s="48">
        <f t="shared" si="23"/>
        <v>0</v>
      </c>
      <c r="AM7" s="48" t="s">
        <v>300</v>
      </c>
      <c r="AN7" s="48" t="s">
        <v>300</v>
      </c>
      <c r="AO7" s="48" t="str">
        <f t="shared" si="24"/>
        <v/>
      </c>
      <c r="AP7" s="48">
        <f t="shared" si="25"/>
        <v>0</v>
      </c>
      <c r="AQ7" s="48">
        <f t="shared" si="26"/>
        <v>0</v>
      </c>
      <c r="AR7" s="48">
        <f t="shared" si="27"/>
        <v>0</v>
      </c>
      <c r="AS7" s="48" t="s">
        <v>300</v>
      </c>
      <c r="AT7" s="48" t="s">
        <v>300</v>
      </c>
      <c r="AU7" s="48">
        <f t="shared" si="28"/>
        <v>0</v>
      </c>
      <c r="AV7" s="48">
        <f t="shared" si="29"/>
        <v>0</v>
      </c>
      <c r="AX7" s="48" t="s">
        <v>300</v>
      </c>
      <c r="AY7" s="48" t="s">
        <v>300</v>
      </c>
      <c r="AZ7" s="48" t="str">
        <f t="shared" si="30"/>
        <v/>
      </c>
      <c r="BA7" s="48">
        <f t="shared" si="31"/>
        <v>0</v>
      </c>
      <c r="BB7" s="48">
        <f t="shared" si="32"/>
        <v>0</v>
      </c>
      <c r="BC7" s="48">
        <f t="shared" si="33"/>
        <v>0</v>
      </c>
      <c r="BD7" s="48" t="s">
        <v>300</v>
      </c>
      <c r="BE7" s="48" t="s">
        <v>300</v>
      </c>
      <c r="BF7" s="48">
        <f t="shared" si="34"/>
        <v>0</v>
      </c>
      <c r="BG7" s="48">
        <f t="shared" si="35"/>
        <v>0</v>
      </c>
      <c r="BI7" s="48" t="s">
        <v>300</v>
      </c>
      <c r="BJ7" s="48" t="s">
        <v>300</v>
      </c>
      <c r="BK7" s="48" t="str">
        <f t="shared" si="36"/>
        <v/>
      </c>
      <c r="BL7" s="48">
        <f t="shared" si="37"/>
        <v>0</v>
      </c>
      <c r="BO7" s="48" t="s">
        <v>300</v>
      </c>
      <c r="BP7" s="48" t="s">
        <v>300</v>
      </c>
      <c r="BQ7" s="48">
        <f t="shared" si="38"/>
        <v>0</v>
      </c>
    </row>
    <row r="8">
      <c r="A8" s="48" t="str">
        <f t="shared" si="3"/>
        <v>0-0</v>
      </c>
      <c r="B8" s="48" t="str">
        <f t="shared" si="4"/>
        <v>0-0</v>
      </c>
      <c r="C8" s="48" t="str">
        <f t="shared" si="5"/>
        <v>0-0</v>
      </c>
      <c r="D8" s="48">
        <f t="shared" si="6"/>
        <v>0</v>
      </c>
      <c r="E8" s="48">
        <f t="shared" si="7"/>
        <v>0</v>
      </c>
      <c r="F8" s="48">
        <f t="shared" si="8"/>
        <v>0</v>
      </c>
      <c r="G8" s="48">
        <f t="shared" ref="G8:H8" si="48">Q8+AB8+AM8+AX8+BI8</f>
        <v>0</v>
      </c>
      <c r="H8" s="48">
        <f t="shared" si="48"/>
        <v>0</v>
      </c>
      <c r="I8" s="48">
        <f t="shared" si="10"/>
        <v>0</v>
      </c>
      <c r="J8" s="48">
        <f t="shared" ref="J8:K8" si="49">W8+AH8+AS8+BD8+BO8</f>
        <v>0</v>
      </c>
      <c r="K8" s="48">
        <f t="shared" si="49"/>
        <v>0</v>
      </c>
      <c r="L8" s="48">
        <f t="shared" si="12"/>
        <v>0</v>
      </c>
      <c r="M8" s="48">
        <f t="shared" si="41"/>
        <v>7</v>
      </c>
      <c r="N8" s="48" t="str">
        <f t="array" ref="N8:O8">xlookup(M8+12,'Team Entry'!$C$38:$C$65,'Team Entry'!$A$38:$B$65,"")</f>
        <v>Team 7 (Group 1)</v>
      </c>
      <c r="O8" s="48"/>
      <c r="P8" s="48">
        <v>10.0</v>
      </c>
      <c r="Q8" s="48"/>
      <c r="R8" s="48"/>
      <c r="S8" s="48" t="str">
        <f t="shared" si="13"/>
        <v/>
      </c>
      <c r="T8" s="48">
        <f t="shared" si="14"/>
        <v>0</v>
      </c>
      <c r="U8" s="48">
        <f t="shared" si="15"/>
        <v>0</v>
      </c>
      <c r="W8" s="48">
        <v>0.0</v>
      </c>
      <c r="X8" s="48">
        <v>0.0</v>
      </c>
      <c r="Y8" s="48">
        <f t="shared" si="16"/>
        <v>0</v>
      </c>
      <c r="Z8" s="48">
        <f t="shared" si="17"/>
        <v>0</v>
      </c>
      <c r="AB8" s="48" t="s">
        <v>300</v>
      </c>
      <c r="AC8" s="48" t="s">
        <v>300</v>
      </c>
      <c r="AD8" s="48" t="str">
        <f t="shared" si="18"/>
        <v/>
      </c>
      <c r="AE8" s="48">
        <f t="shared" si="19"/>
        <v>0</v>
      </c>
      <c r="AF8" s="48">
        <f t="shared" si="20"/>
        <v>0</v>
      </c>
      <c r="AG8" s="48">
        <f t="shared" si="21"/>
        <v>0</v>
      </c>
      <c r="AH8" s="48" t="s">
        <v>300</v>
      </c>
      <c r="AI8" s="48" t="s">
        <v>300</v>
      </c>
      <c r="AJ8" s="48">
        <f t="shared" si="22"/>
        <v>0</v>
      </c>
      <c r="AK8" s="48">
        <f t="shared" si="23"/>
        <v>0</v>
      </c>
      <c r="AM8" s="48" t="s">
        <v>300</v>
      </c>
      <c r="AN8" s="48" t="s">
        <v>300</v>
      </c>
      <c r="AO8" s="48" t="str">
        <f t="shared" si="24"/>
        <v/>
      </c>
      <c r="AP8" s="48">
        <f t="shared" si="25"/>
        <v>0</v>
      </c>
      <c r="AQ8" s="48">
        <f t="shared" si="26"/>
        <v>0</v>
      </c>
      <c r="AR8" s="48">
        <f t="shared" si="27"/>
        <v>0</v>
      </c>
      <c r="AS8" s="48" t="s">
        <v>300</v>
      </c>
      <c r="AT8" s="48" t="s">
        <v>300</v>
      </c>
      <c r="AU8" s="48">
        <f t="shared" si="28"/>
        <v>0</v>
      </c>
      <c r="AV8" s="48">
        <f t="shared" si="29"/>
        <v>0</v>
      </c>
      <c r="AX8" s="48" t="s">
        <v>300</v>
      </c>
      <c r="AY8" s="48" t="s">
        <v>300</v>
      </c>
      <c r="AZ8" s="48" t="str">
        <f t="shared" si="30"/>
        <v/>
      </c>
      <c r="BA8" s="48">
        <f t="shared" si="31"/>
        <v>0</v>
      </c>
      <c r="BB8" s="48">
        <f t="shared" si="32"/>
        <v>0</v>
      </c>
      <c r="BC8" s="48">
        <f t="shared" si="33"/>
        <v>0</v>
      </c>
      <c r="BD8" s="48" t="s">
        <v>300</v>
      </c>
      <c r="BE8" s="48" t="s">
        <v>300</v>
      </c>
      <c r="BF8" s="48">
        <f t="shared" si="34"/>
        <v>0</v>
      </c>
      <c r="BG8" s="48">
        <f t="shared" si="35"/>
        <v>0</v>
      </c>
      <c r="BI8" s="48" t="s">
        <v>300</v>
      </c>
      <c r="BJ8" s="48" t="s">
        <v>300</v>
      </c>
      <c r="BK8" s="48" t="str">
        <f t="shared" si="36"/>
        <v/>
      </c>
      <c r="BL8" s="48">
        <f t="shared" si="37"/>
        <v>0</v>
      </c>
      <c r="BO8" s="48" t="s">
        <v>300</v>
      </c>
      <c r="BP8" s="48" t="s">
        <v>300</v>
      </c>
      <c r="BQ8" s="48">
        <f t="shared" si="38"/>
        <v>0</v>
      </c>
    </row>
    <row r="9">
      <c r="A9" s="48" t="str">
        <f t="shared" si="3"/>
        <v>0-0</v>
      </c>
      <c r="B9" s="48" t="str">
        <f t="shared" si="4"/>
        <v>0-0</v>
      </c>
      <c r="C9" s="48" t="str">
        <f t="shared" si="5"/>
        <v>0-0</v>
      </c>
      <c r="D9" s="48">
        <f t="shared" si="6"/>
        <v>0</v>
      </c>
      <c r="E9" s="48">
        <f t="shared" si="7"/>
        <v>0</v>
      </c>
      <c r="F9" s="48">
        <f t="shared" si="8"/>
        <v>0</v>
      </c>
      <c r="G9" s="48">
        <f t="shared" ref="G9:H9" si="50">Q9+AB9+AM9+AX9+BI9</f>
        <v>0</v>
      </c>
      <c r="H9" s="48">
        <f t="shared" si="50"/>
        <v>0</v>
      </c>
      <c r="I9" s="48">
        <f t="shared" si="10"/>
        <v>0</v>
      </c>
      <c r="J9" s="48">
        <f t="shared" ref="J9:K9" si="51">W9+AH9+AS9+BD9+BO9</f>
        <v>0</v>
      </c>
      <c r="K9" s="48">
        <f t="shared" si="51"/>
        <v>0</v>
      </c>
      <c r="L9" s="48">
        <f t="shared" si="12"/>
        <v>0</v>
      </c>
      <c r="M9" s="48">
        <f t="shared" si="41"/>
        <v>8</v>
      </c>
      <c r="N9" s="48" t="str">
        <f t="array" ref="N9:O9">xlookup(M9+12,'Team Entry'!$C$38:$C$65,'Team Entry'!$A$38:$B$65,"")</f>
        <v>Team 8 (Group 1)</v>
      </c>
      <c r="O9" s="48"/>
      <c r="P9" s="48">
        <v>9.0</v>
      </c>
      <c r="Q9" s="48"/>
      <c r="R9" s="48"/>
      <c r="S9" s="48" t="str">
        <f t="shared" si="13"/>
        <v/>
      </c>
      <c r="T9" s="48">
        <f t="shared" si="14"/>
        <v>0</v>
      </c>
      <c r="U9" s="48">
        <f t="shared" si="15"/>
        <v>0</v>
      </c>
      <c r="W9" s="48">
        <v>0.0</v>
      </c>
      <c r="X9" s="48">
        <v>0.0</v>
      </c>
      <c r="Y9" s="48">
        <f t="shared" si="16"/>
        <v>0</v>
      </c>
      <c r="Z9" s="48">
        <f t="shared" si="17"/>
        <v>0</v>
      </c>
      <c r="AB9" s="48" t="s">
        <v>300</v>
      </c>
      <c r="AC9" s="48" t="s">
        <v>300</v>
      </c>
      <c r="AD9" s="48" t="str">
        <f t="shared" si="18"/>
        <v/>
      </c>
      <c r="AE9" s="48">
        <f t="shared" si="19"/>
        <v>0</v>
      </c>
      <c r="AF9" s="48">
        <f t="shared" si="20"/>
        <v>0</v>
      </c>
      <c r="AG9" s="48">
        <f t="shared" si="21"/>
        <v>0</v>
      </c>
      <c r="AH9" s="48" t="s">
        <v>300</v>
      </c>
      <c r="AI9" s="48" t="s">
        <v>300</v>
      </c>
      <c r="AJ9" s="48">
        <f t="shared" si="22"/>
        <v>0</v>
      </c>
      <c r="AK9" s="48">
        <f t="shared" si="23"/>
        <v>0</v>
      </c>
      <c r="AM9" s="48" t="s">
        <v>300</v>
      </c>
      <c r="AN9" s="48" t="s">
        <v>300</v>
      </c>
      <c r="AO9" s="48" t="str">
        <f t="shared" si="24"/>
        <v/>
      </c>
      <c r="AP9" s="48">
        <f t="shared" si="25"/>
        <v>0</v>
      </c>
      <c r="AQ9" s="48">
        <f t="shared" si="26"/>
        <v>0</v>
      </c>
      <c r="AR9" s="48">
        <f t="shared" si="27"/>
        <v>0</v>
      </c>
      <c r="AS9" s="48" t="s">
        <v>300</v>
      </c>
      <c r="AT9" s="48" t="s">
        <v>300</v>
      </c>
      <c r="AU9" s="48">
        <f t="shared" si="28"/>
        <v>0</v>
      </c>
      <c r="AV9" s="48">
        <f t="shared" si="29"/>
        <v>0</v>
      </c>
      <c r="AX9" s="48" t="s">
        <v>300</v>
      </c>
      <c r="AY9" s="48" t="s">
        <v>300</v>
      </c>
      <c r="AZ9" s="48" t="str">
        <f t="shared" si="30"/>
        <v/>
      </c>
      <c r="BA9" s="48">
        <f t="shared" si="31"/>
        <v>0</v>
      </c>
      <c r="BB9" s="48">
        <f t="shared" si="32"/>
        <v>0</v>
      </c>
      <c r="BC9" s="48">
        <f t="shared" si="33"/>
        <v>0</v>
      </c>
      <c r="BD9" s="48" t="s">
        <v>300</v>
      </c>
      <c r="BE9" s="48" t="s">
        <v>300</v>
      </c>
      <c r="BF9" s="48">
        <f t="shared" si="34"/>
        <v>0</v>
      </c>
      <c r="BG9" s="48">
        <f t="shared" si="35"/>
        <v>0</v>
      </c>
      <c r="BI9" s="48" t="s">
        <v>300</v>
      </c>
      <c r="BJ9" s="48" t="s">
        <v>300</v>
      </c>
      <c r="BK9" s="48" t="str">
        <f t="shared" si="36"/>
        <v/>
      </c>
      <c r="BL9" s="48">
        <f t="shared" si="37"/>
        <v>0</v>
      </c>
      <c r="BO9" s="48" t="s">
        <v>300</v>
      </c>
      <c r="BP9" s="48" t="s">
        <v>300</v>
      </c>
      <c r="BQ9" s="48">
        <f t="shared" si="38"/>
        <v>0</v>
      </c>
    </row>
    <row r="10">
      <c r="A10" s="48" t="str">
        <f t="shared" si="3"/>
        <v>0-0</v>
      </c>
      <c r="B10" s="48" t="str">
        <f t="shared" si="4"/>
        <v>0-0</v>
      </c>
      <c r="C10" s="48" t="str">
        <f t="shared" si="5"/>
        <v>0-0</v>
      </c>
      <c r="D10" s="48">
        <f t="shared" si="6"/>
        <v>0</v>
      </c>
      <c r="E10" s="48">
        <f t="shared" si="7"/>
        <v>0</v>
      </c>
      <c r="F10" s="48">
        <f t="shared" si="8"/>
        <v>0</v>
      </c>
      <c r="G10" s="48">
        <f t="shared" ref="G10:H10" si="52">Q10+AB10+AM10+AX10+BI10</f>
        <v>0</v>
      </c>
      <c r="H10" s="48">
        <f t="shared" si="52"/>
        <v>0</v>
      </c>
      <c r="I10" s="48">
        <f t="shared" si="10"/>
        <v>0</v>
      </c>
      <c r="J10" s="48">
        <f t="shared" ref="J10:K10" si="53">W10+AH10+AS10+BD10+BO10</f>
        <v>0</v>
      </c>
      <c r="K10" s="48">
        <f t="shared" si="53"/>
        <v>0</v>
      </c>
      <c r="L10" s="48">
        <f t="shared" si="12"/>
        <v>0</v>
      </c>
      <c r="M10" s="48">
        <f t="shared" si="41"/>
        <v>9</v>
      </c>
      <c r="N10" s="48" t="str">
        <f t="array" ref="N10:O10">xlookup(M10+12,'Team Entry'!$C$38:$C$65,'Team Entry'!$A$38:$B$65,"")</f>
        <v>Team 9 (Group 1)</v>
      </c>
      <c r="O10" s="48"/>
      <c r="P10" s="48">
        <v>8.0</v>
      </c>
      <c r="Q10" s="48"/>
      <c r="R10" s="48"/>
      <c r="S10" s="48" t="str">
        <f t="shared" si="13"/>
        <v/>
      </c>
      <c r="T10" s="48">
        <f t="shared" si="14"/>
        <v>0</v>
      </c>
      <c r="U10" s="48">
        <f t="shared" si="15"/>
        <v>0</v>
      </c>
      <c r="W10" s="48">
        <v>0.0</v>
      </c>
      <c r="X10" s="48">
        <v>0.0</v>
      </c>
      <c r="Y10" s="48">
        <f t="shared" si="16"/>
        <v>0</v>
      </c>
      <c r="Z10" s="48">
        <f t="shared" si="17"/>
        <v>0</v>
      </c>
      <c r="AB10" s="48" t="s">
        <v>300</v>
      </c>
      <c r="AC10" s="48" t="s">
        <v>300</v>
      </c>
      <c r="AD10" s="48" t="str">
        <f t="shared" si="18"/>
        <v/>
      </c>
      <c r="AE10" s="48">
        <f t="shared" si="19"/>
        <v>0</v>
      </c>
      <c r="AF10" s="48">
        <f t="shared" si="20"/>
        <v>0</v>
      </c>
      <c r="AG10" s="48">
        <f t="shared" si="21"/>
        <v>0</v>
      </c>
      <c r="AH10" s="48" t="s">
        <v>300</v>
      </c>
      <c r="AI10" s="48" t="s">
        <v>300</v>
      </c>
      <c r="AJ10" s="48">
        <f t="shared" si="22"/>
        <v>0</v>
      </c>
      <c r="AK10" s="48">
        <f t="shared" si="23"/>
        <v>0</v>
      </c>
      <c r="AM10" s="48" t="s">
        <v>300</v>
      </c>
      <c r="AN10" s="48" t="s">
        <v>300</v>
      </c>
      <c r="AO10" s="48" t="str">
        <f t="shared" si="24"/>
        <v/>
      </c>
      <c r="AP10" s="48">
        <f t="shared" si="25"/>
        <v>0</v>
      </c>
      <c r="AQ10" s="48">
        <f t="shared" si="26"/>
        <v>0</v>
      </c>
      <c r="AR10" s="48">
        <f t="shared" si="27"/>
        <v>0</v>
      </c>
      <c r="AS10" s="48" t="s">
        <v>300</v>
      </c>
      <c r="AT10" s="48" t="s">
        <v>300</v>
      </c>
      <c r="AU10" s="48">
        <f t="shared" si="28"/>
        <v>0</v>
      </c>
      <c r="AV10" s="48">
        <f t="shared" si="29"/>
        <v>0</v>
      </c>
      <c r="AX10" s="48" t="s">
        <v>300</v>
      </c>
      <c r="AY10" s="48" t="s">
        <v>300</v>
      </c>
      <c r="AZ10" s="48" t="str">
        <f t="shared" si="30"/>
        <v/>
      </c>
      <c r="BA10" s="48">
        <f t="shared" si="31"/>
        <v>0</v>
      </c>
      <c r="BB10" s="48">
        <f t="shared" si="32"/>
        <v>0</v>
      </c>
      <c r="BC10" s="48">
        <f t="shared" si="33"/>
        <v>0</v>
      </c>
      <c r="BD10" s="48" t="s">
        <v>300</v>
      </c>
      <c r="BE10" s="48" t="s">
        <v>300</v>
      </c>
      <c r="BF10" s="48">
        <f t="shared" si="34"/>
        <v>0</v>
      </c>
      <c r="BG10" s="48">
        <f t="shared" si="35"/>
        <v>0</v>
      </c>
      <c r="BI10" s="48" t="s">
        <v>300</v>
      </c>
      <c r="BJ10" s="48" t="s">
        <v>300</v>
      </c>
      <c r="BK10" s="48" t="str">
        <f t="shared" si="36"/>
        <v/>
      </c>
      <c r="BL10" s="48">
        <f t="shared" si="37"/>
        <v>0</v>
      </c>
      <c r="BO10" s="48" t="s">
        <v>300</v>
      </c>
      <c r="BP10" s="48" t="s">
        <v>300</v>
      </c>
      <c r="BQ10" s="48">
        <f t="shared" si="38"/>
        <v>0</v>
      </c>
    </row>
    <row r="11">
      <c r="A11" s="48" t="str">
        <f t="shared" si="3"/>
        <v>0-0</v>
      </c>
      <c r="B11" s="48" t="str">
        <f t="shared" si="4"/>
        <v>0-0</v>
      </c>
      <c r="C11" s="48" t="str">
        <f t="shared" si="5"/>
        <v>0-0</v>
      </c>
      <c r="D11" s="48">
        <f t="shared" si="6"/>
        <v>0</v>
      </c>
      <c r="E11" s="48">
        <f t="shared" si="7"/>
        <v>0</v>
      </c>
      <c r="F11" s="48">
        <f t="shared" si="8"/>
        <v>0</v>
      </c>
      <c r="G11" s="48">
        <f t="shared" ref="G11:H11" si="54">Q11+AB11+AM11+AX11+BI11</f>
        <v>0</v>
      </c>
      <c r="H11" s="48">
        <f t="shared" si="54"/>
        <v>0</v>
      </c>
      <c r="I11" s="48">
        <f t="shared" si="10"/>
        <v>0</v>
      </c>
      <c r="J11" s="48">
        <f t="shared" ref="J11:K11" si="55">W11+AH11+AS11+BD11+BO11</f>
        <v>0</v>
      </c>
      <c r="K11" s="48">
        <f t="shared" si="55"/>
        <v>0</v>
      </c>
      <c r="L11" s="48">
        <f t="shared" si="12"/>
        <v>0</v>
      </c>
      <c r="M11" s="48">
        <f t="shared" si="41"/>
        <v>10</v>
      </c>
      <c r="N11" s="48" t="str">
        <f t="array" ref="N11:O11">xlookup(M11+12,'Team Entry'!$C$38:$C$65,'Team Entry'!$A$38:$B$65,"")</f>
        <v>Team 10 (Group 1)</v>
      </c>
      <c r="O11" s="48"/>
      <c r="P11" s="48">
        <v>7.0</v>
      </c>
      <c r="Q11" s="48"/>
      <c r="R11" s="48"/>
      <c r="S11" s="48" t="str">
        <f t="shared" si="13"/>
        <v/>
      </c>
      <c r="T11" s="48">
        <f t="shared" si="14"/>
        <v>0</v>
      </c>
      <c r="U11" s="48">
        <f t="shared" si="15"/>
        <v>0</v>
      </c>
      <c r="W11" s="48">
        <v>0.0</v>
      </c>
      <c r="X11" s="48">
        <v>0.0</v>
      </c>
      <c r="Y11" s="48">
        <f t="shared" si="16"/>
        <v>0</v>
      </c>
      <c r="Z11" s="48">
        <f t="shared" si="17"/>
        <v>0</v>
      </c>
      <c r="AB11" s="48" t="s">
        <v>300</v>
      </c>
      <c r="AC11" s="48" t="s">
        <v>300</v>
      </c>
      <c r="AD11" s="48" t="str">
        <f t="shared" si="18"/>
        <v/>
      </c>
      <c r="AE11" s="48">
        <f t="shared" si="19"/>
        <v>0</v>
      </c>
      <c r="AF11" s="48">
        <f t="shared" si="20"/>
        <v>0</v>
      </c>
      <c r="AG11" s="48">
        <f t="shared" si="21"/>
        <v>0</v>
      </c>
      <c r="AH11" s="48" t="s">
        <v>300</v>
      </c>
      <c r="AI11" s="48" t="s">
        <v>300</v>
      </c>
      <c r="AJ11" s="48">
        <f t="shared" si="22"/>
        <v>0</v>
      </c>
      <c r="AK11" s="48">
        <f t="shared" si="23"/>
        <v>0</v>
      </c>
      <c r="AM11" s="48" t="s">
        <v>300</v>
      </c>
      <c r="AN11" s="48" t="s">
        <v>300</v>
      </c>
      <c r="AO11" s="48" t="str">
        <f t="shared" si="24"/>
        <v/>
      </c>
      <c r="AP11" s="48">
        <f t="shared" si="25"/>
        <v>0</v>
      </c>
      <c r="AQ11" s="48">
        <f t="shared" si="26"/>
        <v>0</v>
      </c>
      <c r="AR11" s="48">
        <f t="shared" si="27"/>
        <v>0</v>
      </c>
      <c r="AS11" s="48" t="s">
        <v>300</v>
      </c>
      <c r="AT11" s="48" t="s">
        <v>300</v>
      </c>
      <c r="AU11" s="48">
        <f t="shared" si="28"/>
        <v>0</v>
      </c>
      <c r="AV11" s="48">
        <f t="shared" si="29"/>
        <v>0</v>
      </c>
      <c r="AX11" s="48" t="s">
        <v>300</v>
      </c>
      <c r="AY11" s="48" t="s">
        <v>300</v>
      </c>
      <c r="AZ11" s="48" t="str">
        <f t="shared" si="30"/>
        <v/>
      </c>
      <c r="BA11" s="48">
        <f t="shared" si="31"/>
        <v>0</v>
      </c>
      <c r="BB11" s="48">
        <f t="shared" si="32"/>
        <v>0</v>
      </c>
      <c r="BC11" s="48">
        <f t="shared" si="33"/>
        <v>0</v>
      </c>
      <c r="BD11" s="48" t="s">
        <v>300</v>
      </c>
      <c r="BE11" s="48" t="s">
        <v>300</v>
      </c>
      <c r="BF11" s="48">
        <f t="shared" si="34"/>
        <v>0</v>
      </c>
      <c r="BG11" s="48">
        <f t="shared" si="35"/>
        <v>0</v>
      </c>
      <c r="BI11" s="48" t="s">
        <v>300</v>
      </c>
      <c r="BJ11" s="48" t="s">
        <v>300</v>
      </c>
      <c r="BK11" s="48" t="str">
        <f t="shared" si="36"/>
        <v/>
      </c>
      <c r="BL11" s="48">
        <f t="shared" si="37"/>
        <v>0</v>
      </c>
      <c r="BO11" s="48" t="s">
        <v>300</v>
      </c>
      <c r="BP11" s="48" t="s">
        <v>300</v>
      </c>
      <c r="BQ11" s="48">
        <f t="shared" si="38"/>
        <v>0</v>
      </c>
    </row>
    <row r="12">
      <c r="A12" s="48" t="str">
        <f t="shared" si="3"/>
        <v>0-0</v>
      </c>
      <c r="B12" s="48" t="str">
        <f t="shared" si="4"/>
        <v>0-0</v>
      </c>
      <c r="C12" s="48" t="str">
        <f t="shared" si="5"/>
        <v>0-0</v>
      </c>
      <c r="D12" s="48">
        <f t="shared" si="6"/>
        <v>0</v>
      </c>
      <c r="E12" s="48">
        <f t="shared" si="7"/>
        <v>0</v>
      </c>
      <c r="F12" s="48">
        <f t="shared" si="8"/>
        <v>0</v>
      </c>
      <c r="G12" s="48">
        <f t="shared" ref="G12:H12" si="56">Q12+AB12+AM12+AX12+BI12</f>
        <v>0</v>
      </c>
      <c r="H12" s="48">
        <f t="shared" si="56"/>
        <v>0</v>
      </c>
      <c r="I12" s="48">
        <f t="shared" si="10"/>
        <v>0</v>
      </c>
      <c r="J12" s="48">
        <f t="shared" ref="J12:K12" si="57">W12+AH12+AS12+BD12+BO12</f>
        <v>0</v>
      </c>
      <c r="K12" s="48">
        <f t="shared" si="57"/>
        <v>0</v>
      </c>
      <c r="L12" s="48">
        <f t="shared" si="12"/>
        <v>0</v>
      </c>
      <c r="M12" s="48">
        <f t="shared" si="41"/>
        <v>11</v>
      </c>
      <c r="N12" s="48" t="str">
        <f t="array" ref="N12:O12">xlookup(M12+12,'Team Entry'!$C$38:$C$65,'Team Entry'!$A$38:$B$65,"")</f>
        <v>Team 11 (Group 1)</v>
      </c>
      <c r="O12" s="48"/>
      <c r="P12" s="48">
        <v>6.0</v>
      </c>
      <c r="Q12" s="48"/>
      <c r="R12" s="48"/>
      <c r="S12" s="48" t="str">
        <f t="shared" si="13"/>
        <v/>
      </c>
      <c r="T12" s="48">
        <f t="shared" si="14"/>
        <v>0</v>
      </c>
      <c r="U12" s="48">
        <f t="shared" si="15"/>
        <v>0</v>
      </c>
      <c r="W12" s="48">
        <v>0.0</v>
      </c>
      <c r="X12" s="48">
        <v>0.0</v>
      </c>
      <c r="Y12" s="48">
        <f t="shared" si="16"/>
        <v>0</v>
      </c>
      <c r="Z12" s="48">
        <f t="shared" si="17"/>
        <v>0</v>
      </c>
      <c r="AB12" s="48" t="s">
        <v>300</v>
      </c>
      <c r="AC12" s="48" t="s">
        <v>300</v>
      </c>
      <c r="AD12" s="48" t="str">
        <f t="shared" si="18"/>
        <v/>
      </c>
      <c r="AE12" s="48">
        <f t="shared" si="19"/>
        <v>0</v>
      </c>
      <c r="AF12" s="48">
        <f t="shared" si="20"/>
        <v>0</v>
      </c>
      <c r="AG12" s="48">
        <f t="shared" si="21"/>
        <v>0</v>
      </c>
      <c r="AH12" s="48" t="s">
        <v>300</v>
      </c>
      <c r="AI12" s="48" t="s">
        <v>300</v>
      </c>
      <c r="AJ12" s="48">
        <f t="shared" si="22"/>
        <v>0</v>
      </c>
      <c r="AK12" s="48">
        <f t="shared" si="23"/>
        <v>0</v>
      </c>
      <c r="AM12" s="48" t="s">
        <v>300</v>
      </c>
      <c r="AN12" s="48" t="s">
        <v>300</v>
      </c>
      <c r="AO12" s="48" t="str">
        <f t="shared" si="24"/>
        <v/>
      </c>
      <c r="AP12" s="48">
        <f t="shared" si="25"/>
        <v>0</v>
      </c>
      <c r="AQ12" s="48">
        <f t="shared" si="26"/>
        <v>0</v>
      </c>
      <c r="AR12" s="48">
        <f t="shared" si="27"/>
        <v>0</v>
      </c>
      <c r="AS12" s="48" t="s">
        <v>300</v>
      </c>
      <c r="AT12" s="48" t="s">
        <v>300</v>
      </c>
      <c r="AU12" s="48">
        <f t="shared" si="28"/>
        <v>0</v>
      </c>
      <c r="AV12" s="48">
        <f t="shared" si="29"/>
        <v>0</v>
      </c>
      <c r="AX12" s="48" t="s">
        <v>300</v>
      </c>
      <c r="AY12" s="48" t="s">
        <v>300</v>
      </c>
      <c r="AZ12" s="48" t="str">
        <f t="shared" si="30"/>
        <v/>
      </c>
      <c r="BA12" s="48">
        <f t="shared" si="31"/>
        <v>0</v>
      </c>
      <c r="BB12" s="48">
        <f t="shared" si="32"/>
        <v>0</v>
      </c>
      <c r="BC12" s="48">
        <f t="shared" si="33"/>
        <v>0</v>
      </c>
      <c r="BD12" s="48" t="s">
        <v>300</v>
      </c>
      <c r="BE12" s="48" t="s">
        <v>300</v>
      </c>
      <c r="BF12" s="48">
        <f t="shared" si="34"/>
        <v>0</v>
      </c>
      <c r="BG12" s="48">
        <f t="shared" si="35"/>
        <v>0</v>
      </c>
      <c r="BI12" s="48" t="s">
        <v>300</v>
      </c>
      <c r="BJ12" s="48" t="s">
        <v>300</v>
      </c>
      <c r="BK12" s="48" t="str">
        <f t="shared" si="36"/>
        <v/>
      </c>
      <c r="BL12" s="48">
        <f t="shared" si="37"/>
        <v>0</v>
      </c>
      <c r="BO12" s="48" t="s">
        <v>300</v>
      </c>
      <c r="BP12" s="48" t="s">
        <v>300</v>
      </c>
      <c r="BQ12" s="48">
        <f t="shared" si="38"/>
        <v>0</v>
      </c>
    </row>
    <row r="13">
      <c r="A13" s="48" t="str">
        <f t="shared" si="3"/>
        <v>0-0</v>
      </c>
      <c r="B13" s="48" t="str">
        <f t="shared" si="4"/>
        <v>0-0</v>
      </c>
      <c r="C13" s="48" t="str">
        <f t="shared" si="5"/>
        <v>0-0</v>
      </c>
      <c r="D13" s="48">
        <f t="shared" si="6"/>
        <v>0</v>
      </c>
      <c r="E13" s="48">
        <f t="shared" si="7"/>
        <v>0</v>
      </c>
      <c r="F13" s="48">
        <f t="shared" si="8"/>
        <v>0</v>
      </c>
      <c r="G13" s="48">
        <f t="shared" ref="G13:H13" si="58">Q13+AB13+AM13+AX13+BI13</f>
        <v>0</v>
      </c>
      <c r="H13" s="48">
        <f t="shared" si="58"/>
        <v>0</v>
      </c>
      <c r="I13" s="48">
        <f t="shared" si="10"/>
        <v>0</v>
      </c>
      <c r="J13" s="48">
        <f t="shared" ref="J13:K13" si="59">W13+AH13+AS13+BD13+BO13</f>
        <v>0</v>
      </c>
      <c r="K13" s="48">
        <f t="shared" si="59"/>
        <v>0</v>
      </c>
      <c r="L13" s="48">
        <f t="shared" si="12"/>
        <v>0</v>
      </c>
      <c r="M13" s="48">
        <f t="shared" si="41"/>
        <v>12</v>
      </c>
      <c r="N13" s="48" t="str">
        <f t="array" ref="N13:O13">xlookup(M13+12,'Team Entry'!$C$38:$C$65,'Team Entry'!$A$38:$B$65,"")</f>
        <v>Team 12 (Group 1)</v>
      </c>
      <c r="O13" s="48"/>
      <c r="P13" s="48">
        <v>5.0</v>
      </c>
      <c r="Q13" s="48"/>
      <c r="R13" s="48"/>
      <c r="S13" s="48" t="str">
        <f t="shared" si="13"/>
        <v/>
      </c>
      <c r="T13" s="48">
        <f t="shared" si="14"/>
        <v>0</v>
      </c>
      <c r="U13" s="48">
        <f t="shared" si="15"/>
        <v>0</v>
      </c>
      <c r="W13" s="48">
        <v>0.0</v>
      </c>
      <c r="X13" s="48">
        <v>0.0</v>
      </c>
      <c r="Y13" s="48">
        <f t="shared" si="16"/>
        <v>0</v>
      </c>
      <c r="Z13" s="48">
        <f t="shared" si="17"/>
        <v>0</v>
      </c>
      <c r="AB13" s="48" t="s">
        <v>300</v>
      </c>
      <c r="AC13" s="48" t="s">
        <v>300</v>
      </c>
      <c r="AD13" s="48" t="str">
        <f t="shared" si="18"/>
        <v/>
      </c>
      <c r="AE13" s="48">
        <f t="shared" si="19"/>
        <v>0</v>
      </c>
      <c r="AF13" s="48">
        <f t="shared" si="20"/>
        <v>0</v>
      </c>
      <c r="AG13" s="48">
        <f t="shared" si="21"/>
        <v>0</v>
      </c>
      <c r="AH13" s="48" t="s">
        <v>300</v>
      </c>
      <c r="AI13" s="48" t="s">
        <v>300</v>
      </c>
      <c r="AJ13" s="48">
        <f t="shared" si="22"/>
        <v>0</v>
      </c>
      <c r="AK13" s="48">
        <f t="shared" si="23"/>
        <v>0</v>
      </c>
      <c r="AM13" s="48" t="s">
        <v>300</v>
      </c>
      <c r="AN13" s="48" t="s">
        <v>300</v>
      </c>
      <c r="AO13" s="48" t="str">
        <f t="shared" si="24"/>
        <v/>
      </c>
      <c r="AP13" s="48">
        <f t="shared" si="25"/>
        <v>0</v>
      </c>
      <c r="AQ13" s="48">
        <f t="shared" si="26"/>
        <v>0</v>
      </c>
      <c r="AR13" s="48">
        <f t="shared" si="27"/>
        <v>0</v>
      </c>
      <c r="AS13" s="48" t="s">
        <v>300</v>
      </c>
      <c r="AT13" s="48" t="s">
        <v>300</v>
      </c>
      <c r="AU13" s="48">
        <f t="shared" si="28"/>
        <v>0</v>
      </c>
      <c r="AV13" s="48">
        <f t="shared" si="29"/>
        <v>0</v>
      </c>
      <c r="AX13" s="48" t="s">
        <v>300</v>
      </c>
      <c r="AY13" s="48" t="s">
        <v>300</v>
      </c>
      <c r="AZ13" s="48" t="str">
        <f t="shared" si="30"/>
        <v/>
      </c>
      <c r="BA13" s="48">
        <f t="shared" si="31"/>
        <v>0</v>
      </c>
      <c r="BB13" s="48">
        <f t="shared" si="32"/>
        <v>0</v>
      </c>
      <c r="BC13" s="48">
        <f t="shared" si="33"/>
        <v>0</v>
      </c>
      <c r="BD13" s="48" t="s">
        <v>300</v>
      </c>
      <c r="BE13" s="48" t="s">
        <v>300</v>
      </c>
      <c r="BF13" s="48">
        <f t="shared" si="34"/>
        <v>0</v>
      </c>
      <c r="BG13" s="48">
        <f t="shared" si="35"/>
        <v>0</v>
      </c>
      <c r="BI13" s="48" t="s">
        <v>300</v>
      </c>
      <c r="BJ13" s="48" t="s">
        <v>300</v>
      </c>
      <c r="BK13" s="48" t="str">
        <f t="shared" si="36"/>
        <v/>
      </c>
      <c r="BL13" s="48">
        <f t="shared" si="37"/>
        <v>0</v>
      </c>
      <c r="BO13" s="48" t="s">
        <v>300</v>
      </c>
      <c r="BP13" s="48" t="s">
        <v>300</v>
      </c>
      <c r="BQ13" s="48">
        <f t="shared" si="38"/>
        <v>0</v>
      </c>
    </row>
    <row r="14">
      <c r="A14" s="48" t="str">
        <f t="shared" si="3"/>
        <v>0-0</v>
      </c>
      <c r="B14" s="48" t="str">
        <f t="shared" si="4"/>
        <v>0-0</v>
      </c>
      <c r="C14" s="48" t="str">
        <f t="shared" si="5"/>
        <v>0-0</v>
      </c>
      <c r="D14" s="48">
        <f t="shared" si="6"/>
        <v>0</v>
      </c>
      <c r="E14" s="48">
        <f t="shared" si="7"/>
        <v>0</v>
      </c>
      <c r="F14" s="48">
        <f t="shared" si="8"/>
        <v>0</v>
      </c>
      <c r="G14" s="48">
        <f t="shared" ref="G14:H14" si="60">Q14+AB14+AM14+AX14+BI14</f>
        <v>0</v>
      </c>
      <c r="H14" s="48">
        <f t="shared" si="60"/>
        <v>0</v>
      </c>
      <c r="I14" s="48">
        <f t="shared" si="10"/>
        <v>0</v>
      </c>
      <c r="J14" s="48">
        <f t="shared" ref="J14:K14" si="61">W14+AH14+AS14+BD14+BO14</f>
        <v>0</v>
      </c>
      <c r="K14" s="48">
        <f t="shared" si="61"/>
        <v>0</v>
      </c>
      <c r="L14" s="48">
        <f t="shared" si="12"/>
        <v>0</v>
      </c>
      <c r="M14" s="48">
        <f t="shared" si="41"/>
        <v>13</v>
      </c>
      <c r="N14" s="48" t="str">
        <f t="array" ref="N14:O14">xlookup(M14+12,'Team Entry'!$C$38:$C$65,'Team Entry'!$A$38:$B$65,"")</f>
        <v>Team 13 (Group 1)</v>
      </c>
      <c r="O14" s="48"/>
      <c r="P14" s="48">
        <v>4.0</v>
      </c>
      <c r="Q14" s="48"/>
      <c r="R14" s="48"/>
      <c r="S14" s="48" t="str">
        <f t="shared" si="13"/>
        <v/>
      </c>
      <c r="T14" s="48">
        <f t="shared" si="14"/>
        <v>0</v>
      </c>
      <c r="U14" s="48">
        <f t="shared" si="15"/>
        <v>0</v>
      </c>
      <c r="W14" s="48">
        <v>0.0</v>
      </c>
      <c r="X14" s="48">
        <v>0.0</v>
      </c>
      <c r="Y14" s="48">
        <f t="shared" si="16"/>
        <v>0</v>
      </c>
      <c r="Z14" s="48">
        <f t="shared" si="17"/>
        <v>0</v>
      </c>
      <c r="AB14" s="48" t="s">
        <v>300</v>
      </c>
      <c r="AC14" s="48" t="s">
        <v>300</v>
      </c>
      <c r="AD14" s="48" t="str">
        <f t="shared" si="18"/>
        <v/>
      </c>
      <c r="AE14" s="48">
        <f t="shared" si="19"/>
        <v>0</v>
      </c>
      <c r="AF14" s="48">
        <f t="shared" si="20"/>
        <v>0</v>
      </c>
      <c r="AG14" s="48">
        <f t="shared" si="21"/>
        <v>0</v>
      </c>
      <c r="AH14" s="48" t="s">
        <v>300</v>
      </c>
      <c r="AI14" s="48" t="s">
        <v>300</v>
      </c>
      <c r="AJ14" s="48">
        <f t="shared" si="22"/>
        <v>0</v>
      </c>
      <c r="AK14" s="48">
        <f t="shared" si="23"/>
        <v>0</v>
      </c>
      <c r="AM14" s="48" t="s">
        <v>300</v>
      </c>
      <c r="AN14" s="48" t="s">
        <v>300</v>
      </c>
      <c r="AO14" s="48" t="str">
        <f t="shared" si="24"/>
        <v/>
      </c>
      <c r="AP14" s="48">
        <f t="shared" si="25"/>
        <v>0</v>
      </c>
      <c r="AQ14" s="48">
        <f t="shared" si="26"/>
        <v>0</v>
      </c>
      <c r="AR14" s="48">
        <f t="shared" si="27"/>
        <v>0</v>
      </c>
      <c r="AS14" s="48" t="s">
        <v>300</v>
      </c>
      <c r="AT14" s="48" t="s">
        <v>300</v>
      </c>
      <c r="AU14" s="48">
        <f t="shared" si="28"/>
        <v>0</v>
      </c>
      <c r="AV14" s="48">
        <f t="shared" si="29"/>
        <v>0</v>
      </c>
      <c r="AX14" s="48" t="s">
        <v>300</v>
      </c>
      <c r="AY14" s="48" t="s">
        <v>300</v>
      </c>
      <c r="AZ14" s="48" t="str">
        <f t="shared" si="30"/>
        <v/>
      </c>
      <c r="BA14" s="48">
        <f t="shared" si="31"/>
        <v>0</v>
      </c>
      <c r="BB14" s="48">
        <f t="shared" si="32"/>
        <v>0</v>
      </c>
      <c r="BC14" s="48">
        <f t="shared" si="33"/>
        <v>0</v>
      </c>
      <c r="BD14" s="48" t="s">
        <v>300</v>
      </c>
      <c r="BE14" s="48" t="s">
        <v>300</v>
      </c>
      <c r="BF14" s="48">
        <f t="shared" si="34"/>
        <v>0</v>
      </c>
      <c r="BG14" s="48">
        <f t="shared" si="35"/>
        <v>0</v>
      </c>
      <c r="BI14" s="48" t="s">
        <v>300</v>
      </c>
      <c r="BJ14" s="48" t="s">
        <v>300</v>
      </c>
      <c r="BK14" s="48" t="str">
        <f t="shared" si="36"/>
        <v/>
      </c>
      <c r="BL14" s="48">
        <f t="shared" si="37"/>
        <v>0</v>
      </c>
      <c r="BO14" s="48" t="s">
        <v>300</v>
      </c>
      <c r="BP14" s="48" t="s">
        <v>300</v>
      </c>
      <c r="BQ14" s="48">
        <f t="shared" si="38"/>
        <v>0</v>
      </c>
    </row>
    <row r="15">
      <c r="A15" s="48" t="str">
        <f t="shared" si="3"/>
        <v>0-0</v>
      </c>
      <c r="B15" s="48" t="str">
        <f t="shared" si="4"/>
        <v>0-0</v>
      </c>
      <c r="C15" s="48" t="str">
        <f t="shared" si="5"/>
        <v>0-0</v>
      </c>
      <c r="D15" s="48">
        <f t="shared" si="6"/>
        <v>0</v>
      </c>
      <c r="E15" s="48">
        <f t="shared" si="7"/>
        <v>0</v>
      </c>
      <c r="F15" s="48">
        <f t="shared" si="8"/>
        <v>0</v>
      </c>
      <c r="G15" s="48">
        <f t="shared" ref="G15:H15" si="62">Q15+AB15+AM15+AX15+BI15</f>
        <v>0</v>
      </c>
      <c r="H15" s="48">
        <f t="shared" si="62"/>
        <v>0</v>
      </c>
      <c r="I15" s="48">
        <f t="shared" si="10"/>
        <v>0</v>
      </c>
      <c r="J15" s="48">
        <f t="shared" ref="J15:K15" si="63">W15+AH15+AS15+BD15+BO15</f>
        <v>0</v>
      </c>
      <c r="K15" s="48">
        <f t="shared" si="63"/>
        <v>0</v>
      </c>
      <c r="L15" s="48">
        <f t="shared" si="12"/>
        <v>0</v>
      </c>
      <c r="M15" s="48">
        <f t="shared" si="41"/>
        <v>14</v>
      </c>
      <c r="N15" s="48" t="str">
        <f t="array" ref="N15:O15">xlookup(M15+12,'Team Entry'!$C$38:$C$65,'Team Entry'!$A$38:$B$65,"")</f>
        <v>Team 14 (Group 1)</v>
      </c>
      <c r="O15" s="48"/>
      <c r="P15" s="48">
        <v>3.0</v>
      </c>
      <c r="Q15" s="48"/>
      <c r="R15" s="48"/>
      <c r="S15" s="48" t="str">
        <f t="shared" si="13"/>
        <v/>
      </c>
      <c r="T15" s="48">
        <f t="shared" si="14"/>
        <v>0</v>
      </c>
      <c r="U15" s="48">
        <f t="shared" si="15"/>
        <v>0</v>
      </c>
      <c r="W15" s="48">
        <v>0.0</v>
      </c>
      <c r="X15" s="48">
        <v>0.0</v>
      </c>
      <c r="Y15" s="48">
        <f t="shared" si="16"/>
        <v>0</v>
      </c>
      <c r="Z15" s="48">
        <f t="shared" si="17"/>
        <v>0</v>
      </c>
      <c r="AB15" s="48" t="s">
        <v>300</v>
      </c>
      <c r="AC15" s="48" t="s">
        <v>300</v>
      </c>
      <c r="AD15" s="48" t="str">
        <f t="shared" si="18"/>
        <v/>
      </c>
      <c r="AE15" s="48">
        <f t="shared" si="19"/>
        <v>0</v>
      </c>
      <c r="AF15" s="48">
        <f t="shared" si="20"/>
        <v>0</v>
      </c>
      <c r="AG15" s="48">
        <f t="shared" si="21"/>
        <v>0</v>
      </c>
      <c r="AH15" s="48" t="s">
        <v>300</v>
      </c>
      <c r="AI15" s="48" t="s">
        <v>300</v>
      </c>
      <c r="AJ15" s="48">
        <f t="shared" si="22"/>
        <v>0</v>
      </c>
      <c r="AK15" s="48">
        <f t="shared" si="23"/>
        <v>0</v>
      </c>
      <c r="AM15" s="48" t="s">
        <v>300</v>
      </c>
      <c r="AN15" s="48" t="s">
        <v>300</v>
      </c>
      <c r="AO15" s="48" t="str">
        <f t="shared" si="24"/>
        <v/>
      </c>
      <c r="AP15" s="48">
        <f t="shared" si="25"/>
        <v>0</v>
      </c>
      <c r="AQ15" s="48">
        <f t="shared" si="26"/>
        <v>0</v>
      </c>
      <c r="AR15" s="48">
        <f t="shared" si="27"/>
        <v>0</v>
      </c>
      <c r="AS15" s="48" t="s">
        <v>300</v>
      </c>
      <c r="AT15" s="48" t="s">
        <v>300</v>
      </c>
      <c r="AU15" s="48">
        <f t="shared" si="28"/>
        <v>0</v>
      </c>
      <c r="AV15" s="48">
        <f t="shared" si="29"/>
        <v>0</v>
      </c>
      <c r="AX15" s="48" t="s">
        <v>300</v>
      </c>
      <c r="AY15" s="48" t="s">
        <v>300</v>
      </c>
      <c r="AZ15" s="48" t="str">
        <f t="shared" si="30"/>
        <v/>
      </c>
      <c r="BA15" s="48">
        <f t="shared" si="31"/>
        <v>0</v>
      </c>
      <c r="BB15" s="48">
        <f t="shared" si="32"/>
        <v>0</v>
      </c>
      <c r="BC15" s="48">
        <f t="shared" si="33"/>
        <v>0</v>
      </c>
      <c r="BD15" s="48" t="s">
        <v>300</v>
      </c>
      <c r="BE15" s="48" t="s">
        <v>300</v>
      </c>
      <c r="BF15" s="48">
        <f t="shared" si="34"/>
        <v>0</v>
      </c>
      <c r="BG15" s="48">
        <f t="shared" si="35"/>
        <v>0</v>
      </c>
      <c r="BI15" s="48" t="s">
        <v>300</v>
      </c>
      <c r="BJ15" s="48" t="s">
        <v>300</v>
      </c>
      <c r="BK15" s="48" t="str">
        <f t="shared" si="36"/>
        <v/>
      </c>
      <c r="BL15" s="48">
        <f t="shared" si="37"/>
        <v>0</v>
      </c>
      <c r="BO15" s="48" t="s">
        <v>300</v>
      </c>
      <c r="BP15" s="48" t="s">
        <v>300</v>
      </c>
      <c r="BQ15" s="48">
        <f t="shared" si="38"/>
        <v>0</v>
      </c>
    </row>
    <row r="16">
      <c r="A16" s="48" t="str">
        <f t="shared" si="3"/>
        <v>0-0</v>
      </c>
      <c r="B16" s="48" t="str">
        <f t="shared" si="4"/>
        <v>0-0</v>
      </c>
      <c r="C16" s="48" t="str">
        <f t="shared" si="5"/>
        <v>0-0</v>
      </c>
      <c r="D16" s="48">
        <f t="shared" si="6"/>
        <v>0</v>
      </c>
      <c r="E16" s="48">
        <f t="shared" si="7"/>
        <v>0</v>
      </c>
      <c r="F16" s="48">
        <f t="shared" si="8"/>
        <v>0</v>
      </c>
      <c r="G16" s="48">
        <f t="shared" ref="G16:H16" si="64">Q16+AB16+AM16+AX16+BI16</f>
        <v>0</v>
      </c>
      <c r="H16" s="48">
        <f t="shared" si="64"/>
        <v>0</v>
      </c>
      <c r="I16" s="48">
        <f t="shared" si="10"/>
        <v>0</v>
      </c>
      <c r="J16" s="48">
        <f t="shared" ref="J16:K16" si="65">W16+AH16+AS16+BD16+BO16</f>
        <v>0</v>
      </c>
      <c r="K16" s="48">
        <f t="shared" si="65"/>
        <v>0</v>
      </c>
      <c r="L16" s="48">
        <f t="shared" si="12"/>
        <v>0</v>
      </c>
      <c r="M16" s="48">
        <f t="shared" si="41"/>
        <v>15</v>
      </c>
      <c r="N16" s="48" t="str">
        <f t="array" ref="N16:O16">xlookup(M16+12,'Team Entry'!$C$38:$C$65,'Team Entry'!$A$38:$B$65,"")</f>
        <v>Team 15 (Group 1)</v>
      </c>
      <c r="O16" s="48"/>
      <c r="P16" s="48">
        <v>2.0</v>
      </c>
      <c r="Q16" s="48"/>
      <c r="R16" s="48"/>
      <c r="S16" s="48" t="str">
        <f t="shared" si="13"/>
        <v/>
      </c>
      <c r="T16" s="48">
        <f t="shared" si="14"/>
        <v>0</v>
      </c>
      <c r="U16" s="48">
        <f t="shared" si="15"/>
        <v>0</v>
      </c>
      <c r="W16" s="48">
        <v>0.0</v>
      </c>
      <c r="X16" s="48">
        <v>0.0</v>
      </c>
      <c r="Y16" s="48">
        <f t="shared" si="16"/>
        <v>0</v>
      </c>
      <c r="Z16" s="48">
        <f t="shared" si="17"/>
        <v>0</v>
      </c>
      <c r="AB16" s="48" t="s">
        <v>300</v>
      </c>
      <c r="AC16" s="48" t="s">
        <v>300</v>
      </c>
      <c r="AD16" s="48" t="str">
        <f t="shared" si="18"/>
        <v/>
      </c>
      <c r="AE16" s="48">
        <f t="shared" si="19"/>
        <v>0</v>
      </c>
      <c r="AF16" s="48">
        <f t="shared" si="20"/>
        <v>0</v>
      </c>
      <c r="AG16" s="48">
        <f t="shared" si="21"/>
        <v>0</v>
      </c>
      <c r="AH16" s="48" t="s">
        <v>300</v>
      </c>
      <c r="AI16" s="48" t="s">
        <v>300</v>
      </c>
      <c r="AJ16" s="48">
        <f t="shared" si="22"/>
        <v>0</v>
      </c>
      <c r="AK16" s="48">
        <f t="shared" si="23"/>
        <v>0</v>
      </c>
      <c r="AM16" s="48" t="s">
        <v>300</v>
      </c>
      <c r="AN16" s="48" t="s">
        <v>300</v>
      </c>
      <c r="AO16" s="48" t="str">
        <f t="shared" si="24"/>
        <v/>
      </c>
      <c r="AP16" s="48">
        <f t="shared" si="25"/>
        <v>0</v>
      </c>
      <c r="AQ16" s="48">
        <f t="shared" si="26"/>
        <v>0</v>
      </c>
      <c r="AR16" s="48">
        <f t="shared" si="27"/>
        <v>0</v>
      </c>
      <c r="AS16" s="48" t="s">
        <v>300</v>
      </c>
      <c r="AT16" s="48" t="s">
        <v>300</v>
      </c>
      <c r="AU16" s="48">
        <f t="shared" si="28"/>
        <v>0</v>
      </c>
      <c r="AV16" s="48">
        <f t="shared" si="29"/>
        <v>0</v>
      </c>
      <c r="AX16" s="48" t="s">
        <v>300</v>
      </c>
      <c r="AY16" s="48" t="s">
        <v>300</v>
      </c>
      <c r="AZ16" s="48" t="str">
        <f t="shared" si="30"/>
        <v/>
      </c>
      <c r="BA16" s="48">
        <f t="shared" si="31"/>
        <v>0</v>
      </c>
      <c r="BB16" s="48">
        <f t="shared" si="32"/>
        <v>0</v>
      </c>
      <c r="BC16" s="48">
        <f t="shared" si="33"/>
        <v>0</v>
      </c>
      <c r="BD16" s="48" t="s">
        <v>300</v>
      </c>
      <c r="BE16" s="48" t="s">
        <v>300</v>
      </c>
      <c r="BF16" s="48">
        <f t="shared" si="34"/>
        <v>0</v>
      </c>
      <c r="BG16" s="48">
        <f t="shared" si="35"/>
        <v>0</v>
      </c>
      <c r="BI16" s="48" t="s">
        <v>300</v>
      </c>
      <c r="BJ16" s="48" t="s">
        <v>300</v>
      </c>
      <c r="BK16" s="48" t="str">
        <f t="shared" si="36"/>
        <v/>
      </c>
      <c r="BL16" s="48">
        <f t="shared" si="37"/>
        <v>0</v>
      </c>
      <c r="BO16" s="48" t="s">
        <v>300</v>
      </c>
      <c r="BP16" s="48" t="s">
        <v>300</v>
      </c>
      <c r="BQ16" s="48">
        <f t="shared" si="38"/>
        <v>0</v>
      </c>
    </row>
    <row r="17">
      <c r="A17" s="48" t="str">
        <f t="shared" si="3"/>
        <v>0-0</v>
      </c>
      <c r="B17" s="48" t="str">
        <f t="shared" si="4"/>
        <v>0-0</v>
      </c>
      <c r="C17" s="48" t="str">
        <f t="shared" si="5"/>
        <v>0-0</v>
      </c>
      <c r="D17" s="48">
        <f t="shared" si="6"/>
        <v>0</v>
      </c>
      <c r="E17" s="48">
        <f t="shared" si="7"/>
        <v>0</v>
      </c>
      <c r="F17" s="48">
        <f t="shared" si="8"/>
        <v>0</v>
      </c>
      <c r="G17" s="48">
        <f t="shared" ref="G17:H17" si="66">Q17+AB17+AM17+AX17+BI17</f>
        <v>0</v>
      </c>
      <c r="H17" s="48">
        <f t="shared" si="66"/>
        <v>0</v>
      </c>
      <c r="I17" s="48">
        <f t="shared" si="10"/>
        <v>0</v>
      </c>
      <c r="J17" s="48">
        <f t="shared" ref="J17:K17" si="67">W17+AH17+AS17+BD17+BO17</f>
        <v>0</v>
      </c>
      <c r="K17" s="48">
        <f t="shared" si="67"/>
        <v>0</v>
      </c>
      <c r="L17" s="48">
        <f t="shared" si="12"/>
        <v>0</v>
      </c>
      <c r="M17" s="48">
        <f t="shared" si="41"/>
        <v>16</v>
      </c>
      <c r="N17" s="48" t="str">
        <f t="array" ref="N17:O17">xlookup(M17+12,'Team Entry'!$C$38:$C$65,'Team Entry'!$A$38:$B$65,"")</f>
        <v>Team 16 (Group 1)</v>
      </c>
      <c r="O17" s="48"/>
      <c r="P17" s="48">
        <v>1.0</v>
      </c>
      <c r="Q17" s="48"/>
      <c r="R17" s="48"/>
      <c r="S17" s="48" t="str">
        <f t="shared" si="13"/>
        <v/>
      </c>
      <c r="T17" s="48">
        <f t="shared" si="14"/>
        <v>0</v>
      </c>
      <c r="U17" s="48">
        <f t="shared" si="15"/>
        <v>0</v>
      </c>
      <c r="W17" s="48">
        <v>0.0</v>
      </c>
      <c r="X17" s="48">
        <v>0.0</v>
      </c>
      <c r="Y17" s="48">
        <f t="shared" si="16"/>
        <v>0</v>
      </c>
      <c r="Z17" s="48">
        <f t="shared" si="17"/>
        <v>0</v>
      </c>
      <c r="AB17" s="48" t="s">
        <v>300</v>
      </c>
      <c r="AC17" s="48" t="s">
        <v>300</v>
      </c>
      <c r="AD17" s="48" t="str">
        <f t="shared" si="18"/>
        <v/>
      </c>
      <c r="AE17" s="48">
        <f t="shared" si="19"/>
        <v>0</v>
      </c>
      <c r="AF17" s="48">
        <f t="shared" si="20"/>
        <v>0</v>
      </c>
      <c r="AG17" s="48">
        <f t="shared" si="21"/>
        <v>0</v>
      </c>
      <c r="AH17" s="48" t="s">
        <v>300</v>
      </c>
      <c r="AI17" s="48" t="s">
        <v>300</v>
      </c>
      <c r="AJ17" s="48">
        <f t="shared" si="22"/>
        <v>0</v>
      </c>
      <c r="AK17" s="48">
        <f t="shared" si="23"/>
        <v>0</v>
      </c>
      <c r="AM17" s="48" t="s">
        <v>300</v>
      </c>
      <c r="AN17" s="48" t="s">
        <v>300</v>
      </c>
      <c r="AO17" s="48" t="str">
        <f t="shared" si="24"/>
        <v/>
      </c>
      <c r="AP17" s="48">
        <f t="shared" si="25"/>
        <v>0</v>
      </c>
      <c r="AQ17" s="48">
        <f t="shared" si="26"/>
        <v>0</v>
      </c>
      <c r="AR17" s="48">
        <f t="shared" si="27"/>
        <v>0</v>
      </c>
      <c r="AS17" s="48" t="s">
        <v>300</v>
      </c>
      <c r="AT17" s="48" t="s">
        <v>300</v>
      </c>
      <c r="AU17" s="48">
        <f t="shared" si="28"/>
        <v>0</v>
      </c>
      <c r="AV17" s="48">
        <f t="shared" si="29"/>
        <v>0</v>
      </c>
      <c r="AX17" s="48" t="s">
        <v>300</v>
      </c>
      <c r="AY17" s="48" t="s">
        <v>300</v>
      </c>
      <c r="AZ17" s="48" t="str">
        <f t="shared" si="30"/>
        <v/>
      </c>
      <c r="BA17" s="48">
        <f t="shared" si="31"/>
        <v>0</v>
      </c>
      <c r="BB17" s="48">
        <f t="shared" si="32"/>
        <v>0</v>
      </c>
      <c r="BC17" s="48">
        <f t="shared" si="33"/>
        <v>0</v>
      </c>
      <c r="BD17" s="48" t="s">
        <v>300</v>
      </c>
      <c r="BE17" s="48" t="s">
        <v>300</v>
      </c>
      <c r="BF17" s="48">
        <f t="shared" si="34"/>
        <v>0</v>
      </c>
      <c r="BG17" s="48">
        <f t="shared" si="35"/>
        <v>0</v>
      </c>
      <c r="BI17" s="48" t="s">
        <v>300</v>
      </c>
      <c r="BJ17" s="48" t="s">
        <v>300</v>
      </c>
      <c r="BK17" s="48" t="str">
        <f t="shared" si="36"/>
        <v/>
      </c>
      <c r="BL17" s="48">
        <f t="shared" si="37"/>
        <v>0</v>
      </c>
      <c r="BO17" s="48" t="s">
        <v>300</v>
      </c>
      <c r="BP17" s="48" t="s">
        <v>300</v>
      </c>
      <c r="BQ17" s="48">
        <f t="shared" si="38"/>
        <v>0</v>
      </c>
    </row>
    <row r="23">
      <c r="A23" s="47" t="s">
        <v>326</v>
      </c>
      <c r="B23" s="47" t="s">
        <v>433</v>
      </c>
      <c r="C23" s="47" t="s">
        <v>90</v>
      </c>
      <c r="D23" s="47" t="s">
        <v>91</v>
      </c>
      <c r="E23" s="47" t="s">
        <v>439</v>
      </c>
      <c r="F23" s="47" t="s">
        <v>92</v>
      </c>
    </row>
    <row r="24">
      <c r="A24" s="48" t="str">
        <f t="array" ref="A24:A39">sort(N2:N17,D2:D17,false,F2:F17,false,I2:I17,false,L2:L17,false)</f>
        <v>Team 1 (Group 1)</v>
      </c>
      <c r="B24" s="48" t="str">
        <f t="shared" ref="B24:F24" si="68">xlookup($A24,$N$2:$N$17,xlookup(B$23,$A$1:$L$1,$A$2:$L$17,""))</f>
        <v>0-0</v>
      </c>
      <c r="C24" s="48" t="str">
        <f t="shared" si="68"/>
        <v>0-0</v>
      </c>
      <c r="D24" s="48" t="str">
        <f t="shared" si="68"/>
        <v>0-0</v>
      </c>
      <c r="E24" s="48">
        <f t="shared" si="68"/>
        <v>0</v>
      </c>
      <c r="F24" s="48">
        <f t="shared" si="68"/>
        <v>0</v>
      </c>
      <c r="G24" s="47">
        <v>1.0</v>
      </c>
    </row>
    <row r="25">
      <c r="A25" s="48" t="s">
        <v>331</v>
      </c>
      <c r="B25" s="48" t="str">
        <f t="shared" ref="B25:F25" si="69">xlookup($A25,$N$2:$N$17,xlookup(B$23,$A$1:$L$1,$A$2:$L$17,""))</f>
        <v>0-0</v>
      </c>
      <c r="C25" s="48" t="str">
        <f t="shared" si="69"/>
        <v>0-0</v>
      </c>
      <c r="D25" s="48" t="str">
        <f t="shared" si="69"/>
        <v>0-0</v>
      </c>
      <c r="E25" s="48">
        <f t="shared" si="69"/>
        <v>0</v>
      </c>
      <c r="F25" s="48">
        <f t="shared" si="69"/>
        <v>0</v>
      </c>
      <c r="G25" s="48">
        <f t="shared" ref="G25:G39" si="71">G24+1</f>
        <v>2</v>
      </c>
    </row>
    <row r="26">
      <c r="A26" s="48" t="s">
        <v>332</v>
      </c>
      <c r="B26" s="48" t="str">
        <f t="shared" ref="B26:F26" si="70">xlookup($A26,$N$2:$N$17,xlookup(B$23,$A$1:$L$1,$A$2:$L$17,""))</f>
        <v>0-0</v>
      </c>
      <c r="C26" s="48" t="str">
        <f t="shared" si="70"/>
        <v>0-0</v>
      </c>
      <c r="D26" s="48" t="str">
        <f t="shared" si="70"/>
        <v>0-0</v>
      </c>
      <c r="E26" s="48">
        <f t="shared" si="70"/>
        <v>0</v>
      </c>
      <c r="F26" s="48">
        <f t="shared" si="70"/>
        <v>0</v>
      </c>
      <c r="G26" s="48">
        <f t="shared" si="71"/>
        <v>3</v>
      </c>
    </row>
    <row r="27">
      <c r="A27" s="48" t="s">
        <v>333</v>
      </c>
      <c r="B27" s="48" t="str">
        <f t="shared" ref="B27:F27" si="72">xlookup($A27,$N$2:$N$17,xlookup(B$23,$A$1:$L$1,$A$2:$L$17,""))</f>
        <v>0-0</v>
      </c>
      <c r="C27" s="48" t="str">
        <f t="shared" si="72"/>
        <v>0-0</v>
      </c>
      <c r="D27" s="48" t="str">
        <f t="shared" si="72"/>
        <v>0-0</v>
      </c>
      <c r="E27" s="48">
        <f t="shared" si="72"/>
        <v>0</v>
      </c>
      <c r="F27" s="48">
        <f t="shared" si="72"/>
        <v>0</v>
      </c>
      <c r="G27" s="48">
        <f t="shared" si="71"/>
        <v>4</v>
      </c>
    </row>
    <row r="28">
      <c r="A28" s="48" t="s">
        <v>334</v>
      </c>
      <c r="B28" s="48" t="str">
        <f t="shared" ref="B28:F28" si="73">xlookup($A28,$N$2:$N$17,xlookup(B$23,$A$1:$L$1,$A$2:$L$17,""))</f>
        <v>0-0</v>
      </c>
      <c r="C28" s="48" t="str">
        <f t="shared" si="73"/>
        <v>0-0</v>
      </c>
      <c r="D28" s="48" t="str">
        <f t="shared" si="73"/>
        <v>0-0</v>
      </c>
      <c r="E28" s="48">
        <f t="shared" si="73"/>
        <v>0</v>
      </c>
      <c r="F28" s="48">
        <f t="shared" si="73"/>
        <v>0</v>
      </c>
      <c r="G28" s="48">
        <f t="shared" si="71"/>
        <v>5</v>
      </c>
    </row>
    <row r="29">
      <c r="A29" s="48" t="s">
        <v>335</v>
      </c>
      <c r="B29" s="48" t="str">
        <f t="shared" ref="B29:F29" si="74">xlookup($A29,$N$2:$N$17,xlookup(B$23,$A$1:$L$1,$A$2:$L$17,""))</f>
        <v>0-0</v>
      </c>
      <c r="C29" s="48" t="str">
        <f t="shared" si="74"/>
        <v>0-0</v>
      </c>
      <c r="D29" s="48" t="str">
        <f t="shared" si="74"/>
        <v>0-0</v>
      </c>
      <c r="E29" s="48">
        <f t="shared" si="74"/>
        <v>0</v>
      </c>
      <c r="F29" s="48">
        <f t="shared" si="74"/>
        <v>0</v>
      </c>
      <c r="G29" s="48">
        <f t="shared" si="71"/>
        <v>6</v>
      </c>
    </row>
    <row r="30">
      <c r="A30" s="48" t="s">
        <v>336</v>
      </c>
      <c r="B30" s="48" t="str">
        <f t="shared" ref="B30:F30" si="75">xlookup($A30,$N$2:$N$17,xlookup(B$23,$A$1:$L$1,$A$2:$L$17,""))</f>
        <v>0-0</v>
      </c>
      <c r="C30" s="48" t="str">
        <f t="shared" si="75"/>
        <v>0-0</v>
      </c>
      <c r="D30" s="48" t="str">
        <f t="shared" si="75"/>
        <v>0-0</v>
      </c>
      <c r="E30" s="48">
        <f t="shared" si="75"/>
        <v>0</v>
      </c>
      <c r="F30" s="48">
        <f t="shared" si="75"/>
        <v>0</v>
      </c>
      <c r="G30" s="48">
        <f t="shared" si="71"/>
        <v>7</v>
      </c>
    </row>
    <row r="31">
      <c r="A31" s="48" t="s">
        <v>337</v>
      </c>
      <c r="B31" s="48" t="str">
        <f t="shared" ref="B31:F31" si="76">xlookup($A31,$N$2:$N$17,xlookup(B$23,$A$1:$L$1,$A$2:$L$17,""))</f>
        <v>0-0</v>
      </c>
      <c r="C31" s="48" t="str">
        <f t="shared" si="76"/>
        <v>0-0</v>
      </c>
      <c r="D31" s="48" t="str">
        <f t="shared" si="76"/>
        <v>0-0</v>
      </c>
      <c r="E31" s="48">
        <f t="shared" si="76"/>
        <v>0</v>
      </c>
      <c r="F31" s="48">
        <f t="shared" si="76"/>
        <v>0</v>
      </c>
      <c r="G31" s="48">
        <f t="shared" si="71"/>
        <v>8</v>
      </c>
    </row>
    <row r="32">
      <c r="A32" s="48" t="s">
        <v>338</v>
      </c>
      <c r="B32" s="48" t="str">
        <f t="shared" ref="B32:F32" si="77">xlookup($A32,$N$2:$N$17,xlookup(B$23,$A$1:$L$1,$A$2:$L$17,""))</f>
        <v>0-0</v>
      </c>
      <c r="C32" s="48" t="str">
        <f t="shared" si="77"/>
        <v>0-0</v>
      </c>
      <c r="D32" s="48" t="str">
        <f t="shared" si="77"/>
        <v>0-0</v>
      </c>
      <c r="E32" s="48">
        <f t="shared" si="77"/>
        <v>0</v>
      </c>
      <c r="F32" s="48">
        <f t="shared" si="77"/>
        <v>0</v>
      </c>
      <c r="G32" s="48">
        <f t="shared" si="71"/>
        <v>9</v>
      </c>
    </row>
    <row r="33">
      <c r="A33" s="48" t="s">
        <v>339</v>
      </c>
      <c r="B33" s="48" t="str">
        <f t="shared" ref="B33:F33" si="78">xlookup($A33,$N$2:$N$17,xlookup(B$23,$A$1:$L$1,$A$2:$L$17,""))</f>
        <v>0-0</v>
      </c>
      <c r="C33" s="48" t="str">
        <f t="shared" si="78"/>
        <v>0-0</v>
      </c>
      <c r="D33" s="48" t="str">
        <f t="shared" si="78"/>
        <v>0-0</v>
      </c>
      <c r="E33" s="48">
        <f t="shared" si="78"/>
        <v>0</v>
      </c>
      <c r="F33" s="48">
        <f t="shared" si="78"/>
        <v>0</v>
      </c>
      <c r="G33" s="48">
        <f t="shared" si="71"/>
        <v>10</v>
      </c>
    </row>
    <row r="34">
      <c r="A34" s="48" t="s">
        <v>340</v>
      </c>
      <c r="B34" s="48" t="str">
        <f t="shared" ref="B34:F34" si="79">xlookup($A34,$N$2:$N$17,xlookup(B$23,$A$1:$L$1,$A$2:$L$17,""))</f>
        <v>0-0</v>
      </c>
      <c r="C34" s="48" t="str">
        <f t="shared" si="79"/>
        <v>0-0</v>
      </c>
      <c r="D34" s="48" t="str">
        <f t="shared" si="79"/>
        <v>0-0</v>
      </c>
      <c r="E34" s="48">
        <f t="shared" si="79"/>
        <v>0</v>
      </c>
      <c r="F34" s="48">
        <f t="shared" si="79"/>
        <v>0</v>
      </c>
      <c r="G34" s="48">
        <f t="shared" si="71"/>
        <v>11</v>
      </c>
    </row>
    <row r="35">
      <c r="A35" s="48" t="s">
        <v>341</v>
      </c>
      <c r="B35" s="48" t="str">
        <f t="shared" ref="B35:F35" si="80">xlookup($A35,$N$2:$N$17,xlookup(B$23,$A$1:$L$1,$A$2:$L$17,""))</f>
        <v>0-0</v>
      </c>
      <c r="C35" s="48" t="str">
        <f t="shared" si="80"/>
        <v>0-0</v>
      </c>
      <c r="D35" s="48" t="str">
        <f t="shared" si="80"/>
        <v>0-0</v>
      </c>
      <c r="E35" s="48">
        <f t="shared" si="80"/>
        <v>0</v>
      </c>
      <c r="F35" s="48">
        <f t="shared" si="80"/>
        <v>0</v>
      </c>
      <c r="G35" s="48">
        <f t="shared" si="71"/>
        <v>12</v>
      </c>
    </row>
    <row r="36">
      <c r="A36" s="48" t="s">
        <v>342</v>
      </c>
      <c r="B36" s="48" t="str">
        <f t="shared" ref="B36:F36" si="81">xlookup($A36,$N$2:$N$17,xlookup(B$23,$A$1:$L$1,$A$2:$L$17,""))</f>
        <v>0-0</v>
      </c>
      <c r="C36" s="48" t="str">
        <f t="shared" si="81"/>
        <v>0-0</v>
      </c>
      <c r="D36" s="48" t="str">
        <f t="shared" si="81"/>
        <v>0-0</v>
      </c>
      <c r="E36" s="48">
        <f t="shared" si="81"/>
        <v>0</v>
      </c>
      <c r="F36" s="48">
        <f t="shared" si="81"/>
        <v>0</v>
      </c>
      <c r="G36" s="48">
        <f t="shared" si="71"/>
        <v>13</v>
      </c>
    </row>
    <row r="37">
      <c r="A37" s="48" t="s">
        <v>343</v>
      </c>
      <c r="B37" s="48" t="str">
        <f t="shared" ref="B37:F37" si="82">xlookup($A37,$N$2:$N$17,xlookup(B$23,$A$1:$L$1,$A$2:$L$17,""))</f>
        <v>0-0</v>
      </c>
      <c r="C37" s="48" t="str">
        <f t="shared" si="82"/>
        <v>0-0</v>
      </c>
      <c r="D37" s="48" t="str">
        <f t="shared" si="82"/>
        <v>0-0</v>
      </c>
      <c r="E37" s="48">
        <f t="shared" si="82"/>
        <v>0</v>
      </c>
      <c r="F37" s="48">
        <f t="shared" si="82"/>
        <v>0</v>
      </c>
      <c r="G37" s="48">
        <f t="shared" si="71"/>
        <v>14</v>
      </c>
    </row>
    <row r="38">
      <c r="A38" s="48" t="s">
        <v>344</v>
      </c>
      <c r="B38" s="48" t="str">
        <f t="shared" ref="B38:F38" si="83">xlookup($A38,$N$2:$N$17,xlookup(B$23,$A$1:$L$1,$A$2:$L$17,""))</f>
        <v>0-0</v>
      </c>
      <c r="C38" s="48" t="str">
        <f t="shared" si="83"/>
        <v>0-0</v>
      </c>
      <c r="D38" s="48" t="str">
        <f t="shared" si="83"/>
        <v>0-0</v>
      </c>
      <c r="E38" s="48">
        <f t="shared" si="83"/>
        <v>0</v>
      </c>
      <c r="F38" s="48">
        <f t="shared" si="83"/>
        <v>0</v>
      </c>
      <c r="G38" s="48">
        <f t="shared" si="71"/>
        <v>15</v>
      </c>
    </row>
    <row r="39">
      <c r="A39" s="48" t="s">
        <v>345</v>
      </c>
      <c r="B39" s="48" t="str">
        <f t="shared" ref="B39:F39" si="84">xlookup($A39,$N$2:$N$17,xlookup(B$23,$A$1:$L$1,$A$2:$L$17,""))</f>
        <v>0-0</v>
      </c>
      <c r="C39" s="48" t="str">
        <f t="shared" si="84"/>
        <v>0-0</v>
      </c>
      <c r="D39" s="48" t="str">
        <f t="shared" si="84"/>
        <v>0-0</v>
      </c>
      <c r="E39" s="48">
        <f t="shared" si="84"/>
        <v>0</v>
      </c>
      <c r="F39" s="48">
        <f t="shared" si="84"/>
        <v>0</v>
      </c>
      <c r="G39" s="48">
        <f t="shared" si="71"/>
        <v>16</v>
      </c>
    </row>
  </sheetData>
  <drawing r:id="rId1"/>
</worksheet>
</file>